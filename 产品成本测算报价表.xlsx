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报价汇总" sheetId="2" state="visible" r:id="rId4"/>
    <sheet name="物料明细" sheetId="3" state="visible" r:id="rId5"/>
    <sheet name="加工及工装" sheetId="4" state="visible" r:id="rId6"/>
    <sheet name="参数" sheetId="5" state="visible" r:id="rId7"/>
    <sheet name="包装计算" sheetId="6" state="visible" r:id="rId8"/>
    <sheet name="跨越费率" sheetId="7" state="visible" r:id="rId9"/>
    <sheet name="运费计算" sheetId="8" state="visible" r:id="rId10"/>
  </sheets>
  <definedNames>
    <definedName function="false" hidden="true" localSheetId="3" name="_xlnm._FilterDatabase" vbProcedure="false">加工及工装!$A$4:$H$12</definedName>
    <definedName function="false" hidden="true" localSheetId="2" name="_xlnm._FilterDatabase" vbProcedure="false">物料明细!$A$2:$I$102</definedName>
    <definedName function="false" hidden="true" localSheetId="6" name="_xlnm._FilterDatabase" vbProcedure="false">跨越费率!$A$3:$Q$133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<sst xmlns="http://schemas.openxmlformats.org/spreadsheetml/2006/main" count="989" uniqueCount="683">
  <si>
    <r>
      <rPr>
        <b val="true"/>
        <sz val="12"/>
        <color rgb="FFFFFFFF"/>
        <rFont val="Noto Sans CJK SC"/>
        <family val="2"/>
      </rPr>
      <t xml:space="preserve">产品成本测算报价表 </t>
    </r>
    <r>
      <rPr>
        <b val="true"/>
        <sz val="12"/>
        <color rgb="FFFFFFFF"/>
        <rFont val="微软雅黑"/>
        <family val="2"/>
        <charset val="1"/>
      </rPr>
      <t xml:space="preserve">· </t>
    </r>
    <r>
      <rPr>
        <b val="true"/>
        <sz val="12"/>
        <color rgb="FFFFFFFF"/>
        <rFont val="Noto Sans CJK SC"/>
        <family val="2"/>
      </rPr>
      <t xml:space="preserve">使用说明</t>
    </r>
  </si>
  <si>
    <t xml:space="preserve">怎么用</t>
  </si>
  <si>
    <r>
      <rPr>
        <i val="true"/>
        <sz val="10"/>
        <color rgb="FF808080"/>
        <rFont val="Noto Sans CJK SC"/>
        <family val="2"/>
      </rPr>
      <t xml:space="preserve">首页【报价汇总】只填：产品信息、成品尺寸与单台净重、每箱件数、是否带散热器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组装结构、是否含整托、物流产品、目的地、每票件数。包装费与运费全部自动算。黄色底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必填待填，填完后自动变绿。</t>
    </r>
  </si>
  <si>
    <t xml:space="preserve">包装费</t>
  </si>
  <si>
    <r>
      <rPr>
        <i val="true"/>
        <sz val="10"/>
        <color rgb="FF808080"/>
        <rFont val="Noto Sans CJK SC"/>
        <family val="2"/>
      </rPr>
      <t xml:space="preserve">首页【报价汇总】填【带散热器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组装结构】是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否即可自动选方案：选「是」→大板（</t>
    </r>
    <r>
      <rPr>
        <i val="true"/>
        <sz val="10"/>
        <color rgb="FF808080"/>
        <rFont val="微软雅黑"/>
        <family val="2"/>
        <charset val="1"/>
      </rPr>
      <t xml:space="preserve">EPE</t>
    </r>
    <r>
      <rPr>
        <i val="true"/>
        <sz val="10"/>
        <color rgb="FF808080"/>
        <rFont val="Noto Sans CJK SC"/>
        <family val="2"/>
      </rPr>
      <t xml:space="preserve">珍珠棉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缠绕膜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打包带）；选「否」→小板（防静电气泡袋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隔板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缠绕膜）。带散热器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组装结构（暖通商空大功率驱动板）选「是」，水泵、风机板选「否」。单价与系数在《参数》页改。</t>
    </r>
  </si>
  <si>
    <t xml:space="preserve">运费</t>
  </si>
  <si>
    <r>
      <rPr>
        <i val="true"/>
        <sz val="10"/>
        <color rgb="FF808080"/>
        <rFont val="Noto Sans CJK SC"/>
        <family val="2"/>
      </rPr>
      <t xml:space="preserve">依据《跨越费率》（源自青岛国创</t>
    </r>
    <r>
      <rPr>
        <i val="true"/>
        <sz val="10"/>
        <color rgb="FF808080"/>
        <rFont val="微软雅黑"/>
        <family val="2"/>
        <charset val="1"/>
      </rPr>
      <t xml:space="preserve">VIP</t>
    </r>
    <r>
      <rPr>
        <i val="true"/>
        <sz val="10"/>
        <color rgb="FF808080"/>
        <rFont val="Noto Sans CJK SC"/>
        <family val="2"/>
      </rPr>
      <t xml:space="preserve">报价表）按 实重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体积重取大→起重→分段单价 计算单票运费，再摊到单件。目的地在首页下拉选择，产品可选次日达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特惠普运。</t>
    </r>
  </si>
  <si>
    <r>
      <rPr>
        <b val="true"/>
        <sz val="10"/>
        <color rgb="FF000000"/>
        <rFont val="Noto Sans CJK SC"/>
        <family val="2"/>
      </rPr>
      <t xml:space="preserve">物料明细</t>
    </r>
    <r>
      <rPr>
        <b val="true"/>
        <sz val="10"/>
        <color rgb="FF000000"/>
        <rFont val="微软雅黑"/>
        <family val="2"/>
        <charset val="1"/>
      </rPr>
      <t xml:space="preserve">/</t>
    </r>
    <r>
      <rPr>
        <b val="true"/>
        <sz val="10"/>
        <color rgb="FF000000"/>
        <rFont val="Noto Sans CJK SC"/>
        <family val="2"/>
      </rPr>
      <t xml:space="preserve">加工及工装</t>
    </r>
  </si>
  <si>
    <r>
      <rPr>
        <i val="true"/>
        <sz val="10"/>
        <color rgb="FF808080"/>
        <rFont val="Noto Sans CJK SC"/>
        <family val="2"/>
      </rPr>
      <t xml:space="preserve">沿用原模板，硬件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结构件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辅助材料与加工费、工装分摊在此填写。</t>
    </r>
  </si>
  <si>
    <t xml:space="preserve">成本与报价</t>
  </si>
  <si>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材料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加工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工装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包装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运费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利润；建议报价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Noto Sans CJK SC"/>
        <family val="2"/>
      </rPr>
      <t xml:space="preserve">目标毛利率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Noto Sans CJK SC"/>
        <family val="2"/>
      </rPr>
      <t xml:space="preserve">。毛利率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税率在《参数》页改。</t>
    </r>
  </si>
  <si>
    <t xml:space="preserve">注意</t>
  </si>
  <si>
    <t xml:space="preserve">跨越费率为参考价，可在《跨越费率》页直接改；金额默认不含税；包装费按方案清单自动算。</t>
  </si>
  <si>
    <r>
      <rPr>
        <b val="true"/>
        <sz val="12"/>
        <color rgb="FFFFFFFF"/>
        <rFont val="Noto Sans CJK SC"/>
        <family val="2"/>
      </rPr>
      <t xml:space="preserve">产品成本测算报价表（包装费 </t>
    </r>
    <r>
      <rPr>
        <b val="true"/>
        <sz val="12"/>
        <color rgb="FFFFFFFF"/>
        <rFont val="微软雅黑"/>
        <family val="2"/>
        <charset val="1"/>
      </rPr>
      <t xml:space="preserve">+ </t>
    </r>
    <r>
      <rPr>
        <b val="true"/>
        <sz val="12"/>
        <color rgb="FFFFFFFF"/>
        <rFont val="Noto Sans CJK SC"/>
        <family val="2"/>
      </rPr>
      <t xml:space="preserve">运费自动计算）</t>
    </r>
  </si>
  <si>
    <t xml:space="preserve">一、产品基础信息（输入）</t>
  </si>
  <si>
    <t xml:space="preserve">产品代码</t>
  </si>
  <si>
    <r>
      <rPr>
        <sz val="11"/>
        <color rgb="FF000000"/>
        <rFont val="Noto Sans CJK SC"/>
        <family val="2"/>
      </rPr>
      <t xml:space="preserve">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厦门市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泉州市</t>
    </r>
  </si>
  <si>
    <t xml:space="preserve">产品名称</t>
  </si>
  <si>
    <r>
      <rPr>
        <sz val="11"/>
        <color rgb="FF000000"/>
        <rFont val="Noto Sans CJK SC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漳州市</t>
    </r>
  </si>
  <si>
    <t xml:space="preserve">客户名称</t>
  </si>
  <si>
    <r>
      <rPr>
        <sz val="11"/>
        <color rgb="FF000000"/>
        <rFont val="Noto Sans CJK SC"/>
        <family val="2"/>
      </rPr>
      <t xml:space="preserve">龙岩市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南平市</t>
    </r>
  </si>
  <si>
    <t xml:space="preserve">报价日期</t>
  </si>
  <si>
    <t xml:space="preserve">拉萨市</t>
  </si>
  <si>
    <r>
      <rPr>
        <sz val="10"/>
        <color rgb="FF000000"/>
        <rFont val="Noto Sans CJK SC"/>
        <family val="2"/>
      </rPr>
      <t xml:space="preserve">年需求量</t>
    </r>
    <r>
      <rPr>
        <sz val="10"/>
        <color rgb="FF000000"/>
        <rFont val="微软雅黑"/>
        <family val="2"/>
        <charset val="1"/>
      </rPr>
      <t xml:space="preserve">(PCS)</t>
    </r>
  </si>
  <si>
    <r>
      <rPr>
        <sz val="11"/>
        <color rgb="FF000000"/>
        <rFont val="Noto Sans CJK SC"/>
        <family val="2"/>
      </rPr>
      <t xml:space="preserve">日喀则市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山南市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林芝市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那曲市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阿里地区</t>
    </r>
  </si>
  <si>
    <t xml:space="preserve">MOQ(PCS)</t>
  </si>
  <si>
    <r>
      <rPr>
        <sz val="11"/>
        <color rgb="FF000000"/>
        <rFont val="Noto Sans CJK SC"/>
        <family val="2"/>
      </rPr>
      <t xml:space="preserve">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安顺市</t>
    </r>
  </si>
  <si>
    <t xml:space="preserve">备注</t>
  </si>
  <si>
    <r>
      <rPr>
        <sz val="11"/>
        <color rgb="FF000000"/>
        <rFont val="Noto Sans CJK SC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黔东南苗族侗族自治州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六盘水市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黔西南布依族苗族自治州</t>
    </r>
  </si>
  <si>
    <r>
      <rPr>
        <sz val="11"/>
        <color rgb="FF000000"/>
        <rFont val="Noto Sans CJK SC"/>
        <family val="2"/>
      </rPr>
      <t xml:space="preserve">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深圳市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珠海市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东莞市</t>
    </r>
  </si>
  <si>
    <t xml:space="preserve">二、产品规格（输入，驱动包装费）</t>
  </si>
  <si>
    <r>
      <rPr>
        <sz val="11"/>
        <color rgb="FF000000"/>
        <rFont val="Noto Sans CJK SC"/>
        <family val="2"/>
      </rPr>
      <t xml:space="preserve">江门市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惠州市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佛山市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</si>
  <si>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成品长</t>
    </r>
    <r>
      <rPr>
        <sz val="10"/>
        <color rgb="FF000000"/>
        <rFont val="微软雅黑"/>
        <family val="2"/>
        <charset val="1"/>
      </rPr>
      <t xml:space="preserve">(mm,</t>
    </r>
    <r>
      <rPr>
        <sz val="10"/>
        <color rgb="FF000000"/>
        <rFont val="Noto Sans CJK SC"/>
        <family val="2"/>
      </rPr>
      <t xml:space="preserve">含散热器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</si>
  <si>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汕尾市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揭阳市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茂名市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韶关市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梅州市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汕头市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湛江市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河源市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清远市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云浮市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潮州市</t>
    </r>
  </si>
  <si>
    <r>
      <rPr>
        <sz val="10"/>
        <color rgb="FF000000"/>
        <rFont val="Noto Sans CJK SC"/>
        <family val="2"/>
      </rPr>
      <t xml:space="preserve">成品宽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</si>
  <si>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Noto Sans CJK SC"/>
        <family val="2"/>
      </rPr>
      <t xml:space="preserve">武汉市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</si>
  <si>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成品高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</si>
  <si>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Noto Sans CJK SC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</si>
  <si>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单台净重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</si>
  <si>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1"/>
        <color rgb="FF000000"/>
        <rFont val="Noto Sans CJK SC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</si>
  <si>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每箱件数</t>
    </r>
    <r>
      <rPr>
        <sz val="10"/>
        <color rgb="FF000000"/>
        <rFont val="微软雅黑"/>
        <family val="2"/>
        <charset val="1"/>
      </rPr>
      <t xml:space="preserve">N</t>
    </r>
  </si>
  <si>
    <r>
      <rPr>
        <sz val="11"/>
        <color rgb="FF000000"/>
        <rFont val="Noto Sans CJK SC"/>
        <family val="2"/>
      </rPr>
      <t xml:space="preserve">株洲市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湘潭市</t>
    </r>
  </si>
  <si>
    <t xml:space="preserve">是否含整托分摊</t>
  </si>
  <si>
    <t xml:space="preserve">益阳市</t>
  </si>
  <si>
    <r>
      <rPr>
        <sz val="10"/>
        <color rgb="FF000000"/>
        <rFont val="Noto Sans CJK SC"/>
        <family val="2"/>
      </rPr>
      <t xml:space="preserve">带散热器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组装结构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是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否</t>
    </r>
    <r>
      <rPr>
        <sz val="10"/>
        <color rgb="FF000000"/>
        <rFont val="微软雅黑"/>
        <family val="0"/>
        <charset val="1"/>
      </rPr>
      <t xml:space="preserve">)</t>
    </r>
  </si>
  <si>
    <t xml:space="preserve">否</t>
  </si>
  <si>
    <r>
      <rPr>
        <sz val="11"/>
        <color rgb="FF000000"/>
        <rFont val="Noto Sans CJK SC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湘西土家族苗族自治州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永州市</t>
    </r>
  </si>
  <si>
    <t xml:space="preserve">三、物流（输入，驱动运费）</t>
  </si>
  <si>
    <t xml:space="preserve">重庆市</t>
  </si>
  <si>
    <t xml:space="preserve">物流产品</t>
  </si>
  <si>
    <r>
      <rPr>
        <sz val="11"/>
        <color rgb="FF000000"/>
        <rFont val="Noto Sans CJK SC"/>
        <family val="2"/>
      </rPr>
      <t xml:space="preserve">成都市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眉山市</t>
    </r>
  </si>
  <si>
    <t xml:space="preserve">目的地</t>
  </si>
  <si>
    <t xml:space="preserve">绵阳市</t>
  </si>
  <si>
    <r>
      <rPr>
        <sz val="10"/>
        <color rgb="FF000000"/>
        <rFont val="Noto Sans CJK SC"/>
        <family val="2"/>
      </rPr>
      <t xml:space="preserve">每票件数</t>
    </r>
    <r>
      <rPr>
        <sz val="10"/>
        <color rgb="FF000000"/>
        <rFont val="微软雅黑"/>
        <family val="2"/>
        <charset val="1"/>
      </rPr>
      <t xml:space="preserve">M</t>
    </r>
  </si>
  <si>
    <r>
      <rPr>
        <sz val="11"/>
        <color rgb="FF000000"/>
        <rFont val="Noto Sans CJK SC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内江市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</si>
  <si>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,</t>
    </r>
    <r>
      <rPr>
        <sz val="10"/>
        <color rgb="FF000000"/>
        <rFont val="Noto Sans CJK SC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</si>
  <si>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攀枝花市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凉山彝族自治州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甘孜藏族自治州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阿坝藏族羌族自治州</t>
    </r>
  </si>
  <si>
    <t xml:space="preserve">注</t>
  </si>
  <si>
    <t xml:space="preserve">次日达与特惠普运的目的地划分不同，请选择与所选产品一致的目的地；选错该运费显示空白。</t>
  </si>
  <si>
    <r>
      <rPr>
        <sz val="11"/>
        <color rgb="FF000000"/>
        <rFont val="Noto Sans CJK SC"/>
        <family val="2"/>
      </rPr>
      <t xml:space="preserve">合肥市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芜湖市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马鞍山市</t>
    </r>
  </si>
  <si>
    <r>
      <rPr>
        <b val="true"/>
        <sz val="10"/>
        <color rgb="FFFFFFFF"/>
        <rFont val="Noto Sans CJK SC"/>
        <family val="2"/>
      </rPr>
      <t xml:space="preserve">四、成本构成（未税</t>
    </r>
    <r>
      <rPr>
        <b val="true"/>
        <sz val="10"/>
        <color rgb="FFFFFFFF"/>
        <rFont val="微软雅黑"/>
        <family val="2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单台，自动计算）</t>
    </r>
  </si>
  <si>
    <r>
      <rPr>
        <sz val="11"/>
        <color rgb="FF000000"/>
        <rFont val="Noto Sans CJK SC"/>
        <family val="2"/>
      </rPr>
      <t xml:space="preserve">滁州市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蚌埠市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六安市</t>
    </r>
  </si>
  <si>
    <t xml:space="preserve">成本项目</t>
  </si>
  <si>
    <t xml:space="preserve">金额</t>
  </si>
  <si>
    <t xml:space="preserve">单位</t>
  </si>
  <si>
    <t xml:space="preserve">公式</t>
  </si>
  <si>
    <r>
      <rPr>
        <sz val="11"/>
        <color rgb="FF000000"/>
        <rFont val="Noto Sans CJK SC"/>
        <family val="2"/>
      </rPr>
      <t xml:space="preserve">淮南市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阜阳市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淮北市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铜陵市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宣城市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池州市</t>
    </r>
  </si>
  <si>
    <t xml:space="preserve">硬件材料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</si>
  <si>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台</t>
    </r>
  </si>
  <si>
    <t xml:space="preserve">物料明细</t>
  </si>
  <si>
    <t xml:space="preserve">乌鲁木齐市</t>
  </si>
  <si>
    <t xml:space="preserve">结构件</t>
  </si>
  <si>
    <r>
      <rPr>
        <sz val="11"/>
        <color rgb="FF000000"/>
        <rFont val="Noto Sans CJK SC"/>
        <family val="2"/>
      </rPr>
      <t xml:space="preserve">塔城地区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哈密市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昆玉市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和田地区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阿勒泰地区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克孜勒苏柯尔克孜自治州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双河市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博尔塔拉蒙古自治州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克拉玛依市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胡杨河市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石河子市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五家渠市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昌吉回族自治州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吐鲁番市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巴音郭楞蒙古自治州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铁门关市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阿克苏地区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阿拉尔市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图木舒克市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喀什地区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伊犁哈萨克自治州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可克达拉市</t>
    </r>
  </si>
  <si>
    <t xml:space="preserve">包装材料</t>
  </si>
  <si>
    <t xml:space="preserve">包装计算（自动）</t>
  </si>
  <si>
    <r>
      <rPr>
        <sz val="11"/>
        <color rgb="FF000000"/>
        <rFont val="Noto Sans CJK SC"/>
        <family val="2"/>
      </rPr>
      <t xml:space="preserve">南京市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常州市</t>
    </r>
  </si>
  <si>
    <t xml:space="preserve">辅助材料</t>
  </si>
  <si>
    <r>
      <rPr>
        <sz val="11"/>
        <color rgb="FF000000"/>
        <rFont val="Noto Sans CJK SC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扬州市</t>
    </r>
  </si>
  <si>
    <t xml:space="preserve">加工费</t>
  </si>
  <si>
    <t xml:space="preserve">加工及工装</t>
  </si>
  <si>
    <r>
      <rPr>
        <sz val="11"/>
        <color rgb="FF000000"/>
        <rFont val="Noto Sans CJK SC"/>
        <family val="2"/>
      </rPr>
      <t xml:space="preserve">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淮安市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宿迁市</t>
    </r>
  </si>
  <si>
    <t xml:space="preserve">工装分摊</t>
  </si>
  <si>
    <t xml:space="preserve">天津市</t>
  </si>
  <si>
    <t xml:space="preserve">运费计算（跨越费率）</t>
  </si>
  <si>
    <t xml:space="preserve">长春市</t>
  </si>
  <si>
    <t xml:space="preserve">利润</t>
  </si>
  <si>
    <t xml:space="preserve">工厂利润</t>
  </si>
  <si>
    <t xml:space="preserve">吉林市</t>
  </si>
  <si>
    <t xml:space="preserve">总成本未税</t>
  </si>
  <si>
    <t xml:space="preserve">自动汇总</t>
  </si>
  <si>
    <r>
      <rPr>
        <sz val="11"/>
        <color rgb="FF000000"/>
        <rFont val="Noto Sans CJK SC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白山市</t>
    </r>
  </si>
  <si>
    <t xml:space="preserve">银川市</t>
  </si>
  <si>
    <t xml:space="preserve">五、自动报价结果</t>
  </si>
  <si>
    <r>
      <rPr>
        <sz val="11"/>
        <color rgb="FF000000"/>
        <rFont val="Noto Sans CJK SC"/>
        <family val="2"/>
      </rPr>
      <t xml:space="preserve">石嘴山市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吴忠市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固原市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中卫市</t>
    </r>
  </si>
  <si>
    <t xml:space="preserve">报价项目</t>
  </si>
  <si>
    <t xml:space="preserve">结果</t>
  </si>
  <si>
    <r>
      <rPr>
        <sz val="11"/>
        <color rgb="FF000000"/>
        <rFont val="Noto Sans CJK SC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廊坊市</t>
    </r>
  </si>
  <si>
    <t xml:space="preserve">目标毛利率</t>
  </si>
  <si>
    <t xml:space="preserve">%</t>
  </si>
  <si>
    <t xml:space="preserve">参数页可改</t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</si>
  <si>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秦皇岛市</t>
    </r>
  </si>
  <si>
    <t xml:space="preserve">建议报价未税</t>
  </si>
  <si>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Noto Sans CJK SC"/>
        <family val="2"/>
      </rPr>
      <t xml:space="preserve">毛利率</t>
    </r>
    <r>
      <rPr>
        <i val="true"/>
        <sz val="10"/>
        <color rgb="FF80808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</si>
  <si>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</si>
  <si>
    <t xml:space="preserve">税率</t>
  </si>
  <si>
    <r>
      <rPr>
        <sz val="11"/>
        <color rgb="FF000000"/>
        <rFont val="Noto Sans CJK SC"/>
        <family val="2"/>
      </rPr>
      <t xml:space="preserve">开封市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郑州市</t>
    </r>
  </si>
  <si>
    <t xml:space="preserve">建议报价含税</t>
  </si>
  <si>
    <r>
      <rPr>
        <i val="true"/>
        <sz val="10"/>
        <color rgb="FF808080"/>
        <rFont val="Noto Sans CJK SC"/>
        <family val="2"/>
      </rPr>
      <t xml:space="preserve">未税价</t>
    </r>
    <r>
      <rPr>
        <i val="true"/>
        <sz val="10"/>
        <color rgb="FF808080"/>
        <rFont val="微软雅黑"/>
        <family val="2"/>
        <charset val="1"/>
      </rPr>
      <t xml:space="preserve">×(1+</t>
    </r>
    <r>
      <rPr>
        <i val="true"/>
        <sz val="10"/>
        <color rgb="FF808080"/>
        <rFont val="Noto Sans CJK SC"/>
        <family val="2"/>
      </rPr>
      <t xml:space="preserve">税率</t>
    </r>
    <r>
      <rPr>
        <i val="true"/>
        <sz val="10"/>
        <color rgb="FF80808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</si>
  <si>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新乡市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许昌市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洛阳市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鹤壁市</t>
    </r>
  </si>
  <si>
    <t xml:space="preserve">客户目标价</t>
  </si>
  <si>
    <t xml:space="preserve">手工填写</t>
  </si>
  <si>
    <r>
      <rPr>
        <sz val="11"/>
        <color rgb="FF000000"/>
        <rFont val="Noto Sans CJK SC"/>
        <family val="2"/>
      </rPr>
      <t xml:space="preserve">商丘市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平顶山市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焦作市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济源市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濮阳市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周口市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漯河市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驻马店市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三门峡市</t>
    </r>
  </si>
  <si>
    <t xml:space="preserve">目标价差异</t>
  </si>
  <si>
    <r>
      <rPr>
        <i val="true"/>
        <sz val="10"/>
        <color rgb="FF808080"/>
        <rFont val="Noto Sans CJK SC"/>
        <family val="2"/>
      </rPr>
      <t xml:space="preserve">建议价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Noto Sans CJK SC"/>
        <family val="2"/>
      </rPr>
      <t xml:space="preserve">目标价</t>
    </r>
  </si>
  <si>
    <r>
      <rPr>
        <sz val="11"/>
        <color rgb="FF000000"/>
        <rFont val="Noto Sans CJK SC"/>
        <family val="2"/>
      </rPr>
      <t xml:space="preserve">崇左市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南宁市</t>
    </r>
  </si>
  <si>
    <t xml:space="preserve">报价毛利率</t>
  </si>
  <si>
    <t xml:space="preserve">自动计算</t>
  </si>
  <si>
    <r>
      <rPr>
        <sz val="11"/>
        <color rgb="FF000000"/>
        <rFont val="Noto Sans CJK SC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来宾市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桂林市</t>
    </r>
  </si>
  <si>
    <t xml:space="preserve">年销售额未税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</si>
  <si>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</si>
  <si>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1"/>
        <color rgb="FF000000"/>
        <rFont val="Noto Sans CJK SC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贺州市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百色市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河池市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北海市</t>
    </r>
  </si>
  <si>
    <t xml:space="preserve">年毛利额</t>
  </si>
  <si>
    <r>
      <rPr>
        <sz val="11"/>
        <color rgb="FF000000"/>
        <rFont val="Noto Sans CJK SC"/>
        <family val="2"/>
      </rPr>
      <t xml:space="preserve">屯昌县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五指山市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白沙黎族自治县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东方市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琼中黎族苗族自治县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定安县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临高县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陵水黎族自治县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文昌市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万宁市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乐东黎族自治县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琼海市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澄迈县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昌江黎族自治县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儋州市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三沙市</t>
    </r>
  </si>
  <si>
    <t xml:space="preserve">上海市</t>
  </si>
  <si>
    <t xml:space="preserve">六、风险检查</t>
  </si>
  <si>
    <t xml:space="preserve">南昌市</t>
  </si>
  <si>
    <t xml:space="preserve">客供料数量</t>
  </si>
  <si>
    <t xml:space="preserve">项</t>
  </si>
  <si>
    <r>
      <rPr>
        <sz val="11"/>
        <color rgb="FF000000"/>
        <rFont val="Noto Sans CJK SC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赣州市</t>
    </r>
  </si>
  <si>
    <t xml:space="preserve">新物料待报价</t>
  </si>
  <si>
    <r>
      <rPr>
        <sz val="11"/>
        <color rgb="FF000000"/>
        <rFont val="Noto Sans CJK SC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景德镇市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萍乡市</t>
    </r>
  </si>
  <si>
    <t xml:space="preserve">昆明市</t>
  </si>
  <si>
    <r>
      <rPr>
        <sz val="11"/>
        <color rgb="FF000000"/>
        <rFont val="Noto Sans CJK SC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楚雄彝族自治州</t>
    </r>
  </si>
  <si>
    <r>
      <rPr>
        <sz val="11"/>
        <color rgb="FF000000"/>
        <rFont val="Noto Sans CJK SC"/>
        <family val="2"/>
      </rPr>
      <t xml:space="preserve">西双版纳傣族自治州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德宏傣族景颇族自治州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昭通市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文山壮族苗族自治州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普洱市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临沧市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怒江傈僳族自治州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迪庆藏族自治州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丽江市</t>
    </r>
  </si>
  <si>
    <t xml:space="preserve">兰州市</t>
  </si>
  <si>
    <r>
      <rPr>
        <sz val="11"/>
        <color rgb="FF000000"/>
        <rFont val="Noto Sans CJK SC"/>
        <family val="2"/>
      </rPr>
      <t xml:space="preserve">临夏回族自治州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定西市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平凉市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庆阳市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金昌市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武威市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嘉峪关市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酒泉市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陇南市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甘南藏族自治州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白银市</t>
    </r>
  </si>
  <si>
    <r>
      <rPr>
        <sz val="11"/>
        <color rgb="FF000000"/>
        <rFont val="Noto Sans CJK SC"/>
        <family val="2"/>
      </rPr>
      <t xml:space="preserve">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咸阳市</t>
    </r>
  </si>
  <si>
    <r>
      <rPr>
        <sz val="11"/>
        <color rgb="FF000000"/>
        <rFont val="Noto Sans CJK SC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铜川市</t>
    </r>
  </si>
  <si>
    <r>
      <rPr>
        <sz val="11"/>
        <color rgb="FF000000"/>
        <rFont val="Noto Sans CJK SC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榆林市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汉中市</t>
    </r>
  </si>
  <si>
    <r>
      <rPr>
        <sz val="11"/>
        <color rgb="FF000000"/>
        <rFont val="Noto Sans CJK SC"/>
        <family val="2"/>
      </rPr>
      <t xml:space="preserve">杭州市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嘉兴市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宁波市</t>
    </r>
  </si>
  <si>
    <r>
      <rPr>
        <sz val="11"/>
        <color rgb="FF000000"/>
        <rFont val="Noto Sans CJK SC"/>
        <family val="2"/>
      </rPr>
      <t xml:space="preserve">湖州市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绍兴市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金华市</t>
    </r>
  </si>
  <si>
    <r>
      <rPr>
        <sz val="11"/>
        <color rgb="FF000000"/>
        <rFont val="Noto Sans CJK SC"/>
        <family val="2"/>
      </rPr>
      <t xml:space="preserve">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温州市</t>
    </r>
  </si>
  <si>
    <r>
      <rPr>
        <sz val="11"/>
        <color rgb="FF000000"/>
        <rFont val="Noto Sans CJK SC"/>
        <family val="2"/>
      </rPr>
      <t xml:space="preserve">衢州市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丽水市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舟山市</t>
    </r>
  </si>
  <si>
    <t xml:space="preserve">呼和浩特市</t>
  </si>
  <si>
    <t xml:space="preserve">包头市</t>
  </si>
  <si>
    <r>
      <rPr>
        <sz val="11"/>
        <color rgb="FF000000"/>
        <rFont val="Noto Sans CJK SC"/>
        <family val="2"/>
      </rPr>
      <t xml:space="preserve">呼伦贝尔市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乌海市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乌兰察布市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赤峰市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鄂尔多斯市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巴彦淖尔市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锡林郭勒盟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兴安盟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阿拉善盟</t>
    </r>
  </si>
  <si>
    <t xml:space="preserve">西宁市</t>
  </si>
  <si>
    <r>
      <rPr>
        <sz val="11"/>
        <color rgb="FF000000"/>
        <rFont val="Noto Sans CJK SC"/>
        <family val="2"/>
      </rPr>
      <t xml:space="preserve">海北藏族自治州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果洛藏族自治州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玉树藏族自治州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海西蒙古族藏族自治州</t>
    </r>
  </si>
  <si>
    <r>
      <rPr>
        <sz val="11"/>
        <color rgb="FF000000"/>
        <rFont val="Noto Sans CJK SC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沈阳市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大连市</t>
    </r>
  </si>
  <si>
    <t xml:space="preserve">鞍山市</t>
  </si>
  <si>
    <r>
      <rPr>
        <sz val="11"/>
        <color rgb="FF000000"/>
        <rFont val="Noto Sans CJK SC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阜新市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盘锦市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葫芦岛市</t>
    </r>
  </si>
  <si>
    <t xml:space="preserve">哈尔滨市</t>
  </si>
  <si>
    <r>
      <rPr>
        <sz val="11"/>
        <color rgb="FF000000"/>
        <rFont val="Noto Sans CJK SC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黑河市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大兴安岭地区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七台河市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鸡西市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鹤岗市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双鸭山市</t>
    </r>
  </si>
  <si>
    <t xml:space="preserve">北京市</t>
  </si>
  <si>
    <r>
      <rPr>
        <sz val="11"/>
        <color rgb="FF000000"/>
        <rFont val="Noto Sans CJK SC"/>
        <family val="2"/>
      </rPr>
      <t xml:space="preserve">太原市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晋中市</t>
    </r>
  </si>
  <si>
    <r>
      <rPr>
        <sz val="11"/>
        <color rgb="FF000000"/>
        <rFont val="Noto Sans CJK SC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运城市</t>
    </r>
  </si>
  <si>
    <r>
      <rPr>
        <sz val="11"/>
        <color rgb="FF000000"/>
        <rFont val="Noto Sans CJK SC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桂林市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北海市</t>
    </r>
  </si>
  <si>
    <t xml:space="preserve">厦门市</t>
  </si>
  <si>
    <r>
      <rPr>
        <sz val="11"/>
        <color rgb="FF000000"/>
        <rFont val="Noto Sans CJK SC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泉州市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龙岩市</t>
    </r>
  </si>
  <si>
    <t xml:space="preserve">福州市</t>
  </si>
  <si>
    <r>
      <rPr>
        <sz val="11"/>
        <color rgb="FF000000"/>
        <rFont val="Noto Sans CJK SC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南平市</t>
    </r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</si>
  <si>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阳泉市</t>
    </r>
  </si>
  <si>
    <r>
      <rPr>
        <sz val="11"/>
        <color rgb="FF000000"/>
        <rFont val="Noto Sans CJK SC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铜仁市</t>
    </r>
  </si>
  <si>
    <t xml:space="preserve">贵阳市</t>
  </si>
  <si>
    <r>
      <rPr>
        <sz val="11"/>
        <color rgb="FF000000"/>
        <rFont val="Noto Sans CJK SC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安顺市</t>
    </r>
  </si>
  <si>
    <r>
      <rPr>
        <sz val="11"/>
        <color rgb="FF000000"/>
        <rFont val="Noto Sans CJK SC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赣州市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景德镇市</t>
    </r>
  </si>
  <si>
    <t xml:space="preserve">武汉市</t>
  </si>
  <si>
    <r>
      <rPr>
        <sz val="11"/>
        <color rgb="FF000000"/>
        <rFont val="Noto Sans CJK SC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荆门市</t>
    </r>
  </si>
  <si>
    <r>
      <rPr>
        <sz val="11"/>
        <color rgb="FF000000"/>
        <rFont val="Noto Sans CJK SC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天门市</t>
    </r>
  </si>
  <si>
    <t xml:space="preserve">滁州市</t>
  </si>
  <si>
    <r>
      <rPr>
        <sz val="11"/>
        <color rgb="FF000000"/>
        <rFont val="Noto Sans CJK SC"/>
        <family val="2"/>
      </rPr>
      <t xml:space="preserve">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广元市</t>
    </r>
  </si>
  <si>
    <r>
      <rPr>
        <sz val="11"/>
        <color rgb="FF000000"/>
        <rFont val="Noto Sans CJK SC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内江市</t>
    </r>
  </si>
  <si>
    <t xml:space="preserve">盐城市</t>
  </si>
  <si>
    <t xml:space="preserve">无锡市</t>
  </si>
  <si>
    <t xml:space="preserve">南京市</t>
  </si>
  <si>
    <t xml:space="preserve">淮安市</t>
  </si>
  <si>
    <r>
      <rPr>
        <sz val="11"/>
        <color rgb="FF000000"/>
        <rFont val="Noto Sans CJK SC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宿迁市</t>
    </r>
  </si>
  <si>
    <t xml:space="preserve">南通市</t>
  </si>
  <si>
    <r>
      <rPr>
        <sz val="11"/>
        <color rgb="FF000000"/>
        <rFont val="Noto Sans CJK SC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铁岭市</t>
    </r>
  </si>
  <si>
    <t xml:space="preserve">沈阳市</t>
  </si>
  <si>
    <r>
      <rPr>
        <sz val="11"/>
        <color rgb="FF000000"/>
        <rFont val="Noto Sans CJK SC"/>
        <family val="2"/>
      </rPr>
      <t xml:space="preserve">鞍山市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盘锦市</t>
    </r>
  </si>
  <si>
    <t xml:space="preserve">大连市</t>
  </si>
  <si>
    <r>
      <rPr>
        <sz val="11"/>
        <color rgb="FF000000"/>
        <rFont val="Noto Sans CJK SC"/>
        <family val="2"/>
      </rPr>
      <t xml:space="preserve">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汉中市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天水市</t>
    </r>
  </si>
  <si>
    <r>
      <rPr>
        <sz val="11"/>
        <color rgb="FF000000"/>
        <rFont val="Noto Sans CJK SC"/>
        <family val="2"/>
      </rPr>
      <t xml:space="preserve">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白山市</t>
    </r>
  </si>
  <si>
    <r>
      <rPr>
        <sz val="11"/>
        <color rgb="FF000000"/>
        <rFont val="Noto Sans CJK SC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鸡西市</t>
    </r>
  </si>
  <si>
    <r>
      <rPr>
        <sz val="11"/>
        <color rgb="FF000000"/>
        <rFont val="Noto Sans CJK SC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榆林市</t>
    </r>
  </si>
  <si>
    <t xml:space="preserve">石家庄市</t>
  </si>
  <si>
    <r>
      <rPr>
        <sz val="11"/>
        <color rgb="FF000000"/>
        <rFont val="Noto Sans CJK SC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益阳市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萍乡市</t>
    </r>
  </si>
  <si>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盐城市</t>
    </r>
  </si>
  <si>
    <r>
      <rPr>
        <sz val="11"/>
        <color rgb="FF000000"/>
        <rFont val="Noto Sans CJK SC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来宾市</t>
    </r>
  </si>
  <si>
    <r>
      <rPr>
        <sz val="11"/>
        <color rgb="FF000000"/>
        <rFont val="Noto Sans CJK SC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楚雄彝族自治州</t>
    </r>
  </si>
  <si>
    <r>
      <rPr>
        <sz val="11"/>
        <color rgb="FF000000"/>
        <rFont val="Noto Sans CJK SC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六盘水市</t>
    </r>
  </si>
  <si>
    <r>
      <rPr>
        <sz val="11"/>
        <color rgb="FF000000"/>
        <rFont val="Noto Sans CJK SC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扬州市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泰州市</t>
    </r>
  </si>
  <si>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盐城市</t>
    </r>
  </si>
  <si>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常州市</t>
    </r>
  </si>
  <si>
    <t xml:space="preserve">廊坊市</t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</si>
  <si>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秦皇岛市</t>
    </r>
  </si>
  <si>
    <t xml:space="preserve">序号</t>
  </si>
  <si>
    <t xml:space="preserve">物料分类</t>
  </si>
  <si>
    <t xml:space="preserve">物料编码</t>
  </si>
  <si>
    <t xml:space="preserve">物料名称规格</t>
  </si>
  <si>
    <t xml:space="preserve">单机用量</t>
  </si>
  <si>
    <t xml:space="preserve">未税单价</t>
  </si>
  <si>
    <t xml:space="preserve">损耗率</t>
  </si>
  <si>
    <t xml:space="preserve">是否客供</t>
  </si>
  <si>
    <t xml:space="preserve">硬件</t>
  </si>
  <si>
    <t xml:space="preserve">IC001</t>
  </si>
  <si>
    <t xml:space="preserve">电源管理IC TO252</t>
  </si>
  <si>
    <t xml:space="preserve">R001</t>
  </si>
  <si>
    <t xml:space="preserve">片式电阻04021kΩ</t>
  </si>
  <si>
    <t xml:space="preserve">PKG001</t>
  </si>
  <si>
    <t xml:space="preserve">纸箱670×387×406</t>
  </si>
  <si>
    <t xml:space="preserve">客供料</t>
  </si>
  <si>
    <t xml:space="preserve">CUST001</t>
  </si>
  <si>
    <t xml:space="preserve">客户提供物料</t>
  </si>
  <si>
    <t xml:space="preserve">是</t>
  </si>
  <si>
    <t xml:space="preserve">客供不计入报价</t>
  </si>
  <si>
    <t xml:space="preserve">加工费及工装治具</t>
  </si>
  <si>
    <t xml:space="preserve">一、加工费</t>
  </si>
  <si>
    <t xml:space="preserve">类型</t>
  </si>
  <si>
    <t xml:space="preserve">工序名称</t>
  </si>
  <si>
    <t xml:space="preserve">数量/点数</t>
  </si>
  <si>
    <t xml:space="preserve">单价</t>
  </si>
  <si>
    <t xml:space="preserve">确认</t>
  </si>
  <si>
    <t xml:space="preserve">费用</t>
  </si>
  <si>
    <t xml:space="preserve">内部成本</t>
  </si>
  <si>
    <t xml:space="preserve">差异</t>
  </si>
  <si>
    <t xml:space="preserve">SMT</t>
  </si>
  <si>
    <t xml:space="preserve">0402/0603贴片</t>
  </si>
  <si>
    <t xml:space="preserve">AI</t>
  </si>
  <si>
    <t xml:space="preserve">机插</t>
  </si>
  <si>
    <t xml:space="preserve">DIP</t>
  </si>
  <si>
    <t xml:space="preserve">DIP焊接</t>
  </si>
  <si>
    <t xml:space="preserve">组装</t>
  </si>
  <si>
    <t xml:space="preserve">装配人工</t>
  </si>
  <si>
    <t xml:space="preserve">测试</t>
  </si>
  <si>
    <t xml:space="preserve">FCT/ICT</t>
  </si>
  <si>
    <t xml:space="preserve">包装</t>
  </si>
  <si>
    <t xml:space="preserve">包装人工</t>
  </si>
  <si>
    <t xml:space="preserve">物流</t>
  </si>
  <si>
    <t xml:space="preserve">物流费用</t>
  </si>
  <si>
    <t xml:space="preserve">加工费小计</t>
  </si>
  <si>
    <t xml:space="preserve">二、工装治具</t>
  </si>
  <si>
    <t xml:space="preserve">治具名称</t>
  </si>
  <si>
    <t xml:space="preserve">数量</t>
  </si>
  <si>
    <t xml:space="preserve">总价</t>
  </si>
  <si>
    <t xml:space="preserve">分摊数量</t>
  </si>
  <si>
    <t xml:space="preserve">单台分摊</t>
  </si>
  <si>
    <t xml:space="preserve">钢网</t>
  </si>
  <si>
    <t xml:space="preserve">SMT钢网</t>
  </si>
  <si>
    <t xml:space="preserve">测试工装</t>
  </si>
  <si>
    <t xml:space="preserve">FCT测试工装</t>
  </si>
  <si>
    <t xml:space="preserve">模具</t>
  </si>
  <si>
    <t xml:space="preserve">注塑模具</t>
  </si>
  <si>
    <t xml:space="preserve">其他</t>
  </si>
  <si>
    <t xml:space="preserve">其他一次性费用</t>
  </si>
  <si>
    <t xml:space="preserve">参数设置</t>
  </si>
  <si>
    <t xml:space="preserve">参数项</t>
  </si>
  <si>
    <t xml:space="preserve">参数值</t>
  </si>
  <si>
    <t xml:space="preserve">说明</t>
  </si>
  <si>
    <t xml:space="preserve">增值税率，默认13%</t>
  </si>
  <si>
    <t xml:space="preserve">报价目标毛利率</t>
  </si>
  <si>
    <t xml:space="preserve">默认损耗率</t>
  </si>
  <si>
    <t xml:space="preserve">物料未填损耗率时使用</t>
  </si>
  <si>
    <t xml:space="preserve">默认分摊数量</t>
  </si>
  <si>
    <t xml:space="preserve">工装治具费用默认分摊数量</t>
  </si>
  <si>
    <t xml:space="preserve">二、包装与整托参数</t>
  </si>
  <si>
    <t xml:space="preserve">防静电气泡袋单价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</si>
  <si>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</si>
  <si>
    <t xml:space="preserve">气泡袋单边余量</t>
  </si>
  <si>
    <t xml:space="preserve">mm</t>
  </si>
  <si>
    <t xml:space="preserve">干燥剂单价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</si>
  <si>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袋</t>
    </r>
  </si>
  <si>
    <t xml:space="preserve">湿度指示卡单价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</si>
  <si>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</si>
  <si>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珍珠棉单价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</si>
  <si>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/m³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</si>
  <si>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珍珠棉密度</t>
    </r>
  </si>
  <si>
    <t xml:space="preserve">kg/m³</t>
  </si>
  <si>
    <r>
      <rPr>
        <sz val="10"/>
        <color rgb="FF000000"/>
        <rFont val="Noto Sans CJK SC"/>
        <family val="2"/>
      </rPr>
      <t xml:space="preserve">单瓦楞</t>
    </r>
    <r>
      <rPr>
        <sz val="10"/>
        <color rgb="FF000000"/>
        <rFont val="微软雅黑"/>
        <family val="2"/>
        <charset val="1"/>
      </rPr>
      <t xml:space="preserve">3</t>
    </r>
    <r>
      <rPr>
        <sz val="10"/>
        <color rgb="FF000000"/>
        <rFont val="Noto Sans CJK SC"/>
        <family val="2"/>
      </rPr>
      <t xml:space="preserve">层纸板</t>
    </r>
  </si>
  <si>
    <r>
      <rPr>
        <sz val="10"/>
        <color rgb="FF000000"/>
        <rFont val="Noto Sans CJK SC"/>
        <family val="2"/>
      </rPr>
      <t xml:space="preserve">双瓦楞</t>
    </r>
    <r>
      <rPr>
        <sz val="10"/>
        <color rgb="FF000000"/>
        <rFont val="微软雅黑"/>
        <family val="2"/>
        <charset val="1"/>
      </rPr>
      <t xml:space="preserve">5</t>
    </r>
    <r>
      <rPr>
        <sz val="10"/>
        <color rgb="FF000000"/>
        <rFont val="Noto Sans CJK SC"/>
        <family val="2"/>
      </rPr>
      <t xml:space="preserve">层纸板</t>
    </r>
  </si>
  <si>
    <r>
      <rPr>
        <sz val="10"/>
        <color rgb="FF000000"/>
        <rFont val="Noto Sans CJK SC"/>
        <family val="2"/>
      </rPr>
      <t xml:space="preserve">重型</t>
    </r>
    <r>
      <rPr>
        <sz val="10"/>
        <color rgb="FF000000"/>
        <rFont val="微软雅黑"/>
        <family val="2"/>
        <charset val="1"/>
      </rPr>
      <t xml:space="preserve">7</t>
    </r>
    <r>
      <rPr>
        <sz val="10"/>
        <color rgb="FF000000"/>
        <rFont val="Noto Sans CJK SC"/>
        <family val="2"/>
      </rPr>
      <t xml:space="preserve">层纸板</t>
    </r>
  </si>
  <si>
    <t xml:space="preserve">双瓦楞纸板克重</t>
  </si>
  <si>
    <r>
      <rPr>
        <sz val="10"/>
        <color rgb="FF000000"/>
        <rFont val="微软雅黑"/>
        <family val="2"/>
        <charset val="1"/>
      </rPr>
      <t xml:space="preserve">g/</t>
    </r>
    <r>
      <rPr>
        <sz val="10"/>
        <color rgb="FF000000"/>
        <rFont val="Noto Sans CJK SC"/>
        <family val="2"/>
      </rPr>
      <t xml:space="preserve">㎡</t>
    </r>
  </si>
  <si>
    <t xml:space="preserve">纸箱制箱加工费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</si>
  <si>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个</t>
    </r>
  </si>
  <si>
    <t xml:space="preserve">材料损耗率</t>
  </si>
  <si>
    <t xml:space="preserve">比例</t>
  </si>
  <si>
    <t xml:space="preserve">箱内装配间隙</t>
  </si>
  <si>
    <t xml:space="preserve">封箱胶带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</si>
  <si>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</si>
  <si>
    <t xml:space="preserve">标签</t>
  </si>
  <si>
    <t xml:space="preserve">托盘单价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</si>
  <si>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</si>
  <si>
    <t xml:space="preserve">托盘重复使用次数</t>
  </si>
  <si>
    <t xml:space="preserve">次</t>
  </si>
  <si>
    <t xml:space="preserve">缠绕膜单价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</si>
  <si>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/kg</t>
    </r>
  </si>
  <si>
    <t xml:space="preserve">缠绕膜用量</t>
  </si>
  <si>
    <r>
      <rPr>
        <sz val="10"/>
        <color rgb="FF000000"/>
        <rFont val="微软雅黑"/>
        <family val="2"/>
        <charset val="1"/>
      </rPr>
      <t xml:space="preserve">kg/</t>
    </r>
    <r>
      <rPr>
        <sz val="10"/>
        <color rgb="FF000000"/>
        <rFont val="Noto Sans CJK SC"/>
        <family val="2"/>
      </rPr>
      <t xml:space="preserve">托</t>
    </r>
  </si>
  <si>
    <t xml:space="preserve">护角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</si>
  <si>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套</t>
    </r>
  </si>
  <si>
    <t xml:space="preserve">打包带</t>
  </si>
  <si>
    <t xml:space="preserve">托盘有效面积</t>
  </si>
  <si>
    <t xml:space="preserve">㎡</t>
  </si>
  <si>
    <t xml:space="preserve">每托层数</t>
  </si>
  <si>
    <t xml:space="preserve">层</t>
  </si>
  <si>
    <t xml:space="preserve">三、物流参数</t>
  </si>
  <si>
    <t xml:space="preserve">体积重系数</t>
  </si>
  <si>
    <r>
      <rPr>
        <i val="true"/>
        <sz val="10"/>
        <color rgb="FF808080"/>
        <rFont val="Noto Sans CJK SC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/kg</t>
    </r>
  </si>
  <si>
    <t xml:space="preserve">保费费率</t>
  </si>
  <si>
    <r>
      <rPr>
        <i val="true"/>
        <sz val="10"/>
        <color rgb="FF808080"/>
        <rFont val="Noto Sans CJK SC"/>
        <family val="2"/>
      </rPr>
      <t xml:space="preserve">‰即</t>
    </r>
    <r>
      <rPr>
        <i val="true"/>
        <sz val="10"/>
        <color rgb="FF808080"/>
        <rFont val="微软雅黑"/>
        <family val="2"/>
        <charset val="1"/>
      </rPr>
      <t xml:space="preserve">0.4%</t>
    </r>
  </si>
  <si>
    <t xml:space="preserve">保费最低收费</t>
  </si>
  <si>
    <r>
      <rPr>
        <i val="true"/>
        <sz val="10"/>
        <color rgb="FF808080"/>
        <rFont val="Noto Sans CJK SC"/>
        <family val="2"/>
      </rPr>
      <t xml:space="preserve">元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票</t>
    </r>
  </si>
  <si>
    <t xml:space="preserve">是否计保费</t>
  </si>
  <si>
    <r>
      <rPr>
        <i val="true"/>
        <sz val="10"/>
        <color rgb="FF808080"/>
        <rFont val="Noto Sans CJK SC"/>
        <family val="2"/>
      </rPr>
      <t xml:space="preserve">是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否</t>
    </r>
  </si>
  <si>
    <r>
      <rPr>
        <b val="true"/>
        <sz val="10"/>
        <color rgb="FFFFFFFF"/>
        <rFont val="Noto Sans CJK SC"/>
        <family val="2"/>
      </rPr>
      <t xml:space="preserve">四、包装方案参数（小板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大板）</t>
    </r>
  </si>
  <si>
    <t xml:space="preserve">防静电气泡袋克重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</si>
  <si>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Noto Sans CJK SC"/>
        <family val="2"/>
      </rPr>
      <t xml:space="preserve">㎡</t>
    </r>
  </si>
  <si>
    <t xml:space="preserve">气泡袋面密度</t>
  </si>
  <si>
    <t xml:space="preserve">隔板单价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</si>
  <si>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</si>
  <si>
    <t xml:space="preserve">小板每件隔板</t>
  </si>
  <si>
    <t xml:space="preserve">隔板克重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</si>
  <si>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Noto Sans CJK SC"/>
        <family val="2"/>
      </rPr>
      <t xml:space="preserve">件</t>
    </r>
  </si>
  <si>
    <t xml:space="preserve">小板隔板重量</t>
  </si>
  <si>
    <t xml:space="preserve">包装费计算（自动，按包装方案清单）</t>
  </si>
  <si>
    <t xml:space="preserve">一、输入（自动取自报价汇总）</t>
  </si>
  <si>
    <r>
      <rPr>
        <sz val="10"/>
        <color rgb="FF000000"/>
        <rFont val="Noto Sans CJK SC"/>
        <family val="2"/>
      </rPr>
      <t xml:space="preserve">成品长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</si>
  <si>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成品宽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</si>
  <si>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成品高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</si>
  <si>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每箱件数</t>
    </r>
    <r>
      <rPr>
        <sz val="10"/>
        <color rgb="FF000000"/>
        <rFont val="微软雅黑"/>
        <family val="0"/>
        <charset val="1"/>
      </rPr>
      <t xml:space="preserve">N</t>
    </r>
  </si>
  <si>
    <t xml:space="preserve">是否含整托</t>
  </si>
  <si>
    <r>
      <rPr>
        <sz val="10"/>
        <color rgb="FF000000"/>
        <rFont val="Noto Sans CJK SC"/>
        <family val="2"/>
      </rPr>
      <t xml:space="preserve">包装方案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自动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</si>
  <si>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二、包装几何（自动）</t>
  </si>
  <si>
    <r>
      <rPr>
        <sz val="10"/>
        <color rgb="FF000000"/>
        <rFont val="Noto Sans CJK SC"/>
        <family val="2"/>
      </rPr>
      <t xml:space="preserve">成品最大边长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</si>
  <si>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缓冲厚度</t>
    </r>
    <r>
      <rPr>
        <sz val="10"/>
        <color rgb="FF000000"/>
        <rFont val="微软雅黑"/>
        <family val="0"/>
        <charset val="1"/>
      </rPr>
      <t xml:space="preserve">t(mm)</t>
    </r>
  </si>
  <si>
    <r>
      <rPr>
        <sz val="10"/>
        <color rgb="FF000000"/>
        <rFont val="Noto Sans CJK SC"/>
        <family val="2"/>
      </rPr>
      <t xml:space="preserve">箱内长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</si>
  <si>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箱内宽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</si>
  <si>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箱内高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</si>
  <si>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单箱体积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㎝³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</si>
  <si>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三、内包装材料费（单件）</t>
  </si>
  <si>
    <r>
      <rPr>
        <sz val="10"/>
        <color rgb="FF000000"/>
        <rFont val="Noto Sans CJK SC"/>
        <family val="2"/>
      </rPr>
      <t xml:space="preserve">气泡袋长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</si>
  <si>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气泡袋宽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</si>
  <si>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气泡袋面积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</si>
  <si>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气泡袋费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</si>
  <si>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隔板费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</si>
  <si>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㎥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</si>
  <si>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</si>
  <si>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内包材料费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</si>
  <si>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纸箱用纸面积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</si>
  <si>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t xml:space="preserve">瓦楞类型</t>
  </si>
  <si>
    <r>
      <rPr>
        <sz val="10"/>
        <color rgb="FF000000"/>
        <rFont val="Noto Sans CJK SC"/>
        <family val="2"/>
      </rPr>
      <t xml:space="preserve">纸板单价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</si>
  <si>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</si>
  <si>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</si>
  <si>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辅料费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</si>
  <si>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Noto Sans CJK SC"/>
        <family val="2"/>
      </rPr>
      <t xml:space="preserve">内包装单件费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</si>
  <si>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四、整托分摊（可选，勾选含整托生效）</t>
  </si>
  <si>
    <r>
      <rPr>
        <sz val="10"/>
        <color rgb="FF000000"/>
        <rFont val="Noto Sans CJK SC"/>
        <family val="2"/>
      </rPr>
      <t xml:space="preserve">每箱占地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</si>
  <si>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每托件数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</si>
  <si>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每托包装费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</si>
  <si>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整托分摊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</si>
  <si>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包装增重</t>
    </r>
    <r>
      <rPr>
        <sz val="10"/>
        <color rgb="FF000000"/>
        <rFont val="微软雅黑"/>
        <family val="0"/>
        <charset val="1"/>
      </rPr>
      <t xml:space="preserve">(kg/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</si>
  <si>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Noto Sans CJK SC"/>
        <family val="2"/>
      </rPr>
      <t xml:space="preserve">包装费合计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Noto Sans CJK SC"/>
        <family val="2"/>
      </rPr>
      <t xml:space="preserve">件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</si>
  <si>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五、包装方案清单对照（√</t>
    </r>
    <r>
      <rPr>
        <b val="true"/>
        <sz val="10"/>
        <color rgb="FFFFFFFF"/>
        <rFont val="微软雅黑"/>
        <family val="0"/>
        <charset val="1"/>
      </rPr>
      <t xml:space="preserve">=</t>
    </r>
    <r>
      <rPr>
        <b val="true"/>
        <sz val="10"/>
        <color rgb="FFFFFFFF"/>
        <rFont val="Noto Sans CJK SC"/>
        <family val="2"/>
      </rPr>
      <t xml:space="preserve">该方案包含）</t>
    </r>
  </si>
  <si>
    <t xml:space="preserve">包装物料</t>
  </si>
  <si>
    <r>
      <rPr>
        <b val="true"/>
        <sz val="10"/>
        <color rgb="FFFFFFFF"/>
        <rFont val="Noto Sans CJK SC"/>
        <family val="2"/>
      </rPr>
      <t xml:space="preserve">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</si>
  <si>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小板</t>
  </si>
  <si>
    <t xml:space="preserve">大板</t>
  </si>
  <si>
    <t xml:space="preserve">防静电气泡袋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</si>
  <si>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</si>
  <si>
    <t xml:space="preserve">√</t>
  </si>
  <si>
    <t xml:space="preserve">—</t>
  </si>
  <si>
    <t xml:space="preserve">隔板</t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</si>
  <si>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</si>
  <si>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/m³</t>
    </r>
  </si>
  <si>
    <t xml:space="preserve">纸箱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</si>
  <si>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</si>
  <si>
    <r>
      <rPr>
        <sz val="10"/>
        <color rgb="FF000000"/>
        <rFont val="Noto Sans CJK SC"/>
        <family val="2"/>
      </rPr>
      <t xml:space="preserve">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瓦楞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</si>
  <si>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套</t>
    </r>
  </si>
  <si>
    <t xml:space="preserve">托盘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</si>
  <si>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</si>
  <si>
    <t xml:space="preserve">缠绕膜</t>
  </si>
  <si>
    <r>
      <rPr>
        <sz val="10"/>
        <color rgb="FF000000"/>
        <rFont val="Noto Sans CJK SC"/>
        <family val="2"/>
      </rPr>
      <t xml:space="preserve">口径：气泡袋按袋面积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单价；隔板</t>
    </r>
    <r>
      <rPr>
        <sz val="10"/>
        <color rgb="FF000000"/>
        <rFont val="微软雅黑"/>
        <family val="0"/>
        <charset val="1"/>
      </rPr>
      <t xml:space="preserve">=(N-1)/N×</t>
    </r>
    <r>
      <rPr>
        <sz val="10"/>
        <color rgb="FF000000"/>
        <rFont val="Noto Sans CJK SC"/>
        <family val="2"/>
      </rPr>
      <t xml:space="preserve">单价；</t>
    </r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按体积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单价；纸箱按面积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</t>
    </r>
    <r>
      <rPr>
        <sz val="10"/>
        <color rgb="FF000000"/>
        <rFont val="微软雅黑"/>
        <family val="0"/>
        <charset val="1"/>
      </rPr>
      <t xml:space="preserve">÷N</t>
    </r>
    <r>
      <rPr>
        <sz val="10"/>
        <color rgb="FF000000"/>
        <rFont val="Noto Sans CJK SC"/>
        <family val="2"/>
      </rPr>
      <t xml:space="preserve">；护角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托盘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缠绕膜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打包带按整托费用</t>
    </r>
    <r>
      <rPr>
        <sz val="10"/>
        <color rgb="FF000000"/>
        <rFont val="微软雅黑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每托件数。</t>
    </r>
  </si>
  <si>
    <r>
      <rPr>
        <b val="true"/>
        <sz val="10"/>
        <color rgb="FFFFFFFF"/>
        <rFont val="Noto Sans CJK SC"/>
        <family val="2"/>
      </rPr>
      <t xml:space="preserve">六、成品最大边长档位表（自动匹配缓冲厚度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瓦楞）</t>
    </r>
  </si>
  <si>
    <r>
      <rPr>
        <b val="true"/>
        <sz val="10"/>
        <color rgb="FFFFFFFF"/>
        <rFont val="Noto Sans CJK SC"/>
        <family val="2"/>
      </rPr>
      <t xml:space="preserve">下限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</si>
  <si>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Noto Sans CJK SC"/>
        <family val="2"/>
      </rPr>
      <t xml:space="preserve">上限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</si>
  <si>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Noto Sans CJK SC"/>
        <family val="2"/>
      </rPr>
      <t xml:space="preserve">缓冲厚度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</si>
  <si>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t xml:space="preserve">瓦楞</t>
  </si>
  <si>
    <r>
      <rPr>
        <sz val="10"/>
        <color rgb="FF000000"/>
        <rFont val="Noto Sans CJK SC"/>
        <family val="2"/>
      </rPr>
      <t xml:space="preserve">单瓦楞</t>
    </r>
    <r>
      <rPr>
        <sz val="10"/>
        <color rgb="FF000000"/>
        <rFont val="微软雅黑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层</t>
    </r>
  </si>
  <si>
    <r>
      <rPr>
        <sz val="10"/>
        <color rgb="FF000000"/>
        <rFont val="Noto Sans CJK SC"/>
        <family val="2"/>
      </rPr>
      <t xml:space="preserve">双瓦楞</t>
    </r>
    <r>
      <rPr>
        <sz val="10"/>
        <color rgb="FF000000"/>
        <rFont val="微软雅黑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层</t>
    </r>
  </si>
  <si>
    <r>
      <rPr>
        <sz val="10"/>
        <color rgb="FF000000"/>
        <rFont val="Noto Sans CJK SC"/>
        <family val="2"/>
      </rPr>
      <t xml:space="preserve">重型</t>
    </r>
    <r>
      <rPr>
        <sz val="10"/>
        <color rgb="FF000000"/>
        <rFont val="微软雅黑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层</t>
    </r>
  </si>
  <si>
    <t xml:space="preserve">七、瓦楞单价映射</t>
  </si>
  <si>
    <r>
      <rPr>
        <b val="true"/>
        <sz val="10"/>
        <color rgb="FFFFFFFF"/>
        <rFont val="Noto Sans CJK SC"/>
        <family val="2"/>
      </rPr>
      <t xml:space="preserve">纸板单价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</si>
  <si>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2"/>
        <color rgb="FFFFFFFF"/>
        <rFont val="Noto Sans CJK SC"/>
        <family val="2"/>
      </rPr>
      <t xml:space="preserve">跨越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Noto Sans CJK SC"/>
        <family val="2"/>
      </rPr>
      <t xml:space="preserve">运费费率（源自青岛国创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Noto Sans CJK SC"/>
        <family val="2"/>
      </rPr>
      <t xml:space="preserve">报价表，可按需改价）</t>
    </r>
  </si>
  <si>
    <t xml:space="preserve">产品</t>
  </si>
  <si>
    <t xml:space="preserve">目的省份</t>
  </si>
  <si>
    <t xml:space="preserve">首重重量</t>
  </si>
  <si>
    <t xml:space="preserve">首重价格</t>
  </si>
  <si>
    <t xml:space="preserve">起重</t>
  </si>
  <si>
    <t xml:space="preserve">最低收费</t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</si>
  <si>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</si>
  <si>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2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</si>
  <si>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</si>
  <si>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4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</si>
  <si>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5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</si>
  <si>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6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</si>
  <si>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7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</si>
  <si>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8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</si>
  <si>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9</t>
    </r>
    <r>
      <rPr>
        <b val="true"/>
        <sz val="10"/>
        <color rgb="FFFFFFFF"/>
        <rFont val="Noto Sans CJK SC"/>
        <family val="2"/>
      </rPr>
      <t xml:space="preserve">单价</t>
    </r>
  </si>
  <si>
    <t xml:space="preserve">匹配键</t>
  </si>
  <si>
    <t xml:space="preserve">次日达</t>
  </si>
  <si>
    <t xml:space="preserve">福建省</t>
  </si>
  <si>
    <r>
      <rPr>
        <sz val="10"/>
        <color rgb="FF000000"/>
        <rFont val="Noto Sans CJK SC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</si>
  <si>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</si>
  <si>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</si>
  <si>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</si>
  <si>
    <r>
      <rPr>
        <sz val="10"/>
        <color rgb="FF000000"/>
        <rFont val="Noto Sans CJK SC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</si>
  <si>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</si>
  <si>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t xml:space="preserve">西藏自治区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</si>
  <si>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拉萨市</t>
    </r>
  </si>
  <si>
    <r>
      <rPr>
        <sz val="10"/>
        <color rgb="FF000000"/>
        <rFont val="Noto Sans CJK SC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阿里地区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</si>
  <si>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阿里地区</t>
    </r>
  </si>
  <si>
    <t xml:space="preserve">贵州省</t>
  </si>
  <si>
    <r>
      <rPr>
        <sz val="10"/>
        <color rgb="FF000000"/>
        <rFont val="Noto Sans CJK SC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</si>
  <si>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</si>
  <si>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黔西南布依族苗族自治州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</si>
  <si>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黔西南布依族苗族自治州</t>
    </r>
  </si>
  <si>
    <t xml:space="preserve">广东省</t>
  </si>
  <si>
    <r>
      <rPr>
        <sz val="10"/>
        <color rgb="FF000000"/>
        <rFont val="Noto Sans CJK SC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</si>
  <si>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东莞市</t>
    </r>
  </si>
  <si>
    <r>
      <rPr>
        <sz val="10"/>
        <color rgb="FF000000"/>
        <rFont val="Noto Sans CJK SC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</si>
  <si>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</si>
  <si>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潮州市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</si>
  <si>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潮州市</t>
    </r>
  </si>
  <si>
    <t xml:space="preserve">湖北省</t>
  </si>
  <si>
    <r>
      <rPr>
        <sz val="10"/>
        <color rgb="FF000000"/>
        <rFont val="Noto Sans CJK SC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</si>
  <si>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</si>
  <si>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</si>
  <si>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</si>
  <si>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</si>
  <si>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</si>
  <si>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t xml:space="preserve">湖南省</t>
  </si>
  <si>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</si>
  <si>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</si>
  <si>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益阳市</t>
    </r>
  </si>
  <si>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</si>
  <si>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</si>
  <si>
    <t xml:space="preserve">重庆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</si>
  <si>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重庆市</t>
    </r>
  </si>
  <si>
    <t xml:space="preserve">四川省</t>
  </si>
  <si>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</si>
  <si>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</si>
  <si>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绵阳市</t>
    </r>
  </si>
  <si>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</si>
  <si>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</si>
  <si>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阿坝藏族羌族自治州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</si>
  <si>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阿坝藏族羌族自治州</t>
    </r>
  </si>
  <si>
    <t xml:space="preserve">安徽省</t>
  </si>
  <si>
    <r>
      <rPr>
        <sz val="10"/>
        <color rgb="FF000000"/>
        <rFont val="Noto Sans CJK SC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马鞍山市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</si>
  <si>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马鞍山市</t>
    </r>
  </si>
  <si>
    <r>
      <rPr>
        <sz val="10"/>
        <color rgb="FF000000"/>
        <rFont val="Noto Sans CJK SC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六安市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</si>
  <si>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六安市</t>
    </r>
  </si>
  <si>
    <r>
      <rPr>
        <sz val="10"/>
        <color rgb="FF000000"/>
        <rFont val="Noto Sans CJK SC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池州市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</si>
  <si>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池州市</t>
    </r>
  </si>
  <si>
    <t xml:space="preserve">新疆维吾尔自治区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</si>
  <si>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乌鲁木齐市</t>
    </r>
  </si>
  <si>
    <r>
      <rPr>
        <sz val="10"/>
        <color rgb="FF000000"/>
        <rFont val="Noto Sans CJK SC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可克达拉市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</si>
  <si>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可克达拉市</t>
    </r>
  </si>
  <si>
    <t xml:space="preserve">江苏省</t>
  </si>
  <si>
    <r>
      <rPr>
        <sz val="10"/>
        <color rgb="FF000000"/>
        <rFont val="Noto Sans CJK SC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</si>
  <si>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</si>
  <si>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</si>
  <si>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</si>
  <si>
    <r>
      <rPr>
        <sz val="10"/>
        <color rgb="FF000000"/>
        <rFont val="Noto Sans CJK SC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</si>
  <si>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</si>
  <si>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t xml:space="preserve">天津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</si>
  <si>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天津市</t>
    </r>
  </si>
  <si>
    <t xml:space="preserve">吉林省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</si>
  <si>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长春市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</si>
  <si>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吉林市</t>
    </r>
  </si>
  <si>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</si>
  <si>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</si>
  <si>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t xml:space="preserve">宁夏回族自治区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</si>
  <si>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银川市</t>
    </r>
  </si>
  <si>
    <r>
      <rPr>
        <sz val="10"/>
        <color rgb="FF000000"/>
        <rFont val="Noto Sans CJK SC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中卫市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</si>
  <si>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中卫市</t>
    </r>
  </si>
  <si>
    <t xml:space="preserve">河北省</t>
  </si>
  <si>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</si>
  <si>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</si>
  <si>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</si>
  <si>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</si>
  <si>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</si>
  <si>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</si>
  <si>
    <t xml:space="preserve">河南省</t>
  </si>
  <si>
    <r>
      <rPr>
        <sz val="10"/>
        <color rgb="FF000000"/>
        <rFont val="Noto Sans CJK SC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郑州市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</si>
  <si>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郑州市</t>
    </r>
  </si>
  <si>
    <r>
      <rPr>
        <sz val="10"/>
        <color rgb="FF000000"/>
        <rFont val="Noto Sans CJK SC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</si>
  <si>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鹤壁市</t>
    </r>
  </si>
  <si>
    <r>
      <rPr>
        <sz val="10"/>
        <color rgb="FF000000"/>
        <rFont val="Noto Sans CJK SC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三门峡市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</si>
  <si>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三门峡市</t>
    </r>
  </si>
  <si>
    <t xml:space="preserve">广西壮族自治区</t>
  </si>
  <si>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</si>
  <si>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</si>
  <si>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</si>
  <si>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</si>
  <si>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</si>
  <si>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</si>
  <si>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t xml:space="preserve">海南省</t>
  </si>
  <si>
    <r>
      <rPr>
        <sz val="10"/>
        <color rgb="FF000000"/>
        <rFont val="Noto Sans CJK SC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三沙市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</si>
  <si>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三沙市</t>
    </r>
  </si>
  <si>
    <t xml:space="preserve">上海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</si>
  <si>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上海市</t>
    </r>
  </si>
  <si>
    <t xml:space="preserve">江西省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</si>
  <si>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南昌市</t>
    </r>
  </si>
  <si>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</si>
  <si>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</si>
  <si>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</si>
  <si>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</si>
  <si>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t xml:space="preserve">云南省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</si>
  <si>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昆明市</t>
    </r>
  </si>
  <si>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</si>
  <si>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</si>
  <si>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丽江市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</si>
  <si>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丽江市</t>
    </r>
  </si>
  <si>
    <t xml:space="preserve">甘肃省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</si>
  <si>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兰州市</t>
    </r>
  </si>
  <si>
    <r>
      <rPr>
        <sz val="10"/>
        <color rgb="FF000000"/>
        <rFont val="Noto Sans CJK SC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白银市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</si>
  <si>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白银市</t>
    </r>
  </si>
  <si>
    <t xml:space="preserve">陕西省</t>
  </si>
  <si>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</si>
  <si>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</si>
  <si>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</si>
  <si>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</si>
  <si>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</si>
  <si>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</si>
  <si>
    <t xml:space="preserve">浙江省</t>
  </si>
  <si>
    <r>
      <rPr>
        <sz val="10"/>
        <color rgb="FF000000"/>
        <rFont val="Noto Sans CJK SC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宁波市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</si>
  <si>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宁波市</t>
    </r>
  </si>
  <si>
    <r>
      <rPr>
        <sz val="10"/>
        <color rgb="FF000000"/>
        <rFont val="Noto Sans CJK SC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金华市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</si>
  <si>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金华市</t>
    </r>
  </si>
  <si>
    <r>
      <rPr>
        <sz val="10"/>
        <color rgb="FF000000"/>
        <rFont val="Noto Sans CJK SC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温州市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</si>
  <si>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温州市</t>
    </r>
  </si>
  <si>
    <r>
      <rPr>
        <sz val="10"/>
        <color rgb="FF000000"/>
        <rFont val="Noto Sans CJK SC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舟山市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</si>
  <si>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舟山市</t>
    </r>
  </si>
  <si>
    <t xml:space="preserve">内蒙古自治区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</si>
  <si>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呼和浩特市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</si>
  <si>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包头市</t>
    </r>
  </si>
  <si>
    <r>
      <rPr>
        <sz val="10"/>
        <color rgb="FF000000"/>
        <rFont val="Noto Sans CJK SC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阿拉善盟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</si>
  <si>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阿拉善盟</t>
    </r>
  </si>
  <si>
    <t xml:space="preserve">青海省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</si>
  <si>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西宁市</t>
    </r>
  </si>
  <si>
    <r>
      <rPr>
        <sz val="10"/>
        <color rgb="FF000000"/>
        <rFont val="Noto Sans CJK SC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海西蒙古族藏族自治州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</si>
  <si>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海西蒙古族藏族自治州</t>
    </r>
  </si>
  <si>
    <t xml:space="preserve">辽宁省</t>
  </si>
  <si>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</si>
  <si>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</si>
  <si>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鞍山市</t>
    </r>
  </si>
  <si>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葫芦岛市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</si>
  <si>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葫芦岛市</t>
    </r>
  </si>
  <si>
    <t xml:space="preserve">黑龙江省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</si>
  <si>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哈尔滨市</t>
    </r>
  </si>
  <si>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双鸭山市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</si>
  <si>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双鸭山市</t>
    </r>
  </si>
  <si>
    <t xml:space="preserve">北京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</si>
  <si>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北京市</t>
    </r>
  </si>
  <si>
    <t xml:space="preserve">山西省</t>
  </si>
  <si>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</si>
  <si>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</si>
  <si>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运城市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</si>
  <si>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运城市</t>
    </r>
  </si>
  <si>
    <t xml:space="preserve">特惠普运</t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</si>
  <si>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</si>
  <si>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</si>
  <si>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</si>
  <si>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厦门市</t>
    </r>
  </si>
  <si>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龙岩市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</si>
  <si>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龙岩市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</si>
  <si>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福州市</t>
    </r>
  </si>
  <si>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</si>
  <si>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</si>
  <si>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河北省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</si>
  <si>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</si>
  <si>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</si>
  <si>
    <r>
      <rPr>
        <sz val="10"/>
        <color rgb="FF000000"/>
        <rFont val="Noto Sans CJK SC"/>
        <family val="2"/>
      </rPr>
      <t xml:space="preserve">湖南省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贵州省</t>
    </r>
  </si>
  <si>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</si>
  <si>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</si>
  <si>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贵阳市</t>
    </r>
  </si>
  <si>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</si>
  <si>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</si>
  <si>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南昌市</t>
    </r>
  </si>
  <si>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</si>
  <si>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</si>
  <si>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武汉市</t>
    </r>
  </si>
  <si>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</si>
  <si>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</si>
  <si>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</si>
  <si>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河南省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湖北省</t>
    </r>
  </si>
  <si>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</si>
  <si>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</si>
  <si>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重庆市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</si>
  <si>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滁州市</t>
    </r>
  </si>
  <si>
    <r>
      <rPr>
        <sz val="10"/>
        <color rgb="FF000000"/>
        <rFont val="Noto Sans CJK SC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</si>
  <si>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</si>
  <si>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</si>
  <si>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</si>
  <si>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</si>
  <si>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</si>
  <si>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</si>
  <si>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</si>
  <si>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南京市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</si>
  <si>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淮安市</t>
    </r>
  </si>
  <si>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</si>
  <si>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</si>
  <si>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南通市</t>
    </r>
  </si>
  <si>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</si>
  <si>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</si>
  <si>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沈阳市</t>
    </r>
  </si>
  <si>
    <r>
      <rPr>
        <sz val="10"/>
        <color rgb="FF000000"/>
        <rFont val="Noto Sans CJK SC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</si>
  <si>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</si>
  <si>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</si>
  <si>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甘肃省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陕西省</t>
    </r>
  </si>
  <si>
    <r>
      <rPr>
        <sz val="10"/>
        <color rgb="FF000000"/>
        <rFont val="Noto Sans CJK SC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</si>
  <si>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</si>
  <si>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长春市</t>
    </r>
  </si>
  <si>
    <r>
      <rPr>
        <sz val="10"/>
        <color rgb="FF000000"/>
        <rFont val="Noto Sans CJK SC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</si>
  <si>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</si>
  <si>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哈尔滨市</t>
    </r>
  </si>
  <si>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</si>
  <si>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</si>
  <si>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陕西省</t>
    </r>
  </si>
  <si>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</si>
  <si>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</si>
  <si>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石家庄市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</si>
  <si>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北京市</t>
    </r>
  </si>
  <si>
    <r>
      <rPr>
        <sz val="10"/>
        <color rgb="FF000000"/>
        <rFont val="Noto Sans CJK SC"/>
        <family val="2"/>
      </rPr>
      <t xml:space="preserve">江西省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湖南省</t>
    </r>
  </si>
  <si>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</si>
  <si>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</si>
  <si>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</si>
  <si>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上海市</t>
    </r>
  </si>
  <si>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</si>
  <si>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</si>
  <si>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</si>
  <si>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</si>
  <si>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昆明市</t>
    </r>
  </si>
  <si>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</si>
  <si>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</si>
  <si>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</si>
  <si>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</si>
  <si>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</si>
  <si>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</si>
  <si>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</si>
  <si>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</si>
  <si>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</si>
  <si>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</si>
  <si>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天津市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</si>
  <si>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</si>
  <si>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</si>
  <si>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</si>
  <si>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b val="true"/>
        <sz val="12"/>
        <color rgb="FFFFFFFF"/>
        <rFont val="Noto Sans CJK SC"/>
        <family val="2"/>
      </rPr>
      <t xml:space="preserve">运费计算（跨越费率，实重</t>
    </r>
    <r>
      <rPr>
        <b val="true"/>
        <sz val="12"/>
        <color rgb="FFFFFFFF"/>
        <rFont val="微软雅黑"/>
        <family val="2"/>
        <charset val="1"/>
      </rPr>
      <t xml:space="preserve">/</t>
    </r>
    <r>
      <rPr>
        <b val="true"/>
        <sz val="12"/>
        <color rgb="FFFFFFFF"/>
        <rFont val="Noto Sans CJK SC"/>
        <family val="2"/>
      </rPr>
      <t xml:space="preserve">体积重取大）</t>
    </r>
  </si>
  <si>
    <t xml:space="preserve">一、输入与费率定位（自动）</t>
  </si>
  <si>
    <r>
      <rPr>
        <sz val="10"/>
        <color rgb="FF000000"/>
        <rFont val="Noto Sans CJK SC"/>
        <family val="2"/>
      </rPr>
      <t xml:space="preserve">单台毛重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</si>
  <si>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单箱体积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㎝³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</si>
  <si>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箱数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票内</t>
    </r>
    <r>
      <rPr>
        <sz val="10"/>
        <color rgb="FF000000"/>
        <rFont val="微软雅黑"/>
        <family val="2"/>
        <charset val="1"/>
      </rPr>
      <t xml:space="preserve">)</t>
    </r>
  </si>
  <si>
    <t xml:space="preserve">费率行号</t>
  </si>
  <si>
    <t xml:space="preserve">二、计费重量（自动）</t>
  </si>
  <si>
    <r>
      <rPr>
        <sz val="10"/>
        <color rgb="FF000000"/>
        <rFont val="Noto Sans CJK SC"/>
        <family val="2"/>
      </rPr>
      <t xml:space="preserve">单票实重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</si>
  <si>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单票体积重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</si>
  <si>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计费重量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</si>
  <si>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起重</t>
    </r>
    <r>
      <rPr>
        <sz val="10"/>
        <color rgb="FF000000"/>
        <rFont val="微软雅黑"/>
        <family val="2"/>
        <charset val="1"/>
      </rPr>
      <t xml:space="preserve">(kg)</t>
    </r>
  </si>
  <si>
    <t xml:space="preserve">计费重量起重后</t>
  </si>
  <si>
    <t xml:space="preserve">三、运费（自动）</t>
  </si>
  <si>
    <r>
      <rPr>
        <sz val="10"/>
        <color rgb="FF000000"/>
        <rFont val="Noto Sans CJK SC"/>
        <family val="2"/>
      </rPr>
      <t xml:space="preserve">段位置</t>
    </r>
    <r>
      <rPr>
        <sz val="10"/>
        <color rgb="FF000000"/>
        <rFont val="微软雅黑"/>
        <family val="2"/>
        <charset val="1"/>
      </rPr>
      <t xml:space="preserve">idx</t>
    </r>
  </si>
  <si>
    <t xml:space="preserve">段单价</t>
  </si>
  <si>
    <t xml:space="preserve">次日达段下限</t>
  </si>
  <si>
    <t xml:space="preserve">特惠段下限</t>
  </si>
  <si>
    <t xml:space="preserve">单票运费</t>
  </si>
  <si>
    <r>
      <rPr>
        <sz val="10"/>
        <color rgb="FF000000"/>
        <rFont val="Noto Sans CJK SC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</si>
  <si>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保费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</si>
  <si>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t xml:space="preserve">单票运费合计</t>
  </si>
  <si>
    <r>
      <rPr>
        <sz val="10"/>
        <color rgb="FF000000"/>
        <rFont val="Noto Sans CJK SC"/>
        <family val="2"/>
      </rPr>
      <t xml:space="preserve">单台运费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</si>
  <si>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i val="true"/>
        <sz val="10"/>
        <color rgb="FF808080"/>
        <rFont val="Noto Sans CJK SC"/>
        <family val="2"/>
      </rPr>
      <t xml:space="preserve">运费口径：计费重量</t>
    </r>
    <r>
      <rPr>
        <i val="true"/>
        <sz val="10"/>
        <color rgb="FF808080"/>
        <rFont val="微软雅黑"/>
        <family val="2"/>
        <charset val="1"/>
      </rPr>
      <t xml:space="preserve">=MAX(</t>
    </r>
    <r>
      <rPr>
        <i val="true"/>
        <sz val="10"/>
        <color rgb="FF808080"/>
        <rFont val="Noto Sans CJK SC"/>
        <family val="2"/>
      </rPr>
      <t xml:space="preserve">实重</t>
    </r>
    <r>
      <rPr>
        <i val="true"/>
        <sz val="10"/>
        <color rgb="FF808080"/>
        <rFont val="微软雅黑"/>
        <family val="2"/>
        <charset val="1"/>
      </rPr>
      <t xml:space="preserve">,</t>
    </r>
    <r>
      <rPr>
        <i val="true"/>
        <sz val="10"/>
        <color rgb="FF808080"/>
        <rFont val="Noto Sans CJK SC"/>
        <family val="2"/>
      </rPr>
      <t xml:space="preserve">体积重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Noto Sans CJK SC"/>
        <family val="2"/>
      </rPr>
      <t xml:space="preserve">；体积重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箱体积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Noto Sans CJK SC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)/</t>
    </r>
    <r>
      <rPr>
        <i val="true"/>
        <sz val="10"/>
        <color rgb="FF808080"/>
        <rFont val="Noto Sans CJK SC"/>
        <family val="2"/>
      </rPr>
      <t xml:space="preserve">体积系数；运费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首重价格</t>
    </r>
    <r>
      <rPr>
        <i val="true"/>
        <sz val="10"/>
        <color rgb="FF808080"/>
        <rFont val="微软雅黑"/>
        <family val="2"/>
        <charset val="1"/>
      </rPr>
      <t xml:space="preserve">+(</t>
    </r>
    <r>
      <rPr>
        <i val="true"/>
        <sz val="10"/>
        <color rgb="FF808080"/>
        <rFont val="Noto Sans CJK SC"/>
        <family val="2"/>
      </rPr>
      <t xml:space="preserve">计费重量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Noto Sans CJK SC"/>
        <family val="2"/>
      </rPr>
      <t xml:space="preserve">首重重量</t>
    </r>
    <r>
      <rPr>
        <i val="true"/>
        <sz val="10"/>
        <color rgb="FF808080"/>
        <rFont val="微软雅黑"/>
        <family val="2"/>
        <charset val="1"/>
      </rPr>
      <t xml:space="preserve">)×</t>
    </r>
    <r>
      <rPr>
        <i val="true"/>
        <sz val="10"/>
        <color rgb="FF808080"/>
        <rFont val="Noto Sans CJK SC"/>
        <family val="2"/>
      </rPr>
      <t xml:space="preserve">段单价，最低不低于最低收费。</t>
    </r>
  </si>
  <si>
    <t xml:space="preserve">目的地需与所选物流产品匹配：次日达与特惠普运的目的地划分不同，选错时本表运费显示空白。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</si>
</sst>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"/>
    <numFmt numFmtId="167" formatCode="0.000"/>
    <numFmt numFmtId="168" formatCode="0.0000"/>
    <numFmt numFmtId="169" formatCode="0.0%"/>
    <numFmt numFmtId="170" formatCode="General"/>
    <numFmt numFmtId="171" formatCode="#,##0.0000;\(#,##0.0000\);\-"/>
    <numFmt numFmtId="172" formatCode="0.00"/>
    <numFmt numFmtId="173" formatCode="0.0"/>
  </numFmts>
  <fonts count="32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</font>
    <font>
      <b val="true"/>
      <sz val="12"/>
      <color rgb="FFFFFFFF"/>
      <name val="微软雅黑"/>
      <family val="2"/>
      <charset val="1"/>
    </font>
    <font>
      <b val="true"/>
      <sz val="10"/>
      <color rgb="FF000000"/>
      <name val="Noto Sans CJK SC"/>
      <family val="2"/>
    </font>
    <font>
      <i val="true"/>
      <sz val="10"/>
      <color rgb="FF808080"/>
      <name val="Noto Sans CJK SC"/>
      <family val="2"/>
    </font>
    <font>
      <i val="true"/>
      <sz val="10"/>
      <color rgb="FF808080"/>
      <name val="微软雅黑"/>
      <family val="2"/>
      <charset val="1"/>
    </font>
    <font>
      <b val="true"/>
      <sz val="10"/>
      <color rgb="FF000000"/>
      <name val="微软雅黑"/>
      <family val="2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微软雅黑"/>
      <family val="2"/>
      <charset val="1"/>
    </font>
    <font>
      <sz val="11"/>
      <color rgb="FF000000"/>
      <name val="Noto Sans CJK SC"/>
      <family val="2"/>
    </font>
    <font>
      <sz val="11"/>
      <color rgb="FF000000"/>
      <name val="Calibri"/>
      <family val="2"/>
      <charset val="1"/>
    </font>
    <font>
      <sz val="10"/>
      <color rgb="FF000000"/>
      <name val="微软雅黑"/>
      <family val="2"/>
      <charset val="1"/>
    </font>
    <font>
      <sz val="10"/>
      <color rgb="FF000000"/>
      <name val="微软雅黑"/>
      <family val="0"/>
      <charset val="1"/>
    </font>
    <font>
      <sz val="10"/>
      <color rgb="FF0000FF"/>
      <name val="Noto Sans CJK SC"/>
      <family val="2"/>
    </font>
    <font>
      <sz val="10"/>
      <color rgb="FF008000"/>
      <name val="Noto Sans CJK SC"/>
      <family val="2"/>
    </font>
    <font>
      <b val="true"/>
      <sz val="10"/>
      <color rgb="FFFFFFFF"/>
      <name val="微软雅黑"/>
      <family val="2"/>
      <charset val="1"/>
    </font>
    <font>
      <sz val="10"/>
      <color rgb="FF008000"/>
      <name val="微软雅黑"/>
      <family val="2"/>
      <charset val="1"/>
    </font>
    <font>
      <b val="true"/>
      <sz val="14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0"/>
      <color rgb="FF000000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sz val="10"/>
      <color rgb="FF0000FF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sz val="10"/>
      <name val="微软雅黑"/>
      <family val="0"/>
      <charset val="1"/>
    </font>
    <font>
      <sz val="10"/>
      <color rgb="FF008000"/>
      <name val="微软雅黑"/>
      <family val="0"/>
      <charset val="1"/>
    </font>
    <font>
      <b val="true"/>
      <sz val="10"/>
      <color rgb="FF000000"/>
      <name val="微软雅黑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3B5D"/>
        <bgColor rgb="FF1F4E78"/>
      </patternFill>
    </fill>
    <fill>
      <patternFill patternType="solid">
        <fgColor rgb="FF3288B9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F3B5D"/>
      </patternFill>
    </fill>
    <fill>
      <patternFill patternType="solid">
        <fgColor rgb="FFF7F9FC"/>
        <bgColor rgb="FFFFFFFF"/>
      </patternFill>
    </fill>
    <fill>
      <patternFill patternType="solid">
        <fgColor rgb="FFE2F0D9"/>
        <bgColor rgb="FFD9DEE7"/>
      </patternFill>
    </fill>
    <fill>
      <patternFill patternType="solid">
        <fgColor rgb="FF7030A0"/>
        <bgColor rgb="FF993366"/>
      </patternFill>
    </fill>
    <fill>
      <patternFill patternType="solid">
        <fgColor rgb="FFFFF2CC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D0D8E8"/>
      </top>
      <bottom/>
      <diagonal/>
    </border>
    <border diagonalUp="false" diagonalDown="false">
      <left/>
      <right/>
      <top style="thin">
        <color rgb="FFD0D8E8"/>
      </top>
      <bottom style="double">
        <color rgb="FF0F3B5D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4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4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C6EF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288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EE7"/>
      <rgbColor rgb="FF808080"/>
      <rgbColor rgb="FF9999FF"/>
      <rgbColor rgb="FF7030A0"/>
      <rgbColor rgb="FFFFF2CC"/>
      <rgbColor rgb="FFE2F0D9"/>
      <rgbColor rgb="FF660066"/>
      <rgbColor rgb="FFFF8080"/>
      <rgbColor rgb="FF0066CC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B5D"/>
      <rgbColor rgb="FF3288B9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247320</xdr:colOff>
      <xdr:row>2</xdr:row>
      <xdr:rowOff>75960</xdr:rowOff>
    </xdr:to>
    <xdr:pic>
      <xdr:nvPicPr>
        <xdr:cNvPr id="0" name="Picture 2" descr="WGYgJu"/>
        <xdr:cNvPicPr/>
      </xdr:nvPicPr>
      <xdr:blipFill>
        <a:blip r:embed="rId1"/>
        <a:stretch/>
      </xdr:blipFill>
      <xdr:spPr>
        <a:xfrm>
          <a:off x="19080" y="19080"/>
          <a:ext cx="126828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1" name="Picture 2" descr="uaRbmJ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666360</xdr:colOff>
      <xdr:row>2</xdr:row>
      <xdr:rowOff>28440</xdr:rowOff>
    </xdr:to>
    <xdr:pic>
      <xdr:nvPicPr>
        <xdr:cNvPr id="2" name="Picture 2" descr="OtcyXe"/>
        <xdr:cNvPicPr/>
      </xdr:nvPicPr>
      <xdr:blipFill>
        <a:blip r:embed="rId1"/>
        <a:stretch/>
      </xdr:blipFill>
      <xdr:spPr>
        <a:xfrm>
          <a:off x="19080" y="19080"/>
          <a:ext cx="128736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323640</xdr:colOff>
      <xdr:row>2</xdr:row>
      <xdr:rowOff>47520</xdr:rowOff>
    </xdr:to>
    <xdr:pic>
      <xdr:nvPicPr>
        <xdr:cNvPr id="3" name="Picture 2" descr="ACwUJm"/>
        <xdr:cNvPicPr/>
      </xdr:nvPicPr>
      <xdr:blipFill>
        <a:blip r:embed="rId1"/>
        <a:stretch/>
      </xdr:blipFill>
      <xdr:spPr>
        <a:xfrm>
          <a:off x="19080" y="19080"/>
          <a:ext cx="126468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20160</xdr:rowOff>
    </xdr:to>
    <xdr:pic>
      <xdr:nvPicPr>
        <xdr:cNvPr id="4" name="Picture 2" descr="XGqtcb"/>
        <xdr:cNvPicPr/>
      </xdr:nvPicPr>
      <xdr:blipFill>
        <a:blip r:embed="rId1"/>
        <a:stretch/>
      </xdr:blipFill>
      <xdr:spPr>
        <a:xfrm>
          <a:off x="19080" y="19080"/>
          <a:ext cx="137124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5" name="Picture 2" descr="NDmBjk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495000</xdr:colOff>
      <xdr:row>2</xdr:row>
      <xdr:rowOff>75960</xdr:rowOff>
    </xdr:to>
    <xdr:pic>
      <xdr:nvPicPr>
        <xdr:cNvPr id="6" name="Picture 2" descr="SCAgAJ"/>
        <xdr:cNvPicPr/>
      </xdr:nvPicPr>
      <xdr:blipFill>
        <a:blip r:embed="rId1"/>
        <a:stretch/>
      </xdr:blipFill>
      <xdr:spPr>
        <a:xfrm>
          <a:off x="19080" y="19080"/>
          <a:ext cx="127620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7" name="Picture 2" descr="Ehjuph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  <c r="B1" s="1"/>
      <c r="C1" s="1"/>
    </row>
    <row r="3" customFormat="false" ht="33.75" hidden="false" customHeight="true" outlineLevel="0" collapsed="false">
      <c r="A3" s="2" t="s">
        <v>1</v>
      </c>
      <c r="B3" s="3" t="s">
        <v>2</v>
      </c>
    </row>
    <row r="4" customFormat="false" ht="33.75" hidden="false" customHeight="true" outlineLevel="0" collapsed="false">
      <c r="A4" s="2" t="s">
        <v>3</v>
      </c>
      <c r="B4" s="3" t="s">
        <v>4</v>
      </c>
    </row>
    <row r="5" customFormat="false" ht="33.75" hidden="false" customHeight="true" outlineLevel="0" collapsed="false">
      <c r="A5" s="2" t="s">
        <v>5</v>
      </c>
      <c r="B5" s="3" t="s">
        <v>6</v>
      </c>
    </row>
    <row r="6" customFormat="false" ht="33.75" hidden="false" customHeight="true" outlineLevel="0" collapsed="false">
      <c r="A6" s="2" t="s">
        <v>7</v>
      </c>
      <c r="B6" s="3" t="s">
        <v>8</v>
      </c>
    </row>
    <row r="7" customFormat="false" ht="33.75" hidden="false" customHeight="true" outlineLevel="0" collapsed="false">
      <c r="A7" s="2" t="s">
        <v>9</v>
      </c>
      <c r="B7" s="3" t="s">
        <v>10</v>
      </c>
    </row>
    <row r="8" customFormat="false" ht="33.75" hidden="false" customHeight="true" outlineLevel="0" collapsed="false">
      <c r="A8" s="2" t="s">
        <v>11</v>
      </c>
      <c r="B8" s="3" t="s">
        <v>12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8"/>
  <sheetViews>
    <sheetView showFormulas="false" showGridLines="fals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21" activeCellId="0" sqref="B2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4" style="0" width="26"/>
    <col collapsed="false" customWidth="true" hidden="true" outlineLevel="0" max="26" min="26" style="0" width="13"/>
  </cols>
  <sheetData>
    <row r="1" customFormat="false" ht="17.25" hidden="false" customHeight="true" outlineLevel="0" collapsed="false">
      <c r="A1" s="1" t="s">
        <v>13</v>
      </c>
      <c r="B1" s="1"/>
      <c r="C1" s="1"/>
      <c r="D1" s="1"/>
      <c r="E1" s="1"/>
    </row>
    <row r="3" customFormat="false" ht="15" hidden="false" customHeight="true" outlineLevel="0" collapsed="false">
      <c r="A3" s="4" t="s">
        <v>14</v>
      </c>
      <c r="B3" s="4"/>
      <c r="C3" s="4"/>
      <c r="D3" s="4"/>
      <c r="E3" s="4"/>
    </row>
    <row r="4" customFormat="false" ht="15" hidden="false" customHeight="true" outlineLevel="0" collapsed="false">
      <c r="A4" s="5" t="s">
        <v>15</v>
      </c>
      <c r="B4" s="6"/>
      <c r="Z4" s="7" t="s">
        <v>16</v>
      </c>
    </row>
    <row r="5" customFormat="false" ht="15" hidden="false" customHeight="true" outlineLevel="0" collapsed="false">
      <c r="A5" s="5" t="s">
        <v>17</v>
      </c>
      <c r="B5" s="6"/>
      <c r="Z5" s="7" t="s">
        <v>18</v>
      </c>
    </row>
    <row r="6" customFormat="false" ht="15" hidden="false" customHeight="true" outlineLevel="0" collapsed="false">
      <c r="A6" s="5" t="s">
        <v>19</v>
      </c>
      <c r="B6" s="6"/>
      <c r="Z6" s="7" t="s">
        <v>20</v>
      </c>
    </row>
    <row r="7" customFormat="false" ht="15" hidden="false" customHeight="true" outlineLevel="0" collapsed="false">
      <c r="A7" s="5" t="s">
        <v>21</v>
      </c>
      <c r="B7" s="8" t="n">
        <f aca="true">TODAY()</f>
        <v>46307</v>
      </c>
      <c r="Z7" s="7" t="s">
        <v>22</v>
      </c>
    </row>
    <row r="8" customFormat="false" ht="15" hidden="false" customHeight="true" outlineLevel="0" collapsed="false">
      <c r="A8" s="5" t="s">
        <v>23</v>
      </c>
      <c r="B8" s="6"/>
      <c r="Z8" s="7" t="s">
        <v>24</v>
      </c>
    </row>
    <row r="9" customFormat="false" ht="15" hidden="false" customHeight="true" outlineLevel="0" collapsed="false">
      <c r="A9" s="9" t="s">
        <v>25</v>
      </c>
      <c r="B9" s="6"/>
      <c r="Z9" s="7" t="s">
        <v>26</v>
      </c>
    </row>
    <row r="10" customFormat="false" ht="15" hidden="false" customHeight="true" outlineLevel="0" collapsed="false">
      <c r="A10" s="5" t="s">
        <v>27</v>
      </c>
      <c r="B10" s="10"/>
      <c r="Z10" s="7" t="s">
        <v>28</v>
      </c>
    </row>
    <row r="11" customFormat="false" ht="14.25" hidden="false" customHeight="true" outlineLevel="0" collapsed="false">
      <c r="Z11" s="7" t="s">
        <v>29</v>
      </c>
    </row>
    <row r="12" customFormat="false" ht="15" hidden="false" customHeight="true" outlineLevel="0" collapsed="false">
      <c r="A12" s="4" t="s">
        <v>30</v>
      </c>
      <c r="B12" s="4"/>
      <c r="C12" s="4"/>
      <c r="D12" s="4"/>
      <c r="E12" s="4"/>
      <c r="Z12" s="7" t="s">
        <v>31</v>
      </c>
    </row>
    <row r="13" customFormat="false" ht="15" hidden="false" customHeight="true" outlineLevel="0" collapsed="false">
      <c r="A13" s="5" t="s">
        <v>32</v>
      </c>
      <c r="B13" s="11"/>
      <c r="Z13" s="7" t="s">
        <v>33</v>
      </c>
    </row>
    <row r="14" customFormat="false" ht="15" hidden="false" customHeight="true" outlineLevel="0" collapsed="false">
      <c r="A14" s="5" t="s">
        <v>34</v>
      </c>
      <c r="B14" s="11"/>
      <c r="Z14" s="7" t="s">
        <v>35</v>
      </c>
    </row>
    <row r="15" customFormat="false" ht="15" hidden="false" customHeight="true" outlineLevel="0" collapsed="false">
      <c r="A15" s="5" t="s">
        <v>36</v>
      </c>
      <c r="B15" s="11"/>
      <c r="Z15" s="7" t="s">
        <v>37</v>
      </c>
    </row>
    <row r="16" customFormat="false" ht="15" hidden="false" customHeight="true" outlineLevel="0" collapsed="false">
      <c r="A16" s="5" t="s">
        <v>38</v>
      </c>
      <c r="B16" s="12"/>
      <c r="Z16" s="7" t="s">
        <v>39</v>
      </c>
    </row>
    <row r="17" customFormat="false" ht="15" hidden="false" customHeight="true" outlineLevel="0" collapsed="false">
      <c r="A17" s="5" t="s">
        <v>40</v>
      </c>
      <c r="B17" s="11"/>
      <c r="Z17" s="7" t="s">
        <v>41</v>
      </c>
    </row>
    <row r="18" customFormat="false" ht="15" hidden="false" customHeight="true" outlineLevel="0" collapsed="false">
      <c r="A18" s="5" t="s">
        <v>42</v>
      </c>
      <c r="B18" s="6"/>
      <c r="Z18" s="7" t="s">
        <v>43</v>
      </c>
    </row>
    <row r="19" customFormat="false" ht="14.25" hidden="false" customHeight="true" outlineLevel="0" collapsed="false">
      <c r="A19" s="5" t="s">
        <v>44</v>
      </c>
      <c r="B19" s="13" t="s">
        <v>45</v>
      </c>
      <c r="D19" s="14" t="str">
        <f aca="false">IF(B19="是","自动→大板：EPE珍珠棉+纸箱+护角+托盘+缠绕膜+打包带","自动→小板：防静电气泡袋+隔板+纸箱+护角+托盘+缠绕膜")</f>
        <v>自动→小板：防静电气泡袋+隔板+纸箱+护角+托盘+缠绕膜</v>
      </c>
      <c r="Z19" s="7" t="s">
        <v>46</v>
      </c>
    </row>
    <row r="20" customFormat="false" ht="15" hidden="false" customHeight="true" outlineLevel="0" collapsed="false">
      <c r="A20" s="4" t="s">
        <v>47</v>
      </c>
      <c r="B20" s="4"/>
      <c r="C20" s="4"/>
      <c r="D20" s="4"/>
      <c r="E20" s="4"/>
      <c r="Z20" s="7" t="s">
        <v>48</v>
      </c>
    </row>
    <row r="21" customFormat="false" ht="15" hidden="false" customHeight="true" outlineLevel="0" collapsed="false">
      <c r="A21" s="5" t="s">
        <v>49</v>
      </c>
      <c r="B21" s="6"/>
      <c r="Z21" s="7" t="s">
        <v>50</v>
      </c>
    </row>
    <row r="22" customFormat="false" ht="15" hidden="false" customHeight="true" outlineLevel="0" collapsed="false">
      <c r="A22" s="5" t="s">
        <v>51</v>
      </c>
      <c r="B22" s="6"/>
      <c r="Z22" s="7" t="s">
        <v>52</v>
      </c>
    </row>
    <row r="23" customFormat="false" ht="15" hidden="false" customHeight="true" outlineLevel="0" collapsed="false">
      <c r="A23" s="5" t="s">
        <v>53</v>
      </c>
      <c r="B23" s="6"/>
      <c r="Z23" s="7" t="s">
        <v>54</v>
      </c>
    </row>
    <row r="24" customFormat="false" ht="15" hidden="false" customHeight="true" outlineLevel="0" collapsed="false">
      <c r="A24" s="5" t="s">
        <v>55</v>
      </c>
      <c r="B24" s="10"/>
      <c r="Z24" s="7" t="s">
        <v>56</v>
      </c>
    </row>
    <row r="25" customFormat="false" ht="15" hidden="false" customHeight="true" outlineLevel="0" collapsed="false">
      <c r="A25" s="15" t="s">
        <v>57</v>
      </c>
      <c r="B25" s="15" t="s">
        <v>58</v>
      </c>
      <c r="Z25" s="7" t="s">
        <v>59</v>
      </c>
    </row>
    <row r="26" customFormat="false" ht="15" hidden="false" customHeight="true" outlineLevel="0" collapsed="false">
      <c r="A26" s="4" t="s">
        <v>60</v>
      </c>
      <c r="B26" s="4"/>
      <c r="C26" s="4"/>
      <c r="D26" s="4"/>
      <c r="E26" s="4"/>
      <c r="Z26" s="7" t="s">
        <v>61</v>
      </c>
    </row>
    <row r="27" customFormat="false" ht="15" hidden="false" customHeight="true" outlineLevel="0" collapsed="false">
      <c r="A27" s="16" t="s">
        <v>62</v>
      </c>
      <c r="B27" s="16" t="s">
        <v>63</v>
      </c>
      <c r="C27" s="16" t="s">
        <v>64</v>
      </c>
      <c r="D27" s="16" t="s">
        <v>27</v>
      </c>
      <c r="E27" s="16" t="s">
        <v>65</v>
      </c>
      <c r="Z27" s="7" t="s">
        <v>66</v>
      </c>
    </row>
    <row r="28" customFormat="false" ht="15" hidden="false" customHeight="true" outlineLevel="0" collapsed="false">
      <c r="A28" s="5" t="s">
        <v>67</v>
      </c>
      <c r="B28" s="17" t="n">
        <f aca="false">SUMIFS(物料明细!$H:$H,物料明细!$B:$B,"硬件")</f>
        <v>0.322728</v>
      </c>
      <c r="C28" s="5" t="s">
        <v>68</v>
      </c>
      <c r="D28" s="15" t="s">
        <v>69</v>
      </c>
      <c r="Z28" s="7" t="s">
        <v>70</v>
      </c>
    </row>
    <row r="29" customFormat="false" ht="15" hidden="false" customHeight="true" outlineLevel="0" collapsed="false">
      <c r="A29" s="5" t="s">
        <v>71</v>
      </c>
      <c r="B29" s="17" t="n">
        <f aca="false">SUMIFS(物料明细!$H:$H,物料明细!$B:$B,"结构件")</f>
        <v>0</v>
      </c>
      <c r="C29" s="5" t="s">
        <v>68</v>
      </c>
      <c r="D29" s="15" t="s">
        <v>69</v>
      </c>
      <c r="Z29" s="7" t="s">
        <v>72</v>
      </c>
    </row>
    <row r="30" customFormat="false" ht="15" hidden="false" customHeight="true" outlineLevel="0" collapsed="false">
      <c r="A30" s="5" t="s">
        <v>73</v>
      </c>
      <c r="B30" s="17" t="n">
        <f aca="false">包装计算!$B$43</f>
        <v>0.0108</v>
      </c>
      <c r="C30" s="5" t="s">
        <v>68</v>
      </c>
      <c r="D30" s="15" t="s">
        <v>74</v>
      </c>
      <c r="Z30" s="7" t="s">
        <v>75</v>
      </c>
    </row>
    <row r="31" customFormat="false" ht="15" hidden="false" customHeight="true" outlineLevel="0" collapsed="false">
      <c r="A31" s="5" t="s">
        <v>76</v>
      </c>
      <c r="B31" s="17" t="n">
        <f aca="false">SUMIFS(物料明细!$H:$H,物料明细!$B:$B,"辅助材料")</f>
        <v>0</v>
      </c>
      <c r="C31" s="5" t="s">
        <v>68</v>
      </c>
      <c r="D31" s="15" t="s">
        <v>69</v>
      </c>
      <c r="Z31" s="7" t="s">
        <v>77</v>
      </c>
    </row>
    <row r="32" customFormat="false" ht="15" hidden="false" customHeight="true" outlineLevel="0" collapsed="false">
      <c r="A32" s="5" t="s">
        <v>78</v>
      </c>
      <c r="B32" s="17" t="n">
        <f aca="false">加工及工装!F13</f>
        <v>0.12</v>
      </c>
      <c r="C32" s="5" t="s">
        <v>68</v>
      </c>
      <c r="D32" s="15" t="s">
        <v>79</v>
      </c>
      <c r="Z32" s="7" t="s">
        <v>80</v>
      </c>
    </row>
    <row r="33" customFormat="false" ht="15" hidden="false" customHeight="true" outlineLevel="0" collapsed="false">
      <c r="A33" s="5" t="s">
        <v>81</v>
      </c>
      <c r="B33" s="17" t="n">
        <f aca="false">加工及工装!H23</f>
        <v>0.042</v>
      </c>
      <c r="C33" s="5" t="s">
        <v>68</v>
      </c>
      <c r="D33" s="15" t="s">
        <v>79</v>
      </c>
      <c r="Z33" s="7" t="s">
        <v>82</v>
      </c>
    </row>
    <row r="34" customFormat="false" ht="15" hidden="false" customHeight="true" outlineLevel="0" collapsed="false">
      <c r="A34" s="5" t="s">
        <v>5</v>
      </c>
      <c r="B34" s="17" t="str">
        <f aca="false">运费计算!$B$33</f>
        <v/>
      </c>
      <c r="C34" s="5" t="s">
        <v>68</v>
      </c>
      <c r="D34" s="15" t="s">
        <v>83</v>
      </c>
      <c r="Z34" s="7" t="s">
        <v>84</v>
      </c>
    </row>
    <row r="35" customFormat="false" ht="15" hidden="false" customHeight="true" outlineLevel="0" collapsed="false">
      <c r="A35" s="18" t="s">
        <v>85</v>
      </c>
      <c r="B35" s="19" t="n">
        <f aca="false">SUM(B28:B34)*0.15</f>
        <v>0.0743292</v>
      </c>
      <c r="C35" s="5" t="s">
        <v>68</v>
      </c>
      <c r="D35" s="15" t="s">
        <v>86</v>
      </c>
      <c r="Z35" s="7" t="s">
        <v>87</v>
      </c>
    </row>
    <row r="36" customFormat="false" ht="15" hidden="false" customHeight="true" outlineLevel="0" collapsed="false">
      <c r="A36" s="20" t="s">
        <v>88</v>
      </c>
      <c r="B36" s="21" t="n">
        <f aca="false">SUM(B28:B35)</f>
        <v>0.5698572</v>
      </c>
      <c r="C36" s="5" t="s">
        <v>68</v>
      </c>
      <c r="D36" s="15" t="s">
        <v>89</v>
      </c>
      <c r="Z36" s="7" t="s">
        <v>90</v>
      </c>
    </row>
    <row r="37" customFormat="false" ht="14.25" hidden="false" customHeight="true" outlineLevel="0" collapsed="false">
      <c r="Z37" s="7" t="s">
        <v>91</v>
      </c>
    </row>
    <row r="38" customFormat="false" ht="15" hidden="false" customHeight="true" outlineLevel="0" collapsed="false">
      <c r="A38" s="4" t="s">
        <v>92</v>
      </c>
      <c r="B38" s="4"/>
      <c r="C38" s="4"/>
      <c r="D38" s="4"/>
      <c r="E38" s="4"/>
      <c r="Z38" s="7" t="s">
        <v>93</v>
      </c>
    </row>
    <row r="39" customFormat="false" ht="15" hidden="false" customHeight="true" outlineLevel="0" collapsed="false">
      <c r="A39" s="16" t="s">
        <v>94</v>
      </c>
      <c r="B39" s="16" t="s">
        <v>95</v>
      </c>
      <c r="C39" s="16" t="s">
        <v>64</v>
      </c>
      <c r="D39" s="16" t="s">
        <v>27</v>
      </c>
      <c r="E39" s="16" t="s">
        <v>65</v>
      </c>
      <c r="Z39" s="7" t="s">
        <v>96</v>
      </c>
    </row>
    <row r="40" customFormat="false" ht="15" hidden="false" customHeight="true" outlineLevel="0" collapsed="false">
      <c r="A40" s="5" t="s">
        <v>97</v>
      </c>
      <c r="B40" s="22" t="n">
        <f aca="false">参数!B4</f>
        <v>0.15</v>
      </c>
      <c r="C40" s="9" t="s">
        <v>98</v>
      </c>
      <c r="D40" s="15" t="s">
        <v>99</v>
      </c>
      <c r="Z40" s="7" t="s">
        <v>100</v>
      </c>
    </row>
    <row r="41" customFormat="false" ht="15" hidden="false" customHeight="true" outlineLevel="0" collapsed="false">
      <c r="A41" s="5" t="s">
        <v>101</v>
      </c>
      <c r="B41" s="17" t="n">
        <f aca="false">IFERROR(B36/(1-B40),0)</f>
        <v>0.670420235294118</v>
      </c>
      <c r="C41" s="5" t="s">
        <v>68</v>
      </c>
      <c r="D41" s="15" t="s">
        <v>102</v>
      </c>
      <c r="Z41" s="7" t="s">
        <v>103</v>
      </c>
    </row>
    <row r="42" customFormat="false" ht="15" hidden="false" customHeight="true" outlineLevel="0" collapsed="false">
      <c r="A42" s="5" t="s">
        <v>104</v>
      </c>
      <c r="B42" s="22" t="n">
        <f aca="false">参数!B3</f>
        <v>0.13</v>
      </c>
      <c r="C42" s="9" t="s">
        <v>98</v>
      </c>
      <c r="D42" s="15" t="s">
        <v>99</v>
      </c>
      <c r="Z42" s="7" t="s">
        <v>105</v>
      </c>
    </row>
    <row r="43" customFormat="false" ht="15" hidden="false" customHeight="true" outlineLevel="0" collapsed="false">
      <c r="A43" s="5" t="s">
        <v>106</v>
      </c>
      <c r="B43" s="17" t="n">
        <f aca="false">B41*(1+B42)</f>
        <v>0.757574865882353</v>
      </c>
      <c r="C43" s="5" t="s">
        <v>68</v>
      </c>
      <c r="D43" s="15" t="s">
        <v>107</v>
      </c>
      <c r="Z43" s="7" t="s">
        <v>108</v>
      </c>
    </row>
    <row r="44" customFormat="false" ht="15" hidden="false" customHeight="true" outlineLevel="0" collapsed="false">
      <c r="A44" s="5" t="s">
        <v>109</v>
      </c>
      <c r="B44" s="23"/>
      <c r="C44" s="5" t="s">
        <v>68</v>
      </c>
      <c r="D44" s="15" t="s">
        <v>110</v>
      </c>
      <c r="Z44" s="7" t="s">
        <v>111</v>
      </c>
    </row>
    <row r="45" customFormat="false" ht="15" hidden="false" customHeight="true" outlineLevel="0" collapsed="false">
      <c r="A45" s="5" t="s">
        <v>112</v>
      </c>
      <c r="B45" s="22" t="str">
        <f aca="false">IF(B44="","",B41-B44)</f>
        <v/>
      </c>
      <c r="C45" s="5" t="s">
        <v>68</v>
      </c>
      <c r="D45" s="15" t="s">
        <v>113</v>
      </c>
      <c r="Z45" s="7" t="s">
        <v>114</v>
      </c>
    </row>
    <row r="46" customFormat="false" ht="15" hidden="false" customHeight="true" outlineLevel="0" collapsed="false">
      <c r="A46" s="5" t="s">
        <v>115</v>
      </c>
      <c r="B46" s="17" t="n">
        <f aca="false">IFERROR((B41-B36)/B41,0)</f>
        <v>0.15</v>
      </c>
      <c r="C46" s="9" t="s">
        <v>98</v>
      </c>
      <c r="D46" s="15" t="s">
        <v>116</v>
      </c>
      <c r="Z46" s="7" t="s">
        <v>117</v>
      </c>
    </row>
    <row r="47" customFormat="false" ht="15" hidden="false" customHeight="true" outlineLevel="0" collapsed="false">
      <c r="A47" s="5" t="s">
        <v>118</v>
      </c>
      <c r="B47" s="17" t="n">
        <f aca="false">B41*B8</f>
        <v>0</v>
      </c>
      <c r="C47" s="5" t="s">
        <v>119</v>
      </c>
      <c r="D47" s="15" t="s">
        <v>116</v>
      </c>
      <c r="Z47" s="7" t="s">
        <v>120</v>
      </c>
    </row>
    <row r="48" customFormat="false" ht="15" hidden="false" customHeight="true" outlineLevel="0" collapsed="false">
      <c r="A48" s="5" t="s">
        <v>121</v>
      </c>
      <c r="B48" s="17" t="n">
        <f aca="false">IFERROR((B41-B36)*B8,0)</f>
        <v>0</v>
      </c>
      <c r="C48" s="5" t="s">
        <v>119</v>
      </c>
      <c r="D48" s="15" t="s">
        <v>116</v>
      </c>
      <c r="Z48" s="7" t="s">
        <v>122</v>
      </c>
    </row>
    <row r="49" customFormat="false" ht="14.25" hidden="false" customHeight="true" outlineLevel="0" collapsed="false">
      <c r="Z49" s="7" t="s">
        <v>123</v>
      </c>
    </row>
    <row r="50" customFormat="false" ht="15" hidden="false" customHeight="true" outlineLevel="0" collapsed="false">
      <c r="A50" s="4" t="s">
        <v>124</v>
      </c>
      <c r="B50" s="4"/>
      <c r="C50" s="4"/>
      <c r="D50" s="4"/>
      <c r="E50" s="4"/>
      <c r="Z50" s="7" t="s">
        <v>125</v>
      </c>
    </row>
    <row r="51" customFormat="false" ht="15" hidden="false" customHeight="true" outlineLevel="0" collapsed="false">
      <c r="A51" s="5" t="s">
        <v>126</v>
      </c>
      <c r="B51" s="24" t="n">
        <f aca="false">COUNTIF(物料明细!I:I,"是")</f>
        <v>1</v>
      </c>
      <c r="C51" s="5" t="s">
        <v>127</v>
      </c>
      <c r="Z51" s="7" t="s">
        <v>128</v>
      </c>
    </row>
    <row r="52" customFormat="false" ht="15" hidden="false" customHeight="true" outlineLevel="0" collapsed="false">
      <c r="A52" s="5" t="s">
        <v>129</v>
      </c>
      <c r="B52" s="24" t="n">
        <f aca="false">COUNTIF(物料明细!H:H,0)</f>
        <v>97</v>
      </c>
      <c r="C52" s="5" t="s">
        <v>127</v>
      </c>
      <c r="Z52" s="7" t="s">
        <v>130</v>
      </c>
    </row>
    <row r="53" customFormat="false" ht="14.25" hidden="false" customHeight="true" outlineLevel="0" collapsed="false">
      <c r="Z53" s="7" t="s">
        <v>131</v>
      </c>
    </row>
    <row r="54" customFormat="false" ht="14.25" hidden="false" customHeight="true" outlineLevel="0" collapsed="false">
      <c r="Z54" s="7" t="s">
        <v>132</v>
      </c>
    </row>
    <row r="55" customFormat="false" ht="14.25" hidden="false" customHeight="true" outlineLevel="0" collapsed="false">
      <c r="Z55" s="7" t="s">
        <v>133</v>
      </c>
    </row>
    <row r="56" customFormat="false" ht="14.25" hidden="false" customHeight="true" outlineLevel="0" collapsed="false">
      <c r="Z56" s="7" t="s">
        <v>134</v>
      </c>
    </row>
    <row r="57" customFormat="false" ht="14.25" hidden="false" customHeight="true" outlineLevel="0" collapsed="false">
      <c r="Z57" s="7" t="s">
        <v>135</v>
      </c>
    </row>
    <row r="58" customFormat="false" ht="14.25" hidden="false" customHeight="true" outlineLevel="0" collapsed="false">
      <c r="Z58" s="7" t="s">
        <v>136</v>
      </c>
    </row>
    <row r="59" customFormat="false" ht="14.25" hidden="false" customHeight="true" outlineLevel="0" collapsed="false">
      <c r="Z59" s="7" t="s">
        <v>137</v>
      </c>
    </row>
    <row r="60" customFormat="false" ht="14.25" hidden="false" customHeight="true" outlineLevel="0" collapsed="false">
      <c r="Z60" s="7" t="s">
        <v>138</v>
      </c>
    </row>
    <row r="61" customFormat="false" ht="14.25" hidden="false" customHeight="true" outlineLevel="0" collapsed="false">
      <c r="Z61" s="7" t="s">
        <v>139</v>
      </c>
    </row>
    <row r="62" customFormat="false" ht="14.25" hidden="false" customHeight="true" outlineLevel="0" collapsed="false">
      <c r="Z62" s="7" t="s">
        <v>140</v>
      </c>
    </row>
    <row r="63" customFormat="false" ht="14.25" hidden="false" customHeight="true" outlineLevel="0" collapsed="false">
      <c r="Z63" s="7" t="s">
        <v>141</v>
      </c>
    </row>
    <row r="64" customFormat="false" ht="14.25" hidden="false" customHeight="true" outlineLevel="0" collapsed="false">
      <c r="Z64" s="7" t="s">
        <v>142</v>
      </c>
    </row>
    <row r="65" customFormat="false" ht="14.25" hidden="false" customHeight="true" outlineLevel="0" collapsed="false">
      <c r="Z65" s="7" t="s">
        <v>143</v>
      </c>
    </row>
    <row r="66" customFormat="false" ht="14.25" hidden="false" customHeight="true" outlineLevel="0" collapsed="false">
      <c r="Z66" s="7" t="s">
        <v>144</v>
      </c>
    </row>
    <row r="67" customFormat="false" ht="14.25" hidden="false" customHeight="true" outlineLevel="0" collapsed="false">
      <c r="Z67" s="7" t="s">
        <v>145</v>
      </c>
    </row>
    <row r="68" customFormat="false" ht="14.25" hidden="false" customHeight="true" outlineLevel="0" collapsed="false">
      <c r="Z68" s="7" t="s">
        <v>146</v>
      </c>
    </row>
    <row r="69" customFormat="false" ht="14.25" hidden="false" customHeight="true" outlineLevel="0" collapsed="false">
      <c r="Z69" s="7" t="s">
        <v>147</v>
      </c>
    </row>
    <row r="70" customFormat="false" ht="14.25" hidden="false" customHeight="true" outlineLevel="0" collapsed="false">
      <c r="Z70" s="7" t="s">
        <v>148</v>
      </c>
    </row>
    <row r="71" customFormat="false" ht="14.25" hidden="false" customHeight="true" outlineLevel="0" collapsed="false">
      <c r="Z71" s="7" t="s">
        <v>149</v>
      </c>
    </row>
    <row r="72" customFormat="false" ht="14.25" hidden="false" customHeight="true" outlineLevel="0" collapsed="false">
      <c r="Z72" s="7" t="s">
        <v>150</v>
      </c>
    </row>
    <row r="73" customFormat="false" ht="14.25" hidden="false" customHeight="true" outlineLevel="0" collapsed="false">
      <c r="Z73" s="7" t="s">
        <v>151</v>
      </c>
    </row>
    <row r="74" customFormat="false" ht="14.25" hidden="false" customHeight="true" outlineLevel="0" collapsed="false">
      <c r="Z74" s="7" t="s">
        <v>152</v>
      </c>
    </row>
    <row r="75" customFormat="false" ht="14.25" hidden="false" customHeight="true" outlineLevel="0" collapsed="false">
      <c r="Z75" s="7" t="s">
        <v>153</v>
      </c>
    </row>
    <row r="76" customFormat="false" ht="14.25" hidden="false" customHeight="true" outlineLevel="0" collapsed="false">
      <c r="Z76" s="7" t="s">
        <v>154</v>
      </c>
    </row>
    <row r="77" customFormat="false" ht="14.25" hidden="false" customHeight="true" outlineLevel="0" collapsed="false">
      <c r="Z77" s="7" t="s">
        <v>155</v>
      </c>
    </row>
    <row r="78" customFormat="false" ht="14.25" hidden="false" customHeight="true" outlineLevel="0" collapsed="false">
      <c r="Z78" s="7" t="s">
        <v>156</v>
      </c>
    </row>
    <row r="79" customFormat="false" ht="14.25" hidden="false" customHeight="true" outlineLevel="0" collapsed="false">
      <c r="Z79" s="7" t="s">
        <v>157</v>
      </c>
    </row>
    <row r="80" customFormat="false" ht="14.25" hidden="false" customHeight="true" outlineLevel="0" collapsed="false">
      <c r="Z80" s="7" t="s">
        <v>158</v>
      </c>
    </row>
    <row r="81" customFormat="false" ht="14.25" hidden="false" customHeight="true" outlineLevel="0" collapsed="false">
      <c r="Z81" s="7" t="s">
        <v>159</v>
      </c>
    </row>
    <row r="82" customFormat="false" ht="14.25" hidden="false" customHeight="true" outlineLevel="0" collapsed="false">
      <c r="Z82" s="7" t="s">
        <v>160</v>
      </c>
    </row>
    <row r="83" customFormat="false" ht="14.25" hidden="false" customHeight="true" outlineLevel="0" collapsed="false">
      <c r="Z83" s="7" t="s">
        <v>161</v>
      </c>
    </row>
    <row r="84" customFormat="false" ht="14.25" hidden="false" customHeight="true" outlineLevel="0" collapsed="false">
      <c r="Z84" s="7" t="s">
        <v>162</v>
      </c>
    </row>
    <row r="85" customFormat="false" ht="14.25" hidden="false" customHeight="true" outlineLevel="0" collapsed="false">
      <c r="Z85" s="7" t="s">
        <v>163</v>
      </c>
    </row>
    <row r="86" customFormat="false" ht="14.25" hidden="false" customHeight="true" outlineLevel="0" collapsed="false">
      <c r="Z86" s="7" t="s">
        <v>164</v>
      </c>
    </row>
    <row r="87" customFormat="false" ht="14.25" hidden="false" customHeight="true" outlineLevel="0" collapsed="false">
      <c r="Z87" s="7" t="s">
        <v>165</v>
      </c>
    </row>
    <row r="88" customFormat="false" ht="14.25" hidden="false" customHeight="true" outlineLevel="0" collapsed="false">
      <c r="Z88" s="7" t="s">
        <v>166</v>
      </c>
    </row>
    <row r="89" customFormat="false" ht="14.25" hidden="false" customHeight="true" outlineLevel="0" collapsed="false">
      <c r="Z89" s="7" t="s">
        <v>167</v>
      </c>
    </row>
    <row r="90" customFormat="false" ht="14.25" hidden="false" customHeight="true" outlineLevel="0" collapsed="false">
      <c r="Z90" s="7" t="s">
        <v>168</v>
      </c>
    </row>
    <row r="91" customFormat="false" ht="14.25" hidden="false" customHeight="true" outlineLevel="0" collapsed="false">
      <c r="Z91" s="7" t="s">
        <v>169</v>
      </c>
    </row>
    <row r="92" customFormat="false" ht="14.25" hidden="false" customHeight="true" outlineLevel="0" collapsed="false">
      <c r="Z92" s="7" t="s">
        <v>170</v>
      </c>
    </row>
    <row r="93" customFormat="false" ht="14.25" hidden="false" customHeight="true" outlineLevel="0" collapsed="false">
      <c r="Z93" s="7" t="s">
        <v>171</v>
      </c>
    </row>
    <row r="94" customFormat="false" ht="14.25" hidden="false" customHeight="true" outlineLevel="0" collapsed="false">
      <c r="Z94" s="7" t="s">
        <v>172</v>
      </c>
    </row>
    <row r="95" customFormat="false" ht="14.25" hidden="false" customHeight="true" outlineLevel="0" collapsed="false">
      <c r="Z95" s="7" t="s">
        <v>173</v>
      </c>
    </row>
    <row r="96" customFormat="false" ht="14.25" hidden="false" customHeight="true" outlineLevel="0" collapsed="false">
      <c r="Z96" s="7" t="s">
        <v>174</v>
      </c>
    </row>
    <row r="97" customFormat="false" ht="14.25" hidden="false" customHeight="true" outlineLevel="0" collapsed="false">
      <c r="Z97" s="7" t="s">
        <v>175</v>
      </c>
    </row>
    <row r="98" customFormat="false" ht="14.25" hidden="false" customHeight="true" outlineLevel="0" collapsed="false">
      <c r="Z98" s="7" t="s">
        <v>176</v>
      </c>
    </row>
    <row r="99" customFormat="false" ht="14.25" hidden="false" customHeight="true" outlineLevel="0" collapsed="false">
      <c r="Z99" s="7" t="s">
        <v>177</v>
      </c>
    </row>
    <row r="100" customFormat="false" ht="14.25" hidden="false" customHeight="true" outlineLevel="0" collapsed="false">
      <c r="Z100" s="7" t="s">
        <v>178</v>
      </c>
    </row>
    <row r="101" customFormat="false" ht="14.25" hidden="false" customHeight="true" outlineLevel="0" collapsed="false">
      <c r="Z101" s="7" t="s">
        <v>179</v>
      </c>
    </row>
    <row r="102" customFormat="false" ht="14.25" hidden="false" customHeight="true" outlineLevel="0" collapsed="false">
      <c r="Z102" s="7" t="s">
        <v>180</v>
      </c>
    </row>
    <row r="103" customFormat="false" ht="14.25" hidden="false" customHeight="true" outlineLevel="0" collapsed="false">
      <c r="Z103" s="7" t="s">
        <v>181</v>
      </c>
    </row>
    <row r="104" customFormat="false" ht="14.25" hidden="false" customHeight="true" outlineLevel="0" collapsed="false">
      <c r="Z104" s="7" t="s">
        <v>182</v>
      </c>
    </row>
    <row r="105" customFormat="false" ht="14.25" hidden="false" customHeight="true" outlineLevel="0" collapsed="false">
      <c r="Z105" s="7" t="s">
        <v>183</v>
      </c>
    </row>
    <row r="106" customFormat="false" ht="14.25" hidden="false" customHeight="true" outlineLevel="0" collapsed="false">
      <c r="Z106" s="7" t="s">
        <v>184</v>
      </c>
    </row>
    <row r="107" customFormat="false" ht="14.25" hidden="false" customHeight="true" outlineLevel="0" collapsed="false">
      <c r="Z107" s="7" t="s">
        <v>185</v>
      </c>
    </row>
    <row r="108" customFormat="false" ht="14.25" hidden="false" customHeight="true" outlineLevel="0" collapsed="false">
      <c r="Z108" s="7" t="s">
        <v>186</v>
      </c>
    </row>
    <row r="109" customFormat="false" ht="14.25" hidden="false" customHeight="true" outlineLevel="0" collapsed="false">
      <c r="Z109" s="7" t="s">
        <v>187</v>
      </c>
    </row>
    <row r="110" customFormat="false" ht="14.25" hidden="false" customHeight="true" outlineLevel="0" collapsed="false">
      <c r="Z110" s="7" t="s">
        <v>188</v>
      </c>
    </row>
    <row r="111" customFormat="false" ht="14.25" hidden="false" customHeight="true" outlineLevel="0" collapsed="false">
      <c r="Z111" s="7" t="s">
        <v>189</v>
      </c>
    </row>
    <row r="112" customFormat="false" ht="14.25" hidden="false" customHeight="true" outlineLevel="0" collapsed="false">
      <c r="Z112" s="7" t="s">
        <v>190</v>
      </c>
    </row>
    <row r="113" customFormat="false" ht="14.25" hidden="false" customHeight="true" outlineLevel="0" collapsed="false">
      <c r="Z113" s="7" t="s">
        <v>191</v>
      </c>
    </row>
    <row r="114" customFormat="false" ht="14.25" hidden="false" customHeight="true" outlineLevel="0" collapsed="false">
      <c r="Z114" s="7" t="s">
        <v>192</v>
      </c>
    </row>
    <row r="115" customFormat="false" ht="14.25" hidden="false" customHeight="true" outlineLevel="0" collapsed="false">
      <c r="Z115" s="7" t="s">
        <v>193</v>
      </c>
    </row>
    <row r="116" customFormat="false" ht="14.25" hidden="false" customHeight="true" outlineLevel="0" collapsed="false">
      <c r="Z116" s="7" t="s">
        <v>194</v>
      </c>
    </row>
    <row r="117" customFormat="false" ht="14.25" hidden="false" customHeight="true" outlineLevel="0" collapsed="false">
      <c r="Z117" s="7" t="s">
        <v>195</v>
      </c>
    </row>
    <row r="118" customFormat="false" ht="14.25" hidden="false" customHeight="true" outlineLevel="0" collapsed="false">
      <c r="Z118" s="7" t="s">
        <v>196</v>
      </c>
    </row>
  </sheetData>
  <mergeCells count="7">
    <mergeCell ref="A1:E1"/>
    <mergeCell ref="A3:E3"/>
    <mergeCell ref="A12:E12"/>
    <mergeCell ref="A20:E20"/>
    <mergeCell ref="A26:E26"/>
    <mergeCell ref="A38:E38"/>
    <mergeCell ref="A50:E50"/>
  </mergeCells>
  <conditionalFormatting sqref="B4:B6">
    <cfRule type="expression" priority="2" aboveAverage="0" equalAverage="0" bottom="0" percent="0" rank="0" text="" dxfId="0">
      <formula>LEN(B4)&gt;0</formula>
    </cfRule>
  </conditionalFormatting>
  <conditionalFormatting sqref="B8:B9">
    <cfRule type="expression" priority="3" aboveAverage="0" equalAverage="0" bottom="0" percent="0" rank="0" text="" dxfId="0">
      <formula>LEN(B8)&gt;0</formula>
    </cfRule>
  </conditionalFormatting>
  <conditionalFormatting sqref="B13:B19">
    <cfRule type="expression" priority="4" aboveAverage="0" equalAverage="0" bottom="0" percent="0" rank="0" text="" dxfId="0">
      <formula>LEN(B13)&gt;0</formula>
    </cfRule>
  </conditionalFormatting>
  <conditionalFormatting sqref="B21:B23">
    <cfRule type="expression" priority="5" aboveAverage="0" equalAverage="0" bottom="0" percent="0" rank="0" text="" dxfId="0">
      <formula>LEN(B21)&gt;0</formula>
    </cfRule>
  </conditionalFormatting>
  <dataValidations count="3">
    <dataValidation allowBlank="true" errorStyle="stop" operator="between" showDropDown="false" showErrorMessage="true" showInputMessage="false" sqref="B18" type="list">
      <formula1>"否,是"</formula1>
      <formula2>0</formula2>
    </dataValidation>
    <dataValidation allowBlank="true" errorStyle="stop" operator="between" showDropDown="false" showErrorMessage="true" showInputMessage="false" sqref="B21" type="list">
      <formula1>"次日达,特惠普运"</formula1>
      <formula2>0</formula2>
    </dataValidation>
    <dataValidation allowBlank="false" errorStyle="stop" operator="between" showDropDown="false" showErrorMessage="false" showInputMessage="false" sqref="B19" type="list">
      <formula1>"否,是"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4"/>
  </cols>
  <sheetData>
    <row r="1" customFormat="false" ht="18" hidden="false" customHeight="true" outlineLevel="0" collapsed="false">
      <c r="A1" s="25" t="s">
        <v>69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true" outlineLevel="0" collapsed="false">
      <c r="A2" s="26" t="s">
        <v>197</v>
      </c>
      <c r="B2" s="26" t="s">
        <v>198</v>
      </c>
      <c r="C2" s="26" t="s">
        <v>199</v>
      </c>
      <c r="D2" s="26" t="s">
        <v>200</v>
      </c>
      <c r="E2" s="26" t="s">
        <v>201</v>
      </c>
      <c r="F2" s="26" t="s">
        <v>202</v>
      </c>
      <c r="G2" s="26" t="s">
        <v>203</v>
      </c>
      <c r="H2" s="26" t="s">
        <v>63</v>
      </c>
      <c r="I2" s="26" t="s">
        <v>204</v>
      </c>
      <c r="J2" s="27" t="s">
        <v>27</v>
      </c>
    </row>
    <row r="3" customFormat="false" ht="15.65" hidden="false" customHeight="false" outlineLevel="0" collapsed="false">
      <c r="A3" s="28" t="n">
        <f aca="false">IF(C3&lt;&gt;"",ROW()-2,"")</f>
        <v>1</v>
      </c>
      <c r="B3" s="28" t="s">
        <v>205</v>
      </c>
      <c r="C3" s="28" t="s">
        <v>206</v>
      </c>
      <c r="D3" s="28" t="s">
        <v>207</v>
      </c>
      <c r="E3" s="29" t="n">
        <v>1</v>
      </c>
      <c r="F3" s="29" t="n">
        <v>0.314</v>
      </c>
      <c r="G3" s="29" t="n">
        <v>0.02</v>
      </c>
      <c r="H3" s="29" t="n">
        <f aca="false">IF(I3="是",0,E3*F3*(1+G3))</f>
        <v>0.32028</v>
      </c>
      <c r="I3" s="28"/>
    </row>
    <row r="4" customFormat="false" ht="15.65" hidden="false" customHeight="false" outlineLevel="0" collapsed="false">
      <c r="A4" s="30" t="n">
        <f aca="false">IF(C4&lt;&gt;"",ROW()-2,"")</f>
        <v>2</v>
      </c>
      <c r="B4" s="30" t="s">
        <v>205</v>
      </c>
      <c r="C4" s="30" t="s">
        <v>208</v>
      </c>
      <c r="D4" s="30" t="s">
        <v>209</v>
      </c>
      <c r="E4" s="31" t="n">
        <v>2</v>
      </c>
      <c r="F4" s="31" t="n">
        <v>0.0012</v>
      </c>
      <c r="G4" s="31" t="n">
        <v>0.02</v>
      </c>
      <c r="H4" s="31" t="n">
        <f aca="false">IF(I4="是",0,E4*F4*(1+G4))</f>
        <v>0.002448</v>
      </c>
      <c r="I4" s="30"/>
    </row>
    <row r="5" customFormat="false" ht="15.65" hidden="false" customHeight="false" outlineLevel="0" collapsed="false">
      <c r="A5" s="28" t="n">
        <f aca="false">IF(C5&lt;&gt;"",ROW()-2,"")</f>
        <v>3</v>
      </c>
      <c r="B5" s="28" t="s">
        <v>73</v>
      </c>
      <c r="C5" s="28" t="s">
        <v>210</v>
      </c>
      <c r="D5" s="28" t="s">
        <v>211</v>
      </c>
      <c r="E5" s="29" t="n">
        <v>1</v>
      </c>
      <c r="F5" s="29" t="n">
        <v>7.15</v>
      </c>
      <c r="G5" s="29" t="n">
        <v>0</v>
      </c>
      <c r="H5" s="29" t="n">
        <f aca="false">IF(I5="是",0,E5*F5*(1+G5))</f>
        <v>7.15</v>
      </c>
      <c r="I5" s="28"/>
    </row>
    <row r="6" customFormat="false" ht="15" hidden="false" customHeight="true" outlineLevel="0" collapsed="false">
      <c r="A6" s="30" t="n">
        <f aca="false">IF(C6&lt;&gt;"",ROW()-2,"")</f>
        <v>4</v>
      </c>
      <c r="B6" s="30" t="s">
        <v>212</v>
      </c>
      <c r="C6" s="30" t="s">
        <v>213</v>
      </c>
      <c r="D6" s="30" t="s">
        <v>214</v>
      </c>
      <c r="E6" s="31" t="n">
        <v>1</v>
      </c>
      <c r="F6" s="31" t="n">
        <v>2.5</v>
      </c>
      <c r="G6" s="31" t="n">
        <v>0</v>
      </c>
      <c r="H6" s="31" t="n">
        <f aca="false">IF(I6="是",0,E6*F6*(1+G6))</f>
        <v>0</v>
      </c>
      <c r="I6" s="30" t="s">
        <v>215</v>
      </c>
      <c r="J6" s="27" t="s">
        <v>216</v>
      </c>
    </row>
    <row r="7" customFormat="false" ht="15.65" hidden="false" customHeight="false" outlineLevel="0" collapsed="false">
      <c r="A7" s="28" t="str">
        <f aca="false">IF(C7&lt;&gt;"",ROW()-2,"")</f>
        <v/>
      </c>
      <c r="B7" s="28"/>
      <c r="C7" s="28"/>
      <c r="D7" s="28"/>
      <c r="E7" s="29"/>
      <c r="F7" s="29"/>
      <c r="G7" s="29"/>
      <c r="H7" s="29" t="n">
        <f aca="false">IF(I7="是",0,E7*F7*(1+G7))</f>
        <v>0</v>
      </c>
      <c r="I7" s="28"/>
    </row>
    <row r="8" customFormat="false" ht="15.65" hidden="false" customHeight="false" outlineLevel="0" collapsed="false">
      <c r="A8" s="30" t="str">
        <f aca="false">IF(C8&lt;&gt;"",ROW()-2,"")</f>
        <v/>
      </c>
      <c r="B8" s="30"/>
      <c r="C8" s="30"/>
      <c r="D8" s="30"/>
      <c r="E8" s="31"/>
      <c r="F8" s="31"/>
      <c r="G8" s="31"/>
      <c r="H8" s="31" t="n">
        <f aca="false">IF(I8="是",0,E8*F8*(1+G8))</f>
        <v>0</v>
      </c>
      <c r="I8" s="30"/>
    </row>
    <row r="9" customFormat="false" ht="15.65" hidden="false" customHeight="false" outlineLevel="0" collapsed="false">
      <c r="A9" s="28" t="str">
        <f aca="false">IF(C9&lt;&gt;"",ROW()-2,"")</f>
        <v/>
      </c>
      <c r="B9" s="28"/>
      <c r="C9" s="28"/>
      <c r="D9" s="28"/>
      <c r="E9" s="29"/>
      <c r="F9" s="29"/>
      <c r="G9" s="29"/>
      <c r="H9" s="29" t="n">
        <f aca="false">IF(I9="是",0,E9*F9*(1+G9))</f>
        <v>0</v>
      </c>
      <c r="I9" s="28"/>
    </row>
    <row r="10" customFormat="false" ht="15.65" hidden="false" customHeight="false" outlineLevel="0" collapsed="false">
      <c r="A10" s="30" t="str">
        <f aca="false">IF(C10&lt;&gt;"",ROW()-2,"")</f>
        <v/>
      </c>
      <c r="B10" s="30"/>
      <c r="C10" s="30"/>
      <c r="D10" s="30"/>
      <c r="E10" s="31"/>
      <c r="F10" s="31"/>
      <c r="G10" s="31"/>
      <c r="H10" s="31" t="n">
        <f aca="false">IF(I10="是",0,E10*F10*(1+G10))</f>
        <v>0</v>
      </c>
      <c r="I10" s="30"/>
    </row>
    <row r="11" customFormat="false" ht="15.65" hidden="false" customHeight="false" outlineLevel="0" collapsed="false">
      <c r="A11" s="28" t="str">
        <f aca="false">IF(C11&lt;&gt;"",ROW()-2,"")</f>
        <v/>
      </c>
      <c r="B11" s="28"/>
      <c r="C11" s="28"/>
      <c r="D11" s="28"/>
      <c r="E11" s="29"/>
      <c r="F11" s="29"/>
      <c r="G11" s="29"/>
      <c r="H11" s="29" t="n">
        <f aca="false">IF(I11="是",0,E11*F11*(1+G11))</f>
        <v>0</v>
      </c>
      <c r="I11" s="28"/>
    </row>
    <row r="12" customFormat="false" ht="15.65" hidden="false" customHeight="false" outlineLevel="0" collapsed="false">
      <c r="A12" s="30" t="str">
        <f aca="false">IF(C12&lt;&gt;"",ROW()-2,"")</f>
        <v/>
      </c>
      <c r="B12" s="30"/>
      <c r="C12" s="30"/>
      <c r="D12" s="30"/>
      <c r="E12" s="31"/>
      <c r="F12" s="31"/>
      <c r="G12" s="31"/>
      <c r="H12" s="31" t="n">
        <f aca="false">IF(I12="是",0,E12*F12*(1+G12))</f>
        <v>0</v>
      </c>
      <c r="I12" s="30"/>
    </row>
    <row r="13" customFormat="false" ht="15.65" hidden="false" customHeight="false" outlineLevel="0" collapsed="false">
      <c r="A13" s="28" t="str">
        <f aca="false">IF(C13&lt;&gt;"",ROW()-2,"")</f>
        <v/>
      </c>
      <c r="B13" s="28"/>
      <c r="C13" s="28"/>
      <c r="D13" s="28"/>
      <c r="E13" s="29"/>
      <c r="F13" s="29"/>
      <c r="G13" s="29"/>
      <c r="H13" s="29" t="n">
        <f aca="false">IF(I13="是",0,E13*F13*(1+G13))</f>
        <v>0</v>
      </c>
      <c r="I13" s="28"/>
    </row>
    <row r="14" customFormat="false" ht="15.65" hidden="false" customHeight="false" outlineLevel="0" collapsed="false">
      <c r="A14" s="30" t="str">
        <f aca="false">IF(C14&lt;&gt;"",ROW()-2,"")</f>
        <v/>
      </c>
      <c r="B14" s="30"/>
      <c r="C14" s="30"/>
      <c r="D14" s="30"/>
      <c r="E14" s="31"/>
      <c r="F14" s="31"/>
      <c r="G14" s="31"/>
      <c r="H14" s="31" t="n">
        <f aca="false">IF(I14="是",0,E14*F14*(1+G14))</f>
        <v>0</v>
      </c>
      <c r="I14" s="30"/>
    </row>
    <row r="15" customFormat="false" ht="15.65" hidden="false" customHeight="false" outlineLevel="0" collapsed="false">
      <c r="A15" s="28" t="str">
        <f aca="false">IF(C15&lt;&gt;"",ROW()-2,"")</f>
        <v/>
      </c>
      <c r="B15" s="28"/>
      <c r="C15" s="28"/>
      <c r="D15" s="28"/>
      <c r="E15" s="29"/>
      <c r="F15" s="29"/>
      <c r="G15" s="29"/>
      <c r="H15" s="29" t="n">
        <f aca="false">IF(I15="是",0,E15*F15*(1+G15))</f>
        <v>0</v>
      </c>
      <c r="I15" s="28"/>
    </row>
    <row r="16" customFormat="false" ht="15.65" hidden="false" customHeight="false" outlineLevel="0" collapsed="false">
      <c r="A16" s="30" t="str">
        <f aca="false">IF(C16&lt;&gt;"",ROW()-2,"")</f>
        <v/>
      </c>
      <c r="B16" s="30"/>
      <c r="C16" s="30"/>
      <c r="D16" s="30"/>
      <c r="E16" s="31"/>
      <c r="F16" s="31"/>
      <c r="G16" s="31"/>
      <c r="H16" s="31" t="n">
        <f aca="false">IF(I16="是",0,E16*F16*(1+G16))</f>
        <v>0</v>
      </c>
      <c r="I16" s="30"/>
    </row>
    <row r="17" customFormat="false" ht="15.65" hidden="false" customHeight="false" outlineLevel="0" collapsed="false">
      <c r="A17" s="28" t="str">
        <f aca="false">IF(C17&lt;&gt;"",ROW()-2,"")</f>
        <v/>
      </c>
      <c r="B17" s="28"/>
      <c r="C17" s="28"/>
      <c r="D17" s="28"/>
      <c r="E17" s="29"/>
      <c r="F17" s="29"/>
      <c r="G17" s="29"/>
      <c r="H17" s="29" t="n">
        <f aca="false">IF(I17="是",0,E17*F17*(1+G17))</f>
        <v>0</v>
      </c>
      <c r="I17" s="28"/>
    </row>
    <row r="18" customFormat="false" ht="15.65" hidden="false" customHeight="false" outlineLevel="0" collapsed="false">
      <c r="A18" s="30" t="str">
        <f aca="false">IF(C18&lt;&gt;"",ROW()-2,"")</f>
        <v/>
      </c>
      <c r="B18" s="30"/>
      <c r="C18" s="30"/>
      <c r="D18" s="30"/>
      <c r="E18" s="31"/>
      <c r="F18" s="31"/>
      <c r="G18" s="31"/>
      <c r="H18" s="31" t="n">
        <f aca="false">IF(I18="是",0,E18*F18*(1+G18))</f>
        <v>0</v>
      </c>
      <c r="I18" s="30"/>
    </row>
    <row r="19" customFormat="false" ht="15.65" hidden="false" customHeight="false" outlineLevel="0" collapsed="false">
      <c r="A19" s="28" t="str">
        <f aca="false">IF(C19&lt;&gt;"",ROW()-2,"")</f>
        <v/>
      </c>
      <c r="B19" s="28"/>
      <c r="C19" s="28"/>
      <c r="D19" s="28"/>
      <c r="E19" s="29"/>
      <c r="F19" s="29"/>
      <c r="G19" s="29"/>
      <c r="H19" s="29" t="n">
        <f aca="false">IF(I19="是",0,E19*F19*(1+G19))</f>
        <v>0</v>
      </c>
      <c r="I19" s="28"/>
    </row>
    <row r="20" customFormat="false" ht="15.65" hidden="false" customHeight="false" outlineLevel="0" collapsed="false">
      <c r="A20" s="30" t="str">
        <f aca="false">IF(C20&lt;&gt;"",ROW()-2,"")</f>
        <v/>
      </c>
      <c r="B20" s="30"/>
      <c r="C20" s="30"/>
      <c r="D20" s="30"/>
      <c r="E20" s="31"/>
      <c r="F20" s="31"/>
      <c r="G20" s="31"/>
      <c r="H20" s="31" t="n">
        <f aca="false">IF(I20="是",0,E20*F20*(1+G20))</f>
        <v>0</v>
      </c>
      <c r="I20" s="30"/>
    </row>
    <row r="21" customFormat="false" ht="15.65" hidden="false" customHeight="false" outlineLevel="0" collapsed="false">
      <c r="A21" s="28" t="str">
        <f aca="false">IF(C21&lt;&gt;"",ROW()-2,"")</f>
        <v/>
      </c>
      <c r="B21" s="28"/>
      <c r="C21" s="28"/>
      <c r="D21" s="28"/>
      <c r="E21" s="29"/>
      <c r="F21" s="29"/>
      <c r="G21" s="29"/>
      <c r="H21" s="29" t="n">
        <f aca="false">IF(I21="是",0,E21*F21*(1+G21))</f>
        <v>0</v>
      </c>
      <c r="I21" s="28"/>
    </row>
    <row r="22" customFormat="false" ht="15.65" hidden="false" customHeight="false" outlineLevel="0" collapsed="false">
      <c r="A22" s="30" t="str">
        <f aca="false">IF(C22&lt;&gt;"",ROW()-2,"")</f>
        <v/>
      </c>
      <c r="B22" s="30"/>
      <c r="C22" s="30"/>
      <c r="D22" s="30"/>
      <c r="E22" s="31"/>
      <c r="F22" s="31"/>
      <c r="G22" s="31"/>
      <c r="H22" s="31" t="n">
        <f aca="false">IF(I22="是",0,E22*F22*(1+G22))</f>
        <v>0</v>
      </c>
      <c r="I22" s="30"/>
    </row>
    <row r="23" customFormat="false" ht="15.65" hidden="false" customHeight="false" outlineLevel="0" collapsed="false">
      <c r="A23" s="28" t="str">
        <f aca="false">IF(C23&lt;&gt;"",ROW()-2,"")</f>
        <v/>
      </c>
      <c r="B23" s="28"/>
      <c r="C23" s="28"/>
      <c r="D23" s="28"/>
      <c r="E23" s="29"/>
      <c r="F23" s="29"/>
      <c r="G23" s="29"/>
      <c r="H23" s="29" t="n">
        <f aca="false">IF(I23="是",0,E23*F23*(1+G23))</f>
        <v>0</v>
      </c>
      <c r="I23" s="28"/>
    </row>
    <row r="24" customFormat="false" ht="15.65" hidden="false" customHeight="false" outlineLevel="0" collapsed="false">
      <c r="A24" s="30" t="str">
        <f aca="false">IF(C24&lt;&gt;"",ROW()-2,"")</f>
        <v/>
      </c>
      <c r="B24" s="30"/>
      <c r="C24" s="30"/>
      <c r="D24" s="30"/>
      <c r="E24" s="31"/>
      <c r="F24" s="31"/>
      <c r="G24" s="31"/>
      <c r="H24" s="31" t="n">
        <f aca="false">IF(I24="是",0,E24*F24*(1+G24))</f>
        <v>0</v>
      </c>
      <c r="I24" s="30"/>
    </row>
    <row r="25" customFormat="false" ht="15.65" hidden="false" customHeight="false" outlineLevel="0" collapsed="false">
      <c r="A25" s="28" t="str">
        <f aca="false">IF(C25&lt;&gt;"",ROW()-2,"")</f>
        <v/>
      </c>
      <c r="B25" s="28"/>
      <c r="C25" s="28"/>
      <c r="D25" s="28"/>
      <c r="E25" s="29"/>
      <c r="F25" s="29"/>
      <c r="G25" s="29"/>
      <c r="H25" s="29" t="n">
        <f aca="false">IF(I25="是",0,E25*F25*(1+G25))</f>
        <v>0</v>
      </c>
      <c r="I25" s="28"/>
    </row>
    <row r="26" customFormat="false" ht="15.65" hidden="false" customHeight="false" outlineLevel="0" collapsed="false">
      <c r="A26" s="30" t="str">
        <f aca="false">IF(C26&lt;&gt;"",ROW()-2,"")</f>
        <v/>
      </c>
      <c r="B26" s="30"/>
      <c r="C26" s="30"/>
      <c r="D26" s="30"/>
      <c r="E26" s="31"/>
      <c r="F26" s="31"/>
      <c r="G26" s="31"/>
      <c r="H26" s="31" t="n">
        <f aca="false">IF(I26="是",0,E26*F26*(1+G26))</f>
        <v>0</v>
      </c>
      <c r="I26" s="30"/>
    </row>
    <row r="27" customFormat="false" ht="15.65" hidden="false" customHeight="false" outlineLevel="0" collapsed="false">
      <c r="A27" s="28" t="str">
        <f aca="false">IF(C27&lt;&gt;"",ROW()-2,"")</f>
        <v/>
      </c>
      <c r="B27" s="28"/>
      <c r="C27" s="28"/>
      <c r="D27" s="28"/>
      <c r="E27" s="29"/>
      <c r="F27" s="29"/>
      <c r="G27" s="29"/>
      <c r="H27" s="29" t="n">
        <f aca="false">IF(I27="是",0,E27*F27*(1+G27))</f>
        <v>0</v>
      </c>
      <c r="I27" s="28"/>
    </row>
    <row r="28" customFormat="false" ht="15.65" hidden="false" customHeight="false" outlineLevel="0" collapsed="false">
      <c r="A28" s="30" t="str">
        <f aca="false">IF(C28&lt;&gt;"",ROW()-2,"")</f>
        <v/>
      </c>
      <c r="B28" s="30"/>
      <c r="C28" s="30"/>
      <c r="D28" s="30"/>
      <c r="E28" s="31"/>
      <c r="F28" s="31"/>
      <c r="G28" s="31"/>
      <c r="H28" s="31" t="n">
        <f aca="false">IF(I28="是",0,E28*F28*(1+G28))</f>
        <v>0</v>
      </c>
      <c r="I28" s="30"/>
    </row>
    <row r="29" customFormat="false" ht="15.65" hidden="false" customHeight="false" outlineLevel="0" collapsed="false">
      <c r="A29" s="28" t="str">
        <f aca="false">IF(C29&lt;&gt;"",ROW()-2,"")</f>
        <v/>
      </c>
      <c r="B29" s="28"/>
      <c r="C29" s="28"/>
      <c r="D29" s="28"/>
      <c r="E29" s="29"/>
      <c r="F29" s="29"/>
      <c r="G29" s="29"/>
      <c r="H29" s="29" t="n">
        <f aca="false">IF(I29="是",0,E29*F29*(1+G29))</f>
        <v>0</v>
      </c>
      <c r="I29" s="28"/>
    </row>
    <row r="30" customFormat="false" ht="15.65" hidden="false" customHeight="false" outlineLevel="0" collapsed="false">
      <c r="A30" s="30" t="str">
        <f aca="false">IF(C30&lt;&gt;"",ROW()-2,"")</f>
        <v/>
      </c>
      <c r="B30" s="30"/>
      <c r="C30" s="30"/>
      <c r="D30" s="30"/>
      <c r="E30" s="31"/>
      <c r="F30" s="31"/>
      <c r="G30" s="31"/>
      <c r="H30" s="31" t="n">
        <f aca="false">IF(I30="是",0,E30*F30*(1+G30))</f>
        <v>0</v>
      </c>
      <c r="I30" s="30"/>
    </row>
    <row r="31" customFormat="false" ht="15.65" hidden="false" customHeight="false" outlineLevel="0" collapsed="false">
      <c r="A31" s="28" t="str">
        <f aca="false">IF(C31&lt;&gt;"",ROW()-2,"")</f>
        <v/>
      </c>
      <c r="B31" s="28"/>
      <c r="C31" s="28"/>
      <c r="D31" s="28"/>
      <c r="E31" s="29"/>
      <c r="F31" s="29"/>
      <c r="G31" s="29"/>
      <c r="H31" s="29" t="n">
        <f aca="false">IF(I31="是",0,E31*F31*(1+G31))</f>
        <v>0</v>
      </c>
      <c r="I31" s="28"/>
    </row>
    <row r="32" customFormat="false" ht="15.65" hidden="false" customHeight="false" outlineLevel="0" collapsed="false">
      <c r="A32" s="30" t="str">
        <f aca="false">IF(C32&lt;&gt;"",ROW()-2,"")</f>
        <v/>
      </c>
      <c r="B32" s="30"/>
      <c r="C32" s="30"/>
      <c r="D32" s="30"/>
      <c r="E32" s="31"/>
      <c r="F32" s="31"/>
      <c r="G32" s="31"/>
      <c r="H32" s="31" t="n">
        <f aca="false">IF(I32="是",0,E32*F32*(1+G32))</f>
        <v>0</v>
      </c>
      <c r="I32" s="30"/>
    </row>
    <row r="33" customFormat="false" ht="15.65" hidden="false" customHeight="false" outlineLevel="0" collapsed="false">
      <c r="A33" s="28" t="str">
        <f aca="false">IF(C33&lt;&gt;"",ROW()-2,"")</f>
        <v/>
      </c>
      <c r="B33" s="28"/>
      <c r="C33" s="28"/>
      <c r="D33" s="28"/>
      <c r="E33" s="29"/>
      <c r="F33" s="29"/>
      <c r="G33" s="29"/>
      <c r="H33" s="29" t="n">
        <f aca="false">IF(I33="是",0,E33*F33*(1+G33))</f>
        <v>0</v>
      </c>
      <c r="I33" s="28"/>
    </row>
    <row r="34" customFormat="false" ht="15.65" hidden="false" customHeight="false" outlineLevel="0" collapsed="false">
      <c r="A34" s="30" t="str">
        <f aca="false">IF(C34&lt;&gt;"",ROW()-2,"")</f>
        <v/>
      </c>
      <c r="B34" s="30"/>
      <c r="C34" s="30"/>
      <c r="D34" s="30"/>
      <c r="E34" s="31"/>
      <c r="F34" s="31"/>
      <c r="G34" s="31"/>
      <c r="H34" s="31" t="n">
        <f aca="false">IF(I34="是",0,E34*F34*(1+G34))</f>
        <v>0</v>
      </c>
      <c r="I34" s="30"/>
    </row>
    <row r="35" customFormat="false" ht="15.65" hidden="false" customHeight="false" outlineLevel="0" collapsed="false">
      <c r="A35" s="28" t="str">
        <f aca="false">IF(C35&lt;&gt;"",ROW()-2,"")</f>
        <v/>
      </c>
      <c r="B35" s="28"/>
      <c r="C35" s="28"/>
      <c r="D35" s="28"/>
      <c r="E35" s="29"/>
      <c r="F35" s="29"/>
      <c r="G35" s="29"/>
      <c r="H35" s="29" t="n">
        <f aca="false">IF(I35="是",0,E35*F35*(1+G35))</f>
        <v>0</v>
      </c>
      <c r="I35" s="28"/>
    </row>
    <row r="36" customFormat="false" ht="15.65" hidden="false" customHeight="false" outlineLevel="0" collapsed="false">
      <c r="A36" s="30" t="str">
        <f aca="false">IF(C36&lt;&gt;"",ROW()-2,"")</f>
        <v/>
      </c>
      <c r="B36" s="30"/>
      <c r="C36" s="30"/>
      <c r="D36" s="30"/>
      <c r="E36" s="31"/>
      <c r="F36" s="31"/>
      <c r="G36" s="31"/>
      <c r="H36" s="31" t="n">
        <f aca="false">IF(I36="是",0,E36*F36*(1+G36))</f>
        <v>0</v>
      </c>
      <c r="I36" s="30"/>
    </row>
    <row r="37" customFormat="false" ht="15.65" hidden="false" customHeight="false" outlineLevel="0" collapsed="false">
      <c r="A37" s="28" t="str">
        <f aca="false">IF(C37&lt;&gt;"",ROW()-2,"")</f>
        <v/>
      </c>
      <c r="B37" s="28"/>
      <c r="C37" s="28"/>
      <c r="D37" s="28"/>
      <c r="E37" s="29"/>
      <c r="F37" s="29"/>
      <c r="G37" s="29"/>
      <c r="H37" s="29" t="n">
        <f aca="false">IF(I37="是",0,E37*F37*(1+G37))</f>
        <v>0</v>
      </c>
      <c r="I37" s="28"/>
    </row>
    <row r="38" customFormat="false" ht="15.65" hidden="false" customHeight="false" outlineLevel="0" collapsed="false">
      <c r="A38" s="30" t="str">
        <f aca="false">IF(C38&lt;&gt;"",ROW()-2,"")</f>
        <v/>
      </c>
      <c r="B38" s="30"/>
      <c r="C38" s="30"/>
      <c r="D38" s="30"/>
      <c r="E38" s="31"/>
      <c r="F38" s="31"/>
      <c r="G38" s="31"/>
      <c r="H38" s="31" t="n">
        <f aca="false">IF(I38="是",0,E38*F38*(1+G38))</f>
        <v>0</v>
      </c>
      <c r="I38" s="30"/>
    </row>
    <row r="39" customFormat="false" ht="15.65" hidden="false" customHeight="false" outlineLevel="0" collapsed="false">
      <c r="A39" s="28" t="str">
        <f aca="false">IF(C39&lt;&gt;"",ROW()-2,"")</f>
        <v/>
      </c>
      <c r="B39" s="28"/>
      <c r="C39" s="28"/>
      <c r="D39" s="28"/>
      <c r="E39" s="29"/>
      <c r="F39" s="29"/>
      <c r="G39" s="29"/>
      <c r="H39" s="29" t="n">
        <f aca="false">IF(I39="是",0,E39*F39*(1+G39))</f>
        <v>0</v>
      </c>
      <c r="I39" s="28"/>
    </row>
    <row r="40" customFormat="false" ht="15.65" hidden="false" customHeight="false" outlineLevel="0" collapsed="false">
      <c r="A40" s="30" t="str">
        <f aca="false">IF(C40&lt;&gt;"",ROW()-2,"")</f>
        <v/>
      </c>
      <c r="B40" s="30"/>
      <c r="C40" s="30"/>
      <c r="D40" s="30"/>
      <c r="E40" s="31"/>
      <c r="F40" s="31"/>
      <c r="G40" s="31"/>
      <c r="H40" s="31" t="n">
        <f aca="false">IF(I40="是",0,E40*F40*(1+G40))</f>
        <v>0</v>
      </c>
      <c r="I40" s="30"/>
    </row>
    <row r="41" customFormat="false" ht="15.65" hidden="false" customHeight="false" outlineLevel="0" collapsed="false">
      <c r="A41" s="28" t="str">
        <f aca="false">IF(C41&lt;&gt;"",ROW()-2,"")</f>
        <v/>
      </c>
      <c r="B41" s="28"/>
      <c r="C41" s="28"/>
      <c r="D41" s="28"/>
      <c r="E41" s="29"/>
      <c r="F41" s="29"/>
      <c r="G41" s="29"/>
      <c r="H41" s="29" t="n">
        <f aca="false">IF(I41="是",0,E41*F41*(1+G41))</f>
        <v>0</v>
      </c>
      <c r="I41" s="28"/>
    </row>
    <row r="42" customFormat="false" ht="15.65" hidden="false" customHeight="false" outlineLevel="0" collapsed="false">
      <c r="A42" s="30" t="str">
        <f aca="false">IF(C42&lt;&gt;"",ROW()-2,"")</f>
        <v/>
      </c>
      <c r="B42" s="30"/>
      <c r="C42" s="30"/>
      <c r="D42" s="30"/>
      <c r="E42" s="31"/>
      <c r="F42" s="31"/>
      <c r="G42" s="31"/>
      <c r="H42" s="31" t="n">
        <f aca="false">IF(I42="是",0,E42*F42*(1+G42))</f>
        <v>0</v>
      </c>
      <c r="I42" s="30"/>
    </row>
    <row r="43" customFormat="false" ht="15.65" hidden="false" customHeight="false" outlineLevel="0" collapsed="false">
      <c r="A43" s="28" t="str">
        <f aca="false">IF(C43&lt;&gt;"",ROW()-2,"")</f>
        <v/>
      </c>
      <c r="B43" s="28"/>
      <c r="C43" s="28"/>
      <c r="D43" s="28"/>
      <c r="E43" s="29"/>
      <c r="F43" s="29"/>
      <c r="G43" s="29"/>
      <c r="H43" s="29" t="n">
        <f aca="false">IF(I43="是",0,E43*F43*(1+G43))</f>
        <v>0</v>
      </c>
      <c r="I43" s="28"/>
    </row>
    <row r="44" customFormat="false" ht="15.65" hidden="false" customHeight="false" outlineLevel="0" collapsed="false">
      <c r="A44" s="30" t="str">
        <f aca="false">IF(C44&lt;&gt;"",ROW()-2,"")</f>
        <v/>
      </c>
      <c r="B44" s="30"/>
      <c r="C44" s="30"/>
      <c r="D44" s="30"/>
      <c r="E44" s="31"/>
      <c r="F44" s="31"/>
      <c r="G44" s="31"/>
      <c r="H44" s="31" t="n">
        <f aca="false">IF(I44="是",0,E44*F44*(1+G44))</f>
        <v>0</v>
      </c>
      <c r="I44" s="30"/>
    </row>
    <row r="45" customFormat="false" ht="15.65" hidden="false" customHeight="false" outlineLevel="0" collapsed="false">
      <c r="A45" s="28" t="str">
        <f aca="false">IF(C45&lt;&gt;"",ROW()-2,"")</f>
        <v/>
      </c>
      <c r="B45" s="28"/>
      <c r="C45" s="28"/>
      <c r="D45" s="28"/>
      <c r="E45" s="29"/>
      <c r="F45" s="29"/>
      <c r="G45" s="29"/>
      <c r="H45" s="29" t="n">
        <f aca="false">IF(I45="是",0,E45*F45*(1+G45))</f>
        <v>0</v>
      </c>
      <c r="I45" s="28"/>
    </row>
    <row r="46" customFormat="false" ht="15.65" hidden="false" customHeight="false" outlineLevel="0" collapsed="false">
      <c r="A46" s="30" t="str">
        <f aca="false">IF(C46&lt;&gt;"",ROW()-2,"")</f>
        <v/>
      </c>
      <c r="B46" s="30"/>
      <c r="C46" s="30"/>
      <c r="D46" s="30"/>
      <c r="E46" s="31"/>
      <c r="F46" s="31"/>
      <c r="G46" s="31"/>
      <c r="H46" s="31" t="n">
        <f aca="false">IF(I46="是",0,E46*F46*(1+G46))</f>
        <v>0</v>
      </c>
      <c r="I46" s="30"/>
    </row>
    <row r="47" customFormat="false" ht="15.65" hidden="false" customHeight="false" outlineLevel="0" collapsed="false">
      <c r="A47" s="28" t="str">
        <f aca="false">IF(C47&lt;&gt;"",ROW()-2,"")</f>
        <v/>
      </c>
      <c r="B47" s="28"/>
      <c r="C47" s="28"/>
      <c r="D47" s="28"/>
      <c r="E47" s="29"/>
      <c r="F47" s="29"/>
      <c r="G47" s="29"/>
      <c r="H47" s="29" t="n">
        <f aca="false">IF(I47="是",0,E47*F47*(1+G47))</f>
        <v>0</v>
      </c>
      <c r="I47" s="28"/>
    </row>
    <row r="48" customFormat="false" ht="15.65" hidden="false" customHeight="false" outlineLevel="0" collapsed="false">
      <c r="A48" s="30" t="str">
        <f aca="false">IF(C48&lt;&gt;"",ROW()-2,"")</f>
        <v/>
      </c>
      <c r="B48" s="30"/>
      <c r="C48" s="30"/>
      <c r="D48" s="30"/>
      <c r="E48" s="31"/>
      <c r="F48" s="31"/>
      <c r="G48" s="31"/>
      <c r="H48" s="31" t="n">
        <f aca="false">IF(I48="是",0,E48*F48*(1+G48))</f>
        <v>0</v>
      </c>
      <c r="I48" s="30"/>
    </row>
    <row r="49" customFormat="false" ht="15.65" hidden="false" customHeight="false" outlineLevel="0" collapsed="false">
      <c r="A49" s="28" t="str">
        <f aca="false">IF(C49&lt;&gt;"",ROW()-2,"")</f>
        <v/>
      </c>
      <c r="B49" s="28"/>
      <c r="C49" s="28"/>
      <c r="D49" s="28"/>
      <c r="E49" s="29"/>
      <c r="F49" s="29"/>
      <c r="G49" s="29"/>
      <c r="H49" s="29" t="n">
        <f aca="false">IF(I49="是",0,E49*F49*(1+G49))</f>
        <v>0</v>
      </c>
      <c r="I49" s="28"/>
    </row>
    <row r="50" customFormat="false" ht="15.65" hidden="false" customHeight="false" outlineLevel="0" collapsed="false">
      <c r="A50" s="30" t="str">
        <f aca="false">IF(C50&lt;&gt;"",ROW()-2,"")</f>
        <v/>
      </c>
      <c r="B50" s="30"/>
      <c r="C50" s="30"/>
      <c r="D50" s="30"/>
      <c r="E50" s="31"/>
      <c r="F50" s="31"/>
      <c r="G50" s="31"/>
      <c r="H50" s="31" t="n">
        <f aca="false">IF(I50="是",0,E50*F50*(1+G50))</f>
        <v>0</v>
      </c>
      <c r="I50" s="30"/>
    </row>
    <row r="51" customFormat="false" ht="15.65" hidden="false" customHeight="false" outlineLevel="0" collapsed="false">
      <c r="A51" s="28" t="str">
        <f aca="false">IF(C51&lt;&gt;"",ROW()-2,"")</f>
        <v/>
      </c>
      <c r="B51" s="28"/>
      <c r="C51" s="28"/>
      <c r="D51" s="28"/>
      <c r="E51" s="29"/>
      <c r="F51" s="29"/>
      <c r="G51" s="29"/>
      <c r="H51" s="29" t="n">
        <f aca="false">IF(I51="是",0,E51*F51*(1+G51))</f>
        <v>0</v>
      </c>
      <c r="I51" s="28"/>
    </row>
    <row r="52" customFormat="false" ht="15.65" hidden="false" customHeight="false" outlineLevel="0" collapsed="false">
      <c r="A52" s="30" t="str">
        <f aca="false">IF(C52&lt;&gt;"",ROW()-2,"")</f>
        <v/>
      </c>
      <c r="B52" s="30"/>
      <c r="C52" s="30"/>
      <c r="D52" s="30"/>
      <c r="E52" s="31"/>
      <c r="F52" s="31"/>
      <c r="G52" s="31"/>
      <c r="H52" s="31" t="n">
        <f aca="false">IF(I52="是",0,E52*F52*(1+G52))</f>
        <v>0</v>
      </c>
      <c r="I52" s="30"/>
    </row>
    <row r="53" customFormat="false" ht="15.65" hidden="false" customHeight="false" outlineLevel="0" collapsed="false">
      <c r="A53" s="28" t="str">
        <f aca="false">IF(C53&lt;&gt;"",ROW()-2,"")</f>
        <v/>
      </c>
      <c r="B53" s="28"/>
      <c r="C53" s="28"/>
      <c r="D53" s="28"/>
      <c r="E53" s="29"/>
      <c r="F53" s="29"/>
      <c r="G53" s="29"/>
      <c r="H53" s="29" t="n">
        <f aca="false">IF(I53="是",0,E53*F53*(1+G53))</f>
        <v>0</v>
      </c>
      <c r="I53" s="28"/>
    </row>
    <row r="54" customFormat="false" ht="15.65" hidden="false" customHeight="false" outlineLevel="0" collapsed="false">
      <c r="A54" s="30" t="str">
        <f aca="false">IF(C54&lt;&gt;"",ROW()-2,"")</f>
        <v/>
      </c>
      <c r="B54" s="30"/>
      <c r="C54" s="30"/>
      <c r="D54" s="30"/>
      <c r="E54" s="31"/>
      <c r="F54" s="31"/>
      <c r="G54" s="31"/>
      <c r="H54" s="31" t="n">
        <f aca="false">IF(I54="是",0,E54*F54*(1+G54))</f>
        <v>0</v>
      </c>
      <c r="I54" s="30"/>
    </row>
    <row r="55" customFormat="false" ht="15.65" hidden="false" customHeight="false" outlineLevel="0" collapsed="false">
      <c r="A55" s="28" t="str">
        <f aca="false">IF(C55&lt;&gt;"",ROW()-2,"")</f>
        <v/>
      </c>
      <c r="B55" s="28"/>
      <c r="C55" s="28"/>
      <c r="D55" s="28"/>
      <c r="E55" s="29"/>
      <c r="F55" s="29"/>
      <c r="G55" s="29"/>
      <c r="H55" s="29" t="n">
        <f aca="false">IF(I55="是",0,E55*F55*(1+G55))</f>
        <v>0</v>
      </c>
      <c r="I55" s="28"/>
    </row>
    <row r="56" customFormat="false" ht="15.65" hidden="false" customHeight="false" outlineLevel="0" collapsed="false">
      <c r="A56" s="30" t="str">
        <f aca="false">IF(C56&lt;&gt;"",ROW()-2,"")</f>
        <v/>
      </c>
      <c r="B56" s="30"/>
      <c r="C56" s="30"/>
      <c r="D56" s="30"/>
      <c r="E56" s="31"/>
      <c r="F56" s="31"/>
      <c r="G56" s="31"/>
      <c r="H56" s="31" t="n">
        <f aca="false">IF(I56="是",0,E56*F56*(1+G56))</f>
        <v>0</v>
      </c>
      <c r="I56" s="30"/>
    </row>
    <row r="57" customFormat="false" ht="15.65" hidden="false" customHeight="false" outlineLevel="0" collapsed="false">
      <c r="A57" s="28" t="str">
        <f aca="false">IF(C57&lt;&gt;"",ROW()-2,"")</f>
        <v/>
      </c>
      <c r="B57" s="28"/>
      <c r="C57" s="28"/>
      <c r="D57" s="28"/>
      <c r="E57" s="29"/>
      <c r="F57" s="29"/>
      <c r="G57" s="29"/>
      <c r="H57" s="29" t="n">
        <f aca="false">IF(I57="是",0,E57*F57*(1+G57))</f>
        <v>0</v>
      </c>
      <c r="I57" s="28"/>
    </row>
    <row r="58" customFormat="false" ht="15.65" hidden="false" customHeight="false" outlineLevel="0" collapsed="false">
      <c r="A58" s="30" t="str">
        <f aca="false">IF(C58&lt;&gt;"",ROW()-2,"")</f>
        <v/>
      </c>
      <c r="B58" s="30"/>
      <c r="C58" s="30"/>
      <c r="D58" s="30"/>
      <c r="E58" s="31"/>
      <c r="F58" s="31"/>
      <c r="G58" s="31"/>
      <c r="H58" s="31" t="n">
        <f aca="false">IF(I58="是",0,E58*F58*(1+G58))</f>
        <v>0</v>
      </c>
      <c r="I58" s="30"/>
    </row>
    <row r="59" customFormat="false" ht="15.65" hidden="false" customHeight="false" outlineLevel="0" collapsed="false">
      <c r="A59" s="28" t="str">
        <f aca="false">IF(C59&lt;&gt;"",ROW()-2,"")</f>
        <v/>
      </c>
      <c r="B59" s="28"/>
      <c r="C59" s="28"/>
      <c r="D59" s="28"/>
      <c r="E59" s="29"/>
      <c r="F59" s="29"/>
      <c r="G59" s="29"/>
      <c r="H59" s="29" t="n">
        <f aca="false">IF(I59="是",0,E59*F59*(1+G59))</f>
        <v>0</v>
      </c>
      <c r="I59" s="28"/>
    </row>
    <row r="60" customFormat="false" ht="15.65" hidden="false" customHeight="false" outlineLevel="0" collapsed="false">
      <c r="A60" s="30" t="str">
        <f aca="false">IF(C60&lt;&gt;"",ROW()-2,"")</f>
        <v/>
      </c>
      <c r="B60" s="30"/>
      <c r="C60" s="30"/>
      <c r="D60" s="30"/>
      <c r="E60" s="31"/>
      <c r="F60" s="31"/>
      <c r="G60" s="31"/>
      <c r="H60" s="31" t="n">
        <f aca="false">IF(I60="是",0,E60*F60*(1+G60))</f>
        <v>0</v>
      </c>
      <c r="I60" s="30"/>
    </row>
    <row r="61" customFormat="false" ht="15.65" hidden="false" customHeight="false" outlineLevel="0" collapsed="false">
      <c r="A61" s="28" t="str">
        <f aca="false">IF(C61&lt;&gt;"",ROW()-2,"")</f>
        <v/>
      </c>
      <c r="B61" s="28"/>
      <c r="C61" s="28"/>
      <c r="D61" s="28"/>
      <c r="E61" s="29"/>
      <c r="F61" s="29"/>
      <c r="G61" s="29"/>
      <c r="H61" s="29" t="n">
        <f aca="false">IF(I61="是",0,E61*F61*(1+G61))</f>
        <v>0</v>
      </c>
      <c r="I61" s="28"/>
    </row>
    <row r="62" customFormat="false" ht="15.65" hidden="false" customHeight="false" outlineLevel="0" collapsed="false">
      <c r="A62" s="30" t="str">
        <f aca="false">IF(C62&lt;&gt;"",ROW()-2,"")</f>
        <v/>
      </c>
      <c r="B62" s="30"/>
      <c r="C62" s="30"/>
      <c r="D62" s="30"/>
      <c r="E62" s="31"/>
      <c r="F62" s="31"/>
      <c r="G62" s="31"/>
      <c r="H62" s="31" t="n">
        <f aca="false">IF(I62="是",0,E62*F62*(1+G62))</f>
        <v>0</v>
      </c>
      <c r="I62" s="30"/>
    </row>
    <row r="63" customFormat="false" ht="15.65" hidden="false" customHeight="false" outlineLevel="0" collapsed="false">
      <c r="A63" s="28" t="str">
        <f aca="false">IF(C63&lt;&gt;"",ROW()-2,"")</f>
        <v/>
      </c>
      <c r="B63" s="28"/>
      <c r="C63" s="28"/>
      <c r="D63" s="28"/>
      <c r="E63" s="29"/>
      <c r="F63" s="29"/>
      <c r="G63" s="29"/>
      <c r="H63" s="29" t="n">
        <f aca="false">IF(I63="是",0,E63*F63*(1+G63))</f>
        <v>0</v>
      </c>
      <c r="I63" s="28"/>
    </row>
    <row r="64" customFormat="false" ht="15.65" hidden="false" customHeight="false" outlineLevel="0" collapsed="false">
      <c r="A64" s="30" t="str">
        <f aca="false">IF(C64&lt;&gt;"",ROW()-2,"")</f>
        <v/>
      </c>
      <c r="B64" s="30"/>
      <c r="C64" s="30"/>
      <c r="D64" s="30"/>
      <c r="E64" s="31"/>
      <c r="F64" s="31"/>
      <c r="G64" s="31"/>
      <c r="H64" s="31" t="n">
        <f aca="false">IF(I64="是",0,E64*F64*(1+G64))</f>
        <v>0</v>
      </c>
      <c r="I64" s="30"/>
    </row>
    <row r="65" customFormat="false" ht="15.65" hidden="false" customHeight="false" outlineLevel="0" collapsed="false">
      <c r="A65" s="28" t="str">
        <f aca="false">IF(C65&lt;&gt;"",ROW()-2,"")</f>
        <v/>
      </c>
      <c r="B65" s="28"/>
      <c r="C65" s="28"/>
      <c r="D65" s="28"/>
      <c r="E65" s="29"/>
      <c r="F65" s="29"/>
      <c r="G65" s="29"/>
      <c r="H65" s="29" t="n">
        <f aca="false">IF(I65="是",0,E65*F65*(1+G65))</f>
        <v>0</v>
      </c>
      <c r="I65" s="28"/>
    </row>
    <row r="66" customFormat="false" ht="15.65" hidden="false" customHeight="false" outlineLevel="0" collapsed="false">
      <c r="A66" s="30" t="str">
        <f aca="false">IF(C66&lt;&gt;"",ROW()-2,"")</f>
        <v/>
      </c>
      <c r="B66" s="30"/>
      <c r="C66" s="30"/>
      <c r="D66" s="30"/>
      <c r="E66" s="31"/>
      <c r="F66" s="31"/>
      <c r="G66" s="31"/>
      <c r="H66" s="31" t="n">
        <f aca="false">IF(I66="是",0,E66*F66*(1+G66))</f>
        <v>0</v>
      </c>
      <c r="I66" s="30"/>
    </row>
    <row r="67" customFormat="false" ht="15.65" hidden="false" customHeight="false" outlineLevel="0" collapsed="false">
      <c r="A67" s="28" t="str">
        <f aca="false">IF(C67&lt;&gt;"",ROW()-2,"")</f>
        <v/>
      </c>
      <c r="B67" s="28"/>
      <c r="C67" s="28"/>
      <c r="D67" s="28"/>
      <c r="E67" s="29"/>
      <c r="F67" s="29"/>
      <c r="G67" s="29"/>
      <c r="H67" s="29" t="n">
        <f aca="false">IF(I67="是",0,E67*F67*(1+G67))</f>
        <v>0</v>
      </c>
      <c r="I67" s="28"/>
    </row>
    <row r="68" customFormat="false" ht="15.65" hidden="false" customHeight="false" outlineLevel="0" collapsed="false">
      <c r="A68" s="30" t="str">
        <f aca="false">IF(C68&lt;&gt;"",ROW()-2,"")</f>
        <v/>
      </c>
      <c r="B68" s="30"/>
      <c r="C68" s="30"/>
      <c r="D68" s="30"/>
      <c r="E68" s="31"/>
      <c r="F68" s="31"/>
      <c r="G68" s="31"/>
      <c r="H68" s="31" t="n">
        <f aca="false">IF(I68="是",0,E68*F68*(1+G68))</f>
        <v>0</v>
      </c>
      <c r="I68" s="30"/>
    </row>
    <row r="69" customFormat="false" ht="15.65" hidden="false" customHeight="false" outlineLevel="0" collapsed="false">
      <c r="A69" s="28" t="str">
        <f aca="false">IF(C69&lt;&gt;"",ROW()-2,"")</f>
        <v/>
      </c>
      <c r="B69" s="28"/>
      <c r="C69" s="28"/>
      <c r="D69" s="28"/>
      <c r="E69" s="29"/>
      <c r="F69" s="29"/>
      <c r="G69" s="29"/>
      <c r="H69" s="29" t="n">
        <f aca="false">IF(I69="是",0,E69*F69*(1+G69))</f>
        <v>0</v>
      </c>
      <c r="I69" s="28"/>
    </row>
    <row r="70" customFormat="false" ht="15.65" hidden="false" customHeight="false" outlineLevel="0" collapsed="false">
      <c r="A70" s="30" t="str">
        <f aca="false">IF(C70&lt;&gt;"",ROW()-2,"")</f>
        <v/>
      </c>
      <c r="B70" s="30"/>
      <c r="C70" s="30"/>
      <c r="D70" s="30"/>
      <c r="E70" s="31"/>
      <c r="F70" s="31"/>
      <c r="G70" s="31"/>
      <c r="H70" s="31" t="n">
        <f aca="false">IF(I70="是",0,E70*F70*(1+G70))</f>
        <v>0</v>
      </c>
      <c r="I70" s="30"/>
    </row>
    <row r="71" customFormat="false" ht="15.65" hidden="false" customHeight="false" outlineLevel="0" collapsed="false">
      <c r="A71" s="28" t="str">
        <f aca="false">IF(C71&lt;&gt;"",ROW()-2,"")</f>
        <v/>
      </c>
      <c r="B71" s="28"/>
      <c r="C71" s="28"/>
      <c r="D71" s="28"/>
      <c r="E71" s="29"/>
      <c r="F71" s="29"/>
      <c r="G71" s="29"/>
      <c r="H71" s="29" t="n">
        <f aca="false">IF(I71="是",0,E71*F71*(1+G71))</f>
        <v>0</v>
      </c>
      <c r="I71" s="28"/>
    </row>
    <row r="72" customFormat="false" ht="15.65" hidden="false" customHeight="false" outlineLevel="0" collapsed="false">
      <c r="A72" s="30" t="str">
        <f aca="false">IF(C72&lt;&gt;"",ROW()-2,"")</f>
        <v/>
      </c>
      <c r="B72" s="30"/>
      <c r="C72" s="30"/>
      <c r="D72" s="30"/>
      <c r="E72" s="31"/>
      <c r="F72" s="31"/>
      <c r="G72" s="31"/>
      <c r="H72" s="31" t="n">
        <f aca="false">IF(I72="是",0,E72*F72*(1+G72))</f>
        <v>0</v>
      </c>
      <c r="I72" s="30"/>
    </row>
    <row r="73" customFormat="false" ht="15.65" hidden="false" customHeight="false" outlineLevel="0" collapsed="false">
      <c r="A73" s="28" t="str">
        <f aca="false">IF(C73&lt;&gt;"",ROW()-2,"")</f>
        <v/>
      </c>
      <c r="B73" s="28"/>
      <c r="C73" s="28"/>
      <c r="D73" s="28"/>
      <c r="E73" s="29"/>
      <c r="F73" s="29"/>
      <c r="G73" s="29"/>
      <c r="H73" s="29" t="n">
        <f aca="false">IF(I73="是",0,E73*F73*(1+G73))</f>
        <v>0</v>
      </c>
      <c r="I73" s="28"/>
    </row>
    <row r="74" customFormat="false" ht="15.65" hidden="false" customHeight="false" outlineLevel="0" collapsed="false">
      <c r="A74" s="30" t="str">
        <f aca="false">IF(C74&lt;&gt;"",ROW()-2,"")</f>
        <v/>
      </c>
      <c r="B74" s="30"/>
      <c r="C74" s="30"/>
      <c r="D74" s="30"/>
      <c r="E74" s="31"/>
      <c r="F74" s="31"/>
      <c r="G74" s="31"/>
      <c r="H74" s="31" t="n">
        <f aca="false">IF(I74="是",0,E74*F74*(1+G74))</f>
        <v>0</v>
      </c>
      <c r="I74" s="30"/>
    </row>
    <row r="75" customFormat="false" ht="15.65" hidden="false" customHeight="false" outlineLevel="0" collapsed="false">
      <c r="A75" s="28" t="str">
        <f aca="false">IF(C75&lt;&gt;"",ROW()-2,"")</f>
        <v/>
      </c>
      <c r="B75" s="28"/>
      <c r="C75" s="28"/>
      <c r="D75" s="28"/>
      <c r="E75" s="29"/>
      <c r="F75" s="29"/>
      <c r="G75" s="29"/>
      <c r="H75" s="29" t="n">
        <f aca="false">IF(I75="是",0,E75*F75*(1+G75))</f>
        <v>0</v>
      </c>
      <c r="I75" s="28"/>
    </row>
    <row r="76" customFormat="false" ht="15.65" hidden="false" customHeight="false" outlineLevel="0" collapsed="false">
      <c r="A76" s="30" t="str">
        <f aca="false">IF(C76&lt;&gt;"",ROW()-2,"")</f>
        <v/>
      </c>
      <c r="B76" s="30"/>
      <c r="C76" s="30"/>
      <c r="D76" s="30"/>
      <c r="E76" s="31"/>
      <c r="F76" s="31"/>
      <c r="G76" s="31"/>
      <c r="H76" s="31" t="n">
        <f aca="false">IF(I76="是",0,E76*F76*(1+G76))</f>
        <v>0</v>
      </c>
      <c r="I76" s="30"/>
    </row>
    <row r="77" customFormat="false" ht="15.65" hidden="false" customHeight="false" outlineLevel="0" collapsed="false">
      <c r="A77" s="28" t="str">
        <f aca="false">IF(C77&lt;&gt;"",ROW()-2,"")</f>
        <v/>
      </c>
      <c r="B77" s="28"/>
      <c r="C77" s="28"/>
      <c r="D77" s="28"/>
      <c r="E77" s="29"/>
      <c r="F77" s="29"/>
      <c r="G77" s="29"/>
      <c r="H77" s="29" t="n">
        <f aca="false">IF(I77="是",0,E77*F77*(1+G77))</f>
        <v>0</v>
      </c>
      <c r="I77" s="28"/>
    </row>
    <row r="78" customFormat="false" ht="15.65" hidden="false" customHeight="false" outlineLevel="0" collapsed="false">
      <c r="A78" s="30" t="str">
        <f aca="false">IF(C78&lt;&gt;"",ROW()-2,"")</f>
        <v/>
      </c>
      <c r="B78" s="30"/>
      <c r="C78" s="30"/>
      <c r="D78" s="30"/>
      <c r="E78" s="31"/>
      <c r="F78" s="31"/>
      <c r="G78" s="31"/>
      <c r="H78" s="31" t="n">
        <f aca="false">IF(I78="是",0,E78*F78*(1+G78))</f>
        <v>0</v>
      </c>
      <c r="I78" s="30"/>
    </row>
    <row r="79" customFormat="false" ht="15.65" hidden="false" customHeight="false" outlineLevel="0" collapsed="false">
      <c r="A79" s="28" t="str">
        <f aca="false">IF(C79&lt;&gt;"",ROW()-2,"")</f>
        <v/>
      </c>
      <c r="B79" s="28"/>
      <c r="C79" s="28"/>
      <c r="D79" s="28"/>
      <c r="E79" s="29"/>
      <c r="F79" s="29"/>
      <c r="G79" s="29"/>
      <c r="H79" s="29" t="n">
        <f aca="false">IF(I79="是",0,E79*F79*(1+G79))</f>
        <v>0</v>
      </c>
      <c r="I79" s="28"/>
    </row>
    <row r="80" customFormat="false" ht="15.65" hidden="false" customHeight="false" outlineLevel="0" collapsed="false">
      <c r="A80" s="30" t="str">
        <f aca="false">IF(C80&lt;&gt;"",ROW()-2,"")</f>
        <v/>
      </c>
      <c r="B80" s="30"/>
      <c r="C80" s="30"/>
      <c r="D80" s="30"/>
      <c r="E80" s="31"/>
      <c r="F80" s="31"/>
      <c r="G80" s="31"/>
      <c r="H80" s="31" t="n">
        <f aca="false">IF(I80="是",0,E80*F80*(1+G80))</f>
        <v>0</v>
      </c>
      <c r="I80" s="30"/>
    </row>
    <row r="81" customFormat="false" ht="15.65" hidden="false" customHeight="false" outlineLevel="0" collapsed="false">
      <c r="A81" s="28" t="str">
        <f aca="false">IF(C81&lt;&gt;"",ROW()-2,"")</f>
        <v/>
      </c>
      <c r="B81" s="28"/>
      <c r="C81" s="28"/>
      <c r="D81" s="28"/>
      <c r="E81" s="29"/>
      <c r="F81" s="29"/>
      <c r="G81" s="29"/>
      <c r="H81" s="29" t="n">
        <f aca="false">IF(I81="是",0,E81*F81*(1+G81))</f>
        <v>0</v>
      </c>
      <c r="I81" s="28"/>
    </row>
    <row r="82" customFormat="false" ht="15.65" hidden="false" customHeight="false" outlineLevel="0" collapsed="false">
      <c r="A82" s="30" t="str">
        <f aca="false">IF(C82&lt;&gt;"",ROW()-2,"")</f>
        <v/>
      </c>
      <c r="B82" s="30"/>
      <c r="C82" s="30"/>
      <c r="D82" s="30"/>
      <c r="E82" s="31"/>
      <c r="F82" s="31"/>
      <c r="G82" s="31"/>
      <c r="H82" s="31" t="n">
        <f aca="false">IF(I82="是",0,E82*F82*(1+G82))</f>
        <v>0</v>
      </c>
      <c r="I82" s="30"/>
    </row>
    <row r="83" customFormat="false" ht="15.65" hidden="false" customHeight="false" outlineLevel="0" collapsed="false">
      <c r="A83" s="28" t="str">
        <f aca="false">IF(C83&lt;&gt;"",ROW()-2,"")</f>
        <v/>
      </c>
      <c r="B83" s="28"/>
      <c r="C83" s="28"/>
      <c r="D83" s="28"/>
      <c r="E83" s="29"/>
      <c r="F83" s="29"/>
      <c r="G83" s="29"/>
      <c r="H83" s="29" t="n">
        <f aca="false">IF(I83="是",0,E83*F83*(1+G83))</f>
        <v>0</v>
      </c>
      <c r="I83" s="28"/>
    </row>
    <row r="84" customFormat="false" ht="15.65" hidden="false" customHeight="false" outlineLevel="0" collapsed="false">
      <c r="A84" s="30" t="str">
        <f aca="false">IF(C84&lt;&gt;"",ROW()-2,"")</f>
        <v/>
      </c>
      <c r="B84" s="30"/>
      <c r="C84" s="30"/>
      <c r="D84" s="30"/>
      <c r="E84" s="31"/>
      <c r="F84" s="31"/>
      <c r="G84" s="31"/>
      <c r="H84" s="31" t="n">
        <f aca="false">IF(I84="是",0,E84*F84*(1+G84))</f>
        <v>0</v>
      </c>
      <c r="I84" s="30"/>
    </row>
    <row r="85" customFormat="false" ht="15.65" hidden="false" customHeight="false" outlineLevel="0" collapsed="false">
      <c r="A85" s="28" t="str">
        <f aca="false">IF(C85&lt;&gt;"",ROW()-2,"")</f>
        <v/>
      </c>
      <c r="B85" s="28"/>
      <c r="C85" s="28"/>
      <c r="D85" s="28"/>
      <c r="E85" s="29"/>
      <c r="F85" s="29"/>
      <c r="G85" s="29"/>
      <c r="H85" s="29" t="n">
        <f aca="false">IF(I85="是",0,E85*F85*(1+G85))</f>
        <v>0</v>
      </c>
      <c r="I85" s="28"/>
    </row>
    <row r="86" customFormat="false" ht="15.65" hidden="false" customHeight="false" outlineLevel="0" collapsed="false">
      <c r="A86" s="30" t="str">
        <f aca="false">IF(C86&lt;&gt;"",ROW()-2,"")</f>
        <v/>
      </c>
      <c r="B86" s="30"/>
      <c r="C86" s="30"/>
      <c r="D86" s="30"/>
      <c r="E86" s="31"/>
      <c r="F86" s="31"/>
      <c r="G86" s="31"/>
      <c r="H86" s="31" t="n">
        <f aca="false">IF(I86="是",0,E86*F86*(1+G86))</f>
        <v>0</v>
      </c>
      <c r="I86" s="30"/>
    </row>
    <row r="87" customFormat="false" ht="15.65" hidden="false" customHeight="false" outlineLevel="0" collapsed="false">
      <c r="A87" s="28" t="str">
        <f aca="false">IF(C87&lt;&gt;"",ROW()-2,"")</f>
        <v/>
      </c>
      <c r="B87" s="28"/>
      <c r="C87" s="28"/>
      <c r="D87" s="28"/>
      <c r="E87" s="29"/>
      <c r="F87" s="29"/>
      <c r="G87" s="29"/>
      <c r="H87" s="29" t="n">
        <f aca="false">IF(I87="是",0,E87*F87*(1+G87))</f>
        <v>0</v>
      </c>
      <c r="I87" s="28"/>
    </row>
    <row r="88" customFormat="false" ht="15.65" hidden="false" customHeight="false" outlineLevel="0" collapsed="false">
      <c r="A88" s="30" t="str">
        <f aca="false">IF(C88&lt;&gt;"",ROW()-2,"")</f>
        <v/>
      </c>
      <c r="B88" s="30"/>
      <c r="C88" s="30"/>
      <c r="D88" s="30"/>
      <c r="E88" s="31"/>
      <c r="F88" s="31"/>
      <c r="G88" s="31"/>
      <c r="H88" s="31" t="n">
        <f aca="false">IF(I88="是",0,E88*F88*(1+G88))</f>
        <v>0</v>
      </c>
      <c r="I88" s="30"/>
    </row>
    <row r="89" customFormat="false" ht="15.65" hidden="false" customHeight="false" outlineLevel="0" collapsed="false">
      <c r="A89" s="28" t="str">
        <f aca="false">IF(C89&lt;&gt;"",ROW()-2,"")</f>
        <v/>
      </c>
      <c r="B89" s="28"/>
      <c r="C89" s="28"/>
      <c r="D89" s="28"/>
      <c r="E89" s="29"/>
      <c r="F89" s="29"/>
      <c r="G89" s="29"/>
      <c r="H89" s="29" t="n">
        <f aca="false">IF(I89="是",0,E89*F89*(1+G89))</f>
        <v>0</v>
      </c>
      <c r="I89" s="28"/>
    </row>
    <row r="90" customFormat="false" ht="15.65" hidden="false" customHeight="false" outlineLevel="0" collapsed="false">
      <c r="A90" s="30" t="str">
        <f aca="false">IF(C90&lt;&gt;"",ROW()-2,"")</f>
        <v/>
      </c>
      <c r="B90" s="30"/>
      <c r="C90" s="30"/>
      <c r="D90" s="30"/>
      <c r="E90" s="31"/>
      <c r="F90" s="31"/>
      <c r="G90" s="31"/>
      <c r="H90" s="31" t="n">
        <f aca="false">IF(I90="是",0,E90*F90*(1+G90))</f>
        <v>0</v>
      </c>
      <c r="I90" s="30"/>
    </row>
    <row r="91" customFormat="false" ht="15.65" hidden="false" customHeight="false" outlineLevel="0" collapsed="false">
      <c r="A91" s="28" t="str">
        <f aca="false">IF(C91&lt;&gt;"",ROW()-2,"")</f>
        <v/>
      </c>
      <c r="B91" s="28"/>
      <c r="C91" s="28"/>
      <c r="D91" s="28"/>
      <c r="E91" s="29"/>
      <c r="F91" s="29"/>
      <c r="G91" s="29"/>
      <c r="H91" s="29" t="n">
        <f aca="false">IF(I91="是",0,E91*F91*(1+G91))</f>
        <v>0</v>
      </c>
      <c r="I91" s="28"/>
    </row>
    <row r="92" customFormat="false" ht="15.65" hidden="false" customHeight="false" outlineLevel="0" collapsed="false">
      <c r="A92" s="30" t="str">
        <f aca="false">IF(C92&lt;&gt;"",ROW()-2,"")</f>
        <v/>
      </c>
      <c r="B92" s="30"/>
      <c r="C92" s="30"/>
      <c r="D92" s="30"/>
      <c r="E92" s="31"/>
      <c r="F92" s="31"/>
      <c r="G92" s="31"/>
      <c r="H92" s="31" t="n">
        <f aca="false">IF(I92="是",0,E92*F92*(1+G92))</f>
        <v>0</v>
      </c>
      <c r="I92" s="30"/>
    </row>
    <row r="93" customFormat="false" ht="15.65" hidden="false" customHeight="false" outlineLevel="0" collapsed="false">
      <c r="A93" s="28" t="str">
        <f aca="false">IF(C93&lt;&gt;"",ROW()-2,"")</f>
        <v/>
      </c>
      <c r="B93" s="28"/>
      <c r="C93" s="28"/>
      <c r="D93" s="28"/>
      <c r="E93" s="29"/>
      <c r="F93" s="29"/>
      <c r="G93" s="29"/>
      <c r="H93" s="29" t="n">
        <f aca="false">IF(I93="是",0,E93*F93*(1+G93))</f>
        <v>0</v>
      </c>
      <c r="I93" s="28"/>
    </row>
    <row r="94" customFormat="false" ht="15.65" hidden="false" customHeight="false" outlineLevel="0" collapsed="false">
      <c r="A94" s="30" t="str">
        <f aca="false">IF(C94&lt;&gt;"",ROW()-2,"")</f>
        <v/>
      </c>
      <c r="B94" s="30"/>
      <c r="C94" s="30"/>
      <c r="D94" s="30"/>
      <c r="E94" s="31"/>
      <c r="F94" s="31"/>
      <c r="G94" s="31"/>
      <c r="H94" s="31" t="n">
        <f aca="false">IF(I94="是",0,E94*F94*(1+G94))</f>
        <v>0</v>
      </c>
      <c r="I94" s="30"/>
    </row>
    <row r="95" customFormat="false" ht="15.65" hidden="false" customHeight="false" outlineLevel="0" collapsed="false">
      <c r="A95" s="28" t="str">
        <f aca="false">IF(C95&lt;&gt;"",ROW()-2,"")</f>
        <v/>
      </c>
      <c r="B95" s="28"/>
      <c r="C95" s="28"/>
      <c r="D95" s="28"/>
      <c r="E95" s="29"/>
      <c r="F95" s="29"/>
      <c r="G95" s="29"/>
      <c r="H95" s="29" t="n">
        <f aca="false">IF(I95="是",0,E95*F95*(1+G95))</f>
        <v>0</v>
      </c>
      <c r="I95" s="28"/>
    </row>
    <row r="96" customFormat="false" ht="15.65" hidden="false" customHeight="false" outlineLevel="0" collapsed="false">
      <c r="A96" s="30" t="str">
        <f aca="false">IF(C96&lt;&gt;"",ROW()-2,"")</f>
        <v/>
      </c>
      <c r="B96" s="30"/>
      <c r="C96" s="30"/>
      <c r="D96" s="30"/>
      <c r="E96" s="31"/>
      <c r="F96" s="31"/>
      <c r="G96" s="31"/>
      <c r="H96" s="31" t="n">
        <f aca="false">IF(I96="是",0,E96*F96*(1+G96))</f>
        <v>0</v>
      </c>
      <c r="I96" s="30"/>
    </row>
    <row r="97" customFormat="false" ht="15.65" hidden="false" customHeight="false" outlineLevel="0" collapsed="false">
      <c r="A97" s="28" t="str">
        <f aca="false">IF(C97&lt;&gt;"",ROW()-2,"")</f>
        <v/>
      </c>
      <c r="B97" s="28"/>
      <c r="C97" s="28"/>
      <c r="D97" s="28"/>
      <c r="E97" s="29"/>
      <c r="F97" s="29"/>
      <c r="G97" s="29"/>
      <c r="H97" s="29" t="n">
        <f aca="false">IF(I97="是",0,E97*F97*(1+G97))</f>
        <v>0</v>
      </c>
      <c r="I97" s="28"/>
    </row>
    <row r="98" customFormat="false" ht="15.65" hidden="false" customHeight="false" outlineLevel="0" collapsed="false">
      <c r="A98" s="30" t="str">
        <f aca="false">IF(C98&lt;&gt;"",ROW()-2,"")</f>
        <v/>
      </c>
      <c r="B98" s="30"/>
      <c r="C98" s="30"/>
      <c r="D98" s="30"/>
      <c r="E98" s="31"/>
      <c r="F98" s="31"/>
      <c r="G98" s="31"/>
      <c r="H98" s="31" t="n">
        <f aca="false">IF(I98="是",0,E98*F98*(1+G98))</f>
        <v>0</v>
      </c>
      <c r="I98" s="30"/>
    </row>
    <row r="99" customFormat="false" ht="15.65" hidden="false" customHeight="false" outlineLevel="0" collapsed="false">
      <c r="A99" s="28" t="str">
        <f aca="false">IF(C99&lt;&gt;"",ROW()-2,"")</f>
        <v/>
      </c>
      <c r="B99" s="28"/>
      <c r="C99" s="28"/>
      <c r="D99" s="28"/>
      <c r="E99" s="29"/>
      <c r="F99" s="29"/>
      <c r="G99" s="29"/>
      <c r="H99" s="29" t="n">
        <f aca="false">IF(I99="是",0,E99*F99*(1+G99))</f>
        <v>0</v>
      </c>
      <c r="I99" s="28"/>
    </row>
    <row r="100" customFormat="false" ht="15.65" hidden="false" customHeight="false" outlineLevel="0" collapsed="false">
      <c r="A100" s="30" t="str">
        <f aca="false">IF(C100&lt;&gt;"",ROW()-2,"")</f>
        <v/>
      </c>
      <c r="B100" s="30"/>
      <c r="C100" s="30"/>
      <c r="D100" s="30"/>
      <c r="E100" s="31"/>
      <c r="F100" s="31"/>
      <c r="G100" s="31"/>
      <c r="H100" s="31" t="n">
        <f aca="false">IF(I100="是",0,E100*F100*(1+G100))</f>
        <v>0</v>
      </c>
      <c r="I100" s="30"/>
    </row>
    <row r="101" customFormat="false" ht="15.65" hidden="false" customHeight="false" outlineLevel="0" collapsed="false">
      <c r="A101" s="28" t="str">
        <f aca="false">IF(C101&lt;&gt;"",ROW()-2,"")</f>
        <v/>
      </c>
      <c r="B101" s="28"/>
      <c r="C101" s="28"/>
      <c r="D101" s="28"/>
      <c r="E101" s="29"/>
      <c r="F101" s="29"/>
      <c r="G101" s="29"/>
      <c r="H101" s="29" t="n">
        <f aca="false">IF(I101="是",0,E101*F101*(1+G101))</f>
        <v>0</v>
      </c>
      <c r="I101" s="28"/>
    </row>
    <row r="102" customFormat="false" ht="15.65" hidden="false" customHeight="false" outlineLevel="0" collapsed="false">
      <c r="A102" s="30" t="str">
        <f aca="false">IF(C102&lt;&gt;"",ROW()-2,"")</f>
        <v/>
      </c>
      <c r="B102" s="30"/>
      <c r="C102" s="30"/>
      <c r="D102" s="30"/>
      <c r="E102" s="31"/>
      <c r="F102" s="31"/>
      <c r="G102" s="31"/>
      <c r="H102" s="31" t="n">
        <f aca="false">IF(I102="是",0,E102*F102*(1+G102))</f>
        <v>0</v>
      </c>
      <c r="I102" s="30"/>
    </row>
  </sheetData>
  <autoFilter ref="A2:I10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8" min="7" style="0" width="12"/>
  </cols>
  <sheetData>
    <row r="1" customFormat="false" ht="18" hidden="false" customHeight="true" outlineLevel="0" collapsed="false">
      <c r="A1" s="25" t="s">
        <v>217</v>
      </c>
      <c r="B1" s="25"/>
      <c r="C1" s="25"/>
      <c r="D1" s="25"/>
      <c r="E1" s="25"/>
      <c r="F1" s="25"/>
      <c r="G1" s="25"/>
      <c r="H1" s="25"/>
    </row>
    <row r="3" customFormat="false" ht="14.25" hidden="false" customHeight="true" outlineLevel="0" collapsed="false">
      <c r="A3" s="32" t="s">
        <v>218</v>
      </c>
      <c r="B3" s="32"/>
      <c r="C3" s="32"/>
      <c r="D3" s="32"/>
      <c r="E3" s="32"/>
      <c r="F3" s="32"/>
      <c r="G3" s="32"/>
      <c r="H3" s="32"/>
    </row>
    <row r="4" customFormat="false" ht="15.65" hidden="false" customHeight="false" outlineLevel="0" collapsed="false">
      <c r="A4" s="26" t="s">
        <v>219</v>
      </c>
      <c r="B4" s="26" t="s">
        <v>220</v>
      </c>
      <c r="C4" s="26" t="s">
        <v>221</v>
      </c>
      <c r="D4" s="26" t="s">
        <v>222</v>
      </c>
      <c r="E4" s="26" t="s">
        <v>223</v>
      </c>
      <c r="F4" s="26" t="s">
        <v>224</v>
      </c>
      <c r="G4" s="26" t="s">
        <v>225</v>
      </c>
      <c r="H4" s="26" t="s">
        <v>226</v>
      </c>
    </row>
    <row r="5" customFormat="false" ht="15.65" hidden="false" customHeight="false" outlineLevel="0" collapsed="false">
      <c r="A5" s="28" t="s">
        <v>227</v>
      </c>
      <c r="B5" s="28" t="s">
        <v>228</v>
      </c>
      <c r="C5" s="29" t="n">
        <v>0</v>
      </c>
      <c r="D5" s="29" t="n">
        <v>0.0056</v>
      </c>
      <c r="E5" s="29" t="s">
        <v>215</v>
      </c>
      <c r="F5" s="29" t="n">
        <f aca="false">IF(E5="是",IFERROR(C5*D5,0),0)</f>
        <v>0</v>
      </c>
      <c r="G5" s="29"/>
      <c r="H5" s="29" t="n">
        <f aca="false">IFERROR(F5-G5,0)</f>
        <v>0</v>
      </c>
    </row>
    <row r="6" customFormat="false" ht="15.65" hidden="false" customHeight="false" outlineLevel="0" collapsed="false">
      <c r="A6" s="30" t="s">
        <v>229</v>
      </c>
      <c r="B6" s="30" t="s">
        <v>230</v>
      </c>
      <c r="C6" s="31" t="n">
        <v>0</v>
      </c>
      <c r="D6" s="31" t="n">
        <v>0.0171</v>
      </c>
      <c r="E6" s="31" t="s">
        <v>215</v>
      </c>
      <c r="F6" s="31" t="n">
        <f aca="false">IF(E6="是",IFERROR(C6*D6,0),0)</f>
        <v>0</v>
      </c>
      <c r="G6" s="31"/>
      <c r="H6" s="31" t="n">
        <f aca="false">IFERROR(F6-G6,0)</f>
        <v>0</v>
      </c>
    </row>
    <row r="7" customFormat="false" ht="15.65" hidden="false" customHeight="false" outlineLevel="0" collapsed="false">
      <c r="A7" s="28" t="s">
        <v>231</v>
      </c>
      <c r="B7" s="28" t="s">
        <v>232</v>
      </c>
      <c r="C7" s="29" t="n">
        <v>0</v>
      </c>
      <c r="D7" s="29" t="n">
        <v>0.025</v>
      </c>
      <c r="E7" s="29" t="s">
        <v>215</v>
      </c>
      <c r="F7" s="29" t="n">
        <f aca="false">IF(E7="是",IFERROR(C7*D7,0),0)</f>
        <v>0</v>
      </c>
      <c r="G7" s="29"/>
      <c r="H7" s="29" t="n">
        <f aca="false">IFERROR(F7-G7,0)</f>
        <v>0</v>
      </c>
    </row>
    <row r="8" customFormat="false" ht="15.65" hidden="false" customHeight="false" outlineLevel="0" collapsed="false">
      <c r="A8" s="30" t="s">
        <v>233</v>
      </c>
      <c r="B8" s="30" t="s">
        <v>234</v>
      </c>
      <c r="C8" s="31" t="n">
        <v>0</v>
      </c>
      <c r="D8" s="31" t="n">
        <v>0</v>
      </c>
      <c r="E8" s="31" t="s">
        <v>215</v>
      </c>
      <c r="F8" s="31" t="n">
        <f aca="false">IF(E8="是",IFERROR(C8*D8,0),0)</f>
        <v>0</v>
      </c>
      <c r="G8" s="31"/>
      <c r="H8" s="31" t="n">
        <f aca="false">IFERROR(F8-G8,0)</f>
        <v>0</v>
      </c>
    </row>
    <row r="9" customFormat="false" ht="15.65" hidden="false" customHeight="false" outlineLevel="0" collapsed="false">
      <c r="A9" s="28" t="s">
        <v>235</v>
      </c>
      <c r="B9" s="28" t="s">
        <v>236</v>
      </c>
      <c r="C9" s="29" t="n">
        <v>0</v>
      </c>
      <c r="D9" s="29" t="n">
        <v>0</v>
      </c>
      <c r="E9" s="29" t="s">
        <v>215</v>
      </c>
      <c r="F9" s="29" t="n">
        <f aca="false">IF(E9="是",IFERROR(C9*D9,0),0)</f>
        <v>0</v>
      </c>
      <c r="G9" s="29"/>
      <c r="H9" s="29" t="n">
        <f aca="false">IFERROR(F9-G9,0)</f>
        <v>0</v>
      </c>
    </row>
    <row r="10" customFormat="false" ht="15.65" hidden="false" customHeight="false" outlineLevel="0" collapsed="false">
      <c r="A10" s="30" t="s">
        <v>237</v>
      </c>
      <c r="B10" s="30" t="s">
        <v>238</v>
      </c>
      <c r="C10" s="31" t="n">
        <v>1</v>
      </c>
      <c r="D10" s="31" t="n">
        <v>0</v>
      </c>
      <c r="E10" s="31" t="s">
        <v>215</v>
      </c>
      <c r="F10" s="31" t="n">
        <f aca="false">IF(E10="是",IFERROR(C10*D10,0),0)</f>
        <v>0</v>
      </c>
      <c r="G10" s="31"/>
      <c r="H10" s="31" t="n">
        <f aca="false">IFERROR(F10-G10,0)</f>
        <v>0</v>
      </c>
    </row>
    <row r="11" customFormat="false" ht="15.65" hidden="false" customHeight="false" outlineLevel="0" collapsed="false">
      <c r="A11" s="28" t="s">
        <v>239</v>
      </c>
      <c r="B11" s="28" t="s">
        <v>240</v>
      </c>
      <c r="C11" s="29" t="n">
        <v>1</v>
      </c>
      <c r="D11" s="29" t="n">
        <v>0.12</v>
      </c>
      <c r="E11" s="29" t="s">
        <v>215</v>
      </c>
      <c r="F11" s="29" t="n">
        <f aca="false">IF(E11="是",IFERROR(C11*D11,0),0)</f>
        <v>0.12</v>
      </c>
      <c r="G11" s="29"/>
      <c r="H11" s="29" t="n">
        <f aca="false">IFERROR(F11-G11,0)</f>
        <v>0.12</v>
      </c>
    </row>
    <row r="12" customFormat="false" ht="15.65" hidden="false" customHeight="false" outlineLevel="0" collapsed="false">
      <c r="A12" s="30"/>
      <c r="B12" s="30"/>
      <c r="C12" s="31"/>
      <c r="D12" s="31"/>
      <c r="E12" s="31"/>
      <c r="F12" s="31" t="n">
        <f aca="false">IF(E12="是",IFERROR(C12*D12,0),0)</f>
        <v>0</v>
      </c>
      <c r="G12" s="31"/>
      <c r="H12" s="31" t="n">
        <f aca="false">IFERROR(F12-G12,0)</f>
        <v>0</v>
      </c>
    </row>
    <row r="13" customFormat="false" ht="15" hidden="false" customHeight="true" outlineLevel="0" collapsed="false">
      <c r="A13" s="33"/>
      <c r="B13" s="33"/>
      <c r="C13" s="33"/>
      <c r="D13" s="33"/>
      <c r="E13" s="33" t="s">
        <v>241</v>
      </c>
      <c r="F13" s="33" t="n">
        <f aca="false">SUM(F5:F12)</f>
        <v>0.12</v>
      </c>
      <c r="G13" s="33" t="n">
        <f aca="false">SUM(G5:G12)</f>
        <v>0</v>
      </c>
      <c r="H13" s="33"/>
    </row>
    <row r="16" customFormat="false" ht="14.25" hidden="false" customHeight="true" outlineLevel="0" collapsed="false">
      <c r="A16" s="34" t="s">
        <v>242</v>
      </c>
      <c r="B16" s="34"/>
      <c r="C16" s="34"/>
      <c r="D16" s="34"/>
      <c r="E16" s="34"/>
      <c r="F16" s="34"/>
      <c r="G16" s="34"/>
      <c r="H16" s="34"/>
    </row>
    <row r="17" customFormat="false" ht="15.65" hidden="false" customHeight="false" outlineLevel="0" collapsed="false">
      <c r="A17" s="35" t="s">
        <v>219</v>
      </c>
      <c r="B17" s="35" t="s">
        <v>243</v>
      </c>
      <c r="C17" s="35" t="s">
        <v>244</v>
      </c>
      <c r="D17" s="35" t="s">
        <v>222</v>
      </c>
      <c r="E17" s="35" t="s">
        <v>245</v>
      </c>
      <c r="F17" s="35" t="s">
        <v>223</v>
      </c>
      <c r="G17" s="35" t="s">
        <v>246</v>
      </c>
      <c r="H17" s="35" t="s">
        <v>247</v>
      </c>
    </row>
    <row r="18" customFormat="false" ht="15.65" hidden="false" customHeight="false" outlineLevel="0" collapsed="false">
      <c r="A18" s="28" t="s">
        <v>248</v>
      </c>
      <c r="B18" s="28" t="s">
        <v>249</v>
      </c>
      <c r="C18" s="29" t="n">
        <v>1</v>
      </c>
      <c r="D18" s="29" t="n">
        <v>210</v>
      </c>
      <c r="E18" s="29" t="n">
        <f aca="false">IFERROR(C18*D18,0)</f>
        <v>210</v>
      </c>
      <c r="F18" s="29" t="s">
        <v>215</v>
      </c>
      <c r="G18" s="29" t="n">
        <v>5000</v>
      </c>
      <c r="H18" s="29" t="n">
        <f aca="false">IF(F18="是",IFERROR(E18/G18,0),0)</f>
        <v>0.042</v>
      </c>
    </row>
    <row r="19" customFormat="false" ht="15.65" hidden="false" customHeight="false" outlineLevel="0" collapsed="false">
      <c r="A19" s="30" t="s">
        <v>250</v>
      </c>
      <c r="B19" s="30" t="s">
        <v>251</v>
      </c>
      <c r="C19" s="31" t="n">
        <v>0</v>
      </c>
      <c r="D19" s="31" t="n">
        <v>4500</v>
      </c>
      <c r="E19" s="31" t="n">
        <f aca="false">IFERROR(C19*D19,0)</f>
        <v>0</v>
      </c>
      <c r="F19" s="31" t="s">
        <v>45</v>
      </c>
      <c r="G19" s="31" t="n">
        <v>5000</v>
      </c>
      <c r="H19" s="31" t="n">
        <f aca="false">IF(F19="是",IFERROR(E19/G19,0),0)</f>
        <v>0</v>
      </c>
    </row>
    <row r="20" customFormat="false" ht="15.65" hidden="false" customHeight="false" outlineLevel="0" collapsed="false">
      <c r="A20" s="28" t="s">
        <v>252</v>
      </c>
      <c r="B20" s="28" t="s">
        <v>253</v>
      </c>
      <c r="C20" s="29" t="n">
        <v>0</v>
      </c>
      <c r="D20" s="29" t="n">
        <v>0</v>
      </c>
      <c r="E20" s="29" t="n">
        <f aca="false">IFERROR(C20*D20,0)</f>
        <v>0</v>
      </c>
      <c r="F20" s="29" t="s">
        <v>45</v>
      </c>
      <c r="G20" s="29" t="n">
        <v>5000</v>
      </c>
      <c r="H20" s="29" t="n">
        <f aca="false">IF(F20="是",IFERROR(E20/G20,0),0)</f>
        <v>0</v>
      </c>
    </row>
    <row r="21" customFormat="false" ht="15.65" hidden="false" customHeight="false" outlineLevel="0" collapsed="false">
      <c r="A21" s="30" t="s">
        <v>254</v>
      </c>
      <c r="B21" s="30" t="s">
        <v>255</v>
      </c>
      <c r="C21" s="31" t="n">
        <v>0</v>
      </c>
      <c r="D21" s="31" t="n">
        <v>0</v>
      </c>
      <c r="E21" s="31" t="n">
        <f aca="false">IFERROR(C21*D21,0)</f>
        <v>0</v>
      </c>
      <c r="F21" s="31" t="s">
        <v>45</v>
      </c>
      <c r="G21" s="31" t="n">
        <v>5000</v>
      </c>
      <c r="H21" s="31" t="n">
        <f aca="false">IF(F21="是",IFERROR(E21/G21,0),0)</f>
        <v>0</v>
      </c>
    </row>
    <row r="22" customFormat="false" ht="15.65" hidden="false" customHeight="false" outlineLevel="0" collapsed="false">
      <c r="A22" s="28"/>
      <c r="B22" s="28"/>
      <c r="C22" s="29"/>
      <c r="D22" s="29"/>
      <c r="E22" s="29" t="n">
        <f aca="false">IFERROR(C22*D22,0)</f>
        <v>0</v>
      </c>
      <c r="F22" s="29"/>
      <c r="G22" s="29"/>
      <c r="H22" s="29" t="n">
        <f aca="false">IF(F22="是",IFERROR(E22/G22,0),0)</f>
        <v>0</v>
      </c>
    </row>
    <row r="23" customFormat="false" ht="15" hidden="false" customHeight="true" outlineLevel="0" collapsed="false">
      <c r="A23" s="33"/>
      <c r="B23" s="33"/>
      <c r="C23" s="33"/>
      <c r="D23" s="33"/>
      <c r="E23" s="33" t="n">
        <f aca="false">SUM(E18:E22)</f>
        <v>210</v>
      </c>
      <c r="F23" s="33"/>
      <c r="G23" s="33"/>
      <c r="H23" s="33" t="n">
        <f aca="false">SUM(H18:H22)</f>
        <v>0.042</v>
      </c>
    </row>
  </sheetData>
  <autoFilter ref="A4:H12"/>
  <mergeCells count="3">
    <mergeCell ref="A1:H1"/>
    <mergeCell ref="A3:H3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30"/>
  </cols>
  <sheetData>
    <row r="1" customFormat="false" ht="18" hidden="false" customHeight="true" outlineLevel="0" collapsed="false">
      <c r="A1" s="25" t="s">
        <v>256</v>
      </c>
      <c r="B1" s="25"/>
      <c r="C1" s="25"/>
    </row>
    <row r="2" customFormat="false" ht="15.65" hidden="false" customHeight="false" outlineLevel="0" collapsed="false">
      <c r="A2" s="26" t="s">
        <v>257</v>
      </c>
      <c r="B2" s="26" t="s">
        <v>258</v>
      </c>
      <c r="C2" s="26" t="s">
        <v>259</v>
      </c>
    </row>
    <row r="3" customFormat="false" ht="26.25" hidden="false" customHeight="true" outlineLevel="0" collapsed="false">
      <c r="A3" s="28" t="s">
        <v>104</v>
      </c>
      <c r="B3" s="36" t="n">
        <v>0.13</v>
      </c>
      <c r="C3" s="28" t="s">
        <v>260</v>
      </c>
    </row>
    <row r="4" customFormat="false" ht="26.25" hidden="false" customHeight="true" outlineLevel="0" collapsed="false">
      <c r="A4" s="30" t="s">
        <v>97</v>
      </c>
      <c r="B4" s="36" t="n">
        <v>0.15</v>
      </c>
      <c r="C4" s="30" t="s">
        <v>261</v>
      </c>
    </row>
    <row r="5" customFormat="false" ht="26.25" hidden="false" customHeight="true" outlineLevel="0" collapsed="false">
      <c r="A5" s="28" t="s">
        <v>262</v>
      </c>
      <c r="B5" s="36" t="n">
        <v>0.02</v>
      </c>
      <c r="C5" s="28" t="s">
        <v>263</v>
      </c>
    </row>
    <row r="6" customFormat="false" ht="39" hidden="false" customHeight="true" outlineLevel="0" collapsed="false">
      <c r="A6" s="30" t="s">
        <v>264</v>
      </c>
      <c r="B6" s="36" t="n">
        <v>5000</v>
      </c>
      <c r="C6" s="30" t="s">
        <v>265</v>
      </c>
    </row>
    <row r="8" customFormat="false" ht="15" hidden="false" customHeight="true" outlineLevel="0" collapsed="false">
      <c r="A8" s="4" t="s">
        <v>266</v>
      </c>
      <c r="B8" s="4"/>
      <c r="C8" s="4"/>
    </row>
    <row r="9" customFormat="false" ht="15" hidden="false" customHeight="true" outlineLevel="0" collapsed="false">
      <c r="A9" s="16" t="s">
        <v>257</v>
      </c>
      <c r="B9" s="16" t="s">
        <v>258</v>
      </c>
      <c r="C9" s="16" t="s">
        <v>64</v>
      </c>
      <c r="D9" s="16" t="s">
        <v>259</v>
      </c>
    </row>
    <row r="10" customFormat="false" ht="15" hidden="false" customHeight="true" outlineLevel="0" collapsed="false">
      <c r="A10" s="5" t="s">
        <v>267</v>
      </c>
      <c r="B10" s="37" t="n">
        <v>3</v>
      </c>
      <c r="C10" s="5" t="s">
        <v>268</v>
      </c>
    </row>
    <row r="11" customFormat="false" ht="15" hidden="false" customHeight="true" outlineLevel="0" collapsed="false">
      <c r="A11" s="5" t="s">
        <v>269</v>
      </c>
      <c r="B11" s="38" t="n">
        <v>30</v>
      </c>
      <c r="C11" s="9" t="s">
        <v>270</v>
      </c>
    </row>
    <row r="12" customFormat="false" ht="15" hidden="false" customHeight="true" outlineLevel="0" collapsed="false">
      <c r="A12" s="5" t="s">
        <v>271</v>
      </c>
      <c r="B12" s="39" t="n">
        <v>0.1</v>
      </c>
      <c r="C12" s="5" t="s">
        <v>272</v>
      </c>
    </row>
    <row r="13" customFormat="false" ht="15" hidden="false" customHeight="true" outlineLevel="0" collapsed="false">
      <c r="A13" s="5" t="s">
        <v>273</v>
      </c>
      <c r="B13" s="39" t="n">
        <v>0.3</v>
      </c>
      <c r="C13" s="5" t="s">
        <v>274</v>
      </c>
    </row>
    <row r="14" customFormat="false" ht="15" hidden="false" customHeight="true" outlineLevel="0" collapsed="false">
      <c r="A14" s="9" t="s">
        <v>275</v>
      </c>
      <c r="B14" s="38" t="n">
        <v>1800</v>
      </c>
      <c r="C14" s="5" t="s">
        <v>276</v>
      </c>
    </row>
    <row r="15" customFormat="false" ht="15" hidden="false" customHeight="true" outlineLevel="0" collapsed="false">
      <c r="A15" s="9" t="s">
        <v>277</v>
      </c>
      <c r="B15" s="38" t="n">
        <v>22</v>
      </c>
      <c r="C15" s="9" t="s">
        <v>278</v>
      </c>
    </row>
    <row r="16" customFormat="false" ht="15" hidden="false" customHeight="true" outlineLevel="0" collapsed="false">
      <c r="A16" s="5" t="s">
        <v>279</v>
      </c>
      <c r="B16" s="39" t="n">
        <v>2</v>
      </c>
      <c r="C16" s="5" t="s">
        <v>268</v>
      </c>
    </row>
    <row r="17" customFormat="false" ht="15" hidden="false" customHeight="true" outlineLevel="0" collapsed="false">
      <c r="A17" s="5" t="s">
        <v>280</v>
      </c>
      <c r="B17" s="39" t="n">
        <v>3.2</v>
      </c>
      <c r="C17" s="5" t="s">
        <v>268</v>
      </c>
    </row>
    <row r="18" customFormat="false" ht="15" hidden="false" customHeight="true" outlineLevel="0" collapsed="false">
      <c r="A18" s="5" t="s">
        <v>281</v>
      </c>
      <c r="B18" s="39" t="n">
        <v>5</v>
      </c>
      <c r="C18" s="5" t="s">
        <v>268</v>
      </c>
    </row>
    <row r="19" customFormat="false" ht="15" hidden="false" customHeight="true" outlineLevel="0" collapsed="false">
      <c r="A19" s="5" t="s">
        <v>282</v>
      </c>
      <c r="B19" s="38" t="n">
        <v>700</v>
      </c>
      <c r="C19" s="9" t="s">
        <v>283</v>
      </c>
    </row>
    <row r="20" customFormat="false" ht="15" hidden="false" customHeight="true" outlineLevel="0" collapsed="false">
      <c r="A20" s="5" t="s">
        <v>284</v>
      </c>
      <c r="B20" s="39" t="n">
        <v>1.5</v>
      </c>
      <c r="C20" s="5" t="s">
        <v>285</v>
      </c>
    </row>
    <row r="21" customFormat="false" ht="15" hidden="false" customHeight="true" outlineLevel="0" collapsed="false">
      <c r="A21" s="5" t="s">
        <v>286</v>
      </c>
      <c r="B21" s="40" t="n">
        <v>0.05</v>
      </c>
      <c r="C21" s="5" t="s">
        <v>287</v>
      </c>
    </row>
    <row r="22" customFormat="false" ht="15" hidden="false" customHeight="true" outlineLevel="0" collapsed="false">
      <c r="A22" s="5" t="s">
        <v>288</v>
      </c>
      <c r="B22" s="38" t="n">
        <v>10</v>
      </c>
      <c r="C22" s="9" t="s">
        <v>270</v>
      </c>
    </row>
    <row r="23" customFormat="false" ht="15" hidden="false" customHeight="true" outlineLevel="0" collapsed="false">
      <c r="A23" s="5" t="s">
        <v>289</v>
      </c>
      <c r="B23" s="39" t="n">
        <v>0.3</v>
      </c>
      <c r="C23" s="5" t="s">
        <v>290</v>
      </c>
    </row>
    <row r="24" customFormat="false" ht="15" hidden="false" customHeight="true" outlineLevel="0" collapsed="false">
      <c r="A24" s="5" t="s">
        <v>291</v>
      </c>
      <c r="B24" s="39" t="n">
        <v>0.05</v>
      </c>
      <c r="C24" s="5" t="s">
        <v>274</v>
      </c>
    </row>
    <row r="25" customFormat="false" ht="15" hidden="false" customHeight="true" outlineLevel="0" collapsed="false">
      <c r="A25" s="5" t="s">
        <v>292</v>
      </c>
      <c r="B25" s="38" t="n">
        <v>80</v>
      </c>
      <c r="C25" s="5" t="s">
        <v>293</v>
      </c>
    </row>
    <row r="26" customFormat="false" ht="15" hidden="false" customHeight="true" outlineLevel="0" collapsed="false">
      <c r="A26" s="5" t="s">
        <v>294</v>
      </c>
      <c r="B26" s="38" t="n">
        <v>5</v>
      </c>
      <c r="C26" s="5" t="s">
        <v>295</v>
      </c>
    </row>
    <row r="27" customFormat="false" ht="15" hidden="false" customHeight="true" outlineLevel="0" collapsed="false">
      <c r="A27" s="5" t="s">
        <v>296</v>
      </c>
      <c r="B27" s="38" t="n">
        <v>9</v>
      </c>
      <c r="C27" s="5" t="s">
        <v>297</v>
      </c>
    </row>
    <row r="28" customFormat="false" ht="15" hidden="false" customHeight="true" outlineLevel="0" collapsed="false">
      <c r="A28" s="5" t="s">
        <v>298</v>
      </c>
      <c r="B28" s="39" t="n">
        <v>0.8</v>
      </c>
      <c r="C28" s="9" t="s">
        <v>299</v>
      </c>
    </row>
    <row r="29" customFormat="false" ht="15" hidden="false" customHeight="true" outlineLevel="0" collapsed="false">
      <c r="A29" s="5" t="s">
        <v>300</v>
      </c>
      <c r="B29" s="38" t="n">
        <v>3</v>
      </c>
      <c r="C29" s="5" t="s">
        <v>301</v>
      </c>
    </row>
    <row r="30" customFormat="false" ht="15" hidden="false" customHeight="true" outlineLevel="0" collapsed="false">
      <c r="A30" s="5" t="s">
        <v>302</v>
      </c>
      <c r="B30" s="38" t="n">
        <v>1</v>
      </c>
      <c r="C30" s="5" t="s">
        <v>293</v>
      </c>
    </row>
    <row r="31" customFormat="false" ht="15" hidden="false" customHeight="true" outlineLevel="0" collapsed="false">
      <c r="A31" s="5" t="s">
        <v>303</v>
      </c>
      <c r="B31" s="39" t="n">
        <v>1.1</v>
      </c>
      <c r="C31" s="5" t="s">
        <v>304</v>
      </c>
    </row>
    <row r="32" customFormat="false" ht="15" hidden="false" customHeight="true" outlineLevel="0" collapsed="false">
      <c r="A32" s="5" t="s">
        <v>305</v>
      </c>
      <c r="B32" s="38" t="n">
        <v>4</v>
      </c>
      <c r="C32" s="5" t="s">
        <v>306</v>
      </c>
    </row>
    <row r="34" customFormat="false" ht="15" hidden="false" customHeight="true" outlineLevel="0" collapsed="false">
      <c r="A34" s="4" t="s">
        <v>307</v>
      </c>
      <c r="B34" s="4"/>
      <c r="C34" s="4"/>
    </row>
    <row r="35" customFormat="false" ht="15" hidden="false" customHeight="true" outlineLevel="0" collapsed="false">
      <c r="A35" s="16" t="s">
        <v>257</v>
      </c>
      <c r="B35" s="16" t="s">
        <v>258</v>
      </c>
      <c r="C35" s="16" t="s">
        <v>64</v>
      </c>
      <c r="D35" s="16" t="s">
        <v>259</v>
      </c>
    </row>
    <row r="36" customFormat="false" ht="15" hidden="false" customHeight="true" outlineLevel="0" collapsed="false">
      <c r="A36" s="5" t="s">
        <v>308</v>
      </c>
      <c r="B36" s="10" t="n">
        <v>6000</v>
      </c>
      <c r="C36" s="15" t="s">
        <v>309</v>
      </c>
    </row>
    <row r="37" customFormat="false" ht="15" hidden="false" customHeight="true" outlineLevel="0" collapsed="false">
      <c r="A37" s="5" t="s">
        <v>310</v>
      </c>
      <c r="B37" s="10" t="n">
        <v>0.004</v>
      </c>
      <c r="C37" s="15" t="s">
        <v>311</v>
      </c>
    </row>
    <row r="38" customFormat="false" ht="15" hidden="false" customHeight="true" outlineLevel="0" collapsed="false">
      <c r="A38" s="5" t="s">
        <v>312</v>
      </c>
      <c r="B38" s="10" t="n">
        <v>5</v>
      </c>
      <c r="C38" s="15" t="s">
        <v>313</v>
      </c>
    </row>
    <row r="39" customFormat="false" ht="15" hidden="false" customHeight="true" outlineLevel="0" collapsed="false">
      <c r="A39" s="5" t="s">
        <v>314</v>
      </c>
      <c r="B39" s="41" t="s">
        <v>45</v>
      </c>
      <c r="C39" s="15" t="s">
        <v>315</v>
      </c>
    </row>
    <row r="41" customFormat="false" ht="15.65" hidden="false" customHeight="false" outlineLevel="0" collapsed="false">
      <c r="A41" s="42" t="s">
        <v>316</v>
      </c>
      <c r="B41" s="42"/>
      <c r="C41" s="42"/>
    </row>
    <row r="42" customFormat="false" ht="13.5" hidden="false" customHeight="false" outlineLevel="0" collapsed="false">
      <c r="A42" s="43" t="s">
        <v>257</v>
      </c>
      <c r="B42" s="43" t="s">
        <v>258</v>
      </c>
      <c r="C42" s="43" t="s">
        <v>64</v>
      </c>
      <c r="D42" s="43" t="s">
        <v>259</v>
      </c>
    </row>
    <row r="43" customFormat="false" ht="15.65" hidden="false" customHeight="false" outlineLevel="0" collapsed="false">
      <c r="A43" s="5" t="s">
        <v>317</v>
      </c>
      <c r="B43" s="37" t="n">
        <v>60</v>
      </c>
      <c r="C43" s="44" t="s">
        <v>318</v>
      </c>
      <c r="D43" s="5" t="s">
        <v>319</v>
      </c>
    </row>
    <row r="44" customFormat="false" ht="15.65" hidden="false" customHeight="false" outlineLevel="0" collapsed="false">
      <c r="A44" s="5" t="s">
        <v>320</v>
      </c>
      <c r="B44" s="45" t="n">
        <v>0.3</v>
      </c>
      <c r="C44" s="5" t="s">
        <v>321</v>
      </c>
      <c r="D44" s="5" t="s">
        <v>322</v>
      </c>
    </row>
    <row r="45" customFormat="false" ht="15.65" hidden="false" customHeight="false" outlineLevel="0" collapsed="false">
      <c r="A45" s="5" t="s">
        <v>323</v>
      </c>
      <c r="B45" s="37" t="n">
        <v>20</v>
      </c>
      <c r="C45" s="44" t="s">
        <v>324</v>
      </c>
      <c r="D45" s="5" t="s">
        <v>325</v>
      </c>
    </row>
  </sheetData>
  <mergeCells count="4">
    <mergeCell ref="A1:C1"/>
    <mergeCell ref="A8:C8"/>
    <mergeCell ref="A34:C34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</cols>
  <sheetData>
    <row r="1" customFormat="false" ht="17.25" hidden="false" customHeight="true" outlineLevel="0" collapsed="false">
      <c r="A1" s="46" t="s">
        <v>326</v>
      </c>
      <c r="B1" s="46"/>
      <c r="C1" s="46"/>
      <c r="D1" s="46"/>
      <c r="E1" s="46"/>
    </row>
    <row r="2" customFormat="false" ht="13.5" hidden="false" customHeight="false" outlineLevel="0" collapsed="false">
      <c r="A2" s="47"/>
      <c r="B2" s="47"/>
      <c r="C2" s="47"/>
      <c r="D2" s="47"/>
      <c r="E2" s="47"/>
    </row>
    <row r="3" customFormat="false" ht="15" hidden="false" customHeight="true" outlineLevel="0" collapsed="false">
      <c r="A3" s="42" t="s">
        <v>327</v>
      </c>
      <c r="B3" s="42"/>
      <c r="C3" s="42"/>
      <c r="D3" s="42"/>
      <c r="E3" s="42"/>
    </row>
    <row r="4" customFormat="false" ht="15" hidden="false" customHeight="true" outlineLevel="0" collapsed="false">
      <c r="A4" s="5" t="s">
        <v>328</v>
      </c>
      <c r="B4" s="48" t="n">
        <f aca="false">报价汇总!B13</f>
        <v>0</v>
      </c>
      <c r="C4" s="47"/>
      <c r="D4" s="47"/>
      <c r="E4" s="47"/>
    </row>
    <row r="5" customFormat="false" ht="15" hidden="false" customHeight="true" outlineLevel="0" collapsed="false">
      <c r="A5" s="5" t="s">
        <v>329</v>
      </c>
      <c r="B5" s="48" t="n">
        <f aca="false">报价汇总!B14</f>
        <v>0</v>
      </c>
      <c r="C5" s="47"/>
      <c r="D5" s="47"/>
      <c r="E5" s="47"/>
    </row>
    <row r="6" customFormat="false" ht="15" hidden="false" customHeight="true" outlineLevel="0" collapsed="false">
      <c r="A6" s="5" t="s">
        <v>330</v>
      </c>
      <c r="B6" s="48" t="n">
        <f aca="false">报价汇总!B15</f>
        <v>0</v>
      </c>
      <c r="C6" s="47"/>
      <c r="D6" s="47"/>
      <c r="E6" s="47"/>
    </row>
    <row r="7" customFormat="false" ht="15" hidden="false" customHeight="true" outlineLevel="0" collapsed="false">
      <c r="A7" s="5" t="s">
        <v>331</v>
      </c>
      <c r="B7" s="48" t="n">
        <f aca="false">报价汇总!B17</f>
        <v>0</v>
      </c>
      <c r="C7" s="47"/>
      <c r="D7" s="47"/>
      <c r="E7" s="47"/>
    </row>
    <row r="8" customFormat="false" ht="15" hidden="false" customHeight="true" outlineLevel="0" collapsed="false">
      <c r="A8" s="5" t="s">
        <v>332</v>
      </c>
      <c r="B8" s="14" t="n">
        <f aca="false">报价汇总!B18</f>
        <v>0</v>
      </c>
      <c r="C8" s="47"/>
      <c r="D8" s="47"/>
      <c r="E8" s="47"/>
    </row>
    <row r="9" customFormat="false" ht="15" hidden="false" customHeight="true" outlineLevel="0" collapsed="false">
      <c r="A9" s="5" t="s">
        <v>333</v>
      </c>
      <c r="B9" s="14" t="str">
        <f aca="false">IF(报价汇总!B19="是","大板","小板")</f>
        <v>小板</v>
      </c>
      <c r="C9" s="47"/>
      <c r="D9" s="47"/>
      <c r="E9" s="47"/>
    </row>
    <row r="10" customFormat="false" ht="15" hidden="false" customHeight="true" outlineLevel="0" collapsed="false">
      <c r="A10" s="47"/>
      <c r="B10" s="47"/>
      <c r="C10" s="47"/>
      <c r="D10" s="47"/>
      <c r="E10" s="47"/>
    </row>
    <row r="11" customFormat="false" ht="15" hidden="false" customHeight="true" outlineLevel="0" collapsed="false">
      <c r="A11" s="42" t="s">
        <v>334</v>
      </c>
      <c r="B11" s="42"/>
      <c r="C11" s="42"/>
      <c r="D11" s="42"/>
      <c r="E11" s="42"/>
    </row>
    <row r="12" customFormat="false" ht="15" hidden="false" customHeight="true" outlineLevel="0" collapsed="false">
      <c r="A12" s="5" t="s">
        <v>335</v>
      </c>
      <c r="B12" s="48" t="n">
        <f aca="false">MAX(B4:B6)</f>
        <v>0</v>
      </c>
      <c r="C12" s="47"/>
      <c r="D12" s="47"/>
      <c r="E12" s="47"/>
    </row>
    <row r="13" customFormat="false" ht="15" hidden="false" customHeight="true" outlineLevel="0" collapsed="false">
      <c r="A13" s="5" t="s">
        <v>336</v>
      </c>
      <c r="B13" s="48" t="n">
        <f aca="false">VLOOKUP($B$12,$A$58:$D$61,3,TRUE())</f>
        <v>15</v>
      </c>
      <c r="C13" s="47"/>
      <c r="D13" s="47"/>
      <c r="E13" s="47"/>
    </row>
    <row r="14" customFormat="false" ht="15" hidden="false" customHeight="true" outlineLevel="0" collapsed="false">
      <c r="A14" s="5" t="s">
        <v>337</v>
      </c>
      <c r="B14" s="48" t="n">
        <f aca="false">B4+2*B13+参数!$B$22</f>
        <v>40</v>
      </c>
      <c r="C14" s="47"/>
      <c r="D14" s="47"/>
      <c r="E14" s="47"/>
    </row>
    <row r="15" customFormat="false" ht="15" hidden="false" customHeight="true" outlineLevel="0" collapsed="false">
      <c r="A15" s="5" t="s">
        <v>338</v>
      </c>
      <c r="B15" s="48" t="n">
        <f aca="false">B5+2*B13+参数!$B$22</f>
        <v>40</v>
      </c>
      <c r="C15" s="47"/>
      <c r="D15" s="47"/>
      <c r="E15" s="47"/>
    </row>
    <row r="16" customFormat="false" ht="15" hidden="false" customHeight="true" outlineLevel="0" collapsed="false">
      <c r="A16" s="5" t="s">
        <v>339</v>
      </c>
      <c r="B16" s="48" t="n">
        <f aca="false">B7*(B6+2*B13)+参数!$B$22</f>
        <v>10</v>
      </c>
      <c r="C16" s="47"/>
      <c r="D16" s="47"/>
      <c r="E16" s="47"/>
    </row>
    <row r="17" customFormat="false" ht="15" hidden="false" customHeight="true" outlineLevel="0" collapsed="false">
      <c r="A17" s="5" t="s">
        <v>340</v>
      </c>
      <c r="B17" s="48" t="n">
        <f aca="false">B14*B15*B16/1000</f>
        <v>16</v>
      </c>
      <c r="C17" s="47"/>
      <c r="D17" s="47"/>
      <c r="E17" s="47"/>
    </row>
    <row r="18" customFormat="false" ht="15" hidden="false" customHeight="true" outlineLevel="0" collapsed="false">
      <c r="A18" s="47"/>
      <c r="B18" s="47"/>
      <c r="C18" s="47"/>
      <c r="D18" s="47"/>
      <c r="E18" s="47"/>
    </row>
    <row r="19" customFormat="false" ht="15" hidden="false" customHeight="true" outlineLevel="0" collapsed="false">
      <c r="A19" s="42" t="s">
        <v>341</v>
      </c>
      <c r="B19" s="42"/>
      <c r="C19" s="42"/>
      <c r="D19" s="42"/>
      <c r="E19" s="42"/>
    </row>
    <row r="20" customFormat="false" ht="15" hidden="false" customHeight="true" outlineLevel="0" collapsed="false">
      <c r="A20" s="5" t="s">
        <v>342</v>
      </c>
      <c r="B20" s="48" t="n">
        <f aca="false">B4+B6+2*参数!$B$11</f>
        <v>60</v>
      </c>
      <c r="C20" s="47"/>
      <c r="D20" s="47"/>
      <c r="E20" s="47"/>
    </row>
    <row r="21" customFormat="false" ht="15" hidden="false" customHeight="true" outlineLevel="0" collapsed="false">
      <c r="A21" s="5" t="s">
        <v>343</v>
      </c>
      <c r="B21" s="48" t="n">
        <f aca="false">B5+B6+2*参数!$B$11</f>
        <v>60</v>
      </c>
      <c r="C21" s="47"/>
      <c r="D21" s="47"/>
      <c r="E21" s="47"/>
    </row>
    <row r="22" customFormat="false" ht="15" hidden="false" customHeight="true" outlineLevel="0" collapsed="false">
      <c r="A22" s="5" t="s">
        <v>344</v>
      </c>
      <c r="B22" s="49" t="n">
        <f aca="false">B20*B21/10^6</f>
        <v>0.0036</v>
      </c>
      <c r="C22" s="47"/>
      <c r="D22" s="47"/>
      <c r="E22" s="47"/>
    </row>
    <row r="23" customFormat="false" ht="15" hidden="false" customHeight="true" outlineLevel="0" collapsed="false">
      <c r="A23" s="5" t="s">
        <v>345</v>
      </c>
      <c r="B23" s="49" t="n">
        <f aca="false">B22*参数!$B$10</f>
        <v>0.0108</v>
      </c>
      <c r="C23" s="47"/>
      <c r="D23" s="47"/>
      <c r="E23" s="47"/>
    </row>
    <row r="24" customFormat="false" ht="15" hidden="false" customHeight="true" outlineLevel="0" collapsed="false">
      <c r="A24" s="5" t="s">
        <v>346</v>
      </c>
      <c r="B24" s="49" t="n">
        <f aca="false">IF($B$9="小板",IF(OR($B$7="",$B$7=0),0,参数!$B$44*MAX($B$7-1,0)/$B$7),0)</f>
        <v>0</v>
      </c>
      <c r="C24" s="47"/>
      <c r="D24" s="47"/>
      <c r="E24" s="47"/>
    </row>
    <row r="25" customFormat="false" ht="15" hidden="false" customHeight="true" outlineLevel="0" collapsed="false">
      <c r="A25" s="44" t="s">
        <v>347</v>
      </c>
      <c r="B25" s="49" t="n">
        <f aca="false">2*B13*(B4*B5+B4*B6+B5*B6)/10^9</f>
        <v>0</v>
      </c>
      <c r="C25" s="47"/>
      <c r="D25" s="47"/>
      <c r="E25" s="47"/>
    </row>
    <row r="26" customFormat="false" ht="15" hidden="false" customHeight="true" outlineLevel="0" collapsed="false">
      <c r="A26" s="44" t="s">
        <v>348</v>
      </c>
      <c r="B26" s="49" t="n">
        <f aca="false">B25*参数!$B$14</f>
        <v>0</v>
      </c>
      <c r="C26" s="47"/>
      <c r="D26" s="47"/>
      <c r="E26" s="47"/>
    </row>
    <row r="27" customFormat="false" ht="15" hidden="false" customHeight="true" outlineLevel="0" collapsed="false">
      <c r="A27" s="5" t="s">
        <v>349</v>
      </c>
      <c r="B27" s="49" t="n">
        <f aca="false">IF($B$9="小板",B23+B24,B26)</f>
        <v>0.0108</v>
      </c>
      <c r="C27" s="47"/>
      <c r="D27" s="47"/>
      <c r="E27" s="47"/>
    </row>
    <row r="28" customFormat="false" ht="15" hidden="false" customHeight="true" outlineLevel="0" collapsed="false">
      <c r="A28" s="5" t="s">
        <v>350</v>
      </c>
      <c r="B28" s="49" t="n">
        <f aca="false">(B14+B15)*2*(B15+2*B16)/10^6*(1+参数!$B$21)</f>
        <v>0.01008</v>
      </c>
      <c r="C28" s="47"/>
      <c r="D28" s="47"/>
      <c r="E28" s="47"/>
    </row>
    <row r="29" customFormat="false" ht="15" hidden="false" customHeight="true" outlineLevel="0" collapsed="false">
      <c r="A29" s="5" t="s">
        <v>351</v>
      </c>
      <c r="B29" s="14" t="str">
        <f aca="false">VLOOKUP($B$12,$A$58:$D$61,4,TRUE())</f>
        <v>单瓦楞3层</v>
      </c>
      <c r="C29" s="47"/>
      <c r="D29" s="47"/>
      <c r="E29" s="47"/>
    </row>
    <row r="30" customFormat="false" ht="15" hidden="false" customHeight="true" outlineLevel="0" collapsed="false">
      <c r="A30" s="5" t="s">
        <v>352</v>
      </c>
      <c r="B30" s="50" t="n">
        <f aca="false">VLOOKUP(B29,$A$65:$B$67,2,FALSE())</f>
        <v>2</v>
      </c>
      <c r="C30" s="47"/>
      <c r="D30" s="47"/>
      <c r="E30" s="47"/>
    </row>
    <row r="31" customFormat="false" ht="15.65" hidden="false" customHeight="false" outlineLevel="0" collapsed="false">
      <c r="A31" s="5" t="s">
        <v>353</v>
      </c>
      <c r="B31" s="50" t="n">
        <f aca="false">B28*B30+参数!$B$20</f>
        <v>1.52016</v>
      </c>
      <c r="C31" s="47"/>
      <c r="D31" s="47"/>
      <c r="E31" s="47"/>
    </row>
    <row r="32" customFormat="false" ht="15" hidden="false" customHeight="true" outlineLevel="0" collapsed="false">
      <c r="A32" s="51" t="s">
        <v>354</v>
      </c>
      <c r="B32" s="52" t="n">
        <f aca="false">IF(OR(B7="",B7=0),0,B31/B7)</f>
        <v>0</v>
      </c>
      <c r="C32" s="47"/>
      <c r="D32" s="47"/>
      <c r="E32" s="47"/>
    </row>
    <row r="33" customFormat="false" ht="15.65" hidden="false" customHeight="false" outlineLevel="0" collapsed="false">
      <c r="A33" s="5" t="s">
        <v>355</v>
      </c>
      <c r="B33" s="49" t="n">
        <f aca="false">IF(OR(B7="",B7=0),0,(参数!$B$23+参数!$B$24)/B7)</f>
        <v>0</v>
      </c>
      <c r="C33" s="47"/>
      <c r="D33" s="47"/>
      <c r="E33" s="47"/>
    </row>
    <row r="34" customFormat="false" ht="15" hidden="false" customHeight="true" outlineLevel="0" collapsed="false">
      <c r="A34" s="53" t="s">
        <v>356</v>
      </c>
      <c r="B34" s="54" t="n">
        <f aca="false">B27+B32+B33</f>
        <v>0.0108</v>
      </c>
      <c r="C34" s="47"/>
      <c r="D34" s="47"/>
      <c r="E34" s="47"/>
    </row>
    <row r="35" customFormat="false" ht="15" hidden="false" customHeight="true" outlineLevel="0" collapsed="false">
      <c r="A35" s="47"/>
      <c r="B35" s="47"/>
      <c r="C35" s="47"/>
      <c r="D35" s="47"/>
      <c r="E35" s="47"/>
    </row>
    <row r="36" customFormat="false" ht="15" hidden="false" customHeight="true" outlineLevel="0" collapsed="false">
      <c r="A36" s="42" t="s">
        <v>357</v>
      </c>
      <c r="B36" s="42"/>
      <c r="C36" s="42"/>
      <c r="D36" s="42"/>
      <c r="E36" s="42"/>
    </row>
    <row r="37" customFormat="false" ht="15" hidden="false" customHeight="true" outlineLevel="0" collapsed="false">
      <c r="A37" s="5" t="s">
        <v>358</v>
      </c>
      <c r="B37" s="49" t="n">
        <f aca="false">B14*B15/10^6</f>
        <v>0.0016</v>
      </c>
      <c r="C37" s="47"/>
      <c r="D37" s="47"/>
      <c r="E37" s="47"/>
    </row>
    <row r="38" customFormat="false" ht="15" hidden="false" customHeight="true" outlineLevel="0" collapsed="false">
      <c r="A38" s="5" t="s">
        <v>359</v>
      </c>
      <c r="B38" s="48" t="n">
        <f aca="false">IF(OR(B37="",B37=0),0,ROUNDDOWN(参数!$B$31/B37,0)*参数!$B$32)</f>
        <v>2748</v>
      </c>
      <c r="C38" s="47"/>
      <c r="D38" s="47"/>
      <c r="E38" s="47"/>
    </row>
    <row r="39" customFormat="false" ht="15" hidden="false" customHeight="true" outlineLevel="0" collapsed="false">
      <c r="A39" s="5" t="s">
        <v>360</v>
      </c>
      <c r="B39" s="50" t="n">
        <f aca="false">参数!$B$29+参数!$B$25/参数!$B$26+参数!$B$27*参数!$B$28+IF($B$9="大板",参数!$B$30,0)</f>
        <v>26.2</v>
      </c>
      <c r="C39" s="47"/>
      <c r="D39" s="47"/>
      <c r="E39" s="47"/>
    </row>
    <row r="40" customFormat="false" ht="15.65" hidden="false" customHeight="false" outlineLevel="0" collapsed="false">
      <c r="A40" s="5" t="s">
        <v>361</v>
      </c>
      <c r="B40" s="49" t="n">
        <f aca="false">IF(OR(B38="",B38=0),0,B39/B38)</f>
        <v>0.00953420669577875</v>
      </c>
      <c r="C40" s="47"/>
      <c r="D40" s="47"/>
      <c r="E40" s="47"/>
    </row>
    <row r="41" customFormat="false" ht="15.65" hidden="false" customHeight="false" outlineLevel="0" collapsed="false">
      <c r="A41" s="5" t="s">
        <v>362</v>
      </c>
      <c r="B41" s="55" t="n">
        <f aca="false">IF(OR(B7="",B7=0),0,IF($B$9="小板",B22*参数!$B$43/1000,B25*参数!$B$15)+B28*参数!$B$19/1000/B7+IF($B$9="小板",参数!$B$45/1000*MAX($B$7-1,0)/$B$7,0)+0.005)</f>
        <v>0</v>
      </c>
      <c r="C41" s="47"/>
      <c r="D41" s="47"/>
      <c r="E41" s="47"/>
    </row>
    <row r="42" customFormat="false" ht="15" hidden="false" customHeight="true" outlineLevel="0" collapsed="false">
      <c r="A42" s="47"/>
      <c r="B42" s="47"/>
      <c r="C42" s="47"/>
      <c r="D42" s="47"/>
      <c r="E42" s="47"/>
    </row>
    <row r="43" customFormat="false" ht="15" hidden="false" customHeight="true" outlineLevel="0" collapsed="false">
      <c r="A43" s="53" t="s">
        <v>363</v>
      </c>
      <c r="B43" s="54" t="n">
        <f aca="false">B34+IF($B$8="是",B40,0)</f>
        <v>0.0108</v>
      </c>
      <c r="C43" s="47"/>
      <c r="D43" s="47"/>
      <c r="E43" s="47"/>
    </row>
    <row r="44" customFormat="false" ht="15" hidden="false" customHeight="true" outlineLevel="0" collapsed="false">
      <c r="A44" s="47"/>
      <c r="B44" s="47"/>
      <c r="C44" s="47"/>
      <c r="D44" s="47"/>
      <c r="E44" s="47"/>
    </row>
    <row r="45" customFormat="false" ht="15" hidden="false" customHeight="true" outlineLevel="0" collapsed="false">
      <c r="A45" s="42" t="s">
        <v>364</v>
      </c>
      <c r="B45" s="42"/>
      <c r="C45" s="42"/>
      <c r="D45" s="42"/>
      <c r="E45" s="42"/>
    </row>
    <row r="46" customFormat="false" ht="15" hidden="false" customHeight="true" outlineLevel="0" collapsed="false">
      <c r="A46" s="43" t="s">
        <v>365</v>
      </c>
      <c r="B46" s="43" t="s">
        <v>64</v>
      </c>
      <c r="C46" s="43" t="s">
        <v>366</v>
      </c>
      <c r="D46" s="43" t="s">
        <v>367</v>
      </c>
      <c r="E46" s="43" t="s">
        <v>368</v>
      </c>
    </row>
    <row r="47" customFormat="false" ht="15" hidden="false" customHeight="true" outlineLevel="0" collapsed="false">
      <c r="A47" s="5" t="s">
        <v>369</v>
      </c>
      <c r="B47" s="5" t="s">
        <v>370</v>
      </c>
      <c r="C47" s="50" t="n">
        <f aca="false">参数!$B$10</f>
        <v>3</v>
      </c>
      <c r="D47" s="44" t="s">
        <v>371</v>
      </c>
      <c r="E47" s="44" t="s">
        <v>372</v>
      </c>
    </row>
    <row r="48" customFormat="false" ht="15.65" hidden="false" customHeight="false" outlineLevel="0" collapsed="false">
      <c r="A48" s="5" t="s">
        <v>373</v>
      </c>
      <c r="B48" s="5" t="s">
        <v>321</v>
      </c>
      <c r="C48" s="50" t="n">
        <f aca="false">参数!$B$44</f>
        <v>0.3</v>
      </c>
      <c r="D48" s="44" t="s">
        <v>371</v>
      </c>
      <c r="E48" s="44" t="s">
        <v>372</v>
      </c>
    </row>
    <row r="49" customFormat="false" ht="15" hidden="false" customHeight="true" outlineLevel="0" collapsed="false">
      <c r="A49" s="44" t="s">
        <v>374</v>
      </c>
      <c r="B49" s="5" t="s">
        <v>375</v>
      </c>
      <c r="C49" s="50" t="n">
        <f aca="false">参数!$B$14</f>
        <v>1800</v>
      </c>
      <c r="D49" s="44" t="s">
        <v>372</v>
      </c>
      <c r="E49" s="44" t="s">
        <v>371</v>
      </c>
    </row>
    <row r="50" customFormat="false" ht="15" hidden="false" customHeight="true" outlineLevel="0" collapsed="false">
      <c r="A50" s="5" t="s">
        <v>376</v>
      </c>
      <c r="B50" s="5" t="s">
        <v>377</v>
      </c>
      <c r="C50" s="5" t="s">
        <v>378</v>
      </c>
      <c r="D50" s="44" t="s">
        <v>371</v>
      </c>
      <c r="E50" s="44" t="s">
        <v>371</v>
      </c>
    </row>
    <row r="51" customFormat="false" ht="15" hidden="false" customHeight="true" outlineLevel="0" collapsed="false">
      <c r="A51" s="5" t="s">
        <v>300</v>
      </c>
      <c r="B51" s="5" t="s">
        <v>379</v>
      </c>
      <c r="C51" s="50" t="n">
        <f aca="false">参数!$B$29</f>
        <v>3</v>
      </c>
      <c r="D51" s="44" t="s">
        <v>371</v>
      </c>
      <c r="E51" s="44" t="s">
        <v>371</v>
      </c>
    </row>
    <row r="52" customFormat="false" ht="15" hidden="false" customHeight="true" outlineLevel="0" collapsed="false">
      <c r="A52" s="5" t="s">
        <v>380</v>
      </c>
      <c r="B52" s="5" t="s">
        <v>381</v>
      </c>
      <c r="C52" s="50" t="n">
        <f aca="false">参数!$B$25/参数!$B$26</f>
        <v>16</v>
      </c>
      <c r="D52" s="44" t="s">
        <v>371</v>
      </c>
      <c r="E52" s="44" t="s">
        <v>371</v>
      </c>
    </row>
    <row r="53" customFormat="false" ht="15" hidden="false" customHeight="true" outlineLevel="0" collapsed="false">
      <c r="A53" s="5" t="s">
        <v>382</v>
      </c>
      <c r="B53" s="5" t="s">
        <v>381</v>
      </c>
      <c r="C53" s="50" t="n">
        <f aca="false">参数!$B$27*参数!$B$28</f>
        <v>7.2</v>
      </c>
      <c r="D53" s="44" t="s">
        <v>371</v>
      </c>
      <c r="E53" s="44" t="s">
        <v>371</v>
      </c>
    </row>
    <row r="54" customFormat="false" ht="15.65" hidden="false" customHeight="false" outlineLevel="0" collapsed="false">
      <c r="A54" s="5" t="s">
        <v>302</v>
      </c>
      <c r="B54" s="5" t="s">
        <v>381</v>
      </c>
      <c r="C54" s="50" t="n">
        <f aca="false">参数!$B$30</f>
        <v>1</v>
      </c>
      <c r="D54" s="44" t="s">
        <v>372</v>
      </c>
      <c r="E54" s="44" t="s">
        <v>371</v>
      </c>
    </row>
    <row r="55" customFormat="false" ht="15.65" hidden="false" customHeight="false" outlineLevel="0" collapsed="false">
      <c r="A55" s="56" t="s">
        <v>383</v>
      </c>
      <c r="B55" s="56"/>
      <c r="C55" s="56"/>
      <c r="D55" s="56"/>
      <c r="E55" s="56"/>
    </row>
    <row r="56" customFormat="false" ht="15.65" hidden="false" customHeight="false" outlineLevel="0" collapsed="false">
      <c r="A56" s="42" t="s">
        <v>384</v>
      </c>
      <c r="B56" s="42"/>
      <c r="C56" s="42"/>
      <c r="D56" s="42"/>
      <c r="E56" s="42"/>
    </row>
    <row r="57" customFormat="false" ht="15.65" hidden="false" customHeight="false" outlineLevel="0" collapsed="false">
      <c r="A57" s="43" t="s">
        <v>385</v>
      </c>
      <c r="B57" s="43" t="s">
        <v>386</v>
      </c>
      <c r="C57" s="43" t="s">
        <v>387</v>
      </c>
      <c r="D57" s="43" t="s">
        <v>388</v>
      </c>
      <c r="E57" s="47"/>
    </row>
    <row r="58" customFormat="false" ht="15.65" hidden="false" customHeight="false" outlineLevel="0" collapsed="false">
      <c r="A58" s="5" t="n">
        <v>0</v>
      </c>
      <c r="B58" s="5" t="n">
        <v>200</v>
      </c>
      <c r="C58" s="5" t="n">
        <v>15</v>
      </c>
      <c r="D58" s="5" t="s">
        <v>389</v>
      </c>
      <c r="E58" s="47"/>
    </row>
    <row r="59" customFormat="false" ht="15.65" hidden="false" customHeight="false" outlineLevel="0" collapsed="false">
      <c r="A59" s="5" t="n">
        <v>200</v>
      </c>
      <c r="B59" s="5" t="n">
        <v>350</v>
      </c>
      <c r="C59" s="5" t="n">
        <v>20</v>
      </c>
      <c r="D59" s="5" t="s">
        <v>390</v>
      </c>
      <c r="E59" s="47"/>
    </row>
    <row r="60" customFormat="false" ht="15.65" hidden="false" customHeight="false" outlineLevel="0" collapsed="false">
      <c r="A60" s="5" t="n">
        <v>350</v>
      </c>
      <c r="B60" s="5" t="n">
        <v>550</v>
      </c>
      <c r="C60" s="5" t="n">
        <v>25</v>
      </c>
      <c r="D60" s="5" t="s">
        <v>390</v>
      </c>
      <c r="E60" s="47"/>
    </row>
    <row r="61" customFormat="false" ht="15.65" hidden="false" customHeight="false" outlineLevel="0" collapsed="false">
      <c r="A61" s="5" t="n">
        <v>550</v>
      </c>
      <c r="B61" s="5" t="n">
        <v>999999</v>
      </c>
      <c r="C61" s="5" t="n">
        <v>30</v>
      </c>
      <c r="D61" s="5" t="s">
        <v>391</v>
      </c>
      <c r="E61" s="47"/>
    </row>
    <row r="62" customFormat="false" ht="13.5" hidden="false" customHeight="false" outlineLevel="0" collapsed="false">
      <c r="A62" s="47"/>
      <c r="B62" s="47"/>
      <c r="C62" s="47"/>
      <c r="D62" s="47"/>
      <c r="E62" s="47"/>
    </row>
    <row r="63" customFormat="false" ht="13.5" hidden="false" customHeight="false" outlineLevel="0" collapsed="false">
      <c r="A63" s="42" t="s">
        <v>392</v>
      </c>
      <c r="B63" s="42"/>
      <c r="C63" s="42"/>
      <c r="D63" s="42"/>
      <c r="E63" s="42"/>
    </row>
    <row r="64" customFormat="false" ht="15.65" hidden="false" customHeight="false" outlineLevel="0" collapsed="false">
      <c r="A64" s="43" t="s">
        <v>351</v>
      </c>
      <c r="B64" s="43" t="s">
        <v>393</v>
      </c>
      <c r="C64" s="47"/>
      <c r="D64" s="47"/>
      <c r="E64" s="47"/>
    </row>
    <row r="65" customFormat="false" ht="15.65" hidden="false" customHeight="false" outlineLevel="0" collapsed="false">
      <c r="A65" s="5" t="s">
        <v>389</v>
      </c>
      <c r="B65" s="50" t="n">
        <f aca="false">参数!$B$16</f>
        <v>2</v>
      </c>
      <c r="C65" s="47"/>
      <c r="D65" s="47"/>
      <c r="E65" s="47"/>
    </row>
    <row r="66" customFormat="false" ht="15.65" hidden="false" customHeight="false" outlineLevel="0" collapsed="false">
      <c r="A66" s="5" t="s">
        <v>390</v>
      </c>
      <c r="B66" s="50" t="n">
        <f aca="false">参数!$B$17</f>
        <v>3.2</v>
      </c>
      <c r="C66" s="47"/>
      <c r="D66" s="47"/>
      <c r="E66" s="47"/>
    </row>
    <row r="67" customFormat="false" ht="15.65" hidden="false" customHeight="false" outlineLevel="0" collapsed="false">
      <c r="A67" s="5" t="s">
        <v>391</v>
      </c>
      <c r="B67" s="50" t="n">
        <f aca="false">参数!$B$18</f>
        <v>5</v>
      </c>
      <c r="C67" s="47"/>
      <c r="D67" s="47"/>
      <c r="E67" s="47"/>
    </row>
    <row r="68" customFormat="false" ht="13.5" hidden="false" customHeight="false" outlineLevel="0" collapsed="false">
      <c r="A68" s="47"/>
      <c r="B68" s="47"/>
      <c r="C68" s="47"/>
      <c r="D68" s="47"/>
      <c r="E68" s="47"/>
    </row>
    <row r="69" customFormat="false" ht="13.5" hidden="false" customHeight="false" outlineLevel="0" collapsed="false">
      <c r="A69" s="47"/>
      <c r="B69" s="47"/>
      <c r="C69" s="47"/>
      <c r="D69" s="47"/>
      <c r="E69" s="47"/>
    </row>
    <row r="70" customFormat="false" ht="13.5" hidden="false" customHeight="false" outlineLevel="0" collapsed="false">
      <c r="A70" s="47"/>
      <c r="B70" s="47"/>
      <c r="C70" s="47"/>
      <c r="D70" s="47"/>
      <c r="E70" s="47"/>
    </row>
  </sheetData>
  <mergeCells count="9">
    <mergeCell ref="A1:E1"/>
    <mergeCell ref="A3:E3"/>
    <mergeCell ref="A11:E11"/>
    <mergeCell ref="A19:E19"/>
    <mergeCell ref="A36:E36"/>
    <mergeCell ref="A45:E45"/>
    <mergeCell ref="A55:E55"/>
    <mergeCell ref="A56:E56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0" activePane="bottomLeft" state="frozen"/>
      <selection pane="topLeft" activeCell="A1" activeCellId="0" sqref="A1"/>
      <selection pane="bottom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6" style="0" width="6"/>
    <col collapsed="false" customWidth="true" hidden="false" outlineLevel="0" max="16" min="8" style="0" width="7"/>
    <col collapsed="false" customWidth="true" hidden="false" outlineLevel="0" max="17" min="17" style="0" width="28"/>
  </cols>
  <sheetData>
    <row r="1" customFormat="false" ht="17.25" hidden="false" customHeight="true" outlineLevel="0" collapsed="false">
      <c r="A1" s="1" t="s">
        <v>394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0.75" hidden="false" customHeight="true" outlineLevel="0" collapsed="false">
      <c r="A3" s="57" t="s">
        <v>395</v>
      </c>
      <c r="B3" s="57" t="s">
        <v>396</v>
      </c>
      <c r="C3" s="57" t="s">
        <v>51</v>
      </c>
      <c r="D3" s="57" t="s">
        <v>397</v>
      </c>
      <c r="E3" s="57" t="s">
        <v>398</v>
      </c>
      <c r="F3" s="57" t="s">
        <v>399</v>
      </c>
      <c r="G3" s="57" t="s">
        <v>400</v>
      </c>
      <c r="H3" s="57" t="s">
        <v>401</v>
      </c>
      <c r="I3" s="57" t="s">
        <v>402</v>
      </c>
      <c r="J3" s="57" t="s">
        <v>403</v>
      </c>
      <c r="K3" s="57" t="s">
        <v>404</v>
      </c>
      <c r="L3" s="57" t="s">
        <v>405</v>
      </c>
      <c r="M3" s="57" t="s">
        <v>406</v>
      </c>
      <c r="N3" s="57" t="s">
        <v>407</v>
      </c>
      <c r="O3" s="57" t="s">
        <v>408</v>
      </c>
      <c r="P3" s="57" t="s">
        <v>409</v>
      </c>
      <c r="Q3" s="57" t="s">
        <v>410</v>
      </c>
    </row>
    <row r="4" customFormat="false" ht="15" hidden="false" customHeight="true" outlineLevel="0" collapsed="false">
      <c r="A4" s="58" t="s">
        <v>411</v>
      </c>
      <c r="B4" s="59" t="s">
        <v>412</v>
      </c>
      <c r="C4" s="59" t="s">
        <v>413</v>
      </c>
      <c r="D4" s="60" t="n">
        <v>1</v>
      </c>
      <c r="E4" s="61" t="n">
        <v>20</v>
      </c>
      <c r="F4" s="60" t="n">
        <v>30</v>
      </c>
      <c r="G4" s="61" t="n">
        <v>255</v>
      </c>
      <c r="H4" s="61" t="n">
        <v>8.1</v>
      </c>
      <c r="I4" s="61" t="n">
        <v>8.1</v>
      </c>
      <c r="J4" s="61" t="n">
        <v>8.1</v>
      </c>
      <c r="K4" s="61" t="n">
        <v>8.1</v>
      </c>
      <c r="L4" s="61" t="n">
        <v>7.2</v>
      </c>
      <c r="M4" s="61" t="n">
        <v>6.3</v>
      </c>
      <c r="N4" s="61" t="n">
        <v>6.3</v>
      </c>
      <c r="O4" s="61" t="n">
        <v>6.3</v>
      </c>
      <c r="P4" s="61" t="n">
        <v>6.3</v>
      </c>
      <c r="Q4" s="59" t="s">
        <v>414</v>
      </c>
    </row>
    <row r="5" customFormat="false" ht="15" hidden="false" customHeight="true" outlineLevel="0" collapsed="false">
      <c r="A5" s="58" t="s">
        <v>411</v>
      </c>
      <c r="B5" s="59"/>
      <c r="C5" s="59" t="s">
        <v>415</v>
      </c>
      <c r="D5" s="60" t="n">
        <v>1</v>
      </c>
      <c r="E5" s="61" t="n">
        <v>20</v>
      </c>
      <c r="F5" s="60" t="n">
        <v>30</v>
      </c>
      <c r="G5" s="61" t="n">
        <v>255</v>
      </c>
      <c r="H5" s="61" t="n">
        <v>8.1</v>
      </c>
      <c r="I5" s="61" t="n">
        <v>8.1</v>
      </c>
      <c r="J5" s="61" t="n">
        <v>8.1</v>
      </c>
      <c r="K5" s="61" t="n">
        <v>8.1</v>
      </c>
      <c r="L5" s="61" t="n">
        <v>7.2</v>
      </c>
      <c r="M5" s="61" t="n">
        <v>6.3</v>
      </c>
      <c r="N5" s="61" t="n">
        <v>6.3</v>
      </c>
      <c r="O5" s="61" t="n">
        <v>6.3</v>
      </c>
      <c r="P5" s="61" t="n">
        <v>6.3</v>
      </c>
      <c r="Q5" s="59" t="s">
        <v>416</v>
      </c>
    </row>
    <row r="6" customFormat="false" ht="15" hidden="false" customHeight="true" outlineLevel="0" collapsed="false">
      <c r="A6" s="58" t="s">
        <v>411</v>
      </c>
      <c r="B6" s="59"/>
      <c r="C6" s="59" t="s">
        <v>417</v>
      </c>
      <c r="D6" s="60" t="n">
        <v>1</v>
      </c>
      <c r="E6" s="61" t="n">
        <v>20</v>
      </c>
      <c r="F6" s="60" t="n">
        <v>30</v>
      </c>
      <c r="G6" s="61" t="n">
        <v>255</v>
      </c>
      <c r="H6" s="61" t="n">
        <v>8.1</v>
      </c>
      <c r="I6" s="61" t="n">
        <v>8.1</v>
      </c>
      <c r="J6" s="61" t="n">
        <v>8.1</v>
      </c>
      <c r="K6" s="61" t="n">
        <v>8.1</v>
      </c>
      <c r="L6" s="61" t="n">
        <v>7.2</v>
      </c>
      <c r="M6" s="61" t="n">
        <v>6.3</v>
      </c>
      <c r="N6" s="61" t="n">
        <v>6.3</v>
      </c>
      <c r="O6" s="61" t="n">
        <v>6.3</v>
      </c>
      <c r="P6" s="61" t="n">
        <v>6.3</v>
      </c>
      <c r="Q6" s="59" t="s">
        <v>418</v>
      </c>
    </row>
    <row r="7" customFormat="false" ht="15" hidden="false" customHeight="true" outlineLevel="0" collapsed="false">
      <c r="A7" s="58" t="s">
        <v>411</v>
      </c>
      <c r="B7" s="59" t="s">
        <v>419</v>
      </c>
      <c r="C7" s="59" t="s">
        <v>22</v>
      </c>
      <c r="D7" s="60" t="n">
        <v>1</v>
      </c>
      <c r="E7" s="61" t="n">
        <v>20</v>
      </c>
      <c r="F7" s="60" t="n">
        <v>30</v>
      </c>
      <c r="G7" s="61" t="n">
        <v>542</v>
      </c>
      <c r="H7" s="61" t="n">
        <v>18</v>
      </c>
      <c r="I7" s="61" t="n">
        <v>18</v>
      </c>
      <c r="J7" s="61" t="n">
        <v>18</v>
      </c>
      <c r="K7" s="61" t="n">
        <v>18</v>
      </c>
      <c r="L7" s="61" t="n">
        <v>18</v>
      </c>
      <c r="M7" s="61" t="n">
        <v>18</v>
      </c>
      <c r="N7" s="61" t="n">
        <v>18</v>
      </c>
      <c r="O7" s="61" t="n">
        <v>18</v>
      </c>
      <c r="P7" s="61" t="n">
        <v>18</v>
      </c>
      <c r="Q7" s="59" t="s">
        <v>420</v>
      </c>
    </row>
    <row r="8" customFormat="false" ht="15" hidden="false" customHeight="true" outlineLevel="0" collapsed="false">
      <c r="A8" s="58" t="s">
        <v>411</v>
      </c>
      <c r="B8" s="59"/>
      <c r="C8" s="59" t="s">
        <v>421</v>
      </c>
      <c r="D8" s="60" t="n">
        <v>1</v>
      </c>
      <c r="E8" s="61" t="n">
        <v>25</v>
      </c>
      <c r="F8" s="60" t="n">
        <v>30</v>
      </c>
      <c r="G8" s="61" t="n">
        <v>678</v>
      </c>
      <c r="H8" s="61" t="n">
        <v>22.5</v>
      </c>
      <c r="I8" s="61" t="n">
        <v>22.5</v>
      </c>
      <c r="J8" s="61" t="n">
        <v>22.5</v>
      </c>
      <c r="K8" s="61" t="n">
        <v>22.5</v>
      </c>
      <c r="L8" s="61" t="n">
        <v>22.5</v>
      </c>
      <c r="M8" s="61" t="n">
        <v>22.5</v>
      </c>
      <c r="N8" s="61" t="n">
        <v>22.5</v>
      </c>
      <c r="O8" s="61" t="n">
        <v>22.5</v>
      </c>
      <c r="P8" s="61" t="n">
        <v>22.5</v>
      </c>
      <c r="Q8" s="59" t="s">
        <v>422</v>
      </c>
    </row>
    <row r="9" customFormat="false" ht="15" hidden="false" customHeight="true" outlineLevel="0" collapsed="false">
      <c r="A9" s="58" t="s">
        <v>411</v>
      </c>
      <c r="B9" s="59" t="s">
        <v>423</v>
      </c>
      <c r="C9" s="59" t="s">
        <v>424</v>
      </c>
      <c r="D9" s="60" t="n">
        <v>1</v>
      </c>
      <c r="E9" s="61" t="n">
        <v>20</v>
      </c>
      <c r="F9" s="60" t="n">
        <v>30</v>
      </c>
      <c r="G9" s="61" t="n">
        <v>307</v>
      </c>
      <c r="H9" s="61" t="n">
        <v>9.9</v>
      </c>
      <c r="I9" s="61" t="n">
        <v>9.9</v>
      </c>
      <c r="J9" s="61" t="n">
        <v>9.9</v>
      </c>
      <c r="K9" s="61" t="n">
        <v>9</v>
      </c>
      <c r="L9" s="61" t="n">
        <v>9</v>
      </c>
      <c r="M9" s="61" t="n">
        <v>8.1</v>
      </c>
      <c r="N9" s="61" t="n">
        <v>8.1</v>
      </c>
      <c r="O9" s="61" t="n">
        <v>8.1</v>
      </c>
      <c r="P9" s="61" t="n">
        <v>8.1</v>
      </c>
      <c r="Q9" s="59" t="s">
        <v>425</v>
      </c>
    </row>
    <row r="10" customFormat="false" ht="15" hidden="false" customHeight="true" outlineLevel="0" collapsed="false">
      <c r="A10" s="58" t="s">
        <v>411</v>
      </c>
      <c r="B10" s="59"/>
      <c r="C10" s="59" t="s">
        <v>426</v>
      </c>
      <c r="D10" s="60" t="n">
        <v>1</v>
      </c>
      <c r="E10" s="61" t="n">
        <v>20</v>
      </c>
      <c r="F10" s="60" t="n">
        <v>30</v>
      </c>
      <c r="G10" s="61" t="n">
        <v>307</v>
      </c>
      <c r="H10" s="61" t="n">
        <v>9.9</v>
      </c>
      <c r="I10" s="61" t="n">
        <v>9.9</v>
      </c>
      <c r="J10" s="61" t="n">
        <v>9.9</v>
      </c>
      <c r="K10" s="61" t="n">
        <v>9</v>
      </c>
      <c r="L10" s="61" t="n">
        <v>9</v>
      </c>
      <c r="M10" s="61" t="n">
        <v>8.1</v>
      </c>
      <c r="N10" s="61" t="n">
        <v>8.1</v>
      </c>
      <c r="O10" s="61" t="n">
        <v>8.1</v>
      </c>
      <c r="P10" s="61" t="n">
        <v>8.1</v>
      </c>
      <c r="Q10" s="59" t="s">
        <v>427</v>
      </c>
    </row>
    <row r="11" customFormat="false" ht="15" hidden="false" customHeight="true" outlineLevel="0" collapsed="false">
      <c r="A11" s="58" t="s">
        <v>411</v>
      </c>
      <c r="B11" s="59" t="s">
        <v>428</v>
      </c>
      <c r="C11" s="59" t="s">
        <v>429</v>
      </c>
      <c r="D11" s="60" t="n">
        <v>1</v>
      </c>
      <c r="E11" s="61" t="n">
        <v>20</v>
      </c>
      <c r="F11" s="60" t="n">
        <v>15</v>
      </c>
      <c r="G11" s="61" t="n">
        <v>171</v>
      </c>
      <c r="H11" s="61" t="n">
        <v>10.8</v>
      </c>
      <c r="I11" s="61" t="n">
        <v>10.8</v>
      </c>
      <c r="J11" s="61" t="n">
        <v>10.8</v>
      </c>
      <c r="K11" s="61" t="n">
        <v>9.9</v>
      </c>
      <c r="L11" s="61" t="n">
        <v>9</v>
      </c>
      <c r="M11" s="61" t="n">
        <v>8.1</v>
      </c>
      <c r="N11" s="61" t="n">
        <v>8.1</v>
      </c>
      <c r="O11" s="61" t="n">
        <v>8.1</v>
      </c>
      <c r="P11" s="61" t="n">
        <v>8.1</v>
      </c>
      <c r="Q11" s="59" t="s">
        <v>430</v>
      </c>
    </row>
    <row r="12" customFormat="false" ht="15" hidden="false" customHeight="true" outlineLevel="0" collapsed="false">
      <c r="A12" s="58" t="s">
        <v>411</v>
      </c>
      <c r="B12" s="59"/>
      <c r="C12" s="59" t="s">
        <v>431</v>
      </c>
      <c r="D12" s="60" t="n">
        <v>1</v>
      </c>
      <c r="E12" s="61" t="n">
        <v>20</v>
      </c>
      <c r="F12" s="60" t="n">
        <v>15</v>
      </c>
      <c r="G12" s="61" t="n">
        <v>171</v>
      </c>
      <c r="H12" s="61" t="n">
        <v>10.8</v>
      </c>
      <c r="I12" s="61" t="n">
        <v>10.8</v>
      </c>
      <c r="J12" s="61" t="n">
        <v>10.8</v>
      </c>
      <c r="K12" s="61" t="n">
        <v>9.9</v>
      </c>
      <c r="L12" s="61" t="n">
        <v>9</v>
      </c>
      <c r="M12" s="61" t="n">
        <v>8.1</v>
      </c>
      <c r="N12" s="61" t="n">
        <v>8.1</v>
      </c>
      <c r="O12" s="61" t="n">
        <v>8.1</v>
      </c>
      <c r="P12" s="61" t="n">
        <v>8.1</v>
      </c>
      <c r="Q12" s="59" t="s">
        <v>432</v>
      </c>
    </row>
    <row r="13" customFormat="false" ht="15" hidden="false" customHeight="true" outlineLevel="0" collapsed="false">
      <c r="A13" s="58" t="s">
        <v>411</v>
      </c>
      <c r="B13" s="59"/>
      <c r="C13" s="59" t="s">
        <v>433</v>
      </c>
      <c r="D13" s="60" t="n">
        <v>1</v>
      </c>
      <c r="E13" s="61" t="n">
        <v>20</v>
      </c>
      <c r="F13" s="60" t="n">
        <v>15</v>
      </c>
      <c r="G13" s="61" t="n">
        <v>171</v>
      </c>
      <c r="H13" s="61" t="n">
        <v>10.8</v>
      </c>
      <c r="I13" s="61" t="n">
        <v>10.8</v>
      </c>
      <c r="J13" s="61" t="n">
        <v>10.8</v>
      </c>
      <c r="K13" s="61" t="n">
        <v>9.9</v>
      </c>
      <c r="L13" s="61" t="n">
        <v>9</v>
      </c>
      <c r="M13" s="61" t="n">
        <v>8.1</v>
      </c>
      <c r="N13" s="61" t="n">
        <v>8.1</v>
      </c>
      <c r="O13" s="61" t="n">
        <v>8.1</v>
      </c>
      <c r="P13" s="61" t="n">
        <v>8.1</v>
      </c>
      <c r="Q13" s="59" t="s">
        <v>434</v>
      </c>
    </row>
    <row r="14" customFormat="false" ht="15" hidden="false" customHeight="true" outlineLevel="0" collapsed="false">
      <c r="A14" s="58" t="s">
        <v>411</v>
      </c>
      <c r="B14" s="59" t="s">
        <v>435</v>
      </c>
      <c r="C14" s="59" t="s">
        <v>436</v>
      </c>
      <c r="D14" s="60" t="n">
        <v>1</v>
      </c>
      <c r="E14" s="61" t="n">
        <v>20</v>
      </c>
      <c r="F14" s="60" t="n">
        <v>30</v>
      </c>
      <c r="G14" s="61" t="n">
        <v>255</v>
      </c>
      <c r="H14" s="61" t="n">
        <v>8.1</v>
      </c>
      <c r="I14" s="61" t="n">
        <v>8.1</v>
      </c>
      <c r="J14" s="61" t="n">
        <v>8.1</v>
      </c>
      <c r="K14" s="61" t="n">
        <v>8.1</v>
      </c>
      <c r="L14" s="61" t="n">
        <v>7.2</v>
      </c>
      <c r="M14" s="61" t="n">
        <v>6.3</v>
      </c>
      <c r="N14" s="61" t="n">
        <v>6.3</v>
      </c>
      <c r="O14" s="61" t="n">
        <v>6.3</v>
      </c>
      <c r="P14" s="61" t="n">
        <v>6.3</v>
      </c>
      <c r="Q14" s="59" t="s">
        <v>437</v>
      </c>
    </row>
    <row r="15" customFormat="false" ht="15" hidden="false" customHeight="true" outlineLevel="0" collapsed="false">
      <c r="A15" s="58" t="s">
        <v>411</v>
      </c>
      <c r="B15" s="59"/>
      <c r="C15" s="59" t="s">
        <v>438</v>
      </c>
      <c r="D15" s="60" t="n">
        <v>1</v>
      </c>
      <c r="E15" s="61" t="n">
        <v>20</v>
      </c>
      <c r="F15" s="60" t="n">
        <v>30</v>
      </c>
      <c r="G15" s="61" t="n">
        <v>255</v>
      </c>
      <c r="H15" s="61" t="n">
        <v>8.1</v>
      </c>
      <c r="I15" s="61" t="n">
        <v>8.1</v>
      </c>
      <c r="J15" s="61" t="n">
        <v>8.1</v>
      </c>
      <c r="K15" s="61" t="n">
        <v>8.1</v>
      </c>
      <c r="L15" s="61" t="n">
        <v>7.2</v>
      </c>
      <c r="M15" s="61" t="n">
        <v>6.3</v>
      </c>
      <c r="N15" s="61" t="n">
        <v>6.3</v>
      </c>
      <c r="O15" s="61" t="n">
        <v>6.3</v>
      </c>
      <c r="P15" s="61" t="n">
        <v>6.3</v>
      </c>
      <c r="Q15" s="59" t="s">
        <v>439</v>
      </c>
    </row>
    <row r="16" customFormat="false" ht="15" hidden="false" customHeight="true" outlineLevel="0" collapsed="false">
      <c r="A16" s="58" t="s">
        <v>411</v>
      </c>
      <c r="B16" s="59"/>
      <c r="C16" s="59" t="s">
        <v>440</v>
      </c>
      <c r="D16" s="60" t="n">
        <v>1</v>
      </c>
      <c r="E16" s="61" t="n">
        <v>20</v>
      </c>
      <c r="F16" s="60" t="n">
        <v>30</v>
      </c>
      <c r="G16" s="61" t="n">
        <v>307</v>
      </c>
      <c r="H16" s="61" t="n">
        <v>9.9</v>
      </c>
      <c r="I16" s="61" t="n">
        <v>9.9</v>
      </c>
      <c r="J16" s="61" t="n">
        <v>9.9</v>
      </c>
      <c r="K16" s="61" t="n">
        <v>9.9</v>
      </c>
      <c r="L16" s="61" t="n">
        <v>9</v>
      </c>
      <c r="M16" s="61" t="n">
        <v>8.1</v>
      </c>
      <c r="N16" s="61" t="n">
        <v>8.1</v>
      </c>
      <c r="O16" s="61" t="n">
        <v>8.1</v>
      </c>
      <c r="P16" s="61" t="n">
        <v>8.1</v>
      </c>
      <c r="Q16" s="59" t="s">
        <v>441</v>
      </c>
    </row>
    <row r="17" customFormat="false" ht="15" hidden="false" customHeight="true" outlineLevel="0" collapsed="false">
      <c r="A17" s="58" t="s">
        <v>411</v>
      </c>
      <c r="B17" s="59" t="s">
        <v>442</v>
      </c>
      <c r="C17" s="59" t="s">
        <v>443</v>
      </c>
      <c r="D17" s="60" t="n">
        <v>1</v>
      </c>
      <c r="E17" s="61" t="n">
        <v>20</v>
      </c>
      <c r="F17" s="60" t="n">
        <v>30</v>
      </c>
      <c r="G17" s="61" t="n">
        <v>255</v>
      </c>
      <c r="H17" s="61" t="n">
        <v>8.1</v>
      </c>
      <c r="I17" s="61" t="n">
        <v>8.1</v>
      </c>
      <c r="J17" s="61" t="n">
        <v>8.1</v>
      </c>
      <c r="K17" s="61" t="n">
        <v>8.1</v>
      </c>
      <c r="L17" s="61" t="n">
        <v>7.2</v>
      </c>
      <c r="M17" s="61" t="n">
        <v>6.3</v>
      </c>
      <c r="N17" s="61" t="n">
        <v>6.3</v>
      </c>
      <c r="O17" s="61" t="n">
        <v>6.3</v>
      </c>
      <c r="P17" s="61" t="n">
        <v>6.3</v>
      </c>
      <c r="Q17" s="59" t="s">
        <v>444</v>
      </c>
    </row>
    <row r="18" customFormat="false" ht="15" hidden="false" customHeight="true" outlineLevel="0" collapsed="false">
      <c r="A18" s="58" t="s">
        <v>411</v>
      </c>
      <c r="B18" s="59"/>
      <c r="C18" s="59" t="s">
        <v>43</v>
      </c>
      <c r="D18" s="60" t="n">
        <v>1</v>
      </c>
      <c r="E18" s="61" t="n">
        <v>20</v>
      </c>
      <c r="F18" s="60" t="n">
        <v>30</v>
      </c>
      <c r="G18" s="61" t="n">
        <v>255</v>
      </c>
      <c r="H18" s="61" t="n">
        <v>8.1</v>
      </c>
      <c r="I18" s="61" t="n">
        <v>8.1</v>
      </c>
      <c r="J18" s="61" t="n">
        <v>8.1</v>
      </c>
      <c r="K18" s="61" t="n">
        <v>8.1</v>
      </c>
      <c r="L18" s="61" t="n">
        <v>7.2</v>
      </c>
      <c r="M18" s="61" t="n">
        <v>6.3</v>
      </c>
      <c r="N18" s="61" t="n">
        <v>6.3</v>
      </c>
      <c r="O18" s="61" t="n">
        <v>6.3</v>
      </c>
      <c r="P18" s="61" t="n">
        <v>6.3</v>
      </c>
      <c r="Q18" s="59" t="s">
        <v>445</v>
      </c>
    </row>
    <row r="19" customFormat="false" ht="15" hidden="false" customHeight="true" outlineLevel="0" collapsed="false">
      <c r="A19" s="58" t="s">
        <v>411</v>
      </c>
      <c r="B19" s="59"/>
      <c r="C19" s="59" t="s">
        <v>446</v>
      </c>
      <c r="D19" s="60" t="n">
        <v>1</v>
      </c>
      <c r="E19" s="61" t="n">
        <v>20</v>
      </c>
      <c r="F19" s="60" t="n">
        <v>30</v>
      </c>
      <c r="G19" s="61" t="n">
        <v>307</v>
      </c>
      <c r="H19" s="61" t="n">
        <v>9.9</v>
      </c>
      <c r="I19" s="61" t="n">
        <v>9.9</v>
      </c>
      <c r="J19" s="61" t="n">
        <v>9.9</v>
      </c>
      <c r="K19" s="61" t="n">
        <v>9.9</v>
      </c>
      <c r="L19" s="61" t="n">
        <v>9</v>
      </c>
      <c r="M19" s="61" t="n">
        <v>8.1</v>
      </c>
      <c r="N19" s="61" t="n">
        <v>8.1</v>
      </c>
      <c r="O19" s="61" t="n">
        <v>8.1</v>
      </c>
      <c r="P19" s="61" t="n">
        <v>8.1</v>
      </c>
      <c r="Q19" s="59" t="s">
        <v>447</v>
      </c>
    </row>
    <row r="20" customFormat="false" ht="15" hidden="false" customHeight="true" outlineLevel="0" collapsed="false">
      <c r="A20" s="58" t="s">
        <v>411</v>
      </c>
      <c r="B20" s="59" t="s">
        <v>448</v>
      </c>
      <c r="C20" s="59" t="s">
        <v>48</v>
      </c>
      <c r="D20" s="60" t="n">
        <v>1</v>
      </c>
      <c r="E20" s="61" t="n">
        <v>20</v>
      </c>
      <c r="F20" s="60" t="n">
        <v>30</v>
      </c>
      <c r="G20" s="61" t="n">
        <v>255</v>
      </c>
      <c r="H20" s="61" t="n">
        <v>8.1</v>
      </c>
      <c r="I20" s="61" t="n">
        <v>8.1</v>
      </c>
      <c r="J20" s="61" t="n">
        <v>8.1</v>
      </c>
      <c r="K20" s="61" t="n">
        <v>8.1</v>
      </c>
      <c r="L20" s="61" t="n">
        <v>7.2</v>
      </c>
      <c r="M20" s="61" t="n">
        <v>7.2</v>
      </c>
      <c r="N20" s="61" t="n">
        <v>7.2</v>
      </c>
      <c r="O20" s="61" t="n">
        <v>7.2</v>
      </c>
      <c r="P20" s="61" t="n">
        <v>7.2</v>
      </c>
      <c r="Q20" s="59" t="s">
        <v>449</v>
      </c>
    </row>
    <row r="21" customFormat="false" ht="15" hidden="false" customHeight="true" outlineLevel="0" collapsed="false">
      <c r="A21" s="58" t="s">
        <v>411</v>
      </c>
      <c r="B21" s="59" t="s">
        <v>450</v>
      </c>
      <c r="C21" s="59" t="s">
        <v>451</v>
      </c>
      <c r="D21" s="60" t="n">
        <v>1</v>
      </c>
      <c r="E21" s="61" t="n">
        <v>20</v>
      </c>
      <c r="F21" s="60" t="n">
        <v>30</v>
      </c>
      <c r="G21" s="61" t="n">
        <v>255</v>
      </c>
      <c r="H21" s="61" t="n">
        <v>8.1</v>
      </c>
      <c r="I21" s="61" t="n">
        <v>8.1</v>
      </c>
      <c r="J21" s="61" t="n">
        <v>8.1</v>
      </c>
      <c r="K21" s="61" t="n">
        <v>8.1</v>
      </c>
      <c r="L21" s="61" t="n">
        <v>7.2</v>
      </c>
      <c r="M21" s="61" t="n">
        <v>7.2</v>
      </c>
      <c r="N21" s="61" t="n">
        <v>7.2</v>
      </c>
      <c r="O21" s="61" t="n">
        <v>7.2</v>
      </c>
      <c r="P21" s="61" t="n">
        <v>7.2</v>
      </c>
      <c r="Q21" s="59" t="s">
        <v>452</v>
      </c>
    </row>
    <row r="22" customFormat="false" ht="15" hidden="false" customHeight="true" outlineLevel="0" collapsed="false">
      <c r="A22" s="58" t="s">
        <v>411</v>
      </c>
      <c r="B22" s="59"/>
      <c r="C22" s="59" t="s">
        <v>52</v>
      </c>
      <c r="D22" s="60" t="n">
        <v>1</v>
      </c>
      <c r="E22" s="61" t="n">
        <v>20</v>
      </c>
      <c r="F22" s="60" t="n">
        <v>30</v>
      </c>
      <c r="G22" s="61" t="n">
        <v>255</v>
      </c>
      <c r="H22" s="61" t="n">
        <v>8.1</v>
      </c>
      <c r="I22" s="61" t="n">
        <v>8.1</v>
      </c>
      <c r="J22" s="61" t="n">
        <v>8.1</v>
      </c>
      <c r="K22" s="61" t="n">
        <v>8.1</v>
      </c>
      <c r="L22" s="61" t="n">
        <v>7.2</v>
      </c>
      <c r="M22" s="61" t="n">
        <v>7.2</v>
      </c>
      <c r="N22" s="61" t="n">
        <v>7.2</v>
      </c>
      <c r="O22" s="61" t="n">
        <v>7.2</v>
      </c>
      <c r="P22" s="61" t="n">
        <v>7.2</v>
      </c>
      <c r="Q22" s="59" t="s">
        <v>453</v>
      </c>
    </row>
    <row r="23" customFormat="false" ht="15" hidden="false" customHeight="true" outlineLevel="0" collapsed="false">
      <c r="A23" s="58" t="s">
        <v>411</v>
      </c>
      <c r="B23" s="59"/>
      <c r="C23" s="59" t="s">
        <v>454</v>
      </c>
      <c r="D23" s="60" t="n">
        <v>1</v>
      </c>
      <c r="E23" s="61" t="n">
        <v>20</v>
      </c>
      <c r="F23" s="60" t="n">
        <v>30</v>
      </c>
      <c r="G23" s="61" t="n">
        <v>307</v>
      </c>
      <c r="H23" s="61" t="n">
        <v>9.9</v>
      </c>
      <c r="I23" s="61" t="n">
        <v>9.9</v>
      </c>
      <c r="J23" s="61" t="n">
        <v>9.9</v>
      </c>
      <c r="K23" s="61" t="n">
        <v>9.9</v>
      </c>
      <c r="L23" s="61" t="n">
        <v>9</v>
      </c>
      <c r="M23" s="61" t="n">
        <v>9</v>
      </c>
      <c r="N23" s="61" t="n">
        <v>9</v>
      </c>
      <c r="O23" s="61" t="n">
        <v>9</v>
      </c>
      <c r="P23" s="61" t="n">
        <v>9</v>
      </c>
      <c r="Q23" s="59" t="s">
        <v>455</v>
      </c>
    </row>
    <row r="24" customFormat="false" ht="15" hidden="false" customHeight="true" outlineLevel="0" collapsed="false">
      <c r="A24" s="58" t="s">
        <v>411</v>
      </c>
      <c r="B24" s="59"/>
      <c r="C24" s="59" t="s">
        <v>456</v>
      </c>
      <c r="D24" s="60" t="n">
        <v>1</v>
      </c>
      <c r="E24" s="61" t="n">
        <v>20</v>
      </c>
      <c r="F24" s="60" t="n">
        <v>30</v>
      </c>
      <c r="G24" s="61" t="n">
        <v>385</v>
      </c>
      <c r="H24" s="61" t="n">
        <v>12.6</v>
      </c>
      <c r="I24" s="61" t="n">
        <v>12.6</v>
      </c>
      <c r="J24" s="61" t="n">
        <v>12.6</v>
      </c>
      <c r="K24" s="61" t="n">
        <v>12.6</v>
      </c>
      <c r="L24" s="61" t="n">
        <v>11.7</v>
      </c>
      <c r="M24" s="61" t="n">
        <v>11.7</v>
      </c>
      <c r="N24" s="61" t="n">
        <v>11.7</v>
      </c>
      <c r="O24" s="61" t="n">
        <v>11.7</v>
      </c>
      <c r="P24" s="61" t="n">
        <v>11.7</v>
      </c>
      <c r="Q24" s="59" t="s">
        <v>457</v>
      </c>
    </row>
    <row r="25" customFormat="false" ht="15" hidden="false" customHeight="true" outlineLevel="0" collapsed="false">
      <c r="A25" s="58" t="s">
        <v>411</v>
      </c>
      <c r="B25" s="59" t="s">
        <v>458</v>
      </c>
      <c r="C25" s="59" t="s">
        <v>459</v>
      </c>
      <c r="D25" s="60" t="n">
        <v>1</v>
      </c>
      <c r="E25" s="61" t="n">
        <v>20</v>
      </c>
      <c r="F25" s="60" t="n">
        <v>30</v>
      </c>
      <c r="G25" s="61" t="n">
        <v>255</v>
      </c>
      <c r="H25" s="61" t="n">
        <v>8.1</v>
      </c>
      <c r="I25" s="61" t="n">
        <v>8.1</v>
      </c>
      <c r="J25" s="61" t="n">
        <v>8.1</v>
      </c>
      <c r="K25" s="61" t="n">
        <v>8.1</v>
      </c>
      <c r="L25" s="61" t="n">
        <v>7.2</v>
      </c>
      <c r="M25" s="61" t="n">
        <v>6.3</v>
      </c>
      <c r="N25" s="61" t="n">
        <v>6.3</v>
      </c>
      <c r="O25" s="61" t="n">
        <v>6.3</v>
      </c>
      <c r="P25" s="61" t="n">
        <v>6.3</v>
      </c>
      <c r="Q25" s="59" t="s">
        <v>460</v>
      </c>
    </row>
    <row r="26" customFormat="false" ht="15" hidden="false" customHeight="true" outlineLevel="0" collapsed="false">
      <c r="A26" s="58" t="s">
        <v>411</v>
      </c>
      <c r="B26" s="59"/>
      <c r="C26" s="59" t="s">
        <v>461</v>
      </c>
      <c r="D26" s="60" t="n">
        <v>1</v>
      </c>
      <c r="E26" s="61" t="n">
        <v>20</v>
      </c>
      <c r="F26" s="60" t="n">
        <v>30</v>
      </c>
      <c r="G26" s="61" t="n">
        <v>281</v>
      </c>
      <c r="H26" s="61" t="n">
        <v>9</v>
      </c>
      <c r="I26" s="61" t="n">
        <v>9</v>
      </c>
      <c r="J26" s="61" t="n">
        <v>9</v>
      </c>
      <c r="K26" s="61" t="n">
        <v>9</v>
      </c>
      <c r="L26" s="61" t="n">
        <v>8.1</v>
      </c>
      <c r="M26" s="61" t="n">
        <v>7.2</v>
      </c>
      <c r="N26" s="61" t="n">
        <v>7.2</v>
      </c>
      <c r="O26" s="61" t="n">
        <v>7.2</v>
      </c>
      <c r="P26" s="61" t="n">
        <v>7.2</v>
      </c>
      <c r="Q26" s="59" t="s">
        <v>462</v>
      </c>
    </row>
    <row r="27" customFormat="false" ht="15" hidden="false" customHeight="true" outlineLevel="0" collapsed="false">
      <c r="A27" s="58" t="s">
        <v>411</v>
      </c>
      <c r="B27" s="59"/>
      <c r="C27" s="59" t="s">
        <v>463</v>
      </c>
      <c r="D27" s="60" t="n">
        <v>1</v>
      </c>
      <c r="E27" s="61" t="n">
        <v>20</v>
      </c>
      <c r="F27" s="60" t="n">
        <v>30</v>
      </c>
      <c r="G27" s="61" t="n">
        <v>307</v>
      </c>
      <c r="H27" s="61" t="n">
        <v>9.9</v>
      </c>
      <c r="I27" s="61" t="n">
        <v>9.9</v>
      </c>
      <c r="J27" s="61" t="n">
        <v>9.9</v>
      </c>
      <c r="K27" s="61" t="n">
        <v>9.9</v>
      </c>
      <c r="L27" s="61" t="n">
        <v>9</v>
      </c>
      <c r="M27" s="61" t="n">
        <v>8.1</v>
      </c>
      <c r="N27" s="61" t="n">
        <v>8.1</v>
      </c>
      <c r="O27" s="61" t="n">
        <v>8.1</v>
      </c>
      <c r="P27" s="61" t="n">
        <v>8.1</v>
      </c>
      <c r="Q27" s="59" t="s">
        <v>464</v>
      </c>
    </row>
    <row r="28" customFormat="false" ht="15" hidden="false" customHeight="true" outlineLevel="0" collapsed="false">
      <c r="A28" s="58" t="s">
        <v>411</v>
      </c>
      <c r="B28" s="59" t="s">
        <v>465</v>
      </c>
      <c r="C28" s="59" t="s">
        <v>70</v>
      </c>
      <c r="D28" s="60" t="n">
        <v>1</v>
      </c>
      <c r="E28" s="61" t="n">
        <v>20</v>
      </c>
      <c r="F28" s="60" t="n">
        <v>30</v>
      </c>
      <c r="G28" s="61" t="n">
        <v>542</v>
      </c>
      <c r="H28" s="61" t="n">
        <v>18</v>
      </c>
      <c r="I28" s="61" t="n">
        <v>18</v>
      </c>
      <c r="J28" s="61" t="n">
        <v>18</v>
      </c>
      <c r="K28" s="61" t="n">
        <v>18</v>
      </c>
      <c r="L28" s="61" t="n">
        <v>18</v>
      </c>
      <c r="M28" s="61" t="n">
        <v>18</v>
      </c>
      <c r="N28" s="61" t="n">
        <v>18</v>
      </c>
      <c r="O28" s="61" t="n">
        <v>18</v>
      </c>
      <c r="P28" s="61" t="n">
        <v>18</v>
      </c>
      <c r="Q28" s="59" t="s">
        <v>466</v>
      </c>
    </row>
    <row r="29" customFormat="false" ht="15" hidden="false" customHeight="true" outlineLevel="0" collapsed="false">
      <c r="A29" s="58" t="s">
        <v>411</v>
      </c>
      <c r="B29" s="59"/>
      <c r="C29" s="59" t="s">
        <v>467</v>
      </c>
      <c r="D29" s="60" t="n">
        <v>1</v>
      </c>
      <c r="E29" s="61" t="n">
        <v>25</v>
      </c>
      <c r="F29" s="60" t="n">
        <v>30</v>
      </c>
      <c r="G29" s="61" t="n">
        <v>678</v>
      </c>
      <c r="H29" s="61" t="n">
        <v>22.5</v>
      </c>
      <c r="I29" s="61" t="n">
        <v>22.5</v>
      </c>
      <c r="J29" s="61" t="n">
        <v>22.5</v>
      </c>
      <c r="K29" s="61" t="n">
        <v>22.5</v>
      </c>
      <c r="L29" s="61" t="n">
        <v>22.5</v>
      </c>
      <c r="M29" s="61" t="n">
        <v>22.5</v>
      </c>
      <c r="N29" s="61" t="n">
        <v>22.5</v>
      </c>
      <c r="O29" s="61" t="n">
        <v>22.5</v>
      </c>
      <c r="P29" s="61" t="n">
        <v>22.5</v>
      </c>
      <c r="Q29" s="59" t="s">
        <v>468</v>
      </c>
    </row>
    <row r="30" customFormat="false" ht="15" hidden="false" customHeight="true" outlineLevel="0" collapsed="false">
      <c r="A30" s="58" t="s">
        <v>411</v>
      </c>
      <c r="B30" s="59" t="s">
        <v>469</v>
      </c>
      <c r="C30" s="59" t="s">
        <v>470</v>
      </c>
      <c r="D30" s="60" t="n">
        <v>1</v>
      </c>
      <c r="E30" s="61" t="n">
        <v>20</v>
      </c>
      <c r="F30" s="60" t="n">
        <v>15</v>
      </c>
      <c r="G30" s="61" t="n">
        <v>133</v>
      </c>
      <c r="H30" s="61" t="n">
        <v>8.1</v>
      </c>
      <c r="I30" s="61" t="n">
        <v>8.1</v>
      </c>
      <c r="J30" s="61" t="n">
        <v>8.1</v>
      </c>
      <c r="K30" s="61" t="n">
        <v>7.2</v>
      </c>
      <c r="L30" s="61" t="n">
        <v>6.3</v>
      </c>
      <c r="M30" s="61" t="n">
        <v>6.3</v>
      </c>
      <c r="N30" s="61" t="n">
        <v>6.3</v>
      </c>
      <c r="O30" s="61" t="n">
        <v>6.3</v>
      </c>
      <c r="P30" s="61" t="n">
        <v>6.3</v>
      </c>
      <c r="Q30" s="59" t="s">
        <v>471</v>
      </c>
    </row>
    <row r="31" customFormat="false" ht="15" hidden="false" customHeight="true" outlineLevel="0" collapsed="false">
      <c r="A31" s="58" t="s">
        <v>411</v>
      </c>
      <c r="B31" s="59"/>
      <c r="C31" s="59" t="s">
        <v>472</v>
      </c>
      <c r="D31" s="60" t="n">
        <v>1</v>
      </c>
      <c r="E31" s="61" t="n">
        <v>20</v>
      </c>
      <c r="F31" s="60" t="n">
        <v>15</v>
      </c>
      <c r="G31" s="61" t="n">
        <v>133</v>
      </c>
      <c r="H31" s="61" t="n">
        <v>8.1</v>
      </c>
      <c r="I31" s="61" t="n">
        <v>8.1</v>
      </c>
      <c r="J31" s="61" t="n">
        <v>8.1</v>
      </c>
      <c r="K31" s="61" t="n">
        <v>7.2</v>
      </c>
      <c r="L31" s="61" t="n">
        <v>6.3</v>
      </c>
      <c r="M31" s="61" t="n">
        <v>6.3</v>
      </c>
      <c r="N31" s="61" t="n">
        <v>6.3</v>
      </c>
      <c r="O31" s="61" t="n">
        <v>6.3</v>
      </c>
      <c r="P31" s="61" t="n">
        <v>6.3</v>
      </c>
      <c r="Q31" s="59" t="s">
        <v>473</v>
      </c>
    </row>
    <row r="32" customFormat="false" ht="15" hidden="false" customHeight="true" outlineLevel="0" collapsed="false">
      <c r="A32" s="58" t="s">
        <v>411</v>
      </c>
      <c r="B32" s="59"/>
      <c r="C32" s="59" t="s">
        <v>474</v>
      </c>
      <c r="D32" s="60" t="n">
        <v>1</v>
      </c>
      <c r="E32" s="61" t="n">
        <v>20</v>
      </c>
      <c r="F32" s="60" t="n">
        <v>15</v>
      </c>
      <c r="G32" s="61" t="n">
        <v>133</v>
      </c>
      <c r="H32" s="61" t="n">
        <v>8.1</v>
      </c>
      <c r="I32" s="61" t="n">
        <v>8.1</v>
      </c>
      <c r="J32" s="61" t="n">
        <v>8.1</v>
      </c>
      <c r="K32" s="61" t="n">
        <v>7.2</v>
      </c>
      <c r="L32" s="61" t="n">
        <v>6.3</v>
      </c>
      <c r="M32" s="61" t="n">
        <v>6.3</v>
      </c>
      <c r="N32" s="61" t="n">
        <v>6.3</v>
      </c>
      <c r="O32" s="61" t="n">
        <v>6.3</v>
      </c>
      <c r="P32" s="61" t="n">
        <v>6.3</v>
      </c>
      <c r="Q32" s="59" t="s">
        <v>475</v>
      </c>
    </row>
    <row r="33" customFormat="false" ht="15" hidden="false" customHeight="true" outlineLevel="0" collapsed="false">
      <c r="A33" s="58" t="s">
        <v>411</v>
      </c>
      <c r="B33" s="59" t="s">
        <v>476</v>
      </c>
      <c r="C33" s="59" t="s">
        <v>82</v>
      </c>
      <c r="D33" s="60" t="n">
        <v>1</v>
      </c>
      <c r="E33" s="61" t="n">
        <v>20</v>
      </c>
      <c r="F33" s="60" t="n">
        <v>20</v>
      </c>
      <c r="G33" s="61" t="n">
        <v>157</v>
      </c>
      <c r="H33" s="61" t="n">
        <v>7.2</v>
      </c>
      <c r="I33" s="61" t="n">
        <v>7.2</v>
      </c>
      <c r="J33" s="61" t="n">
        <v>7.2</v>
      </c>
      <c r="K33" s="61" t="n">
        <v>7.2</v>
      </c>
      <c r="L33" s="61" t="n">
        <v>6.3</v>
      </c>
      <c r="M33" s="61" t="n">
        <v>6.3</v>
      </c>
      <c r="N33" s="61" t="n">
        <v>6.3</v>
      </c>
      <c r="O33" s="61" t="n">
        <v>6.3</v>
      </c>
      <c r="P33" s="61" t="n">
        <v>6.3</v>
      </c>
      <c r="Q33" s="59" t="s">
        <v>477</v>
      </c>
    </row>
    <row r="34" customFormat="false" ht="15" hidden="false" customHeight="true" outlineLevel="0" collapsed="false">
      <c r="A34" s="58" t="s">
        <v>411</v>
      </c>
      <c r="B34" s="59" t="s">
        <v>478</v>
      </c>
      <c r="C34" s="59" t="s">
        <v>84</v>
      </c>
      <c r="D34" s="60" t="n">
        <v>1</v>
      </c>
      <c r="E34" s="61" t="n">
        <v>20</v>
      </c>
      <c r="F34" s="60" t="n">
        <v>30</v>
      </c>
      <c r="G34" s="61" t="n">
        <v>333</v>
      </c>
      <c r="H34" s="61" t="n">
        <v>10.8</v>
      </c>
      <c r="I34" s="61" t="n">
        <v>10.8</v>
      </c>
      <c r="J34" s="61" t="n">
        <v>10.8</v>
      </c>
      <c r="K34" s="61" t="n">
        <v>9.9</v>
      </c>
      <c r="L34" s="61" t="n">
        <v>9.9</v>
      </c>
      <c r="M34" s="61" t="n">
        <v>9</v>
      </c>
      <c r="N34" s="61" t="n">
        <v>9</v>
      </c>
      <c r="O34" s="61" t="n">
        <v>9</v>
      </c>
      <c r="P34" s="61" t="n">
        <v>9</v>
      </c>
      <c r="Q34" s="59" t="s">
        <v>479</v>
      </c>
    </row>
    <row r="35" customFormat="false" ht="15" hidden="false" customHeight="true" outlineLevel="0" collapsed="false">
      <c r="A35" s="58" t="s">
        <v>411</v>
      </c>
      <c r="B35" s="59"/>
      <c r="C35" s="59" t="s">
        <v>87</v>
      </c>
      <c r="D35" s="60" t="n">
        <v>1</v>
      </c>
      <c r="E35" s="61" t="n">
        <v>20</v>
      </c>
      <c r="F35" s="60" t="n">
        <v>30</v>
      </c>
      <c r="G35" s="61" t="n">
        <v>359</v>
      </c>
      <c r="H35" s="61" t="n">
        <v>11.7</v>
      </c>
      <c r="I35" s="61" t="n">
        <v>11.7</v>
      </c>
      <c r="J35" s="61" t="n">
        <v>11.7</v>
      </c>
      <c r="K35" s="61" t="n">
        <v>10.8</v>
      </c>
      <c r="L35" s="61" t="n">
        <v>10.8</v>
      </c>
      <c r="M35" s="61" t="n">
        <v>9.9</v>
      </c>
      <c r="N35" s="61" t="n">
        <v>9.9</v>
      </c>
      <c r="O35" s="61" t="n">
        <v>9.9</v>
      </c>
      <c r="P35" s="61" t="n">
        <v>9.9</v>
      </c>
      <c r="Q35" s="59" t="s">
        <v>480</v>
      </c>
    </row>
    <row r="36" customFormat="false" ht="15" hidden="false" customHeight="true" outlineLevel="0" collapsed="false">
      <c r="A36" s="58" t="s">
        <v>411</v>
      </c>
      <c r="B36" s="59"/>
      <c r="C36" s="59" t="s">
        <v>481</v>
      </c>
      <c r="D36" s="60" t="n">
        <v>1</v>
      </c>
      <c r="E36" s="61" t="n">
        <v>20</v>
      </c>
      <c r="F36" s="60" t="n">
        <v>30</v>
      </c>
      <c r="G36" s="61" t="n">
        <v>412</v>
      </c>
      <c r="H36" s="61" t="n">
        <v>13.5</v>
      </c>
      <c r="I36" s="61" t="n">
        <v>13.5</v>
      </c>
      <c r="J36" s="61" t="n">
        <v>13.5</v>
      </c>
      <c r="K36" s="61" t="n">
        <v>12.6</v>
      </c>
      <c r="L36" s="61" t="n">
        <v>12.6</v>
      </c>
      <c r="M36" s="61" t="n">
        <v>11.7</v>
      </c>
      <c r="N36" s="61" t="n">
        <v>11.7</v>
      </c>
      <c r="O36" s="61" t="n">
        <v>11.7</v>
      </c>
      <c r="P36" s="61" t="n">
        <v>11.7</v>
      </c>
      <c r="Q36" s="59" t="s">
        <v>482</v>
      </c>
    </row>
    <row r="37" customFormat="false" ht="15" hidden="false" customHeight="true" outlineLevel="0" collapsed="false">
      <c r="A37" s="58" t="s">
        <v>411</v>
      </c>
      <c r="B37" s="59" t="s">
        <v>483</v>
      </c>
      <c r="C37" s="59" t="s">
        <v>91</v>
      </c>
      <c r="D37" s="60" t="n">
        <v>1</v>
      </c>
      <c r="E37" s="61" t="n">
        <v>20</v>
      </c>
      <c r="F37" s="60" t="n">
        <v>30</v>
      </c>
      <c r="G37" s="61" t="n">
        <v>490</v>
      </c>
      <c r="H37" s="61" t="n">
        <v>16.2</v>
      </c>
      <c r="I37" s="61" t="n">
        <v>16.2</v>
      </c>
      <c r="J37" s="61" t="n">
        <v>16.2</v>
      </c>
      <c r="K37" s="61" t="n">
        <v>14.4</v>
      </c>
      <c r="L37" s="61" t="n">
        <v>14.4</v>
      </c>
      <c r="M37" s="61" t="n">
        <v>14.4</v>
      </c>
      <c r="N37" s="61" t="n">
        <v>13.5</v>
      </c>
      <c r="O37" s="61" t="n">
        <v>13.5</v>
      </c>
      <c r="P37" s="61" t="n">
        <v>13.5</v>
      </c>
      <c r="Q37" s="59" t="s">
        <v>484</v>
      </c>
    </row>
    <row r="38" customFormat="false" ht="15" hidden="false" customHeight="true" outlineLevel="0" collapsed="false">
      <c r="A38" s="58" t="s">
        <v>411</v>
      </c>
      <c r="B38" s="59"/>
      <c r="C38" s="59" t="s">
        <v>485</v>
      </c>
      <c r="D38" s="60" t="n">
        <v>1</v>
      </c>
      <c r="E38" s="61" t="n">
        <v>20</v>
      </c>
      <c r="F38" s="60" t="n">
        <v>30</v>
      </c>
      <c r="G38" s="61" t="n">
        <v>542</v>
      </c>
      <c r="H38" s="61" t="n">
        <v>18</v>
      </c>
      <c r="I38" s="61" t="n">
        <v>18</v>
      </c>
      <c r="J38" s="61" t="n">
        <v>18</v>
      </c>
      <c r="K38" s="61" t="n">
        <v>16.2</v>
      </c>
      <c r="L38" s="61" t="n">
        <v>16.2</v>
      </c>
      <c r="M38" s="61" t="n">
        <v>16.2</v>
      </c>
      <c r="N38" s="61" t="n">
        <v>15.3</v>
      </c>
      <c r="O38" s="61" t="n">
        <v>15.3</v>
      </c>
      <c r="P38" s="61" t="n">
        <v>15.3</v>
      </c>
      <c r="Q38" s="59" t="s">
        <v>486</v>
      </c>
    </row>
    <row r="39" customFormat="false" ht="15" hidden="false" customHeight="true" outlineLevel="0" collapsed="false">
      <c r="A39" s="58" t="s">
        <v>411</v>
      </c>
      <c r="B39" s="59" t="s">
        <v>487</v>
      </c>
      <c r="C39" s="59" t="s">
        <v>488</v>
      </c>
      <c r="D39" s="60" t="n">
        <v>1</v>
      </c>
      <c r="E39" s="61" t="n">
        <v>20</v>
      </c>
      <c r="F39" s="60" t="n">
        <v>30</v>
      </c>
      <c r="G39" s="61" t="n">
        <v>229</v>
      </c>
      <c r="H39" s="61" t="n">
        <v>7.2</v>
      </c>
      <c r="I39" s="61" t="n">
        <v>7.2</v>
      </c>
      <c r="J39" s="61" t="n">
        <v>7.2</v>
      </c>
      <c r="K39" s="61" t="n">
        <v>7.2</v>
      </c>
      <c r="L39" s="61" t="n">
        <v>7.2</v>
      </c>
      <c r="M39" s="61" t="n">
        <v>6.3</v>
      </c>
      <c r="N39" s="61" t="n">
        <v>6.3</v>
      </c>
      <c r="O39" s="61" t="n">
        <v>6.3</v>
      </c>
      <c r="P39" s="61" t="n">
        <v>6.3</v>
      </c>
      <c r="Q39" s="59" t="s">
        <v>489</v>
      </c>
    </row>
    <row r="40" customFormat="false" ht="15" hidden="false" customHeight="true" outlineLevel="0" collapsed="false">
      <c r="A40" s="58" t="s">
        <v>411</v>
      </c>
      <c r="B40" s="59"/>
      <c r="C40" s="59" t="s">
        <v>490</v>
      </c>
      <c r="D40" s="60" t="n">
        <v>1</v>
      </c>
      <c r="E40" s="61" t="n">
        <v>20</v>
      </c>
      <c r="F40" s="60" t="n">
        <v>30</v>
      </c>
      <c r="G40" s="61" t="n">
        <v>255</v>
      </c>
      <c r="H40" s="61" t="n">
        <v>8.1</v>
      </c>
      <c r="I40" s="61" t="n">
        <v>8.1</v>
      </c>
      <c r="J40" s="61" t="n">
        <v>8.1</v>
      </c>
      <c r="K40" s="61" t="n">
        <v>8.1</v>
      </c>
      <c r="L40" s="61" t="n">
        <v>8.1</v>
      </c>
      <c r="M40" s="61" t="n">
        <v>7.2</v>
      </c>
      <c r="N40" s="61" t="n">
        <v>7.2</v>
      </c>
      <c r="O40" s="61" t="n">
        <v>7.2</v>
      </c>
      <c r="P40" s="61" t="n">
        <v>7.2</v>
      </c>
      <c r="Q40" s="59" t="s">
        <v>491</v>
      </c>
    </row>
    <row r="41" customFormat="false" ht="15" hidden="false" customHeight="true" outlineLevel="0" collapsed="false">
      <c r="A41" s="58" t="s">
        <v>411</v>
      </c>
      <c r="B41" s="59"/>
      <c r="C41" s="59" t="s">
        <v>492</v>
      </c>
      <c r="D41" s="60" t="n">
        <v>1</v>
      </c>
      <c r="E41" s="61" t="n">
        <v>20</v>
      </c>
      <c r="F41" s="60" t="n">
        <v>30</v>
      </c>
      <c r="G41" s="61" t="n">
        <v>281</v>
      </c>
      <c r="H41" s="61" t="n">
        <v>9</v>
      </c>
      <c r="I41" s="61" t="n">
        <v>9</v>
      </c>
      <c r="J41" s="61" t="n">
        <v>9</v>
      </c>
      <c r="K41" s="61" t="n">
        <v>9</v>
      </c>
      <c r="L41" s="61" t="n">
        <v>9</v>
      </c>
      <c r="M41" s="61" t="n">
        <v>8.1</v>
      </c>
      <c r="N41" s="61" t="n">
        <v>8.1</v>
      </c>
      <c r="O41" s="61" t="n">
        <v>8.1</v>
      </c>
      <c r="P41" s="61" t="n">
        <v>8.1</v>
      </c>
      <c r="Q41" s="59" t="s">
        <v>493</v>
      </c>
    </row>
    <row r="42" customFormat="false" ht="15" hidden="false" customHeight="true" outlineLevel="0" collapsed="false">
      <c r="A42" s="58" t="s">
        <v>411</v>
      </c>
      <c r="B42" s="59" t="s">
        <v>494</v>
      </c>
      <c r="C42" s="59" t="s">
        <v>495</v>
      </c>
      <c r="D42" s="60" t="n">
        <v>1</v>
      </c>
      <c r="E42" s="61" t="n">
        <v>20</v>
      </c>
      <c r="F42" s="60" t="n">
        <v>30</v>
      </c>
      <c r="G42" s="61" t="n">
        <v>229</v>
      </c>
      <c r="H42" s="61" t="n">
        <v>7.2</v>
      </c>
      <c r="I42" s="61" t="n">
        <v>7.2</v>
      </c>
      <c r="J42" s="61" t="n">
        <v>7.2</v>
      </c>
      <c r="K42" s="61" t="n">
        <v>7.2</v>
      </c>
      <c r="L42" s="61" t="n">
        <v>7.2</v>
      </c>
      <c r="M42" s="61" t="n">
        <v>6.3</v>
      </c>
      <c r="N42" s="61" t="n">
        <v>6.3</v>
      </c>
      <c r="O42" s="61" t="n">
        <v>6.3</v>
      </c>
      <c r="P42" s="61" t="n">
        <v>6.3</v>
      </c>
      <c r="Q42" s="59" t="s">
        <v>496</v>
      </c>
    </row>
    <row r="43" customFormat="false" ht="15" hidden="false" customHeight="true" outlineLevel="0" collapsed="false">
      <c r="A43" s="58" t="s">
        <v>411</v>
      </c>
      <c r="B43" s="59"/>
      <c r="C43" s="59" t="s">
        <v>497</v>
      </c>
      <c r="D43" s="60" t="n">
        <v>1</v>
      </c>
      <c r="E43" s="61" t="n">
        <v>20</v>
      </c>
      <c r="F43" s="60" t="n">
        <v>30</v>
      </c>
      <c r="G43" s="61" t="n">
        <v>255</v>
      </c>
      <c r="H43" s="61" t="n">
        <v>8.1</v>
      </c>
      <c r="I43" s="61" t="n">
        <v>8.1</v>
      </c>
      <c r="J43" s="61" t="n">
        <v>8.1</v>
      </c>
      <c r="K43" s="61" t="n">
        <v>8.1</v>
      </c>
      <c r="L43" s="61" t="n">
        <v>8.1</v>
      </c>
      <c r="M43" s="61" t="n">
        <v>7.2</v>
      </c>
      <c r="N43" s="61" t="n">
        <v>7.2</v>
      </c>
      <c r="O43" s="61" t="n">
        <v>7.2</v>
      </c>
      <c r="P43" s="61" t="n">
        <v>7.2</v>
      </c>
      <c r="Q43" s="59" t="s">
        <v>498</v>
      </c>
    </row>
    <row r="44" customFormat="false" ht="15" hidden="false" customHeight="true" outlineLevel="0" collapsed="false">
      <c r="A44" s="58" t="s">
        <v>411</v>
      </c>
      <c r="B44" s="59"/>
      <c r="C44" s="59" t="s">
        <v>499</v>
      </c>
      <c r="D44" s="60" t="n">
        <v>1</v>
      </c>
      <c r="E44" s="61" t="n">
        <v>20</v>
      </c>
      <c r="F44" s="60" t="n">
        <v>30</v>
      </c>
      <c r="G44" s="61" t="n">
        <v>281</v>
      </c>
      <c r="H44" s="61" t="n">
        <v>9</v>
      </c>
      <c r="I44" s="61" t="n">
        <v>9</v>
      </c>
      <c r="J44" s="61" t="n">
        <v>9</v>
      </c>
      <c r="K44" s="61" t="n">
        <v>9</v>
      </c>
      <c r="L44" s="61" t="n">
        <v>9</v>
      </c>
      <c r="M44" s="61" t="n">
        <v>8.1</v>
      </c>
      <c r="N44" s="61" t="n">
        <v>8.1</v>
      </c>
      <c r="O44" s="61" t="n">
        <v>8.1</v>
      </c>
      <c r="P44" s="61" t="n">
        <v>8.1</v>
      </c>
      <c r="Q44" s="59" t="s">
        <v>500</v>
      </c>
    </row>
    <row r="45" customFormat="false" ht="15" hidden="false" customHeight="true" outlineLevel="0" collapsed="false">
      <c r="A45" s="58" t="s">
        <v>411</v>
      </c>
      <c r="B45" s="59" t="s">
        <v>501</v>
      </c>
      <c r="C45" s="59" t="s">
        <v>502</v>
      </c>
      <c r="D45" s="60" t="n">
        <v>1</v>
      </c>
      <c r="E45" s="61" t="n">
        <v>20</v>
      </c>
      <c r="F45" s="60" t="n">
        <v>30</v>
      </c>
      <c r="G45" s="61" t="n">
        <v>307</v>
      </c>
      <c r="H45" s="61" t="n">
        <v>9.9</v>
      </c>
      <c r="I45" s="61" t="n">
        <v>9.9</v>
      </c>
      <c r="J45" s="61" t="n">
        <v>9.9</v>
      </c>
      <c r="K45" s="61" t="n">
        <v>9</v>
      </c>
      <c r="L45" s="61" t="n">
        <v>9</v>
      </c>
      <c r="M45" s="61" t="n">
        <v>8.1</v>
      </c>
      <c r="N45" s="61" t="n">
        <v>8.1</v>
      </c>
      <c r="O45" s="61" t="n">
        <v>8.1</v>
      </c>
      <c r="P45" s="61" t="n">
        <v>8.1</v>
      </c>
      <c r="Q45" s="59" t="s">
        <v>503</v>
      </c>
    </row>
    <row r="46" customFormat="false" ht="15" hidden="false" customHeight="true" outlineLevel="0" collapsed="false">
      <c r="A46" s="58" t="s">
        <v>411</v>
      </c>
      <c r="B46" s="59"/>
      <c r="C46" s="59" t="s">
        <v>504</v>
      </c>
      <c r="D46" s="60" t="n">
        <v>1</v>
      </c>
      <c r="E46" s="61" t="n">
        <v>20</v>
      </c>
      <c r="F46" s="60" t="n">
        <v>30</v>
      </c>
      <c r="G46" s="61" t="n">
        <v>333</v>
      </c>
      <c r="H46" s="61" t="n">
        <v>10.8</v>
      </c>
      <c r="I46" s="61" t="n">
        <v>10.8</v>
      </c>
      <c r="J46" s="61" t="n">
        <v>10.8</v>
      </c>
      <c r="K46" s="61" t="n">
        <v>9.9</v>
      </c>
      <c r="L46" s="61" t="n">
        <v>9.9</v>
      </c>
      <c r="M46" s="61" t="n">
        <v>9</v>
      </c>
      <c r="N46" s="61" t="n">
        <v>9</v>
      </c>
      <c r="O46" s="61" t="n">
        <v>9</v>
      </c>
      <c r="P46" s="61" t="n">
        <v>9</v>
      </c>
      <c r="Q46" s="59" t="s">
        <v>505</v>
      </c>
    </row>
    <row r="47" customFormat="false" ht="15" hidden="false" customHeight="true" outlineLevel="0" collapsed="false">
      <c r="A47" s="58" t="s">
        <v>411</v>
      </c>
      <c r="B47" s="59"/>
      <c r="C47" s="59" t="s">
        <v>506</v>
      </c>
      <c r="D47" s="60" t="n">
        <v>1</v>
      </c>
      <c r="E47" s="61" t="n">
        <v>20</v>
      </c>
      <c r="F47" s="60" t="n">
        <v>30</v>
      </c>
      <c r="G47" s="61" t="n">
        <v>385</v>
      </c>
      <c r="H47" s="61" t="n">
        <v>12.6</v>
      </c>
      <c r="I47" s="61" t="n">
        <v>12.6</v>
      </c>
      <c r="J47" s="61" t="n">
        <v>12.6</v>
      </c>
      <c r="K47" s="61" t="n">
        <v>11.7</v>
      </c>
      <c r="L47" s="61" t="n">
        <v>11.7</v>
      </c>
      <c r="M47" s="61" t="n">
        <v>10.8</v>
      </c>
      <c r="N47" s="61" t="n">
        <v>10.8</v>
      </c>
      <c r="O47" s="61" t="n">
        <v>10.8</v>
      </c>
      <c r="P47" s="61" t="n">
        <v>10.8</v>
      </c>
      <c r="Q47" s="59" t="s">
        <v>507</v>
      </c>
    </row>
    <row r="48" customFormat="false" ht="15" hidden="false" customHeight="true" outlineLevel="0" collapsed="false">
      <c r="A48" s="58" t="s">
        <v>411</v>
      </c>
      <c r="B48" s="59" t="s">
        <v>508</v>
      </c>
      <c r="C48" s="59" t="s">
        <v>509</v>
      </c>
      <c r="D48" s="60" t="n">
        <v>1</v>
      </c>
      <c r="E48" s="61" t="n">
        <v>20</v>
      </c>
      <c r="F48" s="60" t="n">
        <v>30</v>
      </c>
      <c r="G48" s="61" t="n">
        <v>281</v>
      </c>
      <c r="H48" s="61" t="n">
        <v>9</v>
      </c>
      <c r="I48" s="61" t="n">
        <v>9</v>
      </c>
      <c r="J48" s="61" t="n">
        <v>9</v>
      </c>
      <c r="K48" s="61" t="n">
        <v>8.1</v>
      </c>
      <c r="L48" s="61" t="n">
        <v>7.2</v>
      </c>
      <c r="M48" s="61" t="n">
        <v>7.2</v>
      </c>
      <c r="N48" s="61" t="n">
        <v>7.2</v>
      </c>
      <c r="O48" s="61" t="n">
        <v>7.2</v>
      </c>
      <c r="P48" s="61" t="n">
        <v>7.2</v>
      </c>
      <c r="Q48" s="59" t="s">
        <v>510</v>
      </c>
    </row>
    <row r="49" customFormat="false" ht="15" hidden="false" customHeight="true" outlineLevel="0" collapsed="false">
      <c r="A49" s="58" t="s">
        <v>411</v>
      </c>
      <c r="B49" s="59" t="s">
        <v>511</v>
      </c>
      <c r="C49" s="59" t="s">
        <v>123</v>
      </c>
      <c r="D49" s="60" t="n">
        <v>1</v>
      </c>
      <c r="E49" s="61" t="n">
        <v>20</v>
      </c>
      <c r="F49" s="60" t="n">
        <v>15</v>
      </c>
      <c r="G49" s="61" t="n">
        <v>133</v>
      </c>
      <c r="H49" s="61" t="n">
        <v>8.1</v>
      </c>
      <c r="I49" s="61" t="n">
        <v>8.1</v>
      </c>
      <c r="J49" s="61" t="n">
        <v>8.1</v>
      </c>
      <c r="K49" s="61" t="n">
        <v>7.2</v>
      </c>
      <c r="L49" s="61" t="n">
        <v>6.3</v>
      </c>
      <c r="M49" s="61" t="n">
        <v>6.3</v>
      </c>
      <c r="N49" s="61" t="n">
        <v>6.3</v>
      </c>
      <c r="O49" s="61" t="n">
        <v>6.3</v>
      </c>
      <c r="P49" s="61" t="n">
        <v>6.3</v>
      </c>
      <c r="Q49" s="59" t="s">
        <v>512</v>
      </c>
    </row>
    <row r="50" customFormat="false" ht="15" hidden="false" customHeight="true" outlineLevel="0" collapsed="false">
      <c r="A50" s="58" t="s">
        <v>411</v>
      </c>
      <c r="B50" s="59" t="s">
        <v>513</v>
      </c>
      <c r="C50" s="59" t="s">
        <v>125</v>
      </c>
      <c r="D50" s="60" t="n">
        <v>1</v>
      </c>
      <c r="E50" s="61" t="n">
        <v>20</v>
      </c>
      <c r="F50" s="60" t="n">
        <v>30</v>
      </c>
      <c r="G50" s="61" t="n">
        <v>255</v>
      </c>
      <c r="H50" s="61" t="n">
        <v>8.1</v>
      </c>
      <c r="I50" s="61" t="n">
        <v>8.1</v>
      </c>
      <c r="J50" s="61" t="n">
        <v>8.1</v>
      </c>
      <c r="K50" s="61" t="n">
        <v>8.1</v>
      </c>
      <c r="L50" s="61" t="n">
        <v>7.2</v>
      </c>
      <c r="M50" s="61" t="n">
        <v>6.3</v>
      </c>
      <c r="N50" s="61" t="n">
        <v>6.3</v>
      </c>
      <c r="O50" s="61" t="n">
        <v>6.3</v>
      </c>
      <c r="P50" s="61" t="n">
        <v>6.3</v>
      </c>
      <c r="Q50" s="59" t="s">
        <v>514</v>
      </c>
    </row>
    <row r="51" customFormat="false" ht="15" hidden="false" customHeight="true" outlineLevel="0" collapsed="false">
      <c r="A51" s="58" t="s">
        <v>411</v>
      </c>
      <c r="B51" s="59"/>
      <c r="C51" s="59" t="s">
        <v>515</v>
      </c>
      <c r="D51" s="60" t="n">
        <v>1</v>
      </c>
      <c r="E51" s="61" t="n">
        <v>20</v>
      </c>
      <c r="F51" s="60" t="n">
        <v>30</v>
      </c>
      <c r="G51" s="61" t="n">
        <v>255</v>
      </c>
      <c r="H51" s="61" t="n">
        <v>8.1</v>
      </c>
      <c r="I51" s="61" t="n">
        <v>8.1</v>
      </c>
      <c r="J51" s="61" t="n">
        <v>8.1</v>
      </c>
      <c r="K51" s="61" t="n">
        <v>8.1</v>
      </c>
      <c r="L51" s="61" t="n">
        <v>7.2</v>
      </c>
      <c r="M51" s="61" t="n">
        <v>6.3</v>
      </c>
      <c r="N51" s="61" t="n">
        <v>6.3</v>
      </c>
      <c r="O51" s="61" t="n">
        <v>6.3</v>
      </c>
      <c r="P51" s="61" t="n">
        <v>6.3</v>
      </c>
      <c r="Q51" s="59" t="s">
        <v>516</v>
      </c>
    </row>
    <row r="52" customFormat="false" ht="15" hidden="false" customHeight="true" outlineLevel="0" collapsed="false">
      <c r="A52" s="58" t="s">
        <v>411</v>
      </c>
      <c r="B52" s="59"/>
      <c r="C52" s="59" t="s">
        <v>517</v>
      </c>
      <c r="D52" s="60" t="n">
        <v>1</v>
      </c>
      <c r="E52" s="61" t="n">
        <v>20</v>
      </c>
      <c r="F52" s="60" t="n">
        <v>30</v>
      </c>
      <c r="G52" s="61" t="n">
        <v>307</v>
      </c>
      <c r="H52" s="61" t="n">
        <v>9.9</v>
      </c>
      <c r="I52" s="61" t="n">
        <v>9.9</v>
      </c>
      <c r="J52" s="61" t="n">
        <v>9.9</v>
      </c>
      <c r="K52" s="61" t="n">
        <v>9.9</v>
      </c>
      <c r="L52" s="61" t="n">
        <v>9</v>
      </c>
      <c r="M52" s="61" t="n">
        <v>8.1</v>
      </c>
      <c r="N52" s="61" t="n">
        <v>8.1</v>
      </c>
      <c r="O52" s="61" t="n">
        <v>8.1</v>
      </c>
      <c r="P52" s="61" t="n">
        <v>8.1</v>
      </c>
      <c r="Q52" s="59" t="s">
        <v>518</v>
      </c>
    </row>
    <row r="53" customFormat="false" ht="15" hidden="false" customHeight="true" outlineLevel="0" collapsed="false">
      <c r="A53" s="58" t="s">
        <v>411</v>
      </c>
      <c r="B53" s="59" t="s">
        <v>519</v>
      </c>
      <c r="C53" s="59" t="s">
        <v>131</v>
      </c>
      <c r="D53" s="60" t="n">
        <v>1</v>
      </c>
      <c r="E53" s="61" t="n">
        <v>20</v>
      </c>
      <c r="F53" s="60" t="n">
        <v>30</v>
      </c>
      <c r="G53" s="61" t="n">
        <v>307</v>
      </c>
      <c r="H53" s="61" t="n">
        <v>9.9</v>
      </c>
      <c r="I53" s="61" t="n">
        <v>9.9</v>
      </c>
      <c r="J53" s="61" t="n">
        <v>9.9</v>
      </c>
      <c r="K53" s="61" t="n">
        <v>9</v>
      </c>
      <c r="L53" s="61" t="n">
        <v>9</v>
      </c>
      <c r="M53" s="61" t="n">
        <v>8.1</v>
      </c>
      <c r="N53" s="61" t="n">
        <v>8.1</v>
      </c>
      <c r="O53" s="61" t="n">
        <v>8.1</v>
      </c>
      <c r="P53" s="61" t="n">
        <v>8.1</v>
      </c>
      <c r="Q53" s="59" t="s">
        <v>520</v>
      </c>
    </row>
    <row r="54" customFormat="false" ht="15" hidden="false" customHeight="true" outlineLevel="0" collapsed="false">
      <c r="A54" s="58" t="s">
        <v>411</v>
      </c>
      <c r="B54" s="59"/>
      <c r="C54" s="59" t="s">
        <v>521</v>
      </c>
      <c r="D54" s="60" t="n">
        <v>1</v>
      </c>
      <c r="E54" s="61" t="n">
        <v>20</v>
      </c>
      <c r="F54" s="60" t="n">
        <v>30</v>
      </c>
      <c r="G54" s="61" t="n">
        <v>307</v>
      </c>
      <c r="H54" s="61" t="n">
        <v>9.9</v>
      </c>
      <c r="I54" s="61" t="n">
        <v>9.9</v>
      </c>
      <c r="J54" s="61" t="n">
        <v>9.9</v>
      </c>
      <c r="K54" s="61" t="n">
        <v>9</v>
      </c>
      <c r="L54" s="61" t="n">
        <v>9</v>
      </c>
      <c r="M54" s="61" t="n">
        <v>8.1</v>
      </c>
      <c r="N54" s="61" t="n">
        <v>8.1</v>
      </c>
      <c r="O54" s="61" t="n">
        <v>8.1</v>
      </c>
      <c r="P54" s="61" t="n">
        <v>8.1</v>
      </c>
      <c r="Q54" s="59" t="s">
        <v>522</v>
      </c>
    </row>
    <row r="55" customFormat="false" ht="15" hidden="false" customHeight="true" outlineLevel="0" collapsed="false">
      <c r="A55" s="58" t="s">
        <v>411</v>
      </c>
      <c r="B55" s="59"/>
      <c r="C55" s="59" t="s">
        <v>523</v>
      </c>
      <c r="D55" s="60" t="n">
        <v>1</v>
      </c>
      <c r="E55" s="61" t="n">
        <v>20</v>
      </c>
      <c r="F55" s="60" t="n">
        <v>30</v>
      </c>
      <c r="G55" s="61" t="n">
        <v>307</v>
      </c>
      <c r="H55" s="61" t="n">
        <v>9.9</v>
      </c>
      <c r="I55" s="61" t="n">
        <v>9.9</v>
      </c>
      <c r="J55" s="61" t="n">
        <v>9.9</v>
      </c>
      <c r="K55" s="61" t="n">
        <v>9</v>
      </c>
      <c r="L55" s="61" t="n">
        <v>9</v>
      </c>
      <c r="M55" s="61" t="n">
        <v>8.1</v>
      </c>
      <c r="N55" s="61" t="n">
        <v>8.1</v>
      </c>
      <c r="O55" s="61" t="n">
        <v>8.1</v>
      </c>
      <c r="P55" s="61" t="n">
        <v>8.1</v>
      </c>
      <c r="Q55" s="59" t="s">
        <v>524</v>
      </c>
    </row>
    <row r="56" customFormat="false" ht="15" hidden="false" customHeight="true" outlineLevel="0" collapsed="false">
      <c r="A56" s="58" t="s">
        <v>411</v>
      </c>
      <c r="B56" s="59" t="s">
        <v>525</v>
      </c>
      <c r="C56" s="59" t="s">
        <v>134</v>
      </c>
      <c r="D56" s="60" t="n">
        <v>1</v>
      </c>
      <c r="E56" s="61" t="n">
        <v>20</v>
      </c>
      <c r="F56" s="60" t="n">
        <v>30</v>
      </c>
      <c r="G56" s="61" t="n">
        <v>490</v>
      </c>
      <c r="H56" s="61" t="n">
        <v>16.2</v>
      </c>
      <c r="I56" s="61" t="n">
        <v>16.2</v>
      </c>
      <c r="J56" s="61" t="n">
        <v>16.2</v>
      </c>
      <c r="K56" s="61" t="n">
        <v>16.2</v>
      </c>
      <c r="L56" s="61" t="n">
        <v>16.2</v>
      </c>
      <c r="M56" s="61" t="n">
        <v>15.3</v>
      </c>
      <c r="N56" s="61" t="n">
        <v>14.4</v>
      </c>
      <c r="O56" s="61" t="n">
        <v>14.4</v>
      </c>
      <c r="P56" s="61" t="n">
        <v>14.4</v>
      </c>
      <c r="Q56" s="59" t="s">
        <v>526</v>
      </c>
    </row>
    <row r="57" customFormat="false" ht="15" hidden="false" customHeight="true" outlineLevel="0" collapsed="false">
      <c r="A57" s="58" t="s">
        <v>411</v>
      </c>
      <c r="B57" s="59"/>
      <c r="C57" s="59" t="s">
        <v>527</v>
      </c>
      <c r="D57" s="60" t="n">
        <v>1</v>
      </c>
      <c r="E57" s="61" t="n">
        <v>20</v>
      </c>
      <c r="F57" s="60" t="n">
        <v>30</v>
      </c>
      <c r="G57" s="61" t="n">
        <v>542</v>
      </c>
      <c r="H57" s="61" t="n">
        <v>18</v>
      </c>
      <c r="I57" s="61" t="n">
        <v>18</v>
      </c>
      <c r="J57" s="61" t="n">
        <v>18</v>
      </c>
      <c r="K57" s="61" t="n">
        <v>18</v>
      </c>
      <c r="L57" s="61" t="n">
        <v>17.1</v>
      </c>
      <c r="M57" s="61" t="n">
        <v>17.1</v>
      </c>
      <c r="N57" s="61" t="n">
        <v>16.2</v>
      </c>
      <c r="O57" s="61" t="n">
        <v>16.2</v>
      </c>
      <c r="P57" s="61" t="n">
        <v>16.2</v>
      </c>
      <c r="Q57" s="59" t="s">
        <v>528</v>
      </c>
    </row>
    <row r="58" customFormat="false" ht="15" hidden="false" customHeight="true" outlineLevel="0" collapsed="false">
      <c r="A58" s="58" t="s">
        <v>411</v>
      </c>
      <c r="B58" s="59" t="s">
        <v>529</v>
      </c>
      <c r="C58" s="59" t="s">
        <v>530</v>
      </c>
      <c r="D58" s="60" t="n">
        <v>1</v>
      </c>
      <c r="E58" s="61" t="n">
        <v>20</v>
      </c>
      <c r="F58" s="60" t="n">
        <v>30</v>
      </c>
      <c r="G58" s="61" t="n">
        <v>255</v>
      </c>
      <c r="H58" s="61" t="n">
        <v>8.1</v>
      </c>
      <c r="I58" s="61" t="n">
        <v>8.1</v>
      </c>
      <c r="J58" s="61" t="n">
        <v>8.1</v>
      </c>
      <c r="K58" s="61" t="n">
        <v>8.1</v>
      </c>
      <c r="L58" s="61" t="n">
        <v>7.2</v>
      </c>
      <c r="M58" s="61" t="n">
        <v>7.2</v>
      </c>
      <c r="N58" s="61" t="n">
        <v>7.2</v>
      </c>
      <c r="O58" s="61" t="n">
        <v>7.2</v>
      </c>
      <c r="P58" s="61" t="n">
        <v>7.2</v>
      </c>
      <c r="Q58" s="59" t="s">
        <v>531</v>
      </c>
    </row>
    <row r="59" customFormat="false" ht="15" hidden="false" customHeight="true" outlineLevel="0" collapsed="false">
      <c r="A59" s="58" t="s">
        <v>411</v>
      </c>
      <c r="B59" s="59"/>
      <c r="C59" s="59" t="s">
        <v>532</v>
      </c>
      <c r="D59" s="60" t="n">
        <v>1</v>
      </c>
      <c r="E59" s="61" t="n">
        <v>20</v>
      </c>
      <c r="F59" s="60" t="n">
        <v>30</v>
      </c>
      <c r="G59" s="61" t="n">
        <v>281</v>
      </c>
      <c r="H59" s="61" t="n">
        <v>9</v>
      </c>
      <c r="I59" s="61" t="n">
        <v>9</v>
      </c>
      <c r="J59" s="61" t="n">
        <v>9</v>
      </c>
      <c r="K59" s="61" t="n">
        <v>9</v>
      </c>
      <c r="L59" s="61" t="n">
        <v>8.1</v>
      </c>
      <c r="M59" s="61" t="n">
        <v>8.1</v>
      </c>
      <c r="N59" s="61" t="n">
        <v>8.1</v>
      </c>
      <c r="O59" s="61" t="n">
        <v>8.1</v>
      </c>
      <c r="P59" s="61" t="n">
        <v>8.1</v>
      </c>
      <c r="Q59" s="59" t="s">
        <v>533</v>
      </c>
    </row>
    <row r="60" customFormat="false" ht="15" hidden="false" customHeight="true" outlineLevel="0" collapsed="false">
      <c r="A60" s="58" t="s">
        <v>411</v>
      </c>
      <c r="B60" s="59"/>
      <c r="C60" s="59" t="s">
        <v>534</v>
      </c>
      <c r="D60" s="60" t="n">
        <v>1</v>
      </c>
      <c r="E60" s="61" t="n">
        <v>20</v>
      </c>
      <c r="F60" s="60" t="n">
        <v>30</v>
      </c>
      <c r="G60" s="61" t="n">
        <v>307</v>
      </c>
      <c r="H60" s="61" t="n">
        <v>9.9</v>
      </c>
      <c r="I60" s="61" t="n">
        <v>9.9</v>
      </c>
      <c r="J60" s="61" t="n">
        <v>9.9</v>
      </c>
      <c r="K60" s="61" t="n">
        <v>9.9</v>
      </c>
      <c r="L60" s="61" t="n">
        <v>9</v>
      </c>
      <c r="M60" s="61" t="n">
        <v>9</v>
      </c>
      <c r="N60" s="61" t="n">
        <v>9</v>
      </c>
      <c r="O60" s="61" t="n">
        <v>9</v>
      </c>
      <c r="P60" s="61" t="n">
        <v>9</v>
      </c>
      <c r="Q60" s="59" t="s">
        <v>535</v>
      </c>
    </row>
    <row r="61" customFormat="false" ht="15" hidden="false" customHeight="true" outlineLevel="0" collapsed="false">
      <c r="A61" s="58" t="s">
        <v>411</v>
      </c>
      <c r="B61" s="59" t="s">
        <v>536</v>
      </c>
      <c r="C61" s="59" t="s">
        <v>537</v>
      </c>
      <c r="D61" s="60" t="n">
        <v>1</v>
      </c>
      <c r="E61" s="61" t="n">
        <v>20</v>
      </c>
      <c r="F61" s="60" t="n">
        <v>15</v>
      </c>
      <c r="G61" s="61" t="n">
        <v>133</v>
      </c>
      <c r="H61" s="61" t="n">
        <v>8.1</v>
      </c>
      <c r="I61" s="61" t="n">
        <v>8.1</v>
      </c>
      <c r="J61" s="61" t="n">
        <v>8.1</v>
      </c>
      <c r="K61" s="61" t="n">
        <v>7.2</v>
      </c>
      <c r="L61" s="61" t="n">
        <v>6.3</v>
      </c>
      <c r="M61" s="61" t="n">
        <v>6.3</v>
      </c>
      <c r="N61" s="61" t="n">
        <v>6.3</v>
      </c>
      <c r="O61" s="61" t="n">
        <v>6.3</v>
      </c>
      <c r="P61" s="61" t="n">
        <v>6.3</v>
      </c>
      <c r="Q61" s="59" t="s">
        <v>538</v>
      </c>
    </row>
    <row r="62" customFormat="false" ht="15" hidden="false" customHeight="true" outlineLevel="0" collapsed="false">
      <c r="A62" s="58" t="s">
        <v>411</v>
      </c>
      <c r="B62" s="59"/>
      <c r="C62" s="59" t="s">
        <v>539</v>
      </c>
      <c r="D62" s="60" t="n">
        <v>1</v>
      </c>
      <c r="E62" s="61" t="n">
        <v>20</v>
      </c>
      <c r="F62" s="60" t="n">
        <v>15</v>
      </c>
      <c r="G62" s="61" t="n">
        <v>133</v>
      </c>
      <c r="H62" s="61" t="n">
        <v>8.1</v>
      </c>
      <c r="I62" s="61" t="n">
        <v>8.1</v>
      </c>
      <c r="J62" s="61" t="n">
        <v>8.1</v>
      </c>
      <c r="K62" s="61" t="n">
        <v>7.2</v>
      </c>
      <c r="L62" s="61" t="n">
        <v>6.3</v>
      </c>
      <c r="M62" s="61" t="n">
        <v>6.3</v>
      </c>
      <c r="N62" s="61" t="n">
        <v>6.3</v>
      </c>
      <c r="O62" s="61" t="n">
        <v>6.3</v>
      </c>
      <c r="P62" s="61" t="n">
        <v>6.3</v>
      </c>
      <c r="Q62" s="59" t="s">
        <v>540</v>
      </c>
    </row>
    <row r="63" customFormat="false" ht="15" hidden="false" customHeight="true" outlineLevel="0" collapsed="false">
      <c r="A63" s="58" t="s">
        <v>411</v>
      </c>
      <c r="B63" s="59"/>
      <c r="C63" s="59" t="s">
        <v>541</v>
      </c>
      <c r="D63" s="60" t="n">
        <v>1</v>
      </c>
      <c r="E63" s="61" t="n">
        <v>20</v>
      </c>
      <c r="F63" s="60" t="n">
        <v>15</v>
      </c>
      <c r="G63" s="61" t="n">
        <v>159</v>
      </c>
      <c r="H63" s="61" t="n">
        <v>9.9</v>
      </c>
      <c r="I63" s="61" t="n">
        <v>9.9</v>
      </c>
      <c r="J63" s="61" t="n">
        <v>9.9</v>
      </c>
      <c r="K63" s="61" t="n">
        <v>9</v>
      </c>
      <c r="L63" s="61" t="n">
        <v>8.1</v>
      </c>
      <c r="M63" s="61" t="n">
        <v>8.1</v>
      </c>
      <c r="N63" s="61" t="n">
        <v>8.1</v>
      </c>
      <c r="O63" s="61" t="n">
        <v>8.1</v>
      </c>
      <c r="P63" s="61" t="n">
        <v>8.1</v>
      </c>
      <c r="Q63" s="59" t="s">
        <v>542</v>
      </c>
    </row>
    <row r="64" customFormat="false" ht="15" hidden="false" customHeight="true" outlineLevel="0" collapsed="false">
      <c r="A64" s="58" t="s">
        <v>411</v>
      </c>
      <c r="B64" s="59"/>
      <c r="C64" s="59" t="s">
        <v>543</v>
      </c>
      <c r="D64" s="60" t="n">
        <v>1</v>
      </c>
      <c r="E64" s="61" t="n">
        <v>20</v>
      </c>
      <c r="F64" s="60" t="n">
        <v>30</v>
      </c>
      <c r="G64" s="61" t="n">
        <v>281</v>
      </c>
      <c r="H64" s="61" t="n">
        <v>9</v>
      </c>
      <c r="I64" s="61" t="n">
        <v>9</v>
      </c>
      <c r="J64" s="61" t="n">
        <v>9</v>
      </c>
      <c r="K64" s="61" t="n">
        <v>8.1</v>
      </c>
      <c r="L64" s="61" t="n">
        <v>7.2</v>
      </c>
      <c r="M64" s="61" t="n">
        <v>6.3</v>
      </c>
      <c r="N64" s="61" t="n">
        <v>6.3</v>
      </c>
      <c r="O64" s="61" t="n">
        <v>6.3</v>
      </c>
      <c r="P64" s="61" t="n">
        <v>6.3</v>
      </c>
      <c r="Q64" s="59" t="s">
        <v>544</v>
      </c>
    </row>
    <row r="65" customFormat="false" ht="15" hidden="false" customHeight="true" outlineLevel="0" collapsed="false">
      <c r="A65" s="58" t="s">
        <v>411</v>
      </c>
      <c r="B65" s="59" t="s">
        <v>545</v>
      </c>
      <c r="C65" s="59" t="s">
        <v>143</v>
      </c>
      <c r="D65" s="60" t="n">
        <v>1</v>
      </c>
      <c r="E65" s="61" t="n">
        <v>20</v>
      </c>
      <c r="F65" s="60" t="n">
        <v>30</v>
      </c>
      <c r="G65" s="61" t="n">
        <v>438</v>
      </c>
      <c r="H65" s="61" t="n">
        <v>14.4</v>
      </c>
      <c r="I65" s="61" t="n">
        <v>14.4</v>
      </c>
      <c r="J65" s="61" t="n">
        <v>14.4</v>
      </c>
      <c r="K65" s="61" t="n">
        <v>12.6</v>
      </c>
      <c r="L65" s="61" t="n">
        <v>12.6</v>
      </c>
      <c r="M65" s="61" t="n">
        <v>12.6</v>
      </c>
      <c r="N65" s="61" t="n">
        <v>12.6</v>
      </c>
      <c r="O65" s="61" t="n">
        <v>11.7</v>
      </c>
      <c r="P65" s="61" t="n">
        <v>11.7</v>
      </c>
      <c r="Q65" s="59" t="s">
        <v>546</v>
      </c>
    </row>
    <row r="66" customFormat="false" ht="15" hidden="false" customHeight="true" outlineLevel="0" collapsed="false">
      <c r="A66" s="58" t="s">
        <v>411</v>
      </c>
      <c r="B66" s="59"/>
      <c r="C66" s="59" t="s">
        <v>144</v>
      </c>
      <c r="D66" s="60" t="n">
        <v>1</v>
      </c>
      <c r="E66" s="61" t="n">
        <v>20</v>
      </c>
      <c r="F66" s="60" t="n">
        <v>30</v>
      </c>
      <c r="G66" s="61" t="n">
        <v>438</v>
      </c>
      <c r="H66" s="61" t="n">
        <v>14.4</v>
      </c>
      <c r="I66" s="61" t="n">
        <v>14.4</v>
      </c>
      <c r="J66" s="61" t="n">
        <v>14.4</v>
      </c>
      <c r="K66" s="61" t="n">
        <v>12.6</v>
      </c>
      <c r="L66" s="61" t="n">
        <v>12.6</v>
      </c>
      <c r="M66" s="61" t="n">
        <v>12.6</v>
      </c>
      <c r="N66" s="61" t="n">
        <v>12.6</v>
      </c>
      <c r="O66" s="61" t="n">
        <v>11.7</v>
      </c>
      <c r="P66" s="61" t="n">
        <v>11.7</v>
      </c>
      <c r="Q66" s="59" t="s">
        <v>547</v>
      </c>
    </row>
    <row r="67" customFormat="false" ht="15" hidden="false" customHeight="true" outlineLevel="0" collapsed="false">
      <c r="A67" s="58" t="s">
        <v>411</v>
      </c>
      <c r="B67" s="59"/>
      <c r="C67" s="59" t="s">
        <v>548</v>
      </c>
      <c r="D67" s="60" t="n">
        <v>1</v>
      </c>
      <c r="E67" s="61" t="n">
        <v>20</v>
      </c>
      <c r="F67" s="60" t="n">
        <v>30</v>
      </c>
      <c r="G67" s="61" t="n">
        <v>516</v>
      </c>
      <c r="H67" s="61" t="n">
        <v>17.1</v>
      </c>
      <c r="I67" s="61" t="n">
        <v>17.1</v>
      </c>
      <c r="J67" s="61" t="n">
        <v>17.1</v>
      </c>
      <c r="K67" s="61" t="n">
        <v>15.3</v>
      </c>
      <c r="L67" s="61" t="n">
        <v>15.3</v>
      </c>
      <c r="M67" s="61" t="n">
        <v>15.3</v>
      </c>
      <c r="N67" s="61" t="n">
        <v>15.3</v>
      </c>
      <c r="O67" s="61" t="n">
        <v>14.4</v>
      </c>
      <c r="P67" s="61" t="n">
        <v>14.4</v>
      </c>
      <c r="Q67" s="59" t="s">
        <v>549</v>
      </c>
    </row>
    <row r="68" customFormat="false" ht="15" hidden="false" customHeight="true" outlineLevel="0" collapsed="false">
      <c r="A68" s="58" t="s">
        <v>411</v>
      </c>
      <c r="B68" s="59" t="s">
        <v>550</v>
      </c>
      <c r="C68" s="59" t="s">
        <v>146</v>
      </c>
      <c r="D68" s="60" t="n">
        <v>1</v>
      </c>
      <c r="E68" s="61" t="n">
        <v>20</v>
      </c>
      <c r="F68" s="60" t="n">
        <v>30</v>
      </c>
      <c r="G68" s="61" t="n">
        <v>490</v>
      </c>
      <c r="H68" s="61" t="n">
        <v>16.2</v>
      </c>
      <c r="I68" s="61" t="n">
        <v>16.2</v>
      </c>
      <c r="J68" s="61" t="n">
        <v>16.2</v>
      </c>
      <c r="K68" s="61" t="n">
        <v>14.4</v>
      </c>
      <c r="L68" s="61" t="n">
        <v>14.4</v>
      </c>
      <c r="M68" s="61" t="n">
        <v>14.4</v>
      </c>
      <c r="N68" s="61" t="n">
        <v>13.5</v>
      </c>
      <c r="O68" s="61" t="n">
        <v>13.5</v>
      </c>
      <c r="P68" s="61" t="n">
        <v>13.5</v>
      </c>
      <c r="Q68" s="59" t="s">
        <v>551</v>
      </c>
    </row>
    <row r="69" customFormat="false" ht="15" hidden="false" customHeight="true" outlineLevel="0" collapsed="false">
      <c r="A69" s="58" t="s">
        <v>411</v>
      </c>
      <c r="B69" s="59"/>
      <c r="C69" s="59" t="s">
        <v>552</v>
      </c>
      <c r="D69" s="60" t="n">
        <v>1</v>
      </c>
      <c r="E69" s="61" t="n">
        <v>20</v>
      </c>
      <c r="F69" s="60" t="n">
        <v>30</v>
      </c>
      <c r="G69" s="61" t="n">
        <v>542</v>
      </c>
      <c r="H69" s="61" t="n">
        <v>18</v>
      </c>
      <c r="I69" s="61" t="n">
        <v>18</v>
      </c>
      <c r="J69" s="61" t="n">
        <v>18</v>
      </c>
      <c r="K69" s="61" t="n">
        <v>16.2</v>
      </c>
      <c r="L69" s="61" t="n">
        <v>16.2</v>
      </c>
      <c r="M69" s="61" t="n">
        <v>16.2</v>
      </c>
      <c r="N69" s="61" t="n">
        <v>15.3</v>
      </c>
      <c r="O69" s="61" t="n">
        <v>15.3</v>
      </c>
      <c r="P69" s="61" t="n">
        <v>15.3</v>
      </c>
      <c r="Q69" s="59" t="s">
        <v>553</v>
      </c>
    </row>
    <row r="70" customFormat="false" ht="15" hidden="false" customHeight="true" outlineLevel="0" collapsed="false">
      <c r="A70" s="58" t="s">
        <v>411</v>
      </c>
      <c r="B70" s="59" t="s">
        <v>554</v>
      </c>
      <c r="C70" s="59" t="s">
        <v>555</v>
      </c>
      <c r="D70" s="60" t="n">
        <v>1</v>
      </c>
      <c r="E70" s="61" t="n">
        <v>20</v>
      </c>
      <c r="F70" s="60" t="n">
        <v>30</v>
      </c>
      <c r="G70" s="61" t="n">
        <v>255</v>
      </c>
      <c r="H70" s="61" t="n">
        <v>8.1</v>
      </c>
      <c r="I70" s="61" t="n">
        <v>8.1</v>
      </c>
      <c r="J70" s="61" t="n">
        <v>8.1</v>
      </c>
      <c r="K70" s="61" t="n">
        <v>8.1</v>
      </c>
      <c r="L70" s="61" t="n">
        <v>8.1</v>
      </c>
      <c r="M70" s="61" t="n">
        <v>8.1</v>
      </c>
      <c r="N70" s="61" t="n">
        <v>8.1</v>
      </c>
      <c r="O70" s="61" t="n">
        <v>8.1</v>
      </c>
      <c r="P70" s="61" t="n">
        <v>8.1</v>
      </c>
      <c r="Q70" s="59" t="s">
        <v>556</v>
      </c>
    </row>
    <row r="71" customFormat="false" ht="15" hidden="false" customHeight="true" outlineLevel="0" collapsed="false">
      <c r="A71" s="58" t="s">
        <v>411</v>
      </c>
      <c r="B71" s="59"/>
      <c r="C71" s="59" t="s">
        <v>149</v>
      </c>
      <c r="D71" s="60" t="n">
        <v>1</v>
      </c>
      <c r="E71" s="61" t="n">
        <v>20</v>
      </c>
      <c r="F71" s="60" t="n">
        <v>30</v>
      </c>
      <c r="G71" s="61" t="n">
        <v>263</v>
      </c>
      <c r="H71" s="61" t="n">
        <v>9</v>
      </c>
      <c r="I71" s="61" t="n">
        <v>8.1</v>
      </c>
      <c r="J71" s="61" t="n">
        <v>8.1</v>
      </c>
      <c r="K71" s="61" t="n">
        <v>8.1</v>
      </c>
      <c r="L71" s="61" t="n">
        <v>7.2</v>
      </c>
      <c r="M71" s="61" t="n">
        <v>7.2</v>
      </c>
      <c r="N71" s="61" t="n">
        <v>7.2</v>
      </c>
      <c r="O71" s="61" t="n">
        <v>7.2</v>
      </c>
      <c r="P71" s="61" t="n">
        <v>7.2</v>
      </c>
      <c r="Q71" s="59" t="s">
        <v>557</v>
      </c>
    </row>
    <row r="72" customFormat="false" ht="15" hidden="false" customHeight="true" outlineLevel="0" collapsed="false">
      <c r="A72" s="58" t="s">
        <v>411</v>
      </c>
      <c r="B72" s="59"/>
      <c r="C72" s="59" t="s">
        <v>558</v>
      </c>
      <c r="D72" s="60" t="n">
        <v>1</v>
      </c>
      <c r="E72" s="61" t="n">
        <v>20</v>
      </c>
      <c r="F72" s="60" t="n">
        <v>30</v>
      </c>
      <c r="G72" s="61" t="n">
        <v>307</v>
      </c>
      <c r="H72" s="61" t="n">
        <v>9.9</v>
      </c>
      <c r="I72" s="61" t="n">
        <v>9.9</v>
      </c>
      <c r="J72" s="61" t="n">
        <v>9.9</v>
      </c>
      <c r="K72" s="61" t="n">
        <v>9.9</v>
      </c>
      <c r="L72" s="61" t="n">
        <v>9.9</v>
      </c>
      <c r="M72" s="61" t="n">
        <v>9.9</v>
      </c>
      <c r="N72" s="61" t="n">
        <v>9.9</v>
      </c>
      <c r="O72" s="61" t="n">
        <v>9.9</v>
      </c>
      <c r="P72" s="61" t="n">
        <v>9.9</v>
      </c>
      <c r="Q72" s="59" t="s">
        <v>559</v>
      </c>
    </row>
    <row r="73" customFormat="false" ht="15" hidden="false" customHeight="true" outlineLevel="0" collapsed="false">
      <c r="A73" s="58" t="s">
        <v>411</v>
      </c>
      <c r="B73" s="59" t="s">
        <v>560</v>
      </c>
      <c r="C73" s="59" t="s">
        <v>151</v>
      </c>
      <c r="D73" s="60" t="n">
        <v>1</v>
      </c>
      <c r="E73" s="61" t="n">
        <v>20</v>
      </c>
      <c r="F73" s="60" t="n">
        <v>30</v>
      </c>
      <c r="G73" s="61" t="n">
        <v>333</v>
      </c>
      <c r="H73" s="61" t="n">
        <v>10.8</v>
      </c>
      <c r="I73" s="61" t="n">
        <v>10.8</v>
      </c>
      <c r="J73" s="61" t="n">
        <v>10.8</v>
      </c>
      <c r="K73" s="61" t="n">
        <v>9.9</v>
      </c>
      <c r="L73" s="61" t="n">
        <v>9.9</v>
      </c>
      <c r="M73" s="61" t="n">
        <v>9</v>
      </c>
      <c r="N73" s="61" t="n">
        <v>9</v>
      </c>
      <c r="O73" s="61" t="n">
        <v>9</v>
      </c>
      <c r="P73" s="61" t="n">
        <v>9</v>
      </c>
      <c r="Q73" s="59" t="s">
        <v>561</v>
      </c>
    </row>
    <row r="74" customFormat="false" ht="15" hidden="false" customHeight="true" outlineLevel="0" collapsed="false">
      <c r="A74" s="58" t="s">
        <v>411</v>
      </c>
      <c r="B74" s="59"/>
      <c r="C74" s="59" t="s">
        <v>562</v>
      </c>
      <c r="D74" s="60" t="n">
        <v>1</v>
      </c>
      <c r="E74" s="61" t="n">
        <v>20</v>
      </c>
      <c r="F74" s="60" t="n">
        <v>30</v>
      </c>
      <c r="G74" s="61" t="n">
        <v>385</v>
      </c>
      <c r="H74" s="61" t="n">
        <v>12.6</v>
      </c>
      <c r="I74" s="61" t="n">
        <v>12.6</v>
      </c>
      <c r="J74" s="61" t="n">
        <v>12.6</v>
      </c>
      <c r="K74" s="61" t="n">
        <v>11.7</v>
      </c>
      <c r="L74" s="61" t="n">
        <v>11.7</v>
      </c>
      <c r="M74" s="61" t="n">
        <v>10.8</v>
      </c>
      <c r="N74" s="61" t="n">
        <v>10.8</v>
      </c>
      <c r="O74" s="61" t="n">
        <v>10.8</v>
      </c>
      <c r="P74" s="61" t="n">
        <v>10.8</v>
      </c>
      <c r="Q74" s="59" t="s">
        <v>563</v>
      </c>
    </row>
    <row r="75" customFormat="false" ht="15" hidden="false" customHeight="true" outlineLevel="0" collapsed="false">
      <c r="A75" s="58" t="s">
        <v>411</v>
      </c>
      <c r="B75" s="59" t="s">
        <v>564</v>
      </c>
      <c r="C75" s="59" t="s">
        <v>153</v>
      </c>
      <c r="D75" s="60" t="n">
        <v>1</v>
      </c>
      <c r="E75" s="61" t="n">
        <v>20</v>
      </c>
      <c r="F75" s="60" t="n">
        <v>20</v>
      </c>
      <c r="G75" s="61" t="n">
        <v>157</v>
      </c>
      <c r="H75" s="61" t="n">
        <v>7.2</v>
      </c>
      <c r="I75" s="61" t="n">
        <v>7.2</v>
      </c>
      <c r="J75" s="61" t="n">
        <v>7.2</v>
      </c>
      <c r="K75" s="61" t="n">
        <v>7.2</v>
      </c>
      <c r="L75" s="61" t="n">
        <v>6.3</v>
      </c>
      <c r="M75" s="61" t="n">
        <v>6.3</v>
      </c>
      <c r="N75" s="61" t="n">
        <v>6.3</v>
      </c>
      <c r="O75" s="61" t="n">
        <v>6.3</v>
      </c>
      <c r="P75" s="61" t="n">
        <v>6.3</v>
      </c>
      <c r="Q75" s="59" t="s">
        <v>565</v>
      </c>
    </row>
    <row r="76" customFormat="false" ht="15" hidden="false" customHeight="true" outlineLevel="0" collapsed="false">
      <c r="A76" s="58" t="s">
        <v>411</v>
      </c>
      <c r="B76" s="59" t="s">
        <v>566</v>
      </c>
      <c r="C76" s="59" t="s">
        <v>567</v>
      </c>
      <c r="D76" s="60" t="n">
        <v>1</v>
      </c>
      <c r="E76" s="61" t="n">
        <v>20</v>
      </c>
      <c r="F76" s="60" t="n">
        <v>30</v>
      </c>
      <c r="G76" s="61" t="n">
        <v>307</v>
      </c>
      <c r="H76" s="61" t="n">
        <v>9.9</v>
      </c>
      <c r="I76" s="61" t="n">
        <v>9.9</v>
      </c>
      <c r="J76" s="61" t="n">
        <v>9.9</v>
      </c>
      <c r="K76" s="61" t="n">
        <v>9</v>
      </c>
      <c r="L76" s="61" t="n">
        <v>9</v>
      </c>
      <c r="M76" s="61" t="n">
        <v>9</v>
      </c>
      <c r="N76" s="61" t="n">
        <v>9</v>
      </c>
      <c r="O76" s="61" t="n">
        <v>9</v>
      </c>
      <c r="P76" s="61" t="n">
        <v>9</v>
      </c>
      <c r="Q76" s="59" t="s">
        <v>568</v>
      </c>
    </row>
    <row r="77" customFormat="false" ht="15" hidden="false" customHeight="true" outlineLevel="0" collapsed="false">
      <c r="A77" s="58" t="s">
        <v>411</v>
      </c>
      <c r="B77" s="59"/>
      <c r="C77" s="59" t="s">
        <v>569</v>
      </c>
      <c r="D77" s="60" t="n">
        <v>1</v>
      </c>
      <c r="E77" s="61" t="n">
        <v>20</v>
      </c>
      <c r="F77" s="60" t="n">
        <v>30</v>
      </c>
      <c r="G77" s="61" t="n">
        <v>359</v>
      </c>
      <c r="H77" s="61" t="n">
        <v>11.7</v>
      </c>
      <c r="I77" s="61" t="n">
        <v>11.7</v>
      </c>
      <c r="J77" s="61" t="n">
        <v>11.7</v>
      </c>
      <c r="K77" s="61" t="n">
        <v>10.8</v>
      </c>
      <c r="L77" s="61" t="n">
        <v>10.8</v>
      </c>
      <c r="M77" s="61" t="n">
        <v>10.8</v>
      </c>
      <c r="N77" s="61" t="n">
        <v>10.8</v>
      </c>
      <c r="O77" s="61" t="n">
        <v>10.8</v>
      </c>
      <c r="P77" s="61" t="n">
        <v>10.8</v>
      </c>
      <c r="Q77" s="59" t="s">
        <v>570</v>
      </c>
    </row>
    <row r="78" customFormat="false" ht="15" hidden="false" customHeight="true" outlineLevel="0" collapsed="false">
      <c r="A78" s="58" t="s">
        <v>571</v>
      </c>
      <c r="B78" s="59" t="s">
        <v>501</v>
      </c>
      <c r="C78" s="59" t="s">
        <v>502</v>
      </c>
      <c r="D78" s="60" t="n">
        <v>1</v>
      </c>
      <c r="E78" s="61" t="n">
        <v>10</v>
      </c>
      <c r="F78" s="60" t="n">
        <v>50</v>
      </c>
      <c r="G78" s="61" t="n">
        <v>108</v>
      </c>
      <c r="H78" s="61" t="n">
        <v>2</v>
      </c>
      <c r="I78" s="61" t="n">
        <v>2</v>
      </c>
      <c r="J78" s="61" t="n">
        <v>1.9</v>
      </c>
      <c r="K78" s="61" t="n">
        <v>1.9</v>
      </c>
      <c r="L78" s="61" t="n">
        <v>1.8</v>
      </c>
      <c r="M78" s="61" t="n">
        <v>1.7</v>
      </c>
      <c r="N78" s="61" t="n">
        <v>1.6</v>
      </c>
      <c r="O78" s="61" t="n">
        <v>1.5</v>
      </c>
      <c r="P78" s="61" t="n">
        <v>0</v>
      </c>
      <c r="Q78" s="59" t="s">
        <v>572</v>
      </c>
    </row>
    <row r="79" customFormat="false" ht="15" hidden="false" customHeight="true" outlineLevel="0" collapsed="false">
      <c r="A79" s="58" t="s">
        <v>571</v>
      </c>
      <c r="B79" s="59"/>
      <c r="C79" s="59" t="s">
        <v>573</v>
      </c>
      <c r="D79" s="60" t="n">
        <v>1</v>
      </c>
      <c r="E79" s="61" t="n">
        <v>10</v>
      </c>
      <c r="F79" s="60" t="n">
        <v>50</v>
      </c>
      <c r="G79" s="61" t="n">
        <v>113</v>
      </c>
      <c r="H79" s="61" t="n">
        <v>2.1</v>
      </c>
      <c r="I79" s="61" t="n">
        <v>2.1</v>
      </c>
      <c r="J79" s="61" t="n">
        <v>2</v>
      </c>
      <c r="K79" s="61" t="n">
        <v>2</v>
      </c>
      <c r="L79" s="61" t="n">
        <v>1.9</v>
      </c>
      <c r="M79" s="61" t="n">
        <v>1.8</v>
      </c>
      <c r="N79" s="61" t="n">
        <v>1.7</v>
      </c>
      <c r="O79" s="61" t="n">
        <v>1.6</v>
      </c>
      <c r="P79" s="61" t="n">
        <v>0</v>
      </c>
      <c r="Q79" s="59" t="s">
        <v>574</v>
      </c>
    </row>
    <row r="80" customFormat="false" ht="15" hidden="false" customHeight="true" outlineLevel="0" collapsed="false">
      <c r="A80" s="58" t="s">
        <v>571</v>
      </c>
      <c r="B80" s="59" t="s">
        <v>412</v>
      </c>
      <c r="C80" s="59" t="s">
        <v>157</v>
      </c>
      <c r="D80" s="60" t="n">
        <v>1</v>
      </c>
      <c r="E80" s="61" t="n">
        <v>10</v>
      </c>
      <c r="F80" s="60" t="n">
        <v>50</v>
      </c>
      <c r="G80" s="61" t="n">
        <v>98</v>
      </c>
      <c r="H80" s="61" t="n">
        <v>1.8</v>
      </c>
      <c r="I80" s="61" t="n">
        <v>1.8</v>
      </c>
      <c r="J80" s="61" t="n">
        <v>1.6</v>
      </c>
      <c r="K80" s="61" t="n">
        <v>1.6</v>
      </c>
      <c r="L80" s="61" t="n">
        <v>1.5</v>
      </c>
      <c r="M80" s="61" t="n">
        <v>1.45</v>
      </c>
      <c r="N80" s="61" t="n">
        <v>1.35</v>
      </c>
      <c r="O80" s="61" t="n">
        <v>1.25</v>
      </c>
      <c r="P80" s="61" t="n">
        <v>0</v>
      </c>
      <c r="Q80" s="59" t="s">
        <v>575</v>
      </c>
    </row>
    <row r="81" customFormat="false" ht="15" hidden="false" customHeight="true" outlineLevel="0" collapsed="false">
      <c r="A81" s="58" t="s">
        <v>571</v>
      </c>
      <c r="B81" s="59"/>
      <c r="C81" s="59" t="s">
        <v>576</v>
      </c>
      <c r="D81" s="60" t="n">
        <v>1</v>
      </c>
      <c r="E81" s="61" t="n">
        <v>10</v>
      </c>
      <c r="F81" s="60" t="n">
        <v>50</v>
      </c>
      <c r="G81" s="61" t="n">
        <v>98</v>
      </c>
      <c r="H81" s="61" t="n">
        <v>1.8</v>
      </c>
      <c r="I81" s="61" t="n">
        <v>1.8</v>
      </c>
      <c r="J81" s="61" t="n">
        <v>1.7</v>
      </c>
      <c r="K81" s="61" t="n">
        <v>1.7</v>
      </c>
      <c r="L81" s="61" t="n">
        <v>1.6</v>
      </c>
      <c r="M81" s="61" t="n">
        <v>1.5</v>
      </c>
      <c r="N81" s="61" t="n">
        <v>1.4</v>
      </c>
      <c r="O81" s="61" t="n">
        <v>1.4</v>
      </c>
      <c r="P81" s="61" t="n">
        <v>0</v>
      </c>
      <c r="Q81" s="59" t="s">
        <v>577</v>
      </c>
    </row>
    <row r="82" customFormat="false" ht="15" hidden="false" customHeight="true" outlineLevel="0" collapsed="false">
      <c r="A82" s="58" t="s">
        <v>571</v>
      </c>
      <c r="B82" s="59"/>
      <c r="C82" s="59" t="s">
        <v>159</v>
      </c>
      <c r="D82" s="60" t="n">
        <v>1</v>
      </c>
      <c r="E82" s="61" t="n">
        <v>10</v>
      </c>
      <c r="F82" s="60" t="n">
        <v>50</v>
      </c>
      <c r="G82" s="61" t="n">
        <v>101</v>
      </c>
      <c r="H82" s="61" t="n">
        <v>1.85</v>
      </c>
      <c r="I82" s="61" t="n">
        <v>1.85</v>
      </c>
      <c r="J82" s="61" t="n">
        <v>1.7</v>
      </c>
      <c r="K82" s="61" t="n">
        <v>1.7</v>
      </c>
      <c r="L82" s="61" t="n">
        <v>1.6</v>
      </c>
      <c r="M82" s="61" t="n">
        <v>1.5</v>
      </c>
      <c r="N82" s="61" t="n">
        <v>1.4</v>
      </c>
      <c r="O82" s="61" t="n">
        <v>1.3</v>
      </c>
      <c r="P82" s="61" t="n">
        <v>0</v>
      </c>
      <c r="Q82" s="59" t="s">
        <v>578</v>
      </c>
    </row>
    <row r="83" customFormat="false" ht="15" hidden="false" customHeight="true" outlineLevel="0" collapsed="false">
      <c r="A83" s="58" t="s">
        <v>571</v>
      </c>
      <c r="B83" s="59"/>
      <c r="C83" s="59" t="s">
        <v>579</v>
      </c>
      <c r="D83" s="60" t="n">
        <v>1</v>
      </c>
      <c r="E83" s="61" t="n">
        <v>10</v>
      </c>
      <c r="F83" s="60" t="n">
        <v>50</v>
      </c>
      <c r="G83" s="61" t="n">
        <v>106</v>
      </c>
      <c r="H83" s="61" t="n">
        <v>1.95</v>
      </c>
      <c r="I83" s="61" t="n">
        <v>1.95</v>
      </c>
      <c r="J83" s="61" t="n">
        <v>1.75</v>
      </c>
      <c r="K83" s="61" t="n">
        <v>1.75</v>
      </c>
      <c r="L83" s="61" t="n">
        <v>1.65</v>
      </c>
      <c r="M83" s="61" t="n">
        <v>1.6</v>
      </c>
      <c r="N83" s="61" t="n">
        <v>1.5</v>
      </c>
      <c r="O83" s="61" t="n">
        <v>1.4</v>
      </c>
      <c r="P83" s="61" t="n">
        <v>0</v>
      </c>
      <c r="Q83" s="59" t="s">
        <v>580</v>
      </c>
    </row>
    <row r="84" customFormat="false" ht="15" hidden="false" customHeight="true" outlineLevel="0" collapsed="false">
      <c r="A84" s="58" t="s">
        <v>571</v>
      </c>
      <c r="B84" s="59" t="s">
        <v>581</v>
      </c>
      <c r="C84" s="59" t="s">
        <v>582</v>
      </c>
      <c r="D84" s="60" t="n">
        <v>1</v>
      </c>
      <c r="E84" s="61" t="n">
        <v>10</v>
      </c>
      <c r="F84" s="60" t="n">
        <v>50</v>
      </c>
      <c r="G84" s="61" t="n">
        <v>88</v>
      </c>
      <c r="H84" s="61" t="n">
        <v>1.6</v>
      </c>
      <c r="I84" s="61" t="n">
        <v>1.6</v>
      </c>
      <c r="J84" s="61" t="n">
        <v>1.5</v>
      </c>
      <c r="K84" s="61" t="n">
        <v>1.5</v>
      </c>
      <c r="L84" s="61" t="n">
        <v>1.3</v>
      </c>
      <c r="M84" s="61" t="n">
        <v>1.2</v>
      </c>
      <c r="N84" s="61" t="n">
        <v>1.1</v>
      </c>
      <c r="O84" s="61" t="n">
        <v>1</v>
      </c>
      <c r="P84" s="61" t="n">
        <v>0</v>
      </c>
      <c r="Q84" s="59" t="s">
        <v>583</v>
      </c>
    </row>
    <row r="85" customFormat="false" ht="15" hidden="false" customHeight="true" outlineLevel="0" collapsed="false">
      <c r="A85" s="58" t="s">
        <v>571</v>
      </c>
      <c r="B85" s="59" t="s">
        <v>584</v>
      </c>
      <c r="C85" s="59" t="s">
        <v>585</v>
      </c>
      <c r="D85" s="60" t="n">
        <v>1</v>
      </c>
      <c r="E85" s="61" t="n">
        <v>10</v>
      </c>
      <c r="F85" s="60" t="n">
        <v>50</v>
      </c>
      <c r="G85" s="61" t="n">
        <v>103</v>
      </c>
      <c r="H85" s="61" t="n">
        <v>1.9</v>
      </c>
      <c r="I85" s="61" t="n">
        <v>1.9</v>
      </c>
      <c r="J85" s="61" t="n">
        <v>1.7</v>
      </c>
      <c r="K85" s="61" t="n">
        <v>1.7</v>
      </c>
      <c r="L85" s="61" t="n">
        <v>1.6</v>
      </c>
      <c r="M85" s="61" t="n">
        <v>1.5</v>
      </c>
      <c r="N85" s="61" t="n">
        <v>1.4</v>
      </c>
      <c r="O85" s="61" t="n">
        <v>1.3</v>
      </c>
      <c r="P85" s="61" t="n">
        <v>0</v>
      </c>
      <c r="Q85" s="59" t="s">
        <v>586</v>
      </c>
    </row>
    <row r="86" customFormat="false" ht="15" hidden="false" customHeight="true" outlineLevel="0" collapsed="false">
      <c r="A86" s="58" t="s">
        <v>571</v>
      </c>
      <c r="B86" s="59" t="s">
        <v>423</v>
      </c>
      <c r="C86" s="59" t="s">
        <v>163</v>
      </c>
      <c r="D86" s="60" t="n">
        <v>1</v>
      </c>
      <c r="E86" s="61" t="n">
        <v>10</v>
      </c>
      <c r="F86" s="60" t="n">
        <v>50</v>
      </c>
      <c r="G86" s="61" t="n">
        <v>118</v>
      </c>
      <c r="H86" s="61" t="n">
        <v>2.2</v>
      </c>
      <c r="I86" s="61" t="n">
        <v>2.2</v>
      </c>
      <c r="J86" s="61" t="n">
        <v>2</v>
      </c>
      <c r="K86" s="61" t="n">
        <v>2</v>
      </c>
      <c r="L86" s="61" t="n">
        <v>1.9</v>
      </c>
      <c r="M86" s="61" t="n">
        <v>1.8</v>
      </c>
      <c r="N86" s="61" t="n">
        <v>1.7</v>
      </c>
      <c r="O86" s="61" t="n">
        <v>1.7</v>
      </c>
      <c r="P86" s="61" t="n">
        <v>0</v>
      </c>
      <c r="Q86" s="59" t="s">
        <v>587</v>
      </c>
    </row>
    <row r="87" customFormat="false" ht="15" hidden="false" customHeight="true" outlineLevel="0" collapsed="false">
      <c r="A87" s="58" t="s">
        <v>571</v>
      </c>
      <c r="B87" s="59"/>
      <c r="C87" s="59" t="s">
        <v>588</v>
      </c>
      <c r="D87" s="60" t="n">
        <v>1</v>
      </c>
      <c r="E87" s="61" t="n">
        <v>10</v>
      </c>
      <c r="F87" s="60" t="n">
        <v>50</v>
      </c>
      <c r="G87" s="61" t="n">
        <v>123</v>
      </c>
      <c r="H87" s="61" t="n">
        <v>2.3</v>
      </c>
      <c r="I87" s="61" t="n">
        <v>2.3</v>
      </c>
      <c r="J87" s="61" t="n">
        <v>2.1</v>
      </c>
      <c r="K87" s="61" t="n">
        <v>2.1</v>
      </c>
      <c r="L87" s="61" t="n">
        <v>2</v>
      </c>
      <c r="M87" s="61" t="n">
        <v>1.9</v>
      </c>
      <c r="N87" s="61" t="n">
        <v>1.8</v>
      </c>
      <c r="O87" s="61" t="n">
        <v>1.8</v>
      </c>
      <c r="P87" s="61" t="n">
        <v>0</v>
      </c>
      <c r="Q87" s="59" t="s">
        <v>589</v>
      </c>
    </row>
    <row r="88" customFormat="false" ht="15" hidden="false" customHeight="true" outlineLevel="0" collapsed="false">
      <c r="A88" s="58" t="s">
        <v>571</v>
      </c>
      <c r="B88" s="59" t="s">
        <v>513</v>
      </c>
      <c r="C88" s="59" t="s">
        <v>125</v>
      </c>
      <c r="D88" s="60" t="n">
        <v>1</v>
      </c>
      <c r="E88" s="61" t="n">
        <v>10</v>
      </c>
      <c r="F88" s="60" t="n">
        <v>50</v>
      </c>
      <c r="G88" s="61" t="n">
        <v>93</v>
      </c>
      <c r="H88" s="61" t="n">
        <v>1.7</v>
      </c>
      <c r="I88" s="61" t="n">
        <v>1.7</v>
      </c>
      <c r="J88" s="61" t="n">
        <v>1.5</v>
      </c>
      <c r="K88" s="61" t="n">
        <v>1.5</v>
      </c>
      <c r="L88" s="61" t="n">
        <v>1.4</v>
      </c>
      <c r="M88" s="61" t="n">
        <v>1.3</v>
      </c>
      <c r="N88" s="61" t="n">
        <v>1.2</v>
      </c>
      <c r="O88" s="61" t="n">
        <v>1.1</v>
      </c>
      <c r="P88" s="61" t="n">
        <v>0</v>
      </c>
      <c r="Q88" s="59" t="s">
        <v>590</v>
      </c>
    </row>
    <row r="89" customFormat="false" ht="15" hidden="false" customHeight="true" outlineLevel="0" collapsed="false">
      <c r="A89" s="58" t="s">
        <v>571</v>
      </c>
      <c r="B89" s="59"/>
      <c r="C89" s="59" t="s">
        <v>591</v>
      </c>
      <c r="D89" s="60" t="n">
        <v>1</v>
      </c>
      <c r="E89" s="61" t="n">
        <v>10</v>
      </c>
      <c r="F89" s="60" t="n">
        <v>50</v>
      </c>
      <c r="G89" s="61" t="n">
        <v>93</v>
      </c>
      <c r="H89" s="61" t="n">
        <v>1.7</v>
      </c>
      <c r="I89" s="61" t="n">
        <v>1.7</v>
      </c>
      <c r="J89" s="61" t="n">
        <v>1.6</v>
      </c>
      <c r="K89" s="61" t="n">
        <v>1.6</v>
      </c>
      <c r="L89" s="61" t="n">
        <v>1.5</v>
      </c>
      <c r="M89" s="61" t="n">
        <v>1.4</v>
      </c>
      <c r="N89" s="61" t="n">
        <v>1.3</v>
      </c>
      <c r="O89" s="61" t="n">
        <v>1.2</v>
      </c>
      <c r="P89" s="61" t="n">
        <v>0</v>
      </c>
      <c r="Q89" s="59" t="s">
        <v>592</v>
      </c>
    </row>
    <row r="90" customFormat="false" ht="15" hidden="false" customHeight="true" outlineLevel="0" collapsed="false">
      <c r="A90" s="58" t="s">
        <v>571</v>
      </c>
      <c r="B90" s="59" t="s">
        <v>435</v>
      </c>
      <c r="C90" s="59" t="s">
        <v>166</v>
      </c>
      <c r="D90" s="60" t="n">
        <v>1</v>
      </c>
      <c r="E90" s="61" t="n">
        <v>10</v>
      </c>
      <c r="F90" s="60" t="n">
        <v>50</v>
      </c>
      <c r="G90" s="61" t="n">
        <v>84</v>
      </c>
      <c r="H90" s="61" t="n">
        <v>1.5</v>
      </c>
      <c r="I90" s="61" t="n">
        <v>1.5</v>
      </c>
      <c r="J90" s="61" t="n">
        <v>1.4</v>
      </c>
      <c r="K90" s="61" t="n">
        <v>1.4</v>
      </c>
      <c r="L90" s="61" t="n">
        <v>1.3</v>
      </c>
      <c r="M90" s="61" t="n">
        <v>1.2</v>
      </c>
      <c r="N90" s="61" t="n">
        <v>1.1</v>
      </c>
      <c r="O90" s="61" t="n">
        <v>1</v>
      </c>
      <c r="P90" s="61" t="n">
        <v>0</v>
      </c>
      <c r="Q90" s="59" t="s">
        <v>593</v>
      </c>
    </row>
    <row r="91" customFormat="false" ht="15" hidden="false" customHeight="true" outlineLevel="0" collapsed="false">
      <c r="A91" s="58" t="s">
        <v>571</v>
      </c>
      <c r="B91" s="59"/>
      <c r="C91" s="59" t="s">
        <v>594</v>
      </c>
      <c r="D91" s="60" t="n">
        <v>1</v>
      </c>
      <c r="E91" s="61" t="n">
        <v>10</v>
      </c>
      <c r="F91" s="60" t="n">
        <v>50</v>
      </c>
      <c r="G91" s="61" t="n">
        <v>93</v>
      </c>
      <c r="H91" s="61" t="n">
        <v>1.7</v>
      </c>
      <c r="I91" s="61" t="n">
        <v>1.7</v>
      </c>
      <c r="J91" s="61" t="n">
        <v>1.5</v>
      </c>
      <c r="K91" s="61" t="n">
        <v>1.5</v>
      </c>
      <c r="L91" s="61" t="n">
        <v>1.4</v>
      </c>
      <c r="M91" s="61" t="n">
        <v>1.3</v>
      </c>
      <c r="N91" s="61" t="n">
        <v>1.2</v>
      </c>
      <c r="O91" s="61" t="n">
        <v>1.1</v>
      </c>
      <c r="P91" s="61" t="n">
        <v>0</v>
      </c>
      <c r="Q91" s="59" t="s">
        <v>595</v>
      </c>
    </row>
    <row r="92" customFormat="false" ht="15" hidden="false" customHeight="true" outlineLevel="0" collapsed="false">
      <c r="A92" s="58" t="s">
        <v>571</v>
      </c>
      <c r="B92" s="59" t="s">
        <v>442</v>
      </c>
      <c r="C92" s="59" t="s">
        <v>443</v>
      </c>
      <c r="D92" s="60" t="n">
        <v>1</v>
      </c>
      <c r="E92" s="61" t="n">
        <v>10</v>
      </c>
      <c r="F92" s="60" t="n">
        <v>50</v>
      </c>
      <c r="G92" s="61" t="n">
        <v>91</v>
      </c>
      <c r="H92" s="61" t="n">
        <v>1.65</v>
      </c>
      <c r="I92" s="61" t="n">
        <v>1.65</v>
      </c>
      <c r="J92" s="61" t="n">
        <v>1.45</v>
      </c>
      <c r="K92" s="61" t="n">
        <v>1.45</v>
      </c>
      <c r="L92" s="61" t="n">
        <v>1.35</v>
      </c>
      <c r="M92" s="61" t="n">
        <v>1.3</v>
      </c>
      <c r="N92" s="61" t="n">
        <v>1.2</v>
      </c>
      <c r="O92" s="61" t="n">
        <v>1.1</v>
      </c>
      <c r="P92" s="61" t="n">
        <v>0</v>
      </c>
      <c r="Q92" s="59" t="s">
        <v>596</v>
      </c>
    </row>
    <row r="93" customFormat="false" ht="15" hidden="false" customHeight="true" outlineLevel="0" collapsed="false">
      <c r="A93" s="58" t="s">
        <v>571</v>
      </c>
      <c r="B93" s="59" t="s">
        <v>597</v>
      </c>
      <c r="C93" s="59" t="s">
        <v>598</v>
      </c>
      <c r="D93" s="60" t="n">
        <v>1</v>
      </c>
      <c r="E93" s="61" t="n">
        <v>10</v>
      </c>
      <c r="F93" s="60" t="n">
        <v>50</v>
      </c>
      <c r="G93" s="61" t="n">
        <v>88</v>
      </c>
      <c r="H93" s="61" t="n">
        <v>1.6</v>
      </c>
      <c r="I93" s="61" t="n">
        <v>1.6</v>
      </c>
      <c r="J93" s="61" t="n">
        <v>1.45</v>
      </c>
      <c r="K93" s="61" t="n">
        <v>1.45</v>
      </c>
      <c r="L93" s="61" t="n">
        <v>1.35</v>
      </c>
      <c r="M93" s="61" t="n">
        <v>1.25</v>
      </c>
      <c r="N93" s="61" t="n">
        <v>1.15</v>
      </c>
      <c r="O93" s="61" t="n">
        <v>1.05</v>
      </c>
      <c r="P93" s="61" t="n">
        <v>0</v>
      </c>
      <c r="Q93" s="59" t="s">
        <v>599</v>
      </c>
    </row>
    <row r="94" customFormat="false" ht="15" hidden="false" customHeight="true" outlineLevel="0" collapsed="false">
      <c r="A94" s="58" t="s">
        <v>571</v>
      </c>
      <c r="B94" s="59" t="s">
        <v>448</v>
      </c>
      <c r="C94" s="59" t="s">
        <v>48</v>
      </c>
      <c r="D94" s="60" t="n">
        <v>1</v>
      </c>
      <c r="E94" s="61" t="n">
        <v>10</v>
      </c>
      <c r="F94" s="60" t="n">
        <v>50</v>
      </c>
      <c r="G94" s="61" t="n">
        <v>96</v>
      </c>
      <c r="H94" s="61" t="n">
        <v>1.75</v>
      </c>
      <c r="I94" s="61" t="n">
        <v>1.75</v>
      </c>
      <c r="J94" s="61" t="n">
        <v>1.65</v>
      </c>
      <c r="K94" s="61" t="n">
        <v>1.6</v>
      </c>
      <c r="L94" s="61" t="n">
        <v>1.5</v>
      </c>
      <c r="M94" s="61" t="n">
        <v>1.4</v>
      </c>
      <c r="N94" s="61" t="n">
        <v>1.35</v>
      </c>
      <c r="O94" s="61" t="n">
        <v>1.25</v>
      </c>
      <c r="P94" s="61" t="n">
        <v>0</v>
      </c>
      <c r="Q94" s="59" t="s">
        <v>600</v>
      </c>
    </row>
    <row r="95" customFormat="false" ht="15" hidden="false" customHeight="true" outlineLevel="0" collapsed="false">
      <c r="A95" s="58" t="s">
        <v>571</v>
      </c>
      <c r="B95" s="59" t="s">
        <v>458</v>
      </c>
      <c r="C95" s="59" t="s">
        <v>169</v>
      </c>
      <c r="D95" s="60" t="n">
        <v>1</v>
      </c>
      <c r="E95" s="61" t="n">
        <v>10</v>
      </c>
      <c r="F95" s="60" t="n">
        <v>50</v>
      </c>
      <c r="G95" s="61" t="n">
        <v>84</v>
      </c>
      <c r="H95" s="61" t="n">
        <v>1.5</v>
      </c>
      <c r="I95" s="61" t="n">
        <v>1.5</v>
      </c>
      <c r="J95" s="61" t="n">
        <v>1.35</v>
      </c>
      <c r="K95" s="61" t="n">
        <v>1.35</v>
      </c>
      <c r="L95" s="61" t="n">
        <v>1.25</v>
      </c>
      <c r="M95" s="61" t="n">
        <v>1.15</v>
      </c>
      <c r="N95" s="61" t="n">
        <v>1.05</v>
      </c>
      <c r="O95" s="61" t="n">
        <v>0.95</v>
      </c>
      <c r="P95" s="61" t="n">
        <v>0</v>
      </c>
      <c r="Q95" s="59" t="s">
        <v>601</v>
      </c>
    </row>
    <row r="96" customFormat="false" ht="15" hidden="false" customHeight="true" outlineLevel="0" collapsed="false">
      <c r="A96" s="58" t="s">
        <v>571</v>
      </c>
      <c r="B96" s="59" t="s">
        <v>450</v>
      </c>
      <c r="C96" s="59" t="s">
        <v>602</v>
      </c>
      <c r="D96" s="60" t="n">
        <v>1</v>
      </c>
      <c r="E96" s="61" t="n">
        <v>10</v>
      </c>
      <c r="F96" s="60" t="n">
        <v>50</v>
      </c>
      <c r="G96" s="61" t="n">
        <v>101</v>
      </c>
      <c r="H96" s="61" t="n">
        <v>1.85</v>
      </c>
      <c r="I96" s="61" t="n">
        <v>1.85</v>
      </c>
      <c r="J96" s="61" t="n">
        <v>1.75</v>
      </c>
      <c r="K96" s="61" t="n">
        <v>1.7</v>
      </c>
      <c r="L96" s="61" t="n">
        <v>1.65</v>
      </c>
      <c r="M96" s="61" t="n">
        <v>1.55</v>
      </c>
      <c r="N96" s="61" t="n">
        <v>1.45</v>
      </c>
      <c r="O96" s="61" t="n">
        <v>1.35</v>
      </c>
      <c r="P96" s="61" t="n">
        <v>0</v>
      </c>
      <c r="Q96" s="59" t="s">
        <v>603</v>
      </c>
    </row>
    <row r="97" customFormat="false" ht="15" hidden="false" customHeight="true" outlineLevel="0" collapsed="false">
      <c r="A97" s="58" t="s">
        <v>571</v>
      </c>
      <c r="B97" s="59"/>
      <c r="C97" s="59" t="s">
        <v>604</v>
      </c>
      <c r="D97" s="60" t="n">
        <v>1</v>
      </c>
      <c r="E97" s="61" t="n">
        <v>10</v>
      </c>
      <c r="F97" s="60" t="n">
        <v>50</v>
      </c>
      <c r="G97" s="61" t="n">
        <v>101</v>
      </c>
      <c r="H97" s="61" t="n">
        <v>1.85</v>
      </c>
      <c r="I97" s="61" t="n">
        <v>1.85</v>
      </c>
      <c r="J97" s="61" t="n">
        <v>1.75</v>
      </c>
      <c r="K97" s="61" t="n">
        <v>1.7</v>
      </c>
      <c r="L97" s="61" t="n">
        <v>1.6</v>
      </c>
      <c r="M97" s="61" t="n">
        <v>1.5</v>
      </c>
      <c r="N97" s="61" t="n">
        <v>1.45</v>
      </c>
      <c r="O97" s="61" t="n">
        <v>1.35</v>
      </c>
      <c r="P97" s="61" t="n">
        <v>0</v>
      </c>
      <c r="Q97" s="59" t="s">
        <v>605</v>
      </c>
    </row>
    <row r="98" customFormat="false" ht="15" hidden="false" customHeight="true" outlineLevel="0" collapsed="false">
      <c r="A98" s="58" t="s">
        <v>571</v>
      </c>
      <c r="B98" s="59"/>
      <c r="C98" s="59" t="s">
        <v>451</v>
      </c>
      <c r="D98" s="60" t="n">
        <v>1</v>
      </c>
      <c r="E98" s="61" t="n">
        <v>10</v>
      </c>
      <c r="F98" s="60" t="n">
        <v>50</v>
      </c>
      <c r="G98" s="61" t="n">
        <v>96</v>
      </c>
      <c r="H98" s="61" t="n">
        <v>1.75</v>
      </c>
      <c r="I98" s="61" t="n">
        <v>1.75</v>
      </c>
      <c r="J98" s="61" t="n">
        <v>1.65</v>
      </c>
      <c r="K98" s="61" t="n">
        <v>1.6</v>
      </c>
      <c r="L98" s="61" t="n">
        <v>1.55</v>
      </c>
      <c r="M98" s="61" t="n">
        <v>1.45</v>
      </c>
      <c r="N98" s="61" t="n">
        <v>1.4</v>
      </c>
      <c r="O98" s="61" t="n">
        <v>1.3</v>
      </c>
      <c r="P98" s="61" t="n">
        <v>0</v>
      </c>
      <c r="Q98" s="59" t="s">
        <v>606</v>
      </c>
    </row>
    <row r="99" customFormat="false" ht="15" hidden="false" customHeight="true" outlineLevel="0" collapsed="false">
      <c r="A99" s="58" t="s">
        <v>571</v>
      </c>
      <c r="B99" s="59" t="s">
        <v>529</v>
      </c>
      <c r="C99" s="59" t="s">
        <v>530</v>
      </c>
      <c r="D99" s="60" t="n">
        <v>1</v>
      </c>
      <c r="E99" s="61" t="n">
        <v>10</v>
      </c>
      <c r="F99" s="60" t="n">
        <v>50</v>
      </c>
      <c r="G99" s="61" t="n">
        <v>86</v>
      </c>
      <c r="H99" s="61" t="n">
        <v>1.55</v>
      </c>
      <c r="I99" s="61" t="n">
        <v>1.55</v>
      </c>
      <c r="J99" s="61" t="n">
        <v>1.45</v>
      </c>
      <c r="K99" s="61" t="n">
        <v>1.45</v>
      </c>
      <c r="L99" s="61" t="n">
        <v>1.35</v>
      </c>
      <c r="M99" s="61" t="n">
        <v>1.3</v>
      </c>
      <c r="N99" s="61" t="n">
        <v>1.2</v>
      </c>
      <c r="O99" s="61" t="n">
        <v>1.1</v>
      </c>
      <c r="P99" s="61" t="n">
        <v>0</v>
      </c>
      <c r="Q99" s="59" t="s">
        <v>607</v>
      </c>
    </row>
    <row r="100" customFormat="false" ht="15" hidden="false" customHeight="true" outlineLevel="0" collapsed="false">
      <c r="A100" s="58" t="s">
        <v>571</v>
      </c>
      <c r="B100" s="59" t="s">
        <v>469</v>
      </c>
      <c r="C100" s="59" t="s">
        <v>172</v>
      </c>
      <c r="D100" s="60" t="n">
        <v>1</v>
      </c>
      <c r="E100" s="61" t="n">
        <v>10</v>
      </c>
      <c r="F100" s="60" t="n">
        <v>50</v>
      </c>
      <c r="G100" s="61" t="n">
        <v>79</v>
      </c>
      <c r="H100" s="61" t="n">
        <v>1.4</v>
      </c>
      <c r="I100" s="61" t="n">
        <v>1.4</v>
      </c>
      <c r="J100" s="61" t="n">
        <v>1.3</v>
      </c>
      <c r="K100" s="61" t="n">
        <v>1.3</v>
      </c>
      <c r="L100" s="61" t="n">
        <v>1.2</v>
      </c>
      <c r="M100" s="61" t="n">
        <v>1.1</v>
      </c>
      <c r="N100" s="61" t="n">
        <v>1</v>
      </c>
      <c r="O100" s="61" t="n">
        <v>0.9</v>
      </c>
      <c r="P100" s="61" t="n">
        <v>0</v>
      </c>
      <c r="Q100" s="59" t="s">
        <v>608</v>
      </c>
    </row>
    <row r="101" customFormat="false" ht="15" hidden="false" customHeight="true" outlineLevel="0" collapsed="false">
      <c r="A101" s="58" t="s">
        <v>571</v>
      </c>
      <c r="B101" s="59"/>
      <c r="C101" s="59" t="s">
        <v>173</v>
      </c>
      <c r="D101" s="60" t="n">
        <v>1</v>
      </c>
      <c r="E101" s="61" t="n">
        <v>10</v>
      </c>
      <c r="F101" s="60" t="n">
        <v>50</v>
      </c>
      <c r="G101" s="61" t="n">
        <v>86</v>
      </c>
      <c r="H101" s="61" t="n">
        <v>1.55</v>
      </c>
      <c r="I101" s="61" t="n">
        <v>1.55</v>
      </c>
      <c r="J101" s="61" t="n">
        <v>1.35</v>
      </c>
      <c r="K101" s="61" t="n">
        <v>1.35</v>
      </c>
      <c r="L101" s="61" t="n">
        <v>1.25</v>
      </c>
      <c r="M101" s="61" t="n">
        <v>1.15</v>
      </c>
      <c r="N101" s="61" t="n">
        <v>1.05</v>
      </c>
      <c r="O101" s="61" t="n">
        <v>0.95</v>
      </c>
      <c r="P101" s="61" t="n">
        <v>0</v>
      </c>
      <c r="Q101" s="59" t="s">
        <v>609</v>
      </c>
    </row>
    <row r="102" customFormat="false" ht="15" hidden="false" customHeight="true" outlineLevel="0" collapsed="false">
      <c r="A102" s="58" t="s">
        <v>571</v>
      </c>
      <c r="B102" s="59"/>
      <c r="C102" s="59" t="s">
        <v>174</v>
      </c>
      <c r="D102" s="60" t="n">
        <v>1</v>
      </c>
      <c r="E102" s="61" t="n">
        <v>10</v>
      </c>
      <c r="F102" s="60" t="n">
        <v>50</v>
      </c>
      <c r="G102" s="61" t="n">
        <v>79</v>
      </c>
      <c r="H102" s="61" t="n">
        <v>1.4</v>
      </c>
      <c r="I102" s="61" t="n">
        <v>1.4</v>
      </c>
      <c r="J102" s="61" t="n">
        <v>1.3</v>
      </c>
      <c r="K102" s="61" t="n">
        <v>1.3</v>
      </c>
      <c r="L102" s="61" t="n">
        <v>1.2</v>
      </c>
      <c r="M102" s="61" t="n">
        <v>1.1</v>
      </c>
      <c r="N102" s="61" t="n">
        <v>1</v>
      </c>
      <c r="O102" s="61" t="n">
        <v>0.9</v>
      </c>
      <c r="P102" s="61" t="n">
        <v>0</v>
      </c>
      <c r="Q102" s="59" t="s">
        <v>610</v>
      </c>
    </row>
    <row r="103" customFormat="false" ht="15" hidden="false" customHeight="true" outlineLevel="0" collapsed="false">
      <c r="A103" s="58" t="s">
        <v>571</v>
      </c>
      <c r="B103" s="59"/>
      <c r="C103" s="59" t="s">
        <v>175</v>
      </c>
      <c r="D103" s="60" t="n">
        <v>1</v>
      </c>
      <c r="E103" s="61" t="n">
        <v>10</v>
      </c>
      <c r="F103" s="60" t="n">
        <v>50</v>
      </c>
      <c r="G103" s="61" t="n">
        <v>74</v>
      </c>
      <c r="H103" s="61" t="n">
        <v>1.3</v>
      </c>
      <c r="I103" s="61" t="n">
        <v>1.3</v>
      </c>
      <c r="J103" s="61" t="n">
        <v>1.2</v>
      </c>
      <c r="K103" s="61" t="n">
        <v>1.2</v>
      </c>
      <c r="L103" s="61" t="n">
        <v>1.1</v>
      </c>
      <c r="M103" s="61" t="n">
        <v>1</v>
      </c>
      <c r="N103" s="61" t="n">
        <v>0.9</v>
      </c>
      <c r="O103" s="61" t="n">
        <v>0.9</v>
      </c>
      <c r="P103" s="61" t="n">
        <v>0</v>
      </c>
      <c r="Q103" s="59" t="s">
        <v>611</v>
      </c>
    </row>
    <row r="104" customFormat="false" ht="15" hidden="false" customHeight="true" outlineLevel="0" collapsed="false">
      <c r="A104" s="58" t="s">
        <v>571</v>
      </c>
      <c r="B104" s="59"/>
      <c r="C104" s="59" t="s">
        <v>612</v>
      </c>
      <c r="D104" s="60" t="n">
        <v>1</v>
      </c>
      <c r="E104" s="61" t="n">
        <v>10</v>
      </c>
      <c r="F104" s="60" t="n">
        <v>50</v>
      </c>
      <c r="G104" s="61" t="n">
        <v>84</v>
      </c>
      <c r="H104" s="61" t="n">
        <v>1.5</v>
      </c>
      <c r="I104" s="61" t="n">
        <v>1.5</v>
      </c>
      <c r="J104" s="61" t="n">
        <v>1.3</v>
      </c>
      <c r="K104" s="61" t="n">
        <v>1.3</v>
      </c>
      <c r="L104" s="61" t="n">
        <v>1.2</v>
      </c>
      <c r="M104" s="61" t="n">
        <v>1.15</v>
      </c>
      <c r="N104" s="61" t="n">
        <v>1.05</v>
      </c>
      <c r="O104" s="61" t="n">
        <v>0.95</v>
      </c>
      <c r="P104" s="61" t="n">
        <v>0</v>
      </c>
      <c r="Q104" s="59" t="s">
        <v>613</v>
      </c>
    </row>
    <row r="105" customFormat="false" ht="15" hidden="false" customHeight="true" outlineLevel="0" collapsed="false">
      <c r="A105" s="58" t="s">
        <v>571</v>
      </c>
      <c r="B105" s="59"/>
      <c r="C105" s="59" t="s">
        <v>177</v>
      </c>
      <c r="D105" s="60" t="n">
        <v>1</v>
      </c>
      <c r="E105" s="61" t="n">
        <v>10</v>
      </c>
      <c r="F105" s="60" t="n">
        <v>50</v>
      </c>
      <c r="G105" s="61" t="n">
        <v>79</v>
      </c>
      <c r="H105" s="61" t="n">
        <v>1.4</v>
      </c>
      <c r="I105" s="61" t="n">
        <v>1.4</v>
      </c>
      <c r="J105" s="61" t="n">
        <v>1.3</v>
      </c>
      <c r="K105" s="61" t="n">
        <v>1.3</v>
      </c>
      <c r="L105" s="61" t="n">
        <v>1.2</v>
      </c>
      <c r="M105" s="61" t="n">
        <v>1.1</v>
      </c>
      <c r="N105" s="61" t="n">
        <v>1</v>
      </c>
      <c r="O105" s="61" t="n">
        <v>0.9</v>
      </c>
      <c r="P105" s="61" t="n">
        <v>0</v>
      </c>
      <c r="Q105" s="59" t="s">
        <v>614</v>
      </c>
    </row>
    <row r="106" customFormat="false" ht="15" hidden="false" customHeight="true" outlineLevel="0" collapsed="false">
      <c r="A106" s="58" t="s">
        <v>571</v>
      </c>
      <c r="B106" s="59" t="s">
        <v>554</v>
      </c>
      <c r="C106" s="59" t="s">
        <v>615</v>
      </c>
      <c r="D106" s="60" t="n">
        <v>1</v>
      </c>
      <c r="E106" s="61" t="n">
        <v>10</v>
      </c>
      <c r="F106" s="60" t="n">
        <v>50</v>
      </c>
      <c r="G106" s="61" t="n">
        <v>98</v>
      </c>
      <c r="H106" s="61" t="n">
        <v>1.8</v>
      </c>
      <c r="I106" s="61" t="n">
        <v>1.8</v>
      </c>
      <c r="J106" s="61" t="n">
        <v>1.7</v>
      </c>
      <c r="K106" s="61" t="n">
        <v>1.7</v>
      </c>
      <c r="L106" s="61" t="n">
        <v>1.6</v>
      </c>
      <c r="M106" s="61" t="n">
        <v>1.5</v>
      </c>
      <c r="N106" s="61" t="n">
        <v>1.4</v>
      </c>
      <c r="O106" s="61" t="n">
        <v>1.3</v>
      </c>
      <c r="P106" s="61" t="n">
        <v>0</v>
      </c>
      <c r="Q106" s="59" t="s">
        <v>616</v>
      </c>
    </row>
    <row r="107" customFormat="false" ht="15" hidden="false" customHeight="true" outlineLevel="0" collapsed="false">
      <c r="A107" s="58" t="s">
        <v>571</v>
      </c>
      <c r="B107" s="59"/>
      <c r="C107" s="59" t="s">
        <v>179</v>
      </c>
      <c r="D107" s="60" t="n">
        <v>1</v>
      </c>
      <c r="E107" s="61" t="n">
        <v>10</v>
      </c>
      <c r="F107" s="60" t="n">
        <v>50</v>
      </c>
      <c r="G107" s="61" t="n">
        <v>93</v>
      </c>
      <c r="H107" s="61" t="n">
        <v>1.7</v>
      </c>
      <c r="I107" s="61" t="n">
        <v>1.7</v>
      </c>
      <c r="J107" s="61" t="n">
        <v>1.55</v>
      </c>
      <c r="K107" s="61" t="n">
        <v>1.55</v>
      </c>
      <c r="L107" s="61" t="n">
        <v>1.45</v>
      </c>
      <c r="M107" s="61" t="n">
        <v>1.35</v>
      </c>
      <c r="N107" s="61" t="n">
        <v>1.25</v>
      </c>
      <c r="O107" s="61" t="n">
        <v>1.15</v>
      </c>
      <c r="P107" s="61" t="n">
        <v>0</v>
      </c>
      <c r="Q107" s="59" t="s">
        <v>617</v>
      </c>
    </row>
    <row r="108" customFormat="false" ht="15" hidden="false" customHeight="true" outlineLevel="0" collapsed="false">
      <c r="A108" s="58" t="s">
        <v>571</v>
      </c>
      <c r="B108" s="59"/>
      <c r="C108" s="59" t="s">
        <v>618</v>
      </c>
      <c r="D108" s="60" t="n">
        <v>1</v>
      </c>
      <c r="E108" s="61" t="n">
        <v>10</v>
      </c>
      <c r="F108" s="60" t="n">
        <v>50</v>
      </c>
      <c r="G108" s="61" t="n">
        <v>98</v>
      </c>
      <c r="H108" s="61" t="n">
        <v>1.8</v>
      </c>
      <c r="I108" s="61" t="n">
        <v>1.8</v>
      </c>
      <c r="J108" s="61" t="n">
        <v>1.6</v>
      </c>
      <c r="K108" s="61" t="n">
        <v>1.6</v>
      </c>
      <c r="L108" s="61" t="n">
        <v>1.55</v>
      </c>
      <c r="M108" s="61" t="n">
        <v>1.45</v>
      </c>
      <c r="N108" s="61" t="n">
        <v>1.35</v>
      </c>
      <c r="O108" s="61" t="n">
        <v>1.25</v>
      </c>
      <c r="P108" s="61" t="n">
        <v>0</v>
      </c>
      <c r="Q108" s="59" t="s">
        <v>619</v>
      </c>
    </row>
    <row r="109" customFormat="false" ht="15" hidden="false" customHeight="true" outlineLevel="0" collapsed="false">
      <c r="A109" s="58" t="s">
        <v>571</v>
      </c>
      <c r="B109" s="59"/>
      <c r="C109" s="59" t="s">
        <v>181</v>
      </c>
      <c r="D109" s="60" t="n">
        <v>1</v>
      </c>
      <c r="E109" s="61" t="n">
        <v>10</v>
      </c>
      <c r="F109" s="60" t="n">
        <v>50</v>
      </c>
      <c r="G109" s="61" t="n">
        <v>98</v>
      </c>
      <c r="H109" s="61" t="n">
        <v>1.8</v>
      </c>
      <c r="I109" s="61" t="n">
        <v>1.8</v>
      </c>
      <c r="J109" s="61" t="n">
        <v>1.7</v>
      </c>
      <c r="K109" s="61" t="n">
        <v>1.7</v>
      </c>
      <c r="L109" s="61" t="n">
        <v>1.6</v>
      </c>
      <c r="M109" s="61" t="n">
        <v>1.5</v>
      </c>
      <c r="N109" s="61" t="n">
        <v>1.4</v>
      </c>
      <c r="O109" s="61" t="n">
        <v>1.3</v>
      </c>
      <c r="P109" s="61" t="n">
        <v>0</v>
      </c>
      <c r="Q109" s="59" t="s">
        <v>620</v>
      </c>
    </row>
    <row r="110" customFormat="false" ht="15" hidden="false" customHeight="true" outlineLevel="0" collapsed="false">
      <c r="A110" s="58" t="s">
        <v>571</v>
      </c>
      <c r="B110" s="59" t="s">
        <v>621</v>
      </c>
      <c r="C110" s="59" t="s">
        <v>622</v>
      </c>
      <c r="D110" s="60" t="n">
        <v>1</v>
      </c>
      <c r="E110" s="61" t="n">
        <v>10</v>
      </c>
      <c r="F110" s="60" t="n">
        <v>50</v>
      </c>
      <c r="G110" s="61" t="n">
        <v>93</v>
      </c>
      <c r="H110" s="61" t="n">
        <v>1.7</v>
      </c>
      <c r="I110" s="61" t="n">
        <v>1.7</v>
      </c>
      <c r="J110" s="61" t="n">
        <v>1.6</v>
      </c>
      <c r="K110" s="61" t="n">
        <v>1.6</v>
      </c>
      <c r="L110" s="61" t="n">
        <v>1.5</v>
      </c>
      <c r="M110" s="61" t="n">
        <v>1.4</v>
      </c>
      <c r="N110" s="61" t="n">
        <v>1.35</v>
      </c>
      <c r="O110" s="61" t="n">
        <v>1.3</v>
      </c>
      <c r="P110" s="61" t="n">
        <v>0</v>
      </c>
      <c r="Q110" s="59" t="s">
        <v>623</v>
      </c>
    </row>
    <row r="111" customFormat="false" ht="15" hidden="false" customHeight="true" outlineLevel="0" collapsed="false">
      <c r="A111" s="58" t="s">
        <v>571</v>
      </c>
      <c r="B111" s="59" t="s">
        <v>478</v>
      </c>
      <c r="C111" s="59" t="s">
        <v>84</v>
      </c>
      <c r="D111" s="60" t="n">
        <v>1</v>
      </c>
      <c r="E111" s="61" t="n">
        <v>10</v>
      </c>
      <c r="F111" s="60" t="n">
        <v>50</v>
      </c>
      <c r="G111" s="61" t="n">
        <v>98</v>
      </c>
      <c r="H111" s="61" t="n">
        <v>1.8</v>
      </c>
      <c r="I111" s="61" t="n">
        <v>1.8</v>
      </c>
      <c r="J111" s="61" t="n">
        <v>1.7</v>
      </c>
      <c r="K111" s="61" t="n">
        <v>1.7</v>
      </c>
      <c r="L111" s="61" t="n">
        <v>1.6</v>
      </c>
      <c r="M111" s="61" t="n">
        <v>1.5</v>
      </c>
      <c r="N111" s="61" t="n">
        <v>1.4</v>
      </c>
      <c r="O111" s="61" t="n">
        <v>1.3</v>
      </c>
      <c r="P111" s="61" t="n">
        <v>0</v>
      </c>
      <c r="Q111" s="59" t="s">
        <v>624</v>
      </c>
    </row>
    <row r="112" customFormat="false" ht="15" hidden="false" customHeight="true" outlineLevel="0" collapsed="false">
      <c r="A112" s="58" t="s">
        <v>571</v>
      </c>
      <c r="B112" s="59"/>
      <c r="C112" s="59" t="s">
        <v>625</v>
      </c>
      <c r="D112" s="60" t="n">
        <v>1</v>
      </c>
      <c r="E112" s="61" t="n">
        <v>10</v>
      </c>
      <c r="F112" s="60" t="n">
        <v>50</v>
      </c>
      <c r="G112" s="61" t="n">
        <v>118</v>
      </c>
      <c r="H112" s="61" t="n">
        <v>2.2</v>
      </c>
      <c r="I112" s="61" t="n">
        <v>2.2</v>
      </c>
      <c r="J112" s="61" t="n">
        <v>2.1</v>
      </c>
      <c r="K112" s="61" t="n">
        <v>2.1</v>
      </c>
      <c r="L112" s="61" t="n">
        <v>2</v>
      </c>
      <c r="M112" s="61" t="n">
        <v>1.9</v>
      </c>
      <c r="N112" s="61" t="n">
        <v>1.8</v>
      </c>
      <c r="O112" s="61" t="n">
        <v>1.7</v>
      </c>
      <c r="P112" s="61" t="n">
        <v>0</v>
      </c>
      <c r="Q112" s="59" t="s">
        <v>626</v>
      </c>
    </row>
    <row r="113" customFormat="false" ht="15" hidden="false" customHeight="true" outlineLevel="0" collapsed="false">
      <c r="A113" s="58" t="s">
        <v>571</v>
      </c>
      <c r="B113" s="59" t="s">
        <v>560</v>
      </c>
      <c r="C113" s="59" t="s">
        <v>151</v>
      </c>
      <c r="D113" s="60" t="n">
        <v>1</v>
      </c>
      <c r="E113" s="61" t="n">
        <v>10</v>
      </c>
      <c r="F113" s="60" t="n">
        <v>50</v>
      </c>
      <c r="G113" s="61" t="n">
        <v>103</v>
      </c>
      <c r="H113" s="61" t="n">
        <v>1.9</v>
      </c>
      <c r="I113" s="61" t="n">
        <v>1.9</v>
      </c>
      <c r="J113" s="61" t="n">
        <v>1.8</v>
      </c>
      <c r="K113" s="61" t="n">
        <v>1.8</v>
      </c>
      <c r="L113" s="61" t="n">
        <v>1.7</v>
      </c>
      <c r="M113" s="61" t="n">
        <v>1.6</v>
      </c>
      <c r="N113" s="61" t="n">
        <v>1.5</v>
      </c>
      <c r="O113" s="61" t="n">
        <v>1.4</v>
      </c>
      <c r="P113" s="61" t="n">
        <v>0</v>
      </c>
      <c r="Q113" s="59" t="s">
        <v>627</v>
      </c>
    </row>
    <row r="114" customFormat="false" ht="15" hidden="false" customHeight="true" outlineLevel="0" collapsed="false">
      <c r="A114" s="58" t="s">
        <v>571</v>
      </c>
      <c r="B114" s="59"/>
      <c r="C114" s="59" t="s">
        <v>628</v>
      </c>
      <c r="D114" s="60" t="n">
        <v>1</v>
      </c>
      <c r="E114" s="61" t="n">
        <v>10</v>
      </c>
      <c r="F114" s="60" t="n">
        <v>50</v>
      </c>
      <c r="G114" s="61" t="n">
        <v>123</v>
      </c>
      <c r="H114" s="61" t="n">
        <v>2.3</v>
      </c>
      <c r="I114" s="61" t="n">
        <v>2.3</v>
      </c>
      <c r="J114" s="61" t="n">
        <v>2.1</v>
      </c>
      <c r="K114" s="61" t="n">
        <v>2.1</v>
      </c>
      <c r="L114" s="61" t="n">
        <v>2</v>
      </c>
      <c r="M114" s="61" t="n">
        <v>1.95</v>
      </c>
      <c r="N114" s="61" t="n">
        <v>1.85</v>
      </c>
      <c r="O114" s="61" t="n">
        <v>1.75</v>
      </c>
      <c r="P114" s="61" t="n">
        <v>0</v>
      </c>
      <c r="Q114" s="59" t="s">
        <v>629</v>
      </c>
    </row>
    <row r="115" customFormat="false" ht="15" hidden="false" customHeight="true" outlineLevel="0" collapsed="false">
      <c r="A115" s="58" t="s">
        <v>571</v>
      </c>
      <c r="B115" s="59" t="s">
        <v>630</v>
      </c>
      <c r="C115" s="59" t="s">
        <v>631</v>
      </c>
      <c r="D115" s="60" t="n">
        <v>1</v>
      </c>
      <c r="E115" s="61" t="n">
        <v>10</v>
      </c>
      <c r="F115" s="60" t="n">
        <v>50</v>
      </c>
      <c r="G115" s="61" t="n">
        <v>93</v>
      </c>
      <c r="H115" s="61" t="n">
        <v>1.7</v>
      </c>
      <c r="I115" s="61" t="n">
        <v>1.7</v>
      </c>
      <c r="J115" s="61" t="n">
        <v>1.5</v>
      </c>
      <c r="K115" s="61" t="n">
        <v>1.5</v>
      </c>
      <c r="L115" s="61" t="n">
        <v>1.4</v>
      </c>
      <c r="M115" s="61" t="n">
        <v>1.3</v>
      </c>
      <c r="N115" s="61" t="n">
        <v>1.2</v>
      </c>
      <c r="O115" s="61" t="n">
        <v>1.1</v>
      </c>
      <c r="P115" s="61" t="n">
        <v>0</v>
      </c>
      <c r="Q115" s="59" t="s">
        <v>632</v>
      </c>
    </row>
    <row r="116" customFormat="false" ht="15" hidden="false" customHeight="true" outlineLevel="0" collapsed="false">
      <c r="A116" s="58" t="s">
        <v>571</v>
      </c>
      <c r="B116" s="59" t="s">
        <v>487</v>
      </c>
      <c r="C116" s="59" t="s">
        <v>186</v>
      </c>
      <c r="D116" s="60" t="n">
        <v>1</v>
      </c>
      <c r="E116" s="61" t="n">
        <v>10</v>
      </c>
      <c r="F116" s="60" t="n">
        <v>50</v>
      </c>
      <c r="G116" s="61" t="n">
        <v>84</v>
      </c>
      <c r="H116" s="61" t="n">
        <v>1.5</v>
      </c>
      <c r="I116" s="61" t="n">
        <v>1.5</v>
      </c>
      <c r="J116" s="61" t="n">
        <v>1.3</v>
      </c>
      <c r="K116" s="61" t="n">
        <v>1.3</v>
      </c>
      <c r="L116" s="61" t="n">
        <v>1.2</v>
      </c>
      <c r="M116" s="61" t="n">
        <v>1.1</v>
      </c>
      <c r="N116" s="61" t="n">
        <v>1</v>
      </c>
      <c r="O116" s="61" t="n">
        <v>0.9</v>
      </c>
      <c r="P116" s="61" t="n">
        <v>0</v>
      </c>
      <c r="Q116" s="59" t="s">
        <v>633</v>
      </c>
    </row>
    <row r="117" customFormat="false" ht="15" hidden="false" customHeight="true" outlineLevel="0" collapsed="false">
      <c r="A117" s="58" t="s">
        <v>571</v>
      </c>
      <c r="B117" s="59" t="s">
        <v>564</v>
      </c>
      <c r="C117" s="59" t="s">
        <v>153</v>
      </c>
      <c r="D117" s="60" t="n">
        <v>1</v>
      </c>
      <c r="E117" s="61" t="n">
        <v>10</v>
      </c>
      <c r="F117" s="60" t="n">
        <v>50</v>
      </c>
      <c r="G117" s="61" t="n">
        <v>79</v>
      </c>
      <c r="H117" s="61" t="n">
        <v>1.4</v>
      </c>
      <c r="I117" s="61" t="n">
        <v>1.4</v>
      </c>
      <c r="J117" s="61" t="n">
        <v>1.3</v>
      </c>
      <c r="K117" s="61" t="n">
        <v>1.3</v>
      </c>
      <c r="L117" s="61" t="n">
        <v>1.2</v>
      </c>
      <c r="M117" s="61" t="n">
        <v>1.1</v>
      </c>
      <c r="N117" s="61" t="n">
        <v>1</v>
      </c>
      <c r="O117" s="61" t="n">
        <v>0.9</v>
      </c>
      <c r="P117" s="61" t="n">
        <v>0</v>
      </c>
      <c r="Q117" s="59" t="s">
        <v>634</v>
      </c>
    </row>
    <row r="118" customFormat="false" ht="15" hidden="false" customHeight="true" outlineLevel="0" collapsed="false">
      <c r="A118" s="58" t="s">
        <v>571</v>
      </c>
      <c r="B118" s="59" t="s">
        <v>635</v>
      </c>
      <c r="C118" s="59" t="s">
        <v>636</v>
      </c>
      <c r="D118" s="60" t="n">
        <v>1</v>
      </c>
      <c r="E118" s="61" t="n">
        <v>10</v>
      </c>
      <c r="F118" s="60" t="n">
        <v>50</v>
      </c>
      <c r="G118" s="61" t="n">
        <v>98</v>
      </c>
      <c r="H118" s="61" t="n">
        <v>1.8</v>
      </c>
      <c r="I118" s="61" t="n">
        <v>1.8</v>
      </c>
      <c r="J118" s="61" t="n">
        <v>1.6</v>
      </c>
      <c r="K118" s="61" t="n">
        <v>1.6</v>
      </c>
      <c r="L118" s="61" t="n">
        <v>1.5</v>
      </c>
      <c r="M118" s="61" t="n">
        <v>1.4</v>
      </c>
      <c r="N118" s="61" t="n">
        <v>1.3</v>
      </c>
      <c r="O118" s="61" t="n">
        <v>1.2</v>
      </c>
      <c r="P118" s="61" t="n">
        <v>0</v>
      </c>
      <c r="Q118" s="59" t="s">
        <v>637</v>
      </c>
    </row>
    <row r="119" customFormat="false" ht="15" hidden="false" customHeight="true" outlineLevel="0" collapsed="false">
      <c r="A119" s="58" t="s">
        <v>571</v>
      </c>
      <c r="B119" s="59" t="s">
        <v>566</v>
      </c>
      <c r="C119" s="59" t="s">
        <v>567</v>
      </c>
      <c r="D119" s="60" t="n">
        <v>1</v>
      </c>
      <c r="E119" s="61" t="n">
        <v>10</v>
      </c>
      <c r="F119" s="60" t="n">
        <v>50</v>
      </c>
      <c r="G119" s="61" t="n">
        <v>84</v>
      </c>
      <c r="H119" s="61" t="n">
        <v>1.5</v>
      </c>
      <c r="I119" s="61" t="n">
        <v>1.5</v>
      </c>
      <c r="J119" s="61" t="n">
        <v>1.3</v>
      </c>
      <c r="K119" s="61" t="n">
        <v>1.3</v>
      </c>
      <c r="L119" s="61" t="n">
        <v>1.2</v>
      </c>
      <c r="M119" s="61" t="n">
        <v>1.1</v>
      </c>
      <c r="N119" s="61" t="n">
        <v>1</v>
      </c>
      <c r="O119" s="61" t="n">
        <v>0.9</v>
      </c>
      <c r="P119" s="61" t="n">
        <v>0</v>
      </c>
      <c r="Q119" s="59" t="s">
        <v>638</v>
      </c>
    </row>
    <row r="120" customFormat="false" ht="15" hidden="false" customHeight="true" outlineLevel="0" collapsed="false">
      <c r="A120" s="58" t="s">
        <v>571</v>
      </c>
      <c r="B120" s="59" t="s">
        <v>511</v>
      </c>
      <c r="C120" s="59" t="s">
        <v>123</v>
      </c>
      <c r="D120" s="60" t="n">
        <v>1</v>
      </c>
      <c r="E120" s="61" t="n">
        <v>10</v>
      </c>
      <c r="F120" s="60" t="n">
        <v>50</v>
      </c>
      <c r="G120" s="61" t="n">
        <v>84</v>
      </c>
      <c r="H120" s="61" t="n">
        <v>1.5</v>
      </c>
      <c r="I120" s="61" t="n">
        <v>1.5</v>
      </c>
      <c r="J120" s="61" t="n">
        <v>1.3</v>
      </c>
      <c r="K120" s="61" t="n">
        <v>1.3</v>
      </c>
      <c r="L120" s="61" t="n">
        <v>1.2</v>
      </c>
      <c r="M120" s="61" t="n">
        <v>1.1</v>
      </c>
      <c r="N120" s="61" t="n">
        <v>1.05</v>
      </c>
      <c r="O120" s="61" t="n">
        <v>1</v>
      </c>
      <c r="P120" s="61" t="n">
        <v>0</v>
      </c>
      <c r="Q120" s="59" t="s">
        <v>639</v>
      </c>
    </row>
    <row r="121" customFormat="false" ht="15" hidden="false" customHeight="true" outlineLevel="0" collapsed="false">
      <c r="A121" s="58" t="s">
        <v>571</v>
      </c>
      <c r="B121" s="59" t="s">
        <v>469</v>
      </c>
      <c r="C121" s="59" t="s">
        <v>640</v>
      </c>
      <c r="D121" s="60" t="n">
        <v>1</v>
      </c>
      <c r="E121" s="61" t="n">
        <v>10</v>
      </c>
      <c r="F121" s="60" t="n">
        <v>50</v>
      </c>
      <c r="G121" s="61" t="n">
        <v>84</v>
      </c>
      <c r="H121" s="61" t="n">
        <v>1.5</v>
      </c>
      <c r="I121" s="61" t="n">
        <v>1.5</v>
      </c>
      <c r="J121" s="61" t="n">
        <v>1.3</v>
      </c>
      <c r="K121" s="61" t="n">
        <v>1.3</v>
      </c>
      <c r="L121" s="61" t="n">
        <v>1.2</v>
      </c>
      <c r="M121" s="61" t="n">
        <v>1.1</v>
      </c>
      <c r="N121" s="61" t="n">
        <v>1.05</v>
      </c>
      <c r="O121" s="61" t="n">
        <v>1</v>
      </c>
      <c r="P121" s="61" t="n">
        <v>0</v>
      </c>
      <c r="Q121" s="59" t="s">
        <v>641</v>
      </c>
    </row>
    <row r="122" customFormat="false" ht="15" hidden="false" customHeight="true" outlineLevel="0" collapsed="false">
      <c r="A122" s="58" t="s">
        <v>571</v>
      </c>
      <c r="B122" s="59" t="s">
        <v>501</v>
      </c>
      <c r="C122" s="59" t="s">
        <v>642</v>
      </c>
      <c r="D122" s="60" t="n">
        <v>1</v>
      </c>
      <c r="E122" s="61" t="n">
        <v>10</v>
      </c>
      <c r="F122" s="60" t="n">
        <v>50</v>
      </c>
      <c r="G122" s="61" t="n">
        <v>113</v>
      </c>
      <c r="H122" s="61" t="n">
        <v>2.1</v>
      </c>
      <c r="I122" s="61" t="n">
        <v>2.1</v>
      </c>
      <c r="J122" s="61" t="n">
        <v>2</v>
      </c>
      <c r="K122" s="61" t="n">
        <v>2</v>
      </c>
      <c r="L122" s="61" t="n">
        <v>1.9</v>
      </c>
      <c r="M122" s="61" t="n">
        <v>1.8</v>
      </c>
      <c r="N122" s="61" t="n">
        <v>1.7</v>
      </c>
      <c r="O122" s="61" t="n">
        <v>1.6</v>
      </c>
      <c r="P122" s="61" t="n">
        <v>0</v>
      </c>
      <c r="Q122" s="59" t="s">
        <v>643</v>
      </c>
    </row>
    <row r="123" customFormat="false" ht="15" hidden="false" customHeight="true" outlineLevel="0" collapsed="false">
      <c r="A123" s="58" t="s">
        <v>571</v>
      </c>
      <c r="B123" s="59" t="s">
        <v>519</v>
      </c>
      <c r="C123" s="59" t="s">
        <v>131</v>
      </c>
      <c r="D123" s="60" t="n">
        <v>1</v>
      </c>
      <c r="E123" s="61" t="n">
        <v>10</v>
      </c>
      <c r="F123" s="60" t="n">
        <v>50</v>
      </c>
      <c r="G123" s="61" t="n">
        <v>118</v>
      </c>
      <c r="H123" s="61" t="n">
        <v>2.2</v>
      </c>
      <c r="I123" s="61" t="n">
        <v>2.2</v>
      </c>
      <c r="J123" s="61" t="n">
        <v>2.1</v>
      </c>
      <c r="K123" s="61" t="n">
        <v>2.1</v>
      </c>
      <c r="L123" s="61" t="n">
        <v>2</v>
      </c>
      <c r="M123" s="61" t="n">
        <v>1.9</v>
      </c>
      <c r="N123" s="61" t="n">
        <v>1.8</v>
      </c>
      <c r="O123" s="61" t="n">
        <v>1.7</v>
      </c>
      <c r="P123" s="61" t="n">
        <v>0</v>
      </c>
      <c r="Q123" s="59" t="s">
        <v>644</v>
      </c>
    </row>
    <row r="124" customFormat="false" ht="15" hidden="false" customHeight="true" outlineLevel="0" collapsed="false">
      <c r="A124" s="58" t="s">
        <v>571</v>
      </c>
      <c r="B124" s="59"/>
      <c r="C124" s="59" t="s">
        <v>645</v>
      </c>
      <c r="D124" s="60" t="n">
        <v>1</v>
      </c>
      <c r="E124" s="61" t="n">
        <v>10</v>
      </c>
      <c r="F124" s="60" t="n">
        <v>50</v>
      </c>
      <c r="G124" s="61" t="n">
        <v>133</v>
      </c>
      <c r="H124" s="61" t="n">
        <v>2.5</v>
      </c>
      <c r="I124" s="61" t="n">
        <v>2.5</v>
      </c>
      <c r="J124" s="61" t="n">
        <v>2.3</v>
      </c>
      <c r="K124" s="61" t="n">
        <v>2.3</v>
      </c>
      <c r="L124" s="61" t="n">
        <v>2.2</v>
      </c>
      <c r="M124" s="61" t="n">
        <v>2.1</v>
      </c>
      <c r="N124" s="61" t="n">
        <v>2</v>
      </c>
      <c r="O124" s="61" t="n">
        <v>2</v>
      </c>
      <c r="P124" s="61" t="n">
        <v>0</v>
      </c>
      <c r="Q124" s="59" t="s">
        <v>646</v>
      </c>
    </row>
    <row r="125" customFormat="false" ht="15" hidden="false" customHeight="true" outlineLevel="0" collapsed="false">
      <c r="A125" s="58" t="s">
        <v>571</v>
      </c>
      <c r="B125" s="59" t="s">
        <v>423</v>
      </c>
      <c r="C125" s="59" t="s">
        <v>647</v>
      </c>
      <c r="D125" s="60" t="n">
        <v>1</v>
      </c>
      <c r="E125" s="61" t="n">
        <v>10</v>
      </c>
      <c r="F125" s="60" t="n">
        <v>50</v>
      </c>
      <c r="G125" s="61" t="n">
        <v>133</v>
      </c>
      <c r="H125" s="61" t="n">
        <v>2.5</v>
      </c>
      <c r="I125" s="61" t="n">
        <v>2.5</v>
      </c>
      <c r="J125" s="61" t="n">
        <v>2.3</v>
      </c>
      <c r="K125" s="61" t="n">
        <v>2.3</v>
      </c>
      <c r="L125" s="61" t="n">
        <v>2.2</v>
      </c>
      <c r="M125" s="61" t="n">
        <v>2.1</v>
      </c>
      <c r="N125" s="61" t="n">
        <v>2</v>
      </c>
      <c r="O125" s="61" t="n">
        <v>2</v>
      </c>
      <c r="P125" s="61" t="n">
        <v>0</v>
      </c>
      <c r="Q125" s="59" t="s">
        <v>648</v>
      </c>
    </row>
    <row r="126" customFormat="false" ht="15" hidden="false" customHeight="true" outlineLevel="0" collapsed="false">
      <c r="A126" s="58" t="s">
        <v>571</v>
      </c>
      <c r="B126" s="59" t="s">
        <v>511</v>
      </c>
      <c r="C126" s="59" t="s">
        <v>123</v>
      </c>
      <c r="D126" s="60" t="n">
        <v>1</v>
      </c>
      <c r="E126" s="61" t="n">
        <v>10</v>
      </c>
      <c r="F126" s="60" t="n">
        <v>50</v>
      </c>
      <c r="G126" s="61" t="n">
        <v>81</v>
      </c>
      <c r="H126" s="61" t="n">
        <v>1.45</v>
      </c>
      <c r="I126" s="61" t="n">
        <v>1.45</v>
      </c>
      <c r="J126" s="61" t="n">
        <v>1.3</v>
      </c>
      <c r="K126" s="61" t="n">
        <v>1.3</v>
      </c>
      <c r="L126" s="61" t="n">
        <v>1.2</v>
      </c>
      <c r="M126" s="61" t="n">
        <v>1.1</v>
      </c>
      <c r="N126" s="61" t="n">
        <v>1</v>
      </c>
      <c r="O126" s="61" t="n">
        <v>0.9</v>
      </c>
      <c r="P126" s="61" t="n">
        <v>0</v>
      </c>
      <c r="Q126" s="59" t="s">
        <v>639</v>
      </c>
    </row>
    <row r="127" customFormat="false" ht="15" hidden="false" customHeight="true" outlineLevel="0" collapsed="false">
      <c r="A127" s="58" t="s">
        <v>571</v>
      </c>
      <c r="B127" s="59" t="s">
        <v>469</v>
      </c>
      <c r="C127" s="59" t="s">
        <v>649</v>
      </c>
      <c r="D127" s="60" t="n">
        <v>1</v>
      </c>
      <c r="E127" s="61" t="n">
        <v>10</v>
      </c>
      <c r="F127" s="60" t="n">
        <v>50</v>
      </c>
      <c r="G127" s="61" t="n">
        <v>86</v>
      </c>
      <c r="H127" s="61" t="n">
        <v>1.55</v>
      </c>
      <c r="I127" s="61" t="n">
        <v>1.55</v>
      </c>
      <c r="J127" s="61" t="n">
        <v>1.35</v>
      </c>
      <c r="K127" s="61" t="n">
        <v>1.35</v>
      </c>
      <c r="L127" s="61" t="n">
        <v>1.25</v>
      </c>
      <c r="M127" s="61" t="n">
        <v>1.15</v>
      </c>
      <c r="N127" s="61" t="n">
        <v>1.1</v>
      </c>
      <c r="O127" s="61" t="n">
        <v>1</v>
      </c>
      <c r="P127" s="61" t="n">
        <v>0</v>
      </c>
      <c r="Q127" s="59" t="s">
        <v>650</v>
      </c>
    </row>
    <row r="128" customFormat="false" ht="15" hidden="false" customHeight="true" outlineLevel="0" collapsed="false">
      <c r="A128" s="58" t="s">
        <v>571</v>
      </c>
      <c r="B128" s="59"/>
      <c r="C128" s="59" t="s">
        <v>651</v>
      </c>
      <c r="D128" s="60" t="n">
        <v>1</v>
      </c>
      <c r="E128" s="61" t="n">
        <v>10</v>
      </c>
      <c r="F128" s="60" t="n">
        <v>50</v>
      </c>
      <c r="G128" s="61" t="n">
        <v>83</v>
      </c>
      <c r="H128" s="61" t="n">
        <v>1.48</v>
      </c>
      <c r="I128" s="61" t="n">
        <v>1.48</v>
      </c>
      <c r="J128" s="61" t="n">
        <v>1.35</v>
      </c>
      <c r="K128" s="61" t="n">
        <v>1.35</v>
      </c>
      <c r="L128" s="61" t="n">
        <v>1.25</v>
      </c>
      <c r="M128" s="61" t="n">
        <v>1.15</v>
      </c>
      <c r="N128" s="61" t="n">
        <v>1.05</v>
      </c>
      <c r="O128" s="61" t="n">
        <v>0.95</v>
      </c>
      <c r="P128" s="61" t="n">
        <v>0</v>
      </c>
      <c r="Q128" s="59" t="s">
        <v>652</v>
      </c>
    </row>
    <row r="129" customFormat="false" ht="15" hidden="false" customHeight="true" outlineLevel="0" collapsed="false">
      <c r="A129" s="58" t="s">
        <v>571</v>
      </c>
      <c r="B129" s="59"/>
      <c r="C129" s="59" t="s">
        <v>653</v>
      </c>
      <c r="D129" s="60" t="n">
        <v>1</v>
      </c>
      <c r="E129" s="61" t="n">
        <v>10</v>
      </c>
      <c r="F129" s="60" t="n">
        <v>50</v>
      </c>
      <c r="G129" s="61" t="n">
        <v>79</v>
      </c>
      <c r="H129" s="61" t="n">
        <v>1.4</v>
      </c>
      <c r="I129" s="61" t="n">
        <v>1.4</v>
      </c>
      <c r="J129" s="61" t="n">
        <v>1.3</v>
      </c>
      <c r="K129" s="61" t="n">
        <v>1.3</v>
      </c>
      <c r="L129" s="61" t="n">
        <v>1.2</v>
      </c>
      <c r="M129" s="61" t="n">
        <v>1.1</v>
      </c>
      <c r="N129" s="61" t="n">
        <v>1</v>
      </c>
      <c r="O129" s="61" t="n">
        <v>0.9</v>
      </c>
      <c r="P129" s="61" t="n">
        <v>0</v>
      </c>
      <c r="Q129" s="59" t="s">
        <v>654</v>
      </c>
    </row>
    <row r="130" customFormat="false" ht="15" hidden="false" customHeight="true" outlineLevel="0" collapsed="false">
      <c r="A130" s="58" t="s">
        <v>571</v>
      </c>
      <c r="B130" s="59" t="s">
        <v>476</v>
      </c>
      <c r="C130" s="59" t="s">
        <v>82</v>
      </c>
      <c r="D130" s="60" t="n">
        <v>1</v>
      </c>
      <c r="E130" s="61" t="n">
        <v>10</v>
      </c>
      <c r="F130" s="60" t="n">
        <v>50</v>
      </c>
      <c r="G130" s="61" t="n">
        <v>79</v>
      </c>
      <c r="H130" s="61" t="n">
        <v>1.4</v>
      </c>
      <c r="I130" s="61" t="n">
        <v>1.4</v>
      </c>
      <c r="J130" s="61" t="n">
        <v>1.3</v>
      </c>
      <c r="K130" s="61" t="n">
        <v>1.3</v>
      </c>
      <c r="L130" s="61" t="n">
        <v>1.2</v>
      </c>
      <c r="M130" s="61" t="n">
        <v>1.1</v>
      </c>
      <c r="N130" s="61" t="n">
        <v>1</v>
      </c>
      <c r="O130" s="61" t="n">
        <v>0.9</v>
      </c>
      <c r="P130" s="61" t="n">
        <v>0</v>
      </c>
      <c r="Q130" s="59" t="s">
        <v>655</v>
      </c>
    </row>
    <row r="131" customFormat="false" ht="15" hidden="false" customHeight="true" outlineLevel="0" collapsed="false">
      <c r="A131" s="58" t="s">
        <v>571</v>
      </c>
      <c r="B131" s="59" t="s">
        <v>564</v>
      </c>
      <c r="C131" s="59" t="s">
        <v>153</v>
      </c>
      <c r="D131" s="60" t="n">
        <v>1</v>
      </c>
      <c r="E131" s="61" t="n">
        <v>10</v>
      </c>
      <c r="F131" s="60" t="n">
        <v>50</v>
      </c>
      <c r="G131" s="61" t="n">
        <v>79</v>
      </c>
      <c r="H131" s="61" t="n">
        <v>1.4</v>
      </c>
      <c r="I131" s="61" t="n">
        <v>1.4</v>
      </c>
      <c r="J131" s="61" t="n">
        <v>1.3</v>
      </c>
      <c r="K131" s="61" t="n">
        <v>1.3</v>
      </c>
      <c r="L131" s="61" t="n">
        <v>1.2</v>
      </c>
      <c r="M131" s="61" t="n">
        <v>1.1</v>
      </c>
      <c r="N131" s="61" t="n">
        <v>1</v>
      </c>
      <c r="O131" s="61" t="n">
        <v>0.9</v>
      </c>
      <c r="P131" s="61" t="n">
        <v>0</v>
      </c>
      <c r="Q131" s="59" t="s">
        <v>634</v>
      </c>
    </row>
    <row r="132" customFormat="false" ht="15" hidden="false" customHeight="true" outlineLevel="0" collapsed="false">
      <c r="A132" s="58" t="s">
        <v>571</v>
      </c>
      <c r="B132" s="59" t="s">
        <v>487</v>
      </c>
      <c r="C132" s="59" t="s">
        <v>195</v>
      </c>
      <c r="D132" s="60" t="n">
        <v>1</v>
      </c>
      <c r="E132" s="61" t="n">
        <v>10</v>
      </c>
      <c r="F132" s="60" t="n">
        <v>50</v>
      </c>
      <c r="G132" s="61" t="n">
        <v>79</v>
      </c>
      <c r="H132" s="61" t="n">
        <v>1.4</v>
      </c>
      <c r="I132" s="61" t="n">
        <v>1.4</v>
      </c>
      <c r="J132" s="61" t="n">
        <v>1.3</v>
      </c>
      <c r="K132" s="61" t="n">
        <v>1.3</v>
      </c>
      <c r="L132" s="61" t="n">
        <v>1.2</v>
      </c>
      <c r="M132" s="61" t="n">
        <v>1.1</v>
      </c>
      <c r="N132" s="61" t="n">
        <v>1</v>
      </c>
      <c r="O132" s="61" t="n">
        <v>0.9</v>
      </c>
      <c r="P132" s="61" t="n">
        <v>0</v>
      </c>
      <c r="Q132" s="59" t="s">
        <v>656</v>
      </c>
    </row>
    <row r="133" customFormat="false" ht="15" hidden="false" customHeight="true" outlineLevel="0" collapsed="false">
      <c r="A133" s="58" t="s">
        <v>571</v>
      </c>
      <c r="B133" s="59"/>
      <c r="C133" s="59" t="s">
        <v>657</v>
      </c>
      <c r="D133" s="60" t="n">
        <v>1</v>
      </c>
      <c r="E133" s="61" t="n">
        <v>10</v>
      </c>
      <c r="F133" s="60" t="n">
        <v>50</v>
      </c>
      <c r="G133" s="61" t="n">
        <v>86</v>
      </c>
      <c r="H133" s="61" t="n">
        <v>1.55</v>
      </c>
      <c r="I133" s="61" t="n">
        <v>1.55</v>
      </c>
      <c r="J133" s="61" t="n">
        <v>1.4</v>
      </c>
      <c r="K133" s="61" t="n">
        <v>1.4</v>
      </c>
      <c r="L133" s="61" t="n">
        <v>1.3</v>
      </c>
      <c r="M133" s="61" t="n">
        <v>1.2</v>
      </c>
      <c r="N133" s="61" t="n">
        <v>1.1</v>
      </c>
      <c r="O133" s="61" t="n">
        <v>1</v>
      </c>
      <c r="P133" s="61" t="n">
        <v>0</v>
      </c>
      <c r="Q133" s="59" t="s">
        <v>658</v>
      </c>
    </row>
  </sheetData>
  <autoFilter ref="A3:Q13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</cols>
  <sheetData>
    <row r="1" customFormat="false" ht="17.25" hidden="false" customHeight="true" outlineLevel="0" collapsed="false">
      <c r="A1" s="1" t="s">
        <v>659</v>
      </c>
      <c r="B1" s="1"/>
      <c r="C1" s="1"/>
      <c r="D1" s="1"/>
    </row>
    <row r="3" customFormat="false" ht="15" hidden="false" customHeight="true" outlineLevel="0" collapsed="false">
      <c r="A3" s="4" t="s">
        <v>660</v>
      </c>
      <c r="B3" s="4"/>
      <c r="C3" s="4"/>
      <c r="D3" s="4"/>
    </row>
    <row r="4" customFormat="false" ht="15" hidden="false" customHeight="true" outlineLevel="0" collapsed="false">
      <c r="A4" s="5" t="s">
        <v>49</v>
      </c>
      <c r="B4" s="62" t="n">
        <f aca="false">报价汇总!B21</f>
        <v>0</v>
      </c>
    </row>
    <row r="5" customFormat="false" ht="15" hidden="false" customHeight="true" outlineLevel="0" collapsed="false">
      <c r="A5" s="5" t="s">
        <v>51</v>
      </c>
      <c r="B5" s="62" t="n">
        <f aca="false">报价汇总!B22</f>
        <v>0</v>
      </c>
    </row>
    <row r="6" customFormat="false" ht="15" hidden="false" customHeight="true" outlineLevel="0" collapsed="false">
      <c r="A6" s="5" t="s">
        <v>53</v>
      </c>
      <c r="B6" s="62" t="n">
        <f aca="false">报价汇总!B23</f>
        <v>0</v>
      </c>
    </row>
    <row r="7" customFormat="false" ht="15" hidden="false" customHeight="true" outlineLevel="0" collapsed="false">
      <c r="A7" s="5" t="s">
        <v>661</v>
      </c>
      <c r="B7" s="63" t="str">
        <f aca="false">IF(报价汇总!B16="","",报价汇总!B16+包装计算!$B$41)</f>
        <v/>
      </c>
    </row>
    <row r="8" customFormat="false" ht="15" hidden="false" customHeight="true" outlineLevel="0" collapsed="false">
      <c r="A8" s="5" t="s">
        <v>662</v>
      </c>
      <c r="B8" s="24" t="n">
        <f aca="false">包装计算!$B$17</f>
        <v>16</v>
      </c>
    </row>
    <row r="9" customFormat="false" ht="15" hidden="false" customHeight="true" outlineLevel="0" collapsed="false">
      <c r="A9" s="5" t="s">
        <v>40</v>
      </c>
      <c r="B9" s="24" t="n">
        <f aca="false">报价汇总!B17</f>
        <v>0</v>
      </c>
    </row>
    <row r="10" customFormat="false" ht="15" hidden="false" customHeight="true" outlineLevel="0" collapsed="false">
      <c r="A10" s="5" t="s">
        <v>663</v>
      </c>
      <c r="B10" s="64" t="str">
        <f aca="false">IF(OR(B6="",B9="",B9=0),"",B6/B9)</f>
        <v/>
      </c>
    </row>
    <row r="11" customFormat="false" ht="15" hidden="false" customHeight="true" outlineLevel="0" collapsed="false">
      <c r="A11" s="5" t="s">
        <v>410</v>
      </c>
      <c r="B11" s="62" t="str">
        <f aca="false">IF(OR(B4="",B5=""),"",B4&amp;"|"&amp;B5)</f>
        <v/>
      </c>
    </row>
    <row r="12" customFormat="false" ht="15" hidden="false" customHeight="true" outlineLevel="0" collapsed="false">
      <c r="A12" s="5" t="s">
        <v>664</v>
      </c>
      <c r="B12" s="24" t="str">
        <f aca="false">IF(B11="","",IFERROR(MATCH(B11,跨越费率!$Q$4:$Q$300,0),""))</f>
        <v/>
      </c>
    </row>
    <row r="14" customFormat="false" ht="15" hidden="false" customHeight="true" outlineLevel="0" collapsed="false">
      <c r="A14" s="4" t="s">
        <v>665</v>
      </c>
      <c r="B14" s="4"/>
      <c r="C14" s="4"/>
      <c r="D14" s="4"/>
    </row>
    <row r="15" customFormat="false" ht="15" hidden="false" customHeight="true" outlineLevel="0" collapsed="false">
      <c r="A15" s="5" t="s">
        <v>666</v>
      </c>
      <c r="B15" s="65" t="str">
        <f aca="false">IF(OR(B7="",B6=""),"",B7*B6)</f>
        <v/>
      </c>
    </row>
    <row r="16" customFormat="false" ht="15" hidden="false" customHeight="true" outlineLevel="0" collapsed="false">
      <c r="A16" s="5" t="s">
        <v>667</v>
      </c>
      <c r="B16" s="65" t="str">
        <f aca="false">IF(OR(B8="",B10=""),"",B8*B10/参数!$B$36)</f>
        <v/>
      </c>
    </row>
    <row r="17" customFormat="false" ht="15" hidden="false" customHeight="true" outlineLevel="0" collapsed="false">
      <c r="A17" s="5" t="s">
        <v>668</v>
      </c>
      <c r="B17" s="65" t="str">
        <f aca="false">IF(AND(ISNUMBER(B15),ISNUMBER(B16)),MAX(B15,B16),"")</f>
        <v/>
      </c>
    </row>
    <row r="18" customFormat="false" ht="15" hidden="false" customHeight="true" outlineLevel="0" collapsed="false">
      <c r="A18" s="5" t="s">
        <v>669</v>
      </c>
      <c r="B18" s="65" t="str">
        <f aca="false">IF(B12="","",INDEX(跨越费率!$F$4:$F$300,B12))</f>
        <v/>
      </c>
    </row>
    <row r="19" customFormat="false" ht="15" hidden="false" customHeight="true" outlineLevel="0" collapsed="false">
      <c r="A19" s="5" t="s">
        <v>670</v>
      </c>
      <c r="B19" s="65" t="str">
        <f aca="false">IF(OR(B17="",B18=""),"",MAX(B17,B18))</f>
        <v/>
      </c>
    </row>
    <row r="21" customFormat="false" ht="15" hidden="false" customHeight="true" outlineLevel="0" collapsed="false">
      <c r="A21" s="4" t="s">
        <v>671</v>
      </c>
      <c r="B21" s="4"/>
      <c r="C21" s="4"/>
      <c r="D21" s="4"/>
    </row>
    <row r="22" customFormat="false" ht="15" hidden="false" customHeight="true" outlineLevel="0" collapsed="false">
      <c r="A22" s="5" t="s">
        <v>397</v>
      </c>
      <c r="B22" s="24" t="str">
        <f aca="false">IF(B12="","",INDEX(跨越费率!$D$4:$D$300,B12))</f>
        <v/>
      </c>
    </row>
    <row r="23" customFormat="false" ht="15" hidden="false" customHeight="true" outlineLevel="0" collapsed="false">
      <c r="A23" s="5" t="s">
        <v>398</v>
      </c>
      <c r="B23" s="65" t="str">
        <f aca="false">IF(B12="","",INDEX(跨越费率!$E$4:$E$300,B12))</f>
        <v/>
      </c>
    </row>
    <row r="24" customFormat="false" ht="15" hidden="false" customHeight="true" outlineLevel="0" collapsed="false">
      <c r="A24" s="5" t="s">
        <v>672</v>
      </c>
      <c r="B24" s="24" t="str">
        <f aca="false">IF(OR(B19="",B4=""),"",IF(B4="次日达",MATCH(B19,$B$26:$J$26,1),MATCH(B19,$B$27:$J$27,1)))</f>
        <v/>
      </c>
    </row>
    <row r="25" customFormat="false" ht="15" hidden="false" customHeight="true" outlineLevel="0" collapsed="false">
      <c r="A25" s="5" t="s">
        <v>673</v>
      </c>
      <c r="B25" s="65" t="str">
        <f aca="false">IF(OR(B12="",B24=""),"",INDEX(跨越费率!$H$4:$P$300,B12,B24))</f>
        <v/>
      </c>
    </row>
    <row r="26" customFormat="false" ht="15" hidden="false" customHeight="true" outlineLevel="0" collapsed="false">
      <c r="A26" s="15" t="s">
        <v>674</v>
      </c>
      <c r="B26" s="66" t="n">
        <v>1</v>
      </c>
      <c r="C26" s="66" t="n">
        <v>10</v>
      </c>
      <c r="D26" s="66" t="n">
        <v>30</v>
      </c>
      <c r="E26" s="66" t="n">
        <v>50</v>
      </c>
      <c r="F26" s="66" t="n">
        <v>100</v>
      </c>
      <c r="G26" s="66" t="n">
        <v>300</v>
      </c>
      <c r="H26" s="66" t="n">
        <v>500</v>
      </c>
      <c r="I26" s="66" t="n">
        <v>1000</v>
      </c>
      <c r="J26" s="66" t="n">
        <v>2000</v>
      </c>
    </row>
    <row r="27" customFormat="false" ht="15" hidden="false" customHeight="true" outlineLevel="0" collapsed="false">
      <c r="A27" s="15" t="s">
        <v>675</v>
      </c>
      <c r="B27" s="66" t="n">
        <v>1</v>
      </c>
      <c r="C27" s="66" t="n">
        <v>50</v>
      </c>
      <c r="D27" s="66" t="n">
        <v>100</v>
      </c>
      <c r="E27" s="66" t="n">
        <v>200</v>
      </c>
      <c r="F27" s="66" t="n">
        <v>300</v>
      </c>
      <c r="G27" s="66" t="n">
        <v>500</v>
      </c>
      <c r="H27" s="66" t="n">
        <v>1000</v>
      </c>
      <c r="I27" s="66" t="n">
        <v>2000</v>
      </c>
      <c r="J27" s="66" t="n">
        <v>0</v>
      </c>
    </row>
    <row r="28" customFormat="false" ht="15" hidden="false" customHeight="true" outlineLevel="0" collapsed="false">
      <c r="A28" s="5" t="s">
        <v>400</v>
      </c>
      <c r="B28" s="65" t="str">
        <f aca="false">IF(B12="","",INDEX(跨越费率!$G$4:$G$300,B12))</f>
        <v/>
      </c>
    </row>
    <row r="29" customFormat="false" ht="15" hidden="false" customHeight="true" outlineLevel="0" collapsed="false">
      <c r="A29" s="5" t="s">
        <v>676</v>
      </c>
      <c r="B29" s="65" t="str">
        <f aca="false">IF(OR(B23="",B19="",B25="",B28=""),"",MAX(B23+(B19-B22)*B25,B28))</f>
        <v/>
      </c>
    </row>
    <row r="30" customFormat="false" ht="15" hidden="false" customHeight="true" outlineLevel="0" collapsed="false">
      <c r="A30" s="5" t="s">
        <v>677</v>
      </c>
      <c r="B30" s="24" t="n">
        <f aca="false">报价汇总!B24</f>
        <v>0</v>
      </c>
    </row>
    <row r="31" customFormat="false" ht="15" hidden="false" customHeight="true" outlineLevel="0" collapsed="false">
      <c r="A31" s="5" t="s">
        <v>678</v>
      </c>
      <c r="B31" s="65" t="n">
        <f aca="false">IF(参数!$B$39="是",IF(NOT(ISNUMBER(B30)),"",MAX(参数!$B$37*B30,参数!$B$38)),0)</f>
        <v>0</v>
      </c>
    </row>
    <row r="32" customFormat="false" ht="15" hidden="false" customHeight="true" outlineLevel="0" collapsed="false">
      <c r="A32" s="5" t="s">
        <v>679</v>
      </c>
      <c r="B32" s="65" t="str">
        <f aca="false">IF(OR(B29="",B31=""),"",B29+B31)</f>
        <v/>
      </c>
    </row>
    <row r="33" customFormat="false" ht="15" hidden="false" customHeight="true" outlineLevel="0" collapsed="false">
      <c r="A33" s="5" t="s">
        <v>680</v>
      </c>
      <c r="B33" s="17" t="str">
        <f aca="false">IF(OR(B32="",B6="",B6=0),"",B32/B6)</f>
        <v/>
      </c>
    </row>
    <row r="35" customFormat="false" ht="15" hidden="false" customHeight="true" outlineLevel="0" collapsed="false">
      <c r="A35" s="15" t="s">
        <v>681</v>
      </c>
    </row>
    <row r="36" customFormat="false" ht="15" hidden="false" customHeight="true" outlineLevel="0" collapsed="false">
      <c r="A36" s="15" t="s">
        <v>682</v>
      </c>
    </row>
  </sheetData>
  <mergeCells count="4">
    <mergeCell ref="A1:D1"/>
    <mergeCell ref="A3:D3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2026-10-12T08:32:09Z</dcterms:created>
  <dc:creator>openpyxl</dc:creator>
  <dc:description/>
  <dc:language>en-US</dc:language>
  <cp:lastModifiedBy>HAIER</cp:lastModifiedBy>
  <dcterms:modified xsi:type="dcterms:W3CDTF">2026-10-12T08:32:09Z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{"Label":"1","ContentProducer":"001191110102MACQD9K64010000","ProduceID":"7695675034551815451","ReservedCode1":"","ContentPropagator":"","PropagateID":"","ReservedCode2":""}</vt:lpwstr>
  </property>
</Properties>
</file>