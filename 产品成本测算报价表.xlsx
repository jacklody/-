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使用说明" sheetId="1" state="visible" r:id="rId3"/>
    <sheet name="报价汇总" sheetId="2" state="visible" r:id="rId4"/>
    <sheet name="物料明细" sheetId="3" state="visible" r:id="rId5"/>
    <sheet name="制费明细" sheetId="4" state="visible" r:id="rId6"/>
    <sheet name="加工成本明细" sheetId="5" state="visible" r:id="rId7"/>
    <sheet name="参数" sheetId="6" state="visible" r:id="rId8"/>
    <sheet name="包装计算" sheetId="7" state="visible" r:id="rId9"/>
    <sheet name="跨越费率" sheetId="8" state="visible" r:id="rId10"/>
    <sheet name="运费计算" sheetId="9" state="visible" r:id="rId11"/>
  </sheets>
  <definedNames>
    <definedName function="false" hidden="true" localSheetId="2" name="_xlnm._FilterDatabase" vbProcedure="false">物料明细!$A$2:$J$339</definedName>
    <definedName function="false" hidden="true" localSheetId="7" name="_xlnm._FilterDatabase" vbProcedure="false">跨越费率!$A$3:$Q$133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<sst xmlns="http://schemas.openxmlformats.org/spreadsheetml/2006/main" count="3021" uniqueCount="1604">
  <si>
    <r>
      <rPr>
        <b val="true"/>
        <sz val="12"/>
        <color rgb="FFFFFFFF"/>
        <rFont val="DejaVu Sans"/>
        <family val="2"/>
      </rPr>
      <t xml:space="preserve">产品成本测算报价表 </t>
    </r>
    <r>
      <rPr>
        <b val="true"/>
        <sz val="12"/>
        <color rgb="FFFFFFFF"/>
        <rFont val="DejaVu Sans"/>
        <family val="2"/>
        <charset val="1"/>
      </rPr>
      <t xml:space="preserve">· </t>
    </r>
    <r>
      <rPr>
        <b val="true"/>
        <sz val="12"/>
        <color rgb="FFFFFFFF"/>
        <rFont val="DejaVu Sans"/>
        <family val="2"/>
      </rPr>
      <t xml:space="preserve">使用说明</t>
    </r>
  </si>
  <si>
    <t xml:space="preserve">怎么用</t>
  </si>
  <si>
    <r>
      <rPr>
        <i val="true"/>
        <sz val="10"/>
        <color rgb="FF808080"/>
        <rFont val="DejaVu Sans"/>
        <family val="2"/>
      </rPr>
      <t xml:space="preserve">首页【报价汇总】只填：产品信息、成品尺寸与单台净重、每箱件数、是否带散热器、是否带组装结构、是否含整托、物流产品、目的地、每票件数。包装费、装配费与运费全部自动算。黄色底</t>
    </r>
    <r>
      <rPr>
        <i val="true"/>
        <sz val="10"/>
        <color rgb="FF808080"/>
        <rFont val="DejaVu Sans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必填待填，填完后自动变绿。</t>
    </r>
  </si>
  <si>
    <t xml:space="preserve">包装费</t>
  </si>
  <si>
    <r>
      <rPr>
        <i val="true"/>
        <sz val="10"/>
        <color rgb="FF808080"/>
        <rFont val="DejaVu Sans"/>
        <family val="2"/>
      </rPr>
      <t xml:space="preserve">首页【报价汇总】分别填写【是否带散热器】与【是否带组装结构】：任一为「是」→大板（</t>
    </r>
    <r>
      <rPr>
        <i val="true"/>
        <sz val="10"/>
        <color rgb="FF808080"/>
        <rFont val="DejaVu Sans"/>
        <family val="2"/>
        <charset val="1"/>
      </rPr>
      <t xml:space="preserve">EPE</t>
    </r>
    <r>
      <rPr>
        <i val="true"/>
        <sz val="10"/>
        <color rgb="FF808080"/>
        <rFont val="DejaVu Sans"/>
        <family val="2"/>
      </rPr>
      <t xml:space="preserve">上下垫片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四角护角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纸箱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托盘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缠绕膜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打包带）；两项均为「否」→小板（防静电气泡袋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隔板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纸箱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护角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托盘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缠绕膜）。如有组装结构，填写装配节拍</t>
    </r>
    <r>
      <rPr>
        <i val="true"/>
        <sz val="10"/>
        <color rgb="FF808080"/>
        <rFont val="DejaVu Sans"/>
        <family val="2"/>
        <charset val="1"/>
      </rPr>
      <t xml:space="preserve">(</t>
    </r>
    <r>
      <rPr>
        <i val="true"/>
        <sz val="10"/>
        <color rgb="FF808080"/>
        <rFont val="DejaVu Sans"/>
        <family val="2"/>
      </rPr>
      <t xml:space="preserve">秒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台</t>
    </r>
    <r>
      <rPr>
        <i val="true"/>
        <sz val="10"/>
        <color rgb="FF808080"/>
        <rFont val="DejaVu Sans"/>
        <family val="2"/>
        <charset val="1"/>
      </rPr>
      <t xml:space="preserve">)</t>
    </r>
    <r>
      <rPr>
        <i val="true"/>
        <sz val="10"/>
        <color rgb="FF808080"/>
        <rFont val="DejaVu Sans"/>
        <family val="2"/>
      </rPr>
      <t xml:space="preserve">和工时费，装配费</t>
    </r>
    <r>
      <rPr>
        <i val="true"/>
        <sz val="10"/>
        <color rgb="FF808080"/>
        <rFont val="DejaVu Sans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节拍</t>
    </r>
    <r>
      <rPr>
        <i val="true"/>
        <sz val="10"/>
        <color rgb="FF808080"/>
        <rFont val="DejaVu Sans"/>
        <family val="2"/>
        <charset val="1"/>
      </rPr>
      <t xml:space="preserve">÷3600×</t>
    </r>
    <r>
      <rPr>
        <i val="true"/>
        <sz val="10"/>
        <color rgb="FF808080"/>
        <rFont val="DejaVu Sans"/>
        <family val="2"/>
      </rPr>
      <t xml:space="preserve">工时费。单价与系数在《参数》页改。</t>
    </r>
  </si>
  <si>
    <t xml:space="preserve">运费</t>
  </si>
  <si>
    <r>
      <rPr>
        <i val="true"/>
        <sz val="10"/>
        <color rgb="FF808080"/>
        <rFont val="DejaVu Sans"/>
        <family val="2"/>
      </rPr>
      <t xml:space="preserve">依据《跨越费率》（源自青岛国创</t>
    </r>
    <r>
      <rPr>
        <i val="true"/>
        <sz val="10"/>
        <color rgb="FF808080"/>
        <rFont val="DejaVu Sans"/>
        <family val="2"/>
        <charset val="1"/>
      </rPr>
      <t xml:space="preserve">VIP</t>
    </r>
    <r>
      <rPr>
        <i val="true"/>
        <sz val="10"/>
        <color rgb="FF808080"/>
        <rFont val="DejaVu Sans"/>
        <family val="2"/>
      </rPr>
      <t xml:space="preserve">报价表）按 实重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体积重取大→起重→分段单价 计算单票运费，再摊到单件。目的地在首页下拉选择，产品可选次日达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特惠普运。</t>
    </r>
  </si>
  <si>
    <r>
      <rPr>
        <b val="true"/>
        <sz val="10"/>
        <color rgb="FF000000"/>
        <rFont val="DejaVu Sans"/>
        <family val="2"/>
      </rPr>
      <t xml:space="preserve">物料明细</t>
    </r>
    <r>
      <rPr>
        <b val="true"/>
        <sz val="10"/>
        <color rgb="FF000000"/>
        <rFont val="DejaVu Sans"/>
        <family val="2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制费明细</t>
    </r>
  </si>
  <si>
    <r>
      <rPr>
        <i val="true"/>
        <sz val="10"/>
        <color rgb="FF808080"/>
        <rFont val="DejaVu Sans"/>
        <family val="2"/>
      </rPr>
      <t xml:space="preserve">沿用原模板，硬件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结构件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辅助材料与加工费、工装分摊在此填写。</t>
    </r>
  </si>
  <si>
    <t xml:space="preserve">成本与报价</t>
  </si>
  <si>
    <r>
      <rPr>
        <i val="true"/>
        <sz val="10"/>
        <color rgb="FF808080"/>
        <rFont val="DejaVu Sans"/>
        <family val="2"/>
      </rPr>
      <t xml:space="preserve">总成本</t>
    </r>
    <r>
      <rPr>
        <i val="true"/>
        <sz val="10"/>
        <color rgb="FF808080"/>
        <rFont val="DejaVu Sans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材料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加工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工装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包装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运费</t>
    </r>
    <r>
      <rPr>
        <i val="true"/>
        <sz val="10"/>
        <color rgb="FF808080"/>
        <rFont val="DejaVu Sans"/>
        <family val="2"/>
        <charset val="1"/>
      </rPr>
      <t xml:space="preserve">+</t>
    </r>
    <r>
      <rPr>
        <i val="true"/>
        <sz val="10"/>
        <color rgb="FF808080"/>
        <rFont val="DejaVu Sans"/>
        <family val="2"/>
      </rPr>
      <t xml:space="preserve">利润；建议报价</t>
    </r>
    <r>
      <rPr>
        <i val="true"/>
        <sz val="10"/>
        <color rgb="FF808080"/>
        <rFont val="DejaVu Sans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总成本</t>
    </r>
    <r>
      <rPr>
        <i val="true"/>
        <sz val="10"/>
        <color rgb="FF808080"/>
        <rFont val="DejaVu Sans"/>
        <family val="2"/>
        <charset val="1"/>
      </rPr>
      <t xml:space="preserve">/(1-</t>
    </r>
    <r>
      <rPr>
        <i val="true"/>
        <sz val="10"/>
        <color rgb="FF808080"/>
        <rFont val="DejaVu Sans"/>
        <family val="2"/>
      </rPr>
      <t xml:space="preserve">目标毛利率</t>
    </r>
    <r>
      <rPr>
        <i val="true"/>
        <sz val="10"/>
        <color rgb="FF808080"/>
        <rFont val="DejaVu Sans"/>
        <family val="2"/>
        <charset val="1"/>
      </rPr>
      <t xml:space="preserve">)</t>
    </r>
    <r>
      <rPr>
        <i val="true"/>
        <sz val="10"/>
        <color rgb="FF808080"/>
        <rFont val="DejaVu Sans"/>
        <family val="2"/>
      </rPr>
      <t xml:space="preserve">。毛利率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税率在《参数》页改。</t>
    </r>
  </si>
  <si>
    <t xml:space="preserve">注意</t>
  </si>
  <si>
    <t xml:space="preserve">跨越费率为参考价，可在《跨越费率》页直接改；金额默认不含税；包装费按方案清单自动算。</t>
  </si>
  <si>
    <r>
      <rPr>
        <sz val="10"/>
        <color rgb="FF000000"/>
        <rFont val="DejaVu Sans"/>
        <family val="2"/>
      </rPr>
      <t xml:space="preserve">制费明细：</t>
    </r>
    <r>
      <rPr>
        <sz val="10"/>
        <color rgb="FF000000"/>
        <rFont val="DejaVu Sans"/>
        <family val="2"/>
        <charset val="1"/>
      </rPr>
      <t xml:space="preserve">P01~P07</t>
    </r>
    <r>
      <rPr>
        <sz val="10"/>
        <color rgb="FF000000"/>
        <rFont val="DejaVu Sans"/>
        <family val="2"/>
      </rPr>
      <t xml:space="preserve">工程报价表格式，蓝色单元格按项目填写（元件个数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工序个数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用量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张数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预计订单数），默认预填</t>
    </r>
    <r>
      <rPr>
        <sz val="10"/>
        <color rgb="FF000000"/>
        <rFont val="DejaVu Sans"/>
        <family val="2"/>
        <charset val="1"/>
      </rPr>
      <t xml:space="preserve">003</t>
    </r>
    <r>
      <rPr>
        <sz val="10"/>
        <color rgb="FF000000"/>
        <rFont val="DejaVu Sans"/>
        <family val="2"/>
      </rPr>
      <t xml:space="preserve">小板参考数据；辅料与</t>
    </r>
    <r>
      <rPr>
        <sz val="10"/>
        <color rgb="FF000000"/>
        <rFont val="DejaVu Sans"/>
        <family val="2"/>
        <charset val="1"/>
      </rPr>
      <t xml:space="preserve">BOM</t>
    </r>
    <r>
      <rPr>
        <sz val="10"/>
        <color rgb="FF000000"/>
        <rFont val="DejaVu Sans"/>
        <family val="2"/>
      </rPr>
      <t xml:space="preserve">辅助材料二选一，避免重复计费。</t>
    </r>
  </si>
  <si>
    <r>
      <rPr>
        <sz val="10"/>
        <color rgb="FF000000"/>
        <rFont val="DejaVu Sans"/>
        <family val="2"/>
      </rPr>
      <t xml:space="preserve">• 商空大功率驱动板套表：物料明细已导入 硬件</t>
    </r>
    <r>
      <rPr>
        <sz val="10"/>
        <color rgb="FF000000"/>
        <rFont val="DejaVu Sans"/>
        <family val="2"/>
        <charset val="1"/>
      </rPr>
      <t xml:space="preserve">272/</t>
    </r>
    <r>
      <rPr>
        <sz val="10"/>
        <color rgb="FF000000"/>
        <rFont val="DejaVu Sans"/>
        <family val="2"/>
      </rPr>
      <t xml:space="preserve">结构件</t>
    </r>
    <r>
      <rPr>
        <sz val="10"/>
        <color rgb="FF000000"/>
        <rFont val="DejaVu Sans"/>
        <family val="2"/>
        <charset val="1"/>
      </rPr>
      <t xml:space="preserve">32/</t>
    </r>
    <r>
      <rPr>
        <sz val="10"/>
        <color rgb="FF000000"/>
        <rFont val="DejaVu Sans"/>
        <family val="2"/>
      </rPr>
      <t xml:space="preserve">散热器</t>
    </r>
    <r>
      <rPr>
        <sz val="10"/>
        <color rgb="FF000000"/>
        <rFont val="DejaVu Sans"/>
        <family val="2"/>
        <charset val="1"/>
      </rPr>
      <t xml:space="preserve">1/</t>
    </r>
    <r>
      <rPr>
        <sz val="10"/>
        <color rgb="FF000000"/>
        <rFont val="DejaVu Sans"/>
        <family val="2"/>
      </rPr>
      <t xml:space="preserve">包装</t>
    </r>
    <r>
      <rPr>
        <sz val="10"/>
        <color rgb="FF000000"/>
        <rFont val="DejaVu Sans"/>
        <family val="2"/>
        <charset val="1"/>
      </rPr>
      <t xml:space="preserve">8/</t>
    </r>
    <r>
      <rPr>
        <sz val="10"/>
        <color rgb="FF000000"/>
        <rFont val="DejaVu Sans"/>
        <family val="2"/>
      </rPr>
      <t xml:space="preserve">辅料</t>
    </r>
    <r>
      <rPr>
        <sz val="10"/>
        <color rgb="FF000000"/>
        <rFont val="DejaVu Sans"/>
        <family val="2"/>
        <charset val="1"/>
      </rPr>
      <t xml:space="preserve">16/</t>
    </r>
    <r>
      <rPr>
        <sz val="10"/>
        <color rgb="FF000000"/>
        <rFont val="DejaVu Sans"/>
        <family val="2"/>
      </rPr>
      <t xml:space="preserve">客供料</t>
    </r>
    <r>
      <rPr>
        <sz val="10"/>
        <color rgb="FF000000"/>
        <rFont val="DejaVu Sans"/>
        <family val="2"/>
        <charset val="1"/>
      </rPr>
      <t xml:space="preserve">8 </t>
    </r>
    <r>
      <rPr>
        <sz val="10"/>
        <color rgb="FF000000"/>
        <rFont val="DejaVu Sans"/>
        <family val="2"/>
      </rPr>
      <t xml:space="preserve">共</t>
    </r>
    <r>
      <rPr>
        <sz val="10"/>
        <color rgb="FF000000"/>
        <rFont val="DejaVu Sans"/>
        <family val="2"/>
        <charset val="1"/>
      </rPr>
      <t xml:space="preserve">337</t>
    </r>
    <r>
      <rPr>
        <sz val="10"/>
        <color rgb="FF000000"/>
        <rFont val="DejaVu Sans"/>
        <family val="2"/>
      </rPr>
      <t xml:space="preserve">行；损耗率留空使金额</t>
    </r>
    <r>
      <rPr>
        <sz val="10"/>
        <color rgb="FF000000"/>
        <rFont val="DejaVu Sans"/>
        <family val="2"/>
        <charset val="1"/>
      </rPr>
      <t xml:space="preserve">=</t>
    </r>
    <r>
      <rPr>
        <sz val="10"/>
        <color rgb="FF000000"/>
        <rFont val="DejaVu Sans"/>
        <family val="2"/>
      </rPr>
      <t xml:space="preserve">用量</t>
    </r>
    <r>
      <rPr>
        <sz val="10"/>
        <color rgb="FF000000"/>
        <rFont val="DejaVu Sans"/>
        <family val="2"/>
        <charset val="1"/>
      </rPr>
      <t xml:space="preserve">×</t>
    </r>
    <r>
      <rPr>
        <sz val="10"/>
        <color rgb="FF000000"/>
        <rFont val="DejaVu Sans"/>
        <family val="2"/>
      </rPr>
      <t xml:space="preserve">单价，与源表精确对账（硬件</t>
    </r>
    <r>
      <rPr>
        <sz val="10"/>
        <color rgb="FF000000"/>
        <rFont val="DejaVu Sans"/>
        <family val="2"/>
        <charset val="1"/>
      </rPr>
      <t xml:space="preserve">358.4632/</t>
    </r>
    <r>
      <rPr>
        <sz val="10"/>
        <color rgb="FF000000"/>
        <rFont val="DejaVu Sans"/>
        <family val="2"/>
      </rPr>
      <t xml:space="preserve">结构</t>
    </r>
    <r>
      <rPr>
        <sz val="10"/>
        <color rgb="FF000000"/>
        <rFont val="DejaVu Sans"/>
        <family val="2"/>
        <charset val="1"/>
      </rPr>
      <t xml:space="preserve">416.4798/</t>
    </r>
    <r>
      <rPr>
        <sz val="10"/>
        <color rgb="FF000000"/>
        <rFont val="DejaVu Sans"/>
        <family val="2"/>
      </rPr>
      <t xml:space="preserve">包装</t>
    </r>
    <r>
      <rPr>
        <sz val="10"/>
        <color rgb="FF000000"/>
        <rFont val="DejaVu Sans"/>
        <family val="2"/>
        <charset val="1"/>
      </rPr>
      <t xml:space="preserve">63.7765/</t>
    </r>
    <r>
      <rPr>
        <sz val="10"/>
        <color rgb="FF000000"/>
        <rFont val="DejaVu Sans"/>
        <family val="2"/>
      </rPr>
      <t xml:space="preserve">辅料</t>
    </r>
    <r>
      <rPr>
        <sz val="10"/>
        <color rgb="FF000000"/>
        <rFont val="DejaVu Sans"/>
        <family val="2"/>
        <charset val="1"/>
      </rPr>
      <t xml:space="preserve">37.9431</t>
    </r>
    <r>
      <rPr>
        <sz val="10"/>
        <color rgb="FF000000"/>
        <rFont val="DejaVu Sans"/>
        <family val="2"/>
      </rPr>
      <t xml:space="preserve">）。</t>
    </r>
  </si>
  <si>
    <r>
      <rPr>
        <sz val="10"/>
        <color rgb="FF000000"/>
        <rFont val="DejaVu Sans"/>
        <family val="2"/>
      </rPr>
      <t xml:space="preserve">• 加工成本明细：综合口径</t>
    </r>
    <r>
      <rPr>
        <sz val="10"/>
        <color rgb="FF000000"/>
        <rFont val="DejaVu Sans"/>
        <family val="2"/>
        <charset val="1"/>
      </rPr>
      <t xml:space="preserve">13</t>
    </r>
    <r>
      <rPr>
        <sz val="10"/>
        <color rgb="FF000000"/>
        <rFont val="DejaVu Sans"/>
        <family val="2"/>
      </rPr>
      <t xml:space="preserve">项构成→</t>
    </r>
    <r>
      <rPr>
        <sz val="10"/>
        <color rgb="FF000000"/>
        <rFont val="DejaVu Sans"/>
        <family val="2"/>
        <charset val="1"/>
      </rPr>
      <t xml:space="preserve">126.4283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台（含人工</t>
    </r>
    <r>
      <rPr>
        <sz val="10"/>
        <color rgb="FF000000"/>
        <rFont val="DejaVu Sans"/>
        <family val="2"/>
        <charset val="1"/>
      </rPr>
      <t xml:space="preserve">82.0882+SMT/</t>
    </r>
    <r>
      <rPr>
        <sz val="10"/>
        <color rgb="FF000000"/>
        <rFont val="DejaVu Sans"/>
        <family val="2"/>
      </rPr>
      <t xml:space="preserve">机插</t>
    </r>
    <r>
      <rPr>
        <sz val="10"/>
        <color rgb="FF000000"/>
        <rFont val="DejaVu Sans"/>
        <family val="2"/>
        <charset val="1"/>
      </rPr>
      <t xml:space="preserve">+</t>
    </r>
    <r>
      <rPr>
        <sz val="10"/>
        <color rgb="FF000000"/>
        <rFont val="DejaVu Sans"/>
        <family val="2"/>
      </rPr>
      <t xml:space="preserve">折旧</t>
    </r>
    <r>
      <rPr>
        <sz val="10"/>
        <color rgb="FF000000"/>
        <rFont val="DejaVu Sans"/>
        <family val="2"/>
        <charset val="1"/>
      </rPr>
      <t xml:space="preserve">+</t>
    </r>
    <r>
      <rPr>
        <sz val="10"/>
        <color rgb="FF000000"/>
        <rFont val="DejaVu Sans"/>
        <family val="2"/>
      </rPr>
      <t xml:space="preserve">水电</t>
    </r>
    <r>
      <rPr>
        <sz val="10"/>
        <color rgb="FF000000"/>
        <rFont val="DejaVu Sans"/>
        <family val="2"/>
        <charset val="1"/>
      </rPr>
      <t xml:space="preserve">+</t>
    </r>
    <r>
      <rPr>
        <sz val="10"/>
        <color rgb="FF000000"/>
        <rFont val="DejaVu Sans"/>
        <family val="2"/>
      </rPr>
      <t xml:space="preserve">管理），附</t>
    </r>
    <r>
      <rPr>
        <sz val="10"/>
        <color rgb="FF000000"/>
        <rFont val="DejaVu Sans"/>
        <family val="2"/>
        <charset val="1"/>
      </rPr>
      <t xml:space="preserve">52</t>
    </r>
    <r>
      <rPr>
        <sz val="10"/>
        <color rgb="FF000000"/>
        <rFont val="DejaVu Sans"/>
        <family val="2"/>
      </rPr>
      <t xml:space="preserve">行人工工时定额、</t>
    </r>
    <r>
      <rPr>
        <sz val="10"/>
        <color rgb="FF000000"/>
        <rFont val="DejaVu Sans"/>
        <family val="2"/>
        <charset val="1"/>
      </rPr>
      <t xml:space="preserve">16</t>
    </r>
    <r>
      <rPr>
        <sz val="10"/>
        <color rgb="FF000000"/>
        <rFont val="DejaVu Sans"/>
        <family val="2"/>
      </rPr>
      <t xml:space="preserve">行工装治具明细；报价汇总「加工成本」直接引用其合计。</t>
    </r>
  </si>
  <si>
    <r>
      <rPr>
        <sz val="10"/>
        <color rgb="FF000000"/>
        <rFont val="DejaVu Sans"/>
        <family val="2"/>
      </rPr>
      <t xml:space="preserve">• 散热器：源表未含，按</t>
    </r>
    <r>
      <rPr>
        <sz val="10"/>
        <color rgb="FF000000"/>
        <rFont val="DejaVu Sans"/>
        <family val="2"/>
        <charset val="1"/>
      </rPr>
      <t xml:space="preserve">68</t>
    </r>
    <r>
      <rPr>
        <sz val="10"/>
        <color rgb="FF000000"/>
        <rFont val="DejaVu Sans"/>
        <family val="2"/>
      </rPr>
      <t xml:space="preserve">元未税单列（参数</t>
    </r>
    <r>
      <rPr>
        <sz val="10"/>
        <color rgb="FF000000"/>
        <rFont val="DejaVu Sans"/>
        <family val="2"/>
        <charset val="1"/>
      </rPr>
      <t xml:space="preserve">B49</t>
    </r>
    <r>
      <rPr>
        <sz val="10"/>
        <color rgb="FF000000"/>
        <rFont val="DejaVu Sans"/>
        <family val="2"/>
      </rPr>
      <t xml:space="preserve">），物料明细分类「散热器」，报价汇总独立成本行。</t>
    </r>
  </si>
  <si>
    <r>
      <rPr>
        <sz val="10"/>
        <color rgb="FF000000"/>
        <rFont val="DejaVu Sans"/>
        <family val="2"/>
      </rPr>
      <t xml:space="preserve">• 一次性费用：工装</t>
    </r>
    <r>
      <rPr>
        <sz val="10"/>
        <color rgb="FF000000"/>
        <rFont val="DejaVu Sans"/>
        <family val="2"/>
        <charset val="1"/>
      </rPr>
      <t xml:space="preserve">48700+EPS</t>
    </r>
    <r>
      <rPr>
        <sz val="10"/>
        <color rgb="FF000000"/>
        <rFont val="DejaVu Sans"/>
        <family val="2"/>
      </rPr>
      <t xml:space="preserve">泡沫模具</t>
    </r>
    <r>
      <rPr>
        <sz val="10"/>
        <color rgb="FF000000"/>
        <rFont val="DejaVu Sans"/>
        <family val="2"/>
        <charset val="1"/>
      </rPr>
      <t xml:space="preserve">29499.115=78199.115</t>
    </r>
    <r>
      <rPr>
        <sz val="10"/>
        <color rgb="FF000000"/>
        <rFont val="DejaVu Sans"/>
        <family val="2"/>
      </rPr>
      <t xml:space="preserve">元，直接向客户收取，不计入单台成本（报价汇总六）。</t>
    </r>
  </si>
  <si>
    <r>
      <rPr>
        <sz val="10"/>
        <color rgb="FF000000"/>
        <rFont val="DejaVu Sans"/>
        <family val="2"/>
      </rPr>
      <t xml:space="preserve">• 运费：目的地填「青岛市」时跨越费率未覆盖山东→自动按运费率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参数</t>
    </r>
    <r>
      <rPr>
        <sz val="10"/>
        <color rgb="FF000000"/>
        <rFont val="DejaVu Sans"/>
        <family val="2"/>
        <charset val="1"/>
      </rPr>
      <t xml:space="preserve">B51=1.16%)</t>
    </r>
    <r>
      <rPr>
        <sz val="10"/>
        <color rgb="FF000000"/>
        <rFont val="DejaVu Sans"/>
        <family val="2"/>
      </rPr>
      <t xml:space="preserve">回退估算；覆盖城市则用跨越费率精算。毛利率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参数</t>
    </r>
    <r>
      <rPr>
        <sz val="10"/>
        <color rgb="FF000000"/>
        <rFont val="DejaVu Sans"/>
        <family val="2"/>
        <charset val="1"/>
      </rPr>
      <t xml:space="preserve">B4)</t>
    </r>
    <r>
      <rPr>
        <sz val="10"/>
        <color rgb="FF000000"/>
        <rFont val="DejaVu Sans"/>
        <family val="2"/>
      </rPr>
      <t xml:space="preserve">已对齐源表</t>
    </r>
    <r>
      <rPr>
        <sz val="10"/>
        <color rgb="FF000000"/>
        <rFont val="DejaVu Sans"/>
        <family val="2"/>
        <charset val="1"/>
      </rPr>
      <t xml:space="preserve">0.3</t>
    </r>
    <r>
      <rPr>
        <sz val="10"/>
        <color rgb="FF000000"/>
        <rFont val="DejaVu Sans"/>
        <family val="2"/>
      </rPr>
      <t xml:space="preserve">。</t>
    </r>
  </si>
  <si>
    <r>
      <rPr>
        <sz val="10"/>
        <color rgb="FF000000"/>
        <rFont val="DejaVu Sans"/>
        <family val="2"/>
      </rPr>
      <t xml:space="preserve">• 制费明细</t>
    </r>
    <r>
      <rPr>
        <sz val="10"/>
        <color rgb="FF000000"/>
        <rFont val="DejaVu Sans"/>
        <family val="2"/>
        <charset val="1"/>
      </rPr>
      <t xml:space="preserve">P01~P07</t>
    </r>
    <r>
      <rPr>
        <sz val="10"/>
        <color rgb="FF000000"/>
        <rFont val="DejaVu Sans"/>
        <family val="2"/>
      </rPr>
      <t xml:space="preserve">为自下而上工序估算工具（商空项目已置</t>
    </r>
    <r>
      <rPr>
        <sz val="10"/>
        <color rgb="FF000000"/>
        <rFont val="DejaVu Sans"/>
        <family val="2"/>
        <charset val="1"/>
      </rPr>
      <t xml:space="preserve">0</t>
    </r>
    <r>
      <rPr>
        <sz val="10"/>
        <color rgb="FF000000"/>
        <rFont val="DejaVu Sans"/>
        <family val="2"/>
      </rPr>
      <t xml:space="preserve">辅料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工装避免重复）；商空加工成本以「加工成本明细」综合表为准。</t>
    </r>
  </si>
  <si>
    <r>
      <rPr>
        <sz val="10"/>
        <color rgb="FF000000"/>
        <rFont val="DejaVu Sans"/>
        <family val="2"/>
      </rPr>
      <t xml:space="preserve">• 风险检查（报价汇总七）：客供料清单</t>
    </r>
    <r>
      <rPr>
        <sz val="10"/>
        <color rgb="FF000000"/>
        <rFont val="微软雅黑"/>
        <family val="0"/>
        <charset val="1"/>
      </rPr>
      <t xml:space="preserve">8</t>
    </r>
    <r>
      <rPr>
        <sz val="10"/>
        <color rgb="FF000000"/>
        <rFont val="DejaVu Sans"/>
        <family val="2"/>
      </rPr>
      <t xml:space="preserve">项与硬件</t>
    </r>
    <r>
      <rPr>
        <sz val="10"/>
        <color rgb="FF000000"/>
        <rFont val="微软雅黑"/>
        <family val="0"/>
        <charset val="1"/>
      </rPr>
      <t xml:space="preserve">BOM</t>
    </r>
    <r>
      <rPr>
        <sz val="10"/>
        <color rgb="FF000000"/>
        <rFont val="DejaVu Sans"/>
        <family val="2"/>
      </rPr>
      <t xml:space="preserve">内</t>
    </r>
    <r>
      <rPr>
        <sz val="10"/>
        <color rgb="FF000000"/>
        <rFont val="微软雅黑"/>
        <family val="0"/>
        <charset val="1"/>
      </rPr>
      <t xml:space="preserve">8</t>
    </r>
    <r>
      <rPr>
        <sz val="10"/>
        <color rgb="FF000000"/>
        <rFont val="DejaVu Sans"/>
        <family val="2"/>
      </rPr>
      <t xml:space="preserve">项单价</t>
    </r>
    <r>
      <rPr>
        <sz val="10"/>
        <color rgb="FF000000"/>
        <rFont val="微软雅黑"/>
        <family val="0"/>
        <charset val="1"/>
      </rPr>
      <t xml:space="preserve">0</t>
    </r>
    <r>
      <rPr>
        <sz val="10"/>
        <color rgb="FF000000"/>
        <rFont val="DejaVu Sans"/>
        <family val="2"/>
      </rPr>
      <t xml:space="preserve">的客供标记一一对应，均不计入成本；未报价物料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非客供</t>
    </r>
    <r>
      <rPr>
        <sz val="10"/>
        <color rgb="FF000000"/>
        <rFont val="微软雅黑"/>
        <family val="0"/>
        <charset val="1"/>
      </rPr>
      <t xml:space="preserve">)</t>
    </r>
    <r>
      <rPr>
        <sz val="10"/>
        <color rgb="FF000000"/>
        <rFont val="DejaVu Sans"/>
        <family val="2"/>
      </rPr>
      <t xml:space="preserve">应为</t>
    </r>
    <r>
      <rPr>
        <sz val="10"/>
        <color rgb="FF000000"/>
        <rFont val="微软雅黑"/>
        <family val="0"/>
        <charset val="1"/>
      </rPr>
      <t xml:space="preserve">0</t>
    </r>
    <r>
      <rPr>
        <sz val="10"/>
        <color rgb="FF000000"/>
        <rFont val="DejaVu Sans"/>
        <family val="2"/>
      </rPr>
      <t xml:space="preserve">。客供料参考金额按用量</t>
    </r>
    <r>
      <rPr>
        <sz val="10"/>
        <color rgb="FF000000"/>
        <rFont val="微软雅黑"/>
        <family val="0"/>
        <charset val="1"/>
      </rPr>
      <t xml:space="preserve">×</t>
    </r>
    <r>
      <rPr>
        <sz val="10"/>
        <color rgb="FF000000"/>
        <rFont val="DejaVu Sans"/>
        <family val="2"/>
      </rPr>
      <t xml:space="preserve">单价</t>
    </r>
    <r>
      <rPr>
        <sz val="10"/>
        <color rgb="FF000000"/>
        <rFont val="微软雅黑"/>
        <family val="0"/>
        <charset val="1"/>
      </rPr>
      <t xml:space="preserve">=565.138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台，源表合计</t>
    </r>
    <r>
      <rPr>
        <sz val="10"/>
        <color rgb="FF000000"/>
        <rFont val="微软雅黑"/>
        <family val="0"/>
        <charset val="1"/>
      </rPr>
      <t xml:space="preserve">554.3197</t>
    </r>
    <r>
      <rPr>
        <sz val="10"/>
        <color rgb="FF000000"/>
        <rFont val="DejaVu Sans"/>
        <family val="2"/>
      </rPr>
      <t xml:space="preserve">（源表口径差</t>
    </r>
    <r>
      <rPr>
        <sz val="10"/>
        <color rgb="FF000000"/>
        <rFont val="微软雅黑"/>
        <family val="0"/>
        <charset val="1"/>
      </rPr>
      <t xml:space="preserve">10.82</t>
    </r>
    <r>
      <rPr>
        <sz val="10"/>
        <color rgb="FF000000"/>
        <rFont val="DejaVu Sans"/>
        <family val="2"/>
      </rPr>
      <t xml:space="preserve">，不影响报价）。</t>
    </r>
  </si>
  <si>
    <r>
      <rPr>
        <sz val="10"/>
        <color rgb="FF000000"/>
        <rFont val="DejaVu Sans"/>
        <family val="2"/>
      </rPr>
      <t xml:space="preserve">• 包装费双口径：报价汇总取包装</t>
    </r>
    <r>
      <rPr>
        <sz val="10"/>
        <color rgb="FF000000"/>
        <rFont val="微软雅黑"/>
        <family val="0"/>
        <charset val="1"/>
      </rPr>
      <t xml:space="preserve">BOM</t>
    </r>
    <r>
      <rPr>
        <sz val="10"/>
        <color rgb="FF000000"/>
        <rFont val="DejaVu Sans"/>
        <family val="2"/>
      </rPr>
      <t xml:space="preserve">实际</t>
    </r>
    <r>
      <rPr>
        <sz val="10"/>
        <color rgb="FF000000"/>
        <rFont val="微软雅黑"/>
        <family val="0"/>
        <charset val="1"/>
      </rPr>
      <t xml:space="preserve">63.7765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台；包装计算表按几何模型估算约</t>
    </r>
    <r>
      <rPr>
        <sz val="10"/>
        <color rgb="FF000000"/>
        <rFont val="微软雅黑"/>
        <family val="0"/>
        <charset val="1"/>
      </rPr>
      <t xml:space="preserve">43.67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件，两者互为校验，</t>
    </r>
    <r>
      <rPr>
        <sz val="10"/>
        <color rgb="FF000000"/>
        <rFont val="微软雅黑"/>
        <family val="0"/>
        <charset val="1"/>
      </rPr>
      <t xml:space="preserve">BOM</t>
    </r>
    <r>
      <rPr>
        <sz val="10"/>
        <color rgb="FF000000"/>
        <rFont val="DejaVu Sans"/>
        <family val="2"/>
      </rPr>
      <t xml:space="preserve">优先。</t>
    </r>
    <r>
      <rPr>
        <sz val="10"/>
        <color rgb="FF000000"/>
        <rFont val="微软雅黑"/>
        <family val="0"/>
        <charset val="1"/>
      </rPr>
      <t xml:space="preserve">EPS</t>
    </r>
    <r>
      <rPr>
        <sz val="10"/>
        <color rgb="FF000000"/>
        <rFont val="DejaVu Sans"/>
        <family val="2"/>
      </rPr>
      <t xml:space="preserve">泡沫模具</t>
    </r>
    <r>
      <rPr>
        <sz val="10"/>
        <color rgb="FF000000"/>
        <rFont val="微软雅黑"/>
        <family val="0"/>
        <charset val="1"/>
      </rPr>
      <t xml:space="preserve">16667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×2</t>
    </r>
    <r>
      <rPr>
        <sz val="10"/>
        <color rgb="FF000000"/>
        <rFont val="DejaVu Sans"/>
        <family val="2"/>
      </rPr>
      <t xml:space="preserve">已列入一次性费用。</t>
    </r>
  </si>
  <si>
    <r>
      <rPr>
        <sz val="10"/>
        <color rgb="FF000000"/>
        <rFont val="DejaVu Sans"/>
        <family val="2"/>
      </rPr>
      <t xml:space="preserve">• 成本差异</t>
    </r>
    <r>
      <rPr>
        <sz val="10"/>
        <color rgb="FF000000"/>
        <rFont val="微软雅黑"/>
        <family val="0"/>
        <charset val="1"/>
      </rPr>
      <t xml:space="preserve">1.35%(</t>
    </r>
    <r>
      <rPr>
        <sz val="10"/>
        <color rgb="FF000000"/>
        <rFont val="DejaVu Sans"/>
        <family val="2"/>
      </rPr>
      <t xml:space="preserve">参数</t>
    </r>
    <r>
      <rPr>
        <sz val="10"/>
        <color rgb="FF000000"/>
        <rFont val="微软雅黑"/>
        <family val="0"/>
        <charset val="1"/>
      </rPr>
      <t xml:space="preserve">B50)</t>
    </r>
    <r>
      <rPr>
        <sz val="10"/>
        <color rgb="FF000000"/>
        <rFont val="DejaVu Sans"/>
        <family val="2"/>
      </rPr>
      <t xml:space="preserve">与运费率</t>
    </r>
    <r>
      <rPr>
        <sz val="10"/>
        <color rgb="FF000000"/>
        <rFont val="微软雅黑"/>
        <family val="0"/>
        <charset val="1"/>
      </rPr>
      <t xml:space="preserve">1.16%(</t>
    </r>
    <r>
      <rPr>
        <sz val="10"/>
        <color rgb="FF000000"/>
        <rFont val="DejaVu Sans"/>
        <family val="2"/>
      </rPr>
      <t xml:space="preserve">参数</t>
    </r>
    <r>
      <rPr>
        <sz val="10"/>
        <color rgb="FF000000"/>
        <rFont val="微软雅黑"/>
        <family val="0"/>
        <charset val="1"/>
      </rPr>
      <t xml:space="preserve">B51)</t>
    </r>
    <r>
      <rPr>
        <sz val="10"/>
        <color rgb="FF000000"/>
        <rFont val="DejaVu Sans"/>
        <family val="2"/>
      </rPr>
      <t xml:space="preserve">均取自源表比例；小计含散热器</t>
    </r>
    <r>
      <rPr>
        <sz val="10"/>
        <color rgb="FF000000"/>
        <rFont val="微软雅黑"/>
        <family val="0"/>
        <charset val="1"/>
      </rPr>
      <t xml:space="preserve">68</t>
    </r>
    <r>
      <rPr>
        <sz val="10"/>
        <color rgb="FF000000"/>
        <rFont val="DejaVu Sans"/>
        <family val="2"/>
      </rPr>
      <t xml:space="preserve">元后，成本差异与运费随之联动放大，符合</t>
    </r>
    <r>
      <rPr>
        <sz val="10"/>
        <color rgb="FF000000"/>
        <rFont val="微软雅黑"/>
        <family val="0"/>
        <charset val="1"/>
      </rPr>
      <t xml:space="preserve">"</t>
    </r>
    <r>
      <rPr>
        <sz val="10"/>
        <color rgb="FF000000"/>
        <rFont val="DejaVu Sans"/>
        <family val="2"/>
      </rPr>
      <t xml:space="preserve">全部成本因素入表</t>
    </r>
    <r>
      <rPr>
        <sz val="10"/>
        <color rgb="FF000000"/>
        <rFont val="微软雅黑"/>
        <family val="0"/>
        <charset val="1"/>
      </rPr>
      <t xml:space="preserve">"</t>
    </r>
    <r>
      <rPr>
        <sz val="10"/>
        <color rgb="FF000000"/>
        <rFont val="DejaVu Sans"/>
        <family val="2"/>
      </rPr>
      <t xml:space="preserve">的口径。</t>
    </r>
  </si>
  <si>
    <r>
      <rPr>
        <b val="true"/>
        <sz val="12"/>
        <color rgb="FFFFFFFF"/>
        <rFont val="DejaVu Sans"/>
        <family val="2"/>
      </rPr>
      <t xml:space="preserve">产品成本测算报价表（包装费 </t>
    </r>
    <r>
      <rPr>
        <b val="true"/>
        <sz val="12"/>
        <color rgb="FFFFFFFF"/>
        <rFont val="DejaVu Sans"/>
        <family val="2"/>
        <charset val="1"/>
      </rPr>
      <t xml:space="preserve">+ </t>
    </r>
    <r>
      <rPr>
        <b val="true"/>
        <sz val="12"/>
        <color rgb="FFFFFFFF"/>
        <rFont val="DejaVu Sans"/>
        <family val="2"/>
      </rPr>
      <t xml:space="preserve">运费自动计算）</t>
    </r>
  </si>
  <si>
    <t xml:space="preserve">一、产品基础信息（输入）</t>
  </si>
  <si>
    <t xml:space="preserve">产品代码</t>
  </si>
  <si>
    <t xml:space="preserve">N10305002124</t>
  </si>
  <si>
    <r>
      <rPr>
        <sz val="11"/>
        <color rgb="FF000000"/>
        <rFont val="DejaVu Sans"/>
        <family val="2"/>
      </rPr>
      <t xml:space="preserve">福州市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厦门市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泉州市</t>
    </r>
  </si>
  <si>
    <t xml:space="preserve">产品名称</t>
  </si>
  <si>
    <r>
      <rPr>
        <sz val="10"/>
        <color rgb="FF0000FF"/>
        <rFont val="微软雅黑"/>
        <family val="0"/>
        <charset val="1"/>
      </rPr>
      <t xml:space="preserve">DRV-26P-NJTJ(RoHS)</t>
    </r>
    <r>
      <rPr>
        <sz val="10"/>
        <color rgb="FF0000FF"/>
        <rFont val="DejaVu Sans"/>
        <family val="2"/>
      </rPr>
      <t xml:space="preserve">中央式空调控制器驱动板组件</t>
    </r>
  </si>
  <si>
    <r>
      <rPr>
        <sz val="11"/>
        <color rgb="FF000000"/>
        <rFont val="DejaVu Sans"/>
        <family val="2"/>
      </rPr>
      <t xml:space="preserve">宁德市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莆田市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漳州市</t>
    </r>
  </si>
  <si>
    <t xml:space="preserve">客户名称</t>
  </si>
  <si>
    <t xml:space="preserve">青岛国创智能家电研究院有限公司</t>
  </si>
  <si>
    <r>
      <rPr>
        <sz val="11"/>
        <color rgb="FF000000"/>
        <rFont val="DejaVu Sans"/>
        <family val="2"/>
      </rPr>
      <t xml:space="preserve">龙岩市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南平市</t>
    </r>
  </si>
  <si>
    <t xml:space="preserve">报价日期</t>
  </si>
  <si>
    <t xml:space="preserve">拉萨市</t>
  </si>
  <si>
    <r>
      <rPr>
        <sz val="10"/>
        <color rgb="FF000000"/>
        <rFont val="DejaVu Sans"/>
        <family val="2"/>
      </rPr>
      <t xml:space="preserve">年需求量</t>
    </r>
    <r>
      <rPr>
        <sz val="10"/>
        <color rgb="FF000000"/>
        <rFont val="DejaVu Sans"/>
        <family val="2"/>
        <charset val="1"/>
      </rPr>
      <t xml:space="preserve">(PCS)</t>
    </r>
  </si>
  <si>
    <r>
      <rPr>
        <sz val="11"/>
        <color rgb="FF000000"/>
        <rFont val="DejaVu Sans"/>
        <family val="2"/>
      </rPr>
      <t xml:space="preserve">日喀则市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山南市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林芝市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昌都市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那曲市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阿里地区</t>
    </r>
  </si>
  <si>
    <t xml:space="preserve">MOQ(PCS)</t>
  </si>
  <si>
    <r>
      <rPr>
        <sz val="11"/>
        <color rgb="FF000000"/>
        <rFont val="DejaVu Sans"/>
        <family val="2"/>
      </rPr>
      <t xml:space="preserve">贵阳市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遵义市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安顺市</t>
    </r>
  </si>
  <si>
    <t xml:space="preserve">备注</t>
  </si>
  <si>
    <r>
      <rPr>
        <sz val="10"/>
        <color rgb="FF0000FF"/>
        <rFont val="DejaVu Sans"/>
        <family val="2"/>
      </rPr>
      <t xml:space="preserve">工装、模具费直接向客户收取；已扣除</t>
    </r>
    <r>
      <rPr>
        <sz val="10"/>
        <color rgb="FF0000FF"/>
        <rFont val="微软雅黑"/>
        <family val="0"/>
        <charset val="1"/>
      </rPr>
      <t xml:space="preserve">8</t>
    </r>
    <r>
      <rPr>
        <sz val="10"/>
        <color rgb="FF0000FF"/>
        <rFont val="DejaVu Sans"/>
        <family val="2"/>
      </rPr>
      <t xml:space="preserve">颗客供料核算成本；散热器</t>
    </r>
    <r>
      <rPr>
        <sz val="10"/>
        <color rgb="FF0000FF"/>
        <rFont val="微软雅黑"/>
        <family val="0"/>
        <charset val="1"/>
      </rPr>
      <t xml:space="preserve">68</t>
    </r>
    <r>
      <rPr>
        <sz val="10"/>
        <color rgb="FF0000FF"/>
        <rFont val="DejaVu Sans"/>
        <family val="2"/>
      </rPr>
      <t xml:space="preserve">元未税另计；</t>
    </r>
    <r>
      <rPr>
        <sz val="10"/>
        <color rgb="FF0000FF"/>
        <rFont val="微软雅黑"/>
        <family val="0"/>
        <charset val="1"/>
      </rPr>
      <t xml:space="preserve">N10305002124</t>
    </r>
    <r>
      <rPr>
        <sz val="10"/>
        <color rgb="FF0000FF"/>
        <rFont val="DejaVu Sans"/>
        <family val="2"/>
      </rPr>
      <t xml:space="preserve">与</t>
    </r>
    <r>
      <rPr>
        <sz val="10"/>
        <color rgb="FF0000FF"/>
        <rFont val="微软雅黑"/>
        <family val="0"/>
        <charset val="1"/>
      </rPr>
      <t xml:space="preserve">N10305002125</t>
    </r>
    <r>
      <rPr>
        <sz val="10"/>
        <color rgb="FF0000FF"/>
        <rFont val="DejaVu Sans"/>
        <family val="2"/>
      </rPr>
      <t xml:space="preserve">共用模具</t>
    </r>
  </si>
  <si>
    <r>
      <rPr>
        <sz val="11"/>
        <color rgb="FF000000"/>
        <rFont val="DejaVu Sans"/>
        <family val="2"/>
      </rPr>
      <t xml:space="preserve">黔南布依族苗族自治州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黔东南苗族侗族自治州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毕节市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六盘水市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黔西南布依族苗族自治州</t>
    </r>
  </si>
  <si>
    <r>
      <rPr>
        <sz val="11"/>
        <color rgb="FF000000"/>
        <rFont val="DejaVu Sans"/>
        <family val="2"/>
      </rPr>
      <t xml:space="preserve">广州市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深圳市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珠海市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中山市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东莞市</t>
    </r>
  </si>
  <si>
    <t xml:space="preserve">二、产品规格（输入，驱动包装费）</t>
  </si>
  <si>
    <r>
      <rPr>
        <sz val="11"/>
        <color rgb="FF000000"/>
        <rFont val="DejaVu Sans"/>
        <family val="2"/>
      </rPr>
      <t xml:space="preserve">江门市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惠州市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佛山市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肇庆市</t>
    </r>
  </si>
  <si>
    <r>
      <rPr>
        <sz val="10"/>
        <color rgb="FF000000"/>
        <rFont val="DejaVu Sans"/>
        <family val="2"/>
      </rPr>
      <t xml:space="preserve">成品长</t>
    </r>
    <r>
      <rPr>
        <sz val="10"/>
        <color rgb="FF000000"/>
        <rFont val="DejaVu Sans"/>
        <family val="2"/>
        <charset val="1"/>
      </rPr>
      <t xml:space="preserve">(mm,</t>
    </r>
    <r>
      <rPr>
        <sz val="10"/>
        <color rgb="FF000000"/>
        <rFont val="DejaVu Sans"/>
        <family val="2"/>
      </rPr>
      <t xml:space="preserve">含散热器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</si>
  <si>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汕尾市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阳江市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揭阳市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茂名市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韶关市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梅州市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汕头市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湛江市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河源市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清远市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云浮市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潮州市</t>
    </r>
  </si>
  <si>
    <r>
      <rPr>
        <sz val="10"/>
        <color rgb="FF000000"/>
        <rFont val="DejaVu Sans"/>
        <family val="2"/>
      </rPr>
      <t xml:space="preserve">成品宽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</si>
  <si>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1"/>
        <color rgb="FF000000"/>
        <rFont val="DejaVu Sans"/>
        <family val="2"/>
      </rPr>
      <t xml:space="preserve">武汉市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鄂州市</t>
    </r>
  </si>
  <si>
    <r>
      <rPr>
        <sz val="10"/>
        <color rgb="FF000000"/>
        <rFont val="DejaVu Sans"/>
        <family val="2"/>
      </rPr>
      <t xml:space="preserve">成品高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</si>
  <si>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1"/>
        <color rgb="FF000000"/>
        <rFont val="DejaVu Sans"/>
        <family val="2"/>
      </rPr>
      <t xml:space="preserve">襄阳市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孝感市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神农架林区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十堰市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随州市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</si>
  <si>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单台净重</t>
    </r>
    <r>
      <rPr>
        <sz val="10"/>
        <color rgb="FF000000"/>
        <rFont val="DejaVu Sans"/>
        <family val="2"/>
        <charset val="1"/>
      </rPr>
      <t xml:space="preserve">(kg)</t>
    </r>
  </si>
  <si>
    <r>
      <rPr>
        <sz val="11"/>
        <color rgb="FF000000"/>
        <rFont val="DejaVu Sans"/>
        <family val="2"/>
      </rPr>
      <t xml:space="preserve">黄冈市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咸宁市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恩施土家族苗族自治州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潜江市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仙桃市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</si>
  <si>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每箱件数</t>
    </r>
    <r>
      <rPr>
        <sz val="10"/>
        <color rgb="FF000000"/>
        <rFont val="DejaVu Sans"/>
        <family val="2"/>
        <charset val="1"/>
      </rPr>
      <t xml:space="preserve">N</t>
    </r>
  </si>
  <si>
    <r>
      <rPr>
        <sz val="11"/>
        <color rgb="FF000000"/>
        <rFont val="DejaVu Sans"/>
        <family val="2"/>
      </rPr>
      <t xml:space="preserve">株洲市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长沙市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湘潭市</t>
    </r>
  </si>
  <si>
    <t xml:space="preserve">是否含整托分摊</t>
  </si>
  <si>
    <t xml:space="preserve">是</t>
  </si>
  <si>
    <t xml:space="preserve">益阳市</t>
  </si>
  <si>
    <r>
      <rPr>
        <sz val="10"/>
        <color rgb="FF000000"/>
        <rFont val="DejaVu Sans"/>
        <family val="2"/>
      </rPr>
      <t xml:space="preserve">是否带散热器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是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否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</si>
  <si>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岳阳市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郴州市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娄底市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邵阳市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湘西土家族苗族自治州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张家界市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怀化市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永州市</t>
    </r>
  </si>
  <si>
    <r>
      <rPr>
        <sz val="10"/>
        <color rgb="FF000000"/>
        <rFont val="DejaVu Sans"/>
        <family val="2"/>
      </rPr>
      <t xml:space="preserve">是否带组装结构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是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否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</si>
  <si>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装配节拍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秒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台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</si>
  <si>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工时费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小时</t>
    </r>
    <r>
      <rPr>
        <sz val="10"/>
        <color rgb="FF000000"/>
        <rFont val="DejaVu Sans"/>
        <family val="2"/>
        <charset val="1"/>
      </rPr>
      <t xml:space="preserve">)</t>
    </r>
  </si>
  <si>
    <t xml:space="preserve">三、物流（输入，驱动运费）</t>
  </si>
  <si>
    <t xml:space="preserve">重庆市</t>
  </si>
  <si>
    <t xml:space="preserve">物流产品</t>
  </si>
  <si>
    <t xml:space="preserve">次日达</t>
  </si>
  <si>
    <r>
      <rPr>
        <sz val="11"/>
        <color rgb="FF000000"/>
        <rFont val="DejaVu Sans"/>
        <family val="2"/>
      </rPr>
      <t xml:space="preserve">成都市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资阳市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眉山市</t>
    </r>
  </si>
  <si>
    <t xml:space="preserve">目的地</t>
  </si>
  <si>
    <t xml:space="preserve">青岛市</t>
  </si>
  <si>
    <t xml:space="preserve">绵阳市</t>
  </si>
  <si>
    <r>
      <rPr>
        <sz val="10"/>
        <color rgb="FF000000"/>
        <rFont val="DejaVu Sans"/>
        <family val="2"/>
      </rPr>
      <t xml:space="preserve">每票件数</t>
    </r>
    <r>
      <rPr>
        <sz val="10"/>
        <color rgb="FF000000"/>
        <rFont val="DejaVu Sans"/>
        <family val="2"/>
        <charset val="1"/>
      </rPr>
      <t xml:space="preserve">M</t>
    </r>
  </si>
  <si>
    <r>
      <rPr>
        <sz val="11"/>
        <color rgb="FF000000"/>
        <rFont val="DejaVu Sans"/>
        <family val="2"/>
      </rPr>
      <t xml:space="preserve">自贡市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南充市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达州市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遂宁市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巴中市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泸州市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宜宾市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内江市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乐山市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雅安市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德阳市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</si>
  <si>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声明价值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票</t>
    </r>
    <r>
      <rPr>
        <sz val="10"/>
        <color rgb="FF000000"/>
        <rFont val="DejaVu Sans"/>
        <family val="2"/>
        <charset val="1"/>
      </rPr>
      <t xml:space="preserve">,</t>
    </r>
    <r>
      <rPr>
        <sz val="10"/>
        <color rgb="FF000000"/>
        <rFont val="DejaVu Sans"/>
        <family val="2"/>
      </rPr>
      <t xml:space="preserve">可选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</si>
  <si>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攀枝花市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凉山彝族自治州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甘孜藏族自治州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阿坝藏族羌族自治州</t>
    </r>
  </si>
  <si>
    <t xml:space="preserve">注</t>
  </si>
  <si>
    <r>
      <rPr>
        <sz val="10"/>
        <color rgb="FF0000FF"/>
        <rFont val="DejaVu Sans"/>
        <family val="2"/>
      </rPr>
      <t xml:space="preserve">物流产品选次日达</t>
    </r>
    <r>
      <rPr>
        <sz val="10"/>
        <color rgb="FF0000FF"/>
        <rFont val="DejaVu Sans"/>
        <family val="2"/>
        <charset val="1"/>
      </rPr>
      <t xml:space="preserve">/</t>
    </r>
    <r>
      <rPr>
        <sz val="10"/>
        <color rgb="FF0000FF"/>
        <rFont val="DejaVu Sans"/>
        <family val="2"/>
      </rPr>
      <t xml:space="preserve">特惠普运；目的地只需填城市名（如“宁波”“杭州”），系统按所选产品自动匹配对应费率行；该产品不覆盖此城市时运费显示空白。</t>
    </r>
  </si>
  <si>
    <r>
      <rPr>
        <sz val="11"/>
        <color rgb="FF000000"/>
        <rFont val="DejaVu Sans"/>
        <family val="2"/>
      </rPr>
      <t xml:space="preserve">合肥市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芜湖市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马鞍山市</t>
    </r>
  </si>
  <si>
    <r>
      <rPr>
        <b val="true"/>
        <sz val="11"/>
        <color rgb="FFFFFFFF"/>
        <rFont val="DejaVu Sans"/>
        <family val="2"/>
      </rPr>
      <t xml:space="preserve">四、成本构成（未税</t>
    </r>
    <r>
      <rPr>
        <b val="true"/>
        <sz val="11"/>
        <color rgb="FFFFFFFF"/>
        <rFont val="微软雅黑"/>
        <family val="0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单台，自动计算）</t>
    </r>
  </si>
  <si>
    <r>
      <rPr>
        <sz val="11"/>
        <color rgb="FF000000"/>
        <rFont val="DejaVu Sans"/>
        <family val="2"/>
      </rPr>
      <t xml:space="preserve">滁州市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蚌埠市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六安市</t>
    </r>
  </si>
  <si>
    <t xml:space="preserve">成本项目</t>
  </si>
  <si>
    <t xml:space="preserve">金额</t>
  </si>
  <si>
    <t xml:space="preserve">单位</t>
  </si>
  <si>
    <t xml:space="preserve">公式</t>
  </si>
  <si>
    <r>
      <rPr>
        <sz val="11"/>
        <color rgb="FF000000"/>
        <rFont val="DejaVu Sans"/>
        <family val="2"/>
      </rPr>
      <t xml:space="preserve">淮南市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安庆市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宿州市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亳州市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阜阳市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淮北市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铜陵市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宣城市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池州市</t>
    </r>
  </si>
  <si>
    <t xml:space="preserve">硬件材料</t>
  </si>
  <si>
    <r>
      <rPr>
        <sz val="9"/>
        <color rgb="FF808080"/>
        <rFont val="DejaVu Sans"/>
        <family val="2"/>
      </rPr>
      <t xml:space="preserve">元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台</t>
    </r>
  </si>
  <si>
    <r>
      <rPr>
        <sz val="9"/>
        <color rgb="FF808080"/>
        <rFont val="DejaVu Sans"/>
        <family val="2"/>
      </rPr>
      <t xml:space="preserve">物料明细</t>
    </r>
    <r>
      <rPr>
        <sz val="9"/>
        <color rgb="FF808080"/>
        <rFont val="微软雅黑"/>
        <family val="0"/>
        <charset val="1"/>
      </rPr>
      <t xml:space="preserve">·</t>
    </r>
    <r>
      <rPr>
        <sz val="9"/>
        <color rgb="FF808080"/>
        <rFont val="DejaVu Sans"/>
        <family val="2"/>
      </rPr>
      <t xml:space="preserve">硬件</t>
    </r>
    <r>
      <rPr>
        <sz val="9"/>
        <color rgb="FF808080"/>
        <rFont val="微软雅黑"/>
        <family val="0"/>
        <charset val="1"/>
      </rPr>
      <t xml:space="preserve">(272</t>
    </r>
    <r>
      <rPr>
        <sz val="9"/>
        <color rgb="FF808080"/>
        <rFont val="DejaVu Sans"/>
        <family val="2"/>
      </rPr>
      <t xml:space="preserve">项</t>
    </r>
    <r>
      <rPr>
        <sz val="9"/>
        <color rgb="FF808080"/>
        <rFont val="微软雅黑"/>
        <family val="0"/>
        <charset val="1"/>
      </rPr>
      <t xml:space="preserve">)</t>
    </r>
  </si>
  <si>
    <t xml:space="preserve">乌鲁木齐市</t>
  </si>
  <si>
    <t xml:space="preserve">结构件</t>
  </si>
  <si>
    <r>
      <rPr>
        <sz val="9"/>
        <color rgb="FF808080"/>
        <rFont val="DejaVu Sans"/>
        <family val="2"/>
      </rPr>
      <t xml:space="preserve">物料明细</t>
    </r>
    <r>
      <rPr>
        <sz val="9"/>
        <color rgb="FF808080"/>
        <rFont val="微软雅黑"/>
        <family val="0"/>
        <charset val="1"/>
      </rPr>
      <t xml:space="preserve">·</t>
    </r>
    <r>
      <rPr>
        <sz val="9"/>
        <color rgb="FF808080"/>
        <rFont val="DejaVu Sans"/>
        <family val="2"/>
      </rPr>
      <t xml:space="preserve">结构件</t>
    </r>
    <r>
      <rPr>
        <sz val="9"/>
        <color rgb="FF808080"/>
        <rFont val="微软雅黑"/>
        <family val="0"/>
        <charset val="1"/>
      </rPr>
      <t xml:space="preserve">(32</t>
    </r>
    <r>
      <rPr>
        <sz val="9"/>
        <color rgb="FF808080"/>
        <rFont val="DejaVu Sans"/>
        <family val="2"/>
      </rPr>
      <t xml:space="preserve">项，含组装结构</t>
    </r>
    <r>
      <rPr>
        <sz val="9"/>
        <color rgb="FF808080"/>
        <rFont val="微软雅黑"/>
        <family val="0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</si>
  <si>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塔城地区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白杨市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新星市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哈密市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昆玉市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和田地区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北屯市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阿勒泰地区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克孜勒苏柯尔克孜自治州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双河市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博尔塔拉蒙古自治州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克拉玛依市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胡杨河市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石河子市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五家渠市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昌吉回族自治州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吐鲁番市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巴音郭楞蒙古自治州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铁门关市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阿克苏地区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阿拉尔市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图木舒克市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喀什地区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伊犁哈萨克自治州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可克达拉市</t>
    </r>
  </si>
  <si>
    <t xml:space="preserve">散热器</t>
  </si>
  <si>
    <r>
      <rPr>
        <sz val="9"/>
        <color rgb="FF808080"/>
        <rFont val="DejaVu Sans"/>
        <family val="2"/>
      </rPr>
      <t xml:space="preserve">单独采购</t>
    </r>
    <r>
      <rPr>
        <sz val="9"/>
        <color rgb="FF808080"/>
        <rFont val="微软雅黑"/>
        <family val="0"/>
        <charset val="1"/>
      </rPr>
      <t xml:space="preserve">68</t>
    </r>
    <r>
      <rPr>
        <sz val="9"/>
        <color rgb="FF808080"/>
        <rFont val="DejaVu Sans"/>
        <family val="2"/>
      </rPr>
      <t xml:space="preserve">元未税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参数</t>
    </r>
    <r>
      <rPr>
        <sz val="9"/>
        <color rgb="FF808080"/>
        <rFont val="微软雅黑"/>
        <family val="0"/>
        <charset val="1"/>
      </rPr>
      <t xml:space="preserve">B49)</t>
    </r>
    <r>
      <rPr>
        <sz val="9"/>
        <color rgb="FF808080"/>
        <rFont val="DejaVu Sans"/>
        <family val="2"/>
      </rPr>
      <t xml:space="preserve">，源表未含</t>
    </r>
  </si>
  <si>
    <r>
      <rPr>
        <sz val="11"/>
        <color rgb="FF000000"/>
        <rFont val="DejaVu Sans"/>
        <family val="2"/>
      </rPr>
      <t xml:space="preserve">南京市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无锡市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苏州市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常州市</t>
    </r>
  </si>
  <si>
    <t xml:space="preserve">包装材料</t>
  </si>
  <si>
    <r>
      <rPr>
        <sz val="11"/>
        <color rgb="FF000000"/>
        <rFont val="DejaVu Sans"/>
        <family val="2"/>
      </rPr>
      <t xml:space="preserve">镇江市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扬州市</t>
    </r>
  </si>
  <si>
    <t xml:space="preserve">辅助材料</t>
  </si>
  <si>
    <r>
      <rPr>
        <sz val="9"/>
        <color rgb="FF808080"/>
        <rFont val="DejaVu Sans"/>
        <family val="2"/>
      </rPr>
      <t xml:space="preserve">物料明细</t>
    </r>
    <r>
      <rPr>
        <sz val="9"/>
        <color rgb="FF808080"/>
        <rFont val="微软雅黑"/>
        <family val="0"/>
        <charset val="1"/>
      </rPr>
      <t xml:space="preserve">·</t>
    </r>
    <r>
      <rPr>
        <sz val="9"/>
        <color rgb="FF808080"/>
        <rFont val="DejaVu Sans"/>
        <family val="2"/>
      </rPr>
      <t xml:space="preserve">辅料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锡丝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助焊剂等，</t>
    </r>
    <r>
      <rPr>
        <sz val="9"/>
        <color rgb="FF808080"/>
        <rFont val="微软雅黑"/>
        <family val="0"/>
        <charset val="1"/>
      </rPr>
      <t xml:space="preserve">16</t>
    </r>
    <r>
      <rPr>
        <sz val="9"/>
        <color rgb="FF808080"/>
        <rFont val="DejaVu Sans"/>
        <family val="2"/>
      </rPr>
      <t xml:space="preserve">项</t>
    </r>
    <r>
      <rPr>
        <sz val="9"/>
        <color rgb="FF808080"/>
        <rFont val="微软雅黑"/>
        <family val="0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</si>
  <si>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盐城市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徐州市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淮安市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连云港市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泰州市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宿迁市</t>
    </r>
  </si>
  <si>
    <t xml:space="preserve">加工成本</t>
  </si>
  <si>
    <r>
      <rPr>
        <sz val="9"/>
        <color rgb="FF808080"/>
        <rFont val="DejaVu Sans"/>
        <family val="2"/>
      </rPr>
      <t xml:space="preserve">综合口径：人工</t>
    </r>
    <r>
      <rPr>
        <sz val="9"/>
        <color rgb="FF808080"/>
        <rFont val="微软雅黑"/>
        <family val="0"/>
        <charset val="1"/>
      </rPr>
      <t xml:space="preserve">+SMT+</t>
    </r>
    <r>
      <rPr>
        <sz val="9"/>
        <color rgb="FF808080"/>
        <rFont val="DejaVu Sans"/>
        <family val="2"/>
      </rPr>
      <t xml:space="preserve">机插</t>
    </r>
    <r>
      <rPr>
        <sz val="9"/>
        <color rgb="FF808080"/>
        <rFont val="微软雅黑"/>
        <family val="0"/>
        <charset val="1"/>
      </rPr>
      <t xml:space="preserve">+</t>
    </r>
    <r>
      <rPr>
        <sz val="9"/>
        <color rgb="FF808080"/>
        <rFont val="DejaVu Sans"/>
        <family val="2"/>
      </rPr>
      <t xml:space="preserve">折旧</t>
    </r>
    <r>
      <rPr>
        <sz val="9"/>
        <color rgb="FF808080"/>
        <rFont val="微软雅黑"/>
        <family val="0"/>
        <charset val="1"/>
      </rPr>
      <t xml:space="preserve">+</t>
    </r>
    <r>
      <rPr>
        <sz val="9"/>
        <color rgb="FF808080"/>
        <rFont val="DejaVu Sans"/>
        <family val="2"/>
      </rPr>
      <t xml:space="preserve">水电</t>
    </r>
    <r>
      <rPr>
        <sz val="9"/>
        <color rgb="FF808080"/>
        <rFont val="微软雅黑"/>
        <family val="0"/>
        <charset val="1"/>
      </rPr>
      <t xml:space="preserve">+</t>
    </r>
    <r>
      <rPr>
        <sz val="9"/>
        <color rgb="FF808080"/>
        <rFont val="DejaVu Sans"/>
        <family val="2"/>
      </rPr>
      <t xml:space="preserve">管理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加工成本明细</t>
    </r>
    <r>
      <rPr>
        <sz val="9"/>
        <color rgb="FF80808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</si>
  <si>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小计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料工费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</si>
  <si>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9"/>
        <color rgb="FF808080"/>
        <rFont val="DejaVu Sans"/>
        <family val="2"/>
      </rPr>
      <t xml:space="preserve">材料</t>
    </r>
    <r>
      <rPr>
        <sz val="9"/>
        <color rgb="FF808080"/>
        <rFont val="微软雅黑"/>
        <family val="0"/>
        <charset val="1"/>
      </rPr>
      <t xml:space="preserve">+</t>
    </r>
    <r>
      <rPr>
        <sz val="9"/>
        <color rgb="FF808080"/>
        <rFont val="DejaVu Sans"/>
        <family val="2"/>
      </rPr>
      <t xml:space="preserve">加工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源表口径</t>
    </r>
    <r>
      <rPr>
        <sz val="9"/>
        <color rgb="FF808080"/>
        <rFont val="微软雅黑"/>
        <family val="0"/>
        <charset val="1"/>
      </rPr>
      <t xml:space="preserve">+</t>
    </r>
    <r>
      <rPr>
        <sz val="9"/>
        <color rgb="FF808080"/>
        <rFont val="DejaVu Sans"/>
        <family val="2"/>
      </rPr>
      <t xml:space="preserve">散热器</t>
    </r>
    <r>
      <rPr>
        <sz val="9"/>
        <color rgb="FF808080"/>
        <rFont val="微软雅黑"/>
        <family val="0"/>
        <charset val="1"/>
      </rPr>
      <t xml:space="preserve">68)</t>
    </r>
  </si>
  <si>
    <t xml:space="preserve">天津市</t>
  </si>
  <si>
    <t xml:space="preserve">成本差异</t>
  </si>
  <si>
    <r>
      <rPr>
        <sz val="9"/>
        <color rgb="FF808080"/>
        <rFont val="DejaVu Sans"/>
        <family val="2"/>
      </rPr>
      <t xml:space="preserve">制造损耗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差异缓冲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参数</t>
    </r>
    <r>
      <rPr>
        <sz val="9"/>
        <color rgb="FF808080"/>
        <rFont val="微软雅黑"/>
        <family val="0"/>
        <charset val="1"/>
      </rPr>
      <t xml:space="preserve">B50</t>
    </r>
    <r>
      <rPr>
        <sz val="9"/>
        <color rgb="FF808080"/>
        <rFont val="DejaVu Sans"/>
        <family val="2"/>
      </rPr>
      <t xml:space="preserve">，默认</t>
    </r>
    <r>
      <rPr>
        <sz val="9"/>
        <color rgb="FF808080"/>
        <rFont val="微软雅黑"/>
        <family val="0"/>
        <charset val="1"/>
      </rPr>
      <t xml:space="preserve">1.35%)</t>
    </r>
  </si>
  <si>
    <t xml:space="preserve">长春市</t>
  </si>
  <si>
    <t xml:space="preserve">吉林市</t>
  </si>
  <si>
    <t xml:space="preserve">利润加成</t>
  </si>
  <si>
    <r>
      <rPr>
        <sz val="9"/>
        <color rgb="FF808080"/>
        <rFont val="DejaVu Sans"/>
        <family val="2"/>
      </rPr>
      <t xml:space="preserve">成本内加成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参数</t>
    </r>
    <r>
      <rPr>
        <sz val="9"/>
        <color rgb="FF808080"/>
        <rFont val="微软雅黑"/>
        <family val="0"/>
        <charset val="1"/>
      </rPr>
      <t xml:space="preserve">B52</t>
    </r>
    <r>
      <rPr>
        <sz val="9"/>
        <color rgb="FF808080"/>
        <rFont val="DejaVu Sans"/>
        <family val="2"/>
      </rPr>
      <t xml:space="preserve">，商空默认</t>
    </r>
    <r>
      <rPr>
        <sz val="9"/>
        <color rgb="FF808080"/>
        <rFont val="微软雅黑"/>
        <family val="0"/>
        <charset val="1"/>
      </rPr>
      <t xml:space="preserve">0)</t>
    </r>
  </si>
  <si>
    <r>
      <rPr>
        <sz val="11"/>
        <color rgb="FF000000"/>
        <rFont val="DejaVu Sans"/>
        <family val="2"/>
      </rPr>
      <t xml:space="preserve">延边朝鲜族自治州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四平市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通化市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辽源市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松原市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白山市</t>
    </r>
  </si>
  <si>
    <t xml:space="preserve">总成本未税</t>
  </si>
  <si>
    <r>
      <rPr>
        <sz val="9"/>
        <color rgb="FF808080"/>
        <rFont val="DejaVu Sans"/>
        <family val="2"/>
      </rPr>
      <t xml:space="preserve">主营业务成本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单台</t>
    </r>
    <r>
      <rPr>
        <sz val="9"/>
        <color rgb="FF808080"/>
        <rFont val="微软雅黑"/>
        <family val="0"/>
        <charset val="1"/>
      </rPr>
      <t xml:space="preserve">)</t>
    </r>
  </si>
  <si>
    <t xml:space="preserve">银川市</t>
  </si>
  <si>
    <r>
      <rPr>
        <sz val="11"/>
        <color rgb="FF000000"/>
        <rFont val="DejaVu Sans"/>
        <family val="2"/>
      </rPr>
      <t xml:space="preserve">石嘴山市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吴忠市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固原市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中卫市</t>
    </r>
  </si>
  <si>
    <t xml:space="preserve">五、自动报价结果</t>
  </si>
  <si>
    <r>
      <rPr>
        <sz val="11"/>
        <color rgb="FF000000"/>
        <rFont val="DejaVu Sans"/>
        <family val="2"/>
      </rPr>
      <t xml:space="preserve">石家庄市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廊坊市</t>
    </r>
  </si>
  <si>
    <t xml:space="preserve">报价项目</t>
  </si>
  <si>
    <t xml:space="preserve">结果</t>
  </si>
  <si>
    <r>
      <rPr>
        <sz val="11"/>
        <color rgb="FF000000"/>
        <rFont val="DejaVu Sans"/>
        <family val="2"/>
      </rPr>
      <t xml:space="preserve">邯郸市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雄安新区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唐山市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沧州市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秦皇岛市</t>
    </r>
  </si>
  <si>
    <t xml:space="preserve">目标毛利率</t>
  </si>
  <si>
    <t xml:space="preserve">%</t>
  </si>
  <si>
    <r>
      <rPr>
        <sz val="9"/>
        <color rgb="FF808080"/>
        <rFont val="DejaVu Sans"/>
        <family val="2"/>
      </rPr>
      <t xml:space="preserve">参数页可改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商空对齐源表</t>
    </r>
    <r>
      <rPr>
        <sz val="9"/>
        <color rgb="FF808080"/>
        <rFont val="微软雅黑"/>
        <family val="0"/>
        <charset val="1"/>
      </rPr>
      <t xml:space="preserve">0.3)</t>
    </r>
  </si>
  <si>
    <r>
      <rPr>
        <sz val="11"/>
        <color rgb="FF000000"/>
        <rFont val="DejaVu Sans"/>
        <family val="2"/>
      </rPr>
      <t xml:space="preserve">张家口市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承德市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邢台市</t>
    </r>
  </si>
  <si>
    <t xml:space="preserve">建议报价未税</t>
  </si>
  <si>
    <r>
      <rPr>
        <sz val="9"/>
        <color rgb="FF808080"/>
        <rFont val="DejaVu Sans"/>
        <family val="2"/>
      </rPr>
      <t xml:space="preserve">总成本</t>
    </r>
    <r>
      <rPr>
        <sz val="9"/>
        <color rgb="FF808080"/>
        <rFont val="微软雅黑"/>
        <family val="0"/>
        <charset val="1"/>
      </rPr>
      <t xml:space="preserve">/(1-</t>
    </r>
    <r>
      <rPr>
        <sz val="9"/>
        <color rgb="FF808080"/>
        <rFont val="DejaVu Sans"/>
        <family val="2"/>
      </rPr>
      <t xml:space="preserve">毛利率</t>
    </r>
    <r>
      <rPr>
        <sz val="9"/>
        <color rgb="FF808080"/>
        <rFont val="微软雅黑"/>
        <family val="0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</si>
  <si>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开封市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郑州市</t>
    </r>
  </si>
  <si>
    <t xml:space="preserve">税率</t>
  </si>
  <si>
    <t xml:space="preserve">参数页可改</t>
  </si>
  <si>
    <r>
      <rPr>
        <sz val="11"/>
        <color rgb="FF000000"/>
        <rFont val="DejaVu Sans"/>
        <family val="2"/>
      </rPr>
      <t xml:space="preserve">新乡市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许昌市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信阳市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洛阳市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鹤壁市</t>
    </r>
  </si>
  <si>
    <t xml:space="preserve">建议报价含税</t>
  </si>
  <si>
    <r>
      <rPr>
        <sz val="9"/>
        <color rgb="FF808080"/>
        <rFont val="DejaVu Sans"/>
        <family val="2"/>
      </rPr>
      <t xml:space="preserve">未税价</t>
    </r>
    <r>
      <rPr>
        <sz val="9"/>
        <color rgb="FF808080"/>
        <rFont val="微软雅黑"/>
        <family val="0"/>
        <charset val="1"/>
      </rPr>
      <t xml:space="preserve">×(1+</t>
    </r>
    <r>
      <rPr>
        <sz val="9"/>
        <color rgb="FF808080"/>
        <rFont val="DejaVu Sans"/>
        <family val="2"/>
      </rPr>
      <t xml:space="preserve">税率</t>
    </r>
    <r>
      <rPr>
        <sz val="9"/>
        <color rgb="FF808080"/>
        <rFont val="微软雅黑"/>
        <family val="0"/>
        <charset val="1"/>
      </rPr>
      <t xml:space="preserve">)</t>
    </r>
  </si>
  <si>
    <r>
      <rPr>
        <sz val="11"/>
        <color rgb="FF000000"/>
        <rFont val="DejaVu Sans"/>
        <family val="2"/>
      </rPr>
      <t xml:space="preserve">商丘市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平顶山市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焦作市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济源市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濮阳市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周口市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漯河市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驻马店市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三门峡市</t>
    </r>
  </si>
  <si>
    <t xml:space="preserve">客户目标价</t>
  </si>
  <si>
    <t xml:space="preserve">手工填写</t>
  </si>
  <si>
    <r>
      <rPr>
        <sz val="11"/>
        <color rgb="FF000000"/>
        <rFont val="DejaVu Sans"/>
        <family val="2"/>
      </rPr>
      <t xml:space="preserve">崇左市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南宁市</t>
    </r>
  </si>
  <si>
    <t xml:space="preserve">目标价差异</t>
  </si>
  <si>
    <r>
      <rPr>
        <sz val="9"/>
        <color rgb="FF808080"/>
        <rFont val="DejaVu Sans"/>
        <family val="2"/>
      </rPr>
      <t xml:space="preserve">建议价</t>
    </r>
    <r>
      <rPr>
        <sz val="9"/>
        <color rgb="FF808080"/>
        <rFont val="微软雅黑"/>
        <family val="0"/>
        <charset val="1"/>
      </rPr>
      <t xml:space="preserve">-</t>
    </r>
    <r>
      <rPr>
        <sz val="9"/>
        <color rgb="FF808080"/>
        <rFont val="DejaVu Sans"/>
        <family val="2"/>
      </rPr>
      <t xml:space="preserve">目标价</t>
    </r>
  </si>
  <si>
    <r>
      <rPr>
        <sz val="11"/>
        <color rgb="FF000000"/>
        <rFont val="DejaVu Sans"/>
        <family val="2"/>
      </rPr>
      <t xml:space="preserve">柳州市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来宾市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桂林市</t>
    </r>
  </si>
  <si>
    <t xml:space="preserve">报价毛利率</t>
  </si>
  <si>
    <t xml:space="preserve">自动计算</t>
  </si>
  <si>
    <r>
      <rPr>
        <sz val="11"/>
        <color rgb="FF000000"/>
        <rFont val="DejaVu Sans"/>
        <family val="2"/>
      </rPr>
      <t xml:space="preserve">防城港市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梧州市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贺州市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百色市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钦州市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河池市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北海市</t>
    </r>
  </si>
  <si>
    <t xml:space="preserve">年销售额未税</t>
  </si>
  <si>
    <r>
      <rPr>
        <sz val="9"/>
        <color rgb="FF808080"/>
        <rFont val="DejaVu Sans"/>
        <family val="2"/>
      </rPr>
      <t xml:space="preserve">元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年</t>
    </r>
  </si>
  <si>
    <r>
      <rPr>
        <sz val="11"/>
        <color rgb="FF000000"/>
        <rFont val="DejaVu Sans"/>
        <family val="2"/>
      </rPr>
      <t xml:space="preserve">屯昌县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五指山市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白沙黎族自治县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东方市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保亭黎族苗族自治县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琼中黎族苗族自治县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定安县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临高县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陵水黎族自治县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文昌市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海口市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万宁市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乐东黎族自治县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琼海市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澄迈县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昌江黎族自治县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儋州市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三沙市</t>
    </r>
  </si>
  <si>
    <t xml:space="preserve">年毛利额</t>
  </si>
  <si>
    <t xml:space="preserve">上海市</t>
  </si>
  <si>
    <t xml:space="preserve">南昌市</t>
  </si>
  <si>
    <t xml:space="preserve">六、一次性费用（直接向客户收取，不计入单台成本）</t>
  </si>
  <si>
    <r>
      <rPr>
        <sz val="11"/>
        <color rgb="FF000000"/>
        <rFont val="DejaVu Sans"/>
        <family val="2"/>
      </rPr>
      <t xml:space="preserve">九江市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吉安市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赣州市</t>
    </r>
  </si>
  <si>
    <t xml:space="preserve">费用项目</t>
  </si>
  <si>
    <r>
      <rPr>
        <sz val="11"/>
        <color rgb="FF000000"/>
        <rFont val="DejaVu Sans"/>
        <family val="2"/>
      </rPr>
      <t xml:space="preserve">鹰潭市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新余市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上饶市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抚州市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宜春市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景德镇市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萍乡市</t>
    </r>
  </si>
  <si>
    <t xml:space="preserve">工装治具费</t>
  </si>
  <si>
    <t xml:space="preserve">元</t>
  </si>
  <si>
    <r>
      <rPr>
        <sz val="9"/>
        <color rgb="FF808080"/>
        <rFont val="DejaVu Sans"/>
        <family val="2"/>
      </rPr>
      <t xml:space="preserve">装配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测试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波峰焊</t>
    </r>
    <r>
      <rPr>
        <sz val="9"/>
        <color rgb="FF808080"/>
        <rFont val="微软雅黑"/>
        <family val="0"/>
        <charset val="1"/>
      </rPr>
      <t xml:space="preserve">/ICT</t>
    </r>
    <r>
      <rPr>
        <sz val="9"/>
        <color rgb="FF808080"/>
        <rFont val="DejaVu Sans"/>
        <family val="2"/>
      </rPr>
      <t xml:space="preserve">等工装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加工成本明细</t>
    </r>
    <r>
      <rPr>
        <sz val="9"/>
        <color rgb="FF808080"/>
        <rFont val="微软雅黑"/>
        <family val="0"/>
        <charset val="1"/>
      </rPr>
      <t xml:space="preserve">·</t>
    </r>
    <r>
      <rPr>
        <sz val="9"/>
        <color rgb="FF808080"/>
        <rFont val="DejaVu Sans"/>
        <family val="2"/>
      </rPr>
      <t xml:space="preserve">三</t>
    </r>
    <r>
      <rPr>
        <sz val="9"/>
        <color rgb="FF808080"/>
        <rFont val="微软雅黑"/>
        <family val="0"/>
        <charset val="1"/>
      </rPr>
      <t xml:space="preserve">)</t>
    </r>
  </si>
  <si>
    <t xml:space="preserve">昆明市</t>
  </si>
  <si>
    <r>
      <rPr>
        <sz val="10"/>
        <color rgb="FF000000"/>
        <rFont val="微软雅黑"/>
        <family val="0"/>
        <charset val="1"/>
      </rPr>
      <t xml:space="preserve">EPS</t>
    </r>
    <r>
      <rPr>
        <sz val="10"/>
        <color rgb="FF000000"/>
        <rFont val="DejaVu Sans"/>
        <family val="2"/>
      </rPr>
      <t xml:space="preserve">泡沫模具费</t>
    </r>
  </si>
  <si>
    <r>
      <rPr>
        <sz val="9"/>
        <color rgb="FF808080"/>
        <rFont val="DejaVu Sans"/>
        <family val="2"/>
      </rPr>
      <t xml:space="preserve">左右侧泡沫模具，</t>
    </r>
    <r>
      <rPr>
        <sz val="9"/>
        <color rgb="FF808080"/>
        <rFont val="微软雅黑"/>
        <family val="0"/>
        <charset val="1"/>
      </rPr>
      <t xml:space="preserve">N10305002124/25</t>
    </r>
    <r>
      <rPr>
        <sz val="9"/>
        <color rgb="FF808080"/>
        <rFont val="DejaVu Sans"/>
        <family val="2"/>
      </rPr>
      <t xml:space="preserve">共用</t>
    </r>
  </si>
  <si>
    <r>
      <rPr>
        <sz val="11"/>
        <color rgb="FF000000"/>
        <rFont val="DejaVu Sans"/>
        <family val="2"/>
      </rPr>
      <t xml:space="preserve">大理白族自治州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曲靖市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玉溪市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楚雄彝族自治州</t>
    </r>
  </si>
  <si>
    <t xml:space="preserve">一次性合计</t>
  </si>
  <si>
    <t xml:space="preserve">向客户单独收取</t>
  </si>
  <si>
    <r>
      <rPr>
        <sz val="11"/>
        <color rgb="FF000000"/>
        <rFont val="DejaVu Sans"/>
        <family val="2"/>
      </rPr>
      <t xml:space="preserve">西双版纳傣族自治州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德宏傣族景颇族自治州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昭通市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红河哈尼族彝族自治州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文山壮族苗族自治州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普洱市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临沧市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怒江傈僳族自治州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迪庆藏族自治州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丽江市</t>
    </r>
  </si>
  <si>
    <t xml:space="preserve">兰州市</t>
  </si>
  <si>
    <t xml:space="preserve">七、风险检查与对账</t>
  </si>
  <si>
    <r>
      <rPr>
        <sz val="11"/>
        <color rgb="FF000000"/>
        <rFont val="DejaVu Sans"/>
        <family val="2"/>
      </rPr>
      <t xml:space="preserve">临夏回族自治州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定西市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平凉市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庆阳市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金昌市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武威市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嘉峪关市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酒泉市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陇南市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甘南藏族自治州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白银市</t>
    </r>
  </si>
  <si>
    <t xml:space="preserve">检查项</t>
  </si>
  <si>
    <t xml:space="preserve">数值</t>
  </si>
  <si>
    <r>
      <rPr>
        <sz val="11"/>
        <color rgb="FF000000"/>
        <rFont val="DejaVu Sans"/>
        <family val="2"/>
      </rPr>
      <t xml:space="preserve">西安市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</si>
  <si>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客供料品项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清单</t>
    </r>
    <r>
      <rPr>
        <sz val="10"/>
        <color rgb="FF000000"/>
        <rFont val="微软雅黑"/>
        <family val="0"/>
        <charset val="1"/>
      </rPr>
      <t xml:space="preserve">)</t>
    </r>
  </si>
  <si>
    <t xml:space="preserve">项</t>
  </si>
  <si>
    <r>
      <rPr>
        <sz val="9"/>
        <color rgb="FF808080"/>
        <rFont val="DejaVu Sans"/>
        <family val="2"/>
      </rPr>
      <t xml:space="preserve">源表客供料清单</t>
    </r>
    <r>
      <rPr>
        <sz val="9"/>
        <color rgb="FF808080"/>
        <rFont val="微软雅黑"/>
        <family val="0"/>
        <charset val="1"/>
      </rPr>
      <t xml:space="preserve">8</t>
    </r>
    <r>
      <rPr>
        <sz val="9"/>
        <color rgb="FF808080"/>
        <rFont val="DejaVu Sans"/>
        <family val="2"/>
      </rPr>
      <t xml:space="preserve">颗，金额不计入成本</t>
    </r>
  </si>
  <si>
    <r>
      <rPr>
        <sz val="11"/>
        <color rgb="FF000000"/>
        <rFont val="DejaVu Sans"/>
        <family val="2"/>
      </rPr>
      <t xml:space="preserve">宝鸡市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铜川市</t>
    </r>
  </si>
  <si>
    <r>
      <rPr>
        <sz val="10"/>
        <color rgb="FF000000"/>
        <rFont val="微软雅黑"/>
        <family val="0"/>
        <charset val="1"/>
      </rPr>
      <t xml:space="preserve">BOM</t>
    </r>
    <r>
      <rPr>
        <sz val="10"/>
        <color rgb="FF000000"/>
        <rFont val="DejaVu Sans"/>
        <family val="2"/>
      </rPr>
      <t xml:space="preserve">内客供标记项</t>
    </r>
  </si>
  <si>
    <r>
      <rPr>
        <sz val="9"/>
        <color rgb="FF808080"/>
        <rFont val="DejaVu Sans"/>
        <family val="2"/>
      </rPr>
      <t xml:space="preserve">硬件</t>
    </r>
    <r>
      <rPr>
        <sz val="9"/>
        <color rgb="FF808080"/>
        <rFont val="微软雅黑"/>
        <family val="0"/>
        <charset val="1"/>
      </rPr>
      <t xml:space="preserve">BOM</t>
    </r>
    <r>
      <rPr>
        <sz val="9"/>
        <color rgb="FF808080"/>
        <rFont val="DejaVu Sans"/>
        <family val="2"/>
      </rPr>
      <t xml:space="preserve">中单价为</t>
    </r>
    <r>
      <rPr>
        <sz val="9"/>
        <color rgb="FF808080"/>
        <rFont val="微软雅黑"/>
        <family val="0"/>
        <charset val="1"/>
      </rPr>
      <t xml:space="preserve">0</t>
    </r>
    <r>
      <rPr>
        <sz val="9"/>
        <color rgb="FF808080"/>
        <rFont val="DejaVu Sans"/>
        <family val="2"/>
      </rPr>
      <t xml:space="preserve">的国创客供料，应与上行一致</t>
    </r>
  </si>
  <si>
    <r>
      <rPr>
        <sz val="11"/>
        <color rgb="FF000000"/>
        <rFont val="DejaVu Sans"/>
        <family val="2"/>
      </rPr>
      <t xml:space="preserve">延安市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榆林市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渭南市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商洛市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汉中市</t>
    </r>
  </si>
  <si>
    <r>
      <rPr>
        <sz val="10"/>
        <color rgb="FF000000"/>
        <rFont val="DejaVu Sans"/>
        <family val="2"/>
      </rPr>
      <t xml:space="preserve">未报价物料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非客供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</si>
  <si>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9"/>
        <color rgb="FF808080"/>
        <rFont val="DejaVu Sans"/>
        <family val="2"/>
      </rPr>
      <t xml:space="preserve">金额为</t>
    </r>
    <r>
      <rPr>
        <sz val="9"/>
        <color rgb="FF808080"/>
        <rFont val="微软雅黑"/>
        <family val="0"/>
        <charset val="1"/>
      </rPr>
      <t xml:space="preserve">0</t>
    </r>
    <r>
      <rPr>
        <sz val="9"/>
        <color rgb="FF808080"/>
        <rFont val="DejaVu Sans"/>
        <family val="2"/>
      </rPr>
      <t xml:space="preserve">且非客供的物料需补价，</t>
    </r>
    <r>
      <rPr>
        <sz val="9"/>
        <color rgb="FF808080"/>
        <rFont val="微软雅黑"/>
        <family val="0"/>
        <charset val="1"/>
      </rPr>
      <t xml:space="preserve">0</t>
    </r>
    <r>
      <rPr>
        <sz val="9"/>
        <color rgb="FF808080"/>
        <rFont val="DejaVu Sans"/>
        <family val="2"/>
      </rPr>
      <t xml:space="preserve">为正常</t>
    </r>
  </si>
  <si>
    <r>
      <rPr>
        <sz val="11"/>
        <color rgb="FF000000"/>
        <rFont val="DejaVu Sans"/>
        <family val="2"/>
      </rPr>
      <t xml:space="preserve">杭州市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嘉兴市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宁波市</t>
    </r>
  </si>
  <si>
    <r>
      <rPr>
        <sz val="10"/>
        <color rgb="FF000000"/>
        <rFont val="DejaVu Sans"/>
        <family val="2"/>
      </rPr>
      <t xml:space="preserve">客供料参考金额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导入清单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</si>
  <si>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9"/>
        <color rgb="FF808080"/>
        <rFont val="DejaVu Sans"/>
        <family val="2"/>
      </rPr>
      <t xml:space="preserve">按导入清单用量</t>
    </r>
    <r>
      <rPr>
        <sz val="9"/>
        <color rgb="FF808080"/>
        <rFont val="微软雅黑"/>
        <family val="0"/>
        <charset val="1"/>
      </rPr>
      <t xml:space="preserve">×</t>
    </r>
    <r>
      <rPr>
        <sz val="9"/>
        <color rgb="FF808080"/>
        <rFont val="DejaVu Sans"/>
        <family val="2"/>
      </rPr>
      <t xml:space="preserve">单价计算，仅供参考不计入成本</t>
    </r>
  </si>
  <si>
    <r>
      <rPr>
        <sz val="11"/>
        <color rgb="FF000000"/>
        <rFont val="DejaVu Sans"/>
        <family val="2"/>
      </rPr>
      <t xml:space="preserve">湖州市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绍兴市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金华市</t>
    </r>
  </si>
  <si>
    <r>
      <rPr>
        <sz val="10"/>
        <color rgb="FF000000"/>
        <rFont val="DejaVu Sans"/>
        <family val="2"/>
      </rPr>
      <t xml:space="preserve">源表客供合计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对照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</si>
  <si>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9"/>
        <color rgb="FF808080"/>
        <rFont val="DejaVu Sans"/>
        <family val="2"/>
      </rPr>
      <t xml:space="preserve">源表合计</t>
    </r>
    <r>
      <rPr>
        <sz val="9"/>
        <color rgb="FF808080"/>
        <rFont val="微软雅黑"/>
        <family val="0"/>
        <charset val="1"/>
      </rPr>
      <t xml:space="preserve">554.3197</t>
    </r>
    <r>
      <rPr>
        <sz val="9"/>
        <color rgb="FF808080"/>
        <rFont val="DejaVu Sans"/>
        <family val="2"/>
      </rPr>
      <t xml:space="preserve">；与上行差异属源表口径差，不影响报价</t>
    </r>
  </si>
  <si>
    <r>
      <rPr>
        <sz val="11"/>
        <color rgb="FF000000"/>
        <rFont val="DejaVu Sans"/>
        <family val="2"/>
      </rPr>
      <t xml:space="preserve">台州市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温州市</t>
    </r>
  </si>
  <si>
    <r>
      <rPr>
        <sz val="11"/>
        <color rgb="FF000000"/>
        <rFont val="DejaVu Sans"/>
        <family val="2"/>
      </rPr>
      <t xml:space="preserve">衢州市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丽水市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舟山市</t>
    </r>
  </si>
  <si>
    <t xml:space="preserve">呼和浩特市</t>
  </si>
  <si>
    <t xml:space="preserve">包头市</t>
  </si>
  <si>
    <r>
      <rPr>
        <sz val="11"/>
        <color rgb="FF000000"/>
        <rFont val="DejaVu Sans"/>
        <family val="2"/>
      </rPr>
      <t xml:space="preserve">呼伦贝尔市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乌海市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乌兰察布市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通辽市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赤峰市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鄂尔多斯市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巴彦淖尔市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锡林郭勒盟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兴安盟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阿拉善盟</t>
    </r>
  </si>
  <si>
    <t xml:space="preserve">西宁市</t>
  </si>
  <si>
    <r>
      <rPr>
        <sz val="11"/>
        <color rgb="FF000000"/>
        <rFont val="DejaVu Sans"/>
        <family val="2"/>
      </rPr>
      <t xml:space="preserve">海北藏族自治州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海东市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黄南藏族自治州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海南藏族自治州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果洛藏族自治州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玉树藏族自治州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海西蒙古族藏族自治州</t>
    </r>
  </si>
  <si>
    <r>
      <rPr>
        <sz val="11"/>
        <color rgb="FF000000"/>
        <rFont val="DejaVu Sans"/>
        <family val="2"/>
      </rPr>
      <t xml:space="preserve">抚顺市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本溪市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铁岭市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沈阳市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大连市</t>
    </r>
  </si>
  <si>
    <t xml:space="preserve">鞍山市</t>
  </si>
  <si>
    <r>
      <rPr>
        <sz val="11"/>
        <color rgb="FF000000"/>
        <rFont val="DejaVu Sans"/>
        <family val="2"/>
      </rPr>
      <t xml:space="preserve">丹东市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锦州市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营口市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阜新市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朝阳市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盘锦市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葫芦岛市</t>
    </r>
  </si>
  <si>
    <t xml:space="preserve">哈尔滨市</t>
  </si>
  <si>
    <r>
      <rPr>
        <sz val="11"/>
        <color rgb="FF000000"/>
        <rFont val="DejaVu Sans"/>
        <family val="2"/>
      </rPr>
      <t xml:space="preserve">齐齐哈尔市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牡丹江市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佳木斯市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绥化市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黑河市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大兴安岭地区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伊春市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大庆市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七台河市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鸡西市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鹤岗市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双鸭山市</t>
    </r>
  </si>
  <si>
    <t xml:space="preserve">北京市</t>
  </si>
  <si>
    <r>
      <rPr>
        <sz val="11"/>
        <color rgb="FF000000"/>
        <rFont val="DejaVu Sans"/>
        <family val="2"/>
      </rPr>
      <t xml:space="preserve">太原市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晋中市</t>
    </r>
  </si>
  <si>
    <r>
      <rPr>
        <sz val="11"/>
        <color rgb="FF000000"/>
        <rFont val="DejaVu Sans"/>
        <family val="2"/>
      </rPr>
      <t xml:space="preserve">朔州市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忻州市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阳泉市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长治市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晋城市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临汾市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吕梁市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运城市</t>
    </r>
  </si>
  <si>
    <r>
      <rPr>
        <sz val="11"/>
        <color rgb="FF000000"/>
        <rFont val="DejaVu Sans"/>
        <family val="2"/>
      </rPr>
      <t xml:space="preserve">防城港市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桂林市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贵港市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钦州市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北海市</t>
    </r>
  </si>
  <si>
    <t xml:space="preserve">厦门市</t>
  </si>
  <si>
    <r>
      <rPr>
        <sz val="11"/>
        <color rgb="FF000000"/>
        <rFont val="DejaVu Sans"/>
        <family val="2"/>
      </rPr>
      <t xml:space="preserve">莆田市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泉州市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漳州市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龙岩市</t>
    </r>
  </si>
  <si>
    <t xml:space="preserve">福州市</t>
  </si>
  <si>
    <r>
      <rPr>
        <sz val="11"/>
        <color rgb="FF000000"/>
        <rFont val="DejaVu Sans"/>
        <family val="2"/>
      </rPr>
      <t xml:space="preserve">宁德市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三明市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南平市</t>
    </r>
  </si>
  <si>
    <r>
      <rPr>
        <sz val="11"/>
        <color rgb="FF000000"/>
        <rFont val="DejaVu Sans"/>
        <family val="2"/>
      </rPr>
      <t xml:space="preserve">邯郸市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雄安新区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邢台市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阳泉市</t>
    </r>
  </si>
  <si>
    <r>
      <rPr>
        <sz val="11"/>
        <color rgb="FF000000"/>
        <rFont val="DejaVu Sans"/>
        <family val="2"/>
      </rPr>
      <t xml:space="preserve">郴州市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张家界市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怀化市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永州市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铜仁市</t>
    </r>
  </si>
  <si>
    <t xml:space="preserve">贵阳市</t>
  </si>
  <si>
    <r>
      <rPr>
        <sz val="11"/>
        <color rgb="FF000000"/>
        <rFont val="DejaVu Sans"/>
        <family val="2"/>
      </rPr>
      <t xml:space="preserve">遵义市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安顺市</t>
    </r>
  </si>
  <si>
    <r>
      <rPr>
        <sz val="11"/>
        <color rgb="FF000000"/>
        <rFont val="DejaVu Sans"/>
        <family val="2"/>
      </rPr>
      <t xml:space="preserve">鹰潭市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新余市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九江市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上饶市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抚州市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吉安市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赣州市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景德镇市</t>
    </r>
  </si>
  <si>
    <t xml:space="preserve">武汉市</t>
  </si>
  <si>
    <r>
      <rPr>
        <sz val="11"/>
        <color rgb="FF000000"/>
        <rFont val="DejaVu Sans"/>
        <family val="2"/>
      </rPr>
      <t xml:space="preserve">襄阳市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恩施土家族苗族自治州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神农架林区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十堰市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荆门市</t>
    </r>
  </si>
  <si>
    <r>
      <rPr>
        <sz val="11"/>
        <color rgb="FF000000"/>
        <rFont val="DejaVu Sans"/>
        <family val="2"/>
      </rPr>
      <t xml:space="preserve">信阳市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鄂州市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孝感市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黄冈市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黄石市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咸宁市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随州市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潜江市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仙桃市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天门市</t>
    </r>
  </si>
  <si>
    <t xml:space="preserve">滁州市</t>
  </si>
  <si>
    <r>
      <rPr>
        <sz val="11"/>
        <color rgb="FF000000"/>
        <rFont val="DejaVu Sans"/>
        <family val="2"/>
      </rPr>
      <t xml:space="preserve">绵阳市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乐山市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雅安市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德阳市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广元市</t>
    </r>
  </si>
  <si>
    <r>
      <rPr>
        <sz val="11"/>
        <color rgb="FF000000"/>
        <rFont val="DejaVu Sans"/>
        <family val="2"/>
      </rPr>
      <t xml:space="preserve">自贡市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南充市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达州市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遂宁市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广安市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巴中市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泸州市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宜宾市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内江市</t>
    </r>
  </si>
  <si>
    <t xml:space="preserve">盐城市</t>
  </si>
  <si>
    <t xml:space="preserve">无锡市</t>
  </si>
  <si>
    <t xml:space="preserve">南京市</t>
  </si>
  <si>
    <t xml:space="preserve">淮安市</t>
  </si>
  <si>
    <r>
      <rPr>
        <sz val="11"/>
        <color rgb="FF000000"/>
        <rFont val="DejaVu Sans"/>
        <family val="2"/>
      </rPr>
      <t xml:space="preserve">徐州市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连云港市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宿迁市</t>
    </r>
  </si>
  <si>
    <t xml:space="preserve">南通市</t>
  </si>
  <si>
    <r>
      <rPr>
        <sz val="11"/>
        <color rgb="FF000000"/>
        <rFont val="DejaVu Sans"/>
        <family val="2"/>
      </rPr>
      <t xml:space="preserve">抚顺市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本溪市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铁岭市</t>
    </r>
  </si>
  <si>
    <t xml:space="preserve">沈阳市</t>
  </si>
  <si>
    <r>
      <rPr>
        <sz val="11"/>
        <color rgb="FF000000"/>
        <rFont val="DejaVu Sans"/>
        <family val="2"/>
      </rPr>
      <t xml:space="preserve">鞍山市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丹东市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营口市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朝阳市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盘锦市</t>
    </r>
  </si>
  <si>
    <t xml:space="preserve">大连市</t>
  </si>
  <si>
    <r>
      <rPr>
        <sz val="11"/>
        <color rgb="FF000000"/>
        <rFont val="DejaVu Sans"/>
        <family val="2"/>
      </rPr>
      <t xml:space="preserve">运城市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延安市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渭南市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商洛市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安康市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汉中市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宝鸡市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铜川市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天水市</t>
    </r>
  </si>
  <si>
    <r>
      <rPr>
        <sz val="11"/>
        <color rgb="FF000000"/>
        <rFont val="DejaVu Sans"/>
        <family val="2"/>
      </rPr>
      <t xml:space="preserve">吉林市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延边朝鲜族自治州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四平市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通化市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辽源市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松原市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白山市</t>
    </r>
  </si>
  <si>
    <r>
      <rPr>
        <sz val="11"/>
        <color rgb="FF000000"/>
        <rFont val="DejaVu Sans"/>
        <family val="2"/>
      </rPr>
      <t xml:space="preserve">齐齐哈尔市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牡丹江市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佳木斯市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绥化市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鸡西市</t>
    </r>
  </si>
  <si>
    <r>
      <rPr>
        <sz val="11"/>
        <color rgb="FF000000"/>
        <rFont val="DejaVu Sans"/>
        <family val="2"/>
      </rPr>
      <t xml:space="preserve">朔州市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忻州市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大同市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长治市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晋城市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吕梁市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榆林市</t>
    </r>
  </si>
  <si>
    <t xml:space="preserve">石家庄市</t>
  </si>
  <si>
    <r>
      <rPr>
        <sz val="11"/>
        <color rgb="FF000000"/>
        <rFont val="DejaVu Sans"/>
        <family val="2"/>
      </rPr>
      <t xml:space="preserve">岳阳市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益阳市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娄底市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邵阳市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宜春市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萍乡市</t>
    </r>
  </si>
  <si>
    <r>
      <rPr>
        <sz val="11"/>
        <color rgb="FF000000"/>
        <rFont val="DejaVu Sans"/>
        <family val="2"/>
      </rPr>
      <t xml:space="preserve">无锡市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苏州市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南通市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盐城市</t>
    </r>
  </si>
  <si>
    <r>
      <rPr>
        <sz val="11"/>
        <color rgb="FF000000"/>
        <rFont val="DejaVu Sans"/>
        <family val="2"/>
      </rPr>
      <t xml:space="preserve">柳州市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来宾市</t>
    </r>
  </si>
  <si>
    <r>
      <rPr>
        <sz val="11"/>
        <color rgb="FF000000"/>
        <rFont val="DejaVu Sans"/>
        <family val="2"/>
      </rPr>
      <t xml:space="preserve">大理白族自治州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红河哈尼族彝族自治州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曲靖市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玉溪市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楚雄彝族自治州</t>
    </r>
  </si>
  <si>
    <r>
      <rPr>
        <sz val="11"/>
        <color rgb="FF000000"/>
        <rFont val="DejaVu Sans"/>
        <family val="2"/>
      </rPr>
      <t xml:space="preserve">黔南布依族苗族自治州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毕节市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六盘水市</t>
    </r>
  </si>
  <si>
    <r>
      <rPr>
        <sz val="11"/>
        <color rgb="FF000000"/>
        <rFont val="DejaVu Sans"/>
        <family val="2"/>
      </rPr>
      <t xml:space="preserve">镇江市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扬州市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泰州市</t>
    </r>
  </si>
  <si>
    <r>
      <rPr>
        <sz val="11"/>
        <color rgb="FF000000"/>
        <rFont val="DejaVu Sans"/>
        <family val="2"/>
      </rPr>
      <t xml:space="preserve">南通市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盐城市</t>
    </r>
  </si>
  <si>
    <r>
      <rPr>
        <sz val="11"/>
        <color rgb="FF000000"/>
        <rFont val="DejaVu Sans"/>
        <family val="2"/>
      </rPr>
      <t xml:space="preserve">无锡市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苏州市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常州市</t>
    </r>
  </si>
  <si>
    <t xml:space="preserve">廊坊市</t>
  </si>
  <si>
    <r>
      <rPr>
        <sz val="11"/>
        <color rgb="FF000000"/>
        <rFont val="DejaVu Sans"/>
        <family val="2"/>
      </rPr>
      <t xml:space="preserve">邯郸市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石家庄市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保定市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雄安新区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张家口市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承德市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唐山市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沧州市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衡水市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邢台市</t>
    </r>
    <r>
      <rPr>
        <sz val="11"/>
        <color rgb="FF000000"/>
        <rFont val="DejaVu Sans"/>
        <family val="2"/>
        <charset val="1"/>
      </rPr>
      <t xml:space="preserve">/</t>
    </r>
    <r>
      <rPr>
        <sz val="11"/>
        <color rgb="FF000000"/>
        <rFont val="DejaVu Sans"/>
        <family val="2"/>
      </rPr>
      <t xml:space="preserve">秦皇岛市</t>
    </r>
  </si>
  <si>
    <t xml:space="preserve">物料明细</t>
  </si>
  <si>
    <t xml:space="preserve">序号</t>
  </si>
  <si>
    <t xml:space="preserve">物料分类</t>
  </si>
  <si>
    <t xml:space="preserve">物料编码</t>
  </si>
  <si>
    <t xml:space="preserve">物料名称规格</t>
  </si>
  <si>
    <t xml:space="preserve">单机用量</t>
  </si>
  <si>
    <t xml:space="preserve">未税单价</t>
  </si>
  <si>
    <t xml:space="preserve">损耗率</t>
  </si>
  <si>
    <t xml:space="preserve">是否客供</t>
  </si>
  <si>
    <t xml:space="preserve">硬件</t>
  </si>
  <si>
    <t xml:space="preserve">301H030491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</si>
  <si>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RC0805FR-07300KL/0805W8F3003T5E 1/8W,300KΩ,1%,0805(</t>
    </r>
    <r>
      <rPr>
        <sz val="9"/>
        <color rgb="FF808080"/>
        <rFont val="DejaVu Sans"/>
        <family val="2"/>
      </rPr>
      <t xml:space="preserve">国巨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</si>
  <si>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否</t>
  </si>
  <si>
    <t xml:space="preserve">深圳市超利维实业有限公司</t>
  </si>
  <si>
    <t xml:space="preserve">306110396</t>
  </si>
  <si>
    <r>
      <rPr>
        <sz val="9"/>
        <color rgb="FF808080"/>
        <rFont val="DejaVu Sans"/>
        <family val="2"/>
      </rPr>
      <t xml:space="preserve">高压陶瓷电容 </t>
    </r>
    <r>
      <rPr>
        <sz val="9"/>
        <color rgb="FF808080"/>
        <rFont val="微软雅黑"/>
        <family val="0"/>
        <charset val="1"/>
      </rPr>
      <t xml:space="preserve">HGK3AF103ZG3AW 10nF,1KV,P=7.5(</t>
    </r>
    <r>
      <rPr>
        <sz val="9"/>
        <color rgb="FF808080"/>
        <rFont val="DejaVu Sans"/>
        <family val="2"/>
      </rPr>
      <t xml:space="preserve">万明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</si>
  <si>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厦门万明电子有限公司</t>
  </si>
  <si>
    <t xml:space="preserve">3155US1M</t>
  </si>
  <si>
    <r>
      <rPr>
        <sz val="9"/>
        <color rgb="FF808080"/>
        <rFont val="DejaVu Sans"/>
        <family val="2"/>
      </rPr>
      <t xml:space="preserve">超快恢复二极管 </t>
    </r>
    <r>
      <rPr>
        <sz val="9"/>
        <color rgb="FF808080"/>
        <rFont val="微软雅黑"/>
        <family val="0"/>
        <charset val="1"/>
      </rPr>
      <t xml:space="preserve">US1M 1A,1KV,SMA(</t>
    </r>
    <r>
      <rPr>
        <sz val="9"/>
        <color rgb="FF808080"/>
        <rFont val="DejaVu Sans"/>
        <family val="2"/>
      </rPr>
      <t xml:space="preserve">强茂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</si>
  <si>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厦门镁富莱工贸有限公司</t>
  </si>
  <si>
    <t xml:space="preserve">604B03VHZ51R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</si>
  <si>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B3P-VH (JST)(RoHS)</t>
    </r>
  </si>
  <si>
    <t xml:space="preserve">深圳市恒有电子有限公司</t>
  </si>
  <si>
    <t xml:space="preserve">604B05VHZ51R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</si>
  <si>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B5P-VH (JST)(RoHS)</t>
    </r>
  </si>
  <si>
    <t xml:space="preserve">N30101000615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</si>
  <si>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RC1206JR-0775RL/1206W4J0750T5E 1/4W,75Ω,5%,1206(</t>
    </r>
    <r>
      <rPr>
        <sz val="9"/>
        <color rgb="FF808080"/>
        <rFont val="DejaVu Sans"/>
        <family val="2"/>
      </rPr>
      <t xml:space="preserve">国巨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</si>
  <si>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厚声国际贸易（昆山）有限公司</t>
  </si>
  <si>
    <t xml:space="preserve">N30101000894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</si>
  <si>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RC1206FR-0722RL/1206W4F220JT5E 1/4W,22Ω,1%,1206(</t>
    </r>
    <r>
      <rPr>
        <sz val="9"/>
        <color rgb="FF808080"/>
        <rFont val="DejaVu Sans"/>
        <family val="2"/>
      </rPr>
      <t xml:space="preserve">国巨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</si>
  <si>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N30101001049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</si>
  <si>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RC1206FR-076R8L/1206W4F680KT5E 1/4W,6.8Ω,1%,1206(</t>
    </r>
    <r>
      <rPr>
        <sz val="9"/>
        <color rgb="FF808080"/>
        <rFont val="DejaVu Sans"/>
        <family val="2"/>
      </rPr>
      <t xml:space="preserve">国巨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</si>
  <si>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N30101005306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</si>
  <si>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GMR320HJCFAR100 7W,100mΩ,1%,2817(Rohm)(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</si>
  <si>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DejaVu Sans"/>
        <family val="2"/>
      </rPr>
      <t xml:space="preserve">北天星电子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深圳</t>
    </r>
    <r>
      <rPr>
        <sz val="9"/>
        <color rgb="FF808080"/>
        <rFont val="微软雅黑"/>
        <family val="0"/>
        <charset val="1"/>
      </rPr>
      <t xml:space="preserve">)</t>
    </r>
    <r>
      <rPr>
        <sz val="9"/>
        <color rgb="FF808080"/>
        <rFont val="DejaVu Sans"/>
        <family val="2"/>
      </rPr>
      <t xml:space="preserve">有限公司</t>
    </r>
  </si>
  <si>
    <t xml:space="preserve">N30101005309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</si>
  <si>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1210W2F3003T5E 1/2W,300KΩ,1%,1210(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</si>
  <si>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N30103000520</t>
  </si>
  <si>
    <r>
      <rPr>
        <sz val="9"/>
        <color rgb="FF808080"/>
        <rFont val="DejaVu Sans"/>
        <family val="2"/>
      </rPr>
      <t xml:space="preserve">金属膜电阻 </t>
    </r>
    <r>
      <rPr>
        <sz val="9"/>
        <color rgb="FF808080"/>
        <rFont val="微软雅黑"/>
        <family val="0"/>
        <charset val="1"/>
      </rPr>
      <t xml:space="preserve">MF02SJJ0364A10 2WS,360KΩ,5%(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)(HF;RoHS)</t>
    </r>
  </si>
  <si>
    <t xml:space="preserve">N30103000526</t>
  </si>
  <si>
    <r>
      <rPr>
        <sz val="9"/>
        <color rgb="FF808080"/>
        <rFont val="DejaVu Sans"/>
        <family val="2"/>
      </rPr>
      <t xml:space="preserve">金属膜电阻 </t>
    </r>
    <r>
      <rPr>
        <sz val="9"/>
        <color rgb="FF808080"/>
        <rFont val="微软雅黑"/>
        <family val="0"/>
        <charset val="1"/>
      </rPr>
      <t xml:space="preserve">MF01WFF3003A10 1W,300KΩ,1%(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)(HF;RoHS)</t>
    </r>
  </si>
  <si>
    <t xml:space="preserve">N30103000527</t>
  </si>
  <si>
    <r>
      <rPr>
        <sz val="9"/>
        <color rgb="FF808080"/>
        <rFont val="DejaVu Sans"/>
        <family val="2"/>
      </rPr>
      <t xml:space="preserve">金属膜电阻 </t>
    </r>
    <r>
      <rPr>
        <sz val="9"/>
        <color rgb="FF808080"/>
        <rFont val="微软雅黑"/>
        <family val="0"/>
        <charset val="1"/>
      </rPr>
      <t xml:space="preserve">MF02WJJ0753A10 2W,75KΩ,5%(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)(HF;RoHS)</t>
    </r>
  </si>
  <si>
    <t xml:space="preserve">N30111000138</t>
  </si>
  <si>
    <r>
      <rPr>
        <sz val="9"/>
        <color rgb="FF808080"/>
        <rFont val="DejaVu Sans"/>
        <family val="2"/>
      </rPr>
      <t xml:space="preserve">合金电阻 </t>
    </r>
    <r>
      <rPr>
        <sz val="9"/>
        <color rgb="FF808080"/>
        <rFont val="微软雅黑"/>
        <family val="0"/>
        <charset val="1"/>
      </rPr>
      <t xml:space="preserve">DSLR-K-7-3F 7W,3mΩ,1%,5930(</t>
    </r>
    <r>
      <rPr>
        <sz val="9"/>
        <color rgb="FF808080"/>
        <rFont val="DejaVu Sans"/>
        <family val="2"/>
      </rPr>
      <t xml:space="preserve">业展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)(REACH;RoHS)</t>
    </r>
  </si>
  <si>
    <t xml:space="preserve">N30111000139</t>
  </si>
  <si>
    <r>
      <rPr>
        <sz val="9"/>
        <color rgb="FF808080"/>
        <rFont val="DejaVu Sans"/>
        <family val="2"/>
      </rPr>
      <t xml:space="preserve">合金电阻 </t>
    </r>
    <r>
      <rPr>
        <sz val="9"/>
        <color rgb="FF808080"/>
        <rFont val="微软雅黑"/>
        <family val="0"/>
        <charset val="1"/>
      </rPr>
      <t xml:space="preserve">LR123WF200LT4E 3W,200mΩ,1%,2512(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</si>
  <si>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N30199000015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</si>
  <si>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1/4W,0Ω,5%,1206(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</si>
  <si>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厦门美赫电子有限公司</t>
  </si>
  <si>
    <t xml:space="preserve">N30199000022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</si>
  <si>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1/10W,10KΩ,1%,0603(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</si>
  <si>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N30199000047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</si>
  <si>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1/10W,1KΩ,1%,0603(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</si>
  <si>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N30199000075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</si>
  <si>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1/10W,4.7KΩ,1%,0603(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</si>
  <si>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N30199000085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</si>
  <si>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1/10W,20KΩ,1%,0603(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</si>
  <si>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N30199000101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</si>
  <si>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1/10W,2.2KΩ,1%,0603(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</si>
  <si>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N30199000108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</si>
  <si>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1/10W,22KΩ,1%,0603(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</si>
  <si>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N30199000111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</si>
  <si>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1/10W,15KΩ,1%,0603(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</si>
  <si>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N30199000117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</si>
  <si>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1/4W,100Ω,5%,1206(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</si>
  <si>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N30199000127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</si>
  <si>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1/10W,5.6KΩ,1%,0603(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</si>
  <si>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N30199000137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</si>
  <si>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1/10W,470Ω,1%,0603(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</si>
  <si>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N30199000146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</si>
  <si>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1/10W,3KΩ,1%,0603(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</si>
  <si>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N30199000171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</si>
  <si>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1/10W,5.1KΩ,1%,0603(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</si>
  <si>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N30199000219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</si>
  <si>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1/10W,100Ω,1%,0603(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</si>
  <si>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N30199000237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</si>
  <si>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1/10W,510Ω,1%,0603(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</si>
  <si>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N30199000335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</si>
  <si>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1/10W,1.5KΩ,1%,0603(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</si>
  <si>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N30199000342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</si>
  <si>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1/10W,51KΩ,1%,0603(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</si>
  <si>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N30199000397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</si>
  <si>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1/4W,20KΩ,1%,1206(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</si>
  <si>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N30199000444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</si>
  <si>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1/10W,6.2KΩ,1%,0603(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</si>
  <si>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N30199000493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</si>
  <si>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1/4W,120Ω,5%,1206(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</si>
  <si>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N30199000523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</si>
  <si>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1/4W,1KΩ,1%,1206(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</si>
  <si>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N30199000561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</si>
  <si>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1/4W,47Ω,1%,1206(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</si>
  <si>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N30199000577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</si>
  <si>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1/4W,300KΩ,1%,1206(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</si>
  <si>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N30199000605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</si>
  <si>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1/4W,10Ω,1%,1206(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</si>
  <si>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N30199000614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</si>
  <si>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1/10W,7.5KΩ,1%,0603(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</si>
  <si>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N30199000619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</si>
  <si>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1/10W,10.5KΩ,1%,0603(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</si>
  <si>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N30199000620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</si>
  <si>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1/10W,1.2KΩ,1%,0603(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</si>
  <si>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N30199000693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</si>
  <si>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1/10W,0Ω,1%,0603(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</si>
  <si>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N30199000804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</si>
  <si>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1/4W,30Ω,1%,1206(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</si>
  <si>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N30199000819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</si>
  <si>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1/10W,910Ω,1%,0603(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</si>
  <si>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N30301000078</t>
  </si>
  <si>
    <r>
      <rPr>
        <sz val="9"/>
        <color rgb="FF808080"/>
        <rFont val="DejaVu Sans"/>
        <family val="2"/>
      </rPr>
      <t xml:space="preserve">压敏电阻 </t>
    </r>
    <r>
      <rPr>
        <sz val="9"/>
        <color rgb="FF808080"/>
        <rFont val="微软雅黑"/>
        <family val="0"/>
        <charset val="1"/>
      </rPr>
      <t xml:space="preserve">561KD14 (</t>
    </r>
    <r>
      <rPr>
        <sz val="9"/>
        <color rgb="FF808080"/>
        <rFont val="DejaVu Sans"/>
        <family val="2"/>
      </rPr>
      <t xml:space="preserve">君耀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</si>
  <si>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N30301000122</t>
  </si>
  <si>
    <r>
      <rPr>
        <sz val="9"/>
        <color rgb="FF808080"/>
        <rFont val="DejaVu Sans"/>
        <family val="2"/>
      </rPr>
      <t xml:space="preserve">压敏电阻 </t>
    </r>
    <r>
      <rPr>
        <sz val="9"/>
        <color rgb="FF808080"/>
        <rFont val="微软雅黑"/>
        <family val="0"/>
        <charset val="1"/>
      </rPr>
      <t xml:space="preserve">911KD14-TR 550Vac,10%,P=7.5,Φ14(175J)(</t>
    </r>
    <r>
      <rPr>
        <sz val="9"/>
        <color rgb="FF808080"/>
        <rFont val="DejaVu Sans"/>
        <family val="2"/>
      </rPr>
      <t xml:space="preserve">君耀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</si>
  <si>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N30303000192</t>
  </si>
  <si>
    <r>
      <rPr>
        <sz val="9"/>
        <color rgb="FF808080"/>
        <rFont val="微软雅黑"/>
        <family val="0"/>
        <charset val="1"/>
      </rPr>
      <t xml:space="preserve">PTC</t>
    </r>
    <r>
      <rPr>
        <sz val="9"/>
        <color rgb="FF808080"/>
        <rFont val="DejaVu Sans"/>
        <family val="2"/>
      </rPr>
      <t xml:space="preserve">热敏电阻 </t>
    </r>
    <r>
      <rPr>
        <sz val="9"/>
        <color rgb="FF808080"/>
        <rFont val="微软雅黑"/>
        <family val="0"/>
        <charset val="1"/>
      </rPr>
      <t xml:space="preserve">MZ32-47RHAGD03-C 280Vac,7A,47Ω,25%,P=8.5(</t>
    </r>
    <r>
      <rPr>
        <sz val="9"/>
        <color rgb="FF808080"/>
        <rFont val="DejaVu Sans"/>
        <family val="2"/>
      </rPr>
      <t xml:space="preserve">安培龙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</si>
  <si>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深圳安培龙科技股份有限公司</t>
  </si>
  <si>
    <t xml:space="preserve">N30303000193</t>
  </si>
  <si>
    <r>
      <rPr>
        <sz val="9"/>
        <color rgb="FF808080"/>
        <rFont val="微软雅黑"/>
        <family val="0"/>
        <charset val="1"/>
      </rPr>
      <t xml:space="preserve">PTC</t>
    </r>
    <r>
      <rPr>
        <sz val="9"/>
        <color rgb="FF808080"/>
        <rFont val="DejaVu Sans"/>
        <family val="2"/>
      </rPr>
      <t xml:space="preserve">热敏电阻 </t>
    </r>
    <r>
      <rPr>
        <sz val="9"/>
        <color rgb="FF808080"/>
        <rFont val="微软雅黑"/>
        <family val="0"/>
        <charset val="1"/>
      </rPr>
      <t xml:space="preserve">MZ32-68RNAGD01-C 440Vac,27A,68Ω,30%,P=8.5(</t>
    </r>
    <r>
      <rPr>
        <sz val="9"/>
        <color rgb="FF808080"/>
        <rFont val="DejaVu Sans"/>
        <family val="2"/>
      </rPr>
      <t xml:space="preserve">安培龙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</si>
  <si>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N30309000009</t>
  </si>
  <si>
    <r>
      <rPr>
        <sz val="9"/>
        <color rgb="FF808080"/>
        <rFont val="DejaVu Sans"/>
        <family val="2"/>
      </rPr>
      <t xml:space="preserve">电流传感器 </t>
    </r>
    <r>
      <rPr>
        <sz val="9"/>
        <color rgb="FF808080"/>
        <rFont val="微软雅黑"/>
        <family val="0"/>
        <charset val="1"/>
      </rPr>
      <t xml:space="preserve">STK-50PL (</t>
    </r>
    <r>
      <rPr>
        <sz val="9"/>
        <color rgb="FF808080"/>
        <rFont val="DejaVu Sans"/>
        <family val="2"/>
      </rPr>
      <t xml:space="preserve">希磁</t>
    </r>
    <r>
      <rPr>
        <sz val="9"/>
        <color rgb="FF808080"/>
        <rFont val="微软雅黑"/>
        <family val="0"/>
        <charset val="1"/>
      </rPr>
      <t xml:space="preserve">)(JCI </t>
    </r>
    <r>
      <rPr>
        <sz val="9"/>
        <color rgb="FF808080"/>
        <rFont val="DejaVu Sans"/>
        <family val="2"/>
      </rPr>
      <t xml:space="preserve">专用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</si>
  <si>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DejaVu Sans"/>
        <family val="2"/>
      </rPr>
      <t xml:space="preserve">安徽希磁科技股份有限公司（特采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</si>
  <si>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N30501000394</t>
  </si>
  <si>
    <r>
      <rPr>
        <sz val="9"/>
        <color rgb="FF808080"/>
        <rFont val="DejaVu Sans"/>
        <family val="2"/>
      </rPr>
      <t xml:space="preserve">安规薄膜电容 </t>
    </r>
    <r>
      <rPr>
        <sz val="9"/>
        <color rgb="FF808080"/>
        <rFont val="微软雅黑"/>
        <family val="0"/>
        <charset val="1"/>
      </rPr>
      <t xml:space="preserve">(X2) HQX225K0275NAYCCL15S 2.2uF,10%,275Vac,26.5X13X23,P=22.5(</t>
    </r>
    <r>
      <rPr>
        <sz val="9"/>
        <color rgb="FF808080"/>
        <rFont val="DejaVu Sans"/>
        <family val="2"/>
      </rPr>
      <t xml:space="preserve">昱电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</si>
  <si>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厦门大毅电子有限公司</t>
  </si>
  <si>
    <t xml:space="preserve">N30503000105</t>
  </si>
  <si>
    <r>
      <rPr>
        <sz val="9"/>
        <color rgb="FF808080"/>
        <rFont val="DejaVu Sans"/>
        <family val="2"/>
      </rPr>
      <t xml:space="preserve">聚丙烯膜电容 </t>
    </r>
    <r>
      <rPr>
        <sz val="9"/>
        <color rgb="FF808080"/>
        <rFont val="微软雅黑"/>
        <family val="0"/>
        <charset val="1"/>
      </rPr>
      <t xml:space="preserve">C372J105J6SC000 1uF,5%,630V,P=15(</t>
    </r>
    <r>
      <rPr>
        <sz val="9"/>
        <color rgb="FF808080"/>
        <rFont val="DejaVu Sans"/>
        <family val="2"/>
      </rPr>
      <t xml:space="preserve">法拉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</si>
  <si>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厦门法拉电子股份有限公司</t>
  </si>
  <si>
    <t xml:space="preserve">N30503000217</t>
  </si>
  <si>
    <r>
      <rPr>
        <sz val="9"/>
        <color rgb="FF808080"/>
        <rFont val="DejaVu Sans"/>
        <family val="2"/>
      </rPr>
      <t xml:space="preserve">聚丙烯膜电容 </t>
    </r>
    <r>
      <rPr>
        <sz val="9"/>
        <color rgb="FF808080"/>
        <rFont val="微软雅黑"/>
        <family val="0"/>
        <charset val="1"/>
      </rPr>
      <t xml:space="preserve">C322J222J30A301 2.2nF,5%,630Vdc,P=7.5(</t>
    </r>
    <r>
      <rPr>
        <sz val="9"/>
        <color rgb="FF808080"/>
        <rFont val="DejaVu Sans"/>
        <family val="2"/>
      </rPr>
      <t xml:space="preserve">法拉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</si>
  <si>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N30503000218</t>
  </si>
  <si>
    <r>
      <rPr>
        <sz val="9"/>
        <color rgb="FF808080"/>
        <rFont val="DejaVu Sans"/>
        <family val="2"/>
      </rPr>
      <t xml:space="preserve">聚丙烯膜电容 </t>
    </r>
    <r>
      <rPr>
        <sz val="9"/>
        <color rgb="FF808080"/>
        <rFont val="微软雅黑"/>
        <family val="0"/>
        <charset val="1"/>
      </rPr>
      <t xml:space="preserve">C822J102J30A301 1nF,5%,630Vdc,P=7.5(</t>
    </r>
    <r>
      <rPr>
        <sz val="9"/>
        <color rgb="FF808080"/>
        <rFont val="DejaVu Sans"/>
        <family val="2"/>
      </rPr>
      <t xml:space="preserve">法拉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</si>
  <si>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N30503000219</t>
  </si>
  <si>
    <r>
      <rPr>
        <sz val="9"/>
        <color rgb="FF808080"/>
        <rFont val="DejaVu Sans"/>
        <family val="2"/>
      </rPr>
      <t xml:space="preserve">聚丙烯膜电容 </t>
    </r>
    <r>
      <rPr>
        <sz val="9"/>
        <color rgb="FF808080"/>
        <rFont val="微软雅黑"/>
        <family val="0"/>
        <charset val="1"/>
      </rPr>
      <t xml:space="preserve">MKP21-1000V474K 470nF,10%,1KVdc,P=22.5(NJTJ</t>
    </r>
    <r>
      <rPr>
        <sz val="9"/>
        <color rgb="FF808080"/>
        <rFont val="DejaVu Sans"/>
        <family val="2"/>
      </rPr>
      <t xml:space="preserve">专用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华裕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</si>
  <si>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深圳市黑快能科技发展有限公司</t>
  </si>
  <si>
    <t xml:space="preserve">N30503000244</t>
  </si>
  <si>
    <r>
      <rPr>
        <sz val="9"/>
        <color rgb="FF808080"/>
        <rFont val="DejaVu Sans"/>
        <family val="2"/>
      </rPr>
      <t xml:space="preserve">聚丙烯膜电容 </t>
    </r>
    <r>
      <rPr>
        <sz val="9"/>
        <color rgb="FF808080"/>
        <rFont val="微软雅黑"/>
        <family val="0"/>
        <charset val="1"/>
      </rPr>
      <t xml:space="preserve">EZPV1B406MTC 40uF,10%,1.1KVdc,57.5X56X35,P=52.5(</t>
    </r>
    <r>
      <rPr>
        <sz val="9"/>
        <color rgb="FF808080"/>
        <rFont val="DejaVu Sans"/>
        <family val="2"/>
      </rPr>
      <t xml:space="preserve">国创提供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符合</t>
    </r>
    <r>
      <rPr>
        <sz val="9"/>
        <color rgb="FF808080"/>
        <rFont val="微软雅黑"/>
        <family val="0"/>
        <charset val="1"/>
      </rPr>
      <t xml:space="preserve">AEC-Q200)(Panasonic)(RoHS)</t>
    </r>
  </si>
  <si>
    <r>
      <rPr>
        <sz val="9"/>
        <color rgb="FF808080"/>
        <rFont val="DejaVu Sans"/>
        <family val="2"/>
      </rPr>
      <t xml:space="preserve">客供料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源</t>
    </r>
    <r>
      <rPr>
        <sz val="9"/>
        <color rgb="FF808080"/>
        <rFont val="微软雅黑"/>
        <family val="0"/>
        <charset val="1"/>
      </rPr>
      <t xml:space="preserve">BOM</t>
    </r>
    <r>
      <rPr>
        <sz val="9"/>
        <color rgb="FF808080"/>
        <rFont val="DejaVu Sans"/>
        <family val="2"/>
      </rPr>
      <t xml:space="preserve">单价</t>
    </r>
    <r>
      <rPr>
        <sz val="9"/>
        <color rgb="FF808080"/>
        <rFont val="微软雅黑"/>
        <family val="0"/>
        <charset val="1"/>
      </rPr>
      <t xml:space="preserve">0</t>
    </r>
    <r>
      <rPr>
        <sz val="9"/>
        <color rgb="FF808080"/>
        <rFont val="DejaVu Sans"/>
        <family val="2"/>
      </rPr>
      <t xml:space="preserve">，不计入成本</t>
    </r>
    <r>
      <rPr>
        <sz val="9"/>
        <color rgb="FF808080"/>
        <rFont val="微软雅黑"/>
        <family val="0"/>
        <charset val="1"/>
      </rPr>
      <t xml:space="preserve">)</t>
    </r>
    <r>
      <rPr>
        <sz val="9"/>
        <color rgb="FF808080"/>
        <rFont val="DejaVu Sans"/>
        <family val="2"/>
      </rPr>
      <t xml:space="preserve">；</t>
    </r>
    <r>
      <rPr>
        <sz val="9"/>
        <color rgb="FF808080"/>
        <rFont val="微软雅黑"/>
        <family val="0"/>
        <charset val="1"/>
      </rPr>
      <t xml:space="preserve">20251014</t>
    </r>
    <r>
      <rPr>
        <sz val="9"/>
        <color rgb="FF808080"/>
        <rFont val="DejaVu Sans"/>
        <family val="2"/>
      </rPr>
      <t xml:space="preserve">业务邮件通知客供料</t>
    </r>
  </si>
  <si>
    <t xml:space="preserve">N30506000898</t>
  </si>
  <si>
    <r>
      <rPr>
        <sz val="9"/>
        <color rgb="FF808080"/>
        <rFont val="DejaVu Sans"/>
        <family val="2"/>
      </rPr>
      <t xml:space="preserve">铝电解电容 </t>
    </r>
    <r>
      <rPr>
        <sz val="9"/>
        <color rgb="FF808080"/>
        <rFont val="微软雅黑"/>
        <family val="0"/>
        <charset val="1"/>
      </rPr>
      <t xml:space="preserve">YXJ 16YXJ220MT16.3X11 220uF,20%,16V,105℃,6.3X11,P=2.5(Rubycon)(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</si>
  <si>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厦门埃尔华进出口有限公司</t>
  </si>
  <si>
    <t xml:space="preserve">N30506001051</t>
  </si>
  <si>
    <r>
      <rPr>
        <sz val="9"/>
        <color rgb="FF808080"/>
        <rFont val="DejaVu Sans"/>
        <family val="2"/>
      </rPr>
      <t xml:space="preserve">铝电解电容 </t>
    </r>
    <r>
      <rPr>
        <sz val="9"/>
        <color rgb="FF808080"/>
        <rFont val="微软雅黑"/>
        <family val="0"/>
        <charset val="1"/>
      </rPr>
      <t xml:space="preserve">35YXJ100MT16.3X11 100uF,20%,35V,105℃,6.3X11,P=2.5(Rubycon)(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</si>
  <si>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N30506001064</t>
  </si>
  <si>
    <r>
      <rPr>
        <sz val="9"/>
        <color rgb="FF808080"/>
        <rFont val="DejaVu Sans"/>
        <family val="2"/>
      </rPr>
      <t xml:space="preserve">铝电解电容 </t>
    </r>
    <r>
      <rPr>
        <sz val="9"/>
        <color rgb="FF808080"/>
        <rFont val="微软雅黑"/>
        <family val="0"/>
        <charset val="1"/>
      </rPr>
      <t xml:space="preserve">35YXJ470MT810X16 470uF,20%,35V,105℃,10X16,P=5(Rubycon)(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</si>
  <si>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N30506001069</t>
  </si>
  <si>
    <r>
      <rPr>
        <sz val="9"/>
        <color rgb="FF808080"/>
        <rFont val="DejaVu Sans"/>
        <family val="2"/>
      </rPr>
      <t xml:space="preserve">铝电解电容 </t>
    </r>
    <r>
      <rPr>
        <sz val="9"/>
        <color rgb="FF808080"/>
        <rFont val="微软雅黑"/>
        <family val="0"/>
        <charset val="1"/>
      </rPr>
      <t xml:space="preserve">50YXF47MT16.3X11 47uF,20%,50V,105℃,6.3X11,P=2.5(Rubycon)(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</si>
  <si>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N30506002046</t>
  </si>
  <si>
    <r>
      <rPr>
        <sz val="9"/>
        <color rgb="FF808080"/>
        <rFont val="DejaVu Sans"/>
        <family val="2"/>
      </rPr>
      <t xml:space="preserve">铝电解电容 </t>
    </r>
    <r>
      <rPr>
        <sz val="9"/>
        <color rgb="FF808080"/>
        <rFont val="微软雅黑"/>
        <family val="0"/>
        <charset val="1"/>
      </rPr>
      <t xml:space="preserve">LB1E471MF160B35CE0 470uF,20%,25V,105℃,8X16,P=3.5,6000h(</t>
    </r>
    <r>
      <rPr>
        <sz val="9"/>
        <color rgb="FF808080"/>
        <rFont val="DejaVu Sans"/>
        <family val="2"/>
      </rPr>
      <t xml:space="preserve">华威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</si>
  <si>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常州华威电子有限公司</t>
  </si>
  <si>
    <t xml:space="preserve">N30506002166</t>
  </si>
  <si>
    <r>
      <rPr>
        <sz val="9"/>
        <color rgb="FF808080"/>
        <rFont val="DejaVu Sans"/>
        <family val="2"/>
      </rPr>
      <t xml:space="preserve">铝电解电容 </t>
    </r>
    <r>
      <rPr>
        <sz val="9"/>
        <color rgb="FF808080"/>
        <rFont val="微软雅黑"/>
        <family val="0"/>
        <charset val="1"/>
      </rPr>
      <t xml:space="preserve">ELT2WM152Y80LTSP 1500uF,20%,450V,105℃,40X80,P=14.2,5000h(</t>
    </r>
    <r>
      <rPr>
        <sz val="9"/>
        <color rgb="FF808080"/>
        <rFont val="DejaVu Sans"/>
        <family val="2"/>
      </rPr>
      <t xml:space="preserve">艾华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</si>
  <si>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湖南艾华集团股份有限公司</t>
  </si>
  <si>
    <t xml:space="preserve">N30508000060</t>
  </si>
  <si>
    <r>
      <rPr>
        <sz val="9"/>
        <color rgb="FF808080"/>
        <rFont val="DejaVu Sans"/>
        <family val="2"/>
      </rPr>
      <t xml:space="preserve">安规陶瓷电容 </t>
    </r>
    <r>
      <rPr>
        <sz val="9"/>
        <color rgb="FF808080"/>
        <rFont val="微软雅黑"/>
        <family val="0"/>
        <charset val="1"/>
      </rPr>
      <t xml:space="preserve">(X1Y1) CD45-E2GA222M-VKA 2.2nF,20%,(X1)440Vac,(Y1)400Vac,P=10(TDK)(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</si>
  <si>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瑞瑜国际贸易（上海）有限公司</t>
  </si>
  <si>
    <t xml:space="preserve">N30515002473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</si>
  <si>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0805B475K500NT X7R,4.7uF,10%,50V,0805(</t>
    </r>
    <r>
      <rPr>
        <sz val="9"/>
        <color rgb="FF808080"/>
        <rFont val="DejaVu Sans"/>
        <family val="2"/>
      </rPr>
      <t xml:space="preserve">风华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</si>
  <si>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N30599000004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</si>
  <si>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X7R,100nF,10%,50V,0603(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</si>
  <si>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N30599000010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</si>
  <si>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NP0,100pF,5%,50V,0603(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</si>
  <si>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N30599000011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</si>
  <si>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X7R,1nF,10%,50V,0603(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</si>
  <si>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N30599000014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</si>
  <si>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X7R,10nF,10%,50V,0603(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</si>
  <si>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N30599000017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</si>
  <si>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X7R,100nF,10%,50V,1206(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</si>
  <si>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N30599000047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</si>
  <si>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X7R,3.3nF,10%,50V,0603(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</si>
  <si>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N30599000063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</si>
  <si>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X7R,220nF,10%,50V,0603(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</si>
  <si>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r>
      <rPr>
        <sz val="9"/>
        <color rgb="FF808080"/>
        <rFont val="DejaVu Sans"/>
        <family val="2"/>
      </rPr>
      <t xml:space="preserve">深圳市集财实业有限公司（</t>
    </r>
    <r>
      <rPr>
        <sz val="9"/>
        <color rgb="FF808080"/>
        <rFont val="微软雅黑"/>
        <family val="0"/>
        <charset val="1"/>
      </rPr>
      <t xml:space="preserve">ZZ</t>
    </r>
    <r>
      <rPr>
        <sz val="9"/>
        <color rgb="FF808080"/>
        <rFont val="DejaVu Sans"/>
        <family val="2"/>
      </rPr>
      <t xml:space="preserve">）</t>
    </r>
  </si>
  <si>
    <t xml:space="preserve">N30599000084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</si>
  <si>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X7R,470pF,10%,250V,1206(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</si>
  <si>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厦门翔烨云供应链科技有限公司</t>
  </si>
  <si>
    <t xml:space="preserve">N30599000125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</si>
  <si>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X7R,1uF,10%,50V,0603(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</si>
  <si>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N30599000312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</si>
  <si>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X7R,470pF,10%,50V,0603(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</si>
  <si>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N30599000342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</si>
  <si>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X6S,10uF,10%,35V,0805(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</si>
  <si>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苏州巨宏达电工科技有限公司</t>
  </si>
  <si>
    <t xml:space="preserve">N31301000176</t>
  </si>
  <si>
    <r>
      <rPr>
        <sz val="9"/>
        <color rgb="FF808080"/>
        <rFont val="DejaVu Sans"/>
        <family val="2"/>
      </rPr>
      <t xml:space="preserve">光耦 </t>
    </r>
    <r>
      <rPr>
        <sz val="9"/>
        <color rgb="FF808080"/>
        <rFont val="微软雅黑"/>
        <family val="0"/>
        <charset val="1"/>
      </rPr>
      <t xml:space="preserve">PC817X3NIP SOP4(RankC)(Sharp)(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</si>
  <si>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N31306000294</t>
  </si>
  <si>
    <r>
      <rPr>
        <sz val="9"/>
        <color rgb="FF808080"/>
        <rFont val="DejaVu Sans"/>
        <family val="2"/>
      </rPr>
      <t xml:space="preserve">发光二极管 </t>
    </r>
    <r>
      <rPr>
        <sz val="9"/>
        <color rgb="FF808080"/>
        <rFont val="微软雅黑"/>
        <family val="0"/>
        <charset val="1"/>
      </rPr>
      <t xml:space="preserve">LTST-C191KRKT-EL </t>
    </r>
    <r>
      <rPr>
        <sz val="9"/>
        <color rgb="FF808080"/>
        <rFont val="DejaVu Sans"/>
        <family val="2"/>
      </rPr>
      <t xml:space="preserve">红色</t>
    </r>
    <r>
      <rPr>
        <sz val="9"/>
        <color rgb="FF808080"/>
        <rFont val="微软雅黑"/>
        <family val="0"/>
        <charset val="1"/>
      </rPr>
      <t xml:space="preserve">,0603(</t>
    </r>
    <r>
      <rPr>
        <sz val="9"/>
        <color rgb="FF808080"/>
        <rFont val="DejaVu Sans"/>
        <family val="2"/>
      </rPr>
      <t xml:space="preserve">亮度</t>
    </r>
    <r>
      <rPr>
        <sz val="9"/>
        <color rgb="FF808080"/>
        <rFont val="微软雅黑"/>
        <family val="0"/>
        <charset val="1"/>
      </rPr>
      <t xml:space="preserve">:M,N,</t>
    </r>
    <r>
      <rPr>
        <sz val="9"/>
        <color rgb="FF808080"/>
        <rFont val="DejaVu Sans"/>
        <family val="2"/>
      </rPr>
      <t xml:space="preserve">波长</t>
    </r>
    <r>
      <rPr>
        <sz val="9"/>
        <color rgb="FF808080"/>
        <rFont val="微软雅黑"/>
        <family val="0"/>
        <charset val="1"/>
      </rPr>
      <t xml:space="preserve">:630nm,</t>
    </r>
    <r>
      <rPr>
        <sz val="9"/>
        <color rgb="FF808080"/>
        <rFont val="DejaVu Sans"/>
        <family val="2"/>
      </rPr>
      <t xml:space="preserve">电压</t>
    </r>
    <r>
      <rPr>
        <sz val="9"/>
        <color rgb="FF808080"/>
        <rFont val="微软雅黑"/>
        <family val="0"/>
        <charset val="1"/>
      </rPr>
      <t xml:space="preserve">:ALL)(</t>
    </r>
    <r>
      <rPr>
        <sz val="9"/>
        <color rgb="FF808080"/>
        <rFont val="DejaVu Sans"/>
        <family val="2"/>
      </rPr>
      <t xml:space="preserve">光宝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</si>
  <si>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N31306000469</t>
  </si>
  <si>
    <r>
      <rPr>
        <sz val="9"/>
        <color rgb="FF808080"/>
        <rFont val="DejaVu Sans"/>
        <family val="2"/>
      </rPr>
      <t xml:space="preserve">发光二极管 </t>
    </r>
    <r>
      <rPr>
        <sz val="9"/>
        <color rgb="FF808080"/>
        <rFont val="微软雅黑"/>
        <family val="0"/>
        <charset val="1"/>
      </rPr>
      <t xml:space="preserve">LTST-C191TBKT-5A </t>
    </r>
    <r>
      <rPr>
        <sz val="9"/>
        <color rgb="FF808080"/>
        <rFont val="DejaVu Sans"/>
        <family val="2"/>
      </rPr>
      <t xml:space="preserve">蓝色</t>
    </r>
    <r>
      <rPr>
        <sz val="9"/>
        <color rgb="FF808080"/>
        <rFont val="微软雅黑"/>
        <family val="0"/>
        <charset val="1"/>
      </rPr>
      <t xml:space="preserve">,0603(</t>
    </r>
    <r>
      <rPr>
        <sz val="9"/>
        <color rgb="FF808080"/>
        <rFont val="DejaVu Sans"/>
        <family val="2"/>
      </rPr>
      <t xml:space="preserve">亮度</t>
    </r>
    <r>
      <rPr>
        <sz val="9"/>
        <color rgb="FF808080"/>
        <rFont val="微软雅黑"/>
        <family val="0"/>
        <charset val="1"/>
      </rPr>
      <t xml:space="preserve">:M1/M2,</t>
    </r>
    <r>
      <rPr>
        <sz val="9"/>
        <color rgb="FF808080"/>
        <rFont val="DejaVu Sans"/>
        <family val="2"/>
      </rPr>
      <t xml:space="preserve">波长</t>
    </r>
    <r>
      <rPr>
        <sz val="9"/>
        <color rgb="FF808080"/>
        <rFont val="微软雅黑"/>
        <family val="0"/>
        <charset val="1"/>
      </rPr>
      <t xml:space="preserve">:ALL,</t>
    </r>
    <r>
      <rPr>
        <sz val="9"/>
        <color rgb="FF808080"/>
        <rFont val="DejaVu Sans"/>
        <family val="2"/>
      </rPr>
      <t xml:space="preserve">电压</t>
    </r>
    <r>
      <rPr>
        <sz val="9"/>
        <color rgb="FF808080"/>
        <rFont val="微软雅黑"/>
        <family val="0"/>
        <charset val="1"/>
      </rPr>
      <t xml:space="preserve">:ALL)(</t>
    </r>
    <r>
      <rPr>
        <sz val="9"/>
        <color rgb="FF808080"/>
        <rFont val="DejaVu Sans"/>
        <family val="2"/>
      </rPr>
      <t xml:space="preserve">光宝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</si>
  <si>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PAN Elektron (Hong-Kong) Co., Limited</t>
  </si>
  <si>
    <t xml:space="preserve">N31306000791</t>
  </si>
  <si>
    <r>
      <rPr>
        <sz val="9"/>
        <color rgb="FF808080"/>
        <rFont val="DejaVu Sans"/>
        <family val="2"/>
      </rPr>
      <t xml:space="preserve">发光二极管 </t>
    </r>
    <r>
      <rPr>
        <sz val="9"/>
        <color rgb="FF808080"/>
        <rFont val="微软雅黑"/>
        <family val="0"/>
        <charset val="1"/>
      </rPr>
      <t xml:space="preserve">RF-GNB191TS-CF </t>
    </r>
    <r>
      <rPr>
        <sz val="9"/>
        <color rgb="FF808080"/>
        <rFont val="DejaVu Sans"/>
        <family val="2"/>
      </rPr>
      <t xml:space="preserve">翠绿色</t>
    </r>
    <r>
      <rPr>
        <sz val="9"/>
        <color rgb="FF808080"/>
        <rFont val="微软雅黑"/>
        <family val="0"/>
        <charset val="1"/>
      </rPr>
      <t xml:space="preserve">,0603(</t>
    </r>
    <r>
      <rPr>
        <sz val="9"/>
        <color rgb="FF808080"/>
        <rFont val="DejaVu Sans"/>
        <family val="2"/>
      </rPr>
      <t xml:space="preserve">亮度</t>
    </r>
    <r>
      <rPr>
        <sz val="9"/>
        <color rgb="FF808080"/>
        <rFont val="微软雅黑"/>
        <family val="0"/>
        <charset val="1"/>
      </rPr>
      <t xml:space="preserve">:430-1000mcd,</t>
    </r>
    <r>
      <rPr>
        <sz val="9"/>
        <color rgb="FF808080"/>
        <rFont val="DejaVu Sans"/>
        <family val="2"/>
      </rPr>
      <t xml:space="preserve">波长</t>
    </r>
    <r>
      <rPr>
        <sz val="9"/>
        <color rgb="FF808080"/>
        <rFont val="微软雅黑"/>
        <family val="0"/>
        <charset val="1"/>
      </rPr>
      <t xml:space="preserve">:520-526nm,</t>
    </r>
    <r>
      <rPr>
        <sz val="9"/>
        <color rgb="FF808080"/>
        <rFont val="DejaVu Sans"/>
        <family val="2"/>
      </rPr>
      <t xml:space="preserve">电压</t>
    </r>
    <r>
      <rPr>
        <sz val="9"/>
        <color rgb="FF808080"/>
        <rFont val="微软雅黑"/>
        <family val="0"/>
        <charset val="1"/>
      </rPr>
      <t xml:space="preserve">:2.7-3.3V)(</t>
    </r>
    <r>
      <rPr>
        <sz val="9"/>
        <color rgb="FF808080"/>
        <rFont val="DejaVu Sans"/>
        <family val="2"/>
      </rPr>
      <t xml:space="preserve">瑞丰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</si>
  <si>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DejaVu Sans"/>
        <family val="2"/>
      </rPr>
      <t xml:space="preserve">深圳市瑞丰光电子股份有限公司（</t>
    </r>
    <r>
      <rPr>
        <sz val="9"/>
        <color rgb="FF808080"/>
        <rFont val="微软雅黑"/>
        <family val="0"/>
        <charset val="1"/>
      </rPr>
      <t xml:space="preserve">ZZ</t>
    </r>
    <r>
      <rPr>
        <sz val="9"/>
        <color rgb="FF808080"/>
        <rFont val="DejaVu Sans"/>
        <family val="2"/>
      </rPr>
      <t xml:space="preserve">）</t>
    </r>
  </si>
  <si>
    <t xml:space="preserve">N31501000361</t>
  </si>
  <si>
    <r>
      <rPr>
        <sz val="9"/>
        <color rgb="FF808080"/>
        <rFont val="DejaVu Sans"/>
        <family val="2"/>
      </rPr>
      <t xml:space="preserve">超快恢复二极管 </t>
    </r>
    <r>
      <rPr>
        <sz val="9"/>
        <color rgb="FF808080"/>
        <rFont val="微软雅黑"/>
        <family val="0"/>
        <charset val="1"/>
      </rPr>
      <t xml:space="preserve">US1D 1A,200V,SMA(</t>
    </r>
    <r>
      <rPr>
        <sz val="9"/>
        <color rgb="FF808080"/>
        <rFont val="DejaVu Sans"/>
        <family val="2"/>
      </rPr>
      <t xml:space="preserve">强茂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</si>
  <si>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DejaVu Sans"/>
        <family val="2"/>
      </rPr>
      <t xml:space="preserve">广州市洲光源电子有限公司（</t>
    </r>
    <r>
      <rPr>
        <sz val="9"/>
        <color rgb="FF808080"/>
        <rFont val="微软雅黑"/>
        <family val="0"/>
        <charset val="1"/>
      </rPr>
      <t xml:space="preserve">ZZ</t>
    </r>
    <r>
      <rPr>
        <sz val="9"/>
        <color rgb="FF808080"/>
        <rFont val="DejaVu Sans"/>
        <family val="2"/>
      </rPr>
      <t xml:space="preserve">）</t>
    </r>
  </si>
  <si>
    <t xml:space="preserve">N31503000090</t>
  </si>
  <si>
    <r>
      <rPr>
        <sz val="9"/>
        <color rgb="FF808080"/>
        <rFont val="DejaVu Sans"/>
        <family val="2"/>
      </rPr>
      <t xml:space="preserve">整流桥 </t>
    </r>
    <r>
      <rPr>
        <sz val="9"/>
        <color rgb="FF808080"/>
        <rFont val="微软雅黑"/>
        <family val="0"/>
        <charset val="1"/>
      </rPr>
      <t xml:space="preserve">GBJ25M 25A,1KV(</t>
    </r>
    <r>
      <rPr>
        <sz val="9"/>
        <color rgb="FF808080"/>
        <rFont val="DejaVu Sans"/>
        <family val="2"/>
      </rPr>
      <t xml:space="preserve">固锝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</si>
  <si>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厦门立锝电子有限公司</t>
  </si>
  <si>
    <t xml:space="preserve">N31504000059</t>
  </si>
  <si>
    <r>
      <rPr>
        <sz val="9"/>
        <color rgb="FF808080"/>
        <rFont val="DejaVu Sans"/>
        <family val="2"/>
      </rPr>
      <t xml:space="preserve">开关二极管 </t>
    </r>
    <r>
      <rPr>
        <sz val="9"/>
        <color rgb="FF808080"/>
        <rFont val="微软雅黑"/>
        <family val="0"/>
        <charset val="1"/>
      </rPr>
      <t xml:space="preserve">1N4148WX-TP 150mA,100V,SOD323(MCC)(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</si>
  <si>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DejaVu Sans"/>
        <family val="2"/>
      </rPr>
      <t xml:space="preserve">厦门科力通电子科技有公司（</t>
    </r>
    <r>
      <rPr>
        <sz val="9"/>
        <color rgb="FF808080"/>
        <rFont val="微软雅黑"/>
        <family val="0"/>
        <charset val="1"/>
      </rPr>
      <t xml:space="preserve">ZZ</t>
    </r>
    <r>
      <rPr>
        <sz val="9"/>
        <color rgb="FF808080"/>
        <rFont val="DejaVu Sans"/>
        <family val="2"/>
      </rPr>
      <t xml:space="preserve">）</t>
    </r>
  </si>
  <si>
    <t xml:space="preserve">N31504000155</t>
  </si>
  <si>
    <r>
      <rPr>
        <sz val="9"/>
        <color rgb="FF808080"/>
        <rFont val="DejaVu Sans"/>
        <family val="2"/>
      </rPr>
      <t xml:space="preserve">开关二极管 </t>
    </r>
    <r>
      <rPr>
        <sz val="9"/>
        <color rgb="FF808080"/>
        <rFont val="微软雅黑"/>
        <family val="0"/>
        <charset val="1"/>
      </rPr>
      <t xml:space="preserve">BAV99 200mA,70V,SOT23(</t>
    </r>
    <r>
      <rPr>
        <sz val="9"/>
        <color rgb="FF808080"/>
        <rFont val="DejaVu Sans"/>
        <family val="2"/>
      </rPr>
      <t xml:space="preserve">晶导微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</si>
  <si>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N31507000185</t>
  </si>
  <si>
    <r>
      <rPr>
        <sz val="9"/>
        <color rgb="FF808080"/>
        <rFont val="微软雅黑"/>
        <family val="0"/>
        <charset val="1"/>
      </rPr>
      <t xml:space="preserve">TVS SMBJ20A-13 600W,20V,SMB(Diodes)(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</si>
  <si>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厦门格亚电子科技有限公司</t>
  </si>
  <si>
    <t xml:space="preserve">N31507000282</t>
  </si>
  <si>
    <r>
      <rPr>
        <sz val="9"/>
        <color rgb="FF808080"/>
        <rFont val="微软雅黑"/>
        <family val="0"/>
        <charset val="1"/>
      </rPr>
      <t xml:space="preserve">TVS P6SMB200A 600W,171V,SMB(</t>
    </r>
    <r>
      <rPr>
        <sz val="9"/>
        <color rgb="FF808080"/>
        <rFont val="DejaVu Sans"/>
        <family val="2"/>
      </rPr>
      <t xml:space="preserve">固锝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</si>
  <si>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DejaVu Sans"/>
        <family val="2"/>
      </rPr>
      <t xml:space="preserve">深圳市威斯创电子有限公司（</t>
    </r>
    <r>
      <rPr>
        <sz val="9"/>
        <color rgb="FF808080"/>
        <rFont val="微软雅黑"/>
        <family val="0"/>
        <charset val="1"/>
      </rPr>
      <t xml:space="preserve">ZZ</t>
    </r>
    <r>
      <rPr>
        <sz val="9"/>
        <color rgb="FF808080"/>
        <rFont val="DejaVu Sans"/>
        <family val="2"/>
      </rPr>
      <t xml:space="preserve">）</t>
    </r>
  </si>
  <si>
    <t xml:space="preserve">N31507000686</t>
  </si>
  <si>
    <r>
      <rPr>
        <sz val="9"/>
        <color rgb="FF808080"/>
        <rFont val="微软雅黑"/>
        <family val="0"/>
        <charset val="1"/>
      </rPr>
      <t xml:space="preserve">TVS SMF20CA 200W,20V,SOD123FL(</t>
    </r>
    <r>
      <rPr>
        <sz val="9"/>
        <color rgb="FF808080"/>
        <rFont val="DejaVu Sans"/>
        <family val="2"/>
      </rPr>
      <t xml:space="preserve">扬杰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</si>
  <si>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N31511000054</t>
  </si>
  <si>
    <r>
      <rPr>
        <sz val="9"/>
        <color rgb="FF808080"/>
        <rFont val="DejaVu Sans"/>
        <family val="2"/>
      </rPr>
      <t xml:space="preserve">超快恢复二极管 </t>
    </r>
    <r>
      <rPr>
        <sz val="9"/>
        <color rgb="FF808080"/>
        <rFont val="微软雅黑"/>
        <family val="0"/>
        <charset val="1"/>
      </rPr>
      <t xml:space="preserve">US1Q-TP 1A,1.2KV,SMA(MCC)(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</si>
  <si>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N31513000020</t>
  </si>
  <si>
    <r>
      <rPr>
        <sz val="9"/>
        <color rgb="FF808080"/>
        <rFont val="微软雅黑"/>
        <family val="0"/>
        <charset val="1"/>
      </rPr>
      <t xml:space="preserve">ESD</t>
    </r>
    <r>
      <rPr>
        <sz val="9"/>
        <color rgb="FF808080"/>
        <rFont val="DejaVu Sans"/>
        <family val="2"/>
      </rPr>
      <t xml:space="preserve">保护二极管 </t>
    </r>
    <r>
      <rPr>
        <sz val="9"/>
        <color rgb="FF808080"/>
        <rFont val="微软雅黑"/>
        <family val="0"/>
        <charset val="1"/>
      </rPr>
      <t xml:space="preserve">ASM712H 12V,SOT23(</t>
    </r>
    <r>
      <rPr>
        <sz val="9"/>
        <color rgb="FF808080"/>
        <rFont val="DejaVu Sans"/>
        <family val="2"/>
      </rPr>
      <t xml:space="preserve">扬杰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</si>
  <si>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N31599000074</t>
  </si>
  <si>
    <r>
      <rPr>
        <sz val="9"/>
        <color rgb="FF808080"/>
        <rFont val="DejaVu Sans"/>
        <family val="2"/>
      </rPr>
      <t xml:space="preserve">超快恢复二极管 </t>
    </r>
    <r>
      <rPr>
        <sz val="9"/>
        <color rgb="FF808080"/>
        <rFont val="微软雅黑"/>
        <family val="0"/>
        <charset val="1"/>
      </rPr>
      <t xml:space="preserve">ES2D 2A,200V,SMB(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</si>
  <si>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N31701000323</t>
  </si>
  <si>
    <r>
      <rPr>
        <sz val="9"/>
        <color rgb="FF808080"/>
        <rFont val="DejaVu Sans"/>
        <family val="2"/>
      </rPr>
      <t xml:space="preserve">三极管 </t>
    </r>
    <r>
      <rPr>
        <sz val="9"/>
        <color rgb="FF808080"/>
        <rFont val="微软雅黑"/>
        <family val="0"/>
        <charset val="1"/>
      </rPr>
      <t xml:space="preserve">DTC143ECA-TP SOT23,NPN(</t>
    </r>
    <r>
      <rPr>
        <sz val="9"/>
        <color rgb="FF808080"/>
        <rFont val="DejaVu Sans"/>
        <family val="2"/>
      </rPr>
      <t xml:space="preserve">内置电阻</t>
    </r>
    <r>
      <rPr>
        <sz val="9"/>
        <color rgb="FF808080"/>
        <rFont val="微软雅黑"/>
        <family val="0"/>
        <charset val="1"/>
      </rPr>
      <t xml:space="preserve">4.7K)(MCC)(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</si>
  <si>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厦门科力通电子科技有限公司</t>
  </si>
  <si>
    <t xml:space="preserve">N31701000756</t>
  </si>
  <si>
    <r>
      <rPr>
        <sz val="9"/>
        <color rgb="FF808080"/>
        <rFont val="DejaVu Sans"/>
        <family val="2"/>
      </rPr>
      <t xml:space="preserve">三极管 </t>
    </r>
    <r>
      <rPr>
        <sz val="9"/>
        <color rgb="FF808080"/>
        <rFont val="微软雅黑"/>
        <family val="0"/>
        <charset val="1"/>
      </rPr>
      <t xml:space="preserve">SS8050-H NPN,25V,HFE=200-350,1.5A,SOT23(</t>
    </r>
    <r>
      <rPr>
        <sz val="9"/>
        <color rgb="FF808080"/>
        <rFont val="DejaVu Sans"/>
        <family val="2"/>
      </rPr>
      <t xml:space="preserve">晶导微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</si>
  <si>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N31800000736</t>
  </si>
  <si>
    <r>
      <rPr>
        <sz val="9"/>
        <color rgb="FF808080"/>
        <rFont val="DejaVu Sans"/>
        <family val="2"/>
      </rPr>
      <t xml:space="preserve">通信电路 </t>
    </r>
    <r>
      <rPr>
        <sz val="9"/>
        <color rgb="FF808080"/>
        <rFont val="微软雅黑"/>
        <family val="0"/>
        <charset val="1"/>
      </rPr>
      <t xml:space="preserve">ISO3082DWR SOIC16(TI)(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</si>
  <si>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N31801001593</t>
  </si>
  <si>
    <r>
      <rPr>
        <sz val="9"/>
        <color rgb="FF808080"/>
        <rFont val="DejaVu Sans"/>
        <family val="2"/>
      </rPr>
      <t xml:space="preserve">微处理器 </t>
    </r>
    <r>
      <rPr>
        <sz val="9"/>
        <color rgb="FF808080"/>
        <rFont val="微软雅黑"/>
        <family val="0"/>
        <charset val="1"/>
      </rPr>
      <t xml:space="preserve">R5F526T8ADFM LFQFP64(</t>
    </r>
    <r>
      <rPr>
        <sz val="9"/>
        <color rgb="FF808080"/>
        <rFont val="DejaVu Sans"/>
        <family val="2"/>
      </rPr>
      <t xml:space="preserve">国创提供</t>
    </r>
    <r>
      <rPr>
        <sz val="9"/>
        <color rgb="FF808080"/>
        <rFont val="微软雅黑"/>
        <family val="0"/>
        <charset val="1"/>
      </rPr>
      <t xml:space="preserve">)(Renesas)(</t>
    </r>
    <r>
      <rPr>
        <sz val="9"/>
        <color rgb="FF808080"/>
        <rFont val="DejaVu Sans"/>
        <family val="2"/>
      </rPr>
      <t xml:space="preserve">盘式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</si>
  <si>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N31805000269</t>
  </si>
  <si>
    <r>
      <rPr>
        <sz val="9"/>
        <color rgb="FF808080"/>
        <rFont val="DejaVu Sans"/>
        <family val="2"/>
      </rPr>
      <t xml:space="preserve">存贮器 </t>
    </r>
    <r>
      <rPr>
        <sz val="9"/>
        <color rgb="FF808080"/>
        <rFont val="微软雅黑"/>
        <family val="0"/>
        <charset val="1"/>
      </rPr>
      <t xml:space="preserve">M24C08-RMN6TP SO8(ST)(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</si>
  <si>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WT MICROELECTRONICS SINGAPORE PTE. LTD.</t>
  </si>
  <si>
    <t xml:space="preserve">N31805000274</t>
  </si>
  <si>
    <r>
      <rPr>
        <sz val="9"/>
        <color rgb="FF808080"/>
        <rFont val="DejaVu Sans"/>
        <family val="2"/>
      </rPr>
      <t xml:space="preserve">存贮器 </t>
    </r>
    <r>
      <rPr>
        <sz val="9"/>
        <color rgb="FF808080"/>
        <rFont val="微软雅黑"/>
        <family val="0"/>
        <charset val="1"/>
      </rPr>
      <t xml:space="preserve">M24C16-RMN6TP SO8(ST)(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</si>
  <si>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N31806000081</t>
  </si>
  <si>
    <r>
      <rPr>
        <sz val="9"/>
        <color rgb="FF808080"/>
        <rFont val="DejaVu Sans"/>
        <family val="2"/>
      </rPr>
      <t xml:space="preserve">稳压器 </t>
    </r>
    <r>
      <rPr>
        <sz val="9"/>
        <color rgb="FF808080"/>
        <rFont val="微软雅黑"/>
        <family val="0"/>
        <charset val="1"/>
      </rPr>
      <t xml:space="preserve">L78M05ABDT-TR DPAK(ST)(RoHS)</t>
    </r>
  </si>
  <si>
    <t xml:space="preserve">N31806000148</t>
  </si>
  <si>
    <r>
      <rPr>
        <sz val="9"/>
        <color rgb="FF808080"/>
        <rFont val="DejaVu Sans"/>
        <family val="2"/>
      </rPr>
      <t xml:space="preserve">稳压器 </t>
    </r>
    <r>
      <rPr>
        <sz val="9"/>
        <color rgb="FF808080"/>
        <rFont val="微软雅黑"/>
        <family val="0"/>
        <charset val="1"/>
      </rPr>
      <t xml:space="preserve">L78M15ABDT DPAK(ST)(RoHS)</t>
    </r>
  </si>
  <si>
    <t xml:space="preserve">N31806000726</t>
  </si>
  <si>
    <r>
      <rPr>
        <sz val="9"/>
        <color rgb="FF808080"/>
        <rFont val="DejaVu Sans"/>
        <family val="2"/>
      </rPr>
      <t xml:space="preserve">稳压器 </t>
    </r>
    <r>
      <rPr>
        <sz val="9"/>
        <color rgb="FF808080"/>
        <rFont val="微软雅黑"/>
        <family val="0"/>
        <charset val="1"/>
      </rPr>
      <t xml:space="preserve">TL432AIDBZR SOT23-3(TI)(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</si>
  <si>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DejaVu Sans"/>
        <family val="2"/>
      </rPr>
      <t xml:space="preserve">华联国际投资有限公司</t>
    </r>
    <r>
      <rPr>
        <sz val="9"/>
        <color rgb="FF808080"/>
        <rFont val="微软雅黑"/>
        <family val="0"/>
        <charset val="1"/>
      </rPr>
      <t xml:space="preserve">-</t>
    </r>
    <r>
      <rPr>
        <sz val="9"/>
        <color rgb="FF808080"/>
        <rFont val="DejaVu Sans"/>
        <family val="2"/>
      </rPr>
      <t xml:space="preserve">艾睿电子中国有限公司（特采）</t>
    </r>
  </si>
  <si>
    <t xml:space="preserve">N31807000929</t>
  </si>
  <si>
    <r>
      <rPr>
        <sz val="9"/>
        <color rgb="FF808080"/>
        <rFont val="DejaVu Sans"/>
        <family val="2"/>
      </rPr>
      <t xml:space="preserve">电源管理电路 </t>
    </r>
    <r>
      <rPr>
        <sz val="9"/>
        <color rgb="FF808080"/>
        <rFont val="微软雅黑"/>
        <family val="0"/>
        <charset val="1"/>
      </rPr>
      <t xml:space="preserve">TOP264KG-TL eSOP-12(</t>
    </r>
    <r>
      <rPr>
        <sz val="9"/>
        <color rgb="FF808080"/>
        <rFont val="DejaVu Sans"/>
        <family val="2"/>
      </rPr>
      <t xml:space="preserve">国创提供</t>
    </r>
    <r>
      <rPr>
        <sz val="9"/>
        <color rgb="FF808080"/>
        <rFont val="微软雅黑"/>
        <family val="0"/>
        <charset val="1"/>
      </rPr>
      <t xml:space="preserve">)(PI)(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</si>
  <si>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N31808000384</t>
  </si>
  <si>
    <r>
      <rPr>
        <sz val="9"/>
        <color rgb="FF808080"/>
        <rFont val="DejaVu Sans"/>
        <family val="2"/>
      </rPr>
      <t xml:space="preserve">逻辑电路 </t>
    </r>
    <r>
      <rPr>
        <sz val="9"/>
        <color rgb="FF808080"/>
        <rFont val="微软雅黑"/>
        <family val="0"/>
        <charset val="1"/>
      </rPr>
      <t xml:space="preserve">74LVC1G74DP,125 TSSOP8(Nexperia)(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</si>
  <si>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深圳法本电子股份有限公司</t>
  </si>
  <si>
    <t xml:space="preserve">N31808000385</t>
  </si>
  <si>
    <r>
      <rPr>
        <sz val="9"/>
        <color rgb="FF808080"/>
        <rFont val="DejaVu Sans"/>
        <family val="2"/>
      </rPr>
      <t xml:space="preserve">逻辑电路 </t>
    </r>
    <r>
      <rPr>
        <sz val="9"/>
        <color rgb="FF808080"/>
        <rFont val="微软雅黑"/>
        <family val="0"/>
        <charset val="1"/>
      </rPr>
      <t xml:space="preserve">74LVC1G17GV,125 SC74A(Nexperia)(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</si>
  <si>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N31809000044</t>
  </si>
  <si>
    <r>
      <rPr>
        <sz val="9"/>
        <color rgb="FF808080"/>
        <rFont val="DejaVu Sans"/>
        <family val="2"/>
      </rPr>
      <t xml:space="preserve">运放电路 </t>
    </r>
    <r>
      <rPr>
        <sz val="9"/>
        <color rgb="FF808080"/>
        <rFont val="微软雅黑"/>
        <family val="0"/>
        <charset val="1"/>
      </rPr>
      <t xml:space="preserve">TLV2772IDR SOIC8(TI)(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</si>
  <si>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Arrow Electronics China Ltd</t>
  </si>
  <si>
    <t xml:space="preserve">N31813000522</t>
  </si>
  <si>
    <r>
      <rPr>
        <sz val="9"/>
        <color rgb="FF808080"/>
        <rFont val="DejaVu Sans"/>
        <family val="2"/>
      </rPr>
      <t xml:space="preserve">驱动电路 </t>
    </r>
    <r>
      <rPr>
        <sz val="9"/>
        <color rgb="FF808080"/>
        <rFont val="微软雅黑"/>
        <family val="0"/>
        <charset val="1"/>
      </rPr>
      <t xml:space="preserve">1EDI20I12MF DSO8(</t>
    </r>
    <r>
      <rPr>
        <sz val="9"/>
        <color rgb="FF808080"/>
        <rFont val="DejaVu Sans"/>
        <family val="2"/>
      </rPr>
      <t xml:space="preserve">国创提供</t>
    </r>
    <r>
      <rPr>
        <sz val="9"/>
        <color rgb="FF808080"/>
        <rFont val="微软雅黑"/>
        <family val="0"/>
        <charset val="1"/>
      </rPr>
      <t xml:space="preserve">)(Infineon)(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</si>
  <si>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N31814000162</t>
  </si>
  <si>
    <r>
      <rPr>
        <sz val="9"/>
        <color rgb="FF808080"/>
        <rFont val="DejaVu Sans"/>
        <family val="2"/>
      </rPr>
      <t xml:space="preserve">运放电路 </t>
    </r>
    <r>
      <rPr>
        <sz val="9"/>
        <color rgb="FF808080"/>
        <rFont val="微软雅黑"/>
        <family val="0"/>
        <charset val="1"/>
      </rPr>
      <t xml:space="preserve">LM393BIDR SOIC8(TI)(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</si>
  <si>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N32202000746</t>
  </si>
  <si>
    <r>
      <rPr>
        <sz val="9"/>
        <color rgb="FF808080"/>
        <rFont val="DejaVu Sans"/>
        <family val="2"/>
      </rPr>
      <t xml:space="preserve">开关变压器 </t>
    </r>
    <r>
      <rPr>
        <sz val="9"/>
        <color rgb="FF808080"/>
        <rFont val="微软雅黑"/>
        <family val="0"/>
        <charset val="1"/>
      </rPr>
      <t xml:space="preserve">XZM-E22296 (1.2mH)(</t>
    </r>
    <r>
      <rPr>
        <sz val="9"/>
        <color rgb="FF808080"/>
        <rFont val="DejaVu Sans"/>
        <family val="2"/>
      </rPr>
      <t xml:space="preserve">赛特勒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</si>
  <si>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厦门赛特勒磁电有限公司</t>
  </si>
  <si>
    <t xml:space="preserve">N32303000311</t>
  </si>
  <si>
    <r>
      <rPr>
        <sz val="9"/>
        <color rgb="FF808080"/>
        <rFont val="DejaVu Sans"/>
        <family val="2"/>
      </rPr>
      <t xml:space="preserve">工字型电感 </t>
    </r>
    <r>
      <rPr>
        <sz val="9"/>
        <color rgb="FF808080"/>
        <rFont val="微软雅黑"/>
        <family val="0"/>
        <charset val="1"/>
      </rPr>
      <t xml:space="preserve">XZM-B0810250-BD 10uH,1A,10X14,P=5(24h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赛特勒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</si>
  <si>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N32316000110</t>
  </si>
  <si>
    <r>
      <rPr>
        <sz val="9"/>
        <color rgb="FF808080"/>
        <rFont val="DejaVu Sans"/>
        <family val="2"/>
      </rPr>
      <t xml:space="preserve">共模滤波器 </t>
    </r>
    <r>
      <rPr>
        <sz val="9"/>
        <color rgb="FF808080"/>
        <rFont val="微软雅黑"/>
        <family val="0"/>
        <charset val="1"/>
      </rPr>
      <t xml:space="preserve">CM10100ZJ-1 15mH,15mΩ,10A(</t>
    </r>
    <r>
      <rPr>
        <sz val="9"/>
        <color rgb="FF808080"/>
        <rFont val="DejaVu Sans"/>
        <family val="2"/>
      </rPr>
      <t xml:space="preserve">国创提供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菲尔泰科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</si>
  <si>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N32401000632</t>
  </si>
  <si>
    <r>
      <rPr>
        <sz val="9"/>
        <color rgb="FF808080"/>
        <rFont val="DejaVu Sans"/>
        <family val="2"/>
      </rPr>
      <t xml:space="preserve">功率继电器 </t>
    </r>
    <r>
      <rPr>
        <sz val="9"/>
        <color rgb="FF808080"/>
        <rFont val="微软雅黑"/>
        <family val="0"/>
        <charset val="1"/>
      </rPr>
      <t xml:space="preserve">HF115FK/12-HS1PT 12V(</t>
    </r>
    <r>
      <rPr>
        <sz val="9"/>
        <color rgb="FF808080"/>
        <rFont val="DejaVu Sans"/>
        <family val="2"/>
      </rPr>
      <t xml:space="preserve">防爆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宏发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</si>
  <si>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厦门宏发电声销售有限公司</t>
  </si>
  <si>
    <t xml:space="preserve">N32401000645</t>
  </si>
  <si>
    <r>
      <rPr>
        <sz val="9"/>
        <color rgb="FF808080"/>
        <rFont val="DejaVu Sans"/>
        <family val="2"/>
      </rPr>
      <t xml:space="preserve">功率继电器 </t>
    </r>
    <r>
      <rPr>
        <sz val="9"/>
        <color rgb="FF808080"/>
        <rFont val="微软雅黑"/>
        <family val="0"/>
        <charset val="1"/>
      </rPr>
      <t xml:space="preserve">HF167F/12-HTF 12V(</t>
    </r>
    <r>
      <rPr>
        <sz val="9"/>
        <color rgb="FF808080"/>
        <rFont val="DejaVu Sans"/>
        <family val="2"/>
      </rPr>
      <t xml:space="preserve">宏发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</si>
  <si>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N32503000070</t>
  </si>
  <si>
    <r>
      <rPr>
        <sz val="9"/>
        <color rgb="FF808080"/>
        <rFont val="DejaVu Sans"/>
        <family val="2"/>
      </rPr>
      <t xml:space="preserve">拨码开关 </t>
    </r>
    <r>
      <rPr>
        <sz val="9"/>
        <color rgb="FF808080"/>
        <rFont val="微软雅黑"/>
        <family val="0"/>
        <charset val="1"/>
      </rPr>
      <t xml:space="preserve">DM-01-V-T/R (</t>
    </r>
    <r>
      <rPr>
        <sz val="9"/>
        <color rgb="FF808080"/>
        <rFont val="DejaVu Sans"/>
        <family val="2"/>
      </rPr>
      <t xml:space="preserve">圜达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</si>
  <si>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深圳市安捷诚电子有限公司</t>
  </si>
  <si>
    <t xml:space="preserve">N60103000205</t>
  </si>
  <si>
    <r>
      <rPr>
        <sz val="9"/>
        <color rgb="FF808080"/>
        <rFont val="DejaVu Sans"/>
        <family val="2"/>
      </rPr>
      <t xml:space="preserve">延时熔断器 </t>
    </r>
    <r>
      <rPr>
        <sz val="9"/>
        <color rgb="FF808080"/>
        <rFont val="微软雅黑"/>
        <family val="0"/>
        <charset val="1"/>
      </rPr>
      <t xml:space="preserve">TSCT20AH250V/T20A 20A,250V(</t>
    </r>
    <r>
      <rPr>
        <sz val="9"/>
        <color rgb="FF808080"/>
        <rFont val="DejaVu Sans"/>
        <family val="2"/>
      </rPr>
      <t xml:space="preserve">引线型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华德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</si>
  <si>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帕太国际贸易（上海）有限公司</t>
  </si>
  <si>
    <t xml:space="preserve">N60203001214</t>
  </si>
  <si>
    <r>
      <rPr>
        <sz val="9"/>
        <color rgb="FF808080"/>
        <rFont val="DejaVu Sans"/>
        <family val="2"/>
      </rPr>
      <t xml:space="preserve">强电接插件 </t>
    </r>
    <r>
      <rPr>
        <sz val="9"/>
        <color rgb="FF808080"/>
        <rFont val="微软雅黑"/>
        <family val="0"/>
        <charset val="1"/>
      </rPr>
      <t xml:space="preserve">JCQ01-10-184 (</t>
    </r>
    <r>
      <rPr>
        <sz val="9"/>
        <color rgb="FF808080"/>
        <rFont val="DejaVu Sans"/>
        <family val="2"/>
      </rPr>
      <t xml:space="preserve">红色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爱瑞克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</si>
  <si>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厦门爱瑞克电子有限公司</t>
  </si>
  <si>
    <t xml:space="preserve">N60601000984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</si>
  <si>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XH-2A (48h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)(FAF)(RoHS)</t>
    </r>
  </si>
  <si>
    <t xml:space="preserve">乐清市嘉得电子有限公司</t>
  </si>
  <si>
    <t xml:space="preserve">N60601000993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</si>
  <si>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XH-4A (48h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)(FAF)(RoHS)</t>
    </r>
  </si>
  <si>
    <t xml:space="preserve">N60601000994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</si>
  <si>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XH-4A </t>
    </r>
    <r>
      <rPr>
        <sz val="9"/>
        <color rgb="FF808080"/>
        <rFont val="DejaVu Sans"/>
        <family val="2"/>
      </rPr>
      <t xml:space="preserve">红色</t>
    </r>
    <r>
      <rPr>
        <sz val="9"/>
        <color rgb="FF808080"/>
        <rFont val="微软雅黑"/>
        <family val="0"/>
        <charset val="1"/>
      </rPr>
      <t xml:space="preserve">(48h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)(FAF)(RoHS)</t>
    </r>
  </si>
  <si>
    <t xml:space="preserve">N60601000998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</si>
  <si>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XH-5A (48h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)(FAF)(RoHS)</t>
    </r>
  </si>
  <si>
    <t xml:space="preserve">N60601005279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</si>
  <si>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AT561415-LS (6.0X3PX2)(</t>
    </r>
    <r>
      <rPr>
        <sz val="9"/>
        <color rgb="FF808080"/>
        <rFont val="DejaVu Sans"/>
        <family val="2"/>
      </rPr>
      <t xml:space="preserve">合璧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</si>
  <si>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上海合璧电子元件有限公司</t>
  </si>
  <si>
    <t xml:space="preserve">N60601005308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</si>
  <si>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PR9-455 (6.0X2PX2)(72h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合璧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</si>
  <si>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N60812000142</t>
  </si>
  <si>
    <r>
      <rPr>
        <sz val="9"/>
        <color rgb="FF808080"/>
        <rFont val="DejaVu Sans"/>
        <family val="2"/>
      </rPr>
      <t xml:space="preserve">功率模块 </t>
    </r>
    <r>
      <rPr>
        <sz val="9"/>
        <color rgb="FF808080"/>
        <rFont val="微软雅黑"/>
        <family val="0"/>
        <charset val="1"/>
      </rPr>
      <t xml:space="preserve">FP100R12N2T7 (1.2KV,100A)(PIM</t>
    </r>
    <r>
      <rPr>
        <sz val="9"/>
        <color rgb="FF808080"/>
        <rFont val="DejaVu Sans"/>
        <family val="2"/>
      </rPr>
      <t xml:space="preserve">模块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国创提供</t>
    </r>
    <r>
      <rPr>
        <sz val="9"/>
        <color rgb="FF808080"/>
        <rFont val="微软雅黑"/>
        <family val="0"/>
        <charset val="1"/>
      </rPr>
      <t xml:space="preserve">)(Infineon)(RoHS)</t>
    </r>
  </si>
  <si>
    <t xml:space="preserve">N60812000144</t>
  </si>
  <si>
    <r>
      <rPr>
        <sz val="9"/>
        <color rgb="FF808080"/>
        <rFont val="DejaVu Sans"/>
        <family val="2"/>
      </rPr>
      <t xml:space="preserve">功率模块 </t>
    </r>
    <r>
      <rPr>
        <sz val="9"/>
        <color rgb="FF808080"/>
        <rFont val="微软雅黑"/>
        <family val="0"/>
        <charset val="1"/>
      </rPr>
      <t xml:space="preserve">RCI20C60D6U (20A,600V)(IPM</t>
    </r>
    <r>
      <rPr>
        <sz val="9"/>
        <color rgb="FF808080"/>
        <rFont val="DejaVu Sans"/>
        <family val="2"/>
      </rPr>
      <t xml:space="preserve">模块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国创提供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银河边缘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条管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</si>
  <si>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N70901000291</t>
  </si>
  <si>
    <r>
      <rPr>
        <sz val="9"/>
        <color rgb="FF808080"/>
        <rFont val="DejaVu Sans"/>
        <family val="2"/>
      </rPr>
      <t xml:space="preserve">螺丝组件 </t>
    </r>
    <r>
      <rPr>
        <sz val="9"/>
        <color rgb="FF808080"/>
        <rFont val="微软雅黑"/>
        <family val="0"/>
        <charset val="1"/>
      </rPr>
      <t xml:space="preserve">4X8PM 304</t>
    </r>
    <r>
      <rPr>
        <sz val="9"/>
        <color rgb="FF808080"/>
        <rFont val="DejaVu Sans"/>
        <family val="2"/>
      </rPr>
      <t xml:space="preserve">不锈钢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带平垫、弹垫</t>
    </r>
    <r>
      <rPr>
        <sz val="9"/>
        <color rgb="FF808080"/>
        <rFont val="微软雅黑"/>
        <family val="0"/>
        <charset val="1"/>
      </rPr>
      <t xml:space="preserve">)(72h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新沪厦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</si>
  <si>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厦门新沪厦五金工贸有限公司</t>
  </si>
  <si>
    <t xml:space="preserve">N70901000512</t>
  </si>
  <si>
    <r>
      <rPr>
        <sz val="9"/>
        <color rgb="FF808080"/>
        <rFont val="DejaVu Sans"/>
        <family val="2"/>
      </rPr>
      <t xml:space="preserve">螺丝 </t>
    </r>
    <r>
      <rPr>
        <sz val="9"/>
        <color rgb="FF808080"/>
        <rFont val="微软雅黑"/>
        <family val="0"/>
        <charset val="1"/>
      </rPr>
      <t xml:space="preserve">5X10PM </t>
    </r>
    <r>
      <rPr>
        <sz val="9"/>
        <color rgb="FF808080"/>
        <rFont val="DejaVu Sans"/>
        <family val="2"/>
      </rPr>
      <t xml:space="preserve">不锈钢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带平垫、弹垫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磊峰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</si>
  <si>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厦门磊峰五金弹簧有限公司</t>
  </si>
  <si>
    <t xml:space="preserve">N70906000473</t>
  </si>
  <si>
    <r>
      <rPr>
        <sz val="9"/>
        <color rgb="FF808080"/>
        <rFont val="DejaVu Sans"/>
        <family val="2"/>
      </rPr>
      <t xml:space="preserve">散热片 </t>
    </r>
    <r>
      <rPr>
        <sz val="9"/>
        <color rgb="FF808080"/>
        <rFont val="微软雅黑"/>
        <family val="0"/>
        <charset val="1"/>
      </rPr>
      <t xml:space="preserve">SR6.5X5X1 (48h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斯泰普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</si>
  <si>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深圳市日升达电子有限公司</t>
  </si>
  <si>
    <t xml:space="preserve">N71002000023</t>
  </si>
  <si>
    <r>
      <rPr>
        <sz val="9"/>
        <color rgb="FF808080"/>
        <rFont val="DejaVu Sans"/>
        <family val="2"/>
      </rPr>
      <t xml:space="preserve">元件护套 </t>
    </r>
    <r>
      <rPr>
        <sz val="9"/>
        <color rgb="FF808080"/>
        <rFont val="微软雅黑"/>
        <family val="0"/>
        <charset val="1"/>
      </rPr>
      <t xml:space="preserve">D14(</t>
    </r>
    <r>
      <rPr>
        <sz val="9"/>
        <color rgb="FF808080"/>
        <rFont val="DejaVu Sans"/>
        <family val="2"/>
      </rPr>
      <t xml:space="preserve">压敏电阻套</t>
    </r>
    <r>
      <rPr>
        <sz val="9"/>
        <color rgb="FF808080"/>
        <rFont val="微软雅黑"/>
        <family val="0"/>
        <charset val="1"/>
      </rPr>
      <t xml:space="preserve">) (</t>
    </r>
    <r>
      <rPr>
        <sz val="9"/>
        <color rgb="FF808080"/>
        <rFont val="DejaVu Sans"/>
        <family val="2"/>
      </rPr>
      <t xml:space="preserve">符合</t>
    </r>
    <r>
      <rPr>
        <sz val="9"/>
        <color rgb="FF808080"/>
        <rFont val="微软雅黑"/>
        <family val="0"/>
        <charset val="1"/>
      </rPr>
      <t xml:space="preserve">REACH)(</t>
    </r>
    <r>
      <rPr>
        <sz val="9"/>
        <color rgb="FF808080"/>
        <rFont val="DejaVu Sans"/>
        <family val="2"/>
      </rPr>
      <t xml:space="preserve">中田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</si>
  <si>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DejaVu Sans"/>
        <family val="2"/>
      </rPr>
      <t xml:space="preserve">浙江中田电子护套有限公司（特采</t>
    </r>
    <r>
      <rPr>
        <sz val="9"/>
        <color rgb="FF808080"/>
        <rFont val="微软雅黑"/>
        <family val="0"/>
        <charset val="1"/>
      </rPr>
      <t xml:space="preserve">L</t>
    </r>
    <r>
      <rPr>
        <sz val="9"/>
        <color rgb="FF808080"/>
        <rFont val="DejaVu Sans"/>
        <family val="2"/>
      </rPr>
      <t xml:space="preserve">）</t>
    </r>
  </si>
  <si>
    <t xml:space="preserve">N71104006877</t>
  </si>
  <si>
    <r>
      <rPr>
        <sz val="9"/>
        <color rgb="FF808080"/>
        <rFont val="微软雅黑"/>
        <family val="0"/>
        <charset val="1"/>
      </rPr>
      <t xml:space="preserve">FR4</t>
    </r>
    <r>
      <rPr>
        <sz val="9"/>
        <color rgb="FF808080"/>
        <rFont val="DejaVu Sans"/>
        <family val="2"/>
      </rPr>
      <t xml:space="preserve">印制板 </t>
    </r>
    <r>
      <rPr>
        <sz val="9"/>
        <color rgb="FF808080"/>
        <rFont val="微软雅黑"/>
        <family val="0"/>
        <charset val="1"/>
      </rPr>
      <t xml:space="preserve">GC-ACIB005 </t>
    </r>
    <r>
      <rPr>
        <sz val="9"/>
        <color rgb="FF808080"/>
        <rFont val="DejaVu Sans"/>
        <family val="2"/>
      </rPr>
      <t xml:space="preserve">双层</t>
    </r>
    <r>
      <rPr>
        <sz val="9"/>
        <color rgb="FF808080"/>
        <rFont val="微软雅黑"/>
        <family val="0"/>
        <charset val="1"/>
      </rPr>
      <t xml:space="preserve">,</t>
    </r>
    <r>
      <rPr>
        <sz val="9"/>
        <color rgb="FF808080"/>
        <rFont val="DejaVu Sans"/>
        <family val="2"/>
      </rPr>
      <t xml:space="preserve">喷锡</t>
    </r>
    <r>
      <rPr>
        <sz val="9"/>
        <color rgb="FF808080"/>
        <rFont val="微软雅黑"/>
        <family val="0"/>
        <charset val="1"/>
      </rPr>
      <t xml:space="preserve">,350X220X2,1</t>
    </r>
    <r>
      <rPr>
        <sz val="9"/>
        <color rgb="FF808080"/>
        <rFont val="DejaVu Sans"/>
        <family val="2"/>
      </rPr>
      <t xml:space="preserve">拼板</t>
    </r>
    <r>
      <rPr>
        <sz val="9"/>
        <color rgb="FF808080"/>
        <rFont val="微软雅黑"/>
        <family val="0"/>
        <charset val="1"/>
      </rPr>
      <t xml:space="preserve">(RoHS)</t>
    </r>
  </si>
  <si>
    <t xml:space="preserve">惠州市永隆电路有限公司</t>
  </si>
  <si>
    <t xml:space="preserve">N30508000119</t>
  </si>
  <si>
    <r>
      <rPr>
        <sz val="9"/>
        <color rgb="FF808080"/>
        <rFont val="DejaVu Sans"/>
        <family val="2"/>
      </rPr>
      <t xml:space="preserve">安规陶瓷电容 </t>
    </r>
    <r>
      <rPr>
        <sz val="9"/>
        <color rgb="FF808080"/>
        <rFont val="微软雅黑"/>
        <family val="0"/>
        <charset val="1"/>
      </rPr>
      <t xml:space="preserve">(X1Y1) CD45-E2GA472M-NKA 4.7nF,20%,400Vac,P=10(TDK)(RoHS)</t>
    </r>
  </si>
  <si>
    <t xml:space="preserve">N31509000045</t>
  </si>
  <si>
    <r>
      <rPr>
        <sz val="9"/>
        <color rgb="FF808080"/>
        <rFont val="DejaVu Sans"/>
        <family val="2"/>
      </rPr>
      <t xml:space="preserve">气体放电管 </t>
    </r>
    <r>
      <rPr>
        <sz val="9"/>
        <color rgb="FF808080"/>
        <rFont val="微软雅黑"/>
        <family val="0"/>
        <charset val="1"/>
      </rPr>
      <t xml:space="preserve">2RK3600L-5 (3.6KV,3KA)(</t>
    </r>
    <r>
      <rPr>
        <sz val="9"/>
        <color rgb="FF808080"/>
        <rFont val="DejaVu Sans"/>
        <family val="2"/>
      </rPr>
      <t xml:space="preserve">君耀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</si>
  <si>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南京商络电子股份有限公司</t>
  </si>
  <si>
    <t xml:space="preserve">N32316000109</t>
  </si>
  <si>
    <r>
      <rPr>
        <sz val="9"/>
        <color rgb="FF808080"/>
        <rFont val="DejaVu Sans"/>
        <family val="2"/>
      </rPr>
      <t xml:space="preserve">共模滤波器 </t>
    </r>
    <r>
      <rPr>
        <sz val="9"/>
        <color rgb="FF808080"/>
        <rFont val="微软雅黑"/>
        <family val="0"/>
        <charset val="1"/>
      </rPr>
      <t xml:space="preserve">CMF50F04GC 4mH,5mΩ,50A(</t>
    </r>
    <r>
      <rPr>
        <sz val="9"/>
        <color rgb="FF808080"/>
        <rFont val="DejaVu Sans"/>
        <family val="2"/>
      </rPr>
      <t xml:space="preserve">国创提供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菲尔泰科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</si>
  <si>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N60203001201</t>
  </si>
  <si>
    <r>
      <rPr>
        <sz val="9"/>
        <color rgb="FF808080"/>
        <rFont val="DejaVu Sans"/>
        <family val="2"/>
      </rPr>
      <t xml:space="preserve">强电接插件 </t>
    </r>
    <r>
      <rPr>
        <sz val="9"/>
        <color rgb="FF808080"/>
        <rFont val="微软雅黑"/>
        <family val="0"/>
        <charset val="1"/>
      </rPr>
      <t xml:space="preserve">JCQ01-60-055 (</t>
    </r>
    <r>
      <rPr>
        <sz val="9"/>
        <color rgb="FF808080"/>
        <rFont val="DejaVu Sans"/>
        <family val="2"/>
      </rPr>
      <t xml:space="preserve">黄绿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爱瑞克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</si>
  <si>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N60603000051</t>
  </si>
  <si>
    <r>
      <rPr>
        <sz val="9"/>
        <color rgb="FF808080"/>
        <rFont val="DejaVu Sans"/>
        <family val="2"/>
      </rPr>
      <t xml:space="preserve">插片 </t>
    </r>
    <r>
      <rPr>
        <sz val="9"/>
        <color rgb="FF808080"/>
        <rFont val="微软雅黑"/>
        <family val="0"/>
        <charset val="1"/>
      </rPr>
      <t xml:space="preserve">63824-5 (250,10.2X0.8)(TE)(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</si>
  <si>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上海史安微电子有限公司</t>
  </si>
  <si>
    <t xml:space="preserve">N71104006878</t>
  </si>
  <si>
    <r>
      <rPr>
        <sz val="9"/>
        <color rgb="FF808080"/>
        <rFont val="微软雅黑"/>
        <family val="0"/>
        <charset val="1"/>
      </rPr>
      <t xml:space="preserve">FR4</t>
    </r>
    <r>
      <rPr>
        <sz val="9"/>
        <color rgb="FF808080"/>
        <rFont val="DejaVu Sans"/>
        <family val="2"/>
      </rPr>
      <t xml:space="preserve">印制板 </t>
    </r>
    <r>
      <rPr>
        <sz val="9"/>
        <color rgb="FF808080"/>
        <rFont val="微软雅黑"/>
        <family val="0"/>
        <charset val="1"/>
      </rPr>
      <t xml:space="preserve">GC-ACFB001 </t>
    </r>
    <r>
      <rPr>
        <sz val="9"/>
        <color rgb="FF808080"/>
        <rFont val="DejaVu Sans"/>
        <family val="2"/>
      </rPr>
      <t xml:space="preserve">双层</t>
    </r>
    <r>
      <rPr>
        <sz val="9"/>
        <color rgb="FF808080"/>
        <rFont val="微软雅黑"/>
        <family val="0"/>
        <charset val="1"/>
      </rPr>
      <t xml:space="preserve">,</t>
    </r>
    <r>
      <rPr>
        <sz val="9"/>
        <color rgb="FF808080"/>
        <rFont val="DejaVu Sans"/>
        <family val="2"/>
      </rPr>
      <t xml:space="preserve">喷锡</t>
    </r>
    <r>
      <rPr>
        <sz val="9"/>
        <color rgb="FF808080"/>
        <rFont val="微软雅黑"/>
        <family val="0"/>
        <charset val="1"/>
      </rPr>
      <t xml:space="preserve">,180.1X120X2,2</t>
    </r>
    <r>
      <rPr>
        <sz val="9"/>
        <color rgb="FF808080"/>
        <rFont val="DejaVu Sans"/>
        <family val="2"/>
      </rPr>
      <t xml:space="preserve">拼板</t>
    </r>
    <r>
      <rPr>
        <sz val="9"/>
        <color rgb="FF808080"/>
        <rFont val="微软雅黑"/>
        <family val="0"/>
        <charset val="1"/>
      </rPr>
      <t xml:space="preserve">(RoHS)</t>
    </r>
  </si>
  <si>
    <t xml:space="preserve">301H000A85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</si>
  <si>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RC1206JR-070RL/1206W4J0000T5E 1/4W,0Ω,5%,1206(</t>
    </r>
    <r>
      <rPr>
        <sz val="9"/>
        <color rgb="FF808080"/>
        <rFont val="DejaVu Sans"/>
        <family val="2"/>
      </rPr>
      <t xml:space="preserve">国巨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</si>
  <si>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301H036085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</si>
  <si>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RC1206JR-0736RL/1206W4J0360T5E 1/4W,36Ω,5%,1206(</t>
    </r>
    <r>
      <rPr>
        <sz val="9"/>
        <color rgb="FF808080"/>
        <rFont val="DejaVu Sans"/>
        <family val="2"/>
      </rPr>
      <t xml:space="preserve">国巨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</si>
  <si>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3033056102</t>
  </si>
  <si>
    <r>
      <rPr>
        <sz val="9"/>
        <color rgb="FF808080"/>
        <rFont val="DejaVu Sans"/>
        <family val="2"/>
      </rPr>
      <t xml:space="preserve">压敏电阻 </t>
    </r>
    <r>
      <rPr>
        <sz val="9"/>
        <color rgb="FF808080"/>
        <rFont val="微软雅黑"/>
        <family val="0"/>
        <charset val="1"/>
      </rPr>
      <t xml:space="preserve">JVR10N561K87PAY 350VAC,P=7.5(</t>
    </r>
    <r>
      <rPr>
        <sz val="9"/>
        <color rgb="FF808080"/>
        <rFont val="DejaVu Sans"/>
        <family val="2"/>
      </rPr>
      <t xml:space="preserve">直脚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久尹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</si>
  <si>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厦门正顺达电子有限公司</t>
  </si>
  <si>
    <t xml:space="preserve">3052104B6-3</t>
  </si>
  <si>
    <r>
      <rPr>
        <sz val="9"/>
        <color rgb="FF808080"/>
        <rFont val="DejaVu Sans"/>
        <family val="2"/>
      </rPr>
      <t xml:space="preserve">安规薄膜电容 </t>
    </r>
    <r>
      <rPr>
        <sz val="9"/>
        <color rgb="FF808080"/>
        <rFont val="微软雅黑"/>
        <family val="0"/>
        <charset val="1"/>
      </rPr>
      <t xml:space="preserve">MCY104KLD2YX20 100nF,10%,275Vac,P=15(</t>
    </r>
    <r>
      <rPr>
        <sz val="9"/>
        <color rgb="FF808080"/>
        <rFont val="DejaVu Sans"/>
        <family val="2"/>
      </rPr>
      <t xml:space="preserve">暄泰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</si>
  <si>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3062102K9003</t>
  </si>
  <si>
    <r>
      <rPr>
        <sz val="9"/>
        <color rgb="FF808080"/>
        <rFont val="DejaVu Sans"/>
        <family val="2"/>
      </rPr>
      <t xml:space="preserve">高压陶瓷电容 </t>
    </r>
    <r>
      <rPr>
        <sz val="9"/>
        <color rgb="FF808080"/>
        <rFont val="微软雅黑"/>
        <family val="0"/>
        <charset val="1"/>
      </rPr>
      <t xml:space="preserve">CK45-B3AD102KYVNA 1nF,10%,1KV,P=5(TDK)(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</si>
  <si>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3152SD106</t>
  </si>
  <si>
    <r>
      <rPr>
        <sz val="9"/>
        <color rgb="FF808080"/>
        <rFont val="DejaVu Sans"/>
        <family val="2"/>
      </rPr>
      <t xml:space="preserve">整流桥 </t>
    </r>
    <r>
      <rPr>
        <sz val="9"/>
        <color rgb="FF808080"/>
        <rFont val="微软雅黑"/>
        <family val="0"/>
        <charset val="1"/>
      </rPr>
      <t xml:space="preserve">SDB106 800V,SDB-1(MCC)(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</si>
  <si>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3252JTP1230A</t>
  </si>
  <si>
    <r>
      <rPr>
        <sz val="9"/>
        <color rgb="FF808080"/>
        <rFont val="DejaVu Sans"/>
        <family val="2"/>
      </rPr>
      <t xml:space="preserve">轻触开关 </t>
    </r>
    <r>
      <rPr>
        <sz val="9"/>
        <color rgb="FF808080"/>
        <rFont val="微软雅黑"/>
        <family val="0"/>
        <charset val="1"/>
      </rPr>
      <t xml:space="preserve">JTP1230A/JT1230A (6X6X5)(Namae)(RoHS)</t>
    </r>
  </si>
  <si>
    <t xml:space="preserve">青岛朗正电子科技有限公司</t>
  </si>
  <si>
    <t xml:space="preserve">4015001R</t>
  </si>
  <si>
    <r>
      <rPr>
        <sz val="9"/>
        <color rgb="FF808080"/>
        <rFont val="DejaVu Sans"/>
        <family val="2"/>
      </rPr>
      <t xml:space="preserve">元件护套 </t>
    </r>
    <r>
      <rPr>
        <sz val="9"/>
        <color rgb="FF808080"/>
        <rFont val="微软雅黑"/>
        <family val="0"/>
        <charset val="1"/>
      </rPr>
      <t xml:space="preserve">D10 (</t>
    </r>
    <r>
      <rPr>
        <sz val="9"/>
        <color rgb="FF808080"/>
        <rFont val="DejaVu Sans"/>
        <family val="2"/>
      </rPr>
      <t xml:space="preserve">压敏电阻套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</si>
  <si>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厦门联胜鑫电子有限公司</t>
  </si>
  <si>
    <t xml:space="preserve">604B02Z3906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</si>
  <si>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VH-2A (48h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)(CWB)(RoHS)</t>
    </r>
  </si>
  <si>
    <t xml:space="preserve">604B03Z3206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</si>
  <si>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VH-3A </t>
    </r>
    <r>
      <rPr>
        <sz val="9"/>
        <color rgb="FF808080"/>
        <rFont val="DejaVu Sans"/>
        <family val="2"/>
      </rPr>
      <t xml:space="preserve">红色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去第</t>
    </r>
    <r>
      <rPr>
        <sz val="9"/>
        <color rgb="FF808080"/>
        <rFont val="微软雅黑"/>
        <family val="0"/>
        <charset val="1"/>
      </rPr>
      <t xml:space="preserve">2</t>
    </r>
    <r>
      <rPr>
        <sz val="9"/>
        <color rgb="FF808080"/>
        <rFont val="DejaVu Sans"/>
        <family val="2"/>
      </rPr>
      <t xml:space="preserve">针</t>
    </r>
    <r>
      <rPr>
        <sz val="9"/>
        <color rgb="FF808080"/>
        <rFont val="微软雅黑"/>
        <family val="0"/>
        <charset val="1"/>
      </rPr>
      <t xml:space="preserve">)(48h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)(CWB)(RoHS)</t>
    </r>
  </si>
  <si>
    <t xml:space="preserve">乐清市合润电子科技有限公司</t>
  </si>
  <si>
    <t xml:space="preserve">604B03Z3606R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</si>
  <si>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VH-3A </t>
    </r>
    <r>
      <rPr>
        <sz val="9"/>
        <color rgb="FF808080"/>
        <rFont val="DejaVu Sans"/>
        <family val="2"/>
      </rPr>
      <t xml:space="preserve">蓝色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去第</t>
    </r>
    <r>
      <rPr>
        <sz val="9"/>
        <color rgb="FF808080"/>
        <rFont val="微软雅黑"/>
        <family val="0"/>
        <charset val="1"/>
      </rPr>
      <t xml:space="preserve">2</t>
    </r>
    <r>
      <rPr>
        <sz val="9"/>
        <color rgb="FF808080"/>
        <rFont val="DejaVu Sans"/>
        <family val="2"/>
      </rPr>
      <t xml:space="preserve">针</t>
    </r>
    <r>
      <rPr>
        <sz val="9"/>
        <color rgb="FF808080"/>
        <rFont val="微软雅黑"/>
        <family val="0"/>
        <charset val="1"/>
      </rPr>
      <t xml:space="preserve">)(48h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)(CWB)(RoHS)</t>
    </r>
  </si>
  <si>
    <t xml:space="preserve">604B07Z3906A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</si>
  <si>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VH-7A-4 (CWB)(RoHS)</t>
    </r>
  </si>
  <si>
    <t xml:space="preserve">708101525R</t>
  </si>
  <si>
    <r>
      <rPr>
        <sz val="9"/>
        <color rgb="FF808080"/>
        <rFont val="DejaVu Sans"/>
        <family val="2"/>
      </rPr>
      <t xml:space="preserve">散热片 </t>
    </r>
    <r>
      <rPr>
        <sz val="9"/>
        <color rgb="FF808080"/>
        <rFont val="微软雅黑"/>
        <family val="0"/>
        <charset val="1"/>
      </rPr>
      <t xml:space="preserve">10X15X25 (</t>
    </r>
    <r>
      <rPr>
        <sz val="9"/>
        <color rgb="FF808080"/>
        <rFont val="DejaVu Sans"/>
        <family val="2"/>
      </rPr>
      <t xml:space="preserve">永荣生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</si>
  <si>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厦门市永荣生工贸有限公司</t>
  </si>
  <si>
    <t xml:space="preserve">N30101001433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</si>
  <si>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RC0402FR-0751RL/0402WGF510JTCE 1/16W,51Ω,1%,0402(</t>
    </r>
    <r>
      <rPr>
        <sz val="9"/>
        <color rgb="FF808080"/>
        <rFont val="DejaVu Sans"/>
        <family val="2"/>
      </rPr>
      <t xml:space="preserve">国巨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</si>
  <si>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N30101001525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</si>
  <si>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RC0402FR-0720KL/0402WGF2002TCE 1/16W,20KΩ,1%,0402(</t>
    </r>
    <r>
      <rPr>
        <sz val="9"/>
        <color rgb="FF808080"/>
        <rFont val="DejaVu Sans"/>
        <family val="2"/>
      </rPr>
      <t xml:space="preserve">国巨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</si>
  <si>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N30101002081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</si>
  <si>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RC0402JR-07510RL/0402WGJ0511TCE 1/16W,510Ω,5%,0402(</t>
    </r>
    <r>
      <rPr>
        <sz val="9"/>
        <color rgb="FF808080"/>
        <rFont val="DejaVu Sans"/>
        <family val="2"/>
      </rPr>
      <t xml:space="preserve">国巨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</si>
  <si>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N30101002248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</si>
  <si>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RC0402FR-073K4L/0402WGF3401TCE 1/16W,3.4KΩ,1%,0402(</t>
    </r>
    <r>
      <rPr>
        <sz val="9"/>
        <color rgb="FF808080"/>
        <rFont val="DejaVu Sans"/>
        <family val="2"/>
      </rPr>
      <t xml:space="preserve">国巨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</si>
  <si>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N30104000124</t>
  </si>
  <si>
    <r>
      <rPr>
        <sz val="9"/>
        <color rgb="FF808080"/>
        <rFont val="DejaVu Sans"/>
        <family val="2"/>
      </rPr>
      <t xml:space="preserve">金属氧化膜电阻 </t>
    </r>
    <r>
      <rPr>
        <sz val="9"/>
        <color rgb="FF808080"/>
        <rFont val="微软雅黑"/>
        <family val="0"/>
        <charset val="1"/>
      </rPr>
      <t xml:space="preserve">MOR02SJ0683A10 2W,68KΩ,5%(</t>
    </r>
    <r>
      <rPr>
        <sz val="9"/>
        <color rgb="FF808080"/>
        <rFont val="DejaVu Sans"/>
        <family val="2"/>
      </rPr>
      <t xml:space="preserve">厚声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</si>
  <si>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N30199000018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</si>
  <si>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1/8W,1KΩ,5%,0805(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</si>
  <si>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N30199000019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</si>
  <si>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1/8W,10KΩ,5%,0805(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</si>
  <si>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N30199000020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</si>
  <si>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1/10W,10KΩ,5%,0603(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</si>
  <si>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N30199000026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</si>
  <si>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1/10W,1KΩ,5%,0603(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</si>
  <si>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N30199000027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</si>
  <si>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1/4W,10KΩ,5%,1206(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</si>
  <si>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N30199000032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</si>
  <si>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1/16W,10KΩ,5%,0402(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</si>
  <si>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N30199000034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</si>
  <si>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1/16W,4.7KΩ,5%,0402(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</si>
  <si>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N30199000051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</si>
  <si>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1/16W,1KΩ,5%,0402(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</si>
  <si>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N30199000058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</si>
  <si>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1/10W,100KΩ,5%,0603(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</si>
  <si>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N30199000065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</si>
  <si>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1/8W,1.5KΩ,5%,0805(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</si>
  <si>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N30199000069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</si>
  <si>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1/16W,100Ω,5%,0402(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</si>
  <si>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N30199000076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</si>
  <si>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1/4W,510KΩ,5%,1206(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</si>
  <si>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N30199000084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</si>
  <si>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1/8W,100Ω,5%,0805(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</si>
  <si>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N30199000126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</si>
  <si>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1/4W,20Ω,5%,1206(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</si>
  <si>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N30199000134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</si>
  <si>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1/4W,150KΩ,5%,1206(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</si>
  <si>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N30199000163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</si>
  <si>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1/16W,470Ω,5%,0402(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</si>
  <si>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N30199000227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</si>
  <si>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1/4W,10Ω,5%,1206(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</si>
  <si>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N30199000245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</si>
  <si>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1/16W,10Ω,5%,0402(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</si>
  <si>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N30199000253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</si>
  <si>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1/16W,10KΩ,1%,0402(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</si>
  <si>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N30199000254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</si>
  <si>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1/10W,40.2KΩ,1%,0603(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</si>
  <si>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N30199000325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</si>
  <si>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1/10W,30KΩ,5%,0603(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</si>
  <si>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N30199000344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</si>
  <si>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1/4W,1.5Ω,1%,1206(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</si>
  <si>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N30199000347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</si>
  <si>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1/10W,39KΩ,5%,0603(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</si>
  <si>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N30199000369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</si>
  <si>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1/16W,680Ω,5%,0402(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</si>
  <si>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N30199000378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</si>
  <si>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1/10W,75KΩ,1%,0603(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</si>
  <si>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N30199000414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</si>
  <si>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1/10W,18KΩ,1%,0603(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</si>
  <si>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N30199000419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</si>
  <si>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1/16W,6.8KΩ,1%,0402(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</si>
  <si>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N30199000473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</si>
  <si>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1/16W,2KΩ,5%,0402(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</si>
  <si>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N30199000478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</si>
  <si>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1/16W,3.3KΩ,5%,0402(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</si>
  <si>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N30199000483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</si>
  <si>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1/10W,13KΩ,1%,0603(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</si>
  <si>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N30199000518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</si>
  <si>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1/16W,5.1KΩ,5%,0402(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</si>
  <si>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N30199000586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</si>
  <si>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1/16W,15KΩ,5%,0402(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</si>
  <si>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N30199000618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</si>
  <si>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1/16W,200Ω,5%,0402(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</si>
  <si>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N30199000666</t>
  </si>
  <si>
    <r>
      <rPr>
        <sz val="9"/>
        <color rgb="FF808080"/>
        <rFont val="DejaVu Sans"/>
        <family val="2"/>
      </rPr>
      <t xml:space="preserve">片式电阻 </t>
    </r>
    <r>
      <rPr>
        <sz val="9"/>
        <color rgb="FF808080"/>
        <rFont val="微软雅黑"/>
        <family val="0"/>
        <charset val="1"/>
      </rPr>
      <t xml:space="preserve">3/4W,68KΩ,5%,2010(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</si>
  <si>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N30302000104</t>
  </si>
  <si>
    <r>
      <rPr>
        <sz val="9"/>
        <color rgb="FF808080"/>
        <rFont val="微软雅黑"/>
        <family val="0"/>
        <charset val="1"/>
      </rPr>
      <t xml:space="preserve">NTC</t>
    </r>
    <r>
      <rPr>
        <sz val="9"/>
        <color rgb="FF808080"/>
        <rFont val="DejaVu Sans"/>
        <family val="2"/>
      </rPr>
      <t xml:space="preserve">热敏电阻 </t>
    </r>
    <r>
      <rPr>
        <sz val="9"/>
        <color rgb="FF808080"/>
        <rFont val="微软雅黑"/>
        <family val="0"/>
        <charset val="1"/>
      </rPr>
      <t xml:space="preserve">SCK08053MSY008 3A,R25=5Ω(20%,φ8)(</t>
    </r>
    <r>
      <rPr>
        <sz val="9"/>
        <color rgb="FF808080"/>
        <rFont val="DejaVu Sans"/>
        <family val="2"/>
      </rPr>
      <t xml:space="preserve">兴勤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)(HF;RoHS)</t>
    </r>
  </si>
  <si>
    <t xml:space="preserve">东莞为勤电子有限公司</t>
  </si>
  <si>
    <t xml:space="preserve">N30503000098</t>
  </si>
  <si>
    <r>
      <rPr>
        <sz val="9"/>
        <color rgb="FF808080"/>
        <rFont val="DejaVu Sans"/>
        <family val="2"/>
      </rPr>
      <t xml:space="preserve">聚丙烯膜电容 </t>
    </r>
    <r>
      <rPr>
        <sz val="9"/>
        <color rgb="FF808080"/>
        <rFont val="微软雅黑"/>
        <family val="0"/>
        <charset val="1"/>
      </rPr>
      <t xml:space="preserve">C312J222K3SA31A 2.2nF,10%,630Vdc,P=7.5(</t>
    </r>
    <r>
      <rPr>
        <sz val="9"/>
        <color rgb="FF808080"/>
        <rFont val="DejaVu Sans"/>
        <family val="2"/>
      </rPr>
      <t xml:space="preserve">法拉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</si>
  <si>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N30506000690</t>
  </si>
  <si>
    <r>
      <rPr>
        <sz val="9"/>
        <color rgb="FF808080"/>
        <rFont val="DejaVu Sans"/>
        <family val="2"/>
      </rPr>
      <t xml:space="preserve">铝电解电容 </t>
    </r>
    <r>
      <rPr>
        <sz val="9"/>
        <color rgb="FF808080"/>
        <rFont val="微软雅黑"/>
        <family val="0"/>
        <charset val="1"/>
      </rPr>
      <t xml:space="preserve">RGA330M2WBK-1620 33uF,20%,450V,105℃,16X20,P=7.5(</t>
    </r>
    <r>
      <rPr>
        <sz val="9"/>
        <color rgb="FF808080"/>
        <rFont val="DejaVu Sans"/>
        <family val="2"/>
      </rPr>
      <t xml:space="preserve">立隆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</si>
  <si>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N30506000801</t>
  </si>
  <si>
    <r>
      <rPr>
        <sz val="9"/>
        <color rgb="FF808080"/>
        <rFont val="DejaVu Sans"/>
        <family val="2"/>
      </rPr>
      <t xml:space="preserve">铝电解电容 </t>
    </r>
    <r>
      <rPr>
        <sz val="9"/>
        <color rgb="FF808080"/>
        <rFont val="微软雅黑"/>
        <family val="0"/>
        <charset val="1"/>
      </rPr>
      <t xml:space="preserve">VEJ470M1HTR-0607 47uF,20%,50V,6.3X7.7,SMD(</t>
    </r>
    <r>
      <rPr>
        <sz val="9"/>
        <color rgb="FF808080"/>
        <rFont val="DejaVu Sans"/>
        <family val="2"/>
      </rPr>
      <t xml:space="preserve">立隆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</si>
  <si>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厦门安瑞信电子科技有限公司</t>
  </si>
  <si>
    <t xml:space="preserve">N30506000937</t>
  </si>
  <si>
    <r>
      <rPr>
        <sz val="9"/>
        <color rgb="FF808080"/>
        <rFont val="DejaVu Sans"/>
        <family val="2"/>
      </rPr>
      <t xml:space="preserve">铝电解电容 </t>
    </r>
    <r>
      <rPr>
        <sz val="9"/>
        <color rgb="FF808080"/>
        <rFont val="微软雅黑"/>
        <family val="0"/>
        <charset val="1"/>
      </rPr>
      <t xml:space="preserve">VEJ101M1ETR-0607 100uF,20%,25V,105℃,6.3X7.7,SMT(</t>
    </r>
    <r>
      <rPr>
        <sz val="9"/>
        <color rgb="FF808080"/>
        <rFont val="DejaVu Sans"/>
        <family val="2"/>
      </rPr>
      <t xml:space="preserve">立隆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</si>
  <si>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N30506000994</t>
  </si>
  <si>
    <r>
      <rPr>
        <sz val="9"/>
        <color rgb="FF808080"/>
        <rFont val="DejaVu Sans"/>
        <family val="2"/>
      </rPr>
      <t xml:space="preserve">铝电解电容 </t>
    </r>
    <r>
      <rPr>
        <sz val="9"/>
        <color rgb="FF808080"/>
        <rFont val="微软雅黑"/>
        <family val="0"/>
        <charset val="1"/>
      </rPr>
      <t xml:space="preserve">VEJ221M1CTR-0607 220uF,20%,16V,6.3X7.7,SMD(</t>
    </r>
    <r>
      <rPr>
        <sz val="9"/>
        <color rgb="FF808080"/>
        <rFont val="DejaVu Sans"/>
        <family val="2"/>
      </rPr>
      <t xml:space="preserve">立隆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</si>
  <si>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N30506001223</t>
  </si>
  <si>
    <r>
      <rPr>
        <sz val="9"/>
        <color rgb="FF808080"/>
        <rFont val="DejaVu Sans"/>
        <family val="2"/>
      </rPr>
      <t xml:space="preserve">铝电解电容 </t>
    </r>
    <r>
      <rPr>
        <sz val="9"/>
        <color rgb="FF808080"/>
        <rFont val="微软雅黑"/>
        <family val="0"/>
        <charset val="1"/>
      </rPr>
      <t xml:space="preserve">ERJ1EM102G20B50T 1000uF,20%,25V,105℃,10X20,P=5,10000h(</t>
    </r>
    <r>
      <rPr>
        <sz val="9"/>
        <color rgb="FF808080"/>
        <rFont val="DejaVu Sans"/>
        <family val="2"/>
      </rPr>
      <t xml:space="preserve">艾华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</si>
  <si>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N30506001238</t>
  </si>
  <si>
    <r>
      <rPr>
        <sz val="9"/>
        <color rgb="FF808080"/>
        <rFont val="DejaVu Sans"/>
        <family val="2"/>
      </rPr>
      <t xml:space="preserve">铝电解电容 </t>
    </r>
    <r>
      <rPr>
        <sz val="9"/>
        <color rgb="FF808080"/>
        <rFont val="微软雅黑"/>
        <family val="0"/>
        <charset val="1"/>
      </rPr>
      <t xml:space="preserve">VEJ100M1CTR-0405 10uF,20%,16V,105℃,4X5.3,SMD(</t>
    </r>
    <r>
      <rPr>
        <sz val="9"/>
        <color rgb="FF808080"/>
        <rFont val="DejaVu Sans"/>
        <family val="2"/>
      </rPr>
      <t xml:space="preserve">立隆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</si>
  <si>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N30508000057</t>
  </si>
  <si>
    <r>
      <rPr>
        <sz val="9"/>
        <color rgb="FF808080"/>
        <rFont val="DejaVu Sans"/>
        <family val="2"/>
      </rPr>
      <t xml:space="preserve">安规陶瓷电容 </t>
    </r>
    <r>
      <rPr>
        <sz val="9"/>
        <color rgb="FF808080"/>
        <rFont val="微软雅黑"/>
        <family val="0"/>
        <charset val="1"/>
      </rPr>
      <t xml:space="preserve">DE1E3KX222MN4AN01F 2.2nF,20%,250Vac,P=10(Murata)(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</si>
  <si>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深圳市仁天芯科技有限公司</t>
  </si>
  <si>
    <t xml:space="preserve">N30515002148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</si>
  <si>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CC0402KRNPO9BN150 NP0,15pF,10%,50V,0402(</t>
    </r>
    <r>
      <rPr>
        <sz val="9"/>
        <color rgb="FF808080"/>
        <rFont val="DejaVu Sans"/>
        <family val="2"/>
      </rPr>
      <t xml:space="preserve">国巨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</si>
  <si>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N30599000005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</si>
  <si>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X7R,100nF,10%,50V,0805(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</si>
  <si>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N30599000006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</si>
  <si>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X7R,100nF,10%,25V,0402(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</si>
  <si>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N30599000012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</si>
  <si>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X7R,1nF,10%,50V,0402(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</si>
  <si>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N30599000031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</si>
  <si>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X7R,220nF,10%,25V,0603(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</si>
  <si>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N30599000207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</si>
  <si>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X5R,1uF,10%,50V,0603(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</si>
  <si>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N30599000240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</si>
  <si>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X7R,1uF,10%,16V,0805(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</si>
  <si>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N30599000250</t>
  </si>
  <si>
    <r>
      <rPr>
        <sz val="9"/>
        <color rgb="FF808080"/>
        <rFont val="DejaVu Sans"/>
        <family val="2"/>
      </rPr>
      <t xml:space="preserve">片式瓷介电容 </t>
    </r>
    <r>
      <rPr>
        <sz val="9"/>
        <color rgb="FF808080"/>
        <rFont val="微软雅黑"/>
        <family val="0"/>
        <charset val="1"/>
      </rPr>
      <t xml:space="preserve">X7R,10uF,10%,25V,1206(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</si>
  <si>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N31301000157</t>
  </si>
  <si>
    <r>
      <rPr>
        <sz val="9"/>
        <color rgb="FF808080"/>
        <rFont val="DejaVu Sans"/>
        <family val="2"/>
      </rPr>
      <t xml:space="preserve">光耦 </t>
    </r>
    <r>
      <rPr>
        <sz val="9"/>
        <color rgb="FF808080"/>
        <rFont val="微软雅黑"/>
        <family val="0"/>
        <charset val="1"/>
      </rPr>
      <t xml:space="preserve">LTV-816S-TA1-D-Cu SOP4(CTR=300-600)(</t>
    </r>
    <r>
      <rPr>
        <sz val="9"/>
        <color rgb="FF808080"/>
        <rFont val="DejaVu Sans"/>
        <family val="2"/>
      </rPr>
      <t xml:space="preserve">光宝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</si>
  <si>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上海潘亚电子有限公司</t>
  </si>
  <si>
    <t xml:space="preserve">N31306000307</t>
  </si>
  <si>
    <r>
      <rPr>
        <sz val="9"/>
        <color rgb="FF808080"/>
        <rFont val="DejaVu Sans"/>
        <family val="2"/>
      </rPr>
      <t xml:space="preserve">发光二极管 </t>
    </r>
    <r>
      <rPr>
        <sz val="9"/>
        <color rgb="FF808080"/>
        <rFont val="微软雅黑"/>
        <family val="0"/>
        <charset val="1"/>
      </rPr>
      <t xml:space="preserve">LTST-C190GKT-EL </t>
    </r>
    <r>
      <rPr>
        <sz val="9"/>
        <color rgb="FF808080"/>
        <rFont val="DejaVu Sans"/>
        <family val="2"/>
      </rPr>
      <t xml:space="preserve">绿色</t>
    </r>
    <r>
      <rPr>
        <sz val="9"/>
        <color rgb="FF808080"/>
        <rFont val="微软雅黑"/>
        <family val="0"/>
        <charset val="1"/>
      </rPr>
      <t xml:space="preserve">,0603(</t>
    </r>
    <r>
      <rPr>
        <sz val="9"/>
        <color rgb="FF808080"/>
        <rFont val="DejaVu Sans"/>
        <family val="2"/>
      </rPr>
      <t xml:space="preserve">亮度</t>
    </r>
    <r>
      <rPr>
        <sz val="9"/>
        <color rgb="FF808080"/>
        <rFont val="微软雅黑"/>
        <family val="0"/>
        <charset val="1"/>
      </rPr>
      <t xml:space="preserve">:ALL,</t>
    </r>
    <r>
      <rPr>
        <sz val="9"/>
        <color rgb="FF808080"/>
        <rFont val="DejaVu Sans"/>
        <family val="2"/>
      </rPr>
      <t xml:space="preserve">波长</t>
    </r>
    <r>
      <rPr>
        <sz val="9"/>
        <color rgb="FF808080"/>
        <rFont val="微软雅黑"/>
        <family val="0"/>
        <charset val="1"/>
      </rPr>
      <t xml:space="preserve">:570nm,</t>
    </r>
    <r>
      <rPr>
        <sz val="9"/>
        <color rgb="FF808080"/>
        <rFont val="DejaVu Sans"/>
        <family val="2"/>
      </rPr>
      <t xml:space="preserve">电压</t>
    </r>
    <r>
      <rPr>
        <sz val="9"/>
        <color rgb="FF808080"/>
        <rFont val="微软雅黑"/>
        <family val="0"/>
        <charset val="1"/>
      </rPr>
      <t xml:space="preserve">:2.1V)(</t>
    </r>
    <r>
      <rPr>
        <sz val="9"/>
        <color rgb="FF808080"/>
        <rFont val="DejaVu Sans"/>
        <family val="2"/>
      </rPr>
      <t xml:space="preserve">光宝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</si>
  <si>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N31502000138</t>
  </si>
  <si>
    <r>
      <rPr>
        <sz val="9"/>
        <color rgb="FF808080"/>
        <rFont val="DejaVu Sans"/>
        <family val="2"/>
      </rPr>
      <t xml:space="preserve">肖特基二极管 </t>
    </r>
    <r>
      <rPr>
        <sz val="9"/>
        <color rgb="FF808080"/>
        <rFont val="微软雅黑"/>
        <family val="0"/>
        <charset val="1"/>
      </rPr>
      <t xml:space="preserve">MBR10200FCT 10A,200V,ITO-220AB(MCC)(RoHS)</t>
    </r>
  </si>
  <si>
    <t xml:space="preserve">N31504000110</t>
  </si>
  <si>
    <r>
      <rPr>
        <sz val="9"/>
        <color rgb="FF808080"/>
        <rFont val="DejaVu Sans"/>
        <family val="2"/>
      </rPr>
      <t xml:space="preserve">开关二极管 </t>
    </r>
    <r>
      <rPr>
        <sz val="9"/>
        <color rgb="FF808080"/>
        <rFont val="微软雅黑"/>
        <family val="0"/>
        <charset val="1"/>
      </rPr>
      <t xml:space="preserve">1SS181 100mA,80V,SOT23(MCC)(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</si>
  <si>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N31507000109</t>
  </si>
  <si>
    <r>
      <rPr>
        <sz val="9"/>
        <color rgb="FF808080"/>
        <rFont val="微软雅黑"/>
        <family val="0"/>
        <charset val="1"/>
      </rPr>
      <t xml:space="preserve">TVS UDD32C05L01 350W,5V,SOD323(</t>
    </r>
    <r>
      <rPr>
        <sz val="9"/>
        <color rgb="FF808080"/>
        <rFont val="DejaVu Sans"/>
        <family val="2"/>
      </rPr>
      <t xml:space="preserve">君耀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</si>
  <si>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N31507000425</t>
  </si>
  <si>
    <r>
      <rPr>
        <sz val="9"/>
        <color rgb="FF808080"/>
        <rFont val="微软雅黑"/>
        <family val="0"/>
        <charset val="1"/>
      </rPr>
      <t xml:space="preserve">TVS P6SMB6.8CA 600W,6.8V,SMB(</t>
    </r>
    <r>
      <rPr>
        <sz val="9"/>
        <color rgb="FF808080"/>
        <rFont val="DejaVu Sans"/>
        <family val="2"/>
      </rPr>
      <t xml:space="preserve">君耀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</si>
  <si>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N31599000008</t>
  </si>
  <si>
    <r>
      <rPr>
        <sz val="9"/>
        <color rgb="FF808080"/>
        <rFont val="DejaVu Sans"/>
        <family val="2"/>
      </rPr>
      <t xml:space="preserve">整流管 </t>
    </r>
    <r>
      <rPr>
        <sz val="9"/>
        <color rgb="FF808080"/>
        <rFont val="微软雅黑"/>
        <family val="0"/>
        <charset val="1"/>
      </rPr>
      <t xml:space="preserve">M7 1A,1KV,SMA(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</si>
  <si>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N31599000010</t>
  </si>
  <si>
    <r>
      <rPr>
        <sz val="9"/>
        <color rgb="FF808080"/>
        <rFont val="DejaVu Sans"/>
        <family val="2"/>
      </rPr>
      <t xml:space="preserve">开关二极管 </t>
    </r>
    <r>
      <rPr>
        <sz val="9"/>
        <color rgb="FF808080"/>
        <rFont val="微软雅黑"/>
        <family val="0"/>
        <charset val="1"/>
      </rPr>
      <t xml:space="preserve">BAV99 SOT23(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</si>
  <si>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N31599000011</t>
  </si>
  <si>
    <r>
      <rPr>
        <sz val="9"/>
        <color rgb="FF808080"/>
        <rFont val="DejaVu Sans"/>
        <family val="2"/>
      </rPr>
      <t xml:space="preserve">超快恢复二极管 </t>
    </r>
    <r>
      <rPr>
        <sz val="9"/>
        <color rgb="FF808080"/>
        <rFont val="微软雅黑"/>
        <family val="0"/>
        <charset val="1"/>
      </rPr>
      <t xml:space="preserve">US1M 1A,1KV,SMA(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</si>
  <si>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N31599000026</t>
  </si>
  <si>
    <r>
      <rPr>
        <sz val="9"/>
        <color rgb="FF808080"/>
        <rFont val="DejaVu Sans"/>
        <family val="2"/>
      </rPr>
      <t xml:space="preserve">开关二极管 </t>
    </r>
    <r>
      <rPr>
        <sz val="9"/>
        <color rgb="FF808080"/>
        <rFont val="微软雅黑"/>
        <family val="0"/>
        <charset val="1"/>
      </rPr>
      <t xml:space="preserve">1N4148W 150mA,100V,SOD123(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)(RoHS)(</t>
    </r>
    <r>
      <rPr>
        <sz val="9"/>
        <color rgb="FF808080"/>
        <rFont val="DejaVu Sans"/>
        <family val="2"/>
      </rPr>
      <t xml:space="preserve">互换件</t>
    </r>
    <r>
      <rPr>
        <sz val="9"/>
        <color rgb="FF808080"/>
        <rFont val="微软雅黑"/>
        <family val="0"/>
        <charset val="1"/>
      </rPr>
      <t xml:space="preserve">)</t>
    </r>
  </si>
  <si>
    <t xml:space="preserve">N31601000170</t>
  </si>
  <si>
    <r>
      <rPr>
        <sz val="9"/>
        <color rgb="FF808080"/>
        <rFont val="DejaVu Sans"/>
        <family val="2"/>
      </rPr>
      <t xml:space="preserve">数码管 </t>
    </r>
    <r>
      <rPr>
        <sz val="9"/>
        <color rgb="FF808080"/>
        <rFont val="微软雅黑"/>
        <family val="0"/>
        <charset val="1"/>
      </rPr>
      <t xml:space="preserve">BSR0941YBK </t>
    </r>
    <r>
      <rPr>
        <sz val="9"/>
        <color rgb="FF808080"/>
        <rFont val="DejaVu Sans"/>
        <family val="2"/>
      </rPr>
      <t xml:space="preserve">红色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共阴极</t>
    </r>
    <r>
      <rPr>
        <sz val="9"/>
        <color rgb="FF808080"/>
        <rFont val="微软雅黑"/>
        <family val="0"/>
        <charset val="1"/>
      </rPr>
      <t xml:space="preserve">,4</t>
    </r>
    <r>
      <rPr>
        <sz val="9"/>
        <color rgb="FF808080"/>
        <rFont val="DejaVu Sans"/>
        <family val="2"/>
      </rPr>
      <t xml:space="preserve">位</t>
    </r>
    <r>
      <rPr>
        <sz val="9"/>
        <color rgb="FF808080"/>
        <rFont val="微软雅黑"/>
        <family val="0"/>
        <charset val="1"/>
      </rPr>
      <t xml:space="preserve">)(48h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倍司特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</si>
  <si>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厦门倍司特电子有限公司</t>
  </si>
  <si>
    <t xml:space="preserve">N31701000313</t>
  </si>
  <si>
    <r>
      <rPr>
        <sz val="9"/>
        <color rgb="FF808080"/>
        <rFont val="DejaVu Sans"/>
        <family val="2"/>
      </rPr>
      <t xml:space="preserve">三极管 </t>
    </r>
    <r>
      <rPr>
        <sz val="9"/>
        <color rgb="FF808080"/>
        <rFont val="微软雅黑"/>
        <family val="0"/>
        <charset val="1"/>
      </rPr>
      <t xml:space="preserve">S9013-H NPN,25V,HFE=200-350,500mA,SOT23(</t>
    </r>
    <r>
      <rPr>
        <sz val="9"/>
        <color rgb="FF808080"/>
        <rFont val="DejaVu Sans"/>
        <family val="2"/>
      </rPr>
      <t xml:space="preserve">长电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</si>
  <si>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DejaVu Sans"/>
        <family val="2"/>
      </rPr>
      <t xml:space="preserve">厦门博天晟电子科技有限公司（</t>
    </r>
    <r>
      <rPr>
        <sz val="9"/>
        <color rgb="FF808080"/>
        <rFont val="微软雅黑"/>
        <family val="0"/>
        <charset val="1"/>
      </rPr>
      <t xml:space="preserve">ZZ</t>
    </r>
    <r>
      <rPr>
        <sz val="9"/>
        <color rgb="FF808080"/>
        <rFont val="DejaVu Sans"/>
        <family val="2"/>
      </rPr>
      <t xml:space="preserve">）</t>
    </r>
  </si>
  <si>
    <t xml:space="preserve">N31800000311</t>
  </si>
  <si>
    <r>
      <rPr>
        <sz val="9"/>
        <color rgb="FF808080"/>
        <rFont val="DejaVu Sans"/>
        <family val="2"/>
      </rPr>
      <t xml:space="preserve">驱动电路 </t>
    </r>
    <r>
      <rPr>
        <sz val="9"/>
        <color rgb="FF808080"/>
        <rFont val="微软雅黑"/>
        <family val="0"/>
        <charset val="1"/>
      </rPr>
      <t xml:space="preserve">ULN2003G-S16-R SOP16(30V,500mA)(UTC)(RoHS)</t>
    </r>
  </si>
  <si>
    <t xml:space="preserve">N31800000332</t>
  </si>
  <si>
    <r>
      <rPr>
        <sz val="9"/>
        <color rgb="FF808080"/>
        <rFont val="DejaVu Sans"/>
        <family val="2"/>
      </rPr>
      <t xml:space="preserve">集成电路 </t>
    </r>
    <r>
      <rPr>
        <sz val="9"/>
        <color rgb="FF808080"/>
        <rFont val="微软雅黑"/>
        <family val="0"/>
        <charset val="1"/>
      </rPr>
      <t xml:space="preserve">MAX13085EESA SO8(Maxim)(RoHS)</t>
    </r>
  </si>
  <si>
    <t xml:space="preserve">N31801000628</t>
  </si>
  <si>
    <r>
      <rPr>
        <sz val="9"/>
        <color rgb="FF808080"/>
        <rFont val="DejaVu Sans"/>
        <family val="2"/>
      </rPr>
      <t xml:space="preserve">微处理器 </t>
    </r>
    <r>
      <rPr>
        <sz val="9"/>
        <color rgb="FF808080"/>
        <rFont val="微软雅黑"/>
        <family val="0"/>
        <charset val="1"/>
      </rPr>
      <t xml:space="preserve">STM32F407ZGT6 LQFP144(ST)(RoHS)</t>
    </r>
  </si>
  <si>
    <t xml:space="preserve">N31805000073</t>
  </si>
  <si>
    <r>
      <rPr>
        <sz val="9"/>
        <color rgb="FF808080"/>
        <rFont val="DejaVu Sans"/>
        <family val="2"/>
      </rPr>
      <t xml:space="preserve">存贮器 </t>
    </r>
    <r>
      <rPr>
        <sz val="9"/>
        <color rgb="FF808080"/>
        <rFont val="微软雅黑"/>
        <family val="0"/>
        <charset val="1"/>
      </rPr>
      <t xml:space="preserve">BR24G02FJ-3GTE2 SOP-J8(Rohm)(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</si>
  <si>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N31806000199</t>
  </si>
  <si>
    <r>
      <rPr>
        <sz val="9"/>
        <color rgb="FF808080"/>
        <rFont val="DejaVu Sans"/>
        <family val="2"/>
      </rPr>
      <t xml:space="preserve">稳压器 </t>
    </r>
    <r>
      <rPr>
        <sz val="9"/>
        <color rgb="FF808080"/>
        <rFont val="微软雅黑"/>
        <family val="0"/>
        <charset val="1"/>
      </rPr>
      <t xml:space="preserve">KIA7805AF-RTF/P(H) DPAK(KEC)(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</si>
  <si>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深圳市怡海能达有限公司</t>
  </si>
  <si>
    <t xml:space="preserve">N31806000208</t>
  </si>
  <si>
    <r>
      <rPr>
        <sz val="9"/>
        <color rgb="FF808080"/>
        <rFont val="DejaVu Sans"/>
        <family val="2"/>
      </rPr>
      <t xml:space="preserve">稳压器 </t>
    </r>
    <r>
      <rPr>
        <sz val="9"/>
        <color rgb="FF808080"/>
        <rFont val="微软雅黑"/>
        <family val="0"/>
        <charset val="1"/>
      </rPr>
      <t xml:space="preserve">LD1117S50CTR SOT223(ST)(RoHS)</t>
    </r>
  </si>
  <si>
    <t xml:space="preserve">厦门元顺微电子技术有限公司</t>
  </si>
  <si>
    <t xml:space="preserve">N31806000341</t>
  </si>
  <si>
    <r>
      <rPr>
        <sz val="9"/>
        <color rgb="FF808080"/>
        <rFont val="DejaVu Sans"/>
        <family val="2"/>
      </rPr>
      <t xml:space="preserve">稳压器 </t>
    </r>
    <r>
      <rPr>
        <sz val="9"/>
        <color rgb="FF808080"/>
        <rFont val="微软雅黑"/>
        <family val="0"/>
        <charset val="1"/>
      </rPr>
      <t xml:space="preserve">TL431NSG-AE2-R SOT23-3(2.5V,0.5%,</t>
    </r>
    <r>
      <rPr>
        <sz val="9"/>
        <color rgb="FF808080"/>
        <rFont val="DejaVu Sans"/>
        <family val="2"/>
      </rPr>
      <t xml:space="preserve">脚位</t>
    </r>
    <r>
      <rPr>
        <sz val="9"/>
        <color rgb="FF808080"/>
        <rFont val="微软雅黑"/>
        <family val="0"/>
        <charset val="1"/>
      </rPr>
      <t xml:space="preserve">:C-R-A)(UTC)(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)(HF;RoHS)</t>
    </r>
  </si>
  <si>
    <t xml:space="preserve">N31807000094</t>
  </si>
  <si>
    <r>
      <rPr>
        <sz val="9"/>
        <color rgb="FF808080"/>
        <rFont val="DejaVu Sans"/>
        <family val="2"/>
      </rPr>
      <t xml:space="preserve">电源管理电路 </t>
    </r>
    <r>
      <rPr>
        <sz val="9"/>
        <color rgb="FF808080"/>
        <rFont val="微软雅黑"/>
        <family val="0"/>
        <charset val="1"/>
      </rPr>
      <t xml:space="preserve">MP1470GJ-Z TSOT23-6(MPS)(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</si>
  <si>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Eastern International (HK) Limited</t>
  </si>
  <si>
    <t xml:space="preserve">N31807000377</t>
  </si>
  <si>
    <r>
      <rPr>
        <sz val="9"/>
        <color rgb="FF808080"/>
        <rFont val="DejaVu Sans"/>
        <family val="2"/>
      </rPr>
      <t xml:space="preserve">电源管理电路 </t>
    </r>
    <r>
      <rPr>
        <sz val="9"/>
        <color rgb="FF808080"/>
        <rFont val="微软雅黑"/>
        <family val="0"/>
        <charset val="1"/>
      </rPr>
      <t xml:space="preserve">OB2365TAP-H DIP8(</t>
    </r>
    <r>
      <rPr>
        <sz val="9"/>
        <color rgb="FF808080"/>
        <rFont val="DejaVu Sans"/>
        <family val="2"/>
      </rPr>
      <t xml:space="preserve">铱科专用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昂宝</t>
    </r>
    <r>
      <rPr>
        <sz val="9"/>
        <color rgb="FF808080"/>
        <rFont val="微软雅黑"/>
        <family val="0"/>
        <charset val="1"/>
      </rPr>
      <t xml:space="preserve">)(HF;RoHS)</t>
    </r>
  </si>
  <si>
    <t xml:space="preserve">厦门亿思达电子有限公司</t>
  </si>
  <si>
    <t xml:space="preserve">N31813000096</t>
  </si>
  <si>
    <r>
      <rPr>
        <sz val="9"/>
        <color rgb="FF808080"/>
        <rFont val="DejaVu Sans"/>
        <family val="2"/>
      </rPr>
      <t xml:space="preserve">驱动电路 </t>
    </r>
    <r>
      <rPr>
        <sz val="9"/>
        <color rgb="FF808080"/>
        <rFont val="微软雅黑"/>
        <family val="0"/>
        <charset val="1"/>
      </rPr>
      <t xml:space="preserve">TBD62003APG DIP16(Toshiba)(RoHS)</t>
    </r>
  </si>
  <si>
    <t xml:space="preserve">AVNET SUNRISE LTD</t>
  </si>
  <si>
    <t xml:space="preserve">N31813000155</t>
  </si>
  <si>
    <r>
      <rPr>
        <sz val="9"/>
        <color rgb="FF808080"/>
        <rFont val="DejaVu Sans"/>
        <family val="2"/>
      </rPr>
      <t xml:space="preserve">驱动电路 </t>
    </r>
    <r>
      <rPr>
        <sz val="9"/>
        <color rgb="FF808080"/>
        <rFont val="微软雅黑"/>
        <family val="0"/>
        <charset val="1"/>
      </rPr>
      <t xml:space="preserve">TM1650 SOP16(</t>
    </r>
    <r>
      <rPr>
        <sz val="9"/>
        <color rgb="FF808080"/>
        <rFont val="DejaVu Sans"/>
        <family val="2"/>
      </rPr>
      <t xml:space="preserve">天微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天加专用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</si>
  <si>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N32002000072</t>
  </si>
  <si>
    <r>
      <rPr>
        <sz val="9"/>
        <color rgb="FF808080"/>
        <rFont val="DejaVu Sans"/>
        <family val="2"/>
      </rPr>
      <t xml:space="preserve">晶体谐振器 </t>
    </r>
    <r>
      <rPr>
        <sz val="9"/>
        <color rgb="FF808080"/>
        <rFont val="微软雅黑"/>
        <family val="0"/>
        <charset val="1"/>
      </rPr>
      <t xml:space="preserve">SZJF-4.000-9S/SM-20-1-10-P-T&amp;R 4MHz,10ppm,20pF,SMD(</t>
    </r>
    <r>
      <rPr>
        <sz val="9"/>
        <color rgb="FF808080"/>
        <rFont val="DejaVu Sans"/>
        <family val="2"/>
      </rPr>
      <t xml:space="preserve">晶峰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</si>
  <si>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深圳市晶峰晶体科技有限公司</t>
  </si>
  <si>
    <t xml:space="preserve">N32202000441</t>
  </si>
  <si>
    <r>
      <rPr>
        <sz val="9"/>
        <color rgb="FF808080"/>
        <rFont val="DejaVu Sans"/>
        <family val="2"/>
      </rPr>
      <t xml:space="preserve">开关变压器 </t>
    </r>
    <r>
      <rPr>
        <sz val="9"/>
        <color rgb="FF808080"/>
        <rFont val="微软雅黑"/>
        <family val="0"/>
        <charset val="1"/>
      </rPr>
      <t xml:space="preserve">EE28-66-6V (</t>
    </r>
    <r>
      <rPr>
        <sz val="9"/>
        <color rgb="FF808080"/>
        <rFont val="DejaVu Sans"/>
        <family val="2"/>
      </rPr>
      <t xml:space="preserve">华联科技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</si>
  <si>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厦门华联电子科技有限公司</t>
  </si>
  <si>
    <t xml:space="preserve">N32304000139</t>
  </si>
  <si>
    <r>
      <rPr>
        <sz val="9"/>
        <color rgb="FF808080"/>
        <rFont val="DejaVu Sans"/>
        <family val="2"/>
      </rPr>
      <t xml:space="preserve">片式线绕电感 </t>
    </r>
    <r>
      <rPr>
        <sz val="9"/>
        <color rgb="FF808080"/>
        <rFont val="微软雅黑"/>
        <family val="0"/>
        <charset val="1"/>
      </rPr>
      <t xml:space="preserve">VLS252012HBX-6R8M-1 (TDK)(RoHS)</t>
    </r>
  </si>
  <si>
    <t xml:space="preserve">N32304000313</t>
  </si>
  <si>
    <r>
      <rPr>
        <sz val="9"/>
        <color rgb="FF808080"/>
        <rFont val="DejaVu Sans"/>
        <family val="2"/>
      </rPr>
      <t xml:space="preserve">片式线绕电感 </t>
    </r>
    <r>
      <rPr>
        <sz val="9"/>
        <color rgb="FF808080"/>
        <rFont val="微软雅黑"/>
        <family val="0"/>
        <charset val="1"/>
      </rPr>
      <t xml:space="preserve">SWPA8040S330MT 33uH,2.4A(</t>
    </r>
    <r>
      <rPr>
        <sz val="9"/>
        <color rgb="FF808080"/>
        <rFont val="DejaVu Sans"/>
        <family val="2"/>
      </rPr>
      <t xml:space="preserve">顺络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</si>
  <si>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N32306000044</t>
  </si>
  <si>
    <r>
      <rPr>
        <sz val="9"/>
        <color rgb="FF808080"/>
        <rFont val="DejaVu Sans"/>
        <family val="2"/>
      </rPr>
      <t xml:space="preserve">带骨架电感 </t>
    </r>
    <r>
      <rPr>
        <sz val="9"/>
        <color rgb="FF808080"/>
        <rFont val="微软雅黑"/>
        <family val="0"/>
        <charset val="1"/>
      </rPr>
      <t xml:space="preserve">LB20ET-03 22mH,1A(</t>
    </r>
    <r>
      <rPr>
        <sz val="9"/>
        <color rgb="FF808080"/>
        <rFont val="DejaVu Sans"/>
        <family val="2"/>
      </rPr>
      <t xml:space="preserve">扼流圈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新纪元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</si>
  <si>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N32401000217</t>
  </si>
  <si>
    <r>
      <rPr>
        <sz val="9"/>
        <color rgb="FF808080"/>
        <rFont val="DejaVu Sans"/>
        <family val="2"/>
      </rPr>
      <t xml:space="preserve">功率继电器 </t>
    </r>
    <r>
      <rPr>
        <sz val="9"/>
        <color rgb="FF808080"/>
        <rFont val="微软雅黑"/>
        <family val="0"/>
        <charset val="1"/>
      </rPr>
      <t xml:space="preserve">HF46F/12-HS1 (</t>
    </r>
    <r>
      <rPr>
        <sz val="9"/>
        <color rgb="FF808080"/>
        <rFont val="DejaVu Sans"/>
        <family val="2"/>
      </rPr>
      <t xml:space="preserve">宏发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</si>
  <si>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N32503000117</t>
  </si>
  <si>
    <r>
      <rPr>
        <sz val="9"/>
        <color rgb="FF808080"/>
        <rFont val="DejaVu Sans"/>
        <family val="2"/>
      </rPr>
      <t xml:space="preserve">拨码开关 </t>
    </r>
    <r>
      <rPr>
        <sz val="9"/>
        <color rgb="FF808080"/>
        <rFont val="微软雅黑"/>
        <family val="0"/>
        <charset val="1"/>
      </rPr>
      <t xml:space="preserve">YAD-08HR-2 (72h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优高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</si>
  <si>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N32503000118</t>
  </si>
  <si>
    <r>
      <rPr>
        <sz val="9"/>
        <color rgb="FF808080"/>
        <rFont val="DejaVu Sans"/>
        <family val="2"/>
      </rPr>
      <t xml:space="preserve">拨码开关 </t>
    </r>
    <r>
      <rPr>
        <sz val="9"/>
        <color rgb="FF808080"/>
        <rFont val="微软雅黑"/>
        <family val="0"/>
        <charset val="1"/>
      </rPr>
      <t xml:space="preserve">YAD-06HR-2 (72h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优高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编带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</si>
  <si>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DejaVu Sans"/>
        <family val="2"/>
      </rPr>
      <t xml:space="preserve">深圳优高电子有限公司（</t>
    </r>
    <r>
      <rPr>
        <sz val="9"/>
        <color rgb="FF808080"/>
        <rFont val="微软雅黑"/>
        <family val="0"/>
        <charset val="1"/>
      </rPr>
      <t xml:space="preserve">ZZ</t>
    </r>
    <r>
      <rPr>
        <sz val="9"/>
        <color rgb="FF808080"/>
        <rFont val="DejaVu Sans"/>
        <family val="2"/>
      </rPr>
      <t xml:space="preserve">）</t>
    </r>
  </si>
  <si>
    <t xml:space="preserve">N60103000079</t>
  </si>
  <si>
    <r>
      <rPr>
        <sz val="9"/>
        <color rgb="FF808080"/>
        <rFont val="DejaVu Sans"/>
        <family val="2"/>
      </rPr>
      <t xml:space="preserve">延时熔断器 </t>
    </r>
    <r>
      <rPr>
        <sz val="9"/>
        <color rgb="FF808080"/>
        <rFont val="微软雅黑"/>
        <family val="0"/>
        <charset val="1"/>
      </rPr>
      <t xml:space="preserve">50CT050H 5A,250V,Φ5.2X20(</t>
    </r>
    <r>
      <rPr>
        <sz val="9"/>
        <color rgb="FF808080"/>
        <rFont val="DejaVu Sans"/>
        <family val="2"/>
      </rPr>
      <t xml:space="preserve">陶瓷管无引线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好利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</si>
  <si>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好利来（厦门）电路保护科技有限公司</t>
  </si>
  <si>
    <t xml:space="preserve">N60601001310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</si>
  <si>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TJC2508-5A </t>
    </r>
    <r>
      <rPr>
        <sz val="9"/>
        <color rgb="FF808080"/>
        <rFont val="DejaVu Sans"/>
        <family val="2"/>
      </rPr>
      <t xml:space="preserve">黑色</t>
    </r>
    <r>
      <rPr>
        <sz val="9"/>
        <color rgb="FF808080"/>
        <rFont val="微软雅黑"/>
        <family val="0"/>
        <charset val="1"/>
      </rPr>
      <t xml:space="preserve">(CWB)(RoHS)</t>
    </r>
  </si>
  <si>
    <t xml:space="preserve">N60601001317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</si>
  <si>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TJC2508-5A (CWB)(RoHS)</t>
    </r>
  </si>
  <si>
    <t xml:space="preserve">N60601001318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</si>
  <si>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TJC2508-5A </t>
    </r>
    <r>
      <rPr>
        <sz val="9"/>
        <color rgb="FF808080"/>
        <rFont val="DejaVu Sans"/>
        <family val="2"/>
      </rPr>
      <t xml:space="preserve">蓝色</t>
    </r>
    <r>
      <rPr>
        <sz val="9"/>
        <color rgb="FF808080"/>
        <rFont val="微软雅黑"/>
        <family val="0"/>
        <charset val="1"/>
      </rPr>
      <t xml:space="preserve">(2.5X5P)(CWB)(RoHS)</t>
    </r>
  </si>
  <si>
    <t xml:space="preserve">N60601001375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</si>
  <si>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TJC2508-4A (CWB)(RoHS)</t>
    </r>
  </si>
  <si>
    <t xml:space="preserve">N60601001389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</si>
  <si>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VH-3A </t>
    </r>
    <r>
      <rPr>
        <sz val="9"/>
        <color rgb="FF808080"/>
        <rFont val="DejaVu Sans"/>
        <family val="2"/>
      </rPr>
      <t xml:space="preserve">红色</t>
    </r>
    <r>
      <rPr>
        <sz val="9"/>
        <color rgb="FF808080"/>
        <rFont val="微软雅黑"/>
        <family val="0"/>
        <charset val="1"/>
      </rPr>
      <t xml:space="preserve">(48h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)(CWB)(RoHS)</t>
    </r>
  </si>
  <si>
    <t xml:space="preserve">N60601001390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</si>
  <si>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VH-3A </t>
    </r>
    <r>
      <rPr>
        <sz val="9"/>
        <color rgb="FF808080"/>
        <rFont val="DejaVu Sans"/>
        <family val="2"/>
      </rPr>
      <t xml:space="preserve">蓝色</t>
    </r>
    <r>
      <rPr>
        <sz val="9"/>
        <color rgb="FF808080"/>
        <rFont val="微软雅黑"/>
        <family val="0"/>
        <charset val="1"/>
      </rPr>
      <t xml:space="preserve">(48h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)(CWB)(RoHS)</t>
    </r>
  </si>
  <si>
    <t xml:space="preserve">N60601001438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</si>
  <si>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B04B-XARK-1 </t>
    </r>
    <r>
      <rPr>
        <sz val="9"/>
        <color rgb="FF808080"/>
        <rFont val="DejaVu Sans"/>
        <family val="2"/>
      </rPr>
      <t xml:space="preserve">红</t>
    </r>
    <r>
      <rPr>
        <sz val="9"/>
        <color rgb="FF808080"/>
        <rFont val="微软雅黑"/>
        <family val="0"/>
        <charset val="1"/>
      </rPr>
      <t xml:space="preserve">(JST)(RoHS)</t>
    </r>
  </si>
  <si>
    <t xml:space="preserve">N60601001586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</si>
  <si>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TJC2509-2A (CWB)(RoHS)</t>
    </r>
  </si>
  <si>
    <t xml:space="preserve">N60601001588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</si>
  <si>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TJC2509-4A (CWB)(RoHS)</t>
    </r>
  </si>
  <si>
    <t xml:space="preserve">N60601001590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</si>
  <si>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TJC2509-6A (CWB)(RoHS)</t>
    </r>
  </si>
  <si>
    <t xml:space="preserve">N60601001592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</si>
  <si>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TJC2509-8A (CWB)(RoHS)</t>
    </r>
  </si>
  <si>
    <t xml:space="preserve">N60601001594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</si>
  <si>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TJC2509-10A (CWB)(RoHS)</t>
    </r>
  </si>
  <si>
    <t xml:space="preserve">N60601001619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</si>
  <si>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VH-3A(</t>
    </r>
    <r>
      <rPr>
        <sz val="9"/>
        <color rgb="FF808080"/>
        <rFont val="DejaVu Sans"/>
        <family val="2"/>
      </rPr>
      <t xml:space="preserve">去第</t>
    </r>
    <r>
      <rPr>
        <sz val="9"/>
        <color rgb="FF808080"/>
        <rFont val="微软雅黑"/>
        <family val="0"/>
        <charset val="1"/>
      </rPr>
      <t xml:space="preserve">2</t>
    </r>
    <r>
      <rPr>
        <sz val="9"/>
        <color rgb="FF808080"/>
        <rFont val="DejaVu Sans"/>
        <family val="2"/>
      </rPr>
      <t xml:space="preserve">针</t>
    </r>
    <r>
      <rPr>
        <sz val="9"/>
        <color rgb="FF808080"/>
        <rFont val="微软雅黑"/>
        <family val="0"/>
        <charset val="1"/>
      </rPr>
      <t xml:space="preserve">) (48h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)(CWB)(RoHS)</t>
    </r>
  </si>
  <si>
    <t xml:space="preserve">N60601001620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</si>
  <si>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VH-3A(</t>
    </r>
    <r>
      <rPr>
        <sz val="9"/>
        <color rgb="FF808080"/>
        <rFont val="DejaVu Sans"/>
        <family val="2"/>
      </rPr>
      <t xml:space="preserve">去第</t>
    </r>
    <r>
      <rPr>
        <sz val="9"/>
        <color rgb="FF808080"/>
        <rFont val="微软雅黑"/>
        <family val="0"/>
        <charset val="1"/>
      </rPr>
      <t xml:space="preserve">2</t>
    </r>
    <r>
      <rPr>
        <sz val="9"/>
        <color rgb="FF808080"/>
        <rFont val="DejaVu Sans"/>
        <family val="2"/>
      </rPr>
      <t xml:space="preserve">针</t>
    </r>
    <r>
      <rPr>
        <sz val="9"/>
        <color rgb="FF808080"/>
        <rFont val="微软雅黑"/>
        <family val="0"/>
        <charset val="1"/>
      </rPr>
      <t xml:space="preserve">) </t>
    </r>
    <r>
      <rPr>
        <sz val="9"/>
        <color rgb="FF808080"/>
        <rFont val="DejaVu Sans"/>
        <family val="2"/>
      </rPr>
      <t xml:space="preserve">黑色</t>
    </r>
    <r>
      <rPr>
        <sz val="9"/>
        <color rgb="FF808080"/>
        <rFont val="微软雅黑"/>
        <family val="0"/>
        <charset val="1"/>
      </rPr>
      <t xml:space="preserve">(48h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)(CWB)(RoHS)</t>
    </r>
  </si>
  <si>
    <t xml:space="preserve">N60601001672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</si>
  <si>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VH-3A </t>
    </r>
    <r>
      <rPr>
        <sz val="9"/>
        <color rgb="FF808080"/>
        <rFont val="DejaVu Sans"/>
        <family val="2"/>
      </rPr>
      <t xml:space="preserve">黄色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去第</t>
    </r>
    <r>
      <rPr>
        <sz val="9"/>
        <color rgb="FF808080"/>
        <rFont val="微软雅黑"/>
        <family val="0"/>
        <charset val="1"/>
      </rPr>
      <t xml:space="preserve">2</t>
    </r>
    <r>
      <rPr>
        <sz val="9"/>
        <color rgb="FF808080"/>
        <rFont val="DejaVu Sans"/>
        <family val="2"/>
      </rPr>
      <t xml:space="preserve">针</t>
    </r>
    <r>
      <rPr>
        <sz val="9"/>
        <color rgb="FF808080"/>
        <rFont val="微软雅黑"/>
        <family val="0"/>
        <charset val="1"/>
      </rPr>
      <t xml:space="preserve">)(48h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)(CWB)(RoHS)</t>
    </r>
  </si>
  <si>
    <t xml:space="preserve">N60601001775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</si>
  <si>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TJC2508-5A </t>
    </r>
    <r>
      <rPr>
        <sz val="9"/>
        <color rgb="FF808080"/>
        <rFont val="DejaVu Sans"/>
        <family val="2"/>
      </rPr>
      <t xml:space="preserve">红色</t>
    </r>
    <r>
      <rPr>
        <sz val="9"/>
        <color rgb="FF808080"/>
        <rFont val="微软雅黑"/>
        <family val="0"/>
        <charset val="1"/>
      </rPr>
      <t xml:space="preserve">(CWB)(RoHS)</t>
    </r>
  </si>
  <si>
    <t xml:space="preserve">N60601002095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</si>
  <si>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VH-3A </t>
    </r>
    <r>
      <rPr>
        <sz val="9"/>
        <color rgb="FF808080"/>
        <rFont val="DejaVu Sans"/>
        <family val="2"/>
      </rPr>
      <t xml:space="preserve">绿色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去第</t>
    </r>
    <r>
      <rPr>
        <sz val="9"/>
        <color rgb="FF808080"/>
        <rFont val="微软雅黑"/>
        <family val="0"/>
        <charset val="1"/>
      </rPr>
      <t xml:space="preserve">2</t>
    </r>
    <r>
      <rPr>
        <sz val="9"/>
        <color rgb="FF808080"/>
        <rFont val="DejaVu Sans"/>
        <family val="2"/>
      </rPr>
      <t xml:space="preserve">针</t>
    </r>
    <r>
      <rPr>
        <sz val="9"/>
        <color rgb="FF808080"/>
        <rFont val="微软雅黑"/>
        <family val="0"/>
        <charset val="1"/>
      </rPr>
      <t xml:space="preserve">)(CWB)(RoHS)</t>
    </r>
  </si>
  <si>
    <t xml:space="preserve">N60601002533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</si>
  <si>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VH-2A </t>
    </r>
    <r>
      <rPr>
        <sz val="9"/>
        <color rgb="FF808080"/>
        <rFont val="DejaVu Sans"/>
        <family val="2"/>
      </rPr>
      <t xml:space="preserve">绿色</t>
    </r>
    <r>
      <rPr>
        <sz val="9"/>
        <color rgb="FF808080"/>
        <rFont val="微软雅黑"/>
        <family val="0"/>
        <charset val="1"/>
      </rPr>
      <t xml:space="preserve">(CWB)(RoHS)</t>
    </r>
  </si>
  <si>
    <t xml:space="preserve">N60601002724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</si>
  <si>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TJC2509-2A </t>
    </r>
    <r>
      <rPr>
        <sz val="9"/>
        <color rgb="FF808080"/>
        <rFont val="DejaVu Sans"/>
        <family val="2"/>
      </rPr>
      <t xml:space="preserve">红色</t>
    </r>
    <r>
      <rPr>
        <sz val="9"/>
        <color rgb="FF808080"/>
        <rFont val="微软雅黑"/>
        <family val="0"/>
        <charset val="1"/>
      </rPr>
      <t xml:space="preserve">(CWB)(RoHS)</t>
    </r>
  </si>
  <si>
    <t xml:space="preserve">N60601003395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</si>
  <si>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TJC2508-4A </t>
    </r>
    <r>
      <rPr>
        <sz val="9"/>
        <color rgb="FF808080"/>
        <rFont val="DejaVu Sans"/>
        <family val="2"/>
      </rPr>
      <t xml:space="preserve">红色</t>
    </r>
    <r>
      <rPr>
        <sz val="9"/>
        <color rgb="FF808080"/>
        <rFont val="微软雅黑"/>
        <family val="0"/>
        <charset val="1"/>
      </rPr>
      <t xml:space="preserve">(2.5X4P)(CWB)(RoHS)</t>
    </r>
  </si>
  <si>
    <t xml:space="preserve">N60601003512</t>
  </si>
  <si>
    <r>
      <rPr>
        <sz val="9"/>
        <color rgb="FF808080"/>
        <rFont val="DejaVu Sans"/>
        <family val="2"/>
      </rPr>
      <t xml:space="preserve">端子 </t>
    </r>
    <r>
      <rPr>
        <sz val="9"/>
        <color rgb="FF808080"/>
        <rFont val="微软雅黑"/>
        <family val="0"/>
        <charset val="1"/>
      </rPr>
      <t xml:space="preserve">VH-3A </t>
    </r>
    <r>
      <rPr>
        <sz val="9"/>
        <color rgb="FF808080"/>
        <rFont val="DejaVu Sans"/>
        <family val="2"/>
      </rPr>
      <t xml:space="preserve">橙色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去第</t>
    </r>
    <r>
      <rPr>
        <sz val="9"/>
        <color rgb="FF808080"/>
        <rFont val="微软雅黑"/>
        <family val="0"/>
        <charset val="1"/>
      </rPr>
      <t xml:space="preserve">2</t>
    </r>
    <r>
      <rPr>
        <sz val="9"/>
        <color rgb="FF808080"/>
        <rFont val="DejaVu Sans"/>
        <family val="2"/>
      </rPr>
      <t xml:space="preserve">针</t>
    </r>
    <r>
      <rPr>
        <sz val="9"/>
        <color rgb="FF808080"/>
        <rFont val="微软雅黑"/>
        <family val="0"/>
        <charset val="1"/>
      </rPr>
      <t xml:space="preserve">)(CWB)(RoHS)</t>
    </r>
  </si>
  <si>
    <t xml:space="preserve">N60602000254</t>
  </si>
  <si>
    <r>
      <rPr>
        <sz val="9"/>
        <color rgb="FF808080"/>
        <rFont val="DejaVu Sans"/>
        <family val="2"/>
      </rPr>
      <t xml:space="preserve">接线排 </t>
    </r>
    <r>
      <rPr>
        <sz val="9"/>
        <color rgb="FF808080"/>
        <rFont val="微软雅黑"/>
        <family val="0"/>
        <charset val="1"/>
      </rPr>
      <t xml:space="preserve">YK3030903002G (Anytek)(RoHS)</t>
    </r>
  </si>
  <si>
    <t xml:space="preserve">厦门市向荣发电子有限公司</t>
  </si>
  <si>
    <t xml:space="preserve">N60604000340</t>
  </si>
  <si>
    <r>
      <rPr>
        <sz val="9"/>
        <color rgb="FF808080"/>
        <rFont val="DejaVu Sans"/>
        <family val="2"/>
      </rPr>
      <t xml:space="preserve">插座 </t>
    </r>
    <r>
      <rPr>
        <sz val="9"/>
        <color rgb="FF808080"/>
        <rFont val="微软雅黑"/>
        <family val="0"/>
        <charset val="1"/>
      </rPr>
      <t xml:space="preserve">1734366-2 (USB</t>
    </r>
    <r>
      <rPr>
        <sz val="9"/>
        <color rgb="FF808080"/>
        <rFont val="DejaVu Sans"/>
        <family val="2"/>
      </rPr>
      <t xml:space="preserve">座</t>
    </r>
    <r>
      <rPr>
        <sz val="9"/>
        <color rgb="FF808080"/>
        <rFont val="微软雅黑"/>
        <family val="0"/>
        <charset val="1"/>
      </rPr>
      <t xml:space="preserve">,</t>
    </r>
    <r>
      <rPr>
        <sz val="9"/>
        <color rgb="FF808080"/>
        <rFont val="DejaVu Sans"/>
        <family val="2"/>
      </rPr>
      <t xml:space="preserve">立式</t>
    </r>
    <r>
      <rPr>
        <sz val="9"/>
        <color rgb="FF808080"/>
        <rFont val="微软雅黑"/>
        <family val="0"/>
        <charset val="1"/>
      </rPr>
      <t xml:space="preserve">)(TE)(RoHS)</t>
    </r>
  </si>
  <si>
    <t xml:space="preserve">N60606000043</t>
  </si>
  <si>
    <r>
      <rPr>
        <sz val="9"/>
        <color rgb="FF808080"/>
        <rFont val="DejaVu Sans"/>
        <family val="2"/>
      </rPr>
      <t xml:space="preserve">卡座 </t>
    </r>
    <r>
      <rPr>
        <sz val="9"/>
        <color rgb="FF808080"/>
        <rFont val="微软雅黑"/>
        <family val="0"/>
        <charset val="1"/>
      </rPr>
      <t xml:space="preserve">KH172-A,P</t>
    </r>
    <r>
      <rPr>
        <sz val="9"/>
        <color rgb="FF808080"/>
        <rFont val="DejaVu Sans"/>
        <family val="2"/>
      </rPr>
      <t xml:space="preserve">＝</t>
    </r>
    <r>
      <rPr>
        <sz val="9"/>
        <color rgb="FF808080"/>
        <rFont val="微软雅黑"/>
        <family val="0"/>
        <charset val="1"/>
      </rPr>
      <t xml:space="preserve">6.5 (</t>
    </r>
    <r>
      <rPr>
        <sz val="9"/>
        <color rgb="FF808080"/>
        <rFont val="DejaVu Sans"/>
        <family val="2"/>
      </rPr>
      <t xml:space="preserve">保险丝卡座</t>
    </r>
    <r>
      <rPr>
        <sz val="9"/>
        <color rgb="FF808080"/>
        <rFont val="微软雅黑"/>
        <family val="0"/>
        <charset val="1"/>
      </rPr>
      <t xml:space="preserve">D5X20)(</t>
    </r>
    <r>
      <rPr>
        <sz val="9"/>
        <color rgb="FF808080"/>
        <rFont val="DejaVu Sans"/>
        <family val="2"/>
      </rPr>
      <t xml:space="preserve">磊峰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</si>
  <si>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N70901000288</t>
  </si>
  <si>
    <r>
      <rPr>
        <sz val="9"/>
        <color rgb="FF808080"/>
        <rFont val="DejaVu Sans"/>
        <family val="2"/>
      </rPr>
      <t xml:space="preserve">螺丝组件 </t>
    </r>
    <r>
      <rPr>
        <sz val="9"/>
        <color rgb="FF808080"/>
        <rFont val="微软雅黑"/>
        <family val="0"/>
        <charset val="1"/>
      </rPr>
      <t xml:space="preserve">3X8PM 304</t>
    </r>
    <r>
      <rPr>
        <sz val="9"/>
        <color rgb="FF808080"/>
        <rFont val="DejaVu Sans"/>
        <family val="2"/>
      </rPr>
      <t xml:space="preserve">不锈钢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带平垫、弹垫</t>
    </r>
    <r>
      <rPr>
        <sz val="9"/>
        <color rgb="FF808080"/>
        <rFont val="微软雅黑"/>
        <family val="0"/>
        <charset val="1"/>
      </rPr>
      <t xml:space="preserve">)(72h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新沪厦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</si>
  <si>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N71002000022</t>
  </si>
  <si>
    <r>
      <rPr>
        <sz val="9"/>
        <color rgb="FF808080"/>
        <rFont val="DejaVu Sans"/>
        <family val="2"/>
      </rPr>
      <t xml:space="preserve">元件护套 </t>
    </r>
    <r>
      <rPr>
        <sz val="9"/>
        <color rgb="FF808080"/>
        <rFont val="微软雅黑"/>
        <family val="0"/>
        <charset val="1"/>
      </rPr>
      <t xml:space="preserve">D5X20(</t>
    </r>
    <r>
      <rPr>
        <sz val="9"/>
        <color rgb="FF808080"/>
        <rFont val="DejaVu Sans"/>
        <family val="2"/>
      </rPr>
      <t xml:space="preserve">保险丝套管</t>
    </r>
    <r>
      <rPr>
        <sz val="9"/>
        <color rgb="FF808080"/>
        <rFont val="微软雅黑"/>
        <family val="0"/>
        <charset val="1"/>
      </rPr>
      <t xml:space="preserve">) (</t>
    </r>
    <r>
      <rPr>
        <sz val="9"/>
        <color rgb="FF808080"/>
        <rFont val="DejaVu Sans"/>
        <family val="2"/>
      </rPr>
      <t xml:space="preserve">符合</t>
    </r>
    <r>
      <rPr>
        <sz val="9"/>
        <color rgb="FF808080"/>
        <rFont val="微软雅黑"/>
        <family val="0"/>
        <charset val="1"/>
      </rPr>
      <t xml:space="preserve">REACH)(</t>
    </r>
    <r>
      <rPr>
        <sz val="9"/>
        <color rgb="FF808080"/>
        <rFont val="DejaVu Sans"/>
        <family val="2"/>
      </rPr>
      <t xml:space="preserve">中田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</si>
  <si>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N71104006605</t>
  </si>
  <si>
    <r>
      <rPr>
        <sz val="9"/>
        <color rgb="FF808080"/>
        <rFont val="微软雅黑"/>
        <family val="0"/>
        <charset val="1"/>
      </rPr>
      <t xml:space="preserve">FR4</t>
    </r>
    <r>
      <rPr>
        <sz val="9"/>
        <color rgb="FF808080"/>
        <rFont val="DejaVu Sans"/>
        <family val="2"/>
      </rPr>
      <t xml:space="preserve">印制板 </t>
    </r>
    <r>
      <rPr>
        <sz val="9"/>
        <color rgb="FF808080"/>
        <rFont val="微软雅黑"/>
        <family val="0"/>
        <charset val="1"/>
      </rPr>
      <t xml:space="preserve">TE1003 </t>
    </r>
    <r>
      <rPr>
        <sz val="9"/>
        <color rgb="FF808080"/>
        <rFont val="DejaVu Sans"/>
        <family val="2"/>
      </rPr>
      <t xml:space="preserve">双层</t>
    </r>
    <r>
      <rPr>
        <sz val="9"/>
        <color rgb="FF808080"/>
        <rFont val="微软雅黑"/>
        <family val="0"/>
        <charset val="1"/>
      </rPr>
      <t xml:space="preserve">,</t>
    </r>
    <r>
      <rPr>
        <sz val="9"/>
        <color rgb="FF808080"/>
        <rFont val="DejaVu Sans"/>
        <family val="2"/>
      </rPr>
      <t xml:space="preserve">喷锡</t>
    </r>
    <r>
      <rPr>
        <sz val="9"/>
        <color rgb="FF808080"/>
        <rFont val="微软雅黑"/>
        <family val="0"/>
        <charset val="1"/>
      </rPr>
      <t xml:space="preserve">,200X200X1.6,1</t>
    </r>
    <r>
      <rPr>
        <sz val="9"/>
        <color rgb="FF808080"/>
        <rFont val="DejaVu Sans"/>
        <family val="2"/>
      </rPr>
      <t xml:space="preserve">拼板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永隆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</si>
  <si>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N60703001638</t>
  </si>
  <si>
    <r>
      <rPr>
        <sz val="9"/>
        <color rgb="FF808080"/>
        <rFont val="DejaVu Sans"/>
        <family val="2"/>
      </rPr>
      <t xml:space="preserve">标签 </t>
    </r>
    <r>
      <rPr>
        <sz val="9"/>
        <color rgb="FF808080"/>
        <rFont val="微软雅黑"/>
        <family val="0"/>
        <charset val="1"/>
      </rPr>
      <t xml:space="preserve">BQ300200W002-NJTJ (26P</t>
    </r>
    <r>
      <rPr>
        <sz val="9"/>
        <color rgb="FF808080"/>
        <rFont val="DejaVu Sans"/>
        <family val="2"/>
      </rPr>
      <t xml:space="preserve">电气原理图</t>
    </r>
    <r>
      <rPr>
        <sz val="9"/>
        <color rgb="FF808080"/>
        <rFont val="微软雅黑"/>
        <family val="0"/>
        <charset val="1"/>
      </rPr>
      <t xml:space="preserve">)(D5A13H500001)(</t>
    </r>
    <r>
      <rPr>
        <sz val="9"/>
        <color rgb="FF808080"/>
        <rFont val="DejaVu Sans"/>
        <family val="2"/>
      </rPr>
      <t xml:space="preserve">背胶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</si>
  <si>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厦门亿华辉工贸有限公司</t>
  </si>
  <si>
    <t xml:space="preserve">4013430R</t>
  </si>
  <si>
    <r>
      <rPr>
        <sz val="9"/>
        <color rgb="FF808080"/>
        <rFont val="DejaVu Sans"/>
        <family val="2"/>
      </rPr>
      <t xml:space="preserve">塑胶线夹 </t>
    </r>
    <r>
      <rPr>
        <sz val="9"/>
        <color rgb="FF808080"/>
        <rFont val="微软雅黑"/>
        <family val="0"/>
        <charset val="1"/>
      </rPr>
      <t xml:space="preserve">3.6X300 (</t>
    </r>
    <r>
      <rPr>
        <sz val="9"/>
        <color rgb="FF808080"/>
        <rFont val="DejaVu Sans"/>
        <family val="2"/>
      </rPr>
      <t xml:space="preserve">尼龙扣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正顺达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</si>
  <si>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N31805000286</t>
  </si>
  <si>
    <r>
      <rPr>
        <sz val="9"/>
        <color rgb="FF808080"/>
        <rFont val="DejaVu Sans"/>
        <family val="2"/>
      </rPr>
      <t xml:space="preserve">存贮器 </t>
    </r>
    <r>
      <rPr>
        <sz val="9"/>
        <color rgb="FF808080"/>
        <rFont val="微软雅黑"/>
        <family val="0"/>
        <charset val="1"/>
      </rPr>
      <t xml:space="preserve">SX770 (U</t>
    </r>
    <r>
      <rPr>
        <sz val="9"/>
        <color rgb="FF808080"/>
        <rFont val="DejaVu Sans"/>
        <family val="2"/>
      </rPr>
      <t xml:space="preserve">盘</t>
    </r>
    <r>
      <rPr>
        <sz val="9"/>
        <color rgb="FF808080"/>
        <rFont val="微软雅黑"/>
        <family val="0"/>
        <charset val="1"/>
      </rPr>
      <t xml:space="preserve">)(32G)(</t>
    </r>
    <r>
      <rPr>
        <sz val="9"/>
        <color rgb="FF808080"/>
        <rFont val="DejaVu Sans"/>
        <family val="2"/>
      </rPr>
      <t xml:space="preserve">联想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</si>
  <si>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DejaVu Sans"/>
        <family val="2"/>
      </rPr>
      <t xml:space="preserve">增利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上海</t>
    </r>
    <r>
      <rPr>
        <sz val="9"/>
        <color rgb="FF808080"/>
        <rFont val="微软雅黑"/>
        <family val="0"/>
        <charset val="1"/>
      </rPr>
      <t xml:space="preserve">)</t>
    </r>
    <r>
      <rPr>
        <sz val="9"/>
        <color rgb="FF808080"/>
        <rFont val="DejaVu Sans"/>
        <family val="2"/>
      </rPr>
      <t xml:space="preserve">电子科技有限公司</t>
    </r>
  </si>
  <si>
    <t xml:space="preserve">N60202002907</t>
  </si>
  <si>
    <r>
      <rPr>
        <sz val="9"/>
        <color rgb="FF808080"/>
        <rFont val="DejaVu Sans"/>
        <family val="2"/>
      </rPr>
      <t xml:space="preserve">弱电接插件 </t>
    </r>
    <r>
      <rPr>
        <sz val="9"/>
        <color rgb="FF808080"/>
        <rFont val="微软雅黑"/>
        <family val="0"/>
        <charset val="1"/>
      </rPr>
      <t xml:space="preserve">JCR04-70-036 (</t>
    </r>
    <r>
      <rPr>
        <sz val="9"/>
        <color rgb="FF808080"/>
        <rFont val="DejaVu Sans"/>
        <family val="2"/>
      </rPr>
      <t xml:space="preserve">朝宏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</si>
  <si>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厦门市朝宏电子科技有限公司</t>
  </si>
  <si>
    <t xml:space="preserve">N60202002908</t>
  </si>
  <si>
    <r>
      <rPr>
        <sz val="9"/>
        <color rgb="FF808080"/>
        <rFont val="DejaVu Sans"/>
        <family val="2"/>
      </rPr>
      <t xml:space="preserve">弱电接插件 </t>
    </r>
    <r>
      <rPr>
        <sz val="9"/>
        <color rgb="FF808080"/>
        <rFont val="微软雅黑"/>
        <family val="0"/>
        <charset val="1"/>
      </rPr>
      <t xml:space="preserve">JCR02-10-131 (</t>
    </r>
    <r>
      <rPr>
        <sz val="9"/>
        <color rgb="FF808080"/>
        <rFont val="DejaVu Sans"/>
        <family val="2"/>
      </rPr>
      <t xml:space="preserve">朝宏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</si>
  <si>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N60202002909</t>
  </si>
  <si>
    <r>
      <rPr>
        <sz val="9"/>
        <color rgb="FF808080"/>
        <rFont val="DejaVu Sans"/>
        <family val="2"/>
      </rPr>
      <t xml:space="preserve">弱电接插件 </t>
    </r>
    <r>
      <rPr>
        <sz val="9"/>
        <color rgb="FF808080"/>
        <rFont val="微软雅黑"/>
        <family val="0"/>
        <charset val="1"/>
      </rPr>
      <t xml:space="preserve">JCR01-150-004 (</t>
    </r>
    <r>
      <rPr>
        <sz val="9"/>
        <color rgb="FF808080"/>
        <rFont val="DejaVu Sans"/>
        <family val="2"/>
      </rPr>
      <t xml:space="preserve">朝宏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</si>
  <si>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N60203001231</t>
  </si>
  <si>
    <r>
      <rPr>
        <sz val="9"/>
        <color rgb="FF808080"/>
        <rFont val="DejaVu Sans"/>
        <family val="2"/>
      </rPr>
      <t xml:space="preserve">强电接插件 </t>
    </r>
    <r>
      <rPr>
        <sz val="9"/>
        <color rgb="FF808080"/>
        <rFont val="微软雅黑"/>
        <family val="0"/>
        <charset val="1"/>
      </rPr>
      <t xml:space="preserve">JCQ04-70-006 (</t>
    </r>
    <r>
      <rPr>
        <sz val="9"/>
        <color rgb="FF808080"/>
        <rFont val="DejaVu Sans"/>
        <family val="2"/>
      </rPr>
      <t xml:space="preserve">朝宏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</si>
  <si>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N60203001232</t>
  </si>
  <si>
    <r>
      <rPr>
        <sz val="9"/>
        <color rgb="FF808080"/>
        <rFont val="DejaVu Sans"/>
        <family val="2"/>
      </rPr>
      <t xml:space="preserve">强电接插件 </t>
    </r>
    <r>
      <rPr>
        <sz val="9"/>
        <color rgb="FF808080"/>
        <rFont val="微软雅黑"/>
        <family val="0"/>
        <charset val="1"/>
      </rPr>
      <t xml:space="preserve">JCQ03-180-001 (</t>
    </r>
    <r>
      <rPr>
        <sz val="9"/>
        <color rgb="FF808080"/>
        <rFont val="DejaVu Sans"/>
        <family val="2"/>
      </rPr>
      <t xml:space="preserve">朝宏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</si>
  <si>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N60203001257</t>
  </si>
  <si>
    <r>
      <rPr>
        <sz val="9"/>
        <color rgb="FF808080"/>
        <rFont val="DejaVu Sans"/>
        <family val="2"/>
      </rPr>
      <t xml:space="preserve">强电接插件 </t>
    </r>
    <r>
      <rPr>
        <sz val="9"/>
        <color rgb="FF808080"/>
        <rFont val="微软雅黑"/>
        <family val="0"/>
        <charset val="1"/>
      </rPr>
      <t xml:space="preserve">JCQ01-60-058 (20P</t>
    </r>
    <r>
      <rPr>
        <sz val="9"/>
        <color rgb="FF808080"/>
        <rFont val="DejaVu Sans"/>
        <family val="2"/>
      </rPr>
      <t xml:space="preserve">电源线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驱动接滤波</t>
    </r>
    <r>
      <rPr>
        <sz val="9"/>
        <color rgb="FF808080"/>
        <rFont val="微软雅黑"/>
        <family val="0"/>
        <charset val="1"/>
      </rPr>
      <t xml:space="preserve">)(N)(RoHS)</t>
    </r>
  </si>
  <si>
    <t xml:space="preserve">N60203001261</t>
  </si>
  <si>
    <r>
      <rPr>
        <sz val="9"/>
        <color rgb="FF808080"/>
        <rFont val="DejaVu Sans"/>
        <family val="2"/>
      </rPr>
      <t xml:space="preserve">强电接插件 </t>
    </r>
    <r>
      <rPr>
        <sz val="9"/>
        <color rgb="FF808080"/>
        <rFont val="微软雅黑"/>
        <family val="0"/>
        <charset val="1"/>
      </rPr>
      <t xml:space="preserve">JCQ01-20-334 (20P</t>
    </r>
    <r>
      <rPr>
        <sz val="9"/>
        <color rgb="FF808080"/>
        <rFont val="DejaVu Sans"/>
        <family val="2"/>
      </rPr>
      <t xml:space="preserve">电源线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滤波接线排</t>
    </r>
    <r>
      <rPr>
        <sz val="9"/>
        <color rgb="FF808080"/>
        <rFont val="微软雅黑"/>
        <family val="0"/>
        <charset val="1"/>
      </rPr>
      <t xml:space="preserve">)(N)(RoHS)</t>
    </r>
  </si>
  <si>
    <t xml:space="preserve">N60203001262</t>
  </si>
  <si>
    <r>
      <rPr>
        <sz val="9"/>
        <color rgb="FF808080"/>
        <rFont val="DejaVu Sans"/>
        <family val="2"/>
      </rPr>
      <t xml:space="preserve">强电接插件 </t>
    </r>
    <r>
      <rPr>
        <sz val="9"/>
        <color rgb="FF808080"/>
        <rFont val="微软雅黑"/>
        <family val="0"/>
        <charset val="1"/>
      </rPr>
      <t xml:space="preserve">JCQ01-60-059 (26P</t>
    </r>
    <r>
      <rPr>
        <sz val="9"/>
        <color rgb="FF808080"/>
        <rFont val="DejaVu Sans"/>
        <family val="2"/>
      </rPr>
      <t xml:space="preserve">电源线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驱动接滤波</t>
    </r>
    <r>
      <rPr>
        <sz val="9"/>
        <color rgb="FF808080"/>
        <rFont val="微软雅黑"/>
        <family val="0"/>
        <charset val="1"/>
      </rPr>
      <t xml:space="preserve">)(R)(RoHS)</t>
    </r>
  </si>
  <si>
    <t xml:space="preserve">N60203001263</t>
  </si>
  <si>
    <r>
      <rPr>
        <sz val="9"/>
        <color rgb="FF808080"/>
        <rFont val="DejaVu Sans"/>
        <family val="2"/>
      </rPr>
      <t xml:space="preserve">强电接插件 </t>
    </r>
    <r>
      <rPr>
        <sz val="9"/>
        <color rgb="FF808080"/>
        <rFont val="微软雅黑"/>
        <family val="0"/>
        <charset val="1"/>
      </rPr>
      <t xml:space="preserve">JCQ01-60-060 (26P</t>
    </r>
    <r>
      <rPr>
        <sz val="9"/>
        <color rgb="FF808080"/>
        <rFont val="DejaVu Sans"/>
        <family val="2"/>
      </rPr>
      <t xml:space="preserve">电源线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驱动接滤波</t>
    </r>
    <r>
      <rPr>
        <sz val="9"/>
        <color rgb="FF808080"/>
        <rFont val="微软雅黑"/>
        <family val="0"/>
        <charset val="1"/>
      </rPr>
      <t xml:space="preserve">)(S)(RoHS)</t>
    </r>
  </si>
  <si>
    <t xml:space="preserve">N60203001264</t>
  </si>
  <si>
    <r>
      <rPr>
        <sz val="9"/>
        <color rgb="FF808080"/>
        <rFont val="DejaVu Sans"/>
        <family val="2"/>
      </rPr>
      <t xml:space="preserve">强电接插件 </t>
    </r>
    <r>
      <rPr>
        <sz val="9"/>
        <color rgb="FF808080"/>
        <rFont val="微软雅黑"/>
        <family val="0"/>
        <charset val="1"/>
      </rPr>
      <t xml:space="preserve">JCQ01-60-061 (26P</t>
    </r>
    <r>
      <rPr>
        <sz val="9"/>
        <color rgb="FF808080"/>
        <rFont val="DejaVu Sans"/>
        <family val="2"/>
      </rPr>
      <t xml:space="preserve">电源线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驱动接滤波</t>
    </r>
    <r>
      <rPr>
        <sz val="9"/>
        <color rgb="FF808080"/>
        <rFont val="微软雅黑"/>
        <family val="0"/>
        <charset val="1"/>
      </rPr>
      <t xml:space="preserve">)(T)(RoHS)</t>
    </r>
  </si>
  <si>
    <t xml:space="preserve">N60203001266</t>
  </si>
  <si>
    <r>
      <rPr>
        <sz val="9"/>
        <color rgb="FF808080"/>
        <rFont val="DejaVu Sans"/>
        <family val="2"/>
      </rPr>
      <t xml:space="preserve">强电接插件 </t>
    </r>
    <r>
      <rPr>
        <sz val="9"/>
        <color rgb="FF808080"/>
        <rFont val="微软雅黑"/>
        <family val="0"/>
        <charset val="1"/>
      </rPr>
      <t xml:space="preserve">JCQ01-10-190 (26P</t>
    </r>
    <r>
      <rPr>
        <sz val="9"/>
        <color rgb="FF808080"/>
        <rFont val="DejaVu Sans"/>
        <family val="2"/>
      </rPr>
      <t xml:space="preserve">电源线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滤波接线排</t>
    </r>
    <r>
      <rPr>
        <sz val="9"/>
        <color rgb="FF808080"/>
        <rFont val="微软雅黑"/>
        <family val="0"/>
        <charset val="1"/>
      </rPr>
      <t xml:space="preserve">)(R)(RoHS)</t>
    </r>
  </si>
  <si>
    <t xml:space="preserve">N60203001267</t>
  </si>
  <si>
    <r>
      <rPr>
        <sz val="9"/>
        <color rgb="FF808080"/>
        <rFont val="DejaVu Sans"/>
        <family val="2"/>
      </rPr>
      <t xml:space="preserve">强电接插件 </t>
    </r>
    <r>
      <rPr>
        <sz val="9"/>
        <color rgb="FF808080"/>
        <rFont val="微软雅黑"/>
        <family val="0"/>
        <charset val="1"/>
      </rPr>
      <t xml:space="preserve">JCQ01-10-191 (26P</t>
    </r>
    <r>
      <rPr>
        <sz val="9"/>
        <color rgb="FF808080"/>
        <rFont val="DejaVu Sans"/>
        <family val="2"/>
      </rPr>
      <t xml:space="preserve">电源线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滤波接线排</t>
    </r>
    <r>
      <rPr>
        <sz val="9"/>
        <color rgb="FF808080"/>
        <rFont val="微软雅黑"/>
        <family val="0"/>
        <charset val="1"/>
      </rPr>
      <t xml:space="preserve">)(S)(RoHS)</t>
    </r>
  </si>
  <si>
    <t xml:space="preserve">N60203001268</t>
  </si>
  <si>
    <r>
      <rPr>
        <sz val="9"/>
        <color rgb="FF808080"/>
        <rFont val="DejaVu Sans"/>
        <family val="2"/>
      </rPr>
      <t xml:space="preserve">强电接插件 </t>
    </r>
    <r>
      <rPr>
        <sz val="9"/>
        <color rgb="FF808080"/>
        <rFont val="微软雅黑"/>
        <family val="0"/>
        <charset val="1"/>
      </rPr>
      <t xml:space="preserve">JCQ01-10-192 (26P</t>
    </r>
    <r>
      <rPr>
        <sz val="9"/>
        <color rgb="FF808080"/>
        <rFont val="DejaVu Sans"/>
        <family val="2"/>
      </rPr>
      <t xml:space="preserve">电源线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滤波接线排</t>
    </r>
    <r>
      <rPr>
        <sz val="9"/>
        <color rgb="FF808080"/>
        <rFont val="微软雅黑"/>
        <family val="0"/>
        <charset val="1"/>
      </rPr>
      <t xml:space="preserve">)(T)(RoHS)</t>
    </r>
  </si>
  <si>
    <t xml:space="preserve">N60602000345</t>
  </si>
  <si>
    <r>
      <rPr>
        <sz val="9"/>
        <color rgb="FF808080"/>
        <rFont val="DejaVu Sans"/>
        <family val="2"/>
      </rPr>
      <t xml:space="preserve">接线排 </t>
    </r>
    <r>
      <rPr>
        <sz val="9"/>
        <color rgb="FF808080"/>
        <rFont val="微软雅黑"/>
        <family val="0"/>
        <charset val="1"/>
      </rPr>
      <t xml:space="preserve">T1601-2 (28.8X4P)(B00000004772)(</t>
    </r>
    <r>
      <rPr>
        <sz val="9"/>
        <color rgb="FF808080"/>
        <rFont val="DejaVu Sans"/>
        <family val="2"/>
      </rPr>
      <t xml:space="preserve">天加专用</t>
    </r>
    <r>
      <rPr>
        <sz val="9"/>
        <color rgb="FF808080"/>
        <rFont val="微软雅黑"/>
        <family val="0"/>
        <charset val="1"/>
      </rPr>
      <t xml:space="preserve">))(</t>
    </r>
    <r>
      <rPr>
        <sz val="9"/>
        <color rgb="FF808080"/>
        <rFont val="DejaVu Sans"/>
        <family val="2"/>
      </rPr>
      <t xml:space="preserve">黄中电器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</si>
  <si>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N60703001632</t>
  </si>
  <si>
    <r>
      <rPr>
        <sz val="9"/>
        <color rgb="FF808080"/>
        <rFont val="DejaVu Sans"/>
        <family val="2"/>
      </rPr>
      <t xml:space="preserve">标签 </t>
    </r>
    <r>
      <rPr>
        <sz val="9"/>
        <color rgb="FF808080"/>
        <rFont val="微软雅黑"/>
        <family val="0"/>
        <charset val="1"/>
      </rPr>
      <t xml:space="preserve">BQ5525Y001-NJTJ (</t>
    </r>
    <r>
      <rPr>
        <sz val="9"/>
        <color rgb="FF808080"/>
        <rFont val="DejaVu Sans"/>
        <family val="2"/>
      </rPr>
      <t xml:space="preserve">警告标识</t>
    </r>
    <r>
      <rPr>
        <sz val="9"/>
        <color rgb="FF808080"/>
        <rFont val="微软雅黑"/>
        <family val="0"/>
        <charset val="1"/>
      </rPr>
      <t xml:space="preserve">)(B21101QZ)(</t>
    </r>
    <r>
      <rPr>
        <sz val="9"/>
        <color rgb="FF808080"/>
        <rFont val="DejaVu Sans"/>
        <family val="2"/>
      </rPr>
      <t xml:space="preserve">背胶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</si>
  <si>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N60703001633</t>
  </si>
  <si>
    <r>
      <rPr>
        <sz val="9"/>
        <color rgb="FF808080"/>
        <rFont val="DejaVu Sans"/>
        <family val="2"/>
      </rPr>
      <t xml:space="preserve">标签 </t>
    </r>
    <r>
      <rPr>
        <sz val="9"/>
        <color rgb="FF808080"/>
        <rFont val="微软雅黑"/>
        <family val="0"/>
        <charset val="1"/>
      </rPr>
      <t xml:space="preserve">BQ297210W001-NJTJ (</t>
    </r>
    <r>
      <rPr>
        <sz val="9"/>
        <color rgb="FF808080"/>
        <rFont val="DejaVu Sans"/>
        <family val="2"/>
      </rPr>
      <t xml:space="preserve">参数查询标识</t>
    </r>
    <r>
      <rPr>
        <sz val="9"/>
        <color rgb="FF808080"/>
        <rFont val="微软雅黑"/>
        <family val="0"/>
        <charset val="1"/>
      </rPr>
      <t xml:space="preserve">)(B2110213)(</t>
    </r>
    <r>
      <rPr>
        <sz val="9"/>
        <color rgb="FF808080"/>
        <rFont val="DejaVu Sans"/>
        <family val="2"/>
      </rPr>
      <t xml:space="preserve">背胶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</si>
  <si>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N70901000396</t>
  </si>
  <si>
    <r>
      <rPr>
        <sz val="9"/>
        <color rgb="FF808080"/>
        <rFont val="DejaVu Sans"/>
        <family val="2"/>
      </rPr>
      <t xml:space="preserve">螺丝组件 </t>
    </r>
    <r>
      <rPr>
        <sz val="9"/>
        <color rgb="FF808080"/>
        <rFont val="微软雅黑"/>
        <family val="0"/>
        <charset val="1"/>
      </rPr>
      <t xml:space="preserve">4X12PM 304</t>
    </r>
    <r>
      <rPr>
        <sz val="9"/>
        <color rgb="FF808080"/>
        <rFont val="DejaVu Sans"/>
        <family val="2"/>
      </rPr>
      <t xml:space="preserve">不锈钢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带平垫、弹垫</t>
    </r>
    <r>
      <rPr>
        <sz val="9"/>
        <color rgb="FF808080"/>
        <rFont val="微软雅黑"/>
        <family val="0"/>
        <charset val="1"/>
      </rPr>
      <t xml:space="preserve">)(72h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新沪厦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磊峰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</si>
  <si>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N70901000683</t>
  </si>
  <si>
    <r>
      <rPr>
        <sz val="9"/>
        <color rgb="FF808080"/>
        <rFont val="DejaVu Sans"/>
        <family val="2"/>
      </rPr>
      <t xml:space="preserve">螺丝 </t>
    </r>
    <r>
      <rPr>
        <sz val="9"/>
        <color rgb="FF808080"/>
        <rFont val="微软雅黑"/>
        <family val="0"/>
        <charset val="1"/>
      </rPr>
      <t xml:space="preserve">4X25PA SUS304(72h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新沪厦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</si>
  <si>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N70901000686</t>
  </si>
  <si>
    <r>
      <rPr>
        <sz val="9"/>
        <color rgb="FF808080"/>
        <rFont val="DejaVu Sans"/>
        <family val="2"/>
      </rPr>
      <t xml:space="preserve">螺丝 </t>
    </r>
    <r>
      <rPr>
        <sz val="9"/>
        <color rgb="FF808080"/>
        <rFont val="微软雅黑"/>
        <family val="0"/>
        <charset val="1"/>
      </rPr>
      <t xml:space="preserve">4X30PM SUS304(72h</t>
    </r>
    <r>
      <rPr>
        <sz val="9"/>
        <color rgb="FF808080"/>
        <rFont val="DejaVu Sans"/>
        <family val="2"/>
      </rPr>
      <t xml:space="preserve">盐雾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新沪厦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</si>
  <si>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N70901000687</t>
  </si>
  <si>
    <r>
      <rPr>
        <sz val="9"/>
        <color rgb="FF808080"/>
        <rFont val="DejaVu Sans"/>
        <family val="2"/>
      </rPr>
      <t xml:space="preserve">螺丝组件 </t>
    </r>
    <r>
      <rPr>
        <sz val="9"/>
        <color rgb="FF808080"/>
        <rFont val="微软雅黑"/>
        <family val="0"/>
        <charset val="1"/>
      </rPr>
      <t xml:space="preserve">PM5X10-D10 H65</t>
    </r>
    <r>
      <rPr>
        <sz val="9"/>
        <color rgb="FF808080"/>
        <rFont val="DejaVu Sans"/>
        <family val="2"/>
      </rPr>
      <t xml:space="preserve">黄铜</t>
    </r>
    <r>
      <rPr>
        <sz val="9"/>
        <color rgb="FF808080"/>
        <rFont val="微软雅黑"/>
        <family val="0"/>
        <charset val="1"/>
      </rPr>
      <t xml:space="preserve">(4.8,100HV)(</t>
    </r>
    <r>
      <rPr>
        <sz val="9"/>
        <color rgb="FF808080"/>
        <rFont val="DejaVu Sans"/>
        <family val="2"/>
      </rPr>
      <t xml:space="preserve">黄铜平垫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新沪厦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</si>
  <si>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N70917000057</t>
  </si>
  <si>
    <r>
      <rPr>
        <sz val="9"/>
        <color rgb="FF808080"/>
        <rFont val="DejaVu Sans"/>
        <family val="2"/>
      </rPr>
      <t xml:space="preserve">金属架 </t>
    </r>
    <r>
      <rPr>
        <sz val="9"/>
        <color rgb="FF808080"/>
        <rFont val="微软雅黑"/>
        <family val="0"/>
        <charset val="1"/>
      </rPr>
      <t xml:space="preserve">NJTJ (20P)(</t>
    </r>
    <r>
      <rPr>
        <sz val="9"/>
        <color rgb="FF808080"/>
        <rFont val="DejaVu Sans"/>
        <family val="2"/>
      </rPr>
      <t xml:space="preserve">电控驱动安装板组件</t>
    </r>
    <r>
      <rPr>
        <sz val="9"/>
        <color rgb="FF808080"/>
        <rFont val="微软雅黑"/>
        <family val="0"/>
        <charset val="1"/>
      </rPr>
      <t xml:space="preserve">)(P7B2D6300008)(</t>
    </r>
    <r>
      <rPr>
        <sz val="9"/>
        <color rgb="FF808080"/>
        <rFont val="DejaVu Sans"/>
        <family val="2"/>
      </rPr>
      <t xml:space="preserve">广汇田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</si>
  <si>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厦门旺永机械有限公司</t>
  </si>
  <si>
    <t xml:space="preserve">N70917000058</t>
  </si>
  <si>
    <r>
      <rPr>
        <sz val="9"/>
        <color rgb="FF808080"/>
        <rFont val="DejaVu Sans"/>
        <family val="2"/>
      </rPr>
      <t xml:space="preserve">金属架 </t>
    </r>
    <r>
      <rPr>
        <sz val="9"/>
        <color rgb="FF808080"/>
        <rFont val="微软雅黑"/>
        <family val="0"/>
        <charset val="1"/>
      </rPr>
      <t xml:space="preserve">NJTJ (20P)(</t>
    </r>
    <r>
      <rPr>
        <sz val="9"/>
        <color rgb="FF808080"/>
        <rFont val="DejaVu Sans"/>
        <family val="2"/>
      </rPr>
      <t xml:space="preserve">电控主控安装板组件</t>
    </r>
    <r>
      <rPr>
        <sz val="9"/>
        <color rgb="FF808080"/>
        <rFont val="微软雅黑"/>
        <family val="0"/>
        <charset val="1"/>
      </rPr>
      <t xml:space="preserve">)(P7B2D6300010)(</t>
    </r>
    <r>
      <rPr>
        <sz val="9"/>
        <color rgb="FF808080"/>
        <rFont val="DejaVu Sans"/>
        <family val="2"/>
      </rPr>
      <t xml:space="preserve">广汇田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</si>
  <si>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N70917000070</t>
  </si>
  <si>
    <r>
      <rPr>
        <sz val="9"/>
        <color rgb="FF808080"/>
        <rFont val="DejaVu Sans"/>
        <family val="2"/>
      </rPr>
      <t xml:space="preserve">金属架 </t>
    </r>
    <r>
      <rPr>
        <sz val="9"/>
        <color rgb="FF808080"/>
        <rFont val="微软雅黑"/>
        <family val="0"/>
        <charset val="1"/>
      </rPr>
      <t xml:space="preserve">NJTJ (</t>
    </r>
    <r>
      <rPr>
        <sz val="9"/>
        <color rgb="FF808080"/>
        <rFont val="DejaVu Sans"/>
        <family val="2"/>
      </rPr>
      <t xml:space="preserve">散热器固定架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</si>
  <si>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N71010002861</t>
  </si>
  <si>
    <r>
      <rPr>
        <sz val="9"/>
        <color rgb="FF808080"/>
        <rFont val="DejaVu Sans"/>
        <family val="2"/>
      </rPr>
      <t xml:space="preserve">塑胶壳 </t>
    </r>
    <r>
      <rPr>
        <sz val="9"/>
        <color rgb="FF808080"/>
        <rFont val="微软雅黑"/>
        <family val="0"/>
        <charset val="1"/>
      </rPr>
      <t xml:space="preserve">N302D5200001-NJTJ (</t>
    </r>
    <r>
      <rPr>
        <sz val="9"/>
        <color rgb="FF808080"/>
        <rFont val="DejaVu Sans"/>
        <family val="2"/>
      </rPr>
      <t xml:space="preserve">主控制板底托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天加专用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依友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</si>
  <si>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南京依友空调配件有限公司</t>
  </si>
  <si>
    <t xml:space="preserve">N71010002954</t>
  </si>
  <si>
    <r>
      <rPr>
        <sz val="9"/>
        <color rgb="FF808080"/>
        <rFont val="DejaVu Sans"/>
        <family val="2"/>
      </rPr>
      <t xml:space="preserve">塑胶壳 </t>
    </r>
    <r>
      <rPr>
        <sz val="9"/>
        <color rgb="FF808080"/>
        <rFont val="微软雅黑"/>
        <family val="0"/>
        <charset val="1"/>
      </rPr>
      <t xml:space="preserve">P70046200009-NJTJ (</t>
    </r>
    <r>
      <rPr>
        <sz val="9"/>
        <color rgb="FF808080"/>
        <rFont val="DejaVu Sans"/>
        <family val="2"/>
      </rPr>
      <t xml:space="preserve">下压线扣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天加专用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依友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</si>
  <si>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N71010002955</t>
  </si>
  <si>
    <r>
      <rPr>
        <sz val="9"/>
        <color rgb="FF808080"/>
        <rFont val="DejaVu Sans"/>
        <family val="2"/>
      </rPr>
      <t xml:space="preserve">塑胶壳 </t>
    </r>
    <r>
      <rPr>
        <sz val="9"/>
        <color rgb="FF808080"/>
        <rFont val="微软雅黑"/>
        <family val="0"/>
        <charset val="1"/>
      </rPr>
      <t xml:space="preserve">P70046200010-NJTJ (</t>
    </r>
    <r>
      <rPr>
        <sz val="9"/>
        <color rgb="FF808080"/>
        <rFont val="DejaVu Sans"/>
        <family val="2"/>
      </rPr>
      <t xml:space="preserve">上压线扣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天加专用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依友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</si>
  <si>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N71012000335</t>
  </si>
  <si>
    <r>
      <rPr>
        <sz val="9"/>
        <color rgb="FF808080"/>
        <rFont val="DejaVu Sans"/>
        <family val="2"/>
      </rPr>
      <t xml:space="preserve">塑胶座 </t>
    </r>
    <r>
      <rPr>
        <sz val="9"/>
        <color rgb="FF808080"/>
        <rFont val="微软雅黑"/>
        <family val="0"/>
        <charset val="1"/>
      </rPr>
      <t xml:space="preserve">U</t>
    </r>
    <r>
      <rPr>
        <sz val="9"/>
        <color rgb="FF808080"/>
        <rFont val="DejaVu Sans"/>
        <family val="2"/>
      </rPr>
      <t xml:space="preserve">型线卡 </t>
    </r>
    <r>
      <rPr>
        <sz val="9"/>
        <color rgb="FF808080"/>
        <rFont val="微软雅黑"/>
        <family val="0"/>
        <charset val="1"/>
      </rPr>
      <t xml:space="preserve">(P71468600001)(</t>
    </r>
    <r>
      <rPr>
        <sz val="9"/>
        <color rgb="FF808080"/>
        <rFont val="DejaVu Sans"/>
        <family val="2"/>
      </rPr>
      <t xml:space="preserve">天加专用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</si>
  <si>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厦门罗克科技有限公司</t>
  </si>
  <si>
    <t xml:space="preserve">N71014000079</t>
  </si>
  <si>
    <r>
      <rPr>
        <sz val="9"/>
        <color rgb="FF808080"/>
        <rFont val="DejaVu Sans"/>
        <family val="2"/>
      </rPr>
      <t xml:space="preserve">塑胶线夹 </t>
    </r>
    <r>
      <rPr>
        <sz val="9"/>
        <color rgb="FF808080"/>
        <rFont val="微软雅黑"/>
        <family val="0"/>
        <charset val="1"/>
      </rPr>
      <t xml:space="preserve">5X150 (</t>
    </r>
    <r>
      <rPr>
        <sz val="9"/>
        <color rgb="FF808080"/>
        <rFont val="DejaVu Sans"/>
        <family val="2"/>
      </rPr>
      <t xml:space="preserve">插销自锁式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孔径</t>
    </r>
    <r>
      <rPr>
        <sz val="9"/>
        <color rgb="FF808080"/>
        <rFont val="微软雅黑"/>
        <family val="0"/>
        <charset val="1"/>
      </rPr>
      <t xml:space="preserve">5)(</t>
    </r>
    <r>
      <rPr>
        <sz val="9"/>
        <color rgb="FF808080"/>
        <rFont val="DejaVu Sans"/>
        <family val="2"/>
      </rPr>
      <t xml:space="preserve">广汇田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</si>
  <si>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厦门广汇田电子设备有限公司</t>
  </si>
  <si>
    <t xml:space="preserve">N71014000080</t>
  </si>
  <si>
    <r>
      <rPr>
        <sz val="9"/>
        <color rgb="FF808080"/>
        <rFont val="DejaVu Sans"/>
        <family val="2"/>
      </rPr>
      <t xml:space="preserve">塑胶线夹 </t>
    </r>
    <r>
      <rPr>
        <sz val="9"/>
        <color rgb="FF808080"/>
        <rFont val="微软雅黑"/>
        <family val="0"/>
        <charset val="1"/>
      </rPr>
      <t xml:space="preserve">CHA-5 </t>
    </r>
    <r>
      <rPr>
        <sz val="9"/>
        <color rgb="FF808080"/>
        <rFont val="DejaVu Sans"/>
        <family val="2"/>
      </rPr>
      <t xml:space="preserve">白色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插销式线夹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罗克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</si>
  <si>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HS-DRV26P</t>
  </si>
  <si>
    <t xml:space="preserve">散热器（商空大功率驱动板，单独采购，未税）</t>
  </si>
  <si>
    <r>
      <rPr>
        <sz val="9"/>
        <color rgb="FF808080"/>
        <rFont val="DejaVu Sans"/>
        <family val="2"/>
      </rPr>
      <t xml:space="preserve">源表未含，按</t>
    </r>
    <r>
      <rPr>
        <sz val="9"/>
        <color rgb="FF808080"/>
        <rFont val="微软雅黑"/>
        <family val="0"/>
        <charset val="1"/>
      </rPr>
      <t xml:space="preserve">68</t>
    </r>
    <r>
      <rPr>
        <sz val="9"/>
        <color rgb="FF808080"/>
        <rFont val="DejaVu Sans"/>
        <family val="2"/>
      </rPr>
      <t xml:space="preserve">元未税单列</t>
    </r>
  </si>
  <si>
    <t xml:space="preserve">N40501000405</t>
  </si>
  <si>
    <r>
      <rPr>
        <sz val="9"/>
        <color rgb="FF808080"/>
        <rFont val="DejaVu Sans"/>
        <family val="2"/>
      </rPr>
      <t xml:space="preserve">纸箱 </t>
    </r>
    <r>
      <rPr>
        <sz val="9"/>
        <color rgb="FF808080"/>
        <rFont val="微软雅黑"/>
        <family val="0"/>
        <charset val="1"/>
      </rPr>
      <t xml:space="preserve">665X393X405 (RoHS)</t>
    </r>
  </si>
  <si>
    <t xml:space="preserve">厦门比瑞特包装科技有限公司</t>
  </si>
  <si>
    <t xml:space="preserve">N40505000136</t>
  </si>
  <si>
    <r>
      <rPr>
        <sz val="9"/>
        <color rgb="FF808080"/>
        <rFont val="DejaVu Sans"/>
        <family val="2"/>
      </rPr>
      <t xml:space="preserve">塑料袋 </t>
    </r>
    <r>
      <rPr>
        <sz val="9"/>
        <color rgb="FF808080"/>
        <rFont val="微软雅黑"/>
        <family val="0"/>
        <charset val="1"/>
      </rPr>
      <t xml:space="preserve">355X245 (</t>
    </r>
    <r>
      <rPr>
        <sz val="9"/>
        <color rgb="FF808080"/>
        <rFont val="DejaVu Sans"/>
        <family val="2"/>
      </rPr>
      <t xml:space="preserve">凹凸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</si>
  <si>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N40505000140</t>
  </si>
  <si>
    <r>
      <rPr>
        <sz val="9"/>
        <color rgb="FF808080"/>
        <rFont val="DejaVu Sans"/>
        <family val="2"/>
      </rPr>
      <t xml:space="preserve">塑料袋 </t>
    </r>
    <r>
      <rPr>
        <sz val="9"/>
        <color rgb="FF808080"/>
        <rFont val="微软雅黑"/>
        <family val="0"/>
        <charset val="1"/>
      </rPr>
      <t xml:space="preserve">372X322X700 (</t>
    </r>
    <r>
      <rPr>
        <sz val="9"/>
        <color rgb="FF808080"/>
        <rFont val="DejaVu Sans"/>
        <family val="2"/>
      </rPr>
      <t xml:space="preserve">防静电</t>
    </r>
    <r>
      <rPr>
        <sz val="9"/>
        <color rgb="FF808080"/>
        <rFont val="微软雅黑"/>
        <family val="0"/>
        <charset val="1"/>
      </rPr>
      <t xml:space="preserve">,</t>
    </r>
    <r>
      <rPr>
        <sz val="9"/>
        <color rgb="FF808080"/>
        <rFont val="DejaVu Sans"/>
        <family val="2"/>
      </rPr>
      <t xml:space="preserve">厚度</t>
    </r>
    <r>
      <rPr>
        <sz val="9"/>
        <color rgb="FF808080"/>
        <rFont val="微软雅黑"/>
        <family val="0"/>
        <charset val="1"/>
      </rPr>
      <t xml:space="preserve">0.1mm)(RoHS)</t>
    </r>
  </si>
  <si>
    <t xml:space="preserve">N40511000095</t>
  </si>
  <si>
    <r>
      <rPr>
        <sz val="9"/>
        <color rgb="FF808080"/>
        <rFont val="DejaVu Sans"/>
        <family val="2"/>
      </rPr>
      <t xml:space="preserve">泡沫 </t>
    </r>
    <r>
      <rPr>
        <sz val="9"/>
        <color rgb="FF808080"/>
        <rFont val="微软雅黑"/>
        <family val="0"/>
        <charset val="1"/>
      </rPr>
      <t xml:space="preserve">660×399×115 (EPS</t>
    </r>
    <r>
      <rPr>
        <sz val="9"/>
        <color rgb="FF808080"/>
        <rFont val="DejaVu Sans"/>
        <family val="2"/>
      </rPr>
      <t xml:space="preserve">料</t>
    </r>
    <r>
      <rPr>
        <sz val="9"/>
        <color rgb="FF808080"/>
        <rFont val="微软雅黑"/>
        <family val="0"/>
        <charset val="1"/>
      </rPr>
      <t xml:space="preserve">,</t>
    </r>
    <r>
      <rPr>
        <sz val="9"/>
        <color rgb="FF808080"/>
        <rFont val="DejaVu Sans"/>
        <family val="2"/>
      </rPr>
      <t xml:space="preserve">右侧，</t>
    </r>
    <r>
      <rPr>
        <sz val="9"/>
        <color rgb="FF808080"/>
        <rFont val="微软雅黑"/>
        <family val="0"/>
        <charset val="1"/>
      </rPr>
      <t xml:space="preserve">DRV-20P,26P</t>
    </r>
    <r>
      <rPr>
        <sz val="9"/>
        <color rgb="FF808080"/>
        <rFont val="DejaVu Sans"/>
        <family val="2"/>
      </rPr>
      <t xml:space="preserve">包装用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</si>
  <si>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DejaVu Sans"/>
        <family val="2"/>
      </rPr>
      <t xml:space="preserve">厦门鹏源鑫工贸有限公司；含</t>
    </r>
    <r>
      <rPr>
        <sz val="9"/>
        <color rgb="FF808080"/>
        <rFont val="微软雅黑"/>
        <family val="0"/>
        <charset val="1"/>
      </rPr>
      <t xml:space="preserve">EPS</t>
    </r>
    <r>
      <rPr>
        <sz val="9"/>
        <color rgb="FF808080"/>
        <rFont val="DejaVu Sans"/>
        <family val="2"/>
      </rPr>
      <t xml:space="preserve">泡沫模具</t>
    </r>
    <r>
      <rPr>
        <sz val="9"/>
        <color rgb="FF808080"/>
        <rFont val="微软雅黑"/>
        <family val="0"/>
        <charset val="1"/>
      </rPr>
      <t xml:space="preserve">(</t>
    </r>
    <r>
      <rPr>
        <sz val="9"/>
        <color rgb="FF808080"/>
        <rFont val="DejaVu Sans"/>
        <family val="2"/>
      </rPr>
      <t xml:space="preserve">见一次性费用</t>
    </r>
    <r>
      <rPr>
        <sz val="9"/>
        <color rgb="FF808080"/>
        <rFont val="微软雅黑"/>
        <family val="0"/>
        <charset val="1"/>
      </rPr>
      <t xml:space="preserve">)</t>
    </r>
  </si>
  <si>
    <t xml:space="preserve">N40511000096</t>
  </si>
  <si>
    <r>
      <rPr>
        <sz val="9"/>
        <color rgb="FF808080"/>
        <rFont val="DejaVu Sans"/>
        <family val="2"/>
      </rPr>
      <t xml:space="preserve">泡沫 </t>
    </r>
    <r>
      <rPr>
        <sz val="9"/>
        <color rgb="FF808080"/>
        <rFont val="微软雅黑"/>
        <family val="0"/>
        <charset val="1"/>
      </rPr>
      <t xml:space="preserve">660×399×146 (EPS</t>
    </r>
    <r>
      <rPr>
        <sz val="9"/>
        <color rgb="FF808080"/>
        <rFont val="DejaVu Sans"/>
        <family val="2"/>
      </rPr>
      <t xml:space="preserve">料</t>
    </r>
    <r>
      <rPr>
        <sz val="9"/>
        <color rgb="FF808080"/>
        <rFont val="微软雅黑"/>
        <family val="0"/>
        <charset val="1"/>
      </rPr>
      <t xml:space="preserve">,</t>
    </r>
    <r>
      <rPr>
        <sz val="9"/>
        <color rgb="FF808080"/>
        <rFont val="DejaVu Sans"/>
        <family val="2"/>
      </rPr>
      <t xml:space="preserve">左侧，</t>
    </r>
    <r>
      <rPr>
        <sz val="9"/>
        <color rgb="FF808080"/>
        <rFont val="微软雅黑"/>
        <family val="0"/>
        <charset val="1"/>
      </rPr>
      <t xml:space="preserve">DRV-20P,26P</t>
    </r>
    <r>
      <rPr>
        <sz val="9"/>
        <color rgb="FF808080"/>
        <rFont val="DejaVu Sans"/>
        <family val="2"/>
      </rPr>
      <t xml:space="preserve">包装用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</si>
  <si>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N40512000282</t>
  </si>
  <si>
    <r>
      <rPr>
        <sz val="9"/>
        <color rgb="FF808080"/>
        <rFont val="DejaVu Sans"/>
        <family val="2"/>
      </rPr>
      <t xml:space="preserve">泡沫棉 </t>
    </r>
    <r>
      <rPr>
        <sz val="9"/>
        <color rgb="FF808080"/>
        <rFont val="微软雅黑"/>
        <family val="0"/>
        <charset val="1"/>
      </rPr>
      <t xml:space="preserve">40X20X199 (</t>
    </r>
    <r>
      <rPr>
        <sz val="9"/>
        <color rgb="FF808080"/>
        <rFont val="DejaVu Sans"/>
        <family val="2"/>
      </rPr>
      <t xml:space="preserve">右侧</t>
    </r>
    <r>
      <rPr>
        <sz val="9"/>
        <color rgb="FF808080"/>
        <rFont val="微软雅黑"/>
        <family val="0"/>
        <charset val="1"/>
      </rPr>
      <t xml:space="preserve">EVA</t>
    </r>
    <r>
      <rPr>
        <sz val="9"/>
        <color rgb="FF808080"/>
        <rFont val="DejaVu Sans"/>
        <family val="2"/>
      </rPr>
      <t xml:space="preserve">棉块</t>
    </r>
    <r>
      <rPr>
        <sz val="9"/>
        <color rgb="FF808080"/>
        <rFont val="微软雅黑"/>
        <family val="0"/>
        <charset val="1"/>
      </rPr>
      <t xml:space="preserve">2)(</t>
    </r>
    <r>
      <rPr>
        <sz val="9"/>
        <color rgb="FF808080"/>
        <rFont val="DejaVu Sans"/>
        <family val="2"/>
      </rPr>
      <t xml:space="preserve">高密度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防静电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</si>
  <si>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厦门市达唯工贸有限公司</t>
  </si>
  <si>
    <t xml:space="preserve">N60703001395</t>
  </si>
  <si>
    <r>
      <rPr>
        <sz val="9"/>
        <color rgb="FF808080"/>
        <rFont val="DejaVu Sans"/>
        <family val="2"/>
      </rPr>
      <t xml:space="preserve">标签 </t>
    </r>
    <r>
      <rPr>
        <sz val="9"/>
        <color rgb="FF808080"/>
        <rFont val="微软雅黑"/>
        <family val="0"/>
        <charset val="1"/>
      </rPr>
      <t xml:space="preserve">BQ12080W001-HL (</t>
    </r>
    <r>
      <rPr>
        <sz val="9"/>
        <color rgb="FF808080"/>
        <rFont val="DejaVu Sans"/>
        <family val="2"/>
      </rPr>
      <t xml:space="preserve">格式标签</t>
    </r>
    <r>
      <rPr>
        <sz val="9"/>
        <color rgb="FF808080"/>
        <rFont val="微软雅黑"/>
        <family val="0"/>
        <charset val="1"/>
      </rPr>
      <t xml:space="preserve">)(1</t>
    </r>
    <r>
      <rPr>
        <sz val="9"/>
        <color rgb="FF808080"/>
        <rFont val="DejaVu Sans"/>
        <family val="2"/>
      </rPr>
      <t xml:space="preserve">寸卷芯</t>
    </r>
    <r>
      <rPr>
        <sz val="9"/>
        <color rgb="FF808080"/>
        <rFont val="微软雅黑"/>
        <family val="0"/>
        <charset val="1"/>
      </rPr>
      <t xml:space="preserve">,</t>
    </r>
    <r>
      <rPr>
        <sz val="9"/>
        <color rgb="FF808080"/>
        <rFont val="DejaVu Sans"/>
        <family val="2"/>
      </rPr>
      <t xml:space="preserve">外径</t>
    </r>
    <r>
      <rPr>
        <sz val="9"/>
        <color rgb="FF808080"/>
        <rFont val="微软雅黑"/>
        <family val="0"/>
        <charset val="1"/>
      </rPr>
      <t xml:space="preserve">83mm)(RoHS)</t>
    </r>
  </si>
  <si>
    <r>
      <rPr>
        <sz val="9"/>
        <color rgb="FF808080"/>
        <rFont val="DejaVu Sans"/>
        <family val="2"/>
      </rPr>
      <t xml:space="preserve">厦门亿华辉工贸有限公司（</t>
    </r>
    <r>
      <rPr>
        <sz val="9"/>
        <color rgb="FF808080"/>
        <rFont val="微软雅黑"/>
        <family val="0"/>
        <charset val="1"/>
      </rPr>
      <t xml:space="preserve">ZZ</t>
    </r>
    <r>
      <rPr>
        <sz val="9"/>
        <color rgb="FF808080"/>
        <rFont val="DejaVu Sans"/>
        <family val="2"/>
      </rPr>
      <t xml:space="preserve">）</t>
    </r>
  </si>
  <si>
    <t xml:space="preserve">N40716000018</t>
  </si>
  <si>
    <r>
      <rPr>
        <sz val="9"/>
        <color rgb="FF808080"/>
        <rFont val="DejaVu Sans"/>
        <family val="2"/>
      </rPr>
      <t xml:space="preserve">锡丝 </t>
    </r>
    <r>
      <rPr>
        <sz val="9"/>
        <color rgb="FF808080"/>
        <rFont val="微软雅黑"/>
        <family val="0"/>
        <charset val="1"/>
      </rPr>
      <t xml:space="preserve">BSD620-W Sn0.3Ag0.7Cu(φ3.0)(</t>
    </r>
    <r>
      <rPr>
        <sz val="9"/>
        <color rgb="FF808080"/>
        <rFont val="DejaVu Sans"/>
        <family val="2"/>
      </rPr>
      <t xml:space="preserve">博士达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</si>
  <si>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KG</t>
  </si>
  <si>
    <t xml:space="preserve">N40716000015</t>
  </si>
  <si>
    <r>
      <rPr>
        <sz val="9"/>
        <color rgb="FF808080"/>
        <rFont val="DejaVu Sans"/>
        <family val="2"/>
      </rPr>
      <t xml:space="preserve">锡丝 </t>
    </r>
    <r>
      <rPr>
        <sz val="9"/>
        <color rgb="FF808080"/>
        <rFont val="微软雅黑"/>
        <family val="0"/>
        <charset val="1"/>
      </rPr>
      <t xml:space="preserve">YTW101 Sn0.7Cu,Flux2.4</t>
    </r>
    <r>
      <rPr>
        <sz val="9"/>
        <color rgb="FF808080"/>
        <rFont val="DejaVu Sans"/>
        <family val="2"/>
      </rPr>
      <t xml:space="preserve">％</t>
    </r>
    <r>
      <rPr>
        <sz val="9"/>
        <color rgb="FF808080"/>
        <rFont val="微软雅黑"/>
        <family val="0"/>
        <charset val="1"/>
      </rPr>
      <t xml:space="preserve">(φ0.8)(</t>
    </r>
    <r>
      <rPr>
        <sz val="9"/>
        <color rgb="FF808080"/>
        <rFont val="DejaVu Sans"/>
        <family val="2"/>
      </rPr>
      <t xml:space="preserve">亚通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</si>
  <si>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微软雅黑"/>
        <family val="0"/>
        <charset val="1"/>
      </rPr>
      <t xml:space="preserve">KG </t>
    </r>
    <r>
      <rPr>
        <sz val="9"/>
        <color rgb="FF808080"/>
        <rFont val="DejaVu Sans"/>
        <family val="2"/>
      </rPr>
      <t xml:space="preserve">按</t>
    </r>
    <r>
      <rPr>
        <sz val="9"/>
        <color rgb="FF808080"/>
        <rFont val="微软雅黑"/>
        <family val="0"/>
        <charset val="1"/>
      </rPr>
      <t xml:space="preserve">V3.0</t>
    </r>
    <r>
      <rPr>
        <sz val="9"/>
        <color rgb="FF808080"/>
        <rFont val="DejaVu Sans"/>
        <family val="2"/>
      </rPr>
      <t xml:space="preserve">计算用量</t>
    </r>
  </si>
  <si>
    <t xml:space="preserve">458F007</t>
  </si>
  <si>
    <r>
      <rPr>
        <sz val="9"/>
        <color rgb="FF808080"/>
        <rFont val="DejaVu Sans"/>
        <family val="2"/>
      </rPr>
      <t xml:space="preserve">助焊剂 </t>
    </r>
    <r>
      <rPr>
        <sz val="9"/>
        <color rgb="FF808080"/>
        <rFont val="微软雅黑"/>
        <family val="0"/>
        <charset val="1"/>
      </rPr>
      <t xml:space="preserve">TF-328 (</t>
    </r>
    <r>
      <rPr>
        <sz val="9"/>
        <color rgb="FF808080"/>
        <rFont val="DejaVu Sans"/>
        <family val="2"/>
      </rPr>
      <t xml:space="preserve">深圳同方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</si>
  <si>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L</t>
  </si>
  <si>
    <t xml:space="preserve">409012</t>
  </si>
  <si>
    <r>
      <rPr>
        <sz val="9"/>
        <color rgb="FF808080"/>
        <rFont val="DejaVu Sans"/>
        <family val="2"/>
      </rPr>
      <t xml:space="preserve">导热硅脂 </t>
    </r>
    <r>
      <rPr>
        <sz val="9"/>
        <color rgb="FF808080"/>
        <rFont val="微软雅黑"/>
        <family val="0"/>
        <charset val="1"/>
      </rPr>
      <t xml:space="preserve">HZ-KS101 (</t>
    </r>
    <r>
      <rPr>
        <sz val="9"/>
        <color rgb="FF808080"/>
        <rFont val="DejaVu Sans"/>
        <family val="2"/>
      </rPr>
      <t xml:space="preserve">百合花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</si>
  <si>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BOT</t>
  </si>
  <si>
    <t xml:space="preserve">N40719000013</t>
  </si>
  <si>
    <r>
      <rPr>
        <sz val="9"/>
        <color rgb="FF808080"/>
        <rFont val="DejaVu Sans"/>
        <family val="2"/>
      </rPr>
      <t xml:space="preserve">锡膏 </t>
    </r>
    <r>
      <rPr>
        <sz val="9"/>
        <color rgb="FF808080"/>
        <rFont val="微软雅黑"/>
        <family val="0"/>
        <charset val="1"/>
      </rPr>
      <t xml:space="preserve">TF-2600(DN</t>
    </r>
    <r>
      <rPr>
        <sz val="9"/>
        <color rgb="FF808080"/>
        <rFont val="DejaVu Sans"/>
        <family val="2"/>
      </rPr>
      <t xml:space="preserve">代码</t>
    </r>
    <r>
      <rPr>
        <sz val="9"/>
        <color rgb="FF808080"/>
        <rFont val="微软雅黑"/>
        <family val="0"/>
        <charset val="1"/>
      </rPr>
      <t xml:space="preserve">:9YC89C1) (Sn96.5Ag3.0Cu0.5)(RoHS)</t>
    </r>
  </si>
  <si>
    <t xml:space="preserve">N40703000010</t>
  </si>
  <si>
    <r>
      <rPr>
        <sz val="9"/>
        <color rgb="FF808080"/>
        <rFont val="DejaVu Sans"/>
        <family val="2"/>
      </rPr>
      <t xml:space="preserve">硅胶 </t>
    </r>
    <r>
      <rPr>
        <sz val="9"/>
        <color rgb="FF808080"/>
        <rFont val="微软雅黑"/>
        <family val="0"/>
        <charset val="1"/>
      </rPr>
      <t xml:space="preserve">SB4568W (</t>
    </r>
    <r>
      <rPr>
        <sz val="9"/>
        <color rgb="FF808080"/>
        <rFont val="DejaVu Sans"/>
        <family val="2"/>
      </rPr>
      <t xml:space="preserve">瞬利</t>
    </r>
    <r>
      <rPr>
        <sz val="9"/>
        <color rgb="FF808080"/>
        <rFont val="微软雅黑"/>
        <family val="0"/>
        <charset val="1"/>
      </rPr>
      <t xml:space="preserve">)(RoHS)</t>
    </r>
  </si>
  <si>
    <t xml:space="preserve">G</t>
  </si>
  <si>
    <t xml:space="preserve">N40701000019</t>
  </si>
  <si>
    <r>
      <rPr>
        <sz val="9"/>
        <color rgb="FF808080"/>
        <rFont val="DejaVu Sans"/>
        <family val="2"/>
      </rPr>
      <t xml:space="preserve">绝缘漆 </t>
    </r>
    <r>
      <rPr>
        <sz val="9"/>
        <color rgb="FF808080"/>
        <rFont val="微软雅黑"/>
        <family val="0"/>
        <charset val="1"/>
      </rPr>
      <t xml:space="preserve">EA9187LH (</t>
    </r>
    <r>
      <rPr>
        <sz val="9"/>
        <color rgb="FF808080"/>
        <rFont val="DejaVu Sans"/>
        <family val="2"/>
      </rPr>
      <t xml:space="preserve">道康宁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</si>
  <si>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微软雅黑"/>
        <family val="0"/>
        <charset val="1"/>
      </rPr>
      <t xml:space="preserve">KG </t>
    </r>
    <r>
      <rPr>
        <sz val="9"/>
        <color rgb="FF808080"/>
        <rFont val="DejaVu Sans"/>
        <family val="2"/>
      </rPr>
      <t xml:space="preserve">已按</t>
    </r>
    <r>
      <rPr>
        <sz val="9"/>
        <color rgb="FF808080"/>
        <rFont val="微软雅黑"/>
        <family val="0"/>
        <charset val="1"/>
      </rPr>
      <t xml:space="preserve">V3.0</t>
    </r>
    <r>
      <rPr>
        <sz val="9"/>
        <color rgb="FF808080"/>
        <rFont val="DejaVu Sans"/>
        <family val="2"/>
      </rPr>
      <t xml:space="preserve">更新用量</t>
    </r>
  </si>
  <si>
    <t xml:space="preserve">N40701000020</t>
  </si>
  <si>
    <r>
      <rPr>
        <sz val="9"/>
        <color rgb="FF808080"/>
        <rFont val="DejaVu Sans"/>
        <family val="2"/>
      </rPr>
      <t xml:space="preserve">绝缘漆 </t>
    </r>
    <r>
      <rPr>
        <sz val="9"/>
        <color rgb="FF808080"/>
        <rFont val="微软雅黑"/>
        <family val="0"/>
        <charset val="1"/>
      </rPr>
      <t xml:space="preserve">EA9187LUV (</t>
    </r>
    <r>
      <rPr>
        <sz val="9"/>
        <color rgb="FF808080"/>
        <rFont val="DejaVu Sans"/>
        <family val="2"/>
      </rPr>
      <t xml:space="preserve">道康宁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</si>
  <si>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微软雅黑"/>
        <family val="0"/>
        <charset val="1"/>
      </rPr>
      <t xml:space="preserve">KG </t>
    </r>
    <r>
      <rPr>
        <sz val="9"/>
        <color rgb="FF808080"/>
        <rFont val="DejaVu Sans"/>
        <family val="2"/>
      </rPr>
      <t xml:space="preserve">已按</t>
    </r>
    <r>
      <rPr>
        <sz val="9"/>
        <color rgb="FF808080"/>
        <rFont val="微软雅黑"/>
        <family val="0"/>
        <charset val="1"/>
      </rPr>
      <t xml:space="preserve">V3.0</t>
    </r>
    <r>
      <rPr>
        <sz val="9"/>
        <color rgb="FF808080"/>
        <rFont val="DejaVu Sans"/>
        <family val="2"/>
      </rPr>
      <t xml:space="preserve">版本报价</t>
    </r>
  </si>
  <si>
    <t xml:space="preserve">客供料</t>
  </si>
  <si>
    <r>
      <rPr>
        <sz val="9"/>
        <color rgb="FF808080"/>
        <rFont val="DejaVu Sans"/>
        <family val="2"/>
      </rPr>
      <t xml:space="preserve">客供</t>
    </r>
    <r>
      <rPr>
        <sz val="9"/>
        <color rgb="FF808080"/>
        <rFont val="微软雅黑"/>
        <family val="0"/>
        <charset val="1"/>
      </rPr>
      <t xml:space="preserve">2</t>
    </r>
  </si>
  <si>
    <r>
      <rPr>
        <sz val="9"/>
        <color rgb="FF808080"/>
        <rFont val="DejaVu Sans"/>
        <family val="2"/>
      </rPr>
      <t xml:space="preserve">薄膜电容 </t>
    </r>
    <r>
      <rPr>
        <sz val="9"/>
        <color rgb="FF808080"/>
        <rFont val="微软雅黑"/>
        <family val="0"/>
        <charset val="1"/>
      </rPr>
      <t xml:space="preserve">40μF/1100V/4Pin</t>
    </r>
  </si>
  <si>
    <r>
      <rPr>
        <sz val="9"/>
        <color rgb="FF808080"/>
        <rFont val="DejaVu Sans"/>
        <family val="2"/>
      </rPr>
      <t xml:space="preserve">客供不计入报价；松下 港德 </t>
    </r>
    <r>
      <rPr>
        <sz val="9"/>
        <color rgb="FF808080"/>
        <rFont val="微软雅黑"/>
        <family val="0"/>
        <charset val="1"/>
      </rPr>
      <t xml:space="preserve">4W</t>
    </r>
  </si>
  <si>
    <r>
      <rPr>
        <sz val="9"/>
        <color rgb="FF808080"/>
        <rFont val="DejaVu Sans"/>
        <family val="2"/>
      </rPr>
      <t xml:space="preserve">客供</t>
    </r>
    <r>
      <rPr>
        <sz val="9"/>
        <color rgb="FF808080"/>
        <rFont val="微软雅黑"/>
        <family val="0"/>
        <charset val="1"/>
      </rPr>
      <t xml:space="preserve">3</t>
    </r>
  </si>
  <si>
    <r>
      <rPr>
        <sz val="9"/>
        <color rgb="FF808080"/>
        <rFont val="DejaVu Sans"/>
        <family val="2"/>
      </rPr>
      <t xml:space="preserve">共模滤波器 </t>
    </r>
    <r>
      <rPr>
        <sz val="9"/>
        <color rgb="FF808080"/>
        <rFont val="微软雅黑"/>
        <family val="0"/>
        <charset val="1"/>
      </rPr>
      <t xml:space="preserve">CMF50F04QX1 4mH,50A(</t>
    </r>
    <r>
      <rPr>
        <sz val="9"/>
        <color rgb="FF808080"/>
        <rFont val="DejaVu Sans"/>
        <family val="2"/>
      </rPr>
      <t xml:space="preserve">赛特勒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</si>
  <si>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DejaVu Sans"/>
        <family val="2"/>
      </rPr>
      <t xml:space="preserve">客供不计入报价；菲尔泰科 菲尔泰科 </t>
    </r>
    <r>
      <rPr>
        <sz val="9"/>
        <color rgb="FF808080"/>
        <rFont val="微软雅黑"/>
        <family val="0"/>
        <charset val="1"/>
      </rPr>
      <t xml:space="preserve">3W</t>
    </r>
  </si>
  <si>
    <r>
      <rPr>
        <sz val="9"/>
        <color rgb="FF808080"/>
        <rFont val="DejaVu Sans"/>
        <family val="2"/>
      </rPr>
      <t xml:space="preserve">客供</t>
    </r>
    <r>
      <rPr>
        <sz val="9"/>
        <color rgb="FF808080"/>
        <rFont val="微软雅黑"/>
        <family val="0"/>
        <charset val="1"/>
      </rPr>
      <t xml:space="preserve">4</t>
    </r>
  </si>
  <si>
    <r>
      <rPr>
        <sz val="9"/>
        <color rgb="FF808080"/>
        <rFont val="DejaVu Sans"/>
        <family val="2"/>
      </rPr>
      <t xml:space="preserve">共模电感 </t>
    </r>
    <r>
      <rPr>
        <sz val="9"/>
        <color rgb="FF808080"/>
        <rFont val="微软雅黑"/>
        <family val="0"/>
        <charset val="1"/>
      </rPr>
      <t xml:space="preserve">CM10100ZJ-1/9A/15mH</t>
    </r>
  </si>
  <si>
    <r>
      <rPr>
        <sz val="9"/>
        <color rgb="FF808080"/>
        <rFont val="DejaVu Sans"/>
        <family val="2"/>
      </rPr>
      <t xml:space="preserve">客供不计入报价；菲尔泰科 菲尔泰科 </t>
    </r>
    <r>
      <rPr>
        <sz val="9"/>
        <color rgb="FF808080"/>
        <rFont val="微软雅黑"/>
        <family val="0"/>
        <charset val="1"/>
      </rPr>
      <t xml:space="preserve">2W</t>
    </r>
  </si>
  <si>
    <r>
      <rPr>
        <sz val="9"/>
        <color rgb="FF808080"/>
        <rFont val="DejaVu Sans"/>
        <family val="2"/>
      </rPr>
      <t xml:space="preserve">客供</t>
    </r>
    <r>
      <rPr>
        <sz val="9"/>
        <color rgb="FF808080"/>
        <rFont val="微软雅黑"/>
        <family val="0"/>
        <charset val="1"/>
      </rPr>
      <t xml:space="preserve">5</t>
    </r>
  </si>
  <si>
    <t xml:space="preserve">PIM 100A/1200V/FP100R12N2T7</t>
  </si>
  <si>
    <r>
      <rPr>
        <sz val="9"/>
        <color rgb="FF808080"/>
        <rFont val="DejaVu Sans"/>
        <family val="2"/>
      </rPr>
      <t xml:space="preserve">客供不计入报价；英飞凌 晶川 </t>
    </r>
    <r>
      <rPr>
        <sz val="9"/>
        <color rgb="FF808080"/>
        <rFont val="微软雅黑"/>
        <family val="0"/>
        <charset val="1"/>
      </rPr>
      <t xml:space="preserve">4-6W</t>
    </r>
  </si>
  <si>
    <r>
      <rPr>
        <sz val="9"/>
        <color rgb="FF808080"/>
        <rFont val="DejaVu Sans"/>
        <family val="2"/>
      </rPr>
      <t xml:space="preserve">客供</t>
    </r>
    <r>
      <rPr>
        <sz val="9"/>
        <color rgb="FF808080"/>
        <rFont val="微软雅黑"/>
        <family val="0"/>
        <charset val="1"/>
      </rPr>
      <t xml:space="preserve">6</t>
    </r>
  </si>
  <si>
    <r>
      <rPr>
        <sz val="9"/>
        <color rgb="FF808080"/>
        <rFont val="DejaVu Sans"/>
        <family val="2"/>
      </rPr>
      <t xml:space="preserve">栅极驱动</t>
    </r>
    <r>
      <rPr>
        <sz val="9"/>
        <color rgb="FF808080"/>
        <rFont val="微软雅黑"/>
        <family val="0"/>
        <charset val="1"/>
      </rPr>
      <t xml:space="preserve">IC 1EDI20I12MF/SOP-8</t>
    </r>
  </si>
  <si>
    <r>
      <rPr>
        <sz val="9"/>
        <color rgb="FF808080"/>
        <rFont val="DejaVu Sans"/>
        <family val="2"/>
      </rPr>
      <t xml:space="preserve">客供</t>
    </r>
    <r>
      <rPr>
        <sz val="9"/>
        <color rgb="FF808080"/>
        <rFont val="微软雅黑"/>
        <family val="0"/>
        <charset val="1"/>
      </rPr>
      <t xml:space="preserve">7</t>
    </r>
  </si>
  <si>
    <r>
      <rPr>
        <sz val="9"/>
        <color rgb="FF808080"/>
        <rFont val="微软雅黑"/>
        <family val="0"/>
        <charset val="1"/>
      </rPr>
      <t xml:space="preserve">IPM </t>
    </r>
    <r>
      <rPr>
        <sz val="9"/>
        <color rgb="FF808080"/>
        <rFont val="DejaVu Sans"/>
        <family val="2"/>
      </rPr>
      <t xml:space="preserve">功率模块 </t>
    </r>
    <r>
      <rPr>
        <sz val="9"/>
        <color rgb="FF808080"/>
        <rFont val="微软雅黑"/>
        <family val="0"/>
        <charset val="1"/>
      </rPr>
      <t xml:space="preserve">RCI20C60D6U (20A,600V)(IPM</t>
    </r>
    <r>
      <rPr>
        <sz val="9"/>
        <color rgb="FF808080"/>
        <rFont val="DejaVu Sans"/>
        <family val="2"/>
      </rPr>
      <t xml:space="preserve">模块</t>
    </r>
    <r>
      <rPr>
        <sz val="9"/>
        <color rgb="FF808080"/>
        <rFont val="微软雅黑"/>
        <family val="0"/>
        <charset val="1"/>
      </rPr>
      <t xml:space="preserve">)(NJTJ</t>
    </r>
    <r>
      <rPr>
        <sz val="9"/>
        <color rgb="FF808080"/>
        <rFont val="DejaVu Sans"/>
        <family val="2"/>
      </rPr>
      <t xml:space="preserve">专用</t>
    </r>
    <r>
      <rPr>
        <sz val="9"/>
        <color rgb="FF808080"/>
        <rFont val="微软雅黑"/>
        <family val="0"/>
        <charset val="1"/>
      </rPr>
      <t xml:space="preserve">)(</t>
    </r>
    <r>
      <rPr>
        <sz val="9"/>
        <color rgb="FF808080"/>
        <rFont val="DejaVu Sans"/>
        <family val="2"/>
      </rPr>
      <t xml:space="preserve">银河边缘</t>
    </r>
    <r>
      <rPr>
        <sz val="9"/>
        <color rgb="FF808080"/>
        <rFont val="微软雅黑"/>
        <family val="0"/>
        <charset val="1"/>
      </rPr>
      <t xml:space="preserve">)(RoHS)</t>
    </r>
  </si>
  <si>
    <r>
      <rPr>
        <sz val="9"/>
        <color rgb="FF808080"/>
        <rFont val="DejaVu Sans"/>
        <family val="2"/>
      </rPr>
      <t xml:space="preserve">客供不计入报价；国创 银河 </t>
    </r>
    <r>
      <rPr>
        <sz val="9"/>
        <color rgb="FF808080"/>
        <rFont val="微软雅黑"/>
        <family val="0"/>
        <charset val="1"/>
      </rPr>
      <t xml:space="preserve">4W</t>
    </r>
  </si>
  <si>
    <r>
      <rPr>
        <sz val="9"/>
        <color rgb="FF808080"/>
        <rFont val="DejaVu Sans"/>
        <family val="2"/>
      </rPr>
      <t xml:space="preserve">客供</t>
    </r>
    <r>
      <rPr>
        <sz val="9"/>
        <color rgb="FF808080"/>
        <rFont val="微软雅黑"/>
        <family val="0"/>
        <charset val="1"/>
      </rPr>
      <t xml:space="preserve">8</t>
    </r>
  </si>
  <si>
    <t xml:space="preserve">ACDC TOP264K/ESOP-12B</t>
  </si>
  <si>
    <r>
      <rPr>
        <sz val="9"/>
        <color rgb="FF808080"/>
        <rFont val="DejaVu Sans"/>
        <family val="2"/>
      </rPr>
      <t xml:space="preserve">客供不计入报价；</t>
    </r>
    <r>
      <rPr>
        <sz val="9"/>
        <color rgb="FF808080"/>
        <rFont val="微软雅黑"/>
        <family val="0"/>
        <charset val="1"/>
      </rPr>
      <t xml:space="preserve">PI </t>
    </r>
    <r>
      <rPr>
        <sz val="9"/>
        <color rgb="FF808080"/>
        <rFont val="DejaVu Sans"/>
        <family val="2"/>
      </rPr>
      <t xml:space="preserve">北高智 </t>
    </r>
    <r>
      <rPr>
        <sz val="9"/>
        <color rgb="FF808080"/>
        <rFont val="微软雅黑"/>
        <family val="0"/>
        <charset val="1"/>
      </rPr>
      <t xml:space="preserve">4-6W</t>
    </r>
  </si>
  <si>
    <r>
      <rPr>
        <sz val="9"/>
        <color rgb="FF808080"/>
        <rFont val="DejaVu Sans"/>
        <family val="2"/>
      </rPr>
      <t xml:space="preserve">客供</t>
    </r>
    <r>
      <rPr>
        <sz val="9"/>
        <color rgb="FF808080"/>
        <rFont val="微软雅黑"/>
        <family val="0"/>
        <charset val="1"/>
      </rPr>
      <t xml:space="preserve">9</t>
    </r>
  </si>
  <si>
    <t xml:space="preserve">MCU R5F526T8ADFM/LQFP64</t>
  </si>
  <si>
    <r>
      <rPr>
        <sz val="9"/>
        <color rgb="FF808080"/>
        <rFont val="DejaVu Sans"/>
        <family val="2"/>
      </rPr>
      <t xml:space="preserve">客供不计入报价；瑞萨 新晔 </t>
    </r>
    <r>
      <rPr>
        <sz val="9"/>
        <color rgb="FF808080"/>
        <rFont val="微软雅黑"/>
        <family val="0"/>
        <charset val="1"/>
      </rPr>
      <t xml:space="preserve">12W</t>
    </r>
  </si>
  <si>
    <r>
      <rPr>
        <b val="true"/>
        <sz val="14"/>
        <color rgb="FFFFFFFF"/>
        <rFont val="DejaVu Sans"/>
        <family val="2"/>
      </rPr>
      <t xml:space="preserve">制费明细（工程报价表格式 </t>
    </r>
    <r>
      <rPr>
        <b val="true"/>
        <sz val="14"/>
        <color rgb="FFFFFFFF"/>
        <rFont val="DejaVu Sans"/>
        <family val="2"/>
        <charset val="1"/>
      </rPr>
      <t xml:space="preserve">P01~P07</t>
    </r>
    <r>
      <rPr>
        <b val="true"/>
        <sz val="14"/>
        <color rgb="FFFFFFFF"/>
        <rFont val="DejaVu Sans"/>
        <family val="2"/>
      </rPr>
      <t xml:space="preserve">：自下而上工序估算工具）｜注：商空项目加工成本以「加工成本明细」综合表为准</t>
    </r>
  </si>
  <si>
    <t xml:space="preserve">客户</t>
  </si>
  <si>
    <t xml:space="preserve">机型</t>
  </si>
  <si>
    <r>
      <rPr>
        <b val="true"/>
        <sz val="10"/>
        <color rgb="FF000000"/>
        <rFont val="DejaVu Sans"/>
        <family val="2"/>
      </rPr>
      <t xml:space="preserve">预计订单</t>
    </r>
    <r>
      <rPr>
        <b val="true"/>
        <sz val="10"/>
        <color rgb="FF000000"/>
        <rFont val="DejaVu Sans"/>
        <family val="2"/>
        <charset val="1"/>
      </rPr>
      <t xml:space="preserve">(pcs)</t>
    </r>
  </si>
  <si>
    <r>
      <rPr>
        <sz val="9"/>
        <color rgb="FF808080"/>
        <rFont val="DejaVu Sans"/>
        <family val="2"/>
      </rPr>
      <t xml:space="preserve">联动报价汇总年需求量</t>
    </r>
    <r>
      <rPr>
        <sz val="9"/>
        <color rgb="FF808080"/>
        <rFont val="微软雅黑"/>
        <family val="0"/>
        <charset val="1"/>
      </rPr>
      <t xml:space="preserve">(B8)</t>
    </r>
    <r>
      <rPr>
        <sz val="9"/>
        <color rgb="FF808080"/>
        <rFont val="DejaVu Sans"/>
        <family val="2"/>
      </rPr>
      <t xml:space="preserve">；夹具一次性费用分摊分母</t>
    </r>
  </si>
  <si>
    <r>
      <rPr>
        <b val="true"/>
        <sz val="10"/>
        <color rgb="FF000000"/>
        <rFont val="DejaVu Sans"/>
        <family val="2"/>
      </rPr>
      <t xml:space="preserve">人工费率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秒</t>
    </r>
    <r>
      <rPr>
        <b val="true"/>
        <sz val="10"/>
        <color rgb="FF000000"/>
        <rFont val="DejaVu Sans"/>
        <family val="2"/>
        <charset val="1"/>
      </rPr>
      <t xml:space="preserve">)</t>
    </r>
  </si>
  <si>
    <r>
      <rPr>
        <sz val="9"/>
        <color rgb="FF808080"/>
        <rFont val="微软雅黑"/>
        <family val="0"/>
        <charset val="1"/>
      </rPr>
      <t xml:space="preserve">32.09</t>
    </r>
    <r>
      <rPr>
        <sz val="9"/>
        <color rgb="FF808080"/>
        <rFont val="DejaVu Sans"/>
        <family val="2"/>
      </rPr>
      <t xml:space="preserve">元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小时</t>
    </r>
    <r>
      <rPr>
        <sz val="9"/>
        <color rgb="FF808080"/>
        <rFont val="微软雅黑"/>
        <family val="0"/>
        <charset val="1"/>
      </rPr>
      <t xml:space="preserve">÷3600</t>
    </r>
  </si>
  <si>
    <t xml:space="preserve">宽放系数</t>
  </si>
  <si>
    <r>
      <rPr>
        <sz val="9"/>
        <color rgb="FF808080"/>
        <rFont val="DejaVu Sans"/>
        <family val="2"/>
      </rPr>
      <t xml:space="preserve">烧录</t>
    </r>
    <r>
      <rPr>
        <sz val="9"/>
        <color rgb="FF808080"/>
        <rFont val="DejaVu Sans"/>
        <family val="2"/>
        <charset val="1"/>
      </rPr>
      <t xml:space="preserve">/</t>
    </r>
    <r>
      <rPr>
        <sz val="9"/>
        <color rgb="FF808080"/>
        <rFont val="DejaVu Sans"/>
        <family val="2"/>
      </rPr>
      <t xml:space="preserve">成型</t>
    </r>
    <r>
      <rPr>
        <sz val="9"/>
        <color rgb="FF808080"/>
        <rFont val="DejaVu Sans"/>
        <family val="2"/>
        <charset val="1"/>
      </rPr>
      <t xml:space="preserve">/</t>
    </r>
    <r>
      <rPr>
        <sz val="9"/>
        <color rgb="FF808080"/>
        <rFont val="DejaVu Sans"/>
        <family val="2"/>
      </rPr>
      <t xml:space="preserve">组装共用</t>
    </r>
  </si>
  <si>
    <r>
      <rPr>
        <sz val="9"/>
        <color rgb="FF808080"/>
        <rFont val="DejaVu Sans"/>
        <family val="2"/>
      </rPr>
      <t xml:space="preserve">费率来源：</t>
    </r>
    <r>
      <rPr>
        <sz val="9"/>
        <color rgb="FF808080"/>
        <rFont val="DejaVu Sans"/>
        <family val="2"/>
        <charset val="1"/>
      </rPr>
      <t xml:space="preserve">003/009</t>
    </r>
    <r>
      <rPr>
        <sz val="9"/>
        <color rgb="FF808080"/>
        <rFont val="DejaVu Sans"/>
        <family val="2"/>
      </rPr>
      <t xml:space="preserve">参考报价反推（</t>
    </r>
    <r>
      <rPr>
        <sz val="9"/>
        <color rgb="FF808080"/>
        <rFont val="DejaVu Sans"/>
        <family val="2"/>
        <charset val="1"/>
      </rPr>
      <t xml:space="preserve">0.0588</t>
    </r>
    <r>
      <rPr>
        <sz val="9"/>
        <color rgb="FF808080"/>
        <rFont val="DejaVu Sans"/>
        <family val="2"/>
      </rPr>
      <t xml:space="preserve">元</t>
    </r>
    <r>
      <rPr>
        <sz val="9"/>
        <color rgb="FF808080"/>
        <rFont val="DejaVu Sans"/>
        <family val="2"/>
        <charset val="1"/>
      </rPr>
      <t xml:space="preserve">÷6.6s</t>
    </r>
    <r>
      <rPr>
        <sz val="9"/>
        <color rgb="FF808080"/>
        <rFont val="DejaVu Sans"/>
        <family val="2"/>
      </rPr>
      <t xml:space="preserve">），可按实际改</t>
    </r>
  </si>
  <si>
    <r>
      <rPr>
        <b val="true"/>
        <sz val="11"/>
        <color rgb="FFFFFFFF"/>
        <rFont val="微软雅黑"/>
        <family val="0"/>
        <charset val="1"/>
      </rPr>
      <t xml:space="preserve">P01  SMT</t>
    </r>
    <r>
      <rPr>
        <b val="true"/>
        <sz val="11"/>
        <color rgb="FFFFFFFF"/>
        <rFont val="DejaVu Sans"/>
        <family val="2"/>
      </rPr>
      <t xml:space="preserve">贴片（费用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工艺单价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元件个数）</t>
    </r>
  </si>
  <si>
    <t xml:space="preserve">项目</t>
  </si>
  <si>
    <t xml:space="preserve">工序名称</t>
  </si>
  <si>
    <t xml:space="preserve">元件类型</t>
  </si>
  <si>
    <r>
      <rPr>
        <b val="true"/>
        <sz val="10"/>
        <color rgb="FF000000"/>
        <rFont val="DejaVu Sans"/>
        <family val="2"/>
      </rPr>
      <t xml:space="preserve">工艺单价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)</t>
    </r>
  </si>
  <si>
    <t xml:space="preserve">元件个数</t>
  </si>
  <si>
    <r>
      <rPr>
        <b val="true"/>
        <sz val="10"/>
        <color rgb="FF000000"/>
        <rFont val="DejaVu Sans"/>
        <family val="2"/>
      </rPr>
      <t xml:space="preserve">费用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)</t>
    </r>
  </si>
  <si>
    <t xml:space="preserve">说明</t>
  </si>
  <si>
    <t xml:space="preserve">P01</t>
  </si>
  <si>
    <t xml:space="preserve">SMT</t>
  </si>
  <si>
    <t xml:space="preserve">0603/0402</t>
  </si>
  <si>
    <t xml:space="preserve">1206/0805</t>
  </si>
  <si>
    <r>
      <rPr>
        <sz val="10"/>
        <color rgb="FF000000"/>
        <rFont val="DejaVu Sans"/>
        <family val="2"/>
      </rPr>
      <t xml:space="preserve">二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三极管</t>
    </r>
  </si>
  <si>
    <r>
      <rPr>
        <sz val="10"/>
        <color rgb="FF000000"/>
        <rFont val="DejaVu Sans"/>
        <family val="2"/>
      </rPr>
      <t xml:space="preserve">按键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插座</t>
    </r>
  </si>
  <si>
    <r>
      <rPr>
        <sz val="10"/>
        <color rgb="FF000000"/>
        <rFont val="DejaVu Sans"/>
        <family val="2"/>
      </rPr>
      <t xml:space="preserve">电感</t>
    </r>
    <r>
      <rPr>
        <sz val="10"/>
        <color rgb="FF000000"/>
        <rFont val="DejaVu Sans"/>
        <family val="2"/>
        <charset val="1"/>
      </rPr>
      <t xml:space="preserve">/MOS</t>
    </r>
    <r>
      <rPr>
        <sz val="10"/>
        <color rgb="FF000000"/>
        <rFont val="DejaVu Sans"/>
        <family val="2"/>
      </rPr>
      <t xml:space="preserve">管</t>
    </r>
    <r>
      <rPr>
        <sz val="10"/>
        <color rgb="FF000000"/>
        <rFont val="DejaVu Sans"/>
        <family val="2"/>
        <charset val="1"/>
      </rPr>
      <t xml:space="preserve">/EC</t>
    </r>
    <r>
      <rPr>
        <sz val="10"/>
        <color rgb="FF000000"/>
        <rFont val="DejaVu Sans"/>
        <family val="2"/>
      </rPr>
      <t xml:space="preserve">等</t>
    </r>
  </si>
  <si>
    <r>
      <rPr>
        <sz val="10"/>
        <color rgb="FF000000"/>
        <rFont val="DejaVu Sans"/>
        <family val="2"/>
      </rPr>
      <t xml:space="preserve">贴片</t>
    </r>
    <r>
      <rPr>
        <sz val="10"/>
        <color rgb="FF000000"/>
        <rFont val="DejaVu Sans"/>
        <family val="2"/>
        <charset val="1"/>
      </rPr>
      <t xml:space="preserve">IC</t>
    </r>
  </si>
  <si>
    <r>
      <rPr>
        <sz val="9"/>
        <color rgb="FF808080"/>
        <rFont val="DejaVu Sans"/>
        <family val="2"/>
      </rPr>
      <t xml:space="preserve">每</t>
    </r>
    <r>
      <rPr>
        <sz val="9"/>
        <color rgb="FF808080"/>
        <rFont val="DejaVu Sans"/>
        <family val="2"/>
        <charset val="1"/>
      </rPr>
      <t xml:space="preserve">4</t>
    </r>
    <r>
      <rPr>
        <sz val="9"/>
        <color rgb="FF808080"/>
        <rFont val="DejaVu Sans"/>
        <family val="2"/>
      </rPr>
      <t xml:space="preserve">个</t>
    </r>
    <r>
      <rPr>
        <sz val="9"/>
        <color rgb="FF808080"/>
        <rFont val="DejaVu Sans"/>
        <family val="2"/>
        <charset val="1"/>
      </rPr>
      <t xml:space="preserve">pin</t>
    </r>
    <r>
      <rPr>
        <sz val="9"/>
        <color rgb="FF808080"/>
        <rFont val="DejaVu Sans"/>
        <family val="2"/>
      </rPr>
      <t xml:space="preserve">为</t>
    </r>
    <r>
      <rPr>
        <sz val="9"/>
        <color rgb="FF808080"/>
        <rFont val="DejaVu Sans"/>
        <family val="2"/>
        <charset val="1"/>
      </rPr>
      <t xml:space="preserve">1</t>
    </r>
    <r>
      <rPr>
        <sz val="9"/>
        <color rgb="FF808080"/>
        <rFont val="DejaVu Sans"/>
        <family val="2"/>
      </rPr>
      <t xml:space="preserve">个元件</t>
    </r>
  </si>
  <si>
    <t xml:space="preserve">模块</t>
  </si>
  <si>
    <r>
      <rPr>
        <b val="true"/>
        <sz val="10"/>
        <color rgb="FF000000"/>
        <rFont val="微软雅黑"/>
        <family val="0"/>
        <charset val="1"/>
      </rPr>
      <t xml:space="preserve">SMT</t>
    </r>
    <r>
      <rPr>
        <b val="true"/>
        <sz val="10"/>
        <color rgb="FF000000"/>
        <rFont val="DejaVu Sans"/>
        <family val="2"/>
      </rPr>
      <t xml:space="preserve">成本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</si>
  <si>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1"/>
        <color rgb="FFFFFFFF"/>
        <rFont val="微软雅黑"/>
        <family val="0"/>
        <charset val="1"/>
      </rPr>
      <t xml:space="preserve">P02  </t>
    </r>
    <r>
      <rPr>
        <b val="true"/>
        <sz val="11"/>
        <color rgb="FFFFFFFF"/>
        <rFont val="DejaVu Sans"/>
        <family val="2"/>
      </rPr>
      <t xml:space="preserve">烧录（工序工时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工作时间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工序个数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宽放；成本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工时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人工费率）</t>
    </r>
  </si>
  <si>
    <t xml:space="preserve">工艺流程</t>
  </si>
  <si>
    <r>
      <rPr>
        <b val="true"/>
        <sz val="10"/>
        <color rgb="FF000000"/>
        <rFont val="DejaVu Sans"/>
        <family val="2"/>
      </rPr>
      <t xml:space="preserve">工作时间</t>
    </r>
    <r>
      <rPr>
        <b val="true"/>
        <sz val="10"/>
        <color rgb="FF000000"/>
        <rFont val="DejaVu Sans"/>
        <family val="2"/>
        <charset val="1"/>
      </rPr>
      <t xml:space="preserve">(s)</t>
    </r>
  </si>
  <si>
    <t xml:space="preserve">工序个数</t>
  </si>
  <si>
    <r>
      <rPr>
        <b val="true"/>
        <sz val="10"/>
        <color rgb="FF000000"/>
        <rFont val="DejaVu Sans"/>
        <family val="2"/>
      </rPr>
      <t xml:space="preserve">工序工时</t>
    </r>
    <r>
      <rPr>
        <b val="true"/>
        <sz val="10"/>
        <color rgb="FF000000"/>
        <rFont val="DejaVu Sans"/>
        <family val="2"/>
        <charset val="1"/>
      </rPr>
      <t xml:space="preserve">(s)</t>
    </r>
  </si>
  <si>
    <t xml:space="preserve">P02</t>
  </si>
  <si>
    <t xml:space="preserve">SL</t>
  </si>
  <si>
    <t xml:space="preserve">离线烧录</t>
  </si>
  <si>
    <t xml:space="preserve">在线烧录</t>
  </si>
  <si>
    <r>
      <rPr>
        <b val="true"/>
        <sz val="10"/>
        <color rgb="FF000000"/>
        <rFont val="DejaVu Sans"/>
        <family val="2"/>
      </rPr>
      <t xml:space="preserve">烧录成本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)</t>
    </r>
  </si>
  <si>
    <r>
      <rPr>
        <b val="true"/>
        <sz val="11"/>
        <color rgb="FFFFFFFF"/>
        <rFont val="微软雅黑"/>
        <family val="0"/>
        <charset val="1"/>
      </rPr>
      <t xml:space="preserve">P03  AI/RI </t>
    </r>
    <r>
      <rPr>
        <b val="true"/>
        <sz val="11"/>
        <color rgb="FFFFFFFF"/>
        <rFont val="DejaVu Sans"/>
        <family val="2"/>
      </rPr>
      <t xml:space="preserve">机插（费用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单价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个数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宽放）</t>
    </r>
  </si>
  <si>
    <t xml:space="preserve">P03</t>
  </si>
  <si>
    <t xml:space="preserve">AI/RI</t>
  </si>
  <si>
    <r>
      <rPr>
        <sz val="10"/>
        <color rgb="FF000000"/>
        <rFont val="DejaVu Sans"/>
        <family val="2"/>
      </rPr>
      <t xml:space="preserve">电阻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二极管</t>
    </r>
  </si>
  <si>
    <t xml:space="preserve">跳线</t>
  </si>
  <si>
    <t xml:space="preserve">RI</t>
  </si>
  <si>
    <r>
      <rPr>
        <b val="true"/>
        <sz val="10"/>
        <color rgb="FF000000"/>
        <rFont val="微软雅黑"/>
        <family val="0"/>
        <charset val="1"/>
      </rPr>
      <t xml:space="preserve">AI</t>
    </r>
    <r>
      <rPr>
        <b val="true"/>
        <sz val="10"/>
        <color rgb="FF000000"/>
        <rFont val="DejaVu Sans"/>
        <family val="2"/>
      </rPr>
      <t xml:space="preserve">成本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</si>
  <si>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1"/>
        <color rgb="FFFFFFFF"/>
        <rFont val="微软雅黑"/>
        <family val="0"/>
        <charset val="1"/>
      </rPr>
      <t xml:space="preserve">P04  </t>
    </r>
    <r>
      <rPr>
        <b val="true"/>
        <sz val="11"/>
        <color rgb="FFFFFFFF"/>
        <rFont val="DejaVu Sans"/>
        <family val="2"/>
      </rPr>
      <t xml:space="preserve">成型（工序工时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工作时间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元件数量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宽放；成本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工时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人工费率）</t>
    </r>
  </si>
  <si>
    <t xml:space="preserve">元件数量</t>
  </si>
  <si>
    <t xml:space="preserve">P04</t>
  </si>
  <si>
    <t xml:space="preserve">成型</t>
  </si>
  <si>
    <t xml:space="preserve">电解电容</t>
  </si>
  <si>
    <t xml:space="preserve">贴板成型</t>
  </si>
  <si>
    <t xml:space="preserve">自动成型</t>
  </si>
  <si>
    <t xml:space="preserve">晶闸管成型</t>
  </si>
  <si>
    <t xml:space="preserve">散热器组装</t>
  </si>
  <si>
    <t xml:space="preserve">光敏电阻成型</t>
  </si>
  <si>
    <t xml:space="preserve">铆钉</t>
  </si>
  <si>
    <r>
      <rPr>
        <b val="true"/>
        <sz val="10"/>
        <color rgb="FF000000"/>
        <rFont val="DejaVu Sans"/>
        <family val="2"/>
      </rPr>
      <t xml:space="preserve">成型成本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)</t>
    </r>
  </si>
  <si>
    <r>
      <rPr>
        <b val="true"/>
        <sz val="11"/>
        <color rgb="FFFFFFFF"/>
        <rFont val="微软雅黑"/>
        <family val="0"/>
        <charset val="1"/>
      </rPr>
      <t xml:space="preserve">P05  </t>
    </r>
    <r>
      <rPr>
        <b val="true"/>
        <sz val="11"/>
        <color rgb="FFFFFFFF"/>
        <rFont val="DejaVu Sans"/>
        <family val="2"/>
      </rPr>
      <t xml:space="preserve">组装（</t>
    </r>
    <r>
      <rPr>
        <b val="true"/>
        <sz val="11"/>
        <color rgb="FFFFFFFF"/>
        <rFont val="微软雅黑"/>
        <family val="0"/>
        <charset val="1"/>
      </rPr>
      <t xml:space="preserve">18</t>
    </r>
    <r>
      <rPr>
        <b val="true"/>
        <sz val="11"/>
        <color rgb="FFFFFFFF"/>
        <rFont val="DejaVu Sans"/>
        <family val="2"/>
      </rPr>
      <t xml:space="preserve">道工序：工序工时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工作节拍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工序个数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宽放；成本 </t>
    </r>
    <r>
      <rPr>
        <b val="true"/>
        <sz val="11"/>
        <color rgb="FFFFFFFF"/>
        <rFont val="微软雅黑"/>
        <family val="0"/>
        <charset val="1"/>
      </rPr>
      <t xml:space="preserve">= </t>
    </r>
    <r>
      <rPr>
        <b val="true"/>
        <sz val="11"/>
        <color rgb="FFFFFFFF"/>
        <rFont val="DejaVu Sans"/>
        <family val="2"/>
      </rPr>
      <t xml:space="preserve">工时 </t>
    </r>
    <r>
      <rPr>
        <b val="true"/>
        <sz val="11"/>
        <color rgb="FFFFFFFF"/>
        <rFont val="微软雅黑"/>
        <family val="0"/>
        <charset val="1"/>
      </rPr>
      <t xml:space="preserve">× </t>
    </r>
    <r>
      <rPr>
        <b val="true"/>
        <sz val="11"/>
        <color rgb="FFFFFFFF"/>
        <rFont val="DejaVu Sans"/>
        <family val="2"/>
      </rPr>
      <t xml:space="preserve">人工费率）</t>
    </r>
  </si>
  <si>
    <r>
      <rPr>
        <b val="true"/>
        <sz val="10"/>
        <color rgb="FF000000"/>
        <rFont val="DejaVu Sans"/>
        <family val="2"/>
      </rPr>
      <t xml:space="preserve">工作节拍</t>
    </r>
    <r>
      <rPr>
        <b val="true"/>
        <sz val="10"/>
        <color rgb="FF000000"/>
        <rFont val="DejaVu Sans"/>
        <family val="2"/>
        <charset val="1"/>
      </rPr>
      <t xml:space="preserve">(s)</t>
    </r>
  </si>
  <si>
    <t xml:space="preserve">P05</t>
  </si>
  <si>
    <t xml:space="preserve">组装</t>
  </si>
  <si>
    <t xml:space="preserve">安装过炉治具</t>
  </si>
  <si>
    <t xml:space="preserve">插件</t>
  </si>
  <si>
    <r>
      <rPr>
        <sz val="10"/>
        <color rgb="FF000000"/>
        <rFont val="DejaVu Sans"/>
        <family val="2"/>
      </rPr>
      <t xml:space="preserve">插件</t>
    </r>
    <r>
      <rPr>
        <sz val="10"/>
        <color rgb="FF000000"/>
        <rFont val="DejaVu Sans"/>
        <family val="2"/>
        <charset val="1"/>
      </rPr>
      <t xml:space="preserve">QC</t>
    </r>
  </si>
  <si>
    <r>
      <rPr>
        <sz val="10"/>
        <color rgb="FF000000"/>
        <rFont val="DejaVu Sans"/>
        <family val="2"/>
      </rPr>
      <t xml:space="preserve">卸送治具</t>
    </r>
    <r>
      <rPr>
        <sz val="10"/>
        <color rgb="FF000000"/>
        <rFont val="DejaVu Sans"/>
        <family val="2"/>
        <charset val="1"/>
      </rPr>
      <t xml:space="preserve">/AVI</t>
    </r>
    <r>
      <rPr>
        <sz val="10"/>
        <color rgb="FF000000"/>
        <rFont val="DejaVu Sans"/>
        <family val="2"/>
      </rPr>
      <t xml:space="preserve">检测</t>
    </r>
  </si>
  <si>
    <r>
      <rPr>
        <sz val="10"/>
        <color rgb="FF000000"/>
        <rFont val="DejaVu Sans"/>
        <family val="2"/>
      </rPr>
      <t xml:space="preserve">压件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执锡</t>
    </r>
  </si>
  <si>
    <r>
      <rPr>
        <sz val="10"/>
        <color rgb="FF000000"/>
        <rFont val="DejaVu Sans"/>
        <family val="2"/>
      </rPr>
      <t xml:space="preserve">炉后</t>
    </r>
    <r>
      <rPr>
        <sz val="10"/>
        <color rgb="FF000000"/>
        <rFont val="DejaVu Sans"/>
        <family val="2"/>
        <charset val="1"/>
      </rPr>
      <t xml:space="preserve">QC/</t>
    </r>
    <r>
      <rPr>
        <sz val="10"/>
        <color rgb="FF000000"/>
        <rFont val="DejaVu Sans"/>
        <family val="2"/>
      </rPr>
      <t xml:space="preserve">洗板</t>
    </r>
  </si>
  <si>
    <t xml:space="preserve">ICT</t>
  </si>
  <si>
    <t xml:space="preserve">分板</t>
  </si>
  <si>
    <t xml:space="preserve">FCT</t>
  </si>
  <si>
    <t xml:space="preserve">点胶</t>
  </si>
  <si>
    <t xml:space="preserve">打螺钉</t>
  </si>
  <si>
    <r>
      <rPr>
        <sz val="10"/>
        <color rgb="FF000000"/>
        <rFont val="DejaVu Sans"/>
        <family val="2"/>
      </rPr>
      <t xml:space="preserve">喷漆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收板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补胶</t>
    </r>
  </si>
  <si>
    <t xml:space="preserve">喷漆检查</t>
  </si>
  <si>
    <t xml:space="preserve">贴标签</t>
  </si>
  <si>
    <r>
      <rPr>
        <sz val="10"/>
        <color rgb="FF000000"/>
        <rFont val="微软雅黑"/>
        <family val="0"/>
        <charset val="1"/>
      </rPr>
      <t xml:space="preserve">FQC</t>
    </r>
    <r>
      <rPr>
        <sz val="10"/>
        <color rgb="FF000000"/>
        <rFont val="DejaVu Sans"/>
        <family val="2"/>
      </rPr>
      <t xml:space="preserve">外观检查</t>
    </r>
  </si>
  <si>
    <t xml:space="preserve">包装</t>
  </si>
  <si>
    <t xml:space="preserve">助拉</t>
  </si>
  <si>
    <r>
      <rPr>
        <b val="true"/>
        <sz val="10"/>
        <color rgb="FF000000"/>
        <rFont val="DejaVu Sans"/>
        <family val="2"/>
      </rPr>
      <t xml:space="preserve">组装成本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)</t>
    </r>
  </si>
  <si>
    <r>
      <rPr>
        <b val="true"/>
        <sz val="11"/>
        <color rgb="FF000000"/>
        <rFont val="DejaVu Sans"/>
        <family val="2"/>
      </rPr>
      <t xml:space="preserve">加工费合计</t>
    </r>
    <r>
      <rPr>
        <b val="true"/>
        <sz val="11"/>
        <color rgb="FF000000"/>
        <rFont val="DejaVu Sans"/>
        <family val="2"/>
        <charset val="1"/>
      </rPr>
      <t xml:space="preserve">(</t>
    </r>
    <r>
      <rPr>
        <b val="true"/>
        <sz val="11"/>
        <color rgb="FF000000"/>
        <rFont val="DejaVu Sans"/>
        <family val="2"/>
      </rPr>
      <t xml:space="preserve">元</t>
    </r>
    <r>
      <rPr>
        <b val="true"/>
        <sz val="11"/>
        <color rgb="FF000000"/>
        <rFont val="DejaVu Sans"/>
        <family val="2"/>
        <charset val="1"/>
      </rPr>
      <t xml:space="preserve">)</t>
    </r>
  </si>
  <si>
    <r>
      <rPr>
        <sz val="9"/>
        <color rgb="FF808080"/>
        <rFont val="微软雅黑"/>
        <family val="0"/>
        <charset val="1"/>
      </rPr>
      <t xml:space="preserve">P06 </t>
    </r>
    <r>
      <rPr>
        <sz val="9"/>
        <color rgb="FF808080"/>
        <rFont val="DejaVu Sans"/>
        <family val="2"/>
      </rPr>
      <t xml:space="preserve">辅料费｜注：商空项目辅料用量已置</t>
    </r>
    <r>
      <rPr>
        <sz val="9"/>
        <color rgb="FF808080"/>
        <rFont val="微软雅黑"/>
        <family val="0"/>
        <charset val="1"/>
      </rPr>
      <t xml:space="preserve">0</t>
    </r>
    <r>
      <rPr>
        <sz val="9"/>
        <color rgb="FF808080"/>
        <rFont val="DejaVu Sans"/>
        <family val="2"/>
      </rPr>
      <t xml:space="preserve">，辅料已导入</t>
    </r>
    <r>
      <rPr>
        <sz val="9"/>
        <color rgb="FF808080"/>
        <rFont val="微软雅黑"/>
        <family val="0"/>
        <charset val="1"/>
      </rPr>
      <t xml:space="preserve">BOM</t>
    </r>
    <r>
      <rPr>
        <sz val="9"/>
        <color rgb="FF808080"/>
        <rFont val="DejaVu Sans"/>
        <family val="2"/>
      </rPr>
      <t xml:space="preserve">「辅助材料」，此处避免与报价汇总重复计费</t>
    </r>
  </si>
  <si>
    <t xml:space="preserve">费用类型</t>
  </si>
  <si>
    <t xml:space="preserve">辅料类型</t>
  </si>
  <si>
    <r>
      <rPr>
        <b val="true"/>
        <sz val="10"/>
        <color rgb="FF000000"/>
        <rFont val="DejaVu Sans"/>
        <family val="2"/>
      </rPr>
      <t xml:space="preserve">单价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/g)</t>
    </r>
  </si>
  <si>
    <r>
      <rPr>
        <b val="true"/>
        <sz val="10"/>
        <color rgb="FF000000"/>
        <rFont val="DejaVu Sans"/>
        <family val="2"/>
      </rPr>
      <t xml:space="preserve">单片用量</t>
    </r>
    <r>
      <rPr>
        <b val="true"/>
        <sz val="10"/>
        <color rgb="FF000000"/>
        <rFont val="DejaVu Sans"/>
        <family val="2"/>
        <charset val="1"/>
      </rPr>
      <t xml:space="preserve">(g)</t>
    </r>
  </si>
  <si>
    <r>
      <rPr>
        <b val="true"/>
        <sz val="10"/>
        <color rgb="FF000000"/>
        <rFont val="DejaVu Sans"/>
        <family val="2"/>
      </rPr>
      <t xml:space="preserve">辅料费用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)</t>
    </r>
  </si>
  <si>
    <t xml:space="preserve">P06</t>
  </si>
  <si>
    <t xml:space="preserve">辅料费用</t>
  </si>
  <si>
    <t xml:space="preserve">标签</t>
  </si>
  <si>
    <r>
      <rPr>
        <sz val="9"/>
        <color rgb="FF808080"/>
        <rFont val="DejaVu Sans"/>
        <family val="2"/>
      </rPr>
      <t xml:space="preserve">元</t>
    </r>
    <r>
      <rPr>
        <sz val="9"/>
        <color rgb="FF808080"/>
        <rFont val="DejaVu Sans"/>
        <family val="2"/>
        <charset val="1"/>
      </rPr>
      <t xml:space="preserve">/</t>
    </r>
    <r>
      <rPr>
        <sz val="9"/>
        <color rgb="FF808080"/>
        <rFont val="DejaVu Sans"/>
        <family val="2"/>
      </rPr>
      <t xml:space="preserve">个</t>
    </r>
  </si>
  <si>
    <t xml:space="preserve">助焊剂</t>
  </si>
  <si>
    <r>
      <rPr>
        <sz val="10"/>
        <color rgb="FF000000"/>
        <rFont val="DejaVu Sans"/>
        <family val="2"/>
      </rPr>
      <t xml:space="preserve">锡条</t>
    </r>
    <r>
      <rPr>
        <sz val="10"/>
        <color rgb="FF000000"/>
        <rFont val="DejaVu Sans"/>
        <family val="2"/>
        <charset val="1"/>
      </rPr>
      <t xml:space="preserve">(g)</t>
    </r>
  </si>
  <si>
    <r>
      <rPr>
        <sz val="10"/>
        <color rgb="FF000000"/>
        <rFont val="DejaVu Sans"/>
        <family val="2"/>
      </rPr>
      <t xml:space="preserve">锡丝</t>
    </r>
    <r>
      <rPr>
        <sz val="10"/>
        <color rgb="FF000000"/>
        <rFont val="DejaVu Sans"/>
        <family val="2"/>
        <charset val="1"/>
      </rPr>
      <t xml:space="preserve">(g)</t>
    </r>
  </si>
  <si>
    <r>
      <rPr>
        <sz val="10"/>
        <color rgb="FF000000"/>
        <rFont val="DejaVu Sans"/>
        <family val="2"/>
      </rPr>
      <t xml:space="preserve">胶类</t>
    </r>
    <r>
      <rPr>
        <sz val="10"/>
        <color rgb="FF000000"/>
        <rFont val="DejaVu Sans"/>
        <family val="2"/>
        <charset val="1"/>
      </rPr>
      <t xml:space="preserve">(g)</t>
    </r>
  </si>
  <si>
    <r>
      <rPr>
        <sz val="10"/>
        <color rgb="FF000000"/>
        <rFont val="DejaVu Sans"/>
        <family val="2"/>
      </rPr>
      <t xml:space="preserve">漆</t>
    </r>
    <r>
      <rPr>
        <sz val="10"/>
        <color rgb="FF000000"/>
        <rFont val="DejaVu Sans"/>
        <family val="2"/>
        <charset val="1"/>
      </rPr>
      <t xml:space="preserve">(g)</t>
    </r>
  </si>
  <si>
    <t xml:space="preserve">三防漆</t>
  </si>
  <si>
    <r>
      <rPr>
        <sz val="10"/>
        <color rgb="FF000000"/>
        <rFont val="微软雅黑"/>
        <family val="0"/>
        <charset val="1"/>
      </rPr>
      <t xml:space="preserve">A/B</t>
    </r>
    <r>
      <rPr>
        <sz val="10"/>
        <color rgb="FF000000"/>
        <rFont val="DejaVu Sans"/>
        <family val="2"/>
      </rPr>
      <t xml:space="preserve">胶</t>
    </r>
    <r>
      <rPr>
        <sz val="10"/>
        <color rgb="FF000000"/>
        <rFont val="微软雅黑"/>
        <family val="0"/>
        <charset val="1"/>
      </rPr>
      <t xml:space="preserve">(g)</t>
    </r>
  </si>
  <si>
    <r>
      <rPr>
        <b val="true"/>
        <sz val="10"/>
        <color rgb="FF000000"/>
        <rFont val="DejaVu Sans"/>
        <family val="2"/>
      </rPr>
      <t xml:space="preserve">辅料成本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)</t>
    </r>
  </si>
  <si>
    <r>
      <rPr>
        <sz val="9"/>
        <color rgb="FF808080"/>
        <rFont val="微软雅黑"/>
        <family val="0"/>
        <charset val="1"/>
      </rPr>
      <t xml:space="preserve">P07 </t>
    </r>
    <r>
      <rPr>
        <sz val="9"/>
        <color rgb="FF808080"/>
        <rFont val="DejaVu Sans"/>
        <family val="2"/>
      </rPr>
      <t xml:space="preserve">治具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夹具费｜注：商空项目夹具张数已置</t>
    </r>
    <r>
      <rPr>
        <sz val="9"/>
        <color rgb="FF808080"/>
        <rFont val="微软雅黑"/>
        <family val="0"/>
        <charset val="1"/>
      </rPr>
      <t xml:space="preserve">0</t>
    </r>
    <r>
      <rPr>
        <sz val="9"/>
        <color rgb="FF808080"/>
        <rFont val="DejaVu Sans"/>
        <family val="2"/>
      </rPr>
      <t xml:space="preserve">，工装</t>
    </r>
    <r>
      <rPr>
        <sz val="9"/>
        <color rgb="FF808080"/>
        <rFont val="微软雅黑"/>
        <family val="0"/>
        <charset val="1"/>
      </rPr>
      <t xml:space="preserve">48700</t>
    </r>
    <r>
      <rPr>
        <sz val="9"/>
        <color rgb="FF808080"/>
        <rFont val="DejaVu Sans"/>
        <family val="2"/>
      </rPr>
      <t xml:space="preserve">元直接向客户收取，见报价汇总「六、一次性费用」，不计入单台成本</t>
    </r>
  </si>
  <si>
    <t xml:space="preserve">夹具类型</t>
  </si>
  <si>
    <r>
      <rPr>
        <b val="true"/>
        <sz val="10"/>
        <color rgb="FF000000"/>
        <rFont val="DejaVu Sans"/>
        <family val="2"/>
      </rPr>
      <t xml:space="preserve">单价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</si>
  <si>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个</t>
    </r>
    <r>
      <rPr>
        <b val="true"/>
        <sz val="10"/>
        <color rgb="FF000000"/>
        <rFont val="DejaVu Sans"/>
        <family val="2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张数</t>
    </r>
  </si>
  <si>
    <r>
      <rPr>
        <b val="true"/>
        <sz val="10"/>
        <color rgb="FF000000"/>
        <rFont val="DejaVu Sans"/>
        <family val="2"/>
      </rPr>
      <t xml:space="preserve">夹具费用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)</t>
    </r>
  </si>
  <si>
    <t xml:space="preserve">P07</t>
  </si>
  <si>
    <t xml:space="preserve">夹具费用</t>
  </si>
  <si>
    <t xml:space="preserve">钢网</t>
  </si>
  <si>
    <t xml:space="preserve">印刷辅助治具</t>
  </si>
  <si>
    <t xml:space="preserve">过锡炉治具</t>
  </si>
  <si>
    <t xml:space="preserve">焊接治具</t>
  </si>
  <si>
    <t xml:space="preserve">铆钉模具</t>
  </si>
  <si>
    <t xml:space="preserve">分板治具</t>
  </si>
  <si>
    <r>
      <rPr>
        <sz val="10"/>
        <color rgb="FF000000"/>
        <rFont val="微软雅黑"/>
        <family val="0"/>
        <charset val="1"/>
      </rPr>
      <t xml:space="preserve">ICT</t>
    </r>
    <r>
      <rPr>
        <sz val="10"/>
        <color rgb="FF000000"/>
        <rFont val="DejaVu Sans"/>
        <family val="2"/>
      </rPr>
      <t xml:space="preserve">治具</t>
    </r>
  </si>
  <si>
    <t xml:space="preserve">烧录工装</t>
  </si>
  <si>
    <r>
      <rPr>
        <sz val="10"/>
        <color rgb="FF000000"/>
        <rFont val="微软雅黑"/>
        <family val="0"/>
        <charset val="1"/>
      </rPr>
      <t xml:space="preserve">FCT</t>
    </r>
    <r>
      <rPr>
        <sz val="10"/>
        <color rgb="FF000000"/>
        <rFont val="DejaVu Sans"/>
        <family val="2"/>
      </rPr>
      <t xml:space="preserve">工装</t>
    </r>
  </si>
  <si>
    <r>
      <rPr>
        <sz val="10"/>
        <color rgb="FF000000"/>
        <rFont val="微软雅黑"/>
        <family val="0"/>
        <charset val="1"/>
      </rPr>
      <t xml:space="preserve">OQC</t>
    </r>
    <r>
      <rPr>
        <sz val="10"/>
        <color rgb="FF000000"/>
        <rFont val="DejaVu Sans"/>
        <family val="2"/>
      </rPr>
      <t xml:space="preserve">检验工装</t>
    </r>
  </si>
  <si>
    <t xml:space="preserve">喷漆治具</t>
  </si>
  <si>
    <t xml:space="preserve">灌胶治具</t>
  </si>
  <si>
    <r>
      <rPr>
        <b val="true"/>
        <sz val="10"/>
        <color rgb="FF000000"/>
        <rFont val="DejaVu Sans"/>
        <family val="2"/>
      </rPr>
      <t xml:space="preserve">夹具一次性总费用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</si>
  <si>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夹具单片分担费用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)</t>
    </r>
  </si>
  <si>
    <r>
      <rPr>
        <sz val="9"/>
        <color rgb="FF808080"/>
        <rFont val="DejaVu Sans"/>
        <family val="2"/>
      </rPr>
      <t xml:space="preserve">单片分担</t>
    </r>
    <r>
      <rPr>
        <sz val="9"/>
        <color rgb="FF808080"/>
        <rFont val="DejaVu Sans"/>
        <family val="2"/>
        <charset val="1"/>
      </rPr>
      <t xml:space="preserve">=</t>
    </r>
    <r>
      <rPr>
        <sz val="9"/>
        <color rgb="FF808080"/>
        <rFont val="DejaVu Sans"/>
        <family val="2"/>
      </rPr>
      <t xml:space="preserve">一次性总费用</t>
    </r>
    <r>
      <rPr>
        <sz val="9"/>
        <color rgb="FF808080"/>
        <rFont val="DejaVu Sans"/>
        <family val="2"/>
        <charset val="1"/>
      </rPr>
      <t xml:space="preserve">÷</t>
    </r>
    <r>
      <rPr>
        <sz val="9"/>
        <color rgb="FF808080"/>
        <rFont val="DejaVu Sans"/>
        <family val="2"/>
      </rPr>
      <t xml:space="preserve">预计订单数</t>
    </r>
    <r>
      <rPr>
        <sz val="9"/>
        <color rgb="FF808080"/>
        <rFont val="DejaVu Sans"/>
        <family val="2"/>
        <charset val="1"/>
      </rPr>
      <t xml:space="preserve">(G3)</t>
    </r>
  </si>
  <si>
    <r>
      <rPr>
        <b val="true"/>
        <sz val="11"/>
        <color rgb="FF000000"/>
        <rFont val="DejaVu Sans"/>
        <family val="2"/>
      </rPr>
      <t xml:space="preserve">单片制造成本合计</t>
    </r>
    <r>
      <rPr>
        <b val="true"/>
        <sz val="11"/>
        <color rgb="FF000000"/>
        <rFont val="DejaVu Sans"/>
        <family val="2"/>
        <charset val="1"/>
      </rPr>
      <t xml:space="preserve">(</t>
    </r>
    <r>
      <rPr>
        <b val="true"/>
        <sz val="11"/>
        <color rgb="FF000000"/>
        <rFont val="DejaVu Sans"/>
        <family val="2"/>
      </rPr>
      <t xml:space="preserve">元</t>
    </r>
    <r>
      <rPr>
        <b val="true"/>
        <sz val="11"/>
        <color rgb="FF000000"/>
        <rFont val="DejaVu Sans"/>
        <family val="2"/>
        <charset val="1"/>
      </rPr>
      <t xml:space="preserve">)</t>
    </r>
  </si>
  <si>
    <t xml:space="preserve">制作：             审核：             核准：             批准日期：</t>
  </si>
  <si>
    <r>
      <rPr>
        <b val="true"/>
        <sz val="14"/>
        <color rgb="FFFFFFFF"/>
        <rFont val="DejaVu Sans"/>
        <family val="2"/>
      </rPr>
      <t xml:space="preserve">加工成本明细（商空大功率驱动板</t>
    </r>
    <r>
      <rPr>
        <b val="true"/>
        <sz val="14"/>
        <color rgb="FFFFFFFF"/>
        <rFont val="微软雅黑"/>
        <family val="0"/>
        <charset val="1"/>
      </rPr>
      <t xml:space="preserve">·</t>
    </r>
    <r>
      <rPr>
        <b val="true"/>
        <sz val="14"/>
        <color rgb="FFFFFFFF"/>
        <rFont val="DejaVu Sans"/>
        <family val="2"/>
      </rPr>
      <t xml:space="preserve">综合加工成本构成）</t>
    </r>
  </si>
  <si>
    <r>
      <rPr>
        <b val="true"/>
        <sz val="11"/>
        <color rgb="FFFFFFFF"/>
        <rFont val="DejaVu Sans"/>
        <family val="2"/>
      </rPr>
      <t xml:space="preserve">一、加工成本构成（元</t>
    </r>
    <r>
      <rPr>
        <b val="true"/>
        <sz val="11"/>
        <color rgb="FFFFFFFF"/>
        <rFont val="微软雅黑"/>
        <family val="0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台，综合口径：人工</t>
    </r>
    <r>
      <rPr>
        <b val="true"/>
        <sz val="11"/>
        <color rgb="FFFFFFFF"/>
        <rFont val="微软雅黑"/>
        <family val="0"/>
        <charset val="1"/>
      </rPr>
      <t xml:space="preserve">+</t>
    </r>
    <r>
      <rPr>
        <b val="true"/>
        <sz val="11"/>
        <color rgb="FFFFFFFF"/>
        <rFont val="DejaVu Sans"/>
        <family val="2"/>
      </rPr>
      <t xml:space="preserve">制费</t>
    </r>
    <r>
      <rPr>
        <b val="true"/>
        <sz val="11"/>
        <color rgb="FFFFFFFF"/>
        <rFont val="微软雅黑"/>
        <family val="0"/>
        <charset val="1"/>
      </rPr>
      <t xml:space="preserve">+SMT/</t>
    </r>
    <r>
      <rPr>
        <b val="true"/>
        <sz val="11"/>
        <color rgb="FFFFFFFF"/>
        <rFont val="DejaVu Sans"/>
        <family val="2"/>
      </rPr>
      <t xml:space="preserve">机插）</t>
    </r>
  </si>
  <si>
    <t xml:space="preserve">成本组成</t>
  </si>
  <si>
    <r>
      <rPr>
        <b val="true"/>
        <sz val="10"/>
        <color rgb="FF000000"/>
        <rFont val="DejaVu Sans"/>
        <family val="2"/>
      </rPr>
      <t xml:space="preserve">金额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台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</si>
  <si>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t xml:space="preserve">贴片加工成本</t>
  </si>
  <si>
    <r>
      <rPr>
        <sz val="9"/>
        <color rgb="FF808080"/>
        <rFont val="微软雅黑"/>
        <family val="0"/>
        <charset val="1"/>
      </rPr>
      <t xml:space="preserve">SMT</t>
    </r>
    <r>
      <rPr>
        <sz val="9"/>
        <color rgb="FF808080"/>
        <rFont val="DejaVu Sans"/>
        <family val="2"/>
      </rPr>
      <t xml:space="preserve">贴片 </t>
    </r>
    <r>
      <rPr>
        <sz val="9"/>
        <color rgb="FF808080"/>
        <rFont val="微软雅黑"/>
        <family val="0"/>
        <charset val="1"/>
      </rPr>
      <t xml:space="preserve">1101.001</t>
    </r>
    <r>
      <rPr>
        <sz val="9"/>
        <color rgb="FF808080"/>
        <rFont val="DejaVu Sans"/>
        <family val="2"/>
      </rPr>
      <t xml:space="preserve">点</t>
    </r>
    <r>
      <rPr>
        <sz val="9"/>
        <color rgb="FF808080"/>
        <rFont val="微软雅黑"/>
        <family val="0"/>
        <charset val="1"/>
      </rPr>
      <t xml:space="preserve">×0.0056</t>
    </r>
  </si>
  <si>
    <t xml:space="preserve">机插加工成本</t>
  </si>
  <si>
    <r>
      <rPr>
        <sz val="9"/>
        <color rgb="FF808080"/>
        <rFont val="微软雅黑"/>
        <family val="0"/>
        <charset val="1"/>
      </rPr>
      <t xml:space="preserve">AI</t>
    </r>
    <r>
      <rPr>
        <sz val="9"/>
        <color rgb="FF808080"/>
        <rFont val="DejaVu Sans"/>
        <family val="2"/>
      </rPr>
      <t xml:space="preserve">机插 </t>
    </r>
    <r>
      <rPr>
        <sz val="9"/>
        <color rgb="FF808080"/>
        <rFont val="微软雅黑"/>
        <family val="0"/>
        <charset val="1"/>
      </rPr>
      <t xml:space="preserve">14</t>
    </r>
    <r>
      <rPr>
        <sz val="9"/>
        <color rgb="FF808080"/>
        <rFont val="DejaVu Sans"/>
        <family val="2"/>
      </rPr>
      <t xml:space="preserve">点</t>
    </r>
    <r>
      <rPr>
        <sz val="9"/>
        <color rgb="FF808080"/>
        <rFont val="微软雅黑"/>
        <family val="0"/>
        <charset val="1"/>
      </rPr>
      <t xml:space="preserve">×0.0171</t>
    </r>
  </si>
  <si>
    <t xml:space="preserve">预烧写加工成本</t>
  </si>
  <si>
    <t xml:space="preserve">本项目无</t>
  </si>
  <si>
    <t xml:space="preserve">人工成本</t>
  </si>
  <si>
    <r>
      <rPr>
        <sz val="9"/>
        <color rgb="FF808080"/>
        <rFont val="DejaVu Sans"/>
        <family val="2"/>
      </rPr>
      <t xml:space="preserve">插焊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测试</t>
    </r>
    <r>
      <rPr>
        <sz val="9"/>
        <color rgb="FF808080"/>
        <rFont val="微软雅黑"/>
        <family val="0"/>
        <charset val="1"/>
      </rPr>
      <t xml:space="preserve">/</t>
    </r>
    <r>
      <rPr>
        <sz val="9"/>
        <color rgb="FF808080"/>
        <rFont val="DejaVu Sans"/>
        <family val="2"/>
      </rPr>
      <t xml:space="preserve">组装等直接人工（详见二）</t>
    </r>
  </si>
  <si>
    <t xml:space="preserve">折旧（专用）</t>
  </si>
  <si>
    <t xml:space="preserve">专用设备折旧</t>
  </si>
  <si>
    <t xml:space="preserve">折旧（公共）</t>
  </si>
  <si>
    <t xml:space="preserve">公共设备折旧分摊</t>
  </si>
  <si>
    <t xml:space="preserve">水电（专用）</t>
  </si>
  <si>
    <t xml:space="preserve">专用水电</t>
  </si>
  <si>
    <t xml:space="preserve">水电（公共）</t>
  </si>
  <si>
    <t xml:space="preserve">公共水电分摊</t>
  </si>
  <si>
    <t xml:space="preserve">工装</t>
  </si>
  <si>
    <t xml:space="preserve">工装直接向客户收取（详见三），不计入单台</t>
  </si>
  <si>
    <t xml:space="preserve">低值易耗</t>
  </si>
  <si>
    <t xml:space="preserve">低值易耗品摊销</t>
  </si>
  <si>
    <t xml:space="preserve">管理人员工资</t>
  </si>
  <si>
    <t xml:space="preserve">制造管理费用分摊</t>
  </si>
  <si>
    <t xml:space="preserve">其他</t>
  </si>
  <si>
    <t xml:space="preserve">其他制造费用</t>
  </si>
  <si>
    <t xml:space="preserve">检验成本</t>
  </si>
  <si>
    <t xml:space="preserve">本项目未单列</t>
  </si>
  <si>
    <r>
      <rPr>
        <b val="true"/>
        <sz val="11"/>
        <color rgb="FF000000"/>
        <rFont val="DejaVu Sans"/>
        <family val="2"/>
      </rPr>
      <t xml:space="preserve">加工成本合计</t>
    </r>
    <r>
      <rPr>
        <b val="true"/>
        <sz val="11"/>
        <color rgb="FF000000"/>
        <rFont val="微软雅黑"/>
        <family val="0"/>
        <charset val="1"/>
      </rPr>
      <t xml:space="preserve">(</t>
    </r>
    <r>
      <rPr>
        <b val="true"/>
        <sz val="11"/>
        <color rgb="FF000000"/>
        <rFont val="DejaVu Sans"/>
        <family val="2"/>
      </rPr>
      <t xml:space="preserve">元</t>
    </r>
    <r>
      <rPr>
        <b val="true"/>
        <sz val="11"/>
        <color rgb="FF000000"/>
        <rFont val="微软雅黑"/>
        <family val="0"/>
        <charset val="1"/>
      </rPr>
      <t xml:space="preserve">/</t>
    </r>
    <r>
      <rPr>
        <b val="true"/>
        <sz val="11"/>
        <color rgb="FF000000"/>
        <rFont val="DejaVu Sans"/>
        <family val="2"/>
      </rPr>
      <t xml:space="preserve">台</t>
    </r>
    <r>
      <rPr>
        <b val="true"/>
        <sz val="11"/>
        <color rgb="FF000000"/>
        <rFont val="微软雅黑"/>
        <family val="0"/>
        <charset val="1"/>
      </rPr>
      <t xml:space="preserve">)</t>
    </r>
  </si>
  <si>
    <t xml:space="preserve">→ 报价汇总「四、成本构成」加工成本行</t>
  </si>
  <si>
    <r>
      <rPr>
        <b val="true"/>
        <sz val="11"/>
        <color rgb="FFFFFFFF"/>
        <rFont val="DejaVu Sans"/>
        <family val="2"/>
      </rPr>
      <t xml:space="preserve">二、人工工时定额明细（源表未提供逐行人工成本，人工成本合计</t>
    </r>
    <r>
      <rPr>
        <b val="true"/>
        <sz val="11"/>
        <color rgb="FFFFFFFF"/>
        <rFont val="微软雅黑"/>
        <family val="0"/>
        <charset val="1"/>
      </rPr>
      <t xml:space="preserve">82.0882</t>
    </r>
    <r>
      <rPr>
        <b val="true"/>
        <sz val="11"/>
        <color rgb="FFFFFFFF"/>
        <rFont val="DejaVu Sans"/>
        <family val="2"/>
      </rPr>
      <t xml:space="preserve">元见上）</t>
    </r>
  </si>
  <si>
    <t xml:space="preserve">生产分段</t>
  </si>
  <si>
    <t xml:space="preserve">工序类别</t>
  </si>
  <si>
    <t xml:space="preserve">生产定额</t>
  </si>
  <si>
    <t xml:space="preserve">人数</t>
  </si>
  <si>
    <t xml:space="preserve">装配段</t>
  </si>
  <si>
    <t xml:space="preserve">装配</t>
  </si>
  <si>
    <t xml:space="preserve">外观检验</t>
  </si>
  <si>
    <t xml:space="preserve">OQC</t>
  </si>
  <si>
    <t xml:space="preserve">产前准备</t>
  </si>
  <si>
    <t xml:space="preserve">杂项设备</t>
  </si>
  <si>
    <t xml:space="preserve">维修清尾</t>
  </si>
  <si>
    <t xml:space="preserve">插焊段</t>
  </si>
  <si>
    <t xml:space="preserve">焊接</t>
  </si>
  <si>
    <t xml:space="preserve">喷漆</t>
  </si>
  <si>
    <t xml:space="preserve">波峰焊</t>
  </si>
  <si>
    <t xml:space="preserve">整形</t>
  </si>
  <si>
    <t xml:space="preserve">在线烧写</t>
  </si>
  <si>
    <r>
      <rPr>
        <sz val="9"/>
        <color rgb="FF000000"/>
        <rFont val="DejaVu Sans"/>
        <family val="2"/>
      </rPr>
      <t xml:space="preserve">插焊段</t>
    </r>
    <r>
      <rPr>
        <sz val="9"/>
        <color rgb="FF000000"/>
        <rFont val="微软雅黑"/>
        <family val="0"/>
        <charset val="1"/>
      </rPr>
      <t xml:space="preserve">2</t>
    </r>
  </si>
  <si>
    <r>
      <rPr>
        <b val="true"/>
        <sz val="10"/>
        <color rgb="FF000000"/>
        <rFont val="DejaVu Sans"/>
        <family val="2"/>
      </rPr>
      <t xml:space="preserve">人工成本合计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台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</si>
  <si>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t xml:space="preserve">源表人工成本为汇总值，逐行成本不可拆分</t>
  </si>
  <si>
    <t xml:space="preserve">三、工装治具明细（一次性，直接向客户收取，不计入单台成本）</t>
  </si>
  <si>
    <r>
      <rPr>
        <b val="true"/>
        <sz val="10"/>
        <color rgb="FF000000"/>
        <rFont val="DejaVu Sans"/>
        <family val="2"/>
      </rPr>
      <t xml:space="preserve">工艺</t>
    </r>
    <r>
      <rPr>
        <b val="true"/>
        <sz val="10"/>
        <color rgb="FF000000"/>
        <rFont val="微软雅黑"/>
        <family val="0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名称</t>
    </r>
  </si>
  <si>
    <t xml:space="preserve">数量</t>
  </si>
  <si>
    <r>
      <rPr>
        <b val="true"/>
        <sz val="10"/>
        <color rgb="FF000000"/>
        <rFont val="DejaVu Sans"/>
        <family val="2"/>
      </rPr>
      <t xml:space="preserve">单价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</si>
  <si>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金额</t>
    </r>
    <r>
      <rPr>
        <b val="true"/>
        <sz val="10"/>
        <color rgb="FF000000"/>
        <rFont val="微软雅黑"/>
        <family val="0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微软雅黑"/>
        <family val="0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</si>
  <si>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年产能</t>
    </r>
    <r>
      <rPr>
        <b val="true"/>
        <sz val="10"/>
        <color rgb="FF000000"/>
        <rFont val="微软雅黑"/>
        <family val="0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单片分摊</t>
    </r>
  </si>
  <si>
    <r>
      <rPr>
        <sz val="9"/>
        <color rgb="FF000000"/>
        <rFont val="DejaVu Sans"/>
        <family val="2"/>
      </rPr>
      <t xml:space="preserve">装配</t>
    </r>
    <r>
      <rPr>
        <sz val="9"/>
        <color rgb="FF000000"/>
        <rFont val="微软雅黑"/>
        <family val="0"/>
        <charset val="1"/>
      </rPr>
      <t xml:space="preserve">/</t>
    </r>
    <r>
      <rPr>
        <sz val="9"/>
        <color rgb="FF000000"/>
        <rFont val="DejaVu Sans"/>
        <family val="2"/>
      </rPr>
      <t xml:space="preserve">装配工装</t>
    </r>
  </si>
  <si>
    <r>
      <rPr>
        <sz val="9"/>
        <color rgb="FF808080"/>
        <rFont val="DejaVu Sans"/>
        <family val="2"/>
      </rPr>
      <t xml:space="preserve">年</t>
    </r>
    <r>
      <rPr>
        <sz val="9"/>
        <color rgb="FF808080"/>
        <rFont val="微软雅黑"/>
        <family val="0"/>
        <charset val="1"/>
      </rPr>
      <t xml:space="preserve">5000/</t>
    </r>
    <r>
      <rPr>
        <sz val="9"/>
        <color rgb="FF808080"/>
        <rFont val="DejaVu Sans"/>
        <family val="2"/>
      </rPr>
      <t xml:space="preserve">单片</t>
    </r>
    <r>
      <rPr>
        <sz val="9"/>
        <color rgb="FF808080"/>
        <rFont val="微软雅黑"/>
        <family val="0"/>
        <charset val="1"/>
      </rPr>
      <t xml:space="preserve">0.2667</t>
    </r>
  </si>
  <si>
    <r>
      <rPr>
        <sz val="9"/>
        <color rgb="FF000000"/>
        <rFont val="DejaVu Sans"/>
        <family val="2"/>
      </rPr>
      <t xml:space="preserve">自动测试</t>
    </r>
    <r>
      <rPr>
        <sz val="9"/>
        <color rgb="FF000000"/>
        <rFont val="微软雅黑"/>
        <family val="0"/>
        <charset val="1"/>
      </rPr>
      <t xml:space="preserve">/</t>
    </r>
    <r>
      <rPr>
        <sz val="9"/>
        <color rgb="FF000000"/>
        <rFont val="DejaVu Sans"/>
        <family val="2"/>
      </rPr>
      <t xml:space="preserve">测试工装</t>
    </r>
  </si>
  <si>
    <r>
      <rPr>
        <sz val="9"/>
        <color rgb="FF808080"/>
        <rFont val="DejaVu Sans"/>
        <family val="2"/>
      </rPr>
      <t xml:space="preserve">年</t>
    </r>
    <r>
      <rPr>
        <sz val="9"/>
        <color rgb="FF808080"/>
        <rFont val="微软雅黑"/>
        <family val="0"/>
        <charset val="1"/>
      </rPr>
      <t xml:space="preserve">5000/</t>
    </r>
    <r>
      <rPr>
        <sz val="9"/>
        <color rgb="FF808080"/>
        <rFont val="DejaVu Sans"/>
        <family val="2"/>
      </rPr>
      <t xml:space="preserve">单片</t>
    </r>
    <r>
      <rPr>
        <sz val="9"/>
        <color rgb="FF808080"/>
        <rFont val="微软雅黑"/>
        <family val="0"/>
        <charset val="1"/>
      </rPr>
      <t xml:space="preserve">0.5333</t>
    </r>
  </si>
  <si>
    <r>
      <rPr>
        <sz val="9"/>
        <color rgb="FF000000"/>
        <rFont val="DejaVu Sans"/>
        <family val="2"/>
      </rPr>
      <t xml:space="preserve">波峰焊</t>
    </r>
    <r>
      <rPr>
        <sz val="9"/>
        <color rgb="FF000000"/>
        <rFont val="微软雅黑"/>
        <family val="0"/>
        <charset val="1"/>
      </rPr>
      <t xml:space="preserve">/</t>
    </r>
    <r>
      <rPr>
        <sz val="9"/>
        <color rgb="FF000000"/>
        <rFont val="DejaVu Sans"/>
        <family val="2"/>
      </rPr>
      <t xml:space="preserve">波峰焊托盘</t>
    </r>
  </si>
  <si>
    <r>
      <rPr>
        <sz val="9"/>
        <color rgb="FF808080"/>
        <rFont val="DejaVu Sans"/>
        <family val="2"/>
      </rPr>
      <t xml:space="preserve">年</t>
    </r>
    <r>
      <rPr>
        <sz val="9"/>
        <color rgb="FF808080"/>
        <rFont val="微软雅黑"/>
        <family val="0"/>
        <charset val="1"/>
      </rPr>
      <t xml:space="preserve">5000/</t>
    </r>
    <r>
      <rPr>
        <sz val="9"/>
        <color rgb="FF808080"/>
        <rFont val="DejaVu Sans"/>
        <family val="2"/>
      </rPr>
      <t xml:space="preserve">单片</t>
    </r>
    <r>
      <rPr>
        <sz val="9"/>
        <color rgb="FF808080"/>
        <rFont val="微软雅黑"/>
        <family val="0"/>
        <charset val="1"/>
      </rPr>
      <t xml:space="preserve">0.3</t>
    </r>
  </si>
  <si>
    <r>
      <rPr>
        <sz val="9"/>
        <color rgb="FF000000"/>
        <rFont val="DejaVu Sans"/>
        <family val="2"/>
      </rPr>
      <t xml:space="preserve">双面喷漆</t>
    </r>
    <r>
      <rPr>
        <sz val="9"/>
        <color rgb="FF000000"/>
        <rFont val="微软雅黑"/>
        <family val="0"/>
        <charset val="1"/>
      </rPr>
      <t xml:space="preserve">/</t>
    </r>
    <r>
      <rPr>
        <sz val="9"/>
        <color rgb="FF000000"/>
        <rFont val="DejaVu Sans"/>
        <family val="2"/>
      </rPr>
      <t xml:space="preserve">喷漆托盘</t>
    </r>
  </si>
  <si>
    <r>
      <rPr>
        <sz val="9"/>
        <color rgb="FF808080"/>
        <rFont val="DejaVu Sans"/>
        <family val="2"/>
      </rPr>
      <t xml:space="preserve">年</t>
    </r>
    <r>
      <rPr>
        <sz val="9"/>
        <color rgb="FF808080"/>
        <rFont val="微软雅黑"/>
        <family val="0"/>
        <charset val="1"/>
      </rPr>
      <t xml:space="preserve">5000/</t>
    </r>
    <r>
      <rPr>
        <sz val="9"/>
        <color rgb="FF808080"/>
        <rFont val="DejaVu Sans"/>
        <family val="2"/>
      </rPr>
      <t xml:space="preserve">单片</t>
    </r>
    <r>
      <rPr>
        <sz val="9"/>
        <color rgb="FF808080"/>
        <rFont val="微软雅黑"/>
        <family val="0"/>
        <charset val="1"/>
      </rPr>
      <t xml:space="preserve">0</t>
    </r>
  </si>
  <si>
    <r>
      <rPr>
        <sz val="9"/>
        <color rgb="FF000000"/>
        <rFont val="DejaVu Sans"/>
        <family val="2"/>
      </rPr>
      <t xml:space="preserve">自动测试</t>
    </r>
    <r>
      <rPr>
        <sz val="9"/>
        <color rgb="FF000000"/>
        <rFont val="微软雅黑"/>
        <family val="0"/>
        <charset val="1"/>
      </rPr>
      <t xml:space="preserve">/</t>
    </r>
    <r>
      <rPr>
        <sz val="9"/>
        <color rgb="FF000000"/>
        <rFont val="DejaVu Sans"/>
        <family val="2"/>
      </rPr>
      <t xml:space="preserve">自动测试工装</t>
    </r>
  </si>
  <si>
    <r>
      <rPr>
        <sz val="9"/>
        <color rgb="FF000000"/>
        <rFont val="微软雅黑"/>
        <family val="0"/>
        <charset val="1"/>
      </rPr>
      <t xml:space="preserve">ICT/ICT</t>
    </r>
    <r>
      <rPr>
        <sz val="9"/>
        <color rgb="FF000000"/>
        <rFont val="DejaVu Sans"/>
        <family val="2"/>
      </rPr>
      <t xml:space="preserve">针床</t>
    </r>
  </si>
  <si>
    <r>
      <rPr>
        <sz val="9"/>
        <color rgb="FF000000"/>
        <rFont val="DejaVu Sans"/>
        <family val="2"/>
      </rPr>
      <t xml:space="preserve">自动焊锡机</t>
    </r>
    <r>
      <rPr>
        <sz val="9"/>
        <color rgb="FF000000"/>
        <rFont val="微软雅黑"/>
        <family val="0"/>
        <charset val="1"/>
      </rPr>
      <t xml:space="preserve">/</t>
    </r>
    <r>
      <rPr>
        <sz val="9"/>
        <color rgb="FF000000"/>
        <rFont val="DejaVu Sans"/>
        <family val="2"/>
      </rPr>
      <t xml:space="preserve">自动焊接</t>
    </r>
  </si>
  <si>
    <r>
      <rPr>
        <sz val="9"/>
        <color rgb="FF808080"/>
        <rFont val="DejaVu Sans"/>
        <family val="2"/>
      </rPr>
      <t xml:space="preserve">年</t>
    </r>
    <r>
      <rPr>
        <sz val="9"/>
        <color rgb="FF808080"/>
        <rFont val="微软雅黑"/>
        <family val="0"/>
        <charset val="1"/>
      </rPr>
      <t xml:space="preserve">5000/</t>
    </r>
    <r>
      <rPr>
        <sz val="9"/>
        <color rgb="FF808080"/>
        <rFont val="DejaVu Sans"/>
        <family val="2"/>
      </rPr>
      <t xml:space="preserve">单片</t>
    </r>
    <r>
      <rPr>
        <sz val="9"/>
        <color rgb="FF808080"/>
        <rFont val="微软雅黑"/>
        <family val="0"/>
        <charset val="1"/>
      </rPr>
      <t xml:space="preserve">0.08</t>
    </r>
  </si>
  <si>
    <r>
      <rPr>
        <sz val="9"/>
        <color rgb="FF000000"/>
        <rFont val="DejaVu Sans"/>
        <family val="2"/>
      </rPr>
      <t xml:space="preserve">自动测试</t>
    </r>
    <r>
      <rPr>
        <sz val="9"/>
        <color rgb="FF000000"/>
        <rFont val="微软雅黑"/>
        <family val="0"/>
        <charset val="1"/>
      </rPr>
      <t xml:space="preserve">/</t>
    </r>
    <r>
      <rPr>
        <sz val="9"/>
        <color rgb="FF000000"/>
        <rFont val="DejaVu Sans"/>
        <family val="2"/>
      </rPr>
      <t xml:space="preserve">自动测试</t>
    </r>
  </si>
  <si>
    <r>
      <rPr>
        <sz val="9"/>
        <color rgb="FF808080"/>
        <rFont val="DejaVu Sans"/>
        <family val="2"/>
      </rPr>
      <t xml:space="preserve">年</t>
    </r>
    <r>
      <rPr>
        <sz val="9"/>
        <color rgb="FF808080"/>
        <rFont val="微软雅黑"/>
        <family val="0"/>
        <charset val="1"/>
      </rPr>
      <t xml:space="preserve">0/</t>
    </r>
    <r>
      <rPr>
        <sz val="9"/>
        <color rgb="FF808080"/>
        <rFont val="DejaVu Sans"/>
        <family val="2"/>
      </rPr>
      <t xml:space="preserve">单片</t>
    </r>
    <r>
      <rPr>
        <sz val="9"/>
        <color rgb="FF808080"/>
        <rFont val="微软雅黑"/>
        <family val="0"/>
        <charset val="1"/>
      </rPr>
      <t xml:space="preserve">0</t>
    </r>
  </si>
  <si>
    <r>
      <rPr>
        <sz val="9"/>
        <color rgb="FF808080"/>
        <rFont val="DejaVu Sans"/>
        <family val="2"/>
      </rPr>
      <t xml:space="preserve">年</t>
    </r>
    <r>
      <rPr>
        <sz val="9"/>
        <color rgb="FF808080"/>
        <rFont val="微软雅黑"/>
        <family val="0"/>
        <charset val="1"/>
      </rPr>
      <t xml:space="preserve">5000/</t>
    </r>
    <r>
      <rPr>
        <sz val="9"/>
        <color rgb="FF808080"/>
        <rFont val="DejaVu Sans"/>
        <family val="2"/>
      </rPr>
      <t xml:space="preserve">单片</t>
    </r>
    <r>
      <rPr>
        <sz val="9"/>
        <color rgb="FF808080"/>
        <rFont val="微软雅黑"/>
        <family val="0"/>
        <charset val="1"/>
      </rPr>
      <t xml:space="preserve">0.5</t>
    </r>
  </si>
  <si>
    <r>
      <rPr>
        <sz val="9"/>
        <color rgb="FF000000"/>
        <rFont val="DejaVu Sans"/>
        <family val="2"/>
      </rPr>
      <t xml:space="preserve">单面喷漆</t>
    </r>
    <r>
      <rPr>
        <sz val="9"/>
        <color rgb="FF000000"/>
        <rFont val="微软雅黑"/>
        <family val="0"/>
        <charset val="1"/>
      </rPr>
      <t xml:space="preserve">/</t>
    </r>
    <r>
      <rPr>
        <sz val="9"/>
        <color rgb="FF000000"/>
        <rFont val="DejaVu Sans"/>
        <family val="2"/>
      </rPr>
      <t xml:space="preserve">喷漆托盘</t>
    </r>
  </si>
  <si>
    <r>
      <rPr>
        <sz val="9"/>
        <color rgb="FF808080"/>
        <rFont val="DejaVu Sans"/>
        <family val="2"/>
      </rPr>
      <t xml:space="preserve">年</t>
    </r>
    <r>
      <rPr>
        <sz val="9"/>
        <color rgb="FF808080"/>
        <rFont val="微软雅黑"/>
        <family val="0"/>
        <charset val="1"/>
      </rPr>
      <t xml:space="preserve">5000/</t>
    </r>
    <r>
      <rPr>
        <sz val="9"/>
        <color rgb="FF808080"/>
        <rFont val="DejaVu Sans"/>
        <family val="2"/>
      </rPr>
      <t xml:space="preserve">单片</t>
    </r>
    <r>
      <rPr>
        <sz val="9"/>
        <color rgb="FF808080"/>
        <rFont val="微软雅黑"/>
        <family val="0"/>
        <charset val="1"/>
      </rPr>
      <t xml:space="preserve">0.8</t>
    </r>
  </si>
  <si>
    <r>
      <rPr>
        <sz val="9"/>
        <color rgb="FF808080"/>
        <rFont val="DejaVu Sans"/>
        <family val="2"/>
      </rPr>
      <t xml:space="preserve">年</t>
    </r>
    <r>
      <rPr>
        <sz val="9"/>
        <color rgb="FF808080"/>
        <rFont val="微软雅黑"/>
        <family val="0"/>
        <charset val="1"/>
      </rPr>
      <t xml:space="preserve">5000/</t>
    </r>
    <r>
      <rPr>
        <sz val="9"/>
        <color rgb="FF808080"/>
        <rFont val="DejaVu Sans"/>
        <family val="2"/>
      </rPr>
      <t xml:space="preserve">单片</t>
    </r>
    <r>
      <rPr>
        <sz val="9"/>
        <color rgb="FF808080"/>
        <rFont val="微软雅黑"/>
        <family val="0"/>
        <charset val="1"/>
      </rPr>
      <t xml:space="preserve">0.2333</t>
    </r>
  </si>
  <si>
    <r>
      <rPr>
        <b val="true"/>
        <sz val="11"/>
        <color rgb="FF000000"/>
        <rFont val="DejaVu Sans"/>
        <family val="2"/>
      </rPr>
      <t xml:space="preserve">工装治具合计</t>
    </r>
    <r>
      <rPr>
        <b val="true"/>
        <sz val="11"/>
        <color rgb="FF000000"/>
        <rFont val="微软雅黑"/>
        <family val="0"/>
        <charset val="1"/>
      </rPr>
      <t xml:space="preserve">(</t>
    </r>
    <r>
      <rPr>
        <b val="true"/>
        <sz val="11"/>
        <color rgb="FF000000"/>
        <rFont val="DejaVu Sans"/>
        <family val="2"/>
      </rPr>
      <t xml:space="preserve">元</t>
    </r>
    <r>
      <rPr>
        <b val="true"/>
        <sz val="11"/>
        <color rgb="FF000000"/>
        <rFont val="微软雅黑"/>
        <family val="0"/>
        <charset val="1"/>
      </rPr>
      <t xml:space="preserve">)</t>
    </r>
  </si>
  <si>
    <t xml:space="preserve">直接向客户收取 → 报价汇总「六、一次性费用」</t>
  </si>
  <si>
    <t xml:space="preserve">参数设置</t>
  </si>
  <si>
    <t xml:space="preserve">参数项</t>
  </si>
  <si>
    <t xml:space="preserve">参数值</t>
  </si>
  <si>
    <r>
      <rPr>
        <sz val="10"/>
        <color rgb="FF000000"/>
        <rFont val="DejaVu Sans"/>
        <family val="2"/>
      </rPr>
      <t xml:space="preserve">增值税率，默认</t>
    </r>
    <r>
      <rPr>
        <sz val="10"/>
        <color rgb="FF000000"/>
        <rFont val="DejaVu Sans"/>
        <family val="2"/>
        <charset val="1"/>
      </rPr>
      <t xml:space="preserve">13%</t>
    </r>
  </si>
  <si>
    <t xml:space="preserve">报价目标毛利率</t>
  </si>
  <si>
    <t xml:space="preserve">默认损耗率</t>
  </si>
  <si>
    <t xml:space="preserve">物料未填损耗率时使用</t>
  </si>
  <si>
    <t xml:space="preserve">默认分摊数量</t>
  </si>
  <si>
    <t xml:space="preserve">工装治具费用默认分摊数量</t>
  </si>
  <si>
    <t xml:space="preserve">二、包装与整托参数</t>
  </si>
  <si>
    <t xml:space="preserve">防静电气泡袋单价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</si>
  <si>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㎡</t>
    </r>
  </si>
  <si>
    <t xml:space="preserve">气泡袋单边余量</t>
  </si>
  <si>
    <t xml:space="preserve">mm</t>
  </si>
  <si>
    <t xml:space="preserve">干燥剂单价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</si>
  <si>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袋</t>
    </r>
  </si>
  <si>
    <t xml:space="preserve">湿度指示卡单价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</si>
  <si>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</si>
  <si>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DejaVu Sans"/>
        <family val="2"/>
      </rPr>
      <t xml:space="preserve">珍珠棉单价</t>
    </r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</si>
  <si>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/m³</t>
    </r>
  </si>
  <si>
    <r>
      <rPr>
        <sz val="10"/>
        <color rgb="FF000000"/>
        <rFont val="微软雅黑"/>
        <family val="2"/>
        <charset val="1"/>
      </rPr>
      <t xml:space="preserve">EPE</t>
    </r>
    <r>
      <rPr>
        <sz val="10"/>
        <color rgb="FF000000"/>
        <rFont val="DejaVu Sans"/>
        <family val="2"/>
      </rPr>
      <t xml:space="preserve">珍珠棉密度</t>
    </r>
  </si>
  <si>
    <t xml:space="preserve">kg/m³</t>
  </si>
  <si>
    <r>
      <rPr>
        <sz val="10"/>
        <color rgb="FF000000"/>
        <rFont val="DejaVu Sans"/>
        <family val="2"/>
      </rPr>
      <t xml:space="preserve">单瓦楞</t>
    </r>
    <r>
      <rPr>
        <sz val="10"/>
        <color rgb="FF000000"/>
        <rFont val="DejaVu Sans"/>
        <family val="2"/>
        <charset val="1"/>
      </rPr>
      <t xml:space="preserve">3</t>
    </r>
    <r>
      <rPr>
        <sz val="10"/>
        <color rgb="FF000000"/>
        <rFont val="DejaVu Sans"/>
        <family val="2"/>
      </rPr>
      <t xml:space="preserve">层纸板</t>
    </r>
  </si>
  <si>
    <r>
      <rPr>
        <sz val="10"/>
        <color rgb="FF000000"/>
        <rFont val="DejaVu Sans"/>
        <family val="2"/>
      </rPr>
      <t xml:space="preserve">双瓦楞</t>
    </r>
    <r>
      <rPr>
        <sz val="10"/>
        <color rgb="FF000000"/>
        <rFont val="DejaVu Sans"/>
        <family val="2"/>
        <charset val="1"/>
      </rPr>
      <t xml:space="preserve">5</t>
    </r>
    <r>
      <rPr>
        <sz val="10"/>
        <color rgb="FF000000"/>
        <rFont val="DejaVu Sans"/>
        <family val="2"/>
      </rPr>
      <t xml:space="preserve">层纸板</t>
    </r>
  </si>
  <si>
    <r>
      <rPr>
        <sz val="10"/>
        <color rgb="FF000000"/>
        <rFont val="DejaVu Sans"/>
        <family val="2"/>
      </rPr>
      <t xml:space="preserve">重型</t>
    </r>
    <r>
      <rPr>
        <sz val="10"/>
        <color rgb="FF000000"/>
        <rFont val="DejaVu Sans"/>
        <family val="2"/>
        <charset val="1"/>
      </rPr>
      <t xml:space="preserve">7</t>
    </r>
    <r>
      <rPr>
        <sz val="10"/>
        <color rgb="FF000000"/>
        <rFont val="DejaVu Sans"/>
        <family val="2"/>
      </rPr>
      <t xml:space="preserve">层纸板</t>
    </r>
  </si>
  <si>
    <t xml:space="preserve">双瓦楞纸板克重</t>
  </si>
  <si>
    <r>
      <rPr>
        <sz val="10"/>
        <color rgb="FF000000"/>
        <rFont val="微软雅黑"/>
        <family val="2"/>
        <charset val="1"/>
      </rPr>
      <t xml:space="preserve">g/</t>
    </r>
    <r>
      <rPr>
        <sz val="10"/>
        <color rgb="FF000000"/>
        <rFont val="DejaVu Sans"/>
        <family val="2"/>
      </rPr>
      <t xml:space="preserve">㎡</t>
    </r>
  </si>
  <si>
    <t xml:space="preserve">纸箱制箱加工费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</si>
  <si>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个</t>
    </r>
  </si>
  <si>
    <t xml:space="preserve">材料损耗率</t>
  </si>
  <si>
    <t xml:space="preserve">比例</t>
  </si>
  <si>
    <t xml:space="preserve">箱内装配间隙</t>
  </si>
  <si>
    <t xml:space="preserve">封箱胶带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</si>
  <si>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箱</t>
    </r>
  </si>
  <si>
    <t xml:space="preserve">托盘单价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</si>
  <si>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托</t>
    </r>
  </si>
  <si>
    <t xml:space="preserve">托盘重复使用次数</t>
  </si>
  <si>
    <t xml:space="preserve">次</t>
  </si>
  <si>
    <t xml:space="preserve">缠绕膜单价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</si>
  <si>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/kg</t>
    </r>
  </si>
  <si>
    <t xml:space="preserve">缠绕膜用量</t>
  </si>
  <si>
    <r>
      <rPr>
        <sz val="10"/>
        <color rgb="FF000000"/>
        <rFont val="微软雅黑"/>
        <family val="2"/>
        <charset val="1"/>
      </rPr>
      <t xml:space="preserve">kg/</t>
    </r>
    <r>
      <rPr>
        <sz val="10"/>
        <color rgb="FF000000"/>
        <rFont val="DejaVu Sans"/>
        <family val="2"/>
      </rPr>
      <t xml:space="preserve">托</t>
    </r>
  </si>
  <si>
    <t xml:space="preserve">护角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</si>
  <si>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套</t>
    </r>
  </si>
  <si>
    <t xml:space="preserve">打包带</t>
  </si>
  <si>
    <t xml:space="preserve">托盘有效面积</t>
  </si>
  <si>
    <t xml:space="preserve">㎡</t>
  </si>
  <si>
    <t xml:space="preserve">每托层数</t>
  </si>
  <si>
    <t xml:space="preserve">层</t>
  </si>
  <si>
    <t xml:space="preserve">三、物流参数</t>
  </si>
  <si>
    <t xml:space="preserve">体积重系数</t>
  </si>
  <si>
    <r>
      <rPr>
        <i val="true"/>
        <sz val="10"/>
        <color rgb="FF808080"/>
        <rFont val="DejaVu Sans"/>
        <family val="2"/>
      </rPr>
      <t xml:space="preserve">㎝³</t>
    </r>
    <r>
      <rPr>
        <i val="true"/>
        <sz val="10"/>
        <color rgb="FF808080"/>
        <rFont val="DejaVu Sans"/>
        <family val="2"/>
        <charset val="1"/>
      </rPr>
      <t xml:space="preserve">/kg</t>
    </r>
  </si>
  <si>
    <t xml:space="preserve">保费费率</t>
  </si>
  <si>
    <r>
      <rPr>
        <i val="true"/>
        <sz val="10"/>
        <color rgb="FF808080"/>
        <rFont val="DejaVu Sans"/>
        <family val="2"/>
      </rPr>
      <t xml:space="preserve">‰即</t>
    </r>
    <r>
      <rPr>
        <i val="true"/>
        <sz val="10"/>
        <color rgb="FF808080"/>
        <rFont val="DejaVu Sans"/>
        <family val="2"/>
        <charset val="1"/>
      </rPr>
      <t xml:space="preserve">0.4%</t>
    </r>
  </si>
  <si>
    <t xml:space="preserve">保费最低收费</t>
  </si>
  <si>
    <r>
      <rPr>
        <i val="true"/>
        <sz val="10"/>
        <color rgb="FF808080"/>
        <rFont val="DejaVu Sans"/>
        <family val="2"/>
      </rPr>
      <t xml:space="preserve">元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票</t>
    </r>
  </si>
  <si>
    <t xml:space="preserve">是否计保费</t>
  </si>
  <si>
    <r>
      <rPr>
        <i val="true"/>
        <sz val="10"/>
        <color rgb="FF808080"/>
        <rFont val="DejaVu Sans"/>
        <family val="2"/>
      </rPr>
      <t xml:space="preserve">是</t>
    </r>
    <r>
      <rPr>
        <i val="true"/>
        <sz val="10"/>
        <color rgb="FF808080"/>
        <rFont val="DejaVu Sans"/>
        <family val="2"/>
        <charset val="1"/>
      </rPr>
      <t xml:space="preserve">/</t>
    </r>
    <r>
      <rPr>
        <i val="true"/>
        <sz val="10"/>
        <color rgb="FF808080"/>
        <rFont val="DejaVu Sans"/>
        <family val="2"/>
      </rPr>
      <t xml:space="preserve">否</t>
    </r>
  </si>
  <si>
    <r>
      <rPr>
        <b val="true"/>
        <sz val="10"/>
        <color rgb="FFFFFFFF"/>
        <rFont val="DejaVu Sans"/>
        <family val="2"/>
      </rPr>
      <t xml:space="preserve">四、包装方案参数（小板</t>
    </r>
    <r>
      <rPr>
        <b val="true"/>
        <sz val="10"/>
        <color rgb="FFFFFFFF"/>
        <rFont val="DejaVu Sans"/>
        <family val="2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大板）</t>
    </r>
  </si>
  <si>
    <t xml:space="preserve">防静电气泡袋克重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</si>
  <si>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DejaVu Sans"/>
        <family val="2"/>
      </rPr>
      <t xml:space="preserve">㎡</t>
    </r>
  </si>
  <si>
    <t xml:space="preserve">气泡袋面密度</t>
  </si>
  <si>
    <t xml:space="preserve">隔板单价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</si>
  <si>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</si>
  <si>
    <t xml:space="preserve">小板每件隔板</t>
  </si>
  <si>
    <t xml:space="preserve">隔板克重</t>
  </si>
  <si>
    <r>
      <rPr>
        <sz val="10"/>
        <color rgb="FF000000"/>
        <rFont val="微软雅黑"/>
        <family val="0"/>
        <charset val="1"/>
      </rPr>
      <t xml:space="preserve">g/</t>
    </r>
    <r>
      <rPr>
        <sz val="10"/>
        <color rgb="FF000000"/>
        <rFont val="DejaVu Sans"/>
        <family val="2"/>
      </rPr>
      <t xml:space="preserve">件</t>
    </r>
  </si>
  <si>
    <t xml:space="preserve">小板隔板重量</t>
  </si>
  <si>
    <t xml:space="preserve">默认装配工时费</t>
  </si>
  <si>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小时</t>
    </r>
  </si>
  <si>
    <t xml:space="preserve">首页可按项目覆盖</t>
  </si>
  <si>
    <t xml:space="preserve">五、商空大功率项目专用参数</t>
  </si>
  <si>
    <r>
      <rPr>
        <sz val="10"/>
        <color rgb="FF000000"/>
        <rFont val="DejaVu Sans"/>
        <family val="2"/>
      </rPr>
      <t xml:space="preserve">散热器单价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未税</t>
    </r>
    <r>
      <rPr>
        <sz val="10"/>
        <color rgb="FF000000"/>
        <rFont val="微软雅黑"/>
        <family val="0"/>
        <charset val="1"/>
      </rPr>
      <t xml:space="preserve">,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</si>
  <si>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成本差异率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制造损耗缓冲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</si>
  <si>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运费费率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跨越不覆盖时备用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</si>
  <si>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成本内利润加成率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商空默认</t>
    </r>
    <r>
      <rPr>
        <sz val="10"/>
        <color rgb="FF000000"/>
        <rFont val="微软雅黑"/>
        <family val="0"/>
        <charset val="1"/>
      </rPr>
      <t xml:space="preserve">0)</t>
    </r>
  </si>
  <si>
    <r>
      <rPr>
        <sz val="10"/>
        <color rgb="FF000000"/>
        <rFont val="微软雅黑"/>
        <family val="0"/>
        <charset val="1"/>
      </rPr>
      <t xml:space="preserve">EPS</t>
    </r>
    <r>
      <rPr>
        <sz val="10"/>
        <color rgb="FF000000"/>
        <rFont val="DejaVu Sans"/>
        <family val="2"/>
      </rPr>
      <t xml:space="preserve">泡沫模具费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一次性</t>
    </r>
    <r>
      <rPr>
        <sz val="10"/>
        <color rgb="FF000000"/>
        <rFont val="微软雅黑"/>
        <family val="0"/>
        <charset val="1"/>
      </rPr>
      <t xml:space="preserve">,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</si>
  <si>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工装治具费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一次性</t>
    </r>
    <r>
      <rPr>
        <sz val="10"/>
        <color rgb="FF000000"/>
        <rFont val="微软雅黑"/>
        <family val="0"/>
        <charset val="1"/>
      </rPr>
      <t xml:space="preserve">,</t>
    </r>
    <r>
      <rPr>
        <sz val="10"/>
        <color rgb="FF000000"/>
        <rFont val="DejaVu Sans"/>
        <family val="2"/>
      </rPr>
      <t xml:space="preserve">直接收取</t>
    </r>
    <r>
      <rPr>
        <sz val="10"/>
        <color rgb="FF000000"/>
        <rFont val="微软雅黑"/>
        <family val="0"/>
        <charset val="1"/>
      </rPr>
      <t xml:space="preserve">,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</si>
  <si>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客供料合计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参考</t>
    </r>
    <r>
      <rPr>
        <sz val="10"/>
        <color rgb="FF000000"/>
        <rFont val="微软雅黑"/>
        <family val="0"/>
        <charset val="1"/>
      </rPr>
      <t xml:space="preserve">,</t>
    </r>
    <r>
      <rPr>
        <sz val="10"/>
        <color rgb="FF000000"/>
        <rFont val="DejaVu Sans"/>
        <family val="2"/>
      </rPr>
      <t xml:space="preserve">不计入成本</t>
    </r>
    <r>
      <rPr>
        <sz val="10"/>
        <color rgb="FF000000"/>
        <rFont val="微软雅黑"/>
        <family val="0"/>
        <charset val="1"/>
      </rPr>
      <t xml:space="preserve">,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)</t>
    </r>
  </si>
  <si>
    <t xml:space="preserve">包装费计算（自动，按包装方案清单）</t>
  </si>
  <si>
    <t xml:space="preserve">一、输入（自动取自报价汇总）</t>
  </si>
  <si>
    <r>
      <rPr>
        <sz val="10"/>
        <color rgb="FF000000"/>
        <rFont val="DejaVu Sans"/>
        <family val="2"/>
      </rPr>
      <t xml:space="preserve">成品长</t>
    </r>
    <r>
      <rPr>
        <sz val="10"/>
        <color rgb="FF000000"/>
        <rFont val="DejaVu Sans"/>
        <family val="2"/>
        <charset val="1"/>
      </rPr>
      <t xml:space="preserve">(mm)</t>
    </r>
  </si>
  <si>
    <t xml:space="preserve">是否含整托</t>
  </si>
  <si>
    <r>
      <rPr>
        <sz val="10"/>
        <color rgb="FF000000"/>
        <rFont val="DejaVu Sans"/>
        <family val="2"/>
      </rPr>
      <t xml:space="preserve">包装方案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自动</t>
    </r>
    <r>
      <rPr>
        <sz val="10"/>
        <color rgb="FF000000"/>
        <rFont val="DejaVu Sans"/>
        <family val="2"/>
        <charset val="1"/>
      </rPr>
      <t xml:space="preserve">)</t>
    </r>
  </si>
  <si>
    <t xml:space="preserve">二、包装几何（自动）</t>
  </si>
  <si>
    <r>
      <rPr>
        <sz val="10"/>
        <color rgb="FF000000"/>
        <rFont val="DejaVu Sans"/>
        <family val="2"/>
      </rPr>
      <t xml:space="preserve">成品最大边长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</si>
  <si>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缓冲厚度</t>
    </r>
    <r>
      <rPr>
        <sz val="10"/>
        <color rgb="FF000000"/>
        <rFont val="DejaVu Sans"/>
        <family val="2"/>
        <charset val="1"/>
      </rPr>
      <t xml:space="preserve">t(mm)</t>
    </r>
  </si>
  <si>
    <r>
      <rPr>
        <sz val="10"/>
        <color rgb="FF000000"/>
        <rFont val="DejaVu Sans"/>
        <family val="2"/>
      </rPr>
      <t xml:space="preserve">箱内长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</si>
  <si>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箱内宽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</si>
  <si>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箱内高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</si>
  <si>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单箱体积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㎝³</t>
    </r>
    <r>
      <rPr>
        <sz val="10"/>
        <color rgb="FF000000"/>
        <rFont val="DejaVu Sans"/>
        <family val="2"/>
        <charset val="1"/>
      </rPr>
      <t xml:space="preserve">)</t>
    </r>
  </si>
  <si>
    <t xml:space="preserve">三、内包装材料费（单件）</t>
  </si>
  <si>
    <r>
      <rPr>
        <sz val="10"/>
        <color rgb="FF000000"/>
        <rFont val="DejaVu Sans"/>
        <family val="2"/>
      </rPr>
      <t xml:space="preserve">气泡袋长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</si>
  <si>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气泡袋宽</t>
    </r>
    <r>
      <rPr>
        <sz val="10"/>
        <color rgb="FF000000"/>
        <rFont val="DejaVu Sans"/>
        <family val="2"/>
        <charset val="1"/>
      </rPr>
      <t xml:space="preserve">(mm)</t>
    </r>
  </si>
  <si>
    <r>
      <rPr>
        <sz val="10"/>
        <color rgb="FF000000"/>
        <rFont val="DejaVu Sans"/>
        <family val="2"/>
      </rPr>
      <t xml:space="preserve">气泡袋面积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</si>
  <si>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气泡袋费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</si>
  <si>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隔板费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</si>
  <si>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体积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垫片</t>
    </r>
    <r>
      <rPr>
        <sz val="10"/>
        <color rgb="FF000000"/>
        <rFont val="微软雅黑"/>
        <family val="0"/>
        <charset val="1"/>
      </rPr>
      <t xml:space="preserve">+</t>
    </r>
    <r>
      <rPr>
        <sz val="10"/>
        <color rgb="FF000000"/>
        <rFont val="DejaVu Sans"/>
        <family val="2"/>
      </rPr>
      <t xml:space="preserve">护角</t>
    </r>
    <r>
      <rPr>
        <sz val="10"/>
        <color rgb="FF000000"/>
        <rFont val="微软雅黑"/>
        <family val="0"/>
        <charset val="1"/>
      </rPr>
      <t xml:space="preserve">,</t>
    </r>
    <r>
      <rPr>
        <sz val="10"/>
        <color rgb="FF000000"/>
        <rFont val="DejaVu Sans"/>
        <family val="2"/>
      </rPr>
      <t xml:space="preserve">㎥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</si>
  <si>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费</t>
    </r>
    <r>
      <rPr>
        <sz val="10"/>
        <color rgb="FF000000"/>
        <rFont val="微软雅黑"/>
        <family val="0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微软雅黑"/>
        <family val="0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微软雅黑"/>
        <family val="0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</si>
  <si>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内包材料费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</si>
  <si>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纸箱用纸面积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DejaVu Sans"/>
        <family val="2"/>
        <charset val="1"/>
      </rPr>
      <t xml:space="preserve">)</t>
    </r>
  </si>
  <si>
    <t xml:space="preserve">瓦楞类型</t>
  </si>
  <si>
    <r>
      <rPr>
        <sz val="10"/>
        <color rgb="FF000000"/>
        <rFont val="DejaVu Sans"/>
        <family val="2"/>
      </rPr>
      <t xml:space="preserve">纸板单价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</si>
  <si>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纸箱费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箱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</si>
  <si>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纸箱费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</si>
  <si>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辅料费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</si>
  <si>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内包装单件费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)</t>
    </r>
  </si>
  <si>
    <t xml:space="preserve">四、整托分摊（可选，勾选含整托生效）</t>
  </si>
  <si>
    <r>
      <rPr>
        <sz val="10"/>
        <color rgb="FF000000"/>
        <rFont val="DejaVu Sans"/>
        <family val="2"/>
      </rPr>
      <t xml:space="preserve">每箱占地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㎡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</si>
  <si>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每托件数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</si>
  <si>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每托包装费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托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</si>
  <si>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整托分摊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</si>
  <si>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包装增重</t>
    </r>
    <r>
      <rPr>
        <sz val="10"/>
        <color rgb="FF000000"/>
        <rFont val="DejaVu Sans"/>
        <family val="2"/>
        <charset val="1"/>
      </rPr>
      <t xml:space="preserve">(kg/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</si>
  <si>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b val="true"/>
        <sz val="10"/>
        <color rgb="FF000000"/>
        <rFont val="DejaVu Sans"/>
        <family val="2"/>
      </rPr>
      <t xml:space="preserve">包装费合计</t>
    </r>
    <r>
      <rPr>
        <b val="true"/>
        <sz val="10"/>
        <color rgb="FF000000"/>
        <rFont val="DejaVu Sans"/>
        <family val="2"/>
        <charset val="1"/>
      </rPr>
      <t xml:space="preserve">(</t>
    </r>
    <r>
      <rPr>
        <b val="true"/>
        <sz val="10"/>
        <color rgb="FF000000"/>
        <rFont val="DejaVu Sans"/>
        <family val="2"/>
      </rPr>
      <t xml:space="preserve">元</t>
    </r>
    <r>
      <rPr>
        <b val="true"/>
        <sz val="10"/>
        <color rgb="FF000000"/>
        <rFont val="DejaVu Sans"/>
        <family val="2"/>
        <charset val="1"/>
      </rPr>
      <t xml:space="preserve">/</t>
    </r>
    <r>
      <rPr>
        <b val="true"/>
        <sz val="10"/>
        <color rgb="FF000000"/>
        <rFont val="DejaVu Sans"/>
        <family val="2"/>
      </rPr>
      <t xml:space="preserve">件</t>
    </r>
    <r>
      <rPr>
        <b val="true"/>
        <sz val="10"/>
        <color rgb="FF000000"/>
        <rFont val="DejaVu Sans"/>
        <family val="2"/>
        <charset val="1"/>
      </rPr>
      <t xml:space="preserve">)</t>
    </r>
  </si>
  <si>
    <r>
      <rPr>
        <b val="true"/>
        <sz val="10"/>
        <color rgb="FFFFFFFF"/>
        <rFont val="DejaVu Sans"/>
        <family val="2"/>
      </rPr>
      <t xml:space="preserve">五、包装方案清单对照（√</t>
    </r>
    <r>
      <rPr>
        <b val="true"/>
        <sz val="10"/>
        <color rgb="FFFFFFFF"/>
        <rFont val="DejaVu Sans"/>
        <family val="2"/>
        <charset val="1"/>
      </rPr>
      <t xml:space="preserve">=</t>
    </r>
    <r>
      <rPr>
        <b val="true"/>
        <sz val="10"/>
        <color rgb="FFFFFFFF"/>
        <rFont val="DejaVu Sans"/>
        <family val="2"/>
      </rPr>
      <t xml:space="preserve">该方案包含）</t>
    </r>
  </si>
  <si>
    <t xml:space="preserve">包装物料</t>
  </si>
  <si>
    <r>
      <rPr>
        <b val="true"/>
        <sz val="10"/>
        <color rgb="FFFFFFFF"/>
        <rFont val="DejaVu Sans"/>
        <family val="2"/>
      </rPr>
      <t xml:space="preserve">单价</t>
    </r>
    <r>
      <rPr>
        <b val="true"/>
        <sz val="10"/>
        <color rgb="FFFFFFFF"/>
        <rFont val="DejaVu Sans"/>
        <family val="2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元</t>
    </r>
    <r>
      <rPr>
        <b val="true"/>
        <sz val="10"/>
        <color rgb="FFFFFFFF"/>
        <rFont val="DejaVu Sans"/>
        <family val="2"/>
        <charset val="1"/>
      </rPr>
      <t xml:space="preserve">)</t>
    </r>
  </si>
  <si>
    <t xml:space="preserve">小板</t>
  </si>
  <si>
    <t xml:space="preserve">大板</t>
  </si>
  <si>
    <t xml:space="preserve">防静电气泡袋</t>
  </si>
  <si>
    <t xml:space="preserve">√</t>
  </si>
  <si>
    <t xml:space="preserve">—</t>
  </si>
  <si>
    <t xml:space="preserve">隔板</t>
  </si>
  <si>
    <r>
      <rPr>
        <sz val="10"/>
        <color rgb="FF000000"/>
        <rFont val="微软雅黑"/>
        <family val="0"/>
        <charset val="1"/>
      </rPr>
      <t xml:space="preserve">EPE</t>
    </r>
    <r>
      <rPr>
        <sz val="10"/>
        <color rgb="FF000000"/>
        <rFont val="DejaVu Sans"/>
        <family val="2"/>
      </rPr>
      <t xml:space="preserve">珍珠棉</t>
    </r>
  </si>
  <si>
    <t xml:space="preserve">纸箱</t>
  </si>
  <si>
    <r>
      <rPr>
        <sz val="10"/>
        <color rgb="FF000000"/>
        <rFont val="DejaVu Sans"/>
        <family val="2"/>
      </rPr>
      <t xml:space="preserve">按面积</t>
    </r>
    <r>
      <rPr>
        <sz val="10"/>
        <color rgb="FF000000"/>
        <rFont val="DejaVu Sans"/>
        <family val="2"/>
        <charset val="1"/>
      </rPr>
      <t xml:space="preserve">×</t>
    </r>
    <r>
      <rPr>
        <sz val="10"/>
        <color rgb="FF000000"/>
        <rFont val="DejaVu Sans"/>
        <family val="2"/>
      </rPr>
      <t xml:space="preserve">瓦楞</t>
    </r>
  </si>
  <si>
    <t xml:space="preserve">托盘</t>
  </si>
  <si>
    <t xml:space="preserve">缠绕膜</t>
  </si>
  <si>
    <r>
      <rPr>
        <sz val="10"/>
        <color rgb="FF000000"/>
        <rFont val="DejaVu Sans"/>
        <family val="2"/>
      </rPr>
      <t xml:space="preserve">口径：气泡袋按袋面积</t>
    </r>
    <r>
      <rPr>
        <sz val="10"/>
        <color rgb="FF000000"/>
        <rFont val="DejaVu Sans"/>
        <family val="2"/>
        <charset val="1"/>
      </rPr>
      <t xml:space="preserve">×</t>
    </r>
    <r>
      <rPr>
        <sz val="10"/>
        <color rgb="FF000000"/>
        <rFont val="DejaVu Sans"/>
        <family val="2"/>
      </rPr>
      <t xml:space="preserve">单价；隔板</t>
    </r>
    <r>
      <rPr>
        <sz val="10"/>
        <color rgb="FF000000"/>
        <rFont val="DejaVu Sans"/>
        <family val="2"/>
        <charset val="1"/>
      </rPr>
      <t xml:space="preserve">=(N-1)/N×</t>
    </r>
    <r>
      <rPr>
        <sz val="10"/>
        <color rgb="FF000000"/>
        <rFont val="DejaVu Sans"/>
        <family val="2"/>
      </rPr>
      <t xml:space="preserve">单价；大板</t>
    </r>
    <r>
      <rPr>
        <sz val="10"/>
        <color rgb="FF000000"/>
        <rFont val="DejaVu Sans"/>
        <family val="2"/>
        <charset val="1"/>
      </rPr>
      <t xml:space="preserve">EPE=</t>
    </r>
    <r>
      <rPr>
        <sz val="10"/>
        <color rgb="FF000000"/>
        <rFont val="DejaVu Sans"/>
        <family val="2"/>
      </rPr>
      <t xml:space="preserve">上下垫片</t>
    </r>
    <r>
      <rPr>
        <sz val="10"/>
        <color rgb="FF000000"/>
        <rFont val="DejaVu Sans"/>
        <family val="2"/>
        <charset val="1"/>
      </rPr>
      <t xml:space="preserve">(2×</t>
    </r>
    <r>
      <rPr>
        <sz val="10"/>
        <color rgb="FF000000"/>
        <rFont val="DejaVu Sans"/>
        <family val="2"/>
      </rPr>
      <t xml:space="preserve">长</t>
    </r>
    <r>
      <rPr>
        <sz val="10"/>
        <color rgb="FF000000"/>
        <rFont val="DejaVu Sans"/>
        <family val="2"/>
        <charset val="1"/>
      </rPr>
      <t xml:space="preserve">×</t>
    </r>
    <r>
      <rPr>
        <sz val="10"/>
        <color rgb="FF000000"/>
        <rFont val="DejaVu Sans"/>
        <family val="2"/>
      </rPr>
      <t xml:space="preserve">宽</t>
    </r>
    <r>
      <rPr>
        <sz val="10"/>
        <color rgb="FF000000"/>
        <rFont val="DejaVu Sans"/>
        <family val="2"/>
        <charset val="1"/>
      </rPr>
      <t xml:space="preserve">×t)+</t>
    </r>
    <r>
      <rPr>
        <sz val="10"/>
        <color rgb="FF000000"/>
        <rFont val="DejaVu Sans"/>
        <family val="2"/>
      </rPr>
      <t xml:space="preserve">四角护角</t>
    </r>
    <r>
      <rPr>
        <sz val="10"/>
        <color rgb="FF000000"/>
        <rFont val="DejaVu Sans"/>
        <family val="2"/>
        <charset val="1"/>
      </rPr>
      <t xml:space="preserve">(4×t×t×</t>
    </r>
    <r>
      <rPr>
        <sz val="10"/>
        <color rgb="FF000000"/>
        <rFont val="DejaVu Sans"/>
        <family val="2"/>
      </rPr>
      <t xml:space="preserve">高</t>
    </r>
    <r>
      <rPr>
        <sz val="10"/>
        <color rgb="FF000000"/>
        <rFont val="DejaVu Sans"/>
        <family val="2"/>
        <charset val="1"/>
      </rPr>
      <t xml:space="preserve">)</t>
    </r>
    <r>
      <rPr>
        <sz val="10"/>
        <color rgb="FF000000"/>
        <rFont val="DejaVu Sans"/>
        <family val="2"/>
      </rPr>
      <t xml:space="preserve">体积</t>
    </r>
    <r>
      <rPr>
        <sz val="10"/>
        <color rgb="FF000000"/>
        <rFont val="DejaVu Sans"/>
        <family val="2"/>
        <charset val="1"/>
      </rPr>
      <t xml:space="preserve">×</t>
    </r>
    <r>
      <rPr>
        <sz val="10"/>
        <color rgb="FF000000"/>
        <rFont val="DejaVu Sans"/>
        <family val="2"/>
      </rPr>
      <t xml:space="preserve">单价；纸箱按面积</t>
    </r>
    <r>
      <rPr>
        <sz val="10"/>
        <color rgb="FF000000"/>
        <rFont val="DejaVu Sans"/>
        <family val="2"/>
        <charset val="1"/>
      </rPr>
      <t xml:space="preserve">×</t>
    </r>
    <r>
      <rPr>
        <sz val="10"/>
        <color rgb="FF000000"/>
        <rFont val="DejaVu Sans"/>
        <family val="2"/>
      </rPr>
      <t xml:space="preserve">单价</t>
    </r>
    <r>
      <rPr>
        <sz val="10"/>
        <color rgb="FF000000"/>
        <rFont val="DejaVu Sans"/>
        <family val="2"/>
        <charset val="1"/>
      </rPr>
      <t xml:space="preserve">÷N</t>
    </r>
    <r>
      <rPr>
        <sz val="10"/>
        <color rgb="FF000000"/>
        <rFont val="DejaVu Sans"/>
        <family val="2"/>
      </rPr>
      <t xml:space="preserve">；护角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托盘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缠绕膜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打包带按整托费用</t>
    </r>
    <r>
      <rPr>
        <sz val="10"/>
        <color rgb="FF000000"/>
        <rFont val="DejaVu Sans"/>
        <family val="2"/>
        <charset val="1"/>
      </rPr>
      <t xml:space="preserve">÷</t>
    </r>
    <r>
      <rPr>
        <sz val="10"/>
        <color rgb="FF000000"/>
        <rFont val="DejaVu Sans"/>
        <family val="2"/>
      </rPr>
      <t xml:space="preserve">每托件数。</t>
    </r>
  </si>
  <si>
    <r>
      <rPr>
        <b val="true"/>
        <sz val="10"/>
        <color rgb="FFFFFFFF"/>
        <rFont val="DejaVu Sans"/>
        <family val="2"/>
      </rPr>
      <t xml:space="preserve">六、成品最大边长档位表（自动匹配缓冲厚度</t>
    </r>
    <r>
      <rPr>
        <b val="true"/>
        <sz val="10"/>
        <color rgb="FFFFFFFF"/>
        <rFont val="DejaVu Sans"/>
        <family val="2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瓦楞）</t>
    </r>
  </si>
  <si>
    <r>
      <rPr>
        <b val="true"/>
        <sz val="10"/>
        <color rgb="FFFFFFFF"/>
        <rFont val="DejaVu Sans"/>
        <family val="2"/>
      </rPr>
      <t xml:space="preserve">下限</t>
    </r>
    <r>
      <rPr>
        <b val="true"/>
        <sz val="10"/>
        <color rgb="FFFFFFFF"/>
        <rFont val="DejaVu Sans"/>
        <family val="2"/>
        <charset val="1"/>
      </rPr>
      <t xml:space="preserve">mm</t>
    </r>
  </si>
  <si>
    <r>
      <rPr>
        <b val="true"/>
        <sz val="10"/>
        <color rgb="FFFFFFFF"/>
        <rFont val="DejaVu Sans"/>
        <family val="2"/>
      </rPr>
      <t xml:space="preserve">上限</t>
    </r>
    <r>
      <rPr>
        <b val="true"/>
        <sz val="10"/>
        <color rgb="FFFFFFFF"/>
        <rFont val="DejaVu Sans"/>
        <family val="2"/>
        <charset val="1"/>
      </rPr>
      <t xml:space="preserve">mm</t>
    </r>
  </si>
  <si>
    <r>
      <rPr>
        <b val="true"/>
        <sz val="10"/>
        <color rgb="FFFFFFFF"/>
        <rFont val="DejaVu Sans"/>
        <family val="2"/>
      </rPr>
      <t xml:space="preserve">缓冲厚度</t>
    </r>
    <r>
      <rPr>
        <b val="true"/>
        <sz val="10"/>
        <color rgb="FFFFFFFF"/>
        <rFont val="DejaVu Sans"/>
        <family val="2"/>
        <charset val="1"/>
      </rPr>
      <t xml:space="preserve">mm</t>
    </r>
  </si>
  <si>
    <t xml:space="preserve">瓦楞</t>
  </si>
  <si>
    <r>
      <rPr>
        <sz val="10"/>
        <color rgb="FF000000"/>
        <rFont val="DejaVu Sans"/>
        <family val="2"/>
      </rPr>
      <t xml:space="preserve">单瓦楞</t>
    </r>
    <r>
      <rPr>
        <sz val="10"/>
        <color rgb="FF000000"/>
        <rFont val="DejaVu Sans"/>
        <family val="2"/>
        <charset val="1"/>
      </rPr>
      <t xml:space="preserve">3</t>
    </r>
    <r>
      <rPr>
        <sz val="10"/>
        <color rgb="FF000000"/>
        <rFont val="DejaVu Sans"/>
        <family val="2"/>
      </rPr>
      <t xml:space="preserve">层</t>
    </r>
  </si>
  <si>
    <r>
      <rPr>
        <sz val="10"/>
        <color rgb="FF000000"/>
        <rFont val="DejaVu Sans"/>
        <family val="2"/>
      </rPr>
      <t xml:space="preserve">双瓦楞</t>
    </r>
    <r>
      <rPr>
        <sz val="10"/>
        <color rgb="FF000000"/>
        <rFont val="DejaVu Sans"/>
        <family val="2"/>
        <charset val="1"/>
      </rPr>
      <t xml:space="preserve">5</t>
    </r>
    <r>
      <rPr>
        <sz val="10"/>
        <color rgb="FF000000"/>
        <rFont val="DejaVu Sans"/>
        <family val="2"/>
      </rPr>
      <t xml:space="preserve">层</t>
    </r>
  </si>
  <si>
    <r>
      <rPr>
        <sz val="10"/>
        <color rgb="FF000000"/>
        <rFont val="DejaVu Sans"/>
        <family val="2"/>
      </rPr>
      <t xml:space="preserve">重型</t>
    </r>
    <r>
      <rPr>
        <sz val="10"/>
        <color rgb="FF000000"/>
        <rFont val="DejaVu Sans"/>
        <family val="2"/>
        <charset val="1"/>
      </rPr>
      <t xml:space="preserve">7</t>
    </r>
    <r>
      <rPr>
        <sz val="10"/>
        <color rgb="FF000000"/>
        <rFont val="DejaVu Sans"/>
        <family val="2"/>
      </rPr>
      <t xml:space="preserve">层</t>
    </r>
  </si>
  <si>
    <t xml:space="preserve">七、瓦楞单价映射</t>
  </si>
  <si>
    <r>
      <rPr>
        <b val="true"/>
        <sz val="10"/>
        <color rgb="FFFFFFFF"/>
        <rFont val="DejaVu Sans"/>
        <family val="2"/>
      </rPr>
      <t xml:space="preserve">纸板单价</t>
    </r>
    <r>
      <rPr>
        <b val="true"/>
        <sz val="10"/>
        <color rgb="FFFFFFFF"/>
        <rFont val="DejaVu Sans"/>
        <family val="2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元</t>
    </r>
    <r>
      <rPr>
        <b val="true"/>
        <sz val="10"/>
        <color rgb="FFFFFFFF"/>
        <rFont val="DejaVu Sans"/>
        <family val="2"/>
        <charset val="1"/>
      </rPr>
      <t xml:space="preserve">/</t>
    </r>
    <r>
      <rPr>
        <b val="true"/>
        <sz val="10"/>
        <color rgb="FFFFFFFF"/>
        <rFont val="DejaVu Sans"/>
        <family val="2"/>
      </rPr>
      <t xml:space="preserve">㎡</t>
    </r>
    <r>
      <rPr>
        <b val="true"/>
        <sz val="10"/>
        <color rgb="FFFFFFFF"/>
        <rFont val="DejaVu Sans"/>
        <family val="2"/>
        <charset val="1"/>
      </rPr>
      <t xml:space="preserve">)</t>
    </r>
  </si>
  <si>
    <r>
      <rPr>
        <b val="true"/>
        <sz val="12"/>
        <color rgb="FFFFFFFF"/>
        <rFont val="DejaVu Sans"/>
        <family val="2"/>
      </rPr>
      <t xml:space="preserve">跨越</t>
    </r>
    <r>
      <rPr>
        <b val="true"/>
        <sz val="12"/>
        <color rgb="FFFFFFFF"/>
        <rFont val="DejaVu Sans"/>
        <family val="2"/>
        <charset val="1"/>
      </rPr>
      <t xml:space="preserve">VIP</t>
    </r>
    <r>
      <rPr>
        <b val="true"/>
        <sz val="12"/>
        <color rgb="FFFFFFFF"/>
        <rFont val="DejaVu Sans"/>
        <family val="2"/>
      </rPr>
      <t xml:space="preserve">运费费率（源自青岛国创</t>
    </r>
    <r>
      <rPr>
        <b val="true"/>
        <sz val="12"/>
        <color rgb="FFFFFFFF"/>
        <rFont val="DejaVu Sans"/>
        <family val="2"/>
        <charset val="1"/>
      </rPr>
      <t xml:space="preserve">VIP</t>
    </r>
    <r>
      <rPr>
        <b val="true"/>
        <sz val="12"/>
        <color rgb="FFFFFFFF"/>
        <rFont val="DejaVu Sans"/>
        <family val="2"/>
      </rPr>
      <t xml:space="preserve">报价表，可按需改价）</t>
    </r>
  </si>
  <si>
    <t xml:space="preserve">产品</t>
  </si>
  <si>
    <t xml:space="preserve">目的省份</t>
  </si>
  <si>
    <t xml:space="preserve">首重重量</t>
  </si>
  <si>
    <t xml:space="preserve">首重价格</t>
  </si>
  <si>
    <t xml:space="preserve">起重</t>
  </si>
  <si>
    <t xml:space="preserve">最低收费</t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</si>
  <si>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1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</si>
  <si>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2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</si>
  <si>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3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</si>
  <si>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4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</si>
  <si>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</si>
  <si>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6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</si>
  <si>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7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</si>
  <si>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8</t>
    </r>
    <r>
      <rPr>
        <b val="true"/>
        <sz val="10"/>
        <color rgb="FFFFFFFF"/>
        <rFont val="DejaVu Sans"/>
        <family val="2"/>
      </rPr>
      <t xml:space="preserve">单价</t>
    </r>
  </si>
  <si>
    <r>
      <rPr>
        <b val="true"/>
        <sz val="10"/>
        <color rgb="FFFFFFFF"/>
        <rFont val="DejaVu Sans"/>
        <family val="2"/>
      </rPr>
      <t xml:space="preserve">段</t>
    </r>
    <r>
      <rPr>
        <b val="true"/>
        <sz val="10"/>
        <color rgb="FFFFFFFF"/>
        <rFont val="DejaVu Sans"/>
        <family val="2"/>
        <charset val="1"/>
      </rPr>
      <t xml:space="preserve">9</t>
    </r>
    <r>
      <rPr>
        <b val="true"/>
        <sz val="10"/>
        <color rgb="FFFFFFFF"/>
        <rFont val="DejaVu Sans"/>
        <family val="2"/>
      </rPr>
      <t xml:space="preserve">单价</t>
    </r>
  </si>
  <si>
    <t xml:space="preserve">匹配键</t>
  </si>
  <si>
    <t xml:space="preserve">福建省</t>
  </si>
  <si>
    <r>
      <rPr>
        <sz val="10"/>
        <color rgb="FF000000"/>
        <rFont val="DejaVu Sans"/>
        <family val="2"/>
      </rPr>
      <t xml:space="preserve">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厦门市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</si>
  <si>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厦门市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</si>
  <si>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</si>
  <si>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</si>
  <si>
    <r>
      <rPr>
        <sz val="10"/>
        <color rgb="FF000000"/>
        <rFont val="DejaVu Sans"/>
        <family val="2"/>
      </rPr>
      <t xml:space="preserve">龙岩市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</si>
  <si>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龙岩市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</si>
  <si>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t xml:space="preserve">西藏自治区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</si>
  <si>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拉萨市</t>
    </r>
  </si>
  <si>
    <r>
      <rPr>
        <sz val="10"/>
        <color rgb="FF000000"/>
        <rFont val="DejaVu Sans"/>
        <family val="2"/>
      </rPr>
      <t xml:space="preserve">日喀则市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山南市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林芝市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昌都市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那曲市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阿里地区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</si>
  <si>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日喀则市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山南市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林芝市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昌都市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那曲市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阿里地区</t>
    </r>
  </si>
  <si>
    <t xml:space="preserve">贵州省</t>
  </si>
  <si>
    <r>
      <rPr>
        <sz val="10"/>
        <color rgb="FF000000"/>
        <rFont val="DejaVu Sans"/>
        <family val="2"/>
      </rPr>
      <t xml:space="preserve">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</si>
  <si>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</si>
  <si>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黔东南苗族侗族自治州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黔西南布依族苗族自治州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</si>
  <si>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黔东南苗族侗族自治州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黔西南布依族苗族自治州</t>
    </r>
  </si>
  <si>
    <t xml:space="preserve">广东省</t>
  </si>
  <si>
    <r>
      <rPr>
        <sz val="10"/>
        <color rgb="FF000000"/>
        <rFont val="DejaVu Sans"/>
        <family val="2"/>
      </rPr>
      <t xml:space="preserve">广州市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深圳市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珠海市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</si>
  <si>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广州市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深圳市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珠海市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东莞市</t>
    </r>
  </si>
  <si>
    <r>
      <rPr>
        <sz val="10"/>
        <color rgb="FF000000"/>
        <rFont val="DejaVu Sans"/>
        <family val="2"/>
      </rPr>
      <t xml:space="preserve">江门市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惠州市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佛山市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肇庆市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</si>
  <si>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江门市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惠州市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佛山市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肇庆市</t>
    </r>
  </si>
  <si>
    <r>
      <rPr>
        <sz val="10"/>
        <color rgb="FF000000"/>
        <rFont val="DejaVu Sans"/>
        <family val="2"/>
      </rPr>
      <t xml:space="preserve">汕尾市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揭阳市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茂名市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韶关市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梅州市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汕头市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湛江市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清远市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云浮市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潮州市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</si>
  <si>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汕尾市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揭阳市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茂名市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韶关市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梅州市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汕头市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湛江市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清远市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云浮市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潮州市</t>
    </r>
  </si>
  <si>
    <t xml:space="preserve">湖北省</t>
  </si>
  <si>
    <r>
      <rPr>
        <sz val="10"/>
        <color rgb="FF000000"/>
        <rFont val="DejaVu Sans"/>
        <family val="2"/>
      </rPr>
      <t xml:space="preserve">武汉市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</si>
  <si>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武汉市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</si>
  <si>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</si>
  <si>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</si>
  <si>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</si>
  <si>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</si>
  <si>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t xml:space="preserve">湖南省</t>
  </si>
  <si>
    <r>
      <rPr>
        <sz val="10"/>
        <color rgb="FF000000"/>
        <rFont val="DejaVu Sans"/>
        <family val="2"/>
      </rPr>
      <t xml:space="preserve">株洲市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</si>
  <si>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株洲市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</si>
  <si>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益阳市</t>
    </r>
  </si>
  <si>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湘西土家族苗族自治州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</si>
  <si>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湘西土家族苗族自治州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</si>
  <si>
    <t xml:space="preserve">重庆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</si>
  <si>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重庆市</t>
    </r>
  </si>
  <si>
    <t xml:space="preserve">四川省</t>
  </si>
  <si>
    <r>
      <rPr>
        <sz val="10"/>
        <color rgb="FF000000"/>
        <rFont val="DejaVu Sans"/>
        <family val="2"/>
      </rPr>
      <t xml:space="preserve">成都市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资阳市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眉山市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</si>
  <si>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成都市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资阳市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眉山市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</si>
  <si>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绵阳市</t>
    </r>
  </si>
  <si>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</si>
  <si>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</si>
  <si>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攀枝花市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凉山彝族自治州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甘孜藏族自治州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阿坝藏族羌族自治州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</si>
  <si>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攀枝花市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凉山彝族自治州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甘孜藏族自治州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阿坝藏族羌族自治州</t>
    </r>
  </si>
  <si>
    <t xml:space="preserve">安徽省</t>
  </si>
  <si>
    <r>
      <rPr>
        <sz val="10"/>
        <color rgb="FF000000"/>
        <rFont val="DejaVu Sans"/>
        <family val="2"/>
      </rPr>
      <t xml:space="preserve">合肥市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芜湖市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马鞍山市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</si>
  <si>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合肥市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芜湖市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马鞍山市</t>
    </r>
  </si>
  <si>
    <r>
      <rPr>
        <sz val="10"/>
        <color rgb="FF000000"/>
        <rFont val="DejaVu Sans"/>
        <family val="2"/>
      </rPr>
      <t xml:space="preserve">滁州市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蚌埠市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六安市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</si>
  <si>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滁州市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蚌埠市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六安市</t>
    </r>
  </si>
  <si>
    <r>
      <rPr>
        <sz val="10"/>
        <color rgb="FF000000"/>
        <rFont val="DejaVu Sans"/>
        <family val="2"/>
      </rPr>
      <t xml:space="preserve">淮南市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安庆市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铜陵市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宣城市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池州市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</si>
  <si>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淮南市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安庆市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铜陵市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宣城市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池州市</t>
    </r>
  </si>
  <si>
    <t xml:space="preserve">新疆维吾尔自治区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</si>
  <si>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乌鲁木齐市</t>
    </r>
  </si>
  <si>
    <r>
      <rPr>
        <sz val="10"/>
        <color rgb="FF000000"/>
        <rFont val="DejaVu Sans"/>
        <family val="2"/>
      </rPr>
      <t xml:space="preserve">塔城地区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白杨市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哈密市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昆玉市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和田地区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阿勒泰地区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克孜勒苏柯尔克孜自治州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博尔塔拉蒙古自治州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克拉玛依市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胡杨河市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石河子市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五家渠市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昌吉回族自治州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吐鲁番市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巴音郭楞蒙古自治州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铁门关市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阿克苏地区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图木舒克市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喀什地区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伊犁哈萨克自治州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可克达拉市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</si>
  <si>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塔城地区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白杨市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哈密市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昆玉市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和田地区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阿勒泰地区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克孜勒苏柯尔克孜自治州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博尔塔拉蒙古自治州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克拉玛依市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胡杨河市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石河子市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五家渠市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昌吉回族自治州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吐鲁番市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巴音郭楞蒙古自治州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铁门关市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阿克苏地区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图木舒克市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喀什地区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伊犁哈萨克自治州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可克达拉市</t>
    </r>
  </si>
  <si>
    <t xml:space="preserve">江苏省</t>
  </si>
  <si>
    <r>
      <rPr>
        <sz val="10"/>
        <color rgb="FF000000"/>
        <rFont val="DejaVu Sans"/>
        <family val="2"/>
      </rPr>
      <t xml:space="preserve">南京市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</si>
  <si>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南京市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</si>
  <si>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</si>
  <si>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</si>
  <si>
    <r>
      <rPr>
        <sz val="10"/>
        <color rgb="FF000000"/>
        <rFont val="DejaVu Sans"/>
        <family val="2"/>
      </rPr>
      <t xml:space="preserve">盐城市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</si>
  <si>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盐城市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淮安市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</si>
  <si>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t xml:space="preserve">天津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</si>
  <si>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天津市</t>
    </r>
  </si>
  <si>
    <t xml:space="preserve">吉林省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</si>
  <si>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长春市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</si>
  <si>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吉林市</t>
    </r>
  </si>
  <si>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</si>
  <si>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</si>
  <si>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t xml:space="preserve">宁夏回族自治区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</si>
  <si>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银川市</t>
    </r>
  </si>
  <si>
    <r>
      <rPr>
        <sz val="10"/>
        <color rgb="FF000000"/>
        <rFont val="DejaVu Sans"/>
        <family val="2"/>
      </rPr>
      <t xml:space="preserve">石嘴山市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吴忠市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固原市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中卫市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</si>
  <si>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石嘴山市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吴忠市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固原市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中卫市</t>
    </r>
  </si>
  <si>
    <t xml:space="preserve">河北省</t>
  </si>
  <si>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廊坊市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</si>
  <si>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廊坊市</t>
    </r>
  </si>
  <si>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</si>
  <si>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</si>
  <si>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</si>
  <si>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</si>
  <si>
    <t xml:space="preserve">河南省</t>
  </si>
  <si>
    <r>
      <rPr>
        <sz val="10"/>
        <color rgb="FF000000"/>
        <rFont val="DejaVu Sans"/>
        <family val="2"/>
      </rPr>
      <t xml:space="preserve">开封市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郑州市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</si>
  <si>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开封市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郑州市</t>
    </r>
  </si>
  <si>
    <r>
      <rPr>
        <sz val="10"/>
        <color rgb="FF000000"/>
        <rFont val="DejaVu Sans"/>
        <family val="2"/>
      </rPr>
      <t xml:space="preserve">新乡市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许昌市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洛阳市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鹤壁市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</si>
  <si>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新乡市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许昌市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洛阳市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鹤壁市</t>
    </r>
  </si>
  <si>
    <r>
      <rPr>
        <sz val="10"/>
        <color rgb="FF000000"/>
        <rFont val="DejaVu Sans"/>
        <family val="2"/>
      </rPr>
      <t xml:space="preserve">商丘市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平顶山市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焦作市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济源市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濮阳市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周口市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漯河市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驻马店市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三门峡市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</si>
  <si>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商丘市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平顶山市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焦作市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济源市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濮阳市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周口市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漯河市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驻马店市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三门峡市</t>
    </r>
  </si>
  <si>
    <t xml:space="preserve">广西壮族自治区</t>
  </si>
  <si>
    <r>
      <rPr>
        <sz val="10"/>
        <color rgb="FF000000"/>
        <rFont val="DejaVu Sans"/>
        <family val="2"/>
      </rPr>
      <t xml:space="preserve">崇左市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南宁市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</si>
  <si>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崇左市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南宁市</t>
    </r>
  </si>
  <si>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</si>
  <si>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</si>
  <si>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梧州市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贺州市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百色市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</si>
  <si>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梧州市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贺州市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百色市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河池市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</si>
  <si>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t xml:space="preserve">海南省</t>
  </si>
  <si>
    <r>
      <rPr>
        <sz val="10"/>
        <color rgb="FF000000"/>
        <rFont val="DejaVu Sans"/>
        <family val="2"/>
      </rPr>
      <t xml:space="preserve">屯昌县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五指山市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白沙黎族自治县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东方市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保亭黎族苗族自治县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琼中黎族苗族自治县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定安县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临高县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陵水黎族自治县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万宁市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乐东黎族自治县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澄迈县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昌江黎族自治县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儋州市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三沙市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</si>
  <si>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屯昌县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五指山市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白沙黎族自治县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东方市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保亭黎族苗族自治县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琼中黎族苗族自治县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定安县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临高县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陵水黎族自治县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万宁市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乐东黎族自治县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琼海市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澄迈县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昌江黎族自治县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儋州市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三沙市</t>
    </r>
  </si>
  <si>
    <t xml:space="preserve">上海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</si>
  <si>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上海市</t>
    </r>
  </si>
  <si>
    <t xml:space="preserve">江西省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</si>
  <si>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南昌市</t>
    </r>
  </si>
  <si>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</si>
  <si>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</si>
  <si>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</si>
  <si>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</si>
  <si>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t xml:space="preserve">云南省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</si>
  <si>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昆明市</t>
    </r>
  </si>
  <si>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</si>
  <si>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</si>
  <si>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西双版纳傣族自治州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德宏傣族景颇族自治州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昭通市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文山壮族苗族自治州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普洱市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临沧市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怒江傈僳族自治州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迪庆藏族自治州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丽江市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</si>
  <si>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西双版纳傣族自治州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德宏傣族景颇族自治州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昭通市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文山壮族苗族自治州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普洱市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临沧市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怒江傈僳族自治州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迪庆藏族自治州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丽江市</t>
    </r>
  </si>
  <si>
    <t xml:space="preserve">甘肃省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</si>
  <si>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兰州市</t>
    </r>
  </si>
  <si>
    <r>
      <rPr>
        <sz val="10"/>
        <color rgb="FF000000"/>
        <rFont val="DejaVu Sans"/>
        <family val="2"/>
      </rPr>
      <t xml:space="preserve">临夏回族自治州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定西市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庆阳市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武威市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嘉峪关市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酒泉市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陇南市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白银市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</si>
  <si>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临夏回族自治州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定西市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平凉市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庆阳市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武威市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嘉峪关市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酒泉市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陇南市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白银市</t>
    </r>
  </si>
  <si>
    <t xml:space="preserve">陕西省</t>
  </si>
  <si>
    <r>
      <rPr>
        <sz val="10"/>
        <color rgb="FF000000"/>
        <rFont val="DejaVu Sans"/>
        <family val="2"/>
      </rPr>
      <t xml:space="preserve">西安市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</si>
  <si>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</si>
  <si>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</si>
  <si>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</si>
  <si>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</si>
  <si>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</si>
  <si>
    <t xml:space="preserve">浙江省</t>
  </si>
  <si>
    <r>
      <rPr>
        <sz val="10"/>
        <color rgb="FF000000"/>
        <rFont val="DejaVu Sans"/>
        <family val="2"/>
      </rPr>
      <t xml:space="preserve">杭州市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宁波市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</si>
  <si>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杭州市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嘉兴市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宁波市</t>
    </r>
  </si>
  <si>
    <r>
      <rPr>
        <sz val="10"/>
        <color rgb="FF000000"/>
        <rFont val="DejaVu Sans"/>
        <family val="2"/>
      </rPr>
      <t xml:space="preserve">湖州市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绍兴市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金华市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</si>
  <si>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湖州市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绍兴市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金华市</t>
    </r>
  </si>
  <si>
    <r>
      <rPr>
        <sz val="10"/>
        <color rgb="FF000000"/>
        <rFont val="DejaVu Sans"/>
        <family val="2"/>
      </rPr>
      <t xml:space="preserve">台州市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温州市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</si>
  <si>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台州市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温州市</t>
    </r>
  </si>
  <si>
    <r>
      <rPr>
        <sz val="10"/>
        <color rgb="FF000000"/>
        <rFont val="DejaVu Sans"/>
        <family val="2"/>
      </rPr>
      <t xml:space="preserve">衢州市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舟山市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</si>
  <si>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衢州市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丽水市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舟山市</t>
    </r>
  </si>
  <si>
    <t xml:space="preserve">内蒙古自治区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</si>
  <si>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呼和浩特市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</si>
  <si>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包头市</t>
    </r>
  </si>
  <si>
    <r>
      <rPr>
        <sz val="10"/>
        <color rgb="FF000000"/>
        <rFont val="DejaVu Sans"/>
        <family val="2"/>
      </rPr>
      <t xml:space="preserve">呼伦贝尔市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乌兰察布市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通辽市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赤峰市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鄂尔多斯市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巴彦淖尔市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锡林郭勒盟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兴安盟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阿拉善盟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</si>
  <si>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呼伦贝尔市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乌兰察布市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通辽市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赤峰市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鄂尔多斯市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巴彦淖尔市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锡林郭勒盟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兴安盟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阿拉善盟</t>
    </r>
  </si>
  <si>
    <t xml:space="preserve">青海省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</si>
  <si>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西宁市</t>
    </r>
  </si>
  <si>
    <r>
      <rPr>
        <sz val="10"/>
        <color rgb="FF000000"/>
        <rFont val="DejaVu Sans"/>
        <family val="2"/>
      </rPr>
      <t xml:space="preserve">海北藏族自治州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果洛藏族自治州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玉树藏族自治州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海西蒙古族藏族自治州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</si>
  <si>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海北藏族自治州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海南藏族自治州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果洛藏族自治州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玉树藏族自治州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海西蒙古族藏族自治州</t>
    </r>
  </si>
  <si>
    <t xml:space="preserve">辽宁省</t>
  </si>
  <si>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沈阳市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</si>
  <si>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沈阳市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大连市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</si>
  <si>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鞍山市</t>
    </r>
  </si>
  <si>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锦州市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葫芦岛市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</si>
  <si>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锦州市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阜新市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葫芦岛市</t>
    </r>
  </si>
  <si>
    <t xml:space="preserve">黑龙江省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</si>
  <si>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哈尔滨市</t>
    </r>
  </si>
  <si>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黑河市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大兴安岭地区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大庆市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七台河市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双鸭山市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</si>
  <si>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黑河市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大兴安岭地区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伊春市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大庆市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七台河市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鹤岗市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双鸭山市</t>
    </r>
  </si>
  <si>
    <t xml:space="preserve">北京</t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</si>
  <si>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北京市</t>
    </r>
  </si>
  <si>
    <t xml:space="preserve">山西省</t>
  </si>
  <si>
    <r>
      <rPr>
        <sz val="10"/>
        <color rgb="FF000000"/>
        <rFont val="DejaVu Sans"/>
        <family val="2"/>
      </rPr>
      <t xml:space="preserve">太原市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晋中市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</si>
  <si>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太原市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晋中市</t>
    </r>
  </si>
  <si>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运城市</t>
    </r>
  </si>
  <si>
    <r>
      <rPr>
        <sz val="10"/>
        <color rgb="FF000000"/>
        <rFont val="DejaVu Sans"/>
        <family val="2"/>
      </rPr>
      <t xml:space="preserve">次日达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临汾市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运城市</t>
    </r>
  </si>
  <si>
    <t xml:space="preserve">特惠普运</t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</si>
  <si>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崇左市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南宁市</t>
    </r>
  </si>
  <si>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</si>
  <si>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防城港市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桂林市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钦州市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北海市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</si>
  <si>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厦门市</t>
    </r>
  </si>
  <si>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龙岩市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</si>
  <si>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莆田市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泉州市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龙岩市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</si>
  <si>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福州市</t>
    </r>
  </si>
  <si>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</si>
  <si>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宁德市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三明市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南平市</t>
    </r>
  </si>
  <si>
    <r>
      <rPr>
        <sz val="10"/>
        <color rgb="FF000000"/>
        <rFont val="DejaVu Sans"/>
        <family val="2"/>
      </rPr>
      <t xml:space="preserve">山西省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河北省</t>
    </r>
  </si>
  <si>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</si>
  <si>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阳泉市</t>
    </r>
  </si>
  <si>
    <r>
      <rPr>
        <sz val="10"/>
        <color rgb="FF000000"/>
        <rFont val="DejaVu Sans"/>
        <family val="2"/>
      </rPr>
      <t xml:space="preserve">湖南省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贵州省</t>
    </r>
  </si>
  <si>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</si>
  <si>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郴州市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怀化市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永州市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</si>
  <si>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贵阳市</t>
    </r>
  </si>
  <si>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</si>
  <si>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遵义市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安顺市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</si>
  <si>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南昌市</t>
    </r>
  </si>
  <si>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</si>
  <si>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鹰潭市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新余市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九江市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上饶市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抚州市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吉安市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赣州市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景德镇市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</si>
  <si>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武汉市</t>
    </r>
  </si>
  <si>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</si>
  <si>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襄阳市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恩施土家族苗族自治州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神农架林区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十堰市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荆门市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</si>
  <si>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株洲市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长沙市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湘潭市</t>
    </r>
  </si>
  <si>
    <r>
      <rPr>
        <sz val="10"/>
        <color rgb="FF000000"/>
        <rFont val="DejaVu Sans"/>
        <family val="2"/>
      </rPr>
      <t xml:space="preserve">河南省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湖北省</t>
    </r>
  </si>
  <si>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</si>
  <si>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鄂州市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孝感市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黄冈市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黄石市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潜江市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仙桃市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天门市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</si>
  <si>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重庆市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</si>
  <si>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滁州市</t>
    </r>
  </si>
  <si>
    <r>
      <rPr>
        <sz val="10"/>
        <color rgb="FF000000"/>
        <rFont val="DejaVu Sans"/>
        <family val="2"/>
      </rPr>
      <t xml:space="preserve">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</si>
  <si>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雅安市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德阳市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广元市</t>
    </r>
  </si>
  <si>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</si>
  <si>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自贡市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南充市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达州市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遂宁市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广安市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巴中市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泸州市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宜宾市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内江市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</si>
  <si>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成都市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资阳市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眉山市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</si>
  <si>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西安市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咸阳市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</si>
  <si>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</si>
  <si>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无锡市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</si>
  <si>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南京市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</si>
  <si>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淮安市</t>
    </r>
  </si>
  <si>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</si>
  <si>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徐州市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连云港市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宿迁市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</si>
  <si>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南通市</t>
    </r>
  </si>
  <si>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</si>
  <si>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抚顺市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本溪市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铁岭市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</si>
  <si>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沈阳市</t>
    </r>
  </si>
  <si>
    <r>
      <rPr>
        <sz val="10"/>
        <color rgb="FF000000"/>
        <rFont val="DejaVu Sans"/>
        <family val="2"/>
      </rPr>
      <t xml:space="preserve">鞍山市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</si>
  <si>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鞍山市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丹东市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营口市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朝阳市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盘锦市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</si>
  <si>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大连市</t>
    </r>
  </si>
  <si>
    <r>
      <rPr>
        <sz val="10"/>
        <color rgb="FF000000"/>
        <rFont val="DejaVu Sans"/>
        <family val="2"/>
      </rPr>
      <t xml:space="preserve">山西省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甘肃省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陕西省</t>
    </r>
  </si>
  <si>
    <r>
      <rPr>
        <sz val="10"/>
        <color rgb="FF000000"/>
        <rFont val="DejaVu Sans"/>
        <family val="2"/>
      </rPr>
      <t xml:space="preserve">运城市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</si>
  <si>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运城市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延安市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渭南市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商洛市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安康市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汉中市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宝鸡市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铜川市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天水市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</si>
  <si>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长春市</t>
    </r>
  </si>
  <si>
    <r>
      <rPr>
        <sz val="10"/>
        <color rgb="FF000000"/>
        <rFont val="DejaVu Sans"/>
        <family val="2"/>
      </rPr>
      <t xml:space="preserve">吉林市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</si>
  <si>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吉林市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延边朝鲜族自治州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四平市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通化市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辽源市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松原市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白山市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</si>
  <si>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哈尔滨市</t>
    </r>
  </si>
  <si>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</si>
  <si>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齐齐哈尔市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牡丹江市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佳木斯市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绥化市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鸡西市</t>
    </r>
  </si>
  <si>
    <r>
      <rPr>
        <sz val="10"/>
        <color rgb="FF000000"/>
        <rFont val="DejaVu Sans"/>
        <family val="2"/>
      </rPr>
      <t xml:space="preserve">山西省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陕西省</t>
    </r>
  </si>
  <si>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</si>
  <si>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朔州市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忻州市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大同市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长治市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晋城市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吕梁市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榆林市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</si>
  <si>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石家庄市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</si>
  <si>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北京市</t>
    </r>
  </si>
  <si>
    <r>
      <rPr>
        <sz val="10"/>
        <color rgb="FF000000"/>
        <rFont val="DejaVu Sans"/>
        <family val="2"/>
      </rPr>
      <t xml:space="preserve">江西省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湖南省</t>
    </r>
  </si>
  <si>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益阳市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</si>
  <si>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岳阳市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益阳市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娄底市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邵阳市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宜春市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萍乡市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</si>
  <si>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太原市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晋中市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</si>
  <si>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上海市</t>
    </r>
  </si>
  <si>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</si>
  <si>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</si>
  <si>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</si>
  <si>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柳州市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来宾市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</si>
  <si>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昆明市</t>
    </r>
  </si>
  <si>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</si>
  <si>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大理白族自治州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红河哈尼族彝族自治州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曲靖市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玉溪市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楚雄彝族自治州</t>
    </r>
  </si>
  <si>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</si>
  <si>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黔南布依族苗族自治州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毕节市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六盘水市</t>
    </r>
  </si>
  <si>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</si>
  <si>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镇江市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扬州市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泰州市</t>
    </r>
  </si>
  <si>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</si>
  <si>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南通市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盐城市</t>
    </r>
  </si>
  <si>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</si>
  <si>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无锡市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苏州市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常州市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</si>
  <si>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天津市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</si>
  <si>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廊坊市</t>
    </r>
  </si>
  <si>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</si>
  <si>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sz val="10"/>
        <color rgb="FF000000"/>
        <rFont val="DejaVu Sans"/>
        <family val="2"/>
      </rPr>
      <t xml:space="preserve">特惠普运</t>
    </r>
    <r>
      <rPr>
        <sz val="10"/>
        <color rgb="FF000000"/>
        <rFont val="DejaVu Sans"/>
        <family val="2"/>
        <charset val="1"/>
      </rPr>
      <t xml:space="preserve">|</t>
    </r>
    <r>
      <rPr>
        <sz val="10"/>
        <color rgb="FF000000"/>
        <rFont val="DejaVu Sans"/>
        <family val="2"/>
      </rPr>
      <t xml:space="preserve">邯郸市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石家庄市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保定市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雄安新区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张家口市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承德市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唐山市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沧州市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衡水市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邢台市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秦皇岛市</t>
    </r>
  </si>
  <si>
    <r>
      <rPr>
        <b val="true"/>
        <sz val="12"/>
        <color rgb="FFFFFFFF"/>
        <rFont val="DejaVu Sans"/>
        <family val="2"/>
      </rPr>
      <t xml:space="preserve">运费计算（跨越费率，实重</t>
    </r>
    <r>
      <rPr>
        <b val="true"/>
        <sz val="12"/>
        <color rgb="FFFFFFFF"/>
        <rFont val="DejaVu Sans"/>
        <family val="2"/>
        <charset val="1"/>
      </rPr>
      <t xml:space="preserve">/</t>
    </r>
    <r>
      <rPr>
        <b val="true"/>
        <sz val="12"/>
        <color rgb="FFFFFFFF"/>
        <rFont val="DejaVu Sans"/>
        <family val="2"/>
      </rPr>
      <t xml:space="preserve">体积重取大）</t>
    </r>
  </si>
  <si>
    <t xml:space="preserve">一、输入与费率定位（自动）</t>
  </si>
  <si>
    <r>
      <rPr>
        <sz val="10"/>
        <color rgb="FF000000"/>
        <rFont val="DejaVu Sans"/>
        <family val="2"/>
      </rPr>
      <t xml:space="preserve">单台毛重</t>
    </r>
    <r>
      <rPr>
        <sz val="10"/>
        <color rgb="FF000000"/>
        <rFont val="DejaVu Sans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</si>
  <si>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箱数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票内</t>
    </r>
    <r>
      <rPr>
        <sz val="10"/>
        <color rgb="FF000000"/>
        <rFont val="DejaVu Sans"/>
        <family val="2"/>
        <charset val="1"/>
      </rPr>
      <t xml:space="preserve">)</t>
    </r>
  </si>
  <si>
    <t xml:space="preserve">费率行号</t>
  </si>
  <si>
    <t xml:space="preserve">二、计费重量（自动）</t>
  </si>
  <si>
    <r>
      <rPr>
        <sz val="10"/>
        <color rgb="FF000000"/>
        <rFont val="DejaVu Sans"/>
        <family val="2"/>
      </rPr>
      <t xml:space="preserve">单票实重</t>
    </r>
    <r>
      <rPr>
        <sz val="10"/>
        <color rgb="FF000000"/>
        <rFont val="DejaVu Sans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</si>
  <si>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单票体积重</t>
    </r>
    <r>
      <rPr>
        <sz val="10"/>
        <color rgb="FF000000"/>
        <rFont val="DejaVu Sans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</si>
  <si>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计费重量</t>
    </r>
    <r>
      <rPr>
        <sz val="10"/>
        <color rgb="FF000000"/>
        <rFont val="DejaVu Sans"/>
        <family val="2"/>
        <charset val="1"/>
      </rPr>
      <t xml:space="preserve">(kg)</t>
    </r>
  </si>
  <si>
    <r>
      <rPr>
        <sz val="10"/>
        <color rgb="FF000000"/>
        <rFont val="DejaVu Sans"/>
        <family val="2"/>
      </rPr>
      <t xml:space="preserve">起重</t>
    </r>
    <r>
      <rPr>
        <sz val="10"/>
        <color rgb="FF000000"/>
        <rFont val="DejaVu Sans"/>
        <family val="2"/>
        <charset val="1"/>
      </rPr>
      <t xml:space="preserve">(kg)</t>
    </r>
  </si>
  <si>
    <t xml:space="preserve">计费重量起重后</t>
  </si>
  <si>
    <t xml:space="preserve">三、运费（自动）</t>
  </si>
  <si>
    <r>
      <rPr>
        <sz val="10"/>
        <color rgb="FF000000"/>
        <rFont val="DejaVu Sans"/>
        <family val="2"/>
      </rPr>
      <t xml:space="preserve">段位置</t>
    </r>
    <r>
      <rPr>
        <sz val="10"/>
        <color rgb="FF000000"/>
        <rFont val="DejaVu Sans"/>
        <family val="2"/>
        <charset val="1"/>
      </rPr>
      <t xml:space="preserve">idx</t>
    </r>
  </si>
  <si>
    <t xml:space="preserve">段单价</t>
  </si>
  <si>
    <t xml:space="preserve">次日达段下限</t>
  </si>
  <si>
    <t xml:space="preserve">特惠段下限</t>
  </si>
  <si>
    <t xml:space="preserve">单票运费</t>
  </si>
  <si>
    <r>
      <rPr>
        <sz val="10"/>
        <color rgb="FF000000"/>
        <rFont val="DejaVu Sans"/>
        <family val="2"/>
      </rPr>
      <t xml:space="preserve">声明价值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票</t>
    </r>
    <r>
      <rPr>
        <sz val="10"/>
        <color rgb="FF000000"/>
        <rFont val="DejaVu Sans"/>
        <family val="2"/>
        <charset val="1"/>
      </rPr>
      <t xml:space="preserve">)</t>
    </r>
  </si>
  <si>
    <r>
      <rPr>
        <sz val="10"/>
        <color rgb="FF000000"/>
        <rFont val="DejaVu Sans"/>
        <family val="2"/>
      </rPr>
      <t xml:space="preserve">保费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可选</t>
    </r>
    <r>
      <rPr>
        <sz val="10"/>
        <color rgb="FF000000"/>
        <rFont val="DejaVu Sans"/>
        <family val="2"/>
        <charset val="1"/>
      </rPr>
      <t xml:space="preserve">)</t>
    </r>
  </si>
  <si>
    <t xml:space="preserve">单票运费合计</t>
  </si>
  <si>
    <r>
      <rPr>
        <sz val="10"/>
        <color rgb="FF000000"/>
        <rFont val="DejaVu Sans"/>
        <family val="2"/>
      </rPr>
      <t xml:space="preserve">单台运费</t>
    </r>
    <r>
      <rPr>
        <sz val="10"/>
        <color rgb="FF000000"/>
        <rFont val="DejaVu Sans"/>
        <family val="2"/>
        <charset val="1"/>
      </rPr>
      <t xml:space="preserve">(</t>
    </r>
    <r>
      <rPr>
        <sz val="10"/>
        <color rgb="FF000000"/>
        <rFont val="DejaVu Sans"/>
        <family val="2"/>
      </rPr>
      <t xml:space="preserve">元</t>
    </r>
    <r>
      <rPr>
        <sz val="10"/>
        <color rgb="FF000000"/>
        <rFont val="DejaVu Sans"/>
        <family val="2"/>
        <charset val="1"/>
      </rPr>
      <t xml:space="preserve">/</t>
    </r>
    <r>
      <rPr>
        <sz val="10"/>
        <color rgb="FF000000"/>
        <rFont val="DejaVu Sans"/>
        <family val="2"/>
      </rPr>
      <t xml:space="preserve">件</t>
    </r>
    <r>
      <rPr>
        <sz val="10"/>
        <color rgb="FF000000"/>
        <rFont val="DejaVu Sans"/>
        <family val="2"/>
        <charset val="1"/>
      </rPr>
      <t xml:space="preserve">)</t>
    </r>
  </si>
  <si>
    <r>
      <rPr>
        <i val="true"/>
        <sz val="10"/>
        <color rgb="FF808080"/>
        <rFont val="DejaVu Sans"/>
        <family val="2"/>
      </rPr>
      <t xml:space="preserve">运费口径：计费重量</t>
    </r>
    <r>
      <rPr>
        <i val="true"/>
        <sz val="10"/>
        <color rgb="FF808080"/>
        <rFont val="DejaVu Sans"/>
        <family val="2"/>
        <charset val="1"/>
      </rPr>
      <t xml:space="preserve">=MAX(</t>
    </r>
    <r>
      <rPr>
        <i val="true"/>
        <sz val="10"/>
        <color rgb="FF808080"/>
        <rFont val="DejaVu Sans"/>
        <family val="2"/>
      </rPr>
      <t xml:space="preserve">实重</t>
    </r>
    <r>
      <rPr>
        <i val="true"/>
        <sz val="10"/>
        <color rgb="FF808080"/>
        <rFont val="DejaVu Sans"/>
        <family val="2"/>
        <charset val="1"/>
      </rPr>
      <t xml:space="preserve">,</t>
    </r>
    <r>
      <rPr>
        <i val="true"/>
        <sz val="10"/>
        <color rgb="FF808080"/>
        <rFont val="DejaVu Sans"/>
        <family val="2"/>
      </rPr>
      <t xml:space="preserve">体积重</t>
    </r>
    <r>
      <rPr>
        <i val="true"/>
        <sz val="10"/>
        <color rgb="FF808080"/>
        <rFont val="DejaVu Sans"/>
        <family val="2"/>
        <charset val="1"/>
      </rPr>
      <t xml:space="preserve">)</t>
    </r>
    <r>
      <rPr>
        <i val="true"/>
        <sz val="10"/>
        <color rgb="FF808080"/>
        <rFont val="DejaVu Sans"/>
        <family val="2"/>
      </rPr>
      <t xml:space="preserve">；体积重</t>
    </r>
    <r>
      <rPr>
        <i val="true"/>
        <sz val="10"/>
        <color rgb="FF808080"/>
        <rFont val="DejaVu Sans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箱体积</t>
    </r>
    <r>
      <rPr>
        <i val="true"/>
        <sz val="10"/>
        <color rgb="FF808080"/>
        <rFont val="DejaVu Sans"/>
        <family val="2"/>
        <charset val="1"/>
      </rPr>
      <t xml:space="preserve">(</t>
    </r>
    <r>
      <rPr>
        <i val="true"/>
        <sz val="10"/>
        <color rgb="FF808080"/>
        <rFont val="DejaVu Sans"/>
        <family val="2"/>
      </rPr>
      <t xml:space="preserve">㎝³</t>
    </r>
    <r>
      <rPr>
        <i val="true"/>
        <sz val="10"/>
        <color rgb="FF808080"/>
        <rFont val="DejaVu Sans"/>
        <family val="2"/>
        <charset val="1"/>
      </rPr>
      <t xml:space="preserve">)/</t>
    </r>
    <r>
      <rPr>
        <i val="true"/>
        <sz val="10"/>
        <color rgb="FF808080"/>
        <rFont val="DejaVu Sans"/>
        <family val="2"/>
      </rPr>
      <t xml:space="preserve">体积系数；运费</t>
    </r>
    <r>
      <rPr>
        <i val="true"/>
        <sz val="10"/>
        <color rgb="FF808080"/>
        <rFont val="DejaVu Sans"/>
        <family val="2"/>
        <charset val="1"/>
      </rPr>
      <t xml:space="preserve">=</t>
    </r>
    <r>
      <rPr>
        <i val="true"/>
        <sz val="10"/>
        <color rgb="FF808080"/>
        <rFont val="DejaVu Sans"/>
        <family val="2"/>
      </rPr>
      <t xml:space="preserve">首重价格</t>
    </r>
    <r>
      <rPr>
        <i val="true"/>
        <sz val="10"/>
        <color rgb="FF808080"/>
        <rFont val="DejaVu Sans"/>
        <family val="2"/>
        <charset val="1"/>
      </rPr>
      <t xml:space="preserve">+(</t>
    </r>
    <r>
      <rPr>
        <i val="true"/>
        <sz val="10"/>
        <color rgb="FF808080"/>
        <rFont val="DejaVu Sans"/>
        <family val="2"/>
      </rPr>
      <t xml:space="preserve">计费重量</t>
    </r>
    <r>
      <rPr>
        <i val="true"/>
        <sz val="10"/>
        <color rgb="FF808080"/>
        <rFont val="DejaVu Sans"/>
        <family val="2"/>
        <charset val="1"/>
      </rPr>
      <t xml:space="preserve">-</t>
    </r>
    <r>
      <rPr>
        <i val="true"/>
        <sz val="10"/>
        <color rgb="FF808080"/>
        <rFont val="DejaVu Sans"/>
        <family val="2"/>
      </rPr>
      <t xml:space="preserve">首重重量</t>
    </r>
    <r>
      <rPr>
        <i val="true"/>
        <sz val="10"/>
        <color rgb="FF808080"/>
        <rFont val="DejaVu Sans"/>
        <family val="2"/>
        <charset val="1"/>
      </rPr>
      <t xml:space="preserve">)×</t>
    </r>
    <r>
      <rPr>
        <i val="true"/>
        <sz val="10"/>
        <color rgb="FF808080"/>
        <rFont val="DejaVu Sans"/>
        <family val="2"/>
      </rPr>
      <t xml:space="preserve">段单价，最低不低于最低收费。</t>
    </r>
  </si>
  <si>
    <t xml:space="preserve">目的地需与所选物流产品匹配：次日达与特惠普运的目的地划分不同，选错时本表运费显示空白。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</si>
</sst>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yyyy\-mm\-dd"/>
    <numFmt numFmtId="166" formatCode="0"/>
    <numFmt numFmtId="167" formatCode="0.000"/>
    <numFmt numFmtId="168" formatCode="0.0"/>
    <numFmt numFmtId="169" formatCode="0.00"/>
    <numFmt numFmtId="170" formatCode="#,##0.0000"/>
    <numFmt numFmtId="171" formatCode="0.0%"/>
    <numFmt numFmtId="172" formatCode="0.00%"/>
    <numFmt numFmtId="173" formatCode="#,##0.00"/>
    <numFmt numFmtId="174" formatCode="#,##0"/>
    <numFmt numFmtId="175" formatCode="#,##0.######"/>
    <numFmt numFmtId="176" formatCode="#,##0.000000"/>
    <numFmt numFmtId="177" formatCode="General"/>
    <numFmt numFmtId="178" formatCode="#,##0.##"/>
    <numFmt numFmtId="179" formatCode="0.0000"/>
  </numFmts>
  <fonts count="45">
    <font>
      <sz val="11"/>
      <color theme="1"/>
      <name val="等线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FFFFFF"/>
      <name val="DejaVu Sans"/>
      <family val="2"/>
    </font>
    <font>
      <b val="true"/>
      <sz val="12"/>
      <color rgb="FFFFFFFF"/>
      <name val="DejaVu Sans"/>
      <family val="2"/>
      <charset val="1"/>
    </font>
    <font>
      <b val="true"/>
      <sz val="10"/>
      <color rgb="FF000000"/>
      <name val="DejaVu Sans"/>
      <family val="2"/>
    </font>
    <font>
      <i val="true"/>
      <sz val="10"/>
      <color rgb="FF808080"/>
      <name val="DejaVu Sans"/>
      <family val="2"/>
    </font>
    <font>
      <i val="true"/>
      <sz val="10"/>
      <color rgb="FF808080"/>
      <name val="DejaVu Sans"/>
      <family val="2"/>
      <charset val="1"/>
    </font>
    <font>
      <b val="true"/>
      <sz val="10"/>
      <color rgb="FF000000"/>
      <name val="DejaVu Sans"/>
      <family val="2"/>
      <charset val="1"/>
    </font>
    <font>
      <sz val="10"/>
      <color rgb="FF000000"/>
      <name val="DejaVu Sans"/>
      <family val="2"/>
    </font>
    <font>
      <sz val="10"/>
      <color rgb="FF000000"/>
      <name val="DejaVu Sans"/>
      <family val="2"/>
      <charset val="1"/>
    </font>
    <font>
      <sz val="10"/>
      <color rgb="FF000000"/>
      <name val="微软雅黑"/>
      <family val="0"/>
      <charset val="1"/>
    </font>
    <font>
      <b val="true"/>
      <sz val="10"/>
      <color rgb="FFFFFFFF"/>
      <name val="DejaVu Sans"/>
      <family val="2"/>
    </font>
    <font>
      <sz val="10"/>
      <color rgb="FF0000FF"/>
      <name val="微软雅黑"/>
      <family val="0"/>
      <charset val="1"/>
    </font>
    <font>
      <sz val="11"/>
      <color rgb="FF000000"/>
      <name val="DejaVu Sans"/>
      <family val="2"/>
    </font>
    <font>
      <sz val="11"/>
      <color rgb="FF000000"/>
      <name val="DejaVu Sans"/>
      <family val="2"/>
      <charset val="1"/>
    </font>
    <font>
      <sz val="10"/>
      <color rgb="FF0000FF"/>
      <name val="DejaVu Sans"/>
      <family val="2"/>
    </font>
    <font>
      <sz val="10"/>
      <color rgb="FF000000"/>
      <name val="微软雅黑"/>
      <family val="2"/>
      <charset val="1"/>
    </font>
    <font>
      <sz val="10"/>
      <color rgb="FF008000"/>
      <name val="DejaVu Sans"/>
      <family val="2"/>
    </font>
    <font>
      <sz val="10"/>
      <color rgb="FF008000"/>
      <name val="微软雅黑"/>
      <family val="0"/>
      <charset val="1"/>
    </font>
    <font>
      <sz val="10"/>
      <color rgb="FF0000FF"/>
      <name val="微软雅黑"/>
      <family val="2"/>
      <charset val="1"/>
    </font>
    <font>
      <sz val="10"/>
      <color rgb="FF0000FF"/>
      <name val="DejaVu Sans"/>
      <family val="2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微软雅黑"/>
      <family val="0"/>
      <charset val="1"/>
    </font>
    <font>
      <sz val="9"/>
      <color rgb="FF808080"/>
      <name val="DejaVu Sans"/>
      <family val="2"/>
    </font>
    <font>
      <sz val="9"/>
      <color rgb="FF808080"/>
      <name val="微软雅黑"/>
      <family val="0"/>
      <charset val="1"/>
    </font>
    <font>
      <b val="true"/>
      <sz val="10"/>
      <color rgb="FF000000"/>
      <name val="微软雅黑"/>
      <family val="0"/>
      <charset val="1"/>
    </font>
    <font>
      <b val="true"/>
      <sz val="11"/>
      <color rgb="FF000000"/>
      <name val="DejaVu Sans"/>
      <family val="2"/>
    </font>
    <font>
      <b val="true"/>
      <sz val="11"/>
      <color rgb="FF000000"/>
      <name val="微软雅黑"/>
      <family val="0"/>
      <charset val="1"/>
    </font>
    <font>
      <b val="true"/>
      <sz val="10"/>
      <color rgb="FFFFFFFF"/>
      <name val="DejaVu Sans"/>
      <family val="2"/>
      <charset val="1"/>
    </font>
    <font>
      <sz val="10"/>
      <color rgb="FF808080"/>
      <name val="微软雅黑"/>
      <family val="0"/>
      <charset val="1"/>
    </font>
    <font>
      <b val="true"/>
      <sz val="14"/>
      <color rgb="FFFFFFFF"/>
      <name val="DejaVu Sans"/>
      <family val="2"/>
    </font>
    <font>
      <sz val="9"/>
      <color rgb="FF000000"/>
      <name val="DejaVu Sans"/>
      <family val="2"/>
    </font>
    <font>
      <sz val="9"/>
      <color rgb="FF0000FF"/>
      <name val="微软雅黑"/>
      <family val="0"/>
      <charset val="1"/>
    </font>
    <font>
      <sz val="9"/>
      <color rgb="FF000000"/>
      <name val="微软雅黑"/>
      <family val="0"/>
      <charset val="1"/>
    </font>
    <font>
      <sz val="9"/>
      <color rgb="FF008000"/>
      <name val="微软雅黑"/>
      <family val="0"/>
      <charset val="1"/>
    </font>
    <font>
      <b val="true"/>
      <sz val="14"/>
      <color rgb="FFFFFFFF"/>
      <name val="DejaVu Sans"/>
      <family val="2"/>
      <charset val="1"/>
    </font>
    <font>
      <sz val="9"/>
      <color rgb="FF808080"/>
      <name val="DejaVu Sans"/>
      <family val="2"/>
      <charset val="1"/>
    </font>
    <font>
      <b val="true"/>
      <sz val="11"/>
      <color rgb="FF000000"/>
      <name val="DejaVu Sans"/>
      <family val="2"/>
      <charset val="1"/>
    </font>
    <font>
      <b val="true"/>
      <sz val="14"/>
      <color rgb="FFFFFFFF"/>
      <name val="微软雅黑"/>
      <family val="0"/>
      <charset val="1"/>
    </font>
    <font>
      <sz val="10"/>
      <color rgb="FF000000"/>
      <name val="Noto Sans CJK SC"/>
      <family val="2"/>
      <charset val="1"/>
    </font>
    <font>
      <sz val="10"/>
      <name val="微软雅黑"/>
      <family val="0"/>
      <charset val="1"/>
    </font>
    <font>
      <sz val="10"/>
      <color rgb="FF008000"/>
      <name val="微软雅黑"/>
      <family val="2"/>
      <charset val="1"/>
    </font>
    <font>
      <i val="true"/>
      <sz val="10"/>
      <color rgb="FF808080"/>
      <name val="微软雅黑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0F3B5D"/>
        <bgColor rgb="FF1F4E78"/>
      </patternFill>
    </fill>
    <fill>
      <patternFill patternType="solid">
        <fgColor rgb="FF3288B9"/>
        <bgColor rgb="FF008080"/>
      </patternFill>
    </fill>
    <fill>
      <patternFill patternType="solid">
        <fgColor rgb="FFFFFF00"/>
        <bgColor rgb="FFFFFF00"/>
      </patternFill>
    </fill>
    <fill>
      <patternFill patternType="solid">
        <fgColor rgb="FFEAF2FF"/>
        <bgColor rgb="FFF7F9FC"/>
      </patternFill>
    </fill>
    <fill>
      <patternFill patternType="solid">
        <fgColor rgb="FF1F4E78"/>
        <bgColor rgb="FF0F3B5D"/>
      </patternFill>
    </fill>
    <fill>
      <patternFill patternType="solid">
        <fgColor rgb="FFF7F9FC"/>
        <bgColor rgb="FFFFFFFF"/>
      </patternFill>
    </fill>
    <fill>
      <patternFill patternType="solid">
        <fgColor rgb="FFFFF2CC"/>
        <bgColor rgb="FFF7F9F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9DEE7"/>
      </left>
      <right style="thin">
        <color rgb="FFD9DEE7"/>
      </right>
      <top style="thin">
        <color rgb="FFD9DEE7"/>
      </top>
      <bottom style="thin">
        <color rgb="FFD9DEE7"/>
      </bottom>
      <diagonal/>
    </border>
    <border diagonalUp="false" diagonalDown="false">
      <left/>
      <right/>
      <top style="thin">
        <color rgb="FFD0D8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3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4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3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2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5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20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2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4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3" fontId="3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3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3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34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3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7" fontId="26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3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5" fontId="34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6" fontId="34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2" fontId="34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0" fontId="35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6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6" fontId="3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7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2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2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76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4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4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9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6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12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27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3" fillId="3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8" fontId="3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0" fontId="27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4" fontId="3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3" fontId="3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35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73" fontId="2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8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3" fontId="3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9" fontId="2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9" fontId="4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>
          <bgColor rgb="FFC6EFCE"/>
        </patternFill>
      </fill>
    </dxf>
    <dxf>
      <fill>
        <patternFill patternType="solid">
          <fgColor rgb="FFEAF2FF"/>
          <bgColor rgb="FF000000"/>
        </patternFill>
      </fill>
    </dxf>
    <dxf>
      <fill>
        <patternFill patternType="solid">
          <fgColor rgb="FFF7F9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3288B9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EE7"/>
      <rgbColor rgb="FF808080"/>
      <rgbColor rgb="FF9999FF"/>
      <rgbColor rgb="FF993366"/>
      <rgbColor rgb="FFFFF2CC"/>
      <rgbColor rgb="FFEAF2FF"/>
      <rgbColor rgb="FF660066"/>
      <rgbColor rgb="FFFF8080"/>
      <rgbColor rgb="FF0066CC"/>
      <rgbColor rgb="FFD0D8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7F9FC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F3B5D"/>
      <rgbColor rgb="FF3288B9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95"/>
  </cols>
  <sheetData>
    <row r="1" customFormat="false" ht="17.25" hidden="false" customHeight="true" outlineLevel="0" collapsed="false">
      <c r="A1" s="2" t="s">
        <v>0</v>
      </c>
      <c r="B1" s="2"/>
      <c r="C1" s="2"/>
    </row>
    <row r="3" customFormat="false" ht="33.75" hidden="false" customHeight="true" outlineLevel="0" collapsed="false">
      <c r="A3" s="3" t="s">
        <v>1</v>
      </c>
      <c r="B3" s="4" t="s">
        <v>2</v>
      </c>
    </row>
    <row r="4" customFormat="false" ht="33.75" hidden="false" customHeight="true" outlineLevel="0" collapsed="false">
      <c r="A4" s="3" t="s">
        <v>3</v>
      </c>
      <c r="B4" s="4" t="s">
        <v>4</v>
      </c>
    </row>
    <row r="5" customFormat="false" ht="33.75" hidden="false" customHeight="true" outlineLevel="0" collapsed="false">
      <c r="A5" s="3" t="s">
        <v>5</v>
      </c>
      <c r="B5" s="4" t="s">
        <v>6</v>
      </c>
    </row>
    <row r="6" customFormat="false" ht="33.75" hidden="false" customHeight="true" outlineLevel="0" collapsed="false">
      <c r="A6" s="3" t="s">
        <v>7</v>
      </c>
      <c r="B6" s="4" t="s">
        <v>8</v>
      </c>
    </row>
    <row r="7" customFormat="false" ht="33.75" hidden="false" customHeight="true" outlineLevel="0" collapsed="false">
      <c r="A7" s="3" t="s">
        <v>9</v>
      </c>
      <c r="B7" s="4" t="s">
        <v>10</v>
      </c>
    </row>
    <row r="8" customFormat="false" ht="33.75" hidden="false" customHeight="true" outlineLevel="0" collapsed="false">
      <c r="A8" s="3" t="s">
        <v>11</v>
      </c>
      <c r="B8" s="4" t="s">
        <v>12</v>
      </c>
    </row>
    <row r="9" customFormat="false" ht="13.5" hidden="false" customHeight="true" outlineLevel="0" collapsed="false">
      <c r="A9" s="5" t="s">
        <v>13</v>
      </c>
    </row>
    <row r="10" customFormat="false" ht="113.25" hidden="false" customHeight="true" outlineLevel="0" collapsed="false">
      <c r="A10" s="6" t="s">
        <v>14</v>
      </c>
    </row>
    <row r="11" customFormat="false" ht="90.75" hidden="false" customHeight="true" outlineLevel="0" collapsed="false">
      <c r="A11" s="6" t="s">
        <v>15</v>
      </c>
    </row>
    <row r="12" customFormat="false" ht="45.75" hidden="false" customHeight="true" outlineLevel="0" collapsed="false">
      <c r="A12" s="6" t="s">
        <v>16</v>
      </c>
    </row>
    <row r="13" customFormat="false" ht="68.25" hidden="false" customHeight="true" outlineLevel="0" collapsed="false">
      <c r="A13" s="6" t="s">
        <v>17</v>
      </c>
    </row>
    <row r="14" customFormat="false" ht="79.5" hidden="false" customHeight="true" outlineLevel="0" collapsed="false">
      <c r="A14" s="6" t="s">
        <v>18</v>
      </c>
    </row>
    <row r="15" customFormat="false" ht="57" hidden="false" customHeight="true" outlineLevel="0" collapsed="false">
      <c r="A15" s="6" t="s">
        <v>19</v>
      </c>
    </row>
    <row r="16" customFormat="false" ht="102.2" hidden="false" customHeight="false" outlineLevel="0" collapsed="false">
      <c r="A16" s="6" t="s">
        <v>20</v>
      </c>
    </row>
    <row r="17" customFormat="false" ht="79.85" hidden="false" customHeight="false" outlineLevel="0" collapsed="false">
      <c r="A17" s="6" t="s">
        <v>21</v>
      </c>
    </row>
    <row r="18" customFormat="false" ht="68.65" hidden="false" customHeight="false" outlineLevel="0" collapsed="false">
      <c r="A18" s="6" t="s">
        <v>22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0"/>
  <sheetViews>
    <sheetView showFormulas="false" showGridLines="false" showRowColHeaders="true" showZeros="true" rightToLeft="false" tabSelected="true" showOutlineSymbols="true" defaultGridColor="true" view="normal" topLeftCell="A43" colorId="64" zoomScale="100" zoomScaleNormal="100" zoomScalePageLayoutView="100" workbookViewId="0">
      <selection pane="topLeft" activeCell="B21" activeCellId="0" sqref="B21"/>
    </sheetView>
  </sheetViews>
  <sheetFormatPr defaultColWidth="8" defaultRowHeight="13.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4" min="4" style="1" width="26"/>
    <col collapsed="false" customWidth="true" hidden="true" outlineLevel="0" max="26" min="26" style="1" width="13"/>
  </cols>
  <sheetData>
    <row r="1" customFormat="false" ht="17.25" hidden="false" customHeight="true" outlineLevel="0" collapsed="false">
      <c r="A1" s="2" t="s">
        <v>23</v>
      </c>
      <c r="B1" s="2"/>
      <c r="C1" s="2"/>
      <c r="D1" s="2"/>
      <c r="E1" s="2"/>
    </row>
    <row r="3" customFormat="false" ht="15" hidden="false" customHeight="true" outlineLevel="0" collapsed="false">
      <c r="A3" s="7" t="s">
        <v>24</v>
      </c>
      <c r="B3" s="7"/>
      <c r="C3" s="7"/>
      <c r="D3" s="7"/>
      <c r="E3" s="7"/>
    </row>
    <row r="4" customFormat="false" ht="15" hidden="false" customHeight="true" outlineLevel="0" collapsed="false">
      <c r="A4" s="5" t="s">
        <v>25</v>
      </c>
      <c r="B4" s="8" t="s">
        <v>26</v>
      </c>
      <c r="Z4" s="9" t="s">
        <v>27</v>
      </c>
    </row>
    <row r="5" customFormat="false" ht="15" hidden="false" customHeight="true" outlineLevel="0" collapsed="false">
      <c r="A5" s="5" t="s">
        <v>28</v>
      </c>
      <c r="B5" s="8" t="s">
        <v>29</v>
      </c>
      <c r="Z5" s="9" t="s">
        <v>30</v>
      </c>
    </row>
    <row r="6" customFormat="false" ht="15" hidden="false" customHeight="true" outlineLevel="0" collapsed="false">
      <c r="A6" s="5" t="s">
        <v>31</v>
      </c>
      <c r="B6" s="10" t="s">
        <v>32</v>
      </c>
      <c r="Z6" s="9" t="s">
        <v>33</v>
      </c>
    </row>
    <row r="7" customFormat="false" ht="15" hidden="false" customHeight="true" outlineLevel="0" collapsed="false">
      <c r="A7" s="5" t="s">
        <v>34</v>
      </c>
      <c r="B7" s="11" t="n">
        <f aca="true">TODAY()</f>
        <v>46308</v>
      </c>
      <c r="Z7" s="9" t="s">
        <v>35</v>
      </c>
    </row>
    <row r="8" customFormat="false" ht="15" hidden="false" customHeight="true" outlineLevel="0" collapsed="false">
      <c r="A8" s="5" t="s">
        <v>36</v>
      </c>
      <c r="B8" s="8" t="n">
        <v>5000</v>
      </c>
      <c r="Z8" s="9" t="s">
        <v>37</v>
      </c>
    </row>
    <row r="9" customFormat="false" ht="15" hidden="false" customHeight="true" outlineLevel="0" collapsed="false">
      <c r="A9" s="12" t="s">
        <v>38</v>
      </c>
      <c r="B9" s="8" t="n">
        <v>50</v>
      </c>
      <c r="Z9" s="9" t="s">
        <v>39</v>
      </c>
    </row>
    <row r="10" customFormat="false" ht="15" hidden="false" customHeight="true" outlineLevel="0" collapsed="false">
      <c r="A10" s="5" t="s">
        <v>40</v>
      </c>
      <c r="B10" s="13" t="s">
        <v>41</v>
      </c>
      <c r="Z10" s="9" t="s">
        <v>42</v>
      </c>
    </row>
    <row r="11" customFormat="false" ht="14.25" hidden="false" customHeight="true" outlineLevel="0" collapsed="false">
      <c r="Z11" s="9" t="s">
        <v>43</v>
      </c>
    </row>
    <row r="12" customFormat="false" ht="15" hidden="false" customHeight="true" outlineLevel="0" collapsed="false">
      <c r="A12" s="7" t="s">
        <v>44</v>
      </c>
      <c r="B12" s="7"/>
      <c r="C12" s="7"/>
      <c r="D12" s="7"/>
      <c r="E12" s="7"/>
      <c r="Z12" s="9" t="s">
        <v>45</v>
      </c>
    </row>
    <row r="13" customFormat="false" ht="15" hidden="false" customHeight="true" outlineLevel="0" collapsed="false">
      <c r="A13" s="5" t="s">
        <v>46</v>
      </c>
      <c r="B13" s="14" t="n">
        <v>660</v>
      </c>
      <c r="Z13" s="9" t="s">
        <v>47</v>
      </c>
    </row>
    <row r="14" customFormat="false" ht="15" hidden="false" customHeight="true" outlineLevel="0" collapsed="false">
      <c r="A14" s="5" t="s">
        <v>48</v>
      </c>
      <c r="B14" s="14" t="n">
        <v>390</v>
      </c>
      <c r="Z14" s="9" t="s">
        <v>49</v>
      </c>
    </row>
    <row r="15" customFormat="false" ht="15" hidden="false" customHeight="true" outlineLevel="0" collapsed="false">
      <c r="A15" s="5" t="s">
        <v>50</v>
      </c>
      <c r="B15" s="14" t="n">
        <v>260</v>
      </c>
      <c r="Z15" s="9" t="s">
        <v>51</v>
      </c>
    </row>
    <row r="16" customFormat="false" ht="15" hidden="false" customHeight="true" outlineLevel="0" collapsed="false">
      <c r="A16" s="5" t="s">
        <v>52</v>
      </c>
      <c r="B16" s="15" t="n">
        <v>3.5</v>
      </c>
      <c r="Z16" s="9" t="s">
        <v>53</v>
      </c>
    </row>
    <row r="17" customFormat="false" ht="15" hidden="false" customHeight="true" outlineLevel="0" collapsed="false">
      <c r="A17" s="5" t="s">
        <v>54</v>
      </c>
      <c r="B17" s="14" t="n">
        <v>2</v>
      </c>
      <c r="Z17" s="9" t="s">
        <v>55</v>
      </c>
    </row>
    <row r="18" customFormat="false" ht="15" hidden="false" customHeight="true" outlineLevel="0" collapsed="false">
      <c r="A18" s="5" t="s">
        <v>56</v>
      </c>
      <c r="B18" s="10" t="s">
        <v>57</v>
      </c>
      <c r="Z18" s="9" t="s">
        <v>58</v>
      </c>
    </row>
    <row r="19" customFormat="false" ht="14.25" hidden="false" customHeight="true" outlineLevel="0" collapsed="false">
      <c r="A19" s="5" t="s">
        <v>59</v>
      </c>
      <c r="B19" s="16" t="s">
        <v>57</v>
      </c>
      <c r="D19" s="17" t="str">
        <f aca="false">IF(OR(B19="是",B20="是"),"自动→大板：EPE上下垫片+四角护角+纸箱+托盘+缠绕膜+打包带","自动→小板：防静电气泡袋+隔板+纸箱+护角+托盘+缠绕膜")</f>
        <v>自动→大板：EPE上下垫片+四角护角+纸箱+托盘+缠绕膜+打包带</v>
      </c>
      <c r="Z19" s="9" t="s">
        <v>60</v>
      </c>
    </row>
    <row r="20" customFormat="false" ht="15" hidden="false" customHeight="true" outlineLevel="0" collapsed="false">
      <c r="A20" s="5" t="s">
        <v>61</v>
      </c>
      <c r="B20" s="16" t="s">
        <v>57</v>
      </c>
      <c r="D20" s="5" t="s">
        <v>62</v>
      </c>
      <c r="E20" s="18" t="n">
        <v>12</v>
      </c>
      <c r="F20" s="5" t="s">
        <v>63</v>
      </c>
      <c r="G20" s="19" t="n">
        <f aca="false">参数!$B$46</f>
        <v>60</v>
      </c>
    </row>
    <row r="21" customFormat="false" ht="15" hidden="false" customHeight="true" outlineLevel="0" collapsed="false">
      <c r="A21" s="20" t="s">
        <v>64</v>
      </c>
      <c r="Z21" s="9" t="s">
        <v>65</v>
      </c>
    </row>
    <row r="22" customFormat="false" ht="15" hidden="false" customHeight="true" outlineLevel="0" collapsed="false">
      <c r="A22" s="5" t="s">
        <v>66</v>
      </c>
      <c r="B22" s="10" t="s">
        <v>67</v>
      </c>
      <c r="Z22" s="9" t="s">
        <v>68</v>
      </c>
    </row>
    <row r="23" customFormat="false" ht="15" hidden="false" customHeight="true" outlineLevel="0" collapsed="false">
      <c r="A23" s="5" t="s">
        <v>69</v>
      </c>
      <c r="B23" s="10" t="s">
        <v>70</v>
      </c>
      <c r="Z23" s="9" t="s">
        <v>71</v>
      </c>
    </row>
    <row r="24" customFormat="false" ht="15" hidden="false" customHeight="true" outlineLevel="0" collapsed="false">
      <c r="A24" s="5" t="s">
        <v>72</v>
      </c>
      <c r="B24" s="10" t="n">
        <v>20</v>
      </c>
      <c r="Z24" s="9" t="s">
        <v>73</v>
      </c>
    </row>
    <row r="25" customFormat="false" ht="15" hidden="false" customHeight="true" outlineLevel="0" collapsed="false">
      <c r="A25" s="5" t="s">
        <v>74</v>
      </c>
      <c r="B25" s="21"/>
      <c r="Z25" s="9" t="s">
        <v>75</v>
      </c>
    </row>
    <row r="26" customFormat="false" ht="15" hidden="false" customHeight="true" outlineLevel="0" collapsed="false">
      <c r="A26" s="5" t="s">
        <v>76</v>
      </c>
      <c r="B26" s="13" t="s">
        <v>77</v>
      </c>
      <c r="Z26" s="9" t="s">
        <v>78</v>
      </c>
    </row>
    <row r="27" customFormat="false" ht="15" hidden="false" customHeight="true" outlineLevel="0" collapsed="false">
      <c r="A27" s="22" t="s">
        <v>79</v>
      </c>
      <c r="B27" s="22"/>
      <c r="C27" s="22"/>
      <c r="D27" s="22"/>
      <c r="E27" s="22"/>
      <c r="F27" s="23"/>
      <c r="Z27" s="9" t="s">
        <v>80</v>
      </c>
    </row>
    <row r="28" customFormat="false" ht="15" hidden="false" customHeight="true" outlineLevel="0" collapsed="false">
      <c r="A28" s="24" t="s">
        <v>81</v>
      </c>
      <c r="B28" s="24" t="s">
        <v>82</v>
      </c>
      <c r="C28" s="24" t="s">
        <v>83</v>
      </c>
      <c r="D28" s="24" t="s">
        <v>40</v>
      </c>
      <c r="E28" s="24" t="s">
        <v>84</v>
      </c>
      <c r="F28" s="23"/>
      <c r="Z28" s="9" t="s">
        <v>85</v>
      </c>
    </row>
    <row r="29" customFormat="false" ht="15" hidden="false" customHeight="true" outlineLevel="0" collapsed="false">
      <c r="A29" s="25" t="s">
        <v>86</v>
      </c>
      <c r="B29" s="26" t="n">
        <f aca="false">SUMIFS(物料明细!$H:$H,物料明细!$B:$B,"硬件")</f>
        <v>358.463161</v>
      </c>
      <c r="C29" s="27" t="s">
        <v>87</v>
      </c>
      <c r="D29" s="28" t="s">
        <v>88</v>
      </c>
      <c r="E29" s="28"/>
      <c r="F29" s="23"/>
      <c r="Z29" s="9" t="s">
        <v>89</v>
      </c>
    </row>
    <row r="30" customFormat="false" ht="15" hidden="false" customHeight="true" outlineLevel="0" collapsed="false">
      <c r="A30" s="25" t="s">
        <v>90</v>
      </c>
      <c r="B30" s="26" t="n">
        <f aca="false">SUMIFS(物料明细!$H:$H,物料明细!$B:$B,"结构件")</f>
        <v>416.4798</v>
      </c>
      <c r="C30" s="27" t="s">
        <v>87</v>
      </c>
      <c r="D30" s="28" t="s">
        <v>91</v>
      </c>
      <c r="E30" s="28"/>
      <c r="F30" s="23"/>
      <c r="Z30" s="9" t="s">
        <v>92</v>
      </c>
    </row>
    <row r="31" customFormat="false" ht="15" hidden="false" customHeight="true" outlineLevel="0" collapsed="false">
      <c r="A31" s="25" t="s">
        <v>93</v>
      </c>
      <c r="B31" s="26" t="n">
        <f aca="false">SUMIFS(物料明细!$H:$H,物料明细!$B:$B,"散热器")</f>
        <v>68</v>
      </c>
      <c r="C31" s="27" t="s">
        <v>87</v>
      </c>
      <c r="D31" s="28" t="s">
        <v>94</v>
      </c>
      <c r="E31" s="28"/>
      <c r="F31" s="23"/>
      <c r="Z31" s="9" t="s">
        <v>95</v>
      </c>
    </row>
    <row r="32" customFormat="false" ht="15" hidden="false" customHeight="true" outlineLevel="0" collapsed="false">
      <c r="A32" s="25" t="s">
        <v>96</v>
      </c>
      <c r="B32" s="26" t="n">
        <f aca="false">SUMIFS(物料明细!$H:$H,物料明细!$B:$B,"包装材料")</f>
        <v>63.7765</v>
      </c>
      <c r="C32" s="27" t="s">
        <v>87</v>
      </c>
      <c r="D32" s="28" t="str">
        <f aca="false">"包装BOM实际(商空方案8项)；包装计算模型估算="&amp;TEXT(包装计算!$B$43,"0.00")&amp;"元/件，可互校"</f>
        <v>包装BOM实际(商空方案8项)；包装计算模型估算=43.67元/件，可互校</v>
      </c>
      <c r="E32" s="28"/>
      <c r="F32" s="23"/>
      <c r="Z32" s="9" t="s">
        <v>97</v>
      </c>
    </row>
    <row r="33" customFormat="false" ht="15" hidden="false" customHeight="true" outlineLevel="0" collapsed="false">
      <c r="A33" s="25" t="s">
        <v>98</v>
      </c>
      <c r="B33" s="26" t="n">
        <f aca="false">SUMIFS(物料明细!$H:$H,物料明细!$B:$B,"辅助材料")</f>
        <v>37.9431150521604</v>
      </c>
      <c r="C33" s="27" t="s">
        <v>87</v>
      </c>
      <c r="D33" s="28" t="s">
        <v>99</v>
      </c>
      <c r="E33" s="28"/>
      <c r="F33" s="23"/>
      <c r="Z33" s="9" t="s">
        <v>100</v>
      </c>
    </row>
    <row r="34" customFormat="false" ht="15" hidden="false" customHeight="true" outlineLevel="0" collapsed="false">
      <c r="A34" s="25" t="s">
        <v>101</v>
      </c>
      <c r="B34" s="26" t="n">
        <f aca="false">加工成本明细!$C$18</f>
        <v>126.4283</v>
      </c>
      <c r="C34" s="27" t="s">
        <v>87</v>
      </c>
      <c r="D34" s="28" t="s">
        <v>102</v>
      </c>
      <c r="E34" s="28"/>
      <c r="F34" s="23"/>
    </row>
    <row r="35" customFormat="false" ht="15" hidden="false" customHeight="true" outlineLevel="0" collapsed="false">
      <c r="A35" s="25" t="s">
        <v>103</v>
      </c>
      <c r="B35" s="29" t="n">
        <f aca="false">SUM(B29:B34)</f>
        <v>1071.09087605216</v>
      </c>
      <c r="C35" s="27" t="s">
        <v>87</v>
      </c>
      <c r="D35" s="28" t="s">
        <v>104</v>
      </c>
      <c r="E35" s="28"/>
      <c r="F35" s="23"/>
      <c r="Z35" s="9" t="s">
        <v>105</v>
      </c>
    </row>
    <row r="36" customFormat="false" ht="15" hidden="false" customHeight="true" outlineLevel="0" collapsed="false">
      <c r="A36" s="25" t="s">
        <v>106</v>
      </c>
      <c r="B36" s="26" t="n">
        <f aca="false">B35*参数!$B$50</f>
        <v>14.4597268267042</v>
      </c>
      <c r="C36" s="27" t="s">
        <v>87</v>
      </c>
      <c r="D36" s="28" t="s">
        <v>107</v>
      </c>
      <c r="E36" s="28"/>
      <c r="F36" s="23"/>
      <c r="Z36" s="9" t="s">
        <v>108</v>
      </c>
    </row>
    <row r="37" customFormat="false" ht="14.25" hidden="false" customHeight="true" outlineLevel="0" collapsed="false">
      <c r="A37" s="25" t="s">
        <v>5</v>
      </c>
      <c r="B37" s="26" t="n">
        <f aca="false">IF(ISNUMBER(运费计算!$B$33),运费计算!$B$33,B35*参数!$B$51)</f>
        <v>12.4246541622051</v>
      </c>
      <c r="C37" s="27" t="s">
        <v>87</v>
      </c>
      <c r="D37" s="28" t="str">
        <f aca="false">IF(ISNUMBER(运费计算!$B$33),"跨越费率自动计算(运费计算表)","跨越费率未覆盖该目的地，按参数B51运费率回退")</f>
        <v>跨越费率未覆盖该目的地，按参数B51运费率回退</v>
      </c>
      <c r="E37" s="28"/>
      <c r="F37" s="23"/>
      <c r="Z37" s="9" t="s">
        <v>109</v>
      </c>
    </row>
    <row r="38" customFormat="false" ht="15" hidden="false" customHeight="true" outlineLevel="0" collapsed="false">
      <c r="A38" s="25" t="s">
        <v>110</v>
      </c>
      <c r="B38" s="26" t="n">
        <f aca="false">SUM(B35:B37)*参数!$B$52</f>
        <v>0</v>
      </c>
      <c r="C38" s="27" t="s">
        <v>87</v>
      </c>
      <c r="D38" s="28" t="s">
        <v>111</v>
      </c>
      <c r="E38" s="28"/>
      <c r="F38" s="23"/>
      <c r="Z38" s="9" t="s">
        <v>112</v>
      </c>
    </row>
    <row r="39" customFormat="false" ht="15" hidden="false" customHeight="true" outlineLevel="0" collapsed="false">
      <c r="A39" s="30" t="s">
        <v>113</v>
      </c>
      <c r="B39" s="31" t="n">
        <f aca="false">SUM(B35:B38)</f>
        <v>1097.97525704107</v>
      </c>
      <c r="C39" s="32" t="s">
        <v>87</v>
      </c>
      <c r="D39" s="33" t="s">
        <v>114</v>
      </c>
      <c r="E39" s="33"/>
      <c r="F39" s="23"/>
      <c r="Z39" s="9" t="s">
        <v>115</v>
      </c>
    </row>
    <row r="40" customFormat="false" ht="15" hidden="false" customHeight="true" outlineLevel="0" collapsed="false">
      <c r="A40" s="34"/>
      <c r="B40" s="23"/>
      <c r="C40" s="35"/>
      <c r="D40" s="35"/>
      <c r="E40" s="23"/>
      <c r="F40" s="23"/>
      <c r="Z40" s="9" t="s">
        <v>116</v>
      </c>
    </row>
    <row r="41" customFormat="false" ht="15" hidden="false" customHeight="true" outlineLevel="0" collapsed="false">
      <c r="A41" s="22" t="s">
        <v>117</v>
      </c>
      <c r="B41" s="22"/>
      <c r="C41" s="22"/>
      <c r="D41" s="22"/>
      <c r="E41" s="22"/>
      <c r="F41" s="23"/>
      <c r="Z41" s="9" t="s">
        <v>118</v>
      </c>
    </row>
    <row r="42" customFormat="false" ht="15" hidden="false" customHeight="true" outlineLevel="0" collapsed="false">
      <c r="A42" s="24" t="s">
        <v>119</v>
      </c>
      <c r="B42" s="36" t="s">
        <v>120</v>
      </c>
      <c r="C42" s="24" t="s">
        <v>83</v>
      </c>
      <c r="D42" s="24" t="s">
        <v>40</v>
      </c>
      <c r="E42" s="24" t="s">
        <v>84</v>
      </c>
      <c r="F42" s="23"/>
      <c r="Z42" s="9" t="s">
        <v>121</v>
      </c>
    </row>
    <row r="43" customFormat="false" ht="15" hidden="false" customHeight="true" outlineLevel="0" collapsed="false">
      <c r="A43" s="25" t="s">
        <v>122</v>
      </c>
      <c r="B43" s="37" t="n">
        <f aca="false">参数!B4</f>
        <v>0.3</v>
      </c>
      <c r="C43" s="38" t="s">
        <v>123</v>
      </c>
      <c r="D43" s="28" t="s">
        <v>124</v>
      </c>
      <c r="E43" s="28"/>
      <c r="F43" s="23"/>
      <c r="Z43" s="9" t="s">
        <v>125</v>
      </c>
    </row>
    <row r="44" customFormat="false" ht="15" hidden="false" customHeight="true" outlineLevel="0" collapsed="false">
      <c r="A44" s="39" t="s">
        <v>126</v>
      </c>
      <c r="B44" s="31" t="n">
        <f aca="false">IFERROR(B39/(1-B43),0)</f>
        <v>1568.53608148724</v>
      </c>
      <c r="C44" s="32" t="s">
        <v>87</v>
      </c>
      <c r="D44" s="33" t="s">
        <v>127</v>
      </c>
      <c r="E44" s="33"/>
      <c r="F44" s="23"/>
      <c r="Z44" s="9" t="s">
        <v>128</v>
      </c>
    </row>
    <row r="45" customFormat="false" ht="15" hidden="false" customHeight="true" outlineLevel="0" collapsed="false">
      <c r="A45" s="25" t="s">
        <v>129</v>
      </c>
      <c r="B45" s="37" t="n">
        <f aca="false">参数!B3</f>
        <v>0.13</v>
      </c>
      <c r="C45" s="38" t="s">
        <v>123</v>
      </c>
      <c r="D45" s="28" t="s">
        <v>130</v>
      </c>
      <c r="E45" s="28"/>
      <c r="F45" s="23"/>
      <c r="Z45" s="9" t="s">
        <v>131</v>
      </c>
    </row>
    <row r="46" customFormat="false" ht="15" hidden="false" customHeight="true" outlineLevel="0" collapsed="false">
      <c r="A46" s="39" t="s">
        <v>132</v>
      </c>
      <c r="B46" s="31" t="n">
        <f aca="false">B44*(1+B45)</f>
        <v>1772.44577208058</v>
      </c>
      <c r="C46" s="32" t="s">
        <v>87</v>
      </c>
      <c r="D46" s="33" t="s">
        <v>133</v>
      </c>
      <c r="E46" s="33"/>
      <c r="F46" s="23"/>
      <c r="Z46" s="9" t="s">
        <v>134</v>
      </c>
    </row>
    <row r="47" customFormat="false" ht="15" hidden="false" customHeight="true" outlineLevel="0" collapsed="false">
      <c r="A47" s="25" t="s">
        <v>135</v>
      </c>
      <c r="B47" s="40"/>
      <c r="C47" s="27" t="s">
        <v>87</v>
      </c>
      <c r="D47" s="28" t="s">
        <v>136</v>
      </c>
      <c r="E47" s="28"/>
      <c r="F47" s="23"/>
      <c r="Z47" s="9" t="s">
        <v>137</v>
      </c>
    </row>
    <row r="48" customFormat="false" ht="15" hidden="false" customHeight="true" outlineLevel="0" collapsed="false">
      <c r="A48" s="25" t="s">
        <v>138</v>
      </c>
      <c r="B48" s="26" t="str">
        <f aca="false">IF(B47="","",B44-B47)</f>
        <v/>
      </c>
      <c r="C48" s="27" t="s">
        <v>87</v>
      </c>
      <c r="D48" s="28" t="s">
        <v>139</v>
      </c>
      <c r="E48" s="28"/>
      <c r="F48" s="23"/>
      <c r="Z48" s="9" t="s">
        <v>140</v>
      </c>
    </row>
    <row r="49" customFormat="false" ht="14.25" hidden="false" customHeight="true" outlineLevel="0" collapsed="false">
      <c r="A49" s="25" t="s">
        <v>141</v>
      </c>
      <c r="B49" s="37" t="n">
        <f aca="false">IFERROR((B44-B39)/B44,0)</f>
        <v>0.3</v>
      </c>
      <c r="C49" s="38" t="s">
        <v>123</v>
      </c>
      <c r="D49" s="28" t="s">
        <v>142</v>
      </c>
      <c r="E49" s="28"/>
      <c r="F49" s="23"/>
      <c r="Z49" s="9" t="s">
        <v>143</v>
      </c>
    </row>
    <row r="50" customFormat="false" ht="15" hidden="false" customHeight="true" outlineLevel="0" collapsed="false">
      <c r="A50" s="25" t="s">
        <v>144</v>
      </c>
      <c r="B50" s="41" t="n">
        <f aca="false">B44*B8</f>
        <v>7842680.40743621</v>
      </c>
      <c r="C50" s="27" t="s">
        <v>145</v>
      </c>
      <c r="D50" s="28" t="s">
        <v>142</v>
      </c>
      <c r="E50" s="28"/>
      <c r="F50" s="23"/>
      <c r="Z50" s="9" t="s">
        <v>146</v>
      </c>
    </row>
    <row r="51" customFormat="false" ht="15" hidden="false" customHeight="true" outlineLevel="0" collapsed="false">
      <c r="A51" s="25" t="s">
        <v>147</v>
      </c>
      <c r="B51" s="41" t="n">
        <f aca="false">IFERROR((B44-B39)*B8,0)</f>
        <v>2352804.12223086</v>
      </c>
      <c r="C51" s="27" t="s">
        <v>145</v>
      </c>
      <c r="D51" s="28" t="s">
        <v>142</v>
      </c>
      <c r="E51" s="28"/>
      <c r="F51" s="23"/>
      <c r="Z51" s="9" t="s">
        <v>148</v>
      </c>
    </row>
    <row r="52" customFormat="false" ht="15" hidden="false" customHeight="true" outlineLevel="0" collapsed="false">
      <c r="A52" s="34"/>
      <c r="B52" s="23"/>
      <c r="C52" s="23"/>
      <c r="D52" s="23"/>
      <c r="E52" s="23"/>
      <c r="F52" s="23"/>
      <c r="Z52" s="9" t="s">
        <v>149</v>
      </c>
    </row>
    <row r="53" customFormat="false" ht="14.25" hidden="false" customHeight="true" outlineLevel="0" collapsed="false">
      <c r="A53" s="22" t="s">
        <v>150</v>
      </c>
      <c r="B53" s="22"/>
      <c r="C53" s="22"/>
      <c r="D53" s="22"/>
      <c r="E53" s="22"/>
      <c r="F53" s="23"/>
      <c r="Z53" s="9" t="s">
        <v>151</v>
      </c>
    </row>
    <row r="54" customFormat="false" ht="14.25" hidden="false" customHeight="true" outlineLevel="0" collapsed="false">
      <c r="A54" s="24" t="s">
        <v>152</v>
      </c>
      <c r="B54" s="42" t="s">
        <v>82</v>
      </c>
      <c r="C54" s="24" t="s">
        <v>83</v>
      </c>
      <c r="D54" s="24" t="s">
        <v>40</v>
      </c>
      <c r="E54" s="24" t="s">
        <v>84</v>
      </c>
      <c r="F54" s="23"/>
      <c r="Z54" s="9" t="s">
        <v>153</v>
      </c>
    </row>
    <row r="55" customFormat="false" ht="14.25" hidden="false" customHeight="true" outlineLevel="0" collapsed="false">
      <c r="A55" s="25" t="s">
        <v>154</v>
      </c>
      <c r="B55" s="41" t="n">
        <f aca="false">参数!B54</f>
        <v>48700</v>
      </c>
      <c r="C55" s="27" t="s">
        <v>155</v>
      </c>
      <c r="D55" s="28" t="s">
        <v>156</v>
      </c>
      <c r="E55" s="28"/>
      <c r="F55" s="23"/>
      <c r="Z55" s="9" t="s">
        <v>157</v>
      </c>
    </row>
    <row r="56" customFormat="false" ht="14.25" hidden="false" customHeight="true" outlineLevel="0" collapsed="false">
      <c r="A56" s="43" t="s">
        <v>158</v>
      </c>
      <c r="B56" s="41" t="n">
        <f aca="false">参数!B53</f>
        <v>29499.1150442478</v>
      </c>
      <c r="C56" s="27" t="s">
        <v>155</v>
      </c>
      <c r="D56" s="28" t="s">
        <v>159</v>
      </c>
      <c r="E56" s="28"/>
      <c r="F56" s="23"/>
      <c r="Z56" s="9" t="s">
        <v>160</v>
      </c>
    </row>
    <row r="57" customFormat="false" ht="14.25" hidden="false" customHeight="true" outlineLevel="0" collapsed="false">
      <c r="A57" s="39" t="s">
        <v>161</v>
      </c>
      <c r="B57" s="44" t="n">
        <f aca="false">SUM(B55:B56)</f>
        <v>78199.1150442478</v>
      </c>
      <c r="C57" s="32" t="s">
        <v>155</v>
      </c>
      <c r="D57" s="33" t="s">
        <v>162</v>
      </c>
      <c r="E57" s="33"/>
      <c r="F57" s="23"/>
      <c r="Z57" s="9" t="s">
        <v>163</v>
      </c>
    </row>
    <row r="58" customFormat="false" ht="14.25" hidden="false" customHeight="true" outlineLevel="0" collapsed="false">
      <c r="A58" s="23"/>
      <c r="B58" s="23"/>
      <c r="C58" s="23"/>
      <c r="D58" s="23"/>
      <c r="E58" s="23"/>
      <c r="F58" s="23"/>
      <c r="Z58" s="9" t="s">
        <v>164</v>
      </c>
    </row>
    <row r="59" customFormat="false" ht="14.25" hidden="false" customHeight="true" outlineLevel="0" collapsed="false">
      <c r="A59" s="22" t="s">
        <v>165</v>
      </c>
      <c r="B59" s="22"/>
      <c r="C59" s="22"/>
      <c r="D59" s="22"/>
      <c r="E59" s="22"/>
      <c r="F59" s="23"/>
      <c r="Z59" s="9" t="s">
        <v>166</v>
      </c>
    </row>
    <row r="60" customFormat="false" ht="14.25" hidden="false" customHeight="true" outlineLevel="0" collapsed="false">
      <c r="A60" s="24" t="s">
        <v>167</v>
      </c>
      <c r="B60" s="24" t="s">
        <v>168</v>
      </c>
      <c r="C60" s="24" t="s">
        <v>83</v>
      </c>
      <c r="D60" s="24" t="s">
        <v>40</v>
      </c>
      <c r="E60" s="24" t="s">
        <v>84</v>
      </c>
      <c r="F60" s="23"/>
      <c r="Z60" s="9" t="s">
        <v>169</v>
      </c>
    </row>
    <row r="61" customFormat="false" ht="14.25" hidden="false" customHeight="true" outlineLevel="0" collapsed="false">
      <c r="A61" s="25" t="s">
        <v>170</v>
      </c>
      <c r="B61" s="45" t="n">
        <f aca="false">COUNTIF(物料明细!$B:$B,"客供料")</f>
        <v>8</v>
      </c>
      <c r="C61" s="27" t="s">
        <v>171</v>
      </c>
      <c r="D61" s="28" t="s">
        <v>172</v>
      </c>
      <c r="E61" s="28"/>
      <c r="F61" s="23"/>
      <c r="Z61" s="9" t="s">
        <v>173</v>
      </c>
    </row>
    <row r="62" customFormat="false" ht="14.25" hidden="false" customHeight="true" outlineLevel="0" collapsed="false">
      <c r="A62" s="43" t="s">
        <v>174</v>
      </c>
      <c r="B62" s="45" t="n">
        <f aca="false">COUNTIFS(物料明细!$B:$B,"硬件",物料明细!$I:$I,"是")</f>
        <v>8</v>
      </c>
      <c r="C62" s="27" t="s">
        <v>171</v>
      </c>
      <c r="D62" s="28" t="s">
        <v>175</v>
      </c>
      <c r="E62" s="28"/>
      <c r="F62" s="23"/>
      <c r="Z62" s="9" t="s">
        <v>176</v>
      </c>
    </row>
    <row r="63" customFormat="false" ht="14.25" hidden="false" customHeight="true" outlineLevel="0" collapsed="false">
      <c r="A63" s="25" t="s">
        <v>177</v>
      </c>
      <c r="B63" s="45" t="n">
        <f aca="false">COUNTIFS(物料明细!$H:$H,0,物料明细!$I:$I,"否")</f>
        <v>0</v>
      </c>
      <c r="C63" s="27" t="s">
        <v>171</v>
      </c>
      <c r="D63" s="28" t="s">
        <v>178</v>
      </c>
      <c r="E63" s="28"/>
      <c r="F63" s="23"/>
      <c r="Z63" s="9" t="s">
        <v>179</v>
      </c>
    </row>
    <row r="64" customFormat="false" ht="14.25" hidden="false" customHeight="true" outlineLevel="0" collapsed="false">
      <c r="A64" s="25" t="s">
        <v>180</v>
      </c>
      <c r="B64" s="46" t="n">
        <f aca="false">SUMPRODUCT((物料明细!$B$3:$B$339="客供料")*物料明细!$E$3:$E$339*物料明细!$F$3:$F$339)</f>
        <v>565.138</v>
      </c>
      <c r="C64" s="27" t="s">
        <v>87</v>
      </c>
      <c r="D64" s="28" t="s">
        <v>181</v>
      </c>
      <c r="E64" s="28"/>
      <c r="F64" s="23"/>
      <c r="Z64" s="9" t="s">
        <v>182</v>
      </c>
    </row>
    <row r="65" customFormat="false" ht="14.25" hidden="false" customHeight="true" outlineLevel="0" collapsed="false">
      <c r="A65" s="25" t="s">
        <v>183</v>
      </c>
      <c r="B65" s="46" t="n">
        <f aca="false">参数!B55</f>
        <v>554.3197</v>
      </c>
      <c r="C65" s="27" t="s">
        <v>87</v>
      </c>
      <c r="D65" s="28" t="s">
        <v>184</v>
      </c>
      <c r="E65" s="28"/>
      <c r="F65" s="23"/>
      <c r="Z65" s="9" t="s">
        <v>185</v>
      </c>
    </row>
    <row r="66" customFormat="false" ht="14.25" hidden="false" customHeight="true" outlineLevel="0" collapsed="false">
      <c r="A66" s="23"/>
      <c r="B66" s="23"/>
      <c r="C66" s="23"/>
      <c r="D66" s="23"/>
      <c r="E66" s="23"/>
      <c r="F66" s="23"/>
      <c r="Z66" s="9" t="s">
        <v>186</v>
      </c>
    </row>
    <row r="67" customFormat="false" ht="14.25" hidden="false" customHeight="true" outlineLevel="0" collapsed="false">
      <c r="A67" s="23"/>
      <c r="B67" s="23"/>
      <c r="C67" s="23"/>
      <c r="D67" s="23"/>
      <c r="E67" s="23"/>
      <c r="F67" s="23"/>
      <c r="Z67" s="9" t="s">
        <v>187</v>
      </c>
    </row>
    <row r="68" customFormat="false" ht="14.25" hidden="false" customHeight="true" outlineLevel="0" collapsed="false">
      <c r="A68" s="23"/>
      <c r="B68" s="23"/>
      <c r="C68" s="23"/>
      <c r="D68" s="23"/>
      <c r="E68" s="23"/>
      <c r="F68" s="23"/>
      <c r="Z68" s="9" t="s">
        <v>188</v>
      </c>
    </row>
    <row r="69" customFormat="false" ht="14.25" hidden="false" customHeight="true" outlineLevel="0" collapsed="false">
      <c r="A69" s="23"/>
      <c r="B69" s="23"/>
      <c r="C69" s="23"/>
      <c r="D69" s="23"/>
      <c r="E69" s="23"/>
      <c r="F69" s="23"/>
      <c r="Z69" s="9" t="s">
        <v>189</v>
      </c>
    </row>
    <row r="70" customFormat="false" ht="14.25" hidden="false" customHeight="true" outlineLevel="0" collapsed="false">
      <c r="A70" s="23"/>
      <c r="B70" s="23"/>
      <c r="C70" s="23"/>
      <c r="D70" s="23"/>
      <c r="E70" s="23"/>
      <c r="F70" s="23"/>
      <c r="Z70" s="9" t="s">
        <v>190</v>
      </c>
    </row>
    <row r="71" customFormat="false" ht="14.25" hidden="false" customHeight="true" outlineLevel="0" collapsed="false">
      <c r="Z71" s="9" t="s">
        <v>191</v>
      </c>
    </row>
    <row r="72" customFormat="false" ht="14.25" hidden="false" customHeight="true" outlineLevel="0" collapsed="false">
      <c r="Z72" s="9" t="s">
        <v>192</v>
      </c>
    </row>
    <row r="73" customFormat="false" ht="14.25" hidden="false" customHeight="true" outlineLevel="0" collapsed="false">
      <c r="Z73" s="9" t="s">
        <v>193</v>
      </c>
    </row>
    <row r="74" customFormat="false" ht="14.25" hidden="false" customHeight="true" outlineLevel="0" collapsed="false">
      <c r="Z74" s="9" t="s">
        <v>194</v>
      </c>
    </row>
    <row r="75" customFormat="false" ht="14.25" hidden="false" customHeight="true" outlineLevel="0" collapsed="false">
      <c r="Z75" s="9" t="s">
        <v>195</v>
      </c>
    </row>
    <row r="76" customFormat="false" ht="14.25" hidden="false" customHeight="true" outlineLevel="0" collapsed="false">
      <c r="Z76" s="9" t="s">
        <v>196</v>
      </c>
    </row>
    <row r="77" customFormat="false" ht="14.25" hidden="false" customHeight="true" outlineLevel="0" collapsed="false">
      <c r="Z77" s="9" t="s">
        <v>197</v>
      </c>
    </row>
    <row r="78" customFormat="false" ht="14.25" hidden="false" customHeight="true" outlineLevel="0" collapsed="false">
      <c r="Z78" s="9" t="s">
        <v>198</v>
      </c>
    </row>
    <row r="79" customFormat="false" ht="14.25" hidden="false" customHeight="true" outlineLevel="0" collapsed="false">
      <c r="Z79" s="9" t="s">
        <v>199</v>
      </c>
    </row>
    <row r="80" customFormat="false" ht="14.25" hidden="false" customHeight="true" outlineLevel="0" collapsed="false">
      <c r="Z80" s="9" t="s">
        <v>200</v>
      </c>
    </row>
    <row r="81" customFormat="false" ht="14.25" hidden="false" customHeight="true" outlineLevel="0" collapsed="false">
      <c r="Z81" s="9" t="s">
        <v>201</v>
      </c>
    </row>
    <row r="82" customFormat="false" ht="14.25" hidden="false" customHeight="true" outlineLevel="0" collapsed="false">
      <c r="Z82" s="9" t="s">
        <v>202</v>
      </c>
    </row>
    <row r="83" customFormat="false" ht="14.25" hidden="false" customHeight="true" outlineLevel="0" collapsed="false">
      <c r="Z83" s="9" t="s">
        <v>203</v>
      </c>
    </row>
    <row r="84" customFormat="false" ht="14.25" hidden="false" customHeight="true" outlineLevel="0" collapsed="false">
      <c r="Z84" s="9" t="s">
        <v>204</v>
      </c>
    </row>
    <row r="85" customFormat="false" ht="14.25" hidden="false" customHeight="true" outlineLevel="0" collapsed="false">
      <c r="Z85" s="9" t="s">
        <v>205</v>
      </c>
    </row>
    <row r="86" customFormat="false" ht="14.25" hidden="false" customHeight="true" outlineLevel="0" collapsed="false">
      <c r="Z86" s="9" t="s">
        <v>206</v>
      </c>
    </row>
    <row r="87" customFormat="false" ht="14.25" hidden="false" customHeight="true" outlineLevel="0" collapsed="false">
      <c r="Z87" s="9" t="s">
        <v>207</v>
      </c>
    </row>
    <row r="88" customFormat="false" ht="14.25" hidden="false" customHeight="true" outlineLevel="0" collapsed="false">
      <c r="Z88" s="9" t="s">
        <v>208</v>
      </c>
    </row>
    <row r="89" customFormat="false" ht="14.25" hidden="false" customHeight="true" outlineLevel="0" collapsed="false">
      <c r="Z89" s="9" t="s">
        <v>209</v>
      </c>
    </row>
    <row r="90" customFormat="false" ht="14.25" hidden="false" customHeight="true" outlineLevel="0" collapsed="false">
      <c r="Z90" s="9" t="s">
        <v>210</v>
      </c>
    </row>
    <row r="91" customFormat="false" ht="14.25" hidden="false" customHeight="true" outlineLevel="0" collapsed="false">
      <c r="Z91" s="9" t="s">
        <v>211</v>
      </c>
    </row>
    <row r="92" customFormat="false" ht="14.25" hidden="false" customHeight="true" outlineLevel="0" collapsed="false">
      <c r="Z92" s="9" t="s">
        <v>212</v>
      </c>
    </row>
    <row r="93" customFormat="false" ht="14.25" hidden="false" customHeight="true" outlineLevel="0" collapsed="false">
      <c r="Z93" s="9" t="s">
        <v>213</v>
      </c>
    </row>
    <row r="94" customFormat="false" ht="14.25" hidden="false" customHeight="true" outlineLevel="0" collapsed="false">
      <c r="Z94" s="9" t="s">
        <v>214</v>
      </c>
    </row>
    <row r="95" customFormat="false" ht="14.25" hidden="false" customHeight="true" outlineLevel="0" collapsed="false">
      <c r="Z95" s="9" t="s">
        <v>215</v>
      </c>
    </row>
    <row r="96" customFormat="false" ht="14.25" hidden="false" customHeight="true" outlineLevel="0" collapsed="false">
      <c r="Z96" s="9" t="s">
        <v>216</v>
      </c>
    </row>
    <row r="97" customFormat="false" ht="14.25" hidden="false" customHeight="true" outlineLevel="0" collapsed="false">
      <c r="Z97" s="9" t="s">
        <v>217</v>
      </c>
    </row>
    <row r="98" customFormat="false" ht="14.25" hidden="false" customHeight="true" outlineLevel="0" collapsed="false">
      <c r="Z98" s="9" t="s">
        <v>218</v>
      </c>
    </row>
    <row r="99" customFormat="false" ht="14.25" hidden="false" customHeight="true" outlineLevel="0" collapsed="false">
      <c r="Z99" s="9" t="s">
        <v>219</v>
      </c>
    </row>
    <row r="100" customFormat="false" ht="14.25" hidden="false" customHeight="true" outlineLevel="0" collapsed="false">
      <c r="Z100" s="9" t="s">
        <v>220</v>
      </c>
    </row>
    <row r="101" customFormat="false" ht="14.25" hidden="false" customHeight="true" outlineLevel="0" collapsed="false">
      <c r="Z101" s="9" t="s">
        <v>221</v>
      </c>
    </row>
    <row r="102" customFormat="false" ht="14.25" hidden="false" customHeight="true" outlineLevel="0" collapsed="false">
      <c r="Z102" s="9" t="s">
        <v>222</v>
      </c>
    </row>
    <row r="103" customFormat="false" ht="14.25" hidden="false" customHeight="true" outlineLevel="0" collapsed="false">
      <c r="Z103" s="9" t="s">
        <v>223</v>
      </c>
    </row>
    <row r="104" customFormat="false" ht="14.25" hidden="false" customHeight="true" outlineLevel="0" collapsed="false">
      <c r="Z104" s="9" t="s">
        <v>224</v>
      </c>
    </row>
    <row r="105" customFormat="false" ht="14.25" hidden="false" customHeight="true" outlineLevel="0" collapsed="false">
      <c r="Z105" s="9" t="s">
        <v>225</v>
      </c>
    </row>
    <row r="106" customFormat="false" ht="14.25" hidden="false" customHeight="true" outlineLevel="0" collapsed="false">
      <c r="Z106" s="9" t="s">
        <v>226</v>
      </c>
    </row>
    <row r="107" customFormat="false" ht="14.25" hidden="false" customHeight="true" outlineLevel="0" collapsed="false">
      <c r="Z107" s="9" t="s">
        <v>227</v>
      </c>
    </row>
    <row r="108" customFormat="false" ht="14.25" hidden="false" customHeight="true" outlineLevel="0" collapsed="false">
      <c r="Z108" s="9" t="s">
        <v>228</v>
      </c>
    </row>
    <row r="109" customFormat="false" ht="14.25" hidden="false" customHeight="true" outlineLevel="0" collapsed="false">
      <c r="Z109" s="9" t="s">
        <v>229</v>
      </c>
    </row>
    <row r="110" customFormat="false" ht="14.25" hidden="false" customHeight="true" outlineLevel="0" collapsed="false">
      <c r="Z110" s="9" t="s">
        <v>230</v>
      </c>
    </row>
    <row r="111" customFormat="false" ht="14.25" hidden="false" customHeight="true" outlineLevel="0" collapsed="false">
      <c r="Z111" s="9" t="s">
        <v>231</v>
      </c>
    </row>
    <row r="112" customFormat="false" ht="14.25" hidden="false" customHeight="true" outlineLevel="0" collapsed="false">
      <c r="Z112" s="9" t="s">
        <v>232</v>
      </c>
    </row>
    <row r="113" customFormat="false" ht="14.25" hidden="false" customHeight="true" outlineLevel="0" collapsed="false">
      <c r="Z113" s="9" t="s">
        <v>233</v>
      </c>
    </row>
    <row r="114" customFormat="false" ht="14.25" hidden="false" customHeight="true" outlineLevel="0" collapsed="false">
      <c r="Z114" s="9" t="s">
        <v>234</v>
      </c>
    </row>
    <row r="115" customFormat="false" ht="14.25" hidden="false" customHeight="true" outlineLevel="0" collapsed="false">
      <c r="Z115" s="9" t="s">
        <v>235</v>
      </c>
    </row>
    <row r="116" customFormat="false" ht="14.25" hidden="false" customHeight="true" outlineLevel="0" collapsed="false">
      <c r="Z116" s="9" t="s">
        <v>236</v>
      </c>
    </row>
    <row r="117" customFormat="false" ht="14.25" hidden="false" customHeight="true" outlineLevel="0" collapsed="false">
      <c r="Z117" s="9" t="s">
        <v>237</v>
      </c>
    </row>
    <row r="118" customFormat="false" ht="14.25" hidden="false" customHeight="true" outlineLevel="0" collapsed="false">
      <c r="Z118" s="9" t="s">
        <v>238</v>
      </c>
    </row>
    <row r="119" customFormat="false" ht="13.5" hidden="false" customHeight="true" outlineLevel="0" collapsed="false">
      <c r="Z119" s="9" t="s">
        <v>239</v>
      </c>
    </row>
    <row r="120" customFormat="false" ht="13.5" hidden="false" customHeight="true" outlineLevel="0" collapsed="false">
      <c r="Z120" s="9" t="s">
        <v>240</v>
      </c>
    </row>
  </sheetData>
  <mergeCells count="35">
    <mergeCell ref="A1:E1"/>
    <mergeCell ref="A3:E3"/>
    <mergeCell ref="A12:E12"/>
    <mergeCell ref="A27:E27"/>
    <mergeCell ref="D29:E29"/>
    <mergeCell ref="D30:E30"/>
    <mergeCell ref="D31:E31"/>
    <mergeCell ref="D32:E32"/>
    <mergeCell ref="D33:E33"/>
    <mergeCell ref="D34:E34"/>
    <mergeCell ref="D35:E35"/>
    <mergeCell ref="D36:E36"/>
    <mergeCell ref="D37:E37"/>
    <mergeCell ref="D38:E38"/>
    <mergeCell ref="D39:E39"/>
    <mergeCell ref="A41:E41"/>
    <mergeCell ref="D43:E43"/>
    <mergeCell ref="D44:E44"/>
    <mergeCell ref="D45:E45"/>
    <mergeCell ref="D46:E46"/>
    <mergeCell ref="D47:E47"/>
    <mergeCell ref="D48:E48"/>
    <mergeCell ref="D49:E49"/>
    <mergeCell ref="D50:E50"/>
    <mergeCell ref="D51:E51"/>
    <mergeCell ref="A53:E53"/>
    <mergeCell ref="D55:E55"/>
    <mergeCell ref="D56:E56"/>
    <mergeCell ref="D57:E57"/>
    <mergeCell ref="A59:E59"/>
    <mergeCell ref="D61:E61"/>
    <mergeCell ref="D62:E62"/>
    <mergeCell ref="D63:E63"/>
    <mergeCell ref="D64:E64"/>
    <mergeCell ref="D65:E65"/>
  </mergeCells>
  <conditionalFormatting sqref="B4:B6">
    <cfRule type="expression" priority="2" aboveAverage="0" equalAverage="0" bottom="0" percent="0" rank="0" text="" dxfId="0">
      <formula>LEN(B4)&gt;0</formula>
    </cfRule>
  </conditionalFormatting>
  <conditionalFormatting sqref="B8:B9">
    <cfRule type="expression" priority="3" aboveAverage="0" equalAverage="0" bottom="0" percent="0" rank="0" text="" dxfId="0">
      <formula>LEN(B8)&gt;0</formula>
    </cfRule>
  </conditionalFormatting>
  <conditionalFormatting sqref="B13:B20">
    <cfRule type="expression" priority="4" aboveAverage="0" equalAverage="0" bottom="0" percent="0" rank="0" text="" dxfId="0">
      <formula>LEN(B13)&gt;0</formula>
    </cfRule>
  </conditionalFormatting>
  <conditionalFormatting sqref="E20">
    <cfRule type="expression" priority="5" aboveAverage="0" equalAverage="0" bottom="0" percent="0" rank="0" text="" dxfId="0">
      <formula>LEN(E20)&gt;0</formula>
    </cfRule>
  </conditionalFormatting>
  <conditionalFormatting sqref="G20">
    <cfRule type="expression" priority="6" aboveAverage="0" equalAverage="0" bottom="0" percent="0" rank="0" text="" dxfId="0">
      <formula>LEN(G20)&gt;0</formula>
    </cfRule>
  </conditionalFormatting>
  <conditionalFormatting sqref="B22:B24">
    <cfRule type="expression" priority="7" aboveAverage="0" equalAverage="0" bottom="0" percent="0" rank="0" text="" dxfId="0">
      <formula>LEN(B22)&gt;0</formula>
    </cfRule>
  </conditionalFormatting>
  <dataValidations count="3">
    <dataValidation allowBlank="true" errorStyle="stop" operator="between" showDropDown="false" showErrorMessage="true" showInputMessage="false" sqref="B18" type="list">
      <formula1>"否,是"</formula1>
      <formula2>0</formula2>
    </dataValidation>
    <dataValidation allowBlank="false" errorStyle="stop" operator="between" showDropDown="false" showErrorMessage="false" showInputMessage="false" sqref="B19:B20" type="list">
      <formula1>"否,是"</formula1>
      <formula2>0</formula2>
    </dataValidation>
    <dataValidation allowBlank="true" errorStyle="stop" operator="between" showDropDown="false" showErrorMessage="false" showInputMessage="false" sqref="B22" type="list">
      <formula1>"次日达,特惠普运"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28"/>
    <col collapsed="false" customWidth="true" hidden="false" outlineLevel="0" max="6" min="5" style="1" width="12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10"/>
    <col collapsed="false" customWidth="true" hidden="false" outlineLevel="0" max="10" min="10" style="1" width="24"/>
  </cols>
  <sheetData>
    <row r="1" customFormat="false" ht="18" hidden="false" customHeight="true" outlineLevel="0" collapsed="false">
      <c r="A1" s="47" t="s">
        <v>241</v>
      </c>
      <c r="B1" s="47"/>
      <c r="C1" s="47"/>
      <c r="D1" s="47"/>
      <c r="E1" s="47"/>
      <c r="F1" s="47"/>
      <c r="G1" s="47"/>
      <c r="H1" s="47"/>
      <c r="I1" s="47"/>
    </row>
    <row r="2" customFormat="false" ht="15" hidden="false" customHeight="true" outlineLevel="0" collapsed="false">
      <c r="A2" s="24" t="s">
        <v>242</v>
      </c>
      <c r="B2" s="24" t="s">
        <v>243</v>
      </c>
      <c r="C2" s="24" t="s">
        <v>244</v>
      </c>
      <c r="D2" s="24" t="s">
        <v>245</v>
      </c>
      <c r="E2" s="24" t="s">
        <v>246</v>
      </c>
      <c r="F2" s="24" t="s">
        <v>247</v>
      </c>
      <c r="G2" s="24" t="s">
        <v>248</v>
      </c>
      <c r="H2" s="24" t="s">
        <v>82</v>
      </c>
      <c r="I2" s="24" t="s">
        <v>249</v>
      </c>
      <c r="J2" s="24" t="s">
        <v>40</v>
      </c>
    </row>
    <row r="3" customFormat="false" ht="13.5" hidden="false" customHeight="true" outlineLevel="0" collapsed="false">
      <c r="A3" s="27" t="n">
        <f aca="false">IF(C3&lt;&gt;"",ROW()-2,"")</f>
        <v>1</v>
      </c>
      <c r="B3" s="48" t="s">
        <v>250</v>
      </c>
      <c r="C3" s="49" t="s">
        <v>251</v>
      </c>
      <c r="D3" s="28" t="s">
        <v>252</v>
      </c>
      <c r="E3" s="50" t="n">
        <v>18</v>
      </c>
      <c r="F3" s="51" t="n">
        <v>0.0045</v>
      </c>
      <c r="G3" s="52"/>
      <c r="H3" s="53" t="n">
        <f aca="false">IF(I3="是",0,IF(OR(E3="",F3=""),0,E3*F3*(1+IF(G3="",0,G3))))</f>
        <v>0.081</v>
      </c>
      <c r="I3" s="48" t="s">
        <v>253</v>
      </c>
      <c r="J3" s="28" t="s">
        <v>254</v>
      </c>
    </row>
    <row r="4" customFormat="false" ht="13.5" hidden="false" customHeight="true" outlineLevel="0" collapsed="false">
      <c r="A4" s="54" t="n">
        <f aca="false">IF(C4&lt;&gt;"",ROW()-2,"")</f>
        <v>2</v>
      </c>
      <c r="B4" s="55" t="s">
        <v>250</v>
      </c>
      <c r="C4" s="56" t="s">
        <v>255</v>
      </c>
      <c r="D4" s="57" t="s">
        <v>256</v>
      </c>
      <c r="E4" s="58" t="n">
        <v>1</v>
      </c>
      <c r="F4" s="59" t="n">
        <v>0.1331</v>
      </c>
      <c r="G4" s="60"/>
      <c r="H4" s="61" t="n">
        <f aca="false">IF(I4="是",0,IF(OR(E4="",F4=""),0,E4*F4*(1+IF(G4="",0,G4))))</f>
        <v>0.1331</v>
      </c>
      <c r="I4" s="55" t="s">
        <v>253</v>
      </c>
      <c r="J4" s="57" t="s">
        <v>257</v>
      </c>
    </row>
    <row r="5" customFormat="false" ht="13.5" hidden="false" customHeight="true" outlineLevel="0" collapsed="false">
      <c r="A5" s="27" t="n">
        <f aca="false">IF(C5&lt;&gt;"",ROW()-2,"")</f>
        <v>3</v>
      </c>
      <c r="B5" s="48" t="s">
        <v>250</v>
      </c>
      <c r="C5" s="49" t="s">
        <v>258</v>
      </c>
      <c r="D5" s="28" t="s">
        <v>259</v>
      </c>
      <c r="E5" s="50" t="n">
        <v>1</v>
      </c>
      <c r="F5" s="51" t="n">
        <v>0.0274</v>
      </c>
      <c r="G5" s="52"/>
      <c r="H5" s="53" t="n">
        <f aca="false">IF(I5="是",0,IF(OR(E5="",F5=""),0,E5*F5*(1+IF(G5="",0,G5))))</f>
        <v>0.0274</v>
      </c>
      <c r="I5" s="48" t="s">
        <v>253</v>
      </c>
      <c r="J5" s="28" t="s">
        <v>260</v>
      </c>
    </row>
    <row r="6" customFormat="false" ht="13.5" hidden="false" customHeight="true" outlineLevel="0" collapsed="false">
      <c r="A6" s="54" t="n">
        <f aca="false">IF(C6&lt;&gt;"",ROW()-2,"")</f>
        <v>4</v>
      </c>
      <c r="B6" s="55" t="s">
        <v>250</v>
      </c>
      <c r="C6" s="56" t="s">
        <v>261</v>
      </c>
      <c r="D6" s="57" t="s">
        <v>262</v>
      </c>
      <c r="E6" s="58" t="n">
        <v>1</v>
      </c>
      <c r="F6" s="59" t="n">
        <v>0.222</v>
      </c>
      <c r="G6" s="60"/>
      <c r="H6" s="61" t="n">
        <f aca="false">IF(I6="是",0,IF(OR(E6="",F6=""),0,E6*F6*(1+IF(G6="",0,G6))))</f>
        <v>0.222</v>
      </c>
      <c r="I6" s="55" t="s">
        <v>253</v>
      </c>
      <c r="J6" s="57" t="s">
        <v>263</v>
      </c>
    </row>
    <row r="7" customFormat="false" ht="13.5" hidden="false" customHeight="true" outlineLevel="0" collapsed="false">
      <c r="A7" s="27" t="n">
        <f aca="false">IF(C7&lt;&gt;"",ROW()-2,"")</f>
        <v>5</v>
      </c>
      <c r="B7" s="48" t="s">
        <v>250</v>
      </c>
      <c r="C7" s="49" t="s">
        <v>264</v>
      </c>
      <c r="D7" s="28" t="s">
        <v>265</v>
      </c>
      <c r="E7" s="50" t="n">
        <v>2</v>
      </c>
      <c r="F7" s="51" t="n">
        <v>0.322</v>
      </c>
      <c r="G7" s="52"/>
      <c r="H7" s="53" t="n">
        <f aca="false">IF(I7="是",0,IF(OR(E7="",F7=""),0,E7*F7*(1+IF(G7="",0,G7))))</f>
        <v>0.644</v>
      </c>
      <c r="I7" s="48" t="s">
        <v>253</v>
      </c>
      <c r="J7" s="28" t="s">
        <v>263</v>
      </c>
    </row>
    <row r="8" customFormat="false" ht="13.5" hidden="false" customHeight="true" outlineLevel="0" collapsed="false">
      <c r="A8" s="54" t="n">
        <f aca="false">IF(C8&lt;&gt;"",ROW()-2,"")</f>
        <v>6</v>
      </c>
      <c r="B8" s="55" t="s">
        <v>250</v>
      </c>
      <c r="C8" s="56" t="s">
        <v>266</v>
      </c>
      <c r="D8" s="57" t="s">
        <v>267</v>
      </c>
      <c r="E8" s="58" t="n">
        <v>1</v>
      </c>
      <c r="F8" s="59" t="n">
        <v>0.0045</v>
      </c>
      <c r="G8" s="60"/>
      <c r="H8" s="61" t="n">
        <f aca="false">IF(I8="是",0,IF(OR(E8="",F8=""),0,E8*F8*(1+IF(G8="",0,G8))))</f>
        <v>0.0045</v>
      </c>
      <c r="I8" s="55" t="s">
        <v>253</v>
      </c>
      <c r="J8" s="57" t="s">
        <v>268</v>
      </c>
    </row>
    <row r="9" customFormat="false" ht="13.5" hidden="false" customHeight="true" outlineLevel="0" collapsed="false">
      <c r="A9" s="27" t="n">
        <f aca="false">IF(C9&lt;&gt;"",ROW()-2,"")</f>
        <v>7</v>
      </c>
      <c r="B9" s="48" t="s">
        <v>250</v>
      </c>
      <c r="C9" s="49" t="s">
        <v>269</v>
      </c>
      <c r="D9" s="28" t="s">
        <v>270</v>
      </c>
      <c r="E9" s="50" t="n">
        <v>2</v>
      </c>
      <c r="F9" s="51" t="n">
        <v>0.0058</v>
      </c>
      <c r="G9" s="52"/>
      <c r="H9" s="53" t="n">
        <f aca="false">IF(I9="是",0,IF(OR(E9="",F9=""),0,E9*F9*(1+IF(G9="",0,G9))))</f>
        <v>0.0116</v>
      </c>
      <c r="I9" s="48" t="s">
        <v>253</v>
      </c>
      <c r="J9" s="28" t="s">
        <v>268</v>
      </c>
    </row>
    <row r="10" customFormat="false" ht="13.5" hidden="false" customHeight="true" outlineLevel="0" collapsed="false">
      <c r="A10" s="54" t="n">
        <f aca="false">IF(C10&lt;&gt;"",ROW()-2,"")</f>
        <v>8</v>
      </c>
      <c r="B10" s="55" t="s">
        <v>250</v>
      </c>
      <c r="C10" s="56" t="s">
        <v>271</v>
      </c>
      <c r="D10" s="57" t="s">
        <v>272</v>
      </c>
      <c r="E10" s="58" t="n">
        <v>2</v>
      </c>
      <c r="F10" s="59" t="n">
        <v>0.0083</v>
      </c>
      <c r="G10" s="60"/>
      <c r="H10" s="61" t="n">
        <f aca="false">IF(I10="是",0,IF(OR(E10="",F10=""),0,E10*F10*(1+IF(G10="",0,G10))))</f>
        <v>0.0166</v>
      </c>
      <c r="I10" s="55" t="s">
        <v>253</v>
      </c>
      <c r="J10" s="57" t="s">
        <v>268</v>
      </c>
    </row>
    <row r="11" customFormat="false" ht="13.5" hidden="false" customHeight="true" outlineLevel="0" collapsed="false">
      <c r="A11" s="27" t="n">
        <f aca="false">IF(C11&lt;&gt;"",ROW()-2,"")</f>
        <v>9</v>
      </c>
      <c r="B11" s="48" t="s">
        <v>250</v>
      </c>
      <c r="C11" s="49" t="s">
        <v>273</v>
      </c>
      <c r="D11" s="28" t="s">
        <v>274</v>
      </c>
      <c r="E11" s="50" t="n">
        <v>2</v>
      </c>
      <c r="F11" s="51" t="n">
        <v>2.38</v>
      </c>
      <c r="G11" s="52"/>
      <c r="H11" s="53" t="n">
        <f aca="false">IF(I11="是",0,IF(OR(E11="",F11=""),0,E11*F11*(1+IF(G11="",0,G11))))</f>
        <v>4.76</v>
      </c>
      <c r="I11" s="48" t="s">
        <v>253</v>
      </c>
      <c r="J11" s="28" t="s">
        <v>275</v>
      </c>
    </row>
    <row r="12" customFormat="false" ht="13.5" hidden="false" customHeight="true" outlineLevel="0" collapsed="false">
      <c r="A12" s="54" t="n">
        <f aca="false">IF(C12&lt;&gt;"",ROW()-2,"")</f>
        <v>10</v>
      </c>
      <c r="B12" s="55" t="s">
        <v>250</v>
      </c>
      <c r="C12" s="56" t="s">
        <v>276</v>
      </c>
      <c r="D12" s="57" t="s">
        <v>277</v>
      </c>
      <c r="E12" s="58" t="n">
        <v>8</v>
      </c>
      <c r="F12" s="59" t="n">
        <v>0.023</v>
      </c>
      <c r="G12" s="60"/>
      <c r="H12" s="61" t="n">
        <f aca="false">IF(I12="是",0,IF(OR(E12="",F12=""),0,E12*F12*(1+IF(G12="",0,G12))))</f>
        <v>0.184</v>
      </c>
      <c r="I12" s="55" t="s">
        <v>253</v>
      </c>
      <c r="J12" s="57" t="s">
        <v>268</v>
      </c>
    </row>
    <row r="13" customFormat="false" ht="13.5" hidden="false" customHeight="true" outlineLevel="0" collapsed="false">
      <c r="A13" s="27" t="n">
        <f aca="false">IF(C13&lt;&gt;"",ROW()-2,"")</f>
        <v>11</v>
      </c>
      <c r="B13" s="48" t="s">
        <v>250</v>
      </c>
      <c r="C13" s="49" t="s">
        <v>278</v>
      </c>
      <c r="D13" s="28" t="s">
        <v>279</v>
      </c>
      <c r="E13" s="50" t="n">
        <v>3</v>
      </c>
      <c r="F13" s="51" t="n">
        <v>0.065</v>
      </c>
      <c r="G13" s="52"/>
      <c r="H13" s="53" t="n">
        <f aca="false">IF(I13="是",0,IF(OR(E13="",F13=""),0,E13*F13*(1+IF(G13="",0,G13))))</f>
        <v>0.195</v>
      </c>
      <c r="I13" s="48" t="s">
        <v>253</v>
      </c>
      <c r="J13" s="28" t="s">
        <v>268</v>
      </c>
    </row>
    <row r="14" customFormat="false" ht="13.5" hidden="false" customHeight="true" outlineLevel="0" collapsed="false">
      <c r="A14" s="54" t="n">
        <f aca="false">IF(C14&lt;&gt;"",ROW()-2,"")</f>
        <v>12</v>
      </c>
      <c r="B14" s="55" t="s">
        <v>250</v>
      </c>
      <c r="C14" s="56" t="s">
        <v>280</v>
      </c>
      <c r="D14" s="57" t="s">
        <v>281</v>
      </c>
      <c r="E14" s="58" t="n">
        <v>1</v>
      </c>
      <c r="F14" s="59" t="n">
        <v>0.0828</v>
      </c>
      <c r="G14" s="60"/>
      <c r="H14" s="61" t="n">
        <f aca="false">IF(I14="是",0,IF(OR(E14="",F14=""),0,E14*F14*(1+IF(G14="",0,G14))))</f>
        <v>0.0828</v>
      </c>
      <c r="I14" s="55" t="s">
        <v>253</v>
      </c>
      <c r="J14" s="57" t="s">
        <v>268</v>
      </c>
    </row>
    <row r="15" customFormat="false" ht="13.5" hidden="false" customHeight="true" outlineLevel="0" collapsed="false">
      <c r="A15" s="27" t="n">
        <f aca="false">IF(C15&lt;&gt;"",ROW()-2,"")</f>
        <v>13</v>
      </c>
      <c r="B15" s="48" t="s">
        <v>250</v>
      </c>
      <c r="C15" s="49" t="s">
        <v>282</v>
      </c>
      <c r="D15" s="28" t="s">
        <v>283</v>
      </c>
      <c r="E15" s="50" t="n">
        <v>1</v>
      </c>
      <c r="F15" s="51" t="n">
        <v>0.092</v>
      </c>
      <c r="G15" s="52"/>
      <c r="H15" s="53" t="n">
        <f aca="false">IF(I15="是",0,IF(OR(E15="",F15=""),0,E15*F15*(1+IF(G15="",0,G15))))</f>
        <v>0.092</v>
      </c>
      <c r="I15" s="48" t="s">
        <v>253</v>
      </c>
      <c r="J15" s="28" t="s">
        <v>268</v>
      </c>
    </row>
    <row r="16" customFormat="false" ht="13.5" hidden="false" customHeight="true" outlineLevel="0" collapsed="false">
      <c r="A16" s="54" t="n">
        <f aca="false">IF(C16&lt;&gt;"",ROW()-2,"")</f>
        <v>14</v>
      </c>
      <c r="B16" s="55" t="s">
        <v>250</v>
      </c>
      <c r="C16" s="56" t="s">
        <v>284</v>
      </c>
      <c r="D16" s="57" t="s">
        <v>285</v>
      </c>
      <c r="E16" s="58" t="n">
        <v>3</v>
      </c>
      <c r="F16" s="59" t="n">
        <v>0.9</v>
      </c>
      <c r="G16" s="60"/>
      <c r="H16" s="61" t="n">
        <f aca="false">IF(I16="是",0,IF(OR(E16="",F16=""),0,E16*F16*(1+IF(G16="",0,G16))))</f>
        <v>2.7</v>
      </c>
      <c r="I16" s="55" t="s">
        <v>253</v>
      </c>
      <c r="J16" s="57" t="s">
        <v>275</v>
      </c>
    </row>
    <row r="17" customFormat="false" ht="13.5" hidden="false" customHeight="true" outlineLevel="0" collapsed="false">
      <c r="A17" s="27" t="n">
        <f aca="false">IF(C17&lt;&gt;"",ROW()-2,"")</f>
        <v>15</v>
      </c>
      <c r="B17" s="48" t="s">
        <v>250</v>
      </c>
      <c r="C17" s="49" t="s">
        <v>286</v>
      </c>
      <c r="D17" s="28" t="s">
        <v>287</v>
      </c>
      <c r="E17" s="50" t="n">
        <v>8</v>
      </c>
      <c r="F17" s="51" t="n">
        <v>0.22</v>
      </c>
      <c r="G17" s="52"/>
      <c r="H17" s="53" t="n">
        <f aca="false">IF(I17="是",0,IF(OR(E17="",F17=""),0,E17*F17*(1+IF(G17="",0,G17))))</f>
        <v>1.76</v>
      </c>
      <c r="I17" s="48" t="s">
        <v>253</v>
      </c>
      <c r="J17" s="28" t="s">
        <v>268</v>
      </c>
    </row>
    <row r="18" customFormat="false" ht="13.5" hidden="false" customHeight="true" outlineLevel="0" collapsed="false">
      <c r="A18" s="54" t="n">
        <f aca="false">IF(C18&lt;&gt;"",ROW()-2,"")</f>
        <v>16</v>
      </c>
      <c r="B18" s="55" t="s">
        <v>250</v>
      </c>
      <c r="C18" s="56" t="s">
        <v>288</v>
      </c>
      <c r="D18" s="57" t="s">
        <v>289</v>
      </c>
      <c r="E18" s="58" t="n">
        <v>1</v>
      </c>
      <c r="F18" s="59" t="n">
        <v>0.0042</v>
      </c>
      <c r="G18" s="60"/>
      <c r="H18" s="61" t="n">
        <f aca="false">IF(I18="是",0,IF(OR(E18="",F18=""),0,E18*F18*(1+IF(G18="",0,G18))))</f>
        <v>0.0042</v>
      </c>
      <c r="I18" s="55" t="s">
        <v>253</v>
      </c>
      <c r="J18" s="57" t="s">
        <v>290</v>
      </c>
    </row>
    <row r="19" customFormat="false" ht="13.5" hidden="false" customHeight="true" outlineLevel="0" collapsed="false">
      <c r="A19" s="27" t="n">
        <f aca="false">IF(C19&lt;&gt;"",ROW()-2,"")</f>
        <v>17</v>
      </c>
      <c r="B19" s="48" t="s">
        <v>250</v>
      </c>
      <c r="C19" s="49" t="s">
        <v>291</v>
      </c>
      <c r="D19" s="28" t="s">
        <v>292</v>
      </c>
      <c r="E19" s="50" t="n">
        <v>49</v>
      </c>
      <c r="F19" s="51" t="n">
        <v>0.0018</v>
      </c>
      <c r="G19" s="52"/>
      <c r="H19" s="53" t="n">
        <f aca="false">IF(I19="是",0,IF(OR(E19="",F19=""),0,E19*F19*(1+IF(G19="",0,G19))))</f>
        <v>0.0882</v>
      </c>
      <c r="I19" s="48" t="s">
        <v>253</v>
      </c>
      <c r="J19" s="28" t="s">
        <v>268</v>
      </c>
    </row>
    <row r="20" customFormat="false" ht="13.5" hidden="false" customHeight="true" outlineLevel="0" collapsed="false">
      <c r="A20" s="54" t="n">
        <f aca="false">IF(C20&lt;&gt;"",ROW()-2,"")</f>
        <v>18</v>
      </c>
      <c r="B20" s="55" t="s">
        <v>250</v>
      </c>
      <c r="C20" s="56" t="s">
        <v>293</v>
      </c>
      <c r="D20" s="57" t="s">
        <v>294</v>
      </c>
      <c r="E20" s="58" t="n">
        <v>25</v>
      </c>
      <c r="F20" s="59" t="n">
        <v>0.0018</v>
      </c>
      <c r="G20" s="60"/>
      <c r="H20" s="61" t="n">
        <f aca="false">IF(I20="是",0,IF(OR(E20="",F20=""),0,E20*F20*(1+IF(G20="",0,G20))))</f>
        <v>0.045</v>
      </c>
      <c r="I20" s="55" t="s">
        <v>253</v>
      </c>
      <c r="J20" s="57" t="s">
        <v>290</v>
      </c>
    </row>
    <row r="21" customFormat="false" ht="13.5" hidden="false" customHeight="true" outlineLevel="0" collapsed="false">
      <c r="A21" s="27" t="n">
        <f aca="false">IF(C21&lt;&gt;"",ROW()-2,"")</f>
        <v>19</v>
      </c>
      <c r="B21" s="48" t="s">
        <v>250</v>
      </c>
      <c r="C21" s="49" t="s">
        <v>295</v>
      </c>
      <c r="D21" s="28" t="s">
        <v>296</v>
      </c>
      <c r="E21" s="50" t="n">
        <v>9</v>
      </c>
      <c r="F21" s="51" t="n">
        <v>0.0018</v>
      </c>
      <c r="G21" s="52"/>
      <c r="H21" s="53" t="n">
        <f aca="false">IF(I21="是",0,IF(OR(E21="",F21=""),0,E21*F21*(1+IF(G21="",0,G21))))</f>
        <v>0.0162</v>
      </c>
      <c r="I21" s="48" t="s">
        <v>253</v>
      </c>
      <c r="J21" s="28" t="s">
        <v>290</v>
      </c>
    </row>
    <row r="22" customFormat="false" ht="13.5" hidden="false" customHeight="true" outlineLevel="0" collapsed="false">
      <c r="A22" s="54" t="n">
        <f aca="false">IF(C22&lt;&gt;"",ROW()-2,"")</f>
        <v>20</v>
      </c>
      <c r="B22" s="55" t="s">
        <v>250</v>
      </c>
      <c r="C22" s="56" t="s">
        <v>297</v>
      </c>
      <c r="D22" s="57" t="s">
        <v>298</v>
      </c>
      <c r="E22" s="58" t="n">
        <v>2</v>
      </c>
      <c r="F22" s="59" t="n">
        <v>0.0018</v>
      </c>
      <c r="G22" s="60"/>
      <c r="H22" s="61" t="n">
        <f aca="false">IF(I22="是",0,IF(OR(E22="",F22=""),0,E22*F22*(1+IF(G22="",0,G22))))</f>
        <v>0.0036</v>
      </c>
      <c r="I22" s="55" t="s">
        <v>253</v>
      </c>
      <c r="J22" s="57" t="s">
        <v>290</v>
      </c>
    </row>
    <row r="23" customFormat="false" ht="13.5" hidden="false" customHeight="true" outlineLevel="0" collapsed="false">
      <c r="A23" s="27" t="n">
        <f aca="false">IF(C23&lt;&gt;"",ROW()-2,"")</f>
        <v>21</v>
      </c>
      <c r="B23" s="48" t="s">
        <v>250</v>
      </c>
      <c r="C23" s="49" t="s">
        <v>299</v>
      </c>
      <c r="D23" s="28" t="s">
        <v>300</v>
      </c>
      <c r="E23" s="50" t="n">
        <v>7</v>
      </c>
      <c r="F23" s="51" t="n">
        <v>0.0018</v>
      </c>
      <c r="G23" s="52"/>
      <c r="H23" s="53" t="n">
        <f aca="false">IF(I23="是",0,IF(OR(E23="",F23=""),0,E23*F23*(1+IF(G23="",0,G23))))</f>
        <v>0.0126</v>
      </c>
      <c r="I23" s="48" t="s">
        <v>253</v>
      </c>
      <c r="J23" s="28" t="s">
        <v>290</v>
      </c>
    </row>
    <row r="24" customFormat="false" ht="13.5" hidden="false" customHeight="true" outlineLevel="0" collapsed="false">
      <c r="A24" s="54" t="n">
        <f aca="false">IF(C24&lt;&gt;"",ROW()-2,"")</f>
        <v>22</v>
      </c>
      <c r="B24" s="55" t="s">
        <v>250</v>
      </c>
      <c r="C24" s="56" t="s">
        <v>301</v>
      </c>
      <c r="D24" s="57" t="s">
        <v>302</v>
      </c>
      <c r="E24" s="58" t="n">
        <v>2</v>
      </c>
      <c r="F24" s="59" t="n">
        <v>0.0018</v>
      </c>
      <c r="G24" s="60"/>
      <c r="H24" s="61" t="n">
        <f aca="false">IF(I24="是",0,IF(OR(E24="",F24=""),0,E24*F24*(1+IF(G24="",0,G24))))</f>
        <v>0.0036</v>
      </c>
      <c r="I24" s="55" t="s">
        <v>253</v>
      </c>
      <c r="J24" s="57" t="s">
        <v>290</v>
      </c>
    </row>
    <row r="25" customFormat="false" ht="13.5" hidden="false" customHeight="true" outlineLevel="0" collapsed="false">
      <c r="A25" s="27" t="n">
        <f aca="false">IF(C25&lt;&gt;"",ROW()-2,"")</f>
        <v>23</v>
      </c>
      <c r="B25" s="48" t="s">
        <v>250</v>
      </c>
      <c r="C25" s="49" t="s">
        <v>303</v>
      </c>
      <c r="D25" s="28" t="s">
        <v>304</v>
      </c>
      <c r="E25" s="50" t="n">
        <v>8</v>
      </c>
      <c r="F25" s="51" t="n">
        <v>0.0018</v>
      </c>
      <c r="G25" s="52"/>
      <c r="H25" s="53" t="n">
        <f aca="false">IF(I25="是",0,IF(OR(E25="",F25=""),0,E25*F25*(1+IF(G25="",0,G25))))</f>
        <v>0.0144</v>
      </c>
      <c r="I25" s="48" t="s">
        <v>253</v>
      </c>
      <c r="J25" s="28" t="s">
        <v>290</v>
      </c>
    </row>
    <row r="26" customFormat="false" ht="13.5" hidden="false" customHeight="true" outlineLevel="0" collapsed="false">
      <c r="A26" s="54" t="n">
        <f aca="false">IF(C26&lt;&gt;"",ROW()-2,"")</f>
        <v>24</v>
      </c>
      <c r="B26" s="55" t="s">
        <v>250</v>
      </c>
      <c r="C26" s="56" t="s">
        <v>305</v>
      </c>
      <c r="D26" s="57" t="s">
        <v>306</v>
      </c>
      <c r="E26" s="58" t="n">
        <v>2</v>
      </c>
      <c r="F26" s="59" t="n">
        <v>0.0042</v>
      </c>
      <c r="G26" s="60"/>
      <c r="H26" s="61" t="n">
        <f aca="false">IF(I26="是",0,IF(OR(E26="",F26=""),0,E26*F26*(1+IF(G26="",0,G26))))</f>
        <v>0.0084</v>
      </c>
      <c r="I26" s="55" t="s">
        <v>253</v>
      </c>
      <c r="J26" s="57" t="s">
        <v>290</v>
      </c>
    </row>
    <row r="27" customFormat="false" ht="13.5" hidden="false" customHeight="true" outlineLevel="0" collapsed="false">
      <c r="A27" s="27" t="n">
        <f aca="false">IF(C27&lt;&gt;"",ROW()-2,"")</f>
        <v>25</v>
      </c>
      <c r="B27" s="48" t="s">
        <v>250</v>
      </c>
      <c r="C27" s="49" t="s">
        <v>307</v>
      </c>
      <c r="D27" s="28" t="s">
        <v>308</v>
      </c>
      <c r="E27" s="50" t="n">
        <v>1</v>
      </c>
      <c r="F27" s="51" t="n">
        <v>0.0018</v>
      </c>
      <c r="G27" s="52"/>
      <c r="H27" s="53" t="n">
        <f aca="false">IF(I27="是",0,IF(OR(E27="",F27=""),0,E27*F27*(1+IF(G27="",0,G27))))</f>
        <v>0.0018</v>
      </c>
      <c r="I27" s="48" t="s">
        <v>253</v>
      </c>
      <c r="J27" s="28" t="s">
        <v>290</v>
      </c>
    </row>
    <row r="28" customFormat="false" ht="13.5" hidden="false" customHeight="true" outlineLevel="0" collapsed="false">
      <c r="A28" s="54" t="n">
        <f aca="false">IF(C28&lt;&gt;"",ROW()-2,"")</f>
        <v>26</v>
      </c>
      <c r="B28" s="55" t="s">
        <v>250</v>
      </c>
      <c r="C28" s="56" t="s">
        <v>309</v>
      </c>
      <c r="D28" s="57" t="s">
        <v>310</v>
      </c>
      <c r="E28" s="58" t="n">
        <v>1</v>
      </c>
      <c r="F28" s="59" t="n">
        <v>0.0018</v>
      </c>
      <c r="G28" s="60"/>
      <c r="H28" s="61" t="n">
        <f aca="false">IF(I28="是",0,IF(OR(E28="",F28=""),0,E28*F28*(1+IF(G28="",0,G28))))</f>
        <v>0.0018</v>
      </c>
      <c r="I28" s="55" t="s">
        <v>253</v>
      </c>
      <c r="J28" s="57" t="s">
        <v>268</v>
      </c>
    </row>
    <row r="29" customFormat="false" ht="13.5" hidden="false" customHeight="true" outlineLevel="0" collapsed="false">
      <c r="A29" s="27" t="n">
        <f aca="false">IF(C29&lt;&gt;"",ROW()-2,"")</f>
        <v>27</v>
      </c>
      <c r="B29" s="48" t="s">
        <v>250</v>
      </c>
      <c r="C29" s="49" t="s">
        <v>311</v>
      </c>
      <c r="D29" s="28" t="s">
        <v>312</v>
      </c>
      <c r="E29" s="50" t="n">
        <v>8</v>
      </c>
      <c r="F29" s="51" t="n">
        <v>0.0018</v>
      </c>
      <c r="G29" s="52"/>
      <c r="H29" s="53" t="n">
        <f aca="false">IF(I29="是",0,IF(OR(E29="",F29=""),0,E29*F29*(1+IF(G29="",0,G29))))</f>
        <v>0.0144</v>
      </c>
      <c r="I29" s="48" t="s">
        <v>253</v>
      </c>
      <c r="J29" s="28" t="s">
        <v>290</v>
      </c>
    </row>
    <row r="30" customFormat="false" ht="13.5" hidden="false" customHeight="true" outlineLevel="0" collapsed="false">
      <c r="A30" s="54" t="n">
        <f aca="false">IF(C30&lt;&gt;"",ROW()-2,"")</f>
        <v>28</v>
      </c>
      <c r="B30" s="55" t="s">
        <v>250</v>
      </c>
      <c r="C30" s="56" t="s">
        <v>313</v>
      </c>
      <c r="D30" s="57" t="s">
        <v>314</v>
      </c>
      <c r="E30" s="58" t="n">
        <v>2</v>
      </c>
      <c r="F30" s="59" t="n">
        <v>0.0018</v>
      </c>
      <c r="G30" s="60"/>
      <c r="H30" s="61" t="n">
        <f aca="false">IF(I30="是",0,IF(OR(E30="",F30=""),0,E30*F30*(1+IF(G30="",0,G30))))</f>
        <v>0.0036</v>
      </c>
      <c r="I30" s="55" t="s">
        <v>253</v>
      </c>
      <c r="J30" s="57" t="s">
        <v>268</v>
      </c>
    </row>
    <row r="31" customFormat="false" ht="13.5" hidden="false" customHeight="true" outlineLevel="0" collapsed="false">
      <c r="A31" s="27" t="n">
        <f aca="false">IF(C31&lt;&gt;"",ROW()-2,"")</f>
        <v>29</v>
      </c>
      <c r="B31" s="48" t="s">
        <v>250</v>
      </c>
      <c r="C31" s="49" t="s">
        <v>315</v>
      </c>
      <c r="D31" s="28" t="s">
        <v>316</v>
      </c>
      <c r="E31" s="50" t="n">
        <v>29</v>
      </c>
      <c r="F31" s="51" t="n">
        <v>0.0018</v>
      </c>
      <c r="G31" s="52"/>
      <c r="H31" s="53" t="n">
        <f aca="false">IF(I31="是",0,IF(OR(E31="",F31=""),0,E31*F31*(1+IF(G31="",0,G31))))</f>
        <v>0.0522</v>
      </c>
      <c r="I31" s="48" t="s">
        <v>253</v>
      </c>
      <c r="J31" s="28" t="s">
        <v>290</v>
      </c>
    </row>
    <row r="32" customFormat="false" ht="13.5" hidden="false" customHeight="true" outlineLevel="0" collapsed="false">
      <c r="A32" s="54" t="n">
        <f aca="false">IF(C32&lt;&gt;"",ROW()-2,"")</f>
        <v>30</v>
      </c>
      <c r="B32" s="55" t="s">
        <v>250</v>
      </c>
      <c r="C32" s="56" t="s">
        <v>317</v>
      </c>
      <c r="D32" s="57" t="s">
        <v>318</v>
      </c>
      <c r="E32" s="58" t="n">
        <v>2</v>
      </c>
      <c r="F32" s="59" t="n">
        <v>0.0018</v>
      </c>
      <c r="G32" s="60"/>
      <c r="H32" s="61" t="n">
        <f aca="false">IF(I32="是",0,IF(OR(E32="",F32=""),0,E32*F32*(1+IF(G32="",0,G32))))</f>
        <v>0.0036</v>
      </c>
      <c r="I32" s="55" t="s">
        <v>253</v>
      </c>
      <c r="J32" s="57" t="s">
        <v>290</v>
      </c>
    </row>
    <row r="33" customFormat="false" ht="13.5" hidden="false" customHeight="true" outlineLevel="0" collapsed="false">
      <c r="A33" s="27" t="n">
        <f aca="false">IF(C33&lt;&gt;"",ROW()-2,"")</f>
        <v>31</v>
      </c>
      <c r="B33" s="48" t="s">
        <v>250</v>
      </c>
      <c r="C33" s="49" t="s">
        <v>319</v>
      </c>
      <c r="D33" s="28" t="s">
        <v>320</v>
      </c>
      <c r="E33" s="50" t="n">
        <v>1</v>
      </c>
      <c r="F33" s="51" t="n">
        <v>0.0018</v>
      </c>
      <c r="G33" s="52"/>
      <c r="H33" s="53" t="n">
        <f aca="false">IF(I33="是",0,IF(OR(E33="",F33=""),0,E33*F33*(1+IF(G33="",0,G33))))</f>
        <v>0.0018</v>
      </c>
      <c r="I33" s="48" t="s">
        <v>253</v>
      </c>
      <c r="J33" s="28" t="s">
        <v>290</v>
      </c>
    </row>
    <row r="34" customFormat="false" ht="13.5" hidden="false" customHeight="true" outlineLevel="0" collapsed="false">
      <c r="A34" s="54" t="n">
        <f aca="false">IF(C34&lt;&gt;"",ROW()-2,"")</f>
        <v>32</v>
      </c>
      <c r="B34" s="55" t="s">
        <v>250</v>
      </c>
      <c r="C34" s="56" t="s">
        <v>321</v>
      </c>
      <c r="D34" s="57" t="s">
        <v>322</v>
      </c>
      <c r="E34" s="58" t="n">
        <v>2</v>
      </c>
      <c r="F34" s="59" t="n">
        <v>0.0018</v>
      </c>
      <c r="G34" s="60"/>
      <c r="H34" s="61" t="n">
        <f aca="false">IF(I34="是",0,IF(OR(E34="",F34=""),0,E34*F34*(1+IF(G34="",0,G34))))</f>
        <v>0.0036</v>
      </c>
      <c r="I34" s="55" t="s">
        <v>253</v>
      </c>
      <c r="J34" s="57" t="s">
        <v>290</v>
      </c>
    </row>
    <row r="35" customFormat="false" ht="13.5" hidden="false" customHeight="true" outlineLevel="0" collapsed="false">
      <c r="A35" s="27" t="n">
        <f aca="false">IF(C35&lt;&gt;"",ROW()-2,"")</f>
        <v>33</v>
      </c>
      <c r="B35" s="48" t="s">
        <v>250</v>
      </c>
      <c r="C35" s="49" t="s">
        <v>323</v>
      </c>
      <c r="D35" s="28" t="s">
        <v>324</v>
      </c>
      <c r="E35" s="50" t="n">
        <v>1</v>
      </c>
      <c r="F35" s="51" t="n">
        <v>0.0058</v>
      </c>
      <c r="G35" s="52"/>
      <c r="H35" s="53" t="n">
        <f aca="false">IF(I35="是",0,IF(OR(E35="",F35=""),0,E35*F35*(1+IF(G35="",0,G35))))</f>
        <v>0.0058</v>
      </c>
      <c r="I35" s="48" t="s">
        <v>253</v>
      </c>
      <c r="J35" s="28" t="s">
        <v>268</v>
      </c>
    </row>
    <row r="36" customFormat="false" ht="13.5" hidden="false" customHeight="true" outlineLevel="0" collapsed="false">
      <c r="A36" s="54" t="n">
        <f aca="false">IF(C36&lt;&gt;"",ROW()-2,"")</f>
        <v>34</v>
      </c>
      <c r="B36" s="55" t="s">
        <v>250</v>
      </c>
      <c r="C36" s="56" t="s">
        <v>325</v>
      </c>
      <c r="D36" s="57" t="s">
        <v>326</v>
      </c>
      <c r="E36" s="58" t="n">
        <v>1</v>
      </c>
      <c r="F36" s="59" t="n">
        <v>0.0018</v>
      </c>
      <c r="G36" s="60"/>
      <c r="H36" s="61" t="n">
        <f aca="false">IF(I36="是",0,IF(OR(E36="",F36=""),0,E36*F36*(1+IF(G36="",0,G36))))</f>
        <v>0.0018</v>
      </c>
      <c r="I36" s="55" t="s">
        <v>253</v>
      </c>
      <c r="J36" s="57" t="s">
        <v>268</v>
      </c>
    </row>
    <row r="37" customFormat="false" ht="13.5" hidden="false" customHeight="true" outlineLevel="0" collapsed="false">
      <c r="A37" s="27" t="n">
        <f aca="false">IF(C37&lt;&gt;"",ROW()-2,"")</f>
        <v>35</v>
      </c>
      <c r="B37" s="48" t="s">
        <v>250</v>
      </c>
      <c r="C37" s="49" t="s">
        <v>327</v>
      </c>
      <c r="D37" s="28" t="s">
        <v>328</v>
      </c>
      <c r="E37" s="50" t="n">
        <v>2</v>
      </c>
      <c r="F37" s="51" t="n">
        <v>0.0043</v>
      </c>
      <c r="G37" s="52"/>
      <c r="H37" s="53" t="n">
        <f aca="false">IF(I37="是",0,IF(OR(E37="",F37=""),0,E37*F37*(1+IF(G37="",0,G37))))</f>
        <v>0.0086</v>
      </c>
      <c r="I37" s="48" t="s">
        <v>253</v>
      </c>
      <c r="J37" s="28" t="s">
        <v>290</v>
      </c>
    </row>
    <row r="38" customFormat="false" ht="13.5" hidden="false" customHeight="true" outlineLevel="0" collapsed="false">
      <c r="A38" s="54" t="n">
        <f aca="false">IF(C38&lt;&gt;"",ROW()-2,"")</f>
        <v>36</v>
      </c>
      <c r="B38" s="55" t="s">
        <v>250</v>
      </c>
      <c r="C38" s="56" t="s">
        <v>329</v>
      </c>
      <c r="D38" s="57" t="s">
        <v>330</v>
      </c>
      <c r="E38" s="58" t="n">
        <v>4</v>
      </c>
      <c r="F38" s="59" t="n">
        <v>0.0057</v>
      </c>
      <c r="G38" s="60"/>
      <c r="H38" s="61" t="n">
        <f aca="false">IF(I38="是",0,IF(OR(E38="",F38=""),0,E38*F38*(1+IF(G38="",0,G38))))</f>
        <v>0.0228</v>
      </c>
      <c r="I38" s="55" t="s">
        <v>253</v>
      </c>
      <c r="J38" s="57" t="s">
        <v>290</v>
      </c>
    </row>
    <row r="39" customFormat="false" ht="13.5" hidden="false" customHeight="true" outlineLevel="0" collapsed="false">
      <c r="A39" s="27" t="n">
        <f aca="false">IF(C39&lt;&gt;"",ROW()-2,"")</f>
        <v>37</v>
      </c>
      <c r="B39" s="48" t="s">
        <v>250</v>
      </c>
      <c r="C39" s="49" t="s">
        <v>331</v>
      </c>
      <c r="D39" s="28" t="s">
        <v>332</v>
      </c>
      <c r="E39" s="50" t="n">
        <v>10</v>
      </c>
      <c r="F39" s="51" t="n">
        <v>0.0058</v>
      </c>
      <c r="G39" s="52"/>
      <c r="H39" s="53" t="n">
        <f aca="false">IF(I39="是",0,IF(OR(E39="",F39=""),0,E39*F39*(1+IF(G39="",0,G39))))</f>
        <v>0.058</v>
      </c>
      <c r="I39" s="48" t="s">
        <v>253</v>
      </c>
      <c r="J39" s="28" t="s">
        <v>268</v>
      </c>
    </row>
    <row r="40" customFormat="false" ht="13.5" hidden="false" customHeight="true" outlineLevel="0" collapsed="false">
      <c r="A40" s="54" t="n">
        <f aca="false">IF(C40&lt;&gt;"",ROW()-2,"")</f>
        <v>38</v>
      </c>
      <c r="B40" s="55" t="s">
        <v>250</v>
      </c>
      <c r="C40" s="56" t="s">
        <v>333</v>
      </c>
      <c r="D40" s="57" t="s">
        <v>334</v>
      </c>
      <c r="E40" s="58" t="n">
        <v>9</v>
      </c>
      <c r="F40" s="59" t="n">
        <v>0.0058</v>
      </c>
      <c r="G40" s="60"/>
      <c r="H40" s="61" t="n">
        <f aca="false">IF(I40="是",0,IF(OR(E40="",F40=""),0,E40*F40*(1+IF(G40="",0,G40))))</f>
        <v>0.0522</v>
      </c>
      <c r="I40" s="55" t="s">
        <v>253</v>
      </c>
      <c r="J40" s="57" t="s">
        <v>268</v>
      </c>
    </row>
    <row r="41" customFormat="false" ht="13.5" hidden="false" customHeight="true" outlineLevel="0" collapsed="false">
      <c r="A41" s="27" t="n">
        <f aca="false">IF(C41&lt;&gt;"",ROW()-2,"")</f>
        <v>39</v>
      </c>
      <c r="B41" s="48" t="s">
        <v>250</v>
      </c>
      <c r="C41" s="49" t="s">
        <v>335</v>
      </c>
      <c r="D41" s="28" t="s">
        <v>336</v>
      </c>
      <c r="E41" s="50" t="n">
        <v>6</v>
      </c>
      <c r="F41" s="51" t="n">
        <v>0.0058</v>
      </c>
      <c r="G41" s="52"/>
      <c r="H41" s="53" t="n">
        <f aca="false">IF(I41="是",0,IF(OR(E41="",F41=""),0,E41*F41*(1+IF(G41="",0,G41))))</f>
        <v>0.0348</v>
      </c>
      <c r="I41" s="48" t="s">
        <v>253</v>
      </c>
      <c r="J41" s="28" t="s">
        <v>268</v>
      </c>
    </row>
    <row r="42" customFormat="false" ht="13.5" hidden="false" customHeight="true" outlineLevel="0" collapsed="false">
      <c r="A42" s="54" t="n">
        <f aca="false">IF(C42&lt;&gt;"",ROW()-2,"")</f>
        <v>40</v>
      </c>
      <c r="B42" s="55" t="s">
        <v>250</v>
      </c>
      <c r="C42" s="56" t="s">
        <v>337</v>
      </c>
      <c r="D42" s="57" t="s">
        <v>338</v>
      </c>
      <c r="E42" s="58" t="n">
        <v>13</v>
      </c>
      <c r="F42" s="59" t="n">
        <v>0.0018</v>
      </c>
      <c r="G42" s="60"/>
      <c r="H42" s="61" t="n">
        <f aca="false">IF(I42="是",0,IF(OR(E42="",F42=""),0,E42*F42*(1+IF(G42="",0,G42))))</f>
        <v>0.0234</v>
      </c>
      <c r="I42" s="55" t="s">
        <v>253</v>
      </c>
      <c r="J42" s="57" t="s">
        <v>268</v>
      </c>
    </row>
    <row r="43" customFormat="false" ht="13.5" hidden="false" customHeight="true" outlineLevel="0" collapsed="false">
      <c r="A43" s="27" t="n">
        <f aca="false">IF(C43&lt;&gt;"",ROW()-2,"")</f>
        <v>41</v>
      </c>
      <c r="B43" s="48" t="s">
        <v>250</v>
      </c>
      <c r="C43" s="49" t="s">
        <v>339</v>
      </c>
      <c r="D43" s="28" t="s">
        <v>340</v>
      </c>
      <c r="E43" s="50" t="n">
        <v>1</v>
      </c>
      <c r="F43" s="51" t="n">
        <v>0.0018</v>
      </c>
      <c r="G43" s="52"/>
      <c r="H43" s="53" t="n">
        <f aca="false">IF(I43="是",0,IF(OR(E43="",F43=""),0,E43*F43*(1+IF(G43="",0,G43))))</f>
        <v>0.0018</v>
      </c>
      <c r="I43" s="48" t="s">
        <v>253</v>
      </c>
      <c r="J43" s="28" t="s">
        <v>268</v>
      </c>
    </row>
    <row r="44" customFormat="false" ht="13.5" hidden="false" customHeight="true" outlineLevel="0" collapsed="false">
      <c r="A44" s="54" t="n">
        <f aca="false">IF(C44&lt;&gt;"",ROW()-2,"")</f>
        <v>42</v>
      </c>
      <c r="B44" s="55" t="s">
        <v>250</v>
      </c>
      <c r="C44" s="56" t="s">
        <v>341</v>
      </c>
      <c r="D44" s="57" t="s">
        <v>342</v>
      </c>
      <c r="E44" s="58" t="n">
        <v>2</v>
      </c>
      <c r="F44" s="59" t="n">
        <v>0.0018</v>
      </c>
      <c r="G44" s="60"/>
      <c r="H44" s="61" t="n">
        <f aca="false">IF(I44="是",0,IF(OR(E44="",F44=""),0,E44*F44*(1+IF(G44="",0,G44))))</f>
        <v>0.0036</v>
      </c>
      <c r="I44" s="55" t="s">
        <v>253</v>
      </c>
      <c r="J44" s="57" t="s">
        <v>268</v>
      </c>
    </row>
    <row r="45" customFormat="false" ht="13.5" hidden="false" customHeight="true" outlineLevel="0" collapsed="false">
      <c r="A45" s="27" t="n">
        <f aca="false">IF(C45&lt;&gt;"",ROW()-2,"")</f>
        <v>43</v>
      </c>
      <c r="B45" s="48" t="s">
        <v>250</v>
      </c>
      <c r="C45" s="49" t="s">
        <v>343</v>
      </c>
      <c r="D45" s="28" t="s">
        <v>344</v>
      </c>
      <c r="E45" s="50" t="n">
        <v>3</v>
      </c>
      <c r="F45" s="51" t="n">
        <v>0.0018</v>
      </c>
      <c r="G45" s="52"/>
      <c r="H45" s="53" t="n">
        <f aca="false">IF(I45="是",0,IF(OR(E45="",F45=""),0,E45*F45*(1+IF(G45="",0,G45))))</f>
        <v>0.0054</v>
      </c>
      <c r="I45" s="48" t="s">
        <v>253</v>
      </c>
      <c r="J45" s="28" t="s">
        <v>290</v>
      </c>
    </row>
    <row r="46" customFormat="false" ht="13.5" hidden="false" customHeight="true" outlineLevel="0" collapsed="false">
      <c r="A46" s="54" t="n">
        <f aca="false">IF(C46&lt;&gt;"",ROW()-2,"")</f>
        <v>44</v>
      </c>
      <c r="B46" s="55" t="s">
        <v>250</v>
      </c>
      <c r="C46" s="56" t="s">
        <v>345</v>
      </c>
      <c r="D46" s="57" t="s">
        <v>346</v>
      </c>
      <c r="E46" s="58" t="n">
        <v>3</v>
      </c>
      <c r="F46" s="59" t="n">
        <v>0.0065</v>
      </c>
      <c r="G46" s="60"/>
      <c r="H46" s="61" t="n">
        <f aca="false">IF(I46="是",0,IF(OR(E46="",F46=""),0,E46*F46*(1+IF(G46="",0,G46))))</f>
        <v>0.0195</v>
      </c>
      <c r="I46" s="55" t="s">
        <v>253</v>
      </c>
      <c r="J46" s="57" t="s">
        <v>268</v>
      </c>
    </row>
    <row r="47" customFormat="false" ht="13.5" hidden="false" customHeight="true" outlineLevel="0" collapsed="false">
      <c r="A47" s="27" t="n">
        <f aca="false">IF(C47&lt;&gt;"",ROW()-2,"")</f>
        <v>45</v>
      </c>
      <c r="B47" s="48" t="s">
        <v>250</v>
      </c>
      <c r="C47" s="49" t="s">
        <v>347</v>
      </c>
      <c r="D47" s="28" t="s">
        <v>348</v>
      </c>
      <c r="E47" s="50" t="n">
        <v>2</v>
      </c>
      <c r="F47" s="51" t="n">
        <v>0.002</v>
      </c>
      <c r="G47" s="52"/>
      <c r="H47" s="53" t="n">
        <f aca="false">IF(I47="是",0,IF(OR(E47="",F47=""),0,E47*F47*(1+IF(G47="",0,G47))))</f>
        <v>0.004</v>
      </c>
      <c r="I47" s="48" t="s">
        <v>253</v>
      </c>
      <c r="J47" s="28" t="s">
        <v>268</v>
      </c>
    </row>
    <row r="48" customFormat="false" ht="13.5" hidden="false" customHeight="true" outlineLevel="0" collapsed="false">
      <c r="A48" s="54" t="n">
        <f aca="false">IF(C48&lt;&gt;"",ROW()-2,"")</f>
        <v>46</v>
      </c>
      <c r="B48" s="55" t="s">
        <v>250</v>
      </c>
      <c r="C48" s="56" t="s">
        <v>349</v>
      </c>
      <c r="D48" s="57" t="s">
        <v>350</v>
      </c>
      <c r="E48" s="58" t="n">
        <v>2</v>
      </c>
      <c r="F48" s="59" t="n">
        <v>0.286</v>
      </c>
      <c r="G48" s="60"/>
      <c r="H48" s="61" t="n">
        <f aca="false">IF(I48="是",0,IF(OR(E48="",F48=""),0,E48*F48*(1+IF(G48="",0,G48))))</f>
        <v>0.572</v>
      </c>
      <c r="I48" s="55" t="s">
        <v>253</v>
      </c>
      <c r="J48" s="57" t="s">
        <v>254</v>
      </c>
    </row>
    <row r="49" customFormat="false" ht="13.5" hidden="false" customHeight="true" outlineLevel="0" collapsed="false">
      <c r="A49" s="27" t="n">
        <f aca="false">IF(C49&lt;&gt;"",ROW()-2,"")</f>
        <v>47</v>
      </c>
      <c r="B49" s="48" t="s">
        <v>250</v>
      </c>
      <c r="C49" s="49" t="s">
        <v>351</v>
      </c>
      <c r="D49" s="28" t="s">
        <v>352</v>
      </c>
      <c r="E49" s="50" t="n">
        <v>3</v>
      </c>
      <c r="F49" s="51" t="n">
        <v>0.4425</v>
      </c>
      <c r="G49" s="52"/>
      <c r="H49" s="53" t="n">
        <f aca="false">IF(I49="是",0,IF(OR(E49="",F49=""),0,E49*F49*(1+IF(G49="",0,G49))))</f>
        <v>1.3275</v>
      </c>
      <c r="I49" s="48" t="s">
        <v>253</v>
      </c>
      <c r="J49" s="28" t="s">
        <v>254</v>
      </c>
    </row>
    <row r="50" customFormat="false" ht="13.5" hidden="false" customHeight="true" outlineLevel="0" collapsed="false">
      <c r="A50" s="54" t="n">
        <f aca="false">IF(C50&lt;&gt;"",ROW()-2,"")</f>
        <v>48</v>
      </c>
      <c r="B50" s="55" t="s">
        <v>250</v>
      </c>
      <c r="C50" s="56" t="s">
        <v>353</v>
      </c>
      <c r="D50" s="62" t="s">
        <v>354</v>
      </c>
      <c r="E50" s="58" t="n">
        <v>1</v>
      </c>
      <c r="F50" s="59" t="n">
        <v>1.0619</v>
      </c>
      <c r="G50" s="60"/>
      <c r="H50" s="61" t="n">
        <f aca="false">IF(I50="是",0,IF(OR(E50="",F50=""),0,E50*F50*(1+IF(G50="",0,G50))))</f>
        <v>1.0619</v>
      </c>
      <c r="I50" s="55" t="s">
        <v>253</v>
      </c>
      <c r="J50" s="57" t="s">
        <v>355</v>
      </c>
    </row>
    <row r="51" customFormat="false" ht="13.5" hidden="false" customHeight="true" outlineLevel="0" collapsed="false">
      <c r="A51" s="27" t="n">
        <f aca="false">IF(C51&lt;&gt;"",ROW()-2,"")</f>
        <v>49</v>
      </c>
      <c r="B51" s="48" t="s">
        <v>250</v>
      </c>
      <c r="C51" s="49" t="s">
        <v>356</v>
      </c>
      <c r="D51" s="63" t="s">
        <v>357</v>
      </c>
      <c r="E51" s="50" t="n">
        <v>1</v>
      </c>
      <c r="F51" s="51" t="n">
        <v>2.1239</v>
      </c>
      <c r="G51" s="52"/>
      <c r="H51" s="53" t="n">
        <f aca="false">IF(I51="是",0,IF(OR(E51="",F51=""),0,E51*F51*(1+IF(G51="",0,G51))))</f>
        <v>2.1239</v>
      </c>
      <c r="I51" s="48" t="s">
        <v>253</v>
      </c>
      <c r="J51" s="28" t="s">
        <v>355</v>
      </c>
    </row>
    <row r="52" customFormat="false" ht="13.5" hidden="false" customHeight="true" outlineLevel="0" collapsed="false">
      <c r="A52" s="54" t="n">
        <f aca="false">IF(C52&lt;&gt;"",ROW()-2,"")</f>
        <v>50</v>
      </c>
      <c r="B52" s="55" t="s">
        <v>250</v>
      </c>
      <c r="C52" s="56" t="s">
        <v>358</v>
      </c>
      <c r="D52" s="57" t="s">
        <v>359</v>
      </c>
      <c r="E52" s="58" t="n">
        <v>1</v>
      </c>
      <c r="F52" s="59" t="n">
        <v>9.2</v>
      </c>
      <c r="G52" s="60"/>
      <c r="H52" s="61" t="n">
        <f aca="false">IF(I52="是",0,IF(OR(E52="",F52=""),0,E52*F52*(1+IF(G52="",0,G52))))</f>
        <v>9.2</v>
      </c>
      <c r="I52" s="55" t="s">
        <v>253</v>
      </c>
      <c r="J52" s="57" t="s">
        <v>360</v>
      </c>
    </row>
    <row r="53" customFormat="false" ht="13.5" hidden="false" customHeight="true" outlineLevel="0" collapsed="false">
      <c r="A53" s="27" t="n">
        <f aca="false">IF(C53&lt;&gt;"",ROW()-2,"")</f>
        <v>51</v>
      </c>
      <c r="B53" s="48" t="s">
        <v>250</v>
      </c>
      <c r="C53" s="49" t="s">
        <v>361</v>
      </c>
      <c r="D53" s="28" t="s">
        <v>362</v>
      </c>
      <c r="E53" s="50" t="n">
        <v>3</v>
      </c>
      <c r="F53" s="51" t="n">
        <v>1.2</v>
      </c>
      <c r="G53" s="52"/>
      <c r="H53" s="53" t="n">
        <f aca="false">IF(I53="是",0,IF(OR(E53="",F53=""),0,E53*F53*(1+IF(G53="",0,G53))))</f>
        <v>3.6</v>
      </c>
      <c r="I53" s="48" t="s">
        <v>253</v>
      </c>
      <c r="J53" s="28" t="s">
        <v>363</v>
      </c>
    </row>
    <row r="54" customFormat="false" ht="13.5" hidden="false" customHeight="true" outlineLevel="0" collapsed="false">
      <c r="A54" s="54" t="n">
        <f aca="false">IF(C54&lt;&gt;"",ROW()-2,"")</f>
        <v>52</v>
      </c>
      <c r="B54" s="55" t="s">
        <v>250</v>
      </c>
      <c r="C54" s="56" t="s">
        <v>364</v>
      </c>
      <c r="D54" s="57" t="s">
        <v>365</v>
      </c>
      <c r="E54" s="58" t="n">
        <v>3</v>
      </c>
      <c r="F54" s="59" t="n">
        <v>0.65</v>
      </c>
      <c r="G54" s="60"/>
      <c r="H54" s="61" t="n">
        <f aca="false">IF(I54="是",0,IF(OR(E54="",F54=""),0,E54*F54*(1+IF(G54="",0,G54))))</f>
        <v>1.95</v>
      </c>
      <c r="I54" s="55" t="s">
        <v>253</v>
      </c>
      <c r="J54" s="57" t="s">
        <v>366</v>
      </c>
    </row>
    <row r="55" customFormat="false" ht="13.5" hidden="false" customHeight="true" outlineLevel="0" collapsed="false">
      <c r="A55" s="27" t="n">
        <f aca="false">IF(C55&lt;&gt;"",ROW()-2,"")</f>
        <v>53</v>
      </c>
      <c r="B55" s="48" t="s">
        <v>250</v>
      </c>
      <c r="C55" s="49" t="s">
        <v>367</v>
      </c>
      <c r="D55" s="28" t="s">
        <v>368</v>
      </c>
      <c r="E55" s="50" t="n">
        <v>1</v>
      </c>
      <c r="F55" s="51" t="n">
        <v>0.18</v>
      </c>
      <c r="G55" s="52"/>
      <c r="H55" s="53" t="n">
        <f aca="false">IF(I55="是",0,IF(OR(E55="",F55=""),0,E55*F55*(1+IF(G55="",0,G55))))</f>
        <v>0.18</v>
      </c>
      <c r="I55" s="48" t="s">
        <v>253</v>
      </c>
      <c r="J55" s="28" t="s">
        <v>366</v>
      </c>
    </row>
    <row r="56" customFormat="false" ht="13.5" hidden="false" customHeight="true" outlineLevel="0" collapsed="false">
      <c r="A56" s="54" t="n">
        <f aca="false">IF(C56&lt;&gt;"",ROW()-2,"")</f>
        <v>54</v>
      </c>
      <c r="B56" s="55" t="s">
        <v>250</v>
      </c>
      <c r="C56" s="56" t="s">
        <v>369</v>
      </c>
      <c r="D56" s="57" t="s">
        <v>370</v>
      </c>
      <c r="E56" s="58" t="n">
        <v>1</v>
      </c>
      <c r="F56" s="59" t="n">
        <v>0.22</v>
      </c>
      <c r="G56" s="60"/>
      <c r="H56" s="61" t="n">
        <f aca="false">IF(I56="是",0,IF(OR(E56="",F56=""),0,E56*F56*(1+IF(G56="",0,G56))))</f>
        <v>0.22</v>
      </c>
      <c r="I56" s="55" t="s">
        <v>253</v>
      </c>
      <c r="J56" s="57" t="s">
        <v>366</v>
      </c>
    </row>
    <row r="57" customFormat="false" ht="13.5" hidden="false" customHeight="true" outlineLevel="0" collapsed="false">
      <c r="A57" s="27" t="n">
        <f aca="false">IF(C57&lt;&gt;"",ROW()-2,"")</f>
        <v>55</v>
      </c>
      <c r="B57" s="48" t="s">
        <v>250</v>
      </c>
      <c r="C57" s="49" t="s">
        <v>371</v>
      </c>
      <c r="D57" s="28" t="s">
        <v>372</v>
      </c>
      <c r="E57" s="50" t="n">
        <v>1</v>
      </c>
      <c r="F57" s="51" t="n">
        <v>0.335</v>
      </c>
      <c r="G57" s="52"/>
      <c r="H57" s="53" t="n">
        <f aca="false">IF(I57="是",0,IF(OR(E57="",F57=""),0,E57*F57*(1+IF(G57="",0,G57))))</f>
        <v>0.335</v>
      </c>
      <c r="I57" s="48" t="s">
        <v>253</v>
      </c>
      <c r="J57" s="28" t="s">
        <v>373</v>
      </c>
    </row>
    <row r="58" customFormat="false" ht="13.5" hidden="false" customHeight="true" outlineLevel="0" collapsed="false">
      <c r="A58" s="54" t="n">
        <f aca="false">IF(C58&lt;&gt;"",ROW()-2,"")</f>
        <v>56</v>
      </c>
      <c r="B58" s="55" t="s">
        <v>250</v>
      </c>
      <c r="C58" s="56" t="s">
        <v>374</v>
      </c>
      <c r="D58" s="57" t="s">
        <v>375</v>
      </c>
      <c r="E58" s="58" t="n">
        <v>3</v>
      </c>
      <c r="F58" s="59" t="n">
        <v>0</v>
      </c>
      <c r="G58" s="60"/>
      <c r="H58" s="61" t="n">
        <f aca="false">IF(I58="是",0,IF(OR(E58="",F58=""),0,E58*F58*(1+IF(G58="",0,G58))))</f>
        <v>0</v>
      </c>
      <c r="I58" s="55" t="s">
        <v>57</v>
      </c>
      <c r="J58" s="57" t="s">
        <v>376</v>
      </c>
    </row>
    <row r="59" customFormat="false" ht="13.5" hidden="false" customHeight="true" outlineLevel="0" collapsed="false">
      <c r="A59" s="27" t="n">
        <f aca="false">IF(C59&lt;&gt;"",ROW()-2,"")</f>
        <v>57</v>
      </c>
      <c r="B59" s="48" t="s">
        <v>250</v>
      </c>
      <c r="C59" s="49" t="s">
        <v>377</v>
      </c>
      <c r="D59" s="28" t="s">
        <v>378</v>
      </c>
      <c r="E59" s="50" t="n">
        <v>2</v>
      </c>
      <c r="F59" s="51" t="n">
        <v>0.145</v>
      </c>
      <c r="G59" s="52"/>
      <c r="H59" s="53" t="n">
        <f aca="false">IF(I59="是",0,IF(OR(E59="",F59=""),0,E59*F59*(1+IF(G59="",0,G59))))</f>
        <v>0.29</v>
      </c>
      <c r="I59" s="48" t="s">
        <v>253</v>
      </c>
      <c r="J59" s="28" t="s">
        <v>379</v>
      </c>
    </row>
    <row r="60" customFormat="false" ht="13.5" hidden="false" customHeight="true" outlineLevel="0" collapsed="false">
      <c r="A60" s="54" t="n">
        <f aca="false">IF(C60&lt;&gt;"",ROW()-2,"")</f>
        <v>58</v>
      </c>
      <c r="B60" s="55" t="s">
        <v>250</v>
      </c>
      <c r="C60" s="56" t="s">
        <v>380</v>
      </c>
      <c r="D60" s="57" t="s">
        <v>381</v>
      </c>
      <c r="E60" s="58" t="n">
        <v>2</v>
      </c>
      <c r="F60" s="59" t="n">
        <v>0.1513</v>
      </c>
      <c r="G60" s="60"/>
      <c r="H60" s="61" t="n">
        <f aca="false">IF(I60="是",0,IF(OR(E60="",F60=""),0,E60*F60*(1+IF(G60="",0,G60))))</f>
        <v>0.3026</v>
      </c>
      <c r="I60" s="55" t="s">
        <v>253</v>
      </c>
      <c r="J60" s="57" t="s">
        <v>379</v>
      </c>
    </row>
    <row r="61" customFormat="false" ht="13.5" hidden="false" customHeight="true" outlineLevel="0" collapsed="false">
      <c r="A61" s="27" t="n">
        <f aca="false">IF(C61&lt;&gt;"",ROW()-2,"")</f>
        <v>59</v>
      </c>
      <c r="B61" s="48" t="s">
        <v>250</v>
      </c>
      <c r="C61" s="49" t="s">
        <v>382</v>
      </c>
      <c r="D61" s="28" t="s">
        <v>383</v>
      </c>
      <c r="E61" s="50" t="n">
        <v>4</v>
      </c>
      <c r="F61" s="51" t="n">
        <v>0.3969</v>
      </c>
      <c r="G61" s="52"/>
      <c r="H61" s="53" t="n">
        <f aca="false">IF(I61="是",0,IF(OR(E61="",F61=""),0,E61*F61*(1+IF(G61="",0,G61))))</f>
        <v>1.5876</v>
      </c>
      <c r="I61" s="48" t="s">
        <v>253</v>
      </c>
      <c r="J61" s="28" t="s">
        <v>379</v>
      </c>
    </row>
    <row r="62" customFormat="false" ht="13.5" hidden="false" customHeight="true" outlineLevel="0" collapsed="false">
      <c r="A62" s="54" t="n">
        <f aca="false">IF(C62&lt;&gt;"",ROW()-2,"")</f>
        <v>60</v>
      </c>
      <c r="B62" s="55" t="s">
        <v>250</v>
      </c>
      <c r="C62" s="56" t="s">
        <v>384</v>
      </c>
      <c r="D62" s="57" t="s">
        <v>385</v>
      </c>
      <c r="E62" s="58" t="n">
        <v>2</v>
      </c>
      <c r="F62" s="59" t="n">
        <v>0.1401</v>
      </c>
      <c r="G62" s="60"/>
      <c r="H62" s="61" t="n">
        <f aca="false">IF(I62="是",0,IF(OR(E62="",F62=""),0,E62*F62*(1+IF(G62="",0,G62))))</f>
        <v>0.2802</v>
      </c>
      <c r="I62" s="55" t="s">
        <v>253</v>
      </c>
      <c r="J62" s="57" t="s">
        <v>379</v>
      </c>
    </row>
    <row r="63" customFormat="false" ht="13.5" hidden="false" customHeight="true" outlineLevel="0" collapsed="false">
      <c r="A63" s="27" t="n">
        <f aca="false">IF(C63&lt;&gt;"",ROW()-2,"")</f>
        <v>61</v>
      </c>
      <c r="B63" s="48" t="s">
        <v>250</v>
      </c>
      <c r="C63" s="49" t="s">
        <v>386</v>
      </c>
      <c r="D63" s="28" t="s">
        <v>387</v>
      </c>
      <c r="E63" s="50" t="n">
        <v>1</v>
      </c>
      <c r="F63" s="51" t="n">
        <v>0.18</v>
      </c>
      <c r="G63" s="52"/>
      <c r="H63" s="53" t="n">
        <f aca="false">IF(I63="是",0,IF(OR(E63="",F63=""),0,E63*F63*(1+IF(G63="",0,G63))))</f>
        <v>0.18</v>
      </c>
      <c r="I63" s="48" t="s">
        <v>253</v>
      </c>
      <c r="J63" s="28" t="s">
        <v>388</v>
      </c>
    </row>
    <row r="64" customFormat="false" ht="13.5" hidden="false" customHeight="true" outlineLevel="0" collapsed="false">
      <c r="A64" s="54" t="n">
        <f aca="false">IF(C64&lt;&gt;"",ROW()-2,"")</f>
        <v>62</v>
      </c>
      <c r="B64" s="55" t="s">
        <v>250</v>
      </c>
      <c r="C64" s="56" t="s">
        <v>389</v>
      </c>
      <c r="D64" s="57" t="s">
        <v>390</v>
      </c>
      <c r="E64" s="58" t="n">
        <v>1</v>
      </c>
      <c r="F64" s="59" t="n">
        <v>39.2</v>
      </c>
      <c r="G64" s="60"/>
      <c r="H64" s="61" t="n">
        <f aca="false">IF(I64="是",0,IF(OR(E64="",F64=""),0,E64*F64*(1+IF(G64="",0,G64))))</f>
        <v>39.2</v>
      </c>
      <c r="I64" s="55" t="s">
        <v>253</v>
      </c>
      <c r="J64" s="57" t="s">
        <v>391</v>
      </c>
    </row>
    <row r="65" customFormat="false" ht="13.5" hidden="false" customHeight="true" outlineLevel="0" collapsed="false">
      <c r="A65" s="27" t="n">
        <f aca="false">IF(C65&lt;&gt;"",ROW()-2,"")</f>
        <v>63</v>
      </c>
      <c r="B65" s="48" t="s">
        <v>250</v>
      </c>
      <c r="C65" s="49" t="s">
        <v>392</v>
      </c>
      <c r="D65" s="28" t="s">
        <v>393</v>
      </c>
      <c r="E65" s="50" t="n">
        <v>2</v>
      </c>
      <c r="F65" s="51" t="n">
        <v>0.1647</v>
      </c>
      <c r="G65" s="52"/>
      <c r="H65" s="53" t="n">
        <f aca="false">IF(I65="是",0,IF(OR(E65="",F65=""),0,E65*F65*(1+IF(G65="",0,G65))))</f>
        <v>0.3294</v>
      </c>
      <c r="I65" s="48" t="s">
        <v>253</v>
      </c>
      <c r="J65" s="28" t="s">
        <v>394</v>
      </c>
    </row>
    <row r="66" customFormat="false" ht="13.5" hidden="false" customHeight="true" outlineLevel="0" collapsed="false">
      <c r="A66" s="54" t="n">
        <f aca="false">IF(C66&lt;&gt;"",ROW()-2,"")</f>
        <v>64</v>
      </c>
      <c r="B66" s="55" t="s">
        <v>250</v>
      </c>
      <c r="C66" s="56" t="s">
        <v>395</v>
      </c>
      <c r="D66" s="57" t="s">
        <v>396</v>
      </c>
      <c r="E66" s="58" t="n">
        <v>2</v>
      </c>
      <c r="F66" s="59" t="n">
        <v>0.1</v>
      </c>
      <c r="G66" s="60"/>
      <c r="H66" s="61" t="n">
        <f aca="false">IF(I66="是",0,IF(OR(E66="",F66=""),0,E66*F66*(1+IF(G66="",0,G66))))</f>
        <v>0.2</v>
      </c>
      <c r="I66" s="55" t="s">
        <v>253</v>
      </c>
      <c r="J66" s="57" t="s">
        <v>290</v>
      </c>
    </row>
    <row r="67" customFormat="false" ht="13.5" hidden="false" customHeight="true" outlineLevel="0" collapsed="false">
      <c r="A67" s="27" t="n">
        <f aca="false">IF(C67&lt;&gt;"",ROW()-2,"")</f>
        <v>65</v>
      </c>
      <c r="B67" s="48" t="s">
        <v>250</v>
      </c>
      <c r="C67" s="49" t="s">
        <v>397</v>
      </c>
      <c r="D67" s="28" t="s">
        <v>398</v>
      </c>
      <c r="E67" s="50" t="n">
        <v>45</v>
      </c>
      <c r="F67" s="51" t="n">
        <v>0.0051</v>
      </c>
      <c r="G67" s="52"/>
      <c r="H67" s="53" t="n">
        <f aca="false">IF(I67="是",0,IF(OR(E67="",F67=""),0,E67*F67*(1+IF(G67="",0,G67))))</f>
        <v>0.2295</v>
      </c>
      <c r="I67" s="48" t="s">
        <v>253</v>
      </c>
      <c r="J67" s="28" t="s">
        <v>290</v>
      </c>
    </row>
    <row r="68" customFormat="false" ht="13.5" hidden="false" customHeight="true" outlineLevel="0" collapsed="false">
      <c r="A68" s="54" t="n">
        <f aca="false">IF(C68&lt;&gt;"",ROW()-2,"")</f>
        <v>66</v>
      </c>
      <c r="B68" s="55" t="s">
        <v>250</v>
      </c>
      <c r="C68" s="56" t="s">
        <v>399</v>
      </c>
      <c r="D68" s="57" t="s">
        <v>400</v>
      </c>
      <c r="E68" s="58" t="n">
        <v>31</v>
      </c>
      <c r="F68" s="59" t="n">
        <v>0.005</v>
      </c>
      <c r="G68" s="60"/>
      <c r="H68" s="61" t="n">
        <f aca="false">IF(I68="是",0,IF(OR(E68="",F68=""),0,E68*F68*(1+IF(G68="",0,G68))))</f>
        <v>0.155</v>
      </c>
      <c r="I68" s="55" t="s">
        <v>253</v>
      </c>
      <c r="J68" s="57" t="s">
        <v>290</v>
      </c>
    </row>
    <row r="69" customFormat="false" ht="13.5" hidden="false" customHeight="true" outlineLevel="0" collapsed="false">
      <c r="A69" s="27" t="n">
        <f aca="false">IF(C69&lt;&gt;"",ROW()-2,"")</f>
        <v>67</v>
      </c>
      <c r="B69" s="48" t="s">
        <v>250</v>
      </c>
      <c r="C69" s="49" t="s">
        <v>401</v>
      </c>
      <c r="D69" s="28" t="s">
        <v>402</v>
      </c>
      <c r="E69" s="50" t="n">
        <v>10</v>
      </c>
      <c r="F69" s="51" t="n">
        <v>0.0048</v>
      </c>
      <c r="G69" s="52"/>
      <c r="H69" s="53" t="n">
        <f aca="false">IF(I69="是",0,IF(OR(E69="",F69=""),0,E69*F69*(1+IF(G69="",0,G69))))</f>
        <v>0.048</v>
      </c>
      <c r="I69" s="48" t="s">
        <v>253</v>
      </c>
      <c r="J69" s="28" t="s">
        <v>290</v>
      </c>
    </row>
    <row r="70" customFormat="false" ht="13.5" hidden="false" customHeight="true" outlineLevel="0" collapsed="false">
      <c r="A70" s="54" t="n">
        <f aca="false">IF(C70&lt;&gt;"",ROW()-2,"")</f>
        <v>68</v>
      </c>
      <c r="B70" s="55" t="s">
        <v>250</v>
      </c>
      <c r="C70" s="56" t="s">
        <v>403</v>
      </c>
      <c r="D70" s="57" t="s">
        <v>404</v>
      </c>
      <c r="E70" s="58" t="n">
        <v>7</v>
      </c>
      <c r="F70" s="59" t="n">
        <v>0.0048</v>
      </c>
      <c r="G70" s="60"/>
      <c r="H70" s="61" t="n">
        <f aca="false">IF(I70="是",0,IF(OR(E70="",F70=""),0,E70*F70*(1+IF(G70="",0,G70))))</f>
        <v>0.0336</v>
      </c>
      <c r="I70" s="55" t="s">
        <v>253</v>
      </c>
      <c r="J70" s="57" t="s">
        <v>290</v>
      </c>
    </row>
    <row r="71" customFormat="false" ht="13.5" hidden="false" customHeight="true" outlineLevel="0" collapsed="false">
      <c r="A71" s="27" t="n">
        <f aca="false">IF(C71&lt;&gt;"",ROW()-2,"")</f>
        <v>69</v>
      </c>
      <c r="B71" s="48" t="s">
        <v>250</v>
      </c>
      <c r="C71" s="49" t="s">
        <v>405</v>
      </c>
      <c r="D71" s="28" t="s">
        <v>406</v>
      </c>
      <c r="E71" s="50" t="n">
        <v>1</v>
      </c>
      <c r="F71" s="51" t="n">
        <v>0.0217</v>
      </c>
      <c r="G71" s="52"/>
      <c r="H71" s="53" t="n">
        <f aca="false">IF(I71="是",0,IF(OR(E71="",F71=""),0,E71*F71*(1+IF(G71="",0,G71))))</f>
        <v>0.0217</v>
      </c>
      <c r="I71" s="48" t="s">
        <v>253</v>
      </c>
      <c r="J71" s="28" t="s">
        <v>290</v>
      </c>
    </row>
    <row r="72" customFormat="false" ht="13.5" hidden="false" customHeight="true" outlineLevel="0" collapsed="false">
      <c r="A72" s="54" t="n">
        <f aca="false">IF(C72&lt;&gt;"",ROW()-2,"")</f>
        <v>70</v>
      </c>
      <c r="B72" s="55" t="s">
        <v>250</v>
      </c>
      <c r="C72" s="56" t="s">
        <v>407</v>
      </c>
      <c r="D72" s="57" t="s">
        <v>408</v>
      </c>
      <c r="E72" s="58" t="n">
        <v>2</v>
      </c>
      <c r="F72" s="59" t="n">
        <v>0.0052</v>
      </c>
      <c r="G72" s="60"/>
      <c r="H72" s="61" t="n">
        <f aca="false">IF(I72="是",0,IF(OR(E72="",F72=""),0,E72*F72*(1+IF(G72="",0,G72))))</f>
        <v>0.0104</v>
      </c>
      <c r="I72" s="55" t="s">
        <v>253</v>
      </c>
      <c r="J72" s="57" t="s">
        <v>290</v>
      </c>
    </row>
    <row r="73" customFormat="false" ht="13.5" hidden="false" customHeight="true" outlineLevel="0" collapsed="false">
      <c r="A73" s="27" t="n">
        <f aca="false">IF(C73&lt;&gt;"",ROW()-2,"")</f>
        <v>71</v>
      </c>
      <c r="B73" s="48" t="s">
        <v>250</v>
      </c>
      <c r="C73" s="49" t="s">
        <v>409</v>
      </c>
      <c r="D73" s="28" t="s">
        <v>410</v>
      </c>
      <c r="E73" s="50" t="n">
        <v>2</v>
      </c>
      <c r="F73" s="51" t="n">
        <v>0.0165</v>
      </c>
      <c r="G73" s="52"/>
      <c r="H73" s="53" t="n">
        <f aca="false">IF(I73="是",0,IF(OR(E73="",F73=""),0,E73*F73*(1+IF(G73="",0,G73))))</f>
        <v>0.033</v>
      </c>
      <c r="I73" s="48" t="s">
        <v>253</v>
      </c>
      <c r="J73" s="28" t="s">
        <v>411</v>
      </c>
    </row>
    <row r="74" customFormat="false" ht="13.5" hidden="false" customHeight="true" outlineLevel="0" collapsed="false">
      <c r="A74" s="54" t="n">
        <f aca="false">IF(C74&lt;&gt;"",ROW()-2,"")</f>
        <v>72</v>
      </c>
      <c r="B74" s="55" t="s">
        <v>250</v>
      </c>
      <c r="C74" s="56" t="s">
        <v>412</v>
      </c>
      <c r="D74" s="57" t="s">
        <v>413</v>
      </c>
      <c r="E74" s="58" t="n">
        <v>2</v>
      </c>
      <c r="F74" s="59" t="n">
        <v>0.0313</v>
      </c>
      <c r="G74" s="60"/>
      <c r="H74" s="61" t="n">
        <f aca="false">IF(I74="是",0,IF(OR(E74="",F74=""),0,E74*F74*(1+IF(G74="",0,G74))))</f>
        <v>0.0626</v>
      </c>
      <c r="I74" s="55" t="s">
        <v>253</v>
      </c>
      <c r="J74" s="57" t="s">
        <v>414</v>
      </c>
    </row>
    <row r="75" customFormat="false" ht="13.5" hidden="false" customHeight="true" outlineLevel="0" collapsed="false">
      <c r="A75" s="27" t="n">
        <f aca="false">IF(C75&lt;&gt;"",ROW()-2,"")</f>
        <v>73</v>
      </c>
      <c r="B75" s="48" t="s">
        <v>250</v>
      </c>
      <c r="C75" s="49" t="s">
        <v>415</v>
      </c>
      <c r="D75" s="28" t="s">
        <v>416</v>
      </c>
      <c r="E75" s="50" t="n">
        <v>8</v>
      </c>
      <c r="F75" s="51" t="n">
        <v>0.0168</v>
      </c>
      <c r="G75" s="52"/>
      <c r="H75" s="53" t="n">
        <f aca="false">IF(I75="是",0,IF(OR(E75="",F75=""),0,E75*F75*(1+IF(G75="",0,G75))))</f>
        <v>0.1344</v>
      </c>
      <c r="I75" s="48" t="s">
        <v>253</v>
      </c>
      <c r="J75" s="28" t="s">
        <v>275</v>
      </c>
    </row>
    <row r="76" customFormat="false" ht="13.5" hidden="false" customHeight="true" outlineLevel="0" collapsed="false">
      <c r="A76" s="54" t="n">
        <f aca="false">IF(C76&lt;&gt;"",ROW()-2,"")</f>
        <v>74</v>
      </c>
      <c r="B76" s="55" t="s">
        <v>250</v>
      </c>
      <c r="C76" s="56" t="s">
        <v>417</v>
      </c>
      <c r="D76" s="57" t="s">
        <v>418</v>
      </c>
      <c r="E76" s="58" t="n">
        <v>1</v>
      </c>
      <c r="F76" s="59" t="n">
        <v>0.0054</v>
      </c>
      <c r="G76" s="60"/>
      <c r="H76" s="61" t="n">
        <f aca="false">IF(I76="是",0,IF(OR(E76="",F76=""),0,E76*F76*(1+IF(G76="",0,G76))))</f>
        <v>0.0054</v>
      </c>
      <c r="I76" s="55" t="s">
        <v>253</v>
      </c>
      <c r="J76" s="57" t="s">
        <v>254</v>
      </c>
    </row>
    <row r="77" customFormat="false" ht="13.5" hidden="false" customHeight="true" outlineLevel="0" collapsed="false">
      <c r="A77" s="27" t="n">
        <f aca="false">IF(C77&lt;&gt;"",ROW()-2,"")</f>
        <v>75</v>
      </c>
      <c r="B77" s="48" t="s">
        <v>250</v>
      </c>
      <c r="C77" s="49" t="s">
        <v>419</v>
      </c>
      <c r="D77" s="28" t="s">
        <v>420</v>
      </c>
      <c r="E77" s="50" t="n">
        <v>28</v>
      </c>
      <c r="F77" s="51" t="n">
        <v>0.1689</v>
      </c>
      <c r="G77" s="52"/>
      <c r="H77" s="53" t="n">
        <f aca="false">IF(I77="是",0,IF(OR(E77="",F77=""),0,E77*F77*(1+IF(G77="",0,G77))))</f>
        <v>4.7292</v>
      </c>
      <c r="I77" s="48" t="s">
        <v>253</v>
      </c>
      <c r="J77" s="28" t="s">
        <v>421</v>
      </c>
    </row>
    <row r="78" customFormat="false" ht="13.5" hidden="false" customHeight="true" outlineLevel="0" collapsed="false">
      <c r="A78" s="54" t="n">
        <f aca="false">IF(C78&lt;&gt;"",ROW()-2,"")</f>
        <v>76</v>
      </c>
      <c r="B78" s="55" t="s">
        <v>250</v>
      </c>
      <c r="C78" s="56" t="s">
        <v>422</v>
      </c>
      <c r="D78" s="57" t="s">
        <v>423</v>
      </c>
      <c r="E78" s="58" t="n">
        <v>2</v>
      </c>
      <c r="F78" s="59" t="n">
        <v>0.4178</v>
      </c>
      <c r="G78" s="60"/>
      <c r="H78" s="61" t="n">
        <f aca="false">IF(I78="是",0,IF(OR(E78="",F78=""),0,E78*F78*(1+IF(G78="",0,G78))))</f>
        <v>0.8356</v>
      </c>
      <c r="I78" s="55" t="s">
        <v>253</v>
      </c>
      <c r="J78" s="57" t="s">
        <v>414</v>
      </c>
    </row>
    <row r="79" customFormat="false" ht="13.5" hidden="false" customHeight="true" outlineLevel="0" collapsed="false">
      <c r="A79" s="27" t="n">
        <f aca="false">IF(C79&lt;&gt;"",ROW()-2,"")</f>
        <v>77</v>
      </c>
      <c r="B79" s="48" t="s">
        <v>250</v>
      </c>
      <c r="C79" s="49" t="s">
        <v>424</v>
      </c>
      <c r="D79" s="28" t="s">
        <v>425</v>
      </c>
      <c r="E79" s="50" t="n">
        <v>2</v>
      </c>
      <c r="F79" s="51" t="n">
        <v>0.0355</v>
      </c>
      <c r="G79" s="52"/>
      <c r="H79" s="53" t="n">
        <f aca="false">IF(I79="是",0,IF(OR(E79="",F79=""),0,E79*F79*(1+IF(G79="",0,G79))))</f>
        <v>0.071</v>
      </c>
      <c r="I79" s="48" t="s">
        <v>253</v>
      </c>
      <c r="J79" s="28" t="s">
        <v>254</v>
      </c>
    </row>
    <row r="80" customFormat="false" ht="13.5" hidden="false" customHeight="true" outlineLevel="0" collapsed="false">
      <c r="A80" s="54" t="n">
        <f aca="false">IF(C80&lt;&gt;"",ROW()-2,"")</f>
        <v>78</v>
      </c>
      <c r="B80" s="55" t="s">
        <v>250</v>
      </c>
      <c r="C80" s="56" t="s">
        <v>426</v>
      </c>
      <c r="D80" s="57" t="s">
        <v>427</v>
      </c>
      <c r="E80" s="58" t="n">
        <v>4</v>
      </c>
      <c r="F80" s="59" t="n">
        <v>0.062883</v>
      </c>
      <c r="G80" s="60"/>
      <c r="H80" s="61" t="n">
        <f aca="false">IF(I80="是",0,IF(OR(E80="",F80=""),0,E80*F80*(1+IF(G80="",0,G80))))</f>
        <v>0.251532</v>
      </c>
      <c r="I80" s="55" t="s">
        <v>253</v>
      </c>
      <c r="J80" s="62" t="s">
        <v>428</v>
      </c>
    </row>
    <row r="81" customFormat="false" ht="13.5" hidden="false" customHeight="true" outlineLevel="0" collapsed="false">
      <c r="A81" s="27" t="n">
        <f aca="false">IF(C81&lt;&gt;"",ROW()-2,"")</f>
        <v>79</v>
      </c>
      <c r="B81" s="48" t="s">
        <v>250</v>
      </c>
      <c r="C81" s="49" t="s">
        <v>429</v>
      </c>
      <c r="D81" s="28" t="s">
        <v>430</v>
      </c>
      <c r="E81" s="50" t="n">
        <v>2</v>
      </c>
      <c r="F81" s="51" t="n">
        <v>0.0417</v>
      </c>
      <c r="G81" s="52"/>
      <c r="H81" s="53" t="n">
        <f aca="false">IF(I81="是",0,IF(OR(E81="",F81=""),0,E81*F81*(1+IF(G81="",0,G81))))</f>
        <v>0.0834</v>
      </c>
      <c r="I81" s="48" t="s">
        <v>253</v>
      </c>
      <c r="J81" s="28" t="s">
        <v>431</v>
      </c>
    </row>
    <row r="82" customFormat="false" ht="13.5" hidden="false" customHeight="true" outlineLevel="0" collapsed="false">
      <c r="A82" s="54" t="n">
        <f aca="false">IF(C82&lt;&gt;"",ROW()-2,"")</f>
        <v>80</v>
      </c>
      <c r="B82" s="55" t="s">
        <v>250</v>
      </c>
      <c r="C82" s="56" t="s">
        <v>432</v>
      </c>
      <c r="D82" s="57" t="s">
        <v>433</v>
      </c>
      <c r="E82" s="58" t="n">
        <v>9</v>
      </c>
      <c r="F82" s="59" t="n">
        <v>0.094</v>
      </c>
      <c r="G82" s="60"/>
      <c r="H82" s="61" t="n">
        <f aca="false">IF(I82="是",0,IF(OR(E82="",F82=""),0,E82*F82*(1+IF(G82="",0,G82))))</f>
        <v>0.846</v>
      </c>
      <c r="I82" s="55" t="s">
        <v>253</v>
      </c>
      <c r="J82" s="57" t="s">
        <v>434</v>
      </c>
    </row>
    <row r="83" customFormat="false" ht="13.5" hidden="false" customHeight="true" outlineLevel="0" collapsed="false">
      <c r="A83" s="27" t="n">
        <f aca="false">IF(C83&lt;&gt;"",ROW()-2,"")</f>
        <v>81</v>
      </c>
      <c r="B83" s="48" t="s">
        <v>250</v>
      </c>
      <c r="C83" s="49" t="s">
        <v>435</v>
      </c>
      <c r="D83" s="28" t="s">
        <v>436</v>
      </c>
      <c r="E83" s="50" t="n">
        <v>1</v>
      </c>
      <c r="F83" s="51" t="n">
        <v>1.8</v>
      </c>
      <c r="G83" s="52"/>
      <c r="H83" s="53" t="n">
        <f aca="false">IF(I83="是",0,IF(OR(E83="",F83=""),0,E83*F83*(1+IF(G83="",0,G83))))</f>
        <v>1.8</v>
      </c>
      <c r="I83" s="48" t="s">
        <v>253</v>
      </c>
      <c r="J83" s="28" t="s">
        <v>437</v>
      </c>
    </row>
    <row r="84" customFormat="false" ht="13.5" hidden="false" customHeight="true" outlineLevel="0" collapsed="false">
      <c r="A84" s="54" t="n">
        <f aca="false">IF(C84&lt;&gt;"",ROW()-2,"")</f>
        <v>82</v>
      </c>
      <c r="B84" s="55" t="s">
        <v>250</v>
      </c>
      <c r="C84" s="56" t="s">
        <v>438</v>
      </c>
      <c r="D84" s="57" t="s">
        <v>439</v>
      </c>
      <c r="E84" s="58" t="n">
        <v>6</v>
      </c>
      <c r="F84" s="59" t="n">
        <v>0.02</v>
      </c>
      <c r="G84" s="60"/>
      <c r="H84" s="61" t="n">
        <f aca="false">IF(I84="是",0,IF(OR(E84="",F84=""),0,E84*F84*(1+IF(G84="",0,G84))))</f>
        <v>0.12</v>
      </c>
      <c r="I84" s="55" t="s">
        <v>253</v>
      </c>
      <c r="J84" s="57" t="s">
        <v>440</v>
      </c>
    </row>
    <row r="85" customFormat="false" ht="13.5" hidden="false" customHeight="true" outlineLevel="0" collapsed="false">
      <c r="A85" s="27" t="n">
        <f aca="false">IF(C85&lt;&gt;"",ROW()-2,"")</f>
        <v>83</v>
      </c>
      <c r="B85" s="48" t="s">
        <v>250</v>
      </c>
      <c r="C85" s="49" t="s">
        <v>441</v>
      </c>
      <c r="D85" s="28" t="s">
        <v>442</v>
      </c>
      <c r="E85" s="50" t="n">
        <v>9</v>
      </c>
      <c r="F85" s="51" t="n">
        <v>0.02</v>
      </c>
      <c r="G85" s="52"/>
      <c r="H85" s="53" t="n">
        <f aca="false">IF(I85="是",0,IF(OR(E85="",F85=""),0,E85*F85*(1+IF(G85="",0,G85))))</f>
        <v>0.18</v>
      </c>
      <c r="I85" s="48" t="s">
        <v>253</v>
      </c>
      <c r="J85" s="28" t="s">
        <v>260</v>
      </c>
    </row>
    <row r="86" customFormat="false" ht="13.5" hidden="false" customHeight="true" outlineLevel="0" collapsed="false">
      <c r="A86" s="54" t="n">
        <f aca="false">IF(C86&lt;&gt;"",ROW()-2,"")</f>
        <v>84</v>
      </c>
      <c r="B86" s="55" t="s">
        <v>250</v>
      </c>
      <c r="C86" s="56" t="s">
        <v>443</v>
      </c>
      <c r="D86" s="62" t="s">
        <v>444</v>
      </c>
      <c r="E86" s="58" t="n">
        <v>3</v>
      </c>
      <c r="F86" s="59" t="n">
        <v>0.133</v>
      </c>
      <c r="G86" s="60"/>
      <c r="H86" s="61" t="n">
        <f aca="false">IF(I86="是",0,IF(OR(E86="",F86=""),0,E86*F86*(1+IF(G86="",0,G86))))</f>
        <v>0.399</v>
      </c>
      <c r="I86" s="55" t="s">
        <v>253</v>
      </c>
      <c r="J86" s="57" t="s">
        <v>445</v>
      </c>
    </row>
    <row r="87" customFormat="false" ht="13.5" hidden="false" customHeight="true" outlineLevel="0" collapsed="false">
      <c r="A87" s="27" t="n">
        <f aca="false">IF(C87&lt;&gt;"",ROW()-2,"")</f>
        <v>85</v>
      </c>
      <c r="B87" s="48" t="s">
        <v>250</v>
      </c>
      <c r="C87" s="49" t="s">
        <v>446</v>
      </c>
      <c r="D87" s="63" t="s">
        <v>447</v>
      </c>
      <c r="E87" s="50" t="n">
        <v>1</v>
      </c>
      <c r="F87" s="51" t="n">
        <v>0.2</v>
      </c>
      <c r="G87" s="52"/>
      <c r="H87" s="53" t="n">
        <f aca="false">IF(I87="是",0,IF(OR(E87="",F87=""),0,E87*F87*(1+IF(G87="",0,G87))))</f>
        <v>0.2</v>
      </c>
      <c r="I87" s="48" t="s">
        <v>253</v>
      </c>
      <c r="J87" s="28" t="s">
        <v>448</v>
      </c>
    </row>
    <row r="88" customFormat="false" ht="13.5" hidden="false" customHeight="true" outlineLevel="0" collapsed="false">
      <c r="A88" s="54" t="n">
        <f aca="false">IF(C88&lt;&gt;"",ROW()-2,"")</f>
        <v>86</v>
      </c>
      <c r="B88" s="55" t="s">
        <v>250</v>
      </c>
      <c r="C88" s="56" t="s">
        <v>449</v>
      </c>
      <c r="D88" s="62" t="s">
        <v>450</v>
      </c>
      <c r="E88" s="58" t="n">
        <v>6</v>
      </c>
      <c r="F88" s="59" t="n">
        <v>0.0929</v>
      </c>
      <c r="G88" s="60"/>
      <c r="H88" s="61" t="n">
        <f aca="false">IF(I88="是",0,IF(OR(E88="",F88=""),0,E88*F88*(1+IF(G88="",0,G88))))</f>
        <v>0.5574</v>
      </c>
      <c r="I88" s="55" t="s">
        <v>253</v>
      </c>
      <c r="J88" s="57" t="s">
        <v>290</v>
      </c>
    </row>
    <row r="89" customFormat="false" ht="13.5" hidden="false" customHeight="true" outlineLevel="0" collapsed="false">
      <c r="A89" s="27" t="n">
        <f aca="false">IF(C89&lt;&gt;"",ROW()-2,"")</f>
        <v>87</v>
      </c>
      <c r="B89" s="48" t="s">
        <v>250</v>
      </c>
      <c r="C89" s="49" t="s">
        <v>451</v>
      </c>
      <c r="D89" s="28" t="s">
        <v>452</v>
      </c>
      <c r="E89" s="50" t="n">
        <v>6</v>
      </c>
      <c r="F89" s="51" t="n">
        <v>0.0885</v>
      </c>
      <c r="G89" s="52"/>
      <c r="H89" s="53" t="n">
        <f aca="false">IF(I89="是",0,IF(OR(E89="",F89=""),0,E89*F89*(1+IF(G89="",0,G89))))</f>
        <v>0.531</v>
      </c>
      <c r="I89" s="48" t="s">
        <v>253</v>
      </c>
      <c r="J89" s="28" t="s">
        <v>275</v>
      </c>
    </row>
    <row r="90" customFormat="false" ht="13.5" hidden="false" customHeight="true" outlineLevel="0" collapsed="false">
      <c r="A90" s="54" t="n">
        <f aca="false">IF(C90&lt;&gt;"",ROW()-2,"")</f>
        <v>88</v>
      </c>
      <c r="B90" s="55" t="s">
        <v>250</v>
      </c>
      <c r="C90" s="56" t="s">
        <v>453</v>
      </c>
      <c r="D90" s="62" t="s">
        <v>454</v>
      </c>
      <c r="E90" s="58" t="n">
        <v>2</v>
      </c>
      <c r="F90" s="59" t="n">
        <v>0.3325</v>
      </c>
      <c r="G90" s="60"/>
      <c r="H90" s="61" t="n">
        <f aca="false">IF(I90="是",0,IF(OR(E90="",F90=""),0,E90*F90*(1+IF(G90="",0,G90))))</f>
        <v>0.665</v>
      </c>
      <c r="I90" s="55" t="s">
        <v>253</v>
      </c>
      <c r="J90" s="57" t="s">
        <v>290</v>
      </c>
    </row>
    <row r="91" customFormat="false" ht="13.5" hidden="false" customHeight="true" outlineLevel="0" collapsed="false">
      <c r="A91" s="27" t="n">
        <f aca="false">IF(C91&lt;&gt;"",ROW()-2,"")</f>
        <v>89</v>
      </c>
      <c r="B91" s="48" t="s">
        <v>250</v>
      </c>
      <c r="C91" s="49" t="s">
        <v>455</v>
      </c>
      <c r="D91" s="28" t="s">
        <v>456</v>
      </c>
      <c r="E91" s="50" t="n">
        <v>2</v>
      </c>
      <c r="F91" s="51" t="n">
        <v>0.079</v>
      </c>
      <c r="G91" s="52"/>
      <c r="H91" s="53" t="n">
        <f aca="false">IF(I91="是",0,IF(OR(E91="",F91=""),0,E91*F91*(1+IF(G91="",0,G91))))</f>
        <v>0.158</v>
      </c>
      <c r="I91" s="48" t="s">
        <v>253</v>
      </c>
      <c r="J91" s="28" t="s">
        <v>290</v>
      </c>
    </row>
    <row r="92" customFormat="false" ht="13.5" hidden="false" customHeight="true" outlineLevel="0" collapsed="false">
      <c r="A92" s="54" t="n">
        <f aca="false">IF(C92&lt;&gt;"",ROW()-2,"")</f>
        <v>90</v>
      </c>
      <c r="B92" s="55" t="s">
        <v>250</v>
      </c>
      <c r="C92" s="56" t="s">
        <v>457</v>
      </c>
      <c r="D92" s="57" t="s">
        <v>458</v>
      </c>
      <c r="E92" s="58" t="n">
        <v>1</v>
      </c>
      <c r="F92" s="59" t="n">
        <v>0.048</v>
      </c>
      <c r="G92" s="60"/>
      <c r="H92" s="61" t="n">
        <f aca="false">IF(I92="是",0,IF(OR(E92="",F92=""),0,E92*F92*(1+IF(G92="",0,G92))))</f>
        <v>0.048</v>
      </c>
      <c r="I92" s="55" t="s">
        <v>253</v>
      </c>
      <c r="J92" s="57" t="s">
        <v>459</v>
      </c>
    </row>
    <row r="93" customFormat="false" ht="13.5" hidden="false" customHeight="true" outlineLevel="0" collapsed="false">
      <c r="A93" s="27" t="n">
        <f aca="false">IF(C93&lt;&gt;"",ROW()-2,"")</f>
        <v>91</v>
      </c>
      <c r="B93" s="48" t="s">
        <v>250</v>
      </c>
      <c r="C93" s="49" t="s">
        <v>460</v>
      </c>
      <c r="D93" s="28" t="s">
        <v>461</v>
      </c>
      <c r="E93" s="50" t="n">
        <v>3</v>
      </c>
      <c r="F93" s="51" t="n">
        <v>0.0246</v>
      </c>
      <c r="G93" s="52"/>
      <c r="H93" s="53" t="n">
        <f aca="false">IF(I93="是",0,IF(OR(E93="",F93=""),0,E93*F93*(1+IF(G93="",0,G93))))</f>
        <v>0.0738</v>
      </c>
      <c r="I93" s="48" t="s">
        <v>253</v>
      </c>
      <c r="J93" s="28" t="s">
        <v>414</v>
      </c>
    </row>
    <row r="94" customFormat="false" ht="13.5" hidden="false" customHeight="true" outlineLevel="0" collapsed="false">
      <c r="A94" s="54" t="n">
        <f aca="false">IF(C94&lt;&gt;"",ROW()-2,"")</f>
        <v>92</v>
      </c>
      <c r="B94" s="55" t="s">
        <v>250</v>
      </c>
      <c r="C94" s="56" t="s">
        <v>462</v>
      </c>
      <c r="D94" s="57" t="s">
        <v>463</v>
      </c>
      <c r="E94" s="58" t="n">
        <v>2</v>
      </c>
      <c r="F94" s="59" t="n">
        <v>5.9486</v>
      </c>
      <c r="G94" s="60"/>
      <c r="H94" s="61" t="n">
        <f aca="false">IF(I94="是",0,IF(OR(E94="",F94=""),0,E94*F94*(1+IF(G94="",0,G94))))</f>
        <v>11.8972</v>
      </c>
      <c r="I94" s="55" t="s">
        <v>253</v>
      </c>
      <c r="J94" s="57" t="s">
        <v>414</v>
      </c>
    </row>
    <row r="95" customFormat="false" ht="13.5" hidden="false" customHeight="true" outlineLevel="0" collapsed="false">
      <c r="A95" s="27" t="n">
        <f aca="false">IF(C95&lt;&gt;"",ROW()-2,"")</f>
        <v>93</v>
      </c>
      <c r="B95" s="48" t="s">
        <v>250</v>
      </c>
      <c r="C95" s="49" t="s">
        <v>464</v>
      </c>
      <c r="D95" s="28" t="s">
        <v>465</v>
      </c>
      <c r="E95" s="50" t="n">
        <v>2</v>
      </c>
      <c r="F95" s="51" t="n">
        <v>0</v>
      </c>
      <c r="G95" s="52"/>
      <c r="H95" s="53" t="n">
        <f aca="false">IF(I95="是",0,IF(OR(E95="",F95=""),0,E95*F95*(1+IF(G95="",0,G95))))</f>
        <v>0</v>
      </c>
      <c r="I95" s="48" t="s">
        <v>57</v>
      </c>
      <c r="J95" s="28" t="s">
        <v>376</v>
      </c>
    </row>
    <row r="96" customFormat="false" ht="13.5" hidden="false" customHeight="true" outlineLevel="0" collapsed="false">
      <c r="A96" s="54" t="n">
        <f aca="false">IF(C96&lt;&gt;"",ROW()-2,"")</f>
        <v>94</v>
      </c>
      <c r="B96" s="55" t="s">
        <v>250</v>
      </c>
      <c r="C96" s="56" t="s">
        <v>466</v>
      </c>
      <c r="D96" s="57" t="s">
        <v>467</v>
      </c>
      <c r="E96" s="58" t="n">
        <v>1</v>
      </c>
      <c r="F96" s="59" t="n">
        <v>0.241526</v>
      </c>
      <c r="G96" s="60"/>
      <c r="H96" s="61" t="n">
        <f aca="false">IF(I96="是",0,IF(OR(E96="",F96=""),0,E96*F96*(1+IF(G96="",0,G96))))</f>
        <v>0.241526</v>
      </c>
      <c r="I96" s="55" t="s">
        <v>253</v>
      </c>
      <c r="J96" s="62" t="s">
        <v>468</v>
      </c>
    </row>
    <row r="97" customFormat="false" ht="13.5" hidden="false" customHeight="true" outlineLevel="0" collapsed="false">
      <c r="A97" s="27" t="n">
        <f aca="false">IF(C97&lt;&gt;"",ROW()-2,"")</f>
        <v>95</v>
      </c>
      <c r="B97" s="48" t="s">
        <v>250</v>
      </c>
      <c r="C97" s="49" t="s">
        <v>469</v>
      </c>
      <c r="D97" s="28" t="s">
        <v>470</v>
      </c>
      <c r="E97" s="50" t="n">
        <v>1</v>
      </c>
      <c r="F97" s="51" t="n">
        <v>0.267</v>
      </c>
      <c r="G97" s="52"/>
      <c r="H97" s="53" t="n">
        <f aca="false">IF(I97="是",0,IF(OR(E97="",F97=""),0,E97*F97*(1+IF(G97="",0,G97))))</f>
        <v>0.267</v>
      </c>
      <c r="I97" s="48" t="s">
        <v>253</v>
      </c>
      <c r="J97" s="28" t="s">
        <v>275</v>
      </c>
    </row>
    <row r="98" customFormat="false" ht="13.5" hidden="false" customHeight="true" outlineLevel="0" collapsed="false">
      <c r="A98" s="54" t="n">
        <f aca="false">IF(C98&lt;&gt;"",ROW()-2,"")</f>
        <v>96</v>
      </c>
      <c r="B98" s="55" t="s">
        <v>250</v>
      </c>
      <c r="C98" s="56" t="s">
        <v>471</v>
      </c>
      <c r="D98" s="57" t="s">
        <v>472</v>
      </c>
      <c r="E98" s="58" t="n">
        <v>2</v>
      </c>
      <c r="F98" s="59" t="n">
        <v>0.6039</v>
      </c>
      <c r="G98" s="60"/>
      <c r="H98" s="61" t="n">
        <f aca="false">IF(I98="是",0,IF(OR(E98="",F98=""),0,E98*F98*(1+IF(G98="",0,G98))))</f>
        <v>1.2078</v>
      </c>
      <c r="I98" s="55" t="s">
        <v>253</v>
      </c>
      <c r="J98" s="57" t="s">
        <v>414</v>
      </c>
    </row>
    <row r="99" customFormat="false" ht="13.5" hidden="false" customHeight="true" outlineLevel="0" collapsed="false">
      <c r="A99" s="27" t="n">
        <f aca="false">IF(C99&lt;&gt;"",ROW()-2,"")</f>
        <v>97</v>
      </c>
      <c r="B99" s="48" t="s">
        <v>250</v>
      </c>
      <c r="C99" s="49" t="s">
        <v>473</v>
      </c>
      <c r="D99" s="28" t="s">
        <v>474</v>
      </c>
      <c r="E99" s="50" t="n">
        <v>1</v>
      </c>
      <c r="F99" s="51" t="n">
        <v>0.678846</v>
      </c>
      <c r="G99" s="52"/>
      <c r="H99" s="53" t="n">
        <f aca="false">IF(I99="是",0,IF(OR(E99="",F99=""),0,E99*F99*(1+IF(G99="",0,G99))))</f>
        <v>0.678846</v>
      </c>
      <c r="I99" s="48" t="s">
        <v>253</v>
      </c>
      <c r="J99" s="63" t="s">
        <v>468</v>
      </c>
    </row>
    <row r="100" customFormat="false" ht="13.5" hidden="false" customHeight="true" outlineLevel="0" collapsed="false">
      <c r="A100" s="54" t="n">
        <f aca="false">IF(C100&lt;&gt;"",ROW()-2,"")</f>
        <v>98</v>
      </c>
      <c r="B100" s="55" t="s">
        <v>250</v>
      </c>
      <c r="C100" s="56" t="s">
        <v>475</v>
      </c>
      <c r="D100" s="57" t="s">
        <v>476</v>
      </c>
      <c r="E100" s="58" t="n">
        <v>1</v>
      </c>
      <c r="F100" s="59" t="n">
        <v>0.5188</v>
      </c>
      <c r="G100" s="60"/>
      <c r="H100" s="61" t="n">
        <f aca="false">IF(I100="是",0,IF(OR(E100="",F100=""),0,E100*F100*(1+IF(G100="",0,G100))))</f>
        <v>0.5188</v>
      </c>
      <c r="I100" s="55" t="s">
        <v>253</v>
      </c>
      <c r="J100" s="57" t="s">
        <v>477</v>
      </c>
    </row>
    <row r="101" customFormat="false" ht="13.5" hidden="false" customHeight="true" outlineLevel="0" collapsed="false">
      <c r="A101" s="27" t="n">
        <f aca="false">IF(C101&lt;&gt;"",ROW()-2,"")</f>
        <v>99</v>
      </c>
      <c r="B101" s="48" t="s">
        <v>250</v>
      </c>
      <c r="C101" s="49" t="s">
        <v>478</v>
      </c>
      <c r="D101" s="28" t="s">
        <v>479</v>
      </c>
      <c r="E101" s="50" t="n">
        <v>1</v>
      </c>
      <c r="F101" s="51" t="n">
        <v>0</v>
      </c>
      <c r="G101" s="52"/>
      <c r="H101" s="53" t="n">
        <f aca="false">IF(I101="是",0,IF(OR(E101="",F101=""),0,E101*F101*(1+IF(G101="",0,G101))))</f>
        <v>0</v>
      </c>
      <c r="I101" s="48" t="s">
        <v>57</v>
      </c>
      <c r="J101" s="28" t="s">
        <v>376</v>
      </c>
    </row>
    <row r="102" customFormat="false" ht="13.5" hidden="false" customHeight="true" outlineLevel="0" collapsed="false">
      <c r="A102" s="54" t="n">
        <f aca="false">IF(C102&lt;&gt;"",ROW()-2,"")</f>
        <v>100</v>
      </c>
      <c r="B102" s="55" t="s">
        <v>250</v>
      </c>
      <c r="C102" s="56" t="s">
        <v>480</v>
      </c>
      <c r="D102" s="57" t="s">
        <v>481</v>
      </c>
      <c r="E102" s="58" t="n">
        <v>1</v>
      </c>
      <c r="F102" s="59" t="n">
        <v>0.781</v>
      </c>
      <c r="G102" s="60"/>
      <c r="H102" s="61" t="n">
        <f aca="false">IF(I102="是",0,IF(OR(E102="",F102=""),0,E102*F102*(1+IF(G102="",0,G102))))</f>
        <v>0.781</v>
      </c>
      <c r="I102" s="55" t="s">
        <v>253</v>
      </c>
      <c r="J102" s="57" t="s">
        <v>482</v>
      </c>
    </row>
    <row r="103" customFormat="false" ht="13.5" hidden="false" customHeight="true" outlineLevel="0" collapsed="false">
      <c r="A103" s="27" t="n">
        <f aca="false">IF(C103&lt;&gt;"",ROW()-2,"")</f>
        <v>101</v>
      </c>
      <c r="B103" s="48" t="s">
        <v>250</v>
      </c>
      <c r="C103" s="49" t="s">
        <v>483</v>
      </c>
      <c r="D103" s="28" t="s">
        <v>484</v>
      </c>
      <c r="E103" s="50" t="n">
        <v>1</v>
      </c>
      <c r="F103" s="51" t="n">
        <v>0.1567</v>
      </c>
      <c r="G103" s="52"/>
      <c r="H103" s="53" t="n">
        <f aca="false">IF(I103="是",0,IF(OR(E103="",F103=""),0,E103*F103*(1+IF(G103="",0,G103))))</f>
        <v>0.1567</v>
      </c>
      <c r="I103" s="48" t="s">
        <v>253</v>
      </c>
      <c r="J103" s="28" t="s">
        <v>482</v>
      </c>
    </row>
    <row r="104" customFormat="false" ht="13.5" hidden="false" customHeight="true" outlineLevel="0" collapsed="false">
      <c r="A104" s="54" t="n">
        <f aca="false">IF(C104&lt;&gt;"",ROW()-2,"")</f>
        <v>102</v>
      </c>
      <c r="B104" s="55" t="s">
        <v>250</v>
      </c>
      <c r="C104" s="56" t="s">
        <v>485</v>
      </c>
      <c r="D104" s="57" t="s">
        <v>486</v>
      </c>
      <c r="E104" s="58" t="n">
        <v>3</v>
      </c>
      <c r="F104" s="59" t="n">
        <v>2.965487</v>
      </c>
      <c r="G104" s="60"/>
      <c r="H104" s="61" t="n">
        <f aca="false">IF(I104="是",0,IF(OR(E104="",F104=""),0,E104*F104*(1+IF(G104="",0,G104))))</f>
        <v>8.896461</v>
      </c>
      <c r="I104" s="55" t="s">
        <v>253</v>
      </c>
      <c r="J104" s="62" t="s">
        <v>487</v>
      </c>
    </row>
    <row r="105" customFormat="false" ht="13.5" hidden="false" customHeight="true" outlineLevel="0" collapsed="false">
      <c r="A105" s="27" t="n">
        <f aca="false">IF(C105&lt;&gt;"",ROW()-2,"")</f>
        <v>103</v>
      </c>
      <c r="B105" s="48" t="s">
        <v>250</v>
      </c>
      <c r="C105" s="49" t="s">
        <v>488</v>
      </c>
      <c r="D105" s="28" t="s">
        <v>489</v>
      </c>
      <c r="E105" s="50" t="n">
        <v>6</v>
      </c>
      <c r="F105" s="51" t="n">
        <v>0</v>
      </c>
      <c r="G105" s="52"/>
      <c r="H105" s="53" t="n">
        <f aca="false">IF(I105="是",0,IF(OR(E105="",F105=""),0,E105*F105*(1+IF(G105="",0,G105))))</f>
        <v>0</v>
      </c>
      <c r="I105" s="48" t="s">
        <v>57</v>
      </c>
      <c r="J105" s="28" t="s">
        <v>376</v>
      </c>
    </row>
    <row r="106" customFormat="false" ht="13.5" hidden="false" customHeight="true" outlineLevel="0" collapsed="false">
      <c r="A106" s="54" t="n">
        <f aca="false">IF(C106&lt;&gt;"",ROW()-2,"")</f>
        <v>104</v>
      </c>
      <c r="B106" s="55" t="s">
        <v>250</v>
      </c>
      <c r="C106" s="56" t="s">
        <v>490</v>
      </c>
      <c r="D106" s="57" t="s">
        <v>491</v>
      </c>
      <c r="E106" s="58" t="n">
        <v>1</v>
      </c>
      <c r="F106" s="59" t="n">
        <v>0.36229</v>
      </c>
      <c r="G106" s="60"/>
      <c r="H106" s="61" t="n">
        <f aca="false">IF(I106="是",0,IF(OR(E106="",F106=""),0,E106*F106*(1+IF(G106="",0,G106))))</f>
        <v>0.36229</v>
      </c>
      <c r="I106" s="55" t="s">
        <v>253</v>
      </c>
      <c r="J106" s="62" t="s">
        <v>487</v>
      </c>
    </row>
    <row r="107" customFormat="false" ht="13.5" hidden="false" customHeight="true" outlineLevel="0" collapsed="false">
      <c r="A107" s="27" t="n">
        <f aca="false">IF(C107&lt;&gt;"",ROW()-2,"")</f>
        <v>105</v>
      </c>
      <c r="B107" s="48" t="s">
        <v>250</v>
      </c>
      <c r="C107" s="49" t="s">
        <v>492</v>
      </c>
      <c r="D107" s="28" t="s">
        <v>493</v>
      </c>
      <c r="E107" s="50" t="n">
        <v>1</v>
      </c>
      <c r="F107" s="51" t="n">
        <v>2.53</v>
      </c>
      <c r="G107" s="52"/>
      <c r="H107" s="53" t="n">
        <f aca="false">IF(I107="是",0,IF(OR(E107="",F107=""),0,E107*F107*(1+IF(G107="",0,G107))))</f>
        <v>2.53</v>
      </c>
      <c r="I107" s="48" t="s">
        <v>253</v>
      </c>
      <c r="J107" s="28" t="s">
        <v>494</v>
      </c>
    </row>
    <row r="108" customFormat="false" ht="13.5" hidden="false" customHeight="true" outlineLevel="0" collapsed="false">
      <c r="A108" s="54" t="n">
        <f aca="false">IF(C108&lt;&gt;"",ROW()-2,"")</f>
        <v>106</v>
      </c>
      <c r="B108" s="55" t="s">
        <v>250</v>
      </c>
      <c r="C108" s="56" t="s">
        <v>495</v>
      </c>
      <c r="D108" s="57" t="s">
        <v>496</v>
      </c>
      <c r="E108" s="58" t="n">
        <v>1</v>
      </c>
      <c r="F108" s="59" t="n">
        <v>0.33</v>
      </c>
      <c r="G108" s="60"/>
      <c r="H108" s="61" t="n">
        <f aca="false">IF(I108="是",0,IF(OR(E108="",F108=""),0,E108*F108*(1+IF(G108="",0,G108))))</f>
        <v>0.33</v>
      </c>
      <c r="I108" s="55" t="s">
        <v>253</v>
      </c>
      <c r="J108" s="57" t="s">
        <v>494</v>
      </c>
    </row>
    <row r="109" customFormat="false" ht="13.5" hidden="false" customHeight="true" outlineLevel="0" collapsed="false">
      <c r="A109" s="27" t="n">
        <f aca="false">IF(C109&lt;&gt;"",ROW()-2,"")</f>
        <v>107</v>
      </c>
      <c r="B109" s="48" t="s">
        <v>250</v>
      </c>
      <c r="C109" s="49" t="s">
        <v>497</v>
      </c>
      <c r="D109" s="28" t="s">
        <v>498</v>
      </c>
      <c r="E109" s="50" t="n">
        <v>1</v>
      </c>
      <c r="F109" s="51" t="n">
        <v>0</v>
      </c>
      <c r="G109" s="52"/>
      <c r="H109" s="53" t="n">
        <f aca="false">IF(I109="是",0,IF(OR(E109="",F109=""),0,E109*F109*(1+IF(G109="",0,G109))))</f>
        <v>0</v>
      </c>
      <c r="I109" s="48" t="s">
        <v>57</v>
      </c>
      <c r="J109" s="28" t="s">
        <v>376</v>
      </c>
    </row>
    <row r="110" customFormat="false" ht="13.5" hidden="false" customHeight="true" outlineLevel="0" collapsed="false">
      <c r="A110" s="54" t="n">
        <f aca="false">IF(C110&lt;&gt;"",ROW()-2,"")</f>
        <v>108</v>
      </c>
      <c r="B110" s="55" t="s">
        <v>250</v>
      </c>
      <c r="C110" s="56" t="s">
        <v>499</v>
      </c>
      <c r="D110" s="57" t="s">
        <v>500</v>
      </c>
      <c r="E110" s="58" t="n">
        <v>3</v>
      </c>
      <c r="F110" s="59" t="n">
        <v>1.85</v>
      </c>
      <c r="G110" s="60"/>
      <c r="H110" s="61" t="n">
        <f aca="false">IF(I110="是",0,IF(OR(E110="",F110=""),0,E110*F110*(1+IF(G110="",0,G110))))</f>
        <v>5.55</v>
      </c>
      <c r="I110" s="55" t="s">
        <v>253</v>
      </c>
      <c r="J110" s="57" t="s">
        <v>501</v>
      </c>
    </row>
    <row r="111" customFormat="false" ht="13.5" hidden="false" customHeight="true" outlineLevel="0" collapsed="false">
      <c r="A111" s="27" t="n">
        <f aca="false">IF(C111&lt;&gt;"",ROW()-2,"")</f>
        <v>109</v>
      </c>
      <c r="B111" s="48" t="s">
        <v>250</v>
      </c>
      <c r="C111" s="49" t="s">
        <v>502</v>
      </c>
      <c r="D111" s="28" t="s">
        <v>503</v>
      </c>
      <c r="E111" s="50" t="n">
        <v>1</v>
      </c>
      <c r="F111" s="51" t="n">
        <v>28.3186</v>
      </c>
      <c r="G111" s="52"/>
      <c r="H111" s="53" t="n">
        <f aca="false">IF(I111="是",0,IF(OR(E111="",F111=""),0,E111*F111*(1+IF(G111="",0,G111))))</f>
        <v>28.3186</v>
      </c>
      <c r="I111" s="48" t="s">
        <v>253</v>
      </c>
      <c r="J111" s="28" t="s">
        <v>501</v>
      </c>
    </row>
    <row r="112" customFormat="false" ht="13.5" hidden="false" customHeight="true" outlineLevel="0" collapsed="false">
      <c r="A112" s="54" t="n">
        <f aca="false">IF(C112&lt;&gt;"",ROW()-2,"")</f>
        <v>110</v>
      </c>
      <c r="B112" s="55" t="s">
        <v>250</v>
      </c>
      <c r="C112" s="56" t="s">
        <v>504</v>
      </c>
      <c r="D112" s="57" t="s">
        <v>505</v>
      </c>
      <c r="E112" s="58" t="n">
        <v>1</v>
      </c>
      <c r="F112" s="59" t="n">
        <v>1.4047</v>
      </c>
      <c r="G112" s="60"/>
      <c r="H112" s="61" t="n">
        <f aca="false">IF(I112="是",0,IF(OR(E112="",F112=""),0,E112*F112*(1+IF(G112="",0,G112))))</f>
        <v>1.4047</v>
      </c>
      <c r="I112" s="55" t="s">
        <v>253</v>
      </c>
      <c r="J112" s="57" t="s">
        <v>506</v>
      </c>
    </row>
    <row r="113" customFormat="false" ht="13.5" hidden="false" customHeight="true" outlineLevel="0" collapsed="false">
      <c r="A113" s="27" t="n">
        <f aca="false">IF(C113&lt;&gt;"",ROW()-2,"")</f>
        <v>111</v>
      </c>
      <c r="B113" s="48" t="s">
        <v>250</v>
      </c>
      <c r="C113" s="49" t="s">
        <v>507</v>
      </c>
      <c r="D113" s="28" t="s">
        <v>508</v>
      </c>
      <c r="E113" s="50" t="n">
        <v>1</v>
      </c>
      <c r="F113" s="51" t="n">
        <v>0.29</v>
      </c>
      <c r="G113" s="52"/>
      <c r="H113" s="53" t="n">
        <f aca="false">IF(I113="是",0,IF(OR(E113="",F113=""),0,E113*F113*(1+IF(G113="",0,G113))))</f>
        <v>0.29</v>
      </c>
      <c r="I113" s="48" t="s">
        <v>253</v>
      </c>
      <c r="J113" s="28" t="s">
        <v>509</v>
      </c>
    </row>
    <row r="114" customFormat="false" ht="13.5" hidden="false" customHeight="true" outlineLevel="0" collapsed="false">
      <c r="A114" s="54" t="n">
        <f aca="false">IF(C114&lt;&gt;"",ROW()-2,"")</f>
        <v>112</v>
      </c>
      <c r="B114" s="55" t="s">
        <v>250</v>
      </c>
      <c r="C114" s="56" t="s">
        <v>510</v>
      </c>
      <c r="D114" s="57" t="s">
        <v>511</v>
      </c>
      <c r="E114" s="58" t="n">
        <v>1</v>
      </c>
      <c r="F114" s="59" t="n">
        <v>0.3832</v>
      </c>
      <c r="G114" s="60"/>
      <c r="H114" s="61" t="n">
        <f aca="false">IF(I114="是",0,IF(OR(E114="",F114=""),0,E114*F114*(1+IF(G114="",0,G114))))</f>
        <v>0.3832</v>
      </c>
      <c r="I114" s="55" t="s">
        <v>253</v>
      </c>
      <c r="J114" s="57" t="s">
        <v>512</v>
      </c>
    </row>
    <row r="115" customFormat="false" ht="13.5" hidden="false" customHeight="true" outlineLevel="0" collapsed="false">
      <c r="A115" s="27" t="n">
        <f aca="false">IF(C115&lt;&gt;"",ROW()-2,"")</f>
        <v>113</v>
      </c>
      <c r="B115" s="48" t="s">
        <v>250</v>
      </c>
      <c r="C115" s="49" t="s">
        <v>513</v>
      </c>
      <c r="D115" s="28" t="s">
        <v>514</v>
      </c>
      <c r="E115" s="50" t="n">
        <v>1</v>
      </c>
      <c r="F115" s="51" t="n">
        <v>0.0184</v>
      </c>
      <c r="G115" s="52"/>
      <c r="H115" s="53" t="n">
        <f aca="false">IF(I115="是",0,IF(OR(E115="",F115=""),0,E115*F115*(1+IF(G115="",0,G115))))</f>
        <v>0.0184</v>
      </c>
      <c r="I115" s="48" t="s">
        <v>253</v>
      </c>
      <c r="J115" s="28" t="s">
        <v>515</v>
      </c>
    </row>
    <row r="116" customFormat="false" ht="13.5" hidden="false" customHeight="true" outlineLevel="0" collapsed="false">
      <c r="A116" s="54" t="n">
        <f aca="false">IF(C116&lt;&gt;"",ROW()-2,"")</f>
        <v>114</v>
      </c>
      <c r="B116" s="55" t="s">
        <v>250</v>
      </c>
      <c r="C116" s="56" t="s">
        <v>516</v>
      </c>
      <c r="D116" s="57" t="s">
        <v>517</v>
      </c>
      <c r="E116" s="58" t="n">
        <v>2</v>
      </c>
      <c r="F116" s="59" t="n">
        <v>0.0443</v>
      </c>
      <c r="G116" s="60"/>
      <c r="H116" s="61" t="n">
        <f aca="false">IF(I116="是",0,IF(OR(E116="",F116=""),0,E116*F116*(1+IF(G116="",0,G116))))</f>
        <v>0.0886</v>
      </c>
      <c r="I116" s="55" t="s">
        <v>253</v>
      </c>
      <c r="J116" s="57" t="s">
        <v>515</v>
      </c>
    </row>
    <row r="117" customFormat="false" ht="13.5" hidden="false" customHeight="true" outlineLevel="0" collapsed="false">
      <c r="A117" s="27" t="n">
        <f aca="false">IF(C117&lt;&gt;"",ROW()-2,"")</f>
        <v>115</v>
      </c>
      <c r="B117" s="48" t="s">
        <v>250</v>
      </c>
      <c r="C117" s="49" t="s">
        <v>518</v>
      </c>
      <c r="D117" s="28" t="s">
        <v>519</v>
      </c>
      <c r="E117" s="50" t="n">
        <v>2</v>
      </c>
      <c r="F117" s="51" t="n">
        <v>0.046</v>
      </c>
      <c r="G117" s="52"/>
      <c r="H117" s="53" t="n">
        <f aca="false">IF(I117="是",0,IF(OR(E117="",F117=""),0,E117*F117*(1+IF(G117="",0,G117))))</f>
        <v>0.092</v>
      </c>
      <c r="I117" s="48" t="s">
        <v>253</v>
      </c>
      <c r="J117" s="28" t="s">
        <v>515</v>
      </c>
    </row>
    <row r="118" customFormat="false" ht="13.5" hidden="false" customHeight="true" outlineLevel="0" collapsed="false">
      <c r="A118" s="54" t="n">
        <f aca="false">IF(C118&lt;&gt;"",ROW()-2,"")</f>
        <v>116</v>
      </c>
      <c r="B118" s="55" t="s">
        <v>250</v>
      </c>
      <c r="C118" s="56" t="s">
        <v>520</v>
      </c>
      <c r="D118" s="57" t="s">
        <v>521</v>
      </c>
      <c r="E118" s="58" t="n">
        <v>2</v>
      </c>
      <c r="F118" s="59" t="n">
        <v>0.0537</v>
      </c>
      <c r="G118" s="60"/>
      <c r="H118" s="61" t="n">
        <f aca="false">IF(I118="是",0,IF(OR(E118="",F118=""),0,E118*F118*(1+IF(G118="",0,G118))))</f>
        <v>0.1074</v>
      </c>
      <c r="I118" s="55" t="s">
        <v>253</v>
      </c>
      <c r="J118" s="57" t="s">
        <v>515</v>
      </c>
    </row>
    <row r="119" customFormat="false" ht="13.5" hidden="false" customHeight="true" outlineLevel="0" collapsed="false">
      <c r="A119" s="27" t="n">
        <f aca="false">IF(C119&lt;&gt;"",ROW()-2,"")</f>
        <v>117</v>
      </c>
      <c r="B119" s="48" t="s">
        <v>250</v>
      </c>
      <c r="C119" s="49" t="s">
        <v>522</v>
      </c>
      <c r="D119" s="28" t="s">
        <v>523</v>
      </c>
      <c r="E119" s="50" t="n">
        <v>6</v>
      </c>
      <c r="F119" s="51" t="n">
        <v>1.2</v>
      </c>
      <c r="G119" s="52"/>
      <c r="H119" s="53" t="n">
        <f aca="false">IF(I119="是",0,IF(OR(E119="",F119=""),0,E119*F119*(1+IF(G119="",0,G119))))</f>
        <v>7.2</v>
      </c>
      <c r="I119" s="48" t="s">
        <v>253</v>
      </c>
      <c r="J119" s="28" t="s">
        <v>524</v>
      </c>
    </row>
    <row r="120" customFormat="false" ht="13.5" hidden="false" customHeight="true" outlineLevel="0" collapsed="false">
      <c r="A120" s="54" t="n">
        <f aca="false">IF(C120&lt;&gt;"",ROW()-2,"")</f>
        <v>118</v>
      </c>
      <c r="B120" s="55" t="s">
        <v>250</v>
      </c>
      <c r="C120" s="56" t="s">
        <v>525</v>
      </c>
      <c r="D120" s="57" t="s">
        <v>526</v>
      </c>
      <c r="E120" s="58" t="n">
        <v>1</v>
      </c>
      <c r="F120" s="59" t="n">
        <v>0.71</v>
      </c>
      <c r="G120" s="60"/>
      <c r="H120" s="61" t="n">
        <f aca="false">IF(I120="是",0,IF(OR(E120="",F120=""),0,E120*F120*(1+IF(G120="",0,G120))))</f>
        <v>0.71</v>
      </c>
      <c r="I120" s="55" t="s">
        <v>253</v>
      </c>
      <c r="J120" s="57" t="s">
        <v>524</v>
      </c>
    </row>
    <row r="121" customFormat="false" ht="13.5" hidden="false" customHeight="true" outlineLevel="0" collapsed="false">
      <c r="A121" s="27" t="n">
        <f aca="false">IF(C121&lt;&gt;"",ROW()-2,"")</f>
        <v>119</v>
      </c>
      <c r="B121" s="48" t="s">
        <v>250</v>
      </c>
      <c r="C121" s="49" t="s">
        <v>527</v>
      </c>
      <c r="D121" s="28" t="s">
        <v>528</v>
      </c>
      <c r="E121" s="50" t="n">
        <v>1</v>
      </c>
      <c r="F121" s="51" t="n">
        <v>0</v>
      </c>
      <c r="G121" s="52"/>
      <c r="H121" s="53" t="n">
        <f aca="false">IF(I121="是",0,IF(OR(E121="",F121=""),0,E121*F121*(1+IF(G121="",0,G121))))</f>
        <v>0</v>
      </c>
      <c r="I121" s="48" t="s">
        <v>57</v>
      </c>
      <c r="J121" s="28" t="s">
        <v>376</v>
      </c>
    </row>
    <row r="122" customFormat="false" ht="13.5" hidden="false" customHeight="true" outlineLevel="0" collapsed="false">
      <c r="A122" s="54" t="n">
        <f aca="false">IF(C122&lt;&gt;"",ROW()-2,"")</f>
        <v>120</v>
      </c>
      <c r="B122" s="55" t="s">
        <v>250</v>
      </c>
      <c r="C122" s="56" t="s">
        <v>529</v>
      </c>
      <c r="D122" s="57" t="s">
        <v>530</v>
      </c>
      <c r="E122" s="58" t="n">
        <v>2</v>
      </c>
      <c r="F122" s="59" t="n">
        <v>0</v>
      </c>
      <c r="G122" s="60"/>
      <c r="H122" s="61" t="n">
        <f aca="false">IF(I122="是",0,IF(OR(E122="",F122=""),0,E122*F122*(1+IF(G122="",0,G122))))</f>
        <v>0</v>
      </c>
      <c r="I122" s="55" t="s">
        <v>57</v>
      </c>
      <c r="J122" s="57" t="s">
        <v>376</v>
      </c>
    </row>
    <row r="123" customFormat="false" ht="13.5" hidden="false" customHeight="true" outlineLevel="0" collapsed="false">
      <c r="A123" s="27" t="n">
        <f aca="false">IF(C123&lt;&gt;"",ROW()-2,"")</f>
        <v>121</v>
      </c>
      <c r="B123" s="48" t="s">
        <v>250</v>
      </c>
      <c r="C123" s="49" t="s">
        <v>531</v>
      </c>
      <c r="D123" s="28" t="s">
        <v>532</v>
      </c>
      <c r="E123" s="50" t="n">
        <v>1</v>
      </c>
      <c r="F123" s="51" t="n">
        <v>0.118</v>
      </c>
      <c r="G123" s="52"/>
      <c r="H123" s="53" t="n">
        <f aca="false">IF(I123="是",0,IF(OR(E123="",F123=""),0,E123*F123*(1+IF(G123="",0,G123))))</f>
        <v>0.118</v>
      </c>
      <c r="I123" s="48" t="s">
        <v>253</v>
      </c>
      <c r="J123" s="28" t="s">
        <v>533</v>
      </c>
    </row>
    <row r="124" customFormat="false" ht="13.5" hidden="false" customHeight="true" outlineLevel="0" collapsed="false">
      <c r="A124" s="54" t="n">
        <f aca="false">IF(C124&lt;&gt;"",ROW()-2,"")</f>
        <v>122</v>
      </c>
      <c r="B124" s="55" t="s">
        <v>250</v>
      </c>
      <c r="C124" s="56" t="s">
        <v>534</v>
      </c>
      <c r="D124" s="57" t="s">
        <v>535</v>
      </c>
      <c r="E124" s="58" t="n">
        <v>6</v>
      </c>
      <c r="F124" s="59" t="n">
        <v>0.24</v>
      </c>
      <c r="G124" s="60"/>
      <c r="H124" s="61" t="n">
        <f aca="false">IF(I124="是",0,IF(OR(E124="",F124=""),0,E124*F124*(1+IF(G124="",0,G124))))</f>
        <v>1.44</v>
      </c>
      <c r="I124" s="55" t="s">
        <v>253</v>
      </c>
      <c r="J124" s="57" t="s">
        <v>536</v>
      </c>
    </row>
    <row r="125" customFormat="false" ht="13.5" hidden="false" customHeight="true" outlineLevel="0" collapsed="false">
      <c r="A125" s="27" t="n">
        <f aca="false">IF(C125&lt;&gt;"",ROW()-2,"")</f>
        <v>123</v>
      </c>
      <c r="B125" s="48" t="s">
        <v>250</v>
      </c>
      <c r="C125" s="49" t="s">
        <v>537</v>
      </c>
      <c r="D125" s="28" t="s">
        <v>538</v>
      </c>
      <c r="E125" s="50" t="n">
        <v>133</v>
      </c>
      <c r="F125" s="51" t="n">
        <v>0.2178</v>
      </c>
      <c r="G125" s="52"/>
      <c r="H125" s="53" t="n">
        <f aca="false">IF(I125="是",0,IF(OR(E125="",F125=""),0,E125*F125*(1+IF(G125="",0,G125))))</f>
        <v>28.9674</v>
      </c>
      <c r="I125" s="48" t="s">
        <v>253</v>
      </c>
      <c r="J125" s="28" t="s">
        <v>539</v>
      </c>
    </row>
    <row r="126" customFormat="false" ht="13.5" hidden="false" customHeight="true" outlineLevel="0" collapsed="false">
      <c r="A126" s="54" t="n">
        <f aca="false">IF(C126&lt;&gt;"",ROW()-2,"")</f>
        <v>124</v>
      </c>
      <c r="B126" s="55" t="s">
        <v>250</v>
      </c>
      <c r="C126" s="56" t="s">
        <v>540</v>
      </c>
      <c r="D126" s="57" t="s">
        <v>541</v>
      </c>
      <c r="E126" s="58" t="n">
        <v>5</v>
      </c>
      <c r="F126" s="59" t="n">
        <v>0.0373</v>
      </c>
      <c r="G126" s="60"/>
      <c r="H126" s="61" t="n">
        <f aca="false">IF(I126="是",0,IF(OR(E126="",F126=""),0,E126*F126*(1+IF(G126="",0,G126))))</f>
        <v>0.1865</v>
      </c>
      <c r="I126" s="55" t="s">
        <v>253</v>
      </c>
      <c r="J126" s="57" t="s">
        <v>542</v>
      </c>
    </row>
    <row r="127" customFormat="false" ht="13.5" hidden="false" customHeight="true" outlineLevel="0" collapsed="false">
      <c r="A127" s="27" t="n">
        <f aca="false">IF(C127&lt;&gt;"",ROW()-2,"")</f>
        <v>125</v>
      </c>
      <c r="B127" s="48" t="s">
        <v>250</v>
      </c>
      <c r="C127" s="49" t="s">
        <v>543</v>
      </c>
      <c r="D127" s="63" t="s">
        <v>544</v>
      </c>
      <c r="E127" s="50" t="n">
        <v>1</v>
      </c>
      <c r="F127" s="51" t="n">
        <v>38.2785</v>
      </c>
      <c r="G127" s="52"/>
      <c r="H127" s="53" t="n">
        <f aca="false">IF(I127="是",0,IF(OR(E127="",F127=""),0,E127*F127*(1+IF(G127="",0,G127))))</f>
        <v>38.2785</v>
      </c>
      <c r="I127" s="48" t="s">
        <v>253</v>
      </c>
      <c r="J127" s="28" t="s">
        <v>545</v>
      </c>
    </row>
    <row r="128" customFormat="false" ht="13.5" hidden="false" customHeight="true" outlineLevel="0" collapsed="false">
      <c r="A128" s="54" t="n">
        <f aca="false">IF(C128&lt;&gt;"",ROW()-2,"")</f>
        <v>126</v>
      </c>
      <c r="B128" s="55" t="s">
        <v>250</v>
      </c>
      <c r="C128" s="56" t="s">
        <v>278</v>
      </c>
      <c r="D128" s="57" t="s">
        <v>279</v>
      </c>
      <c r="E128" s="58" t="n">
        <v>3</v>
      </c>
      <c r="F128" s="59" t="n">
        <v>0.065</v>
      </c>
      <c r="G128" s="60"/>
      <c r="H128" s="61" t="n">
        <f aca="false">IF(I128="是",0,IF(OR(E128="",F128=""),0,E128*F128*(1+IF(G128="",0,G128))))</f>
        <v>0.195</v>
      </c>
      <c r="I128" s="55" t="s">
        <v>253</v>
      </c>
      <c r="J128" s="57" t="s">
        <v>268</v>
      </c>
    </row>
    <row r="129" customFormat="false" ht="13.5" hidden="false" customHeight="true" outlineLevel="0" collapsed="false">
      <c r="A129" s="27" t="n">
        <f aca="false">IF(C129&lt;&gt;"",ROW()-2,"")</f>
        <v>127</v>
      </c>
      <c r="B129" s="48" t="s">
        <v>250</v>
      </c>
      <c r="C129" s="49" t="s">
        <v>349</v>
      </c>
      <c r="D129" s="28" t="s">
        <v>350</v>
      </c>
      <c r="E129" s="50" t="n">
        <v>4</v>
      </c>
      <c r="F129" s="51" t="n">
        <v>0.286</v>
      </c>
      <c r="G129" s="52"/>
      <c r="H129" s="53" t="n">
        <f aca="false">IF(I129="是",0,IF(OR(E129="",F129=""),0,E129*F129*(1+IF(G129="",0,G129))))</f>
        <v>1.144</v>
      </c>
      <c r="I129" s="48" t="s">
        <v>253</v>
      </c>
      <c r="J129" s="28" t="s">
        <v>254</v>
      </c>
    </row>
    <row r="130" customFormat="false" ht="13.5" hidden="false" customHeight="true" outlineLevel="0" collapsed="false">
      <c r="A130" s="54" t="n">
        <f aca="false">IF(C130&lt;&gt;"",ROW()-2,"")</f>
        <v>128</v>
      </c>
      <c r="B130" s="55" t="s">
        <v>250</v>
      </c>
      <c r="C130" s="56" t="s">
        <v>361</v>
      </c>
      <c r="D130" s="57" t="s">
        <v>362</v>
      </c>
      <c r="E130" s="58" t="n">
        <v>6</v>
      </c>
      <c r="F130" s="59" t="n">
        <v>1.2</v>
      </c>
      <c r="G130" s="60"/>
      <c r="H130" s="61" t="n">
        <f aca="false">IF(I130="是",0,IF(OR(E130="",F130=""),0,E130*F130*(1+IF(G130="",0,G130))))</f>
        <v>7.2</v>
      </c>
      <c r="I130" s="55" t="s">
        <v>253</v>
      </c>
      <c r="J130" s="57" t="s">
        <v>363</v>
      </c>
    </row>
    <row r="131" customFormat="false" ht="13.5" hidden="false" customHeight="true" outlineLevel="0" collapsed="false">
      <c r="A131" s="27" t="n">
        <f aca="false">IF(C131&lt;&gt;"",ROW()-2,"")</f>
        <v>129</v>
      </c>
      <c r="B131" s="48" t="s">
        <v>250</v>
      </c>
      <c r="C131" s="49" t="s">
        <v>546</v>
      </c>
      <c r="D131" s="28" t="s">
        <v>547</v>
      </c>
      <c r="E131" s="50" t="n">
        <v>6</v>
      </c>
      <c r="F131" s="51" t="n">
        <v>0.2488</v>
      </c>
      <c r="G131" s="52"/>
      <c r="H131" s="53" t="n">
        <f aca="false">IF(I131="是",0,IF(OR(E131="",F131=""),0,E131*F131*(1+IF(G131="",0,G131))))</f>
        <v>1.4928</v>
      </c>
      <c r="I131" s="48" t="s">
        <v>253</v>
      </c>
      <c r="J131" s="28" t="s">
        <v>394</v>
      </c>
    </row>
    <row r="132" customFormat="false" ht="13.5" hidden="false" customHeight="true" outlineLevel="0" collapsed="false">
      <c r="A132" s="54" t="n">
        <f aca="false">IF(C132&lt;&gt;"",ROW()-2,"")</f>
        <v>130</v>
      </c>
      <c r="B132" s="55" t="s">
        <v>250</v>
      </c>
      <c r="C132" s="56" t="s">
        <v>548</v>
      </c>
      <c r="D132" s="57" t="s">
        <v>549</v>
      </c>
      <c r="E132" s="58" t="n">
        <v>1</v>
      </c>
      <c r="F132" s="59" t="n">
        <v>0.72</v>
      </c>
      <c r="G132" s="60"/>
      <c r="H132" s="61" t="n">
        <f aca="false">IF(I132="是",0,IF(OR(E132="",F132=""),0,E132*F132*(1+IF(G132="",0,G132))))</f>
        <v>0.72</v>
      </c>
      <c r="I132" s="55" t="s">
        <v>253</v>
      </c>
      <c r="J132" s="57" t="s">
        <v>550</v>
      </c>
    </row>
    <row r="133" customFormat="false" ht="13.5" hidden="false" customHeight="true" outlineLevel="0" collapsed="false">
      <c r="A133" s="27" t="n">
        <f aca="false">IF(C133&lt;&gt;"",ROW()-2,"")</f>
        <v>131</v>
      </c>
      <c r="B133" s="48" t="s">
        <v>250</v>
      </c>
      <c r="C133" s="49" t="s">
        <v>551</v>
      </c>
      <c r="D133" s="28" t="s">
        <v>552</v>
      </c>
      <c r="E133" s="50" t="n">
        <v>2</v>
      </c>
      <c r="F133" s="51" t="n">
        <v>0</v>
      </c>
      <c r="G133" s="52"/>
      <c r="H133" s="53" t="n">
        <f aca="false">IF(I133="是",0,IF(OR(E133="",F133=""),0,E133*F133*(1+IF(G133="",0,G133))))</f>
        <v>0</v>
      </c>
      <c r="I133" s="48" t="s">
        <v>57</v>
      </c>
      <c r="J133" s="28" t="s">
        <v>376</v>
      </c>
    </row>
    <row r="134" customFormat="false" ht="13.5" hidden="false" customHeight="true" outlineLevel="0" collapsed="false">
      <c r="A134" s="54" t="n">
        <f aca="false">IF(C134&lt;&gt;"",ROW()-2,"")</f>
        <v>132</v>
      </c>
      <c r="B134" s="55" t="s">
        <v>250</v>
      </c>
      <c r="C134" s="56" t="s">
        <v>553</v>
      </c>
      <c r="D134" s="57" t="s">
        <v>554</v>
      </c>
      <c r="E134" s="58" t="n">
        <v>1</v>
      </c>
      <c r="F134" s="59" t="n">
        <v>3</v>
      </c>
      <c r="G134" s="60"/>
      <c r="H134" s="61" t="n">
        <f aca="false">IF(I134="是",0,IF(OR(E134="",F134=""),0,E134*F134*(1+IF(G134="",0,G134))))</f>
        <v>3</v>
      </c>
      <c r="I134" s="55" t="s">
        <v>253</v>
      </c>
      <c r="J134" s="57" t="s">
        <v>512</v>
      </c>
    </row>
    <row r="135" customFormat="false" ht="13.5" hidden="false" customHeight="true" outlineLevel="0" collapsed="false">
      <c r="A135" s="27" t="n">
        <f aca="false">IF(C135&lt;&gt;"",ROW()-2,"")</f>
        <v>133</v>
      </c>
      <c r="B135" s="48" t="s">
        <v>250</v>
      </c>
      <c r="C135" s="49" t="s">
        <v>522</v>
      </c>
      <c r="D135" s="28" t="s">
        <v>523</v>
      </c>
      <c r="E135" s="50" t="n">
        <v>8</v>
      </c>
      <c r="F135" s="51" t="n">
        <v>1.2</v>
      </c>
      <c r="G135" s="52"/>
      <c r="H135" s="53" t="n">
        <f aca="false">IF(I135="是",0,IF(OR(E135="",F135=""),0,E135*F135*(1+IF(G135="",0,G135))))</f>
        <v>9.6</v>
      </c>
      <c r="I135" s="48" t="s">
        <v>253</v>
      </c>
      <c r="J135" s="28" t="s">
        <v>524</v>
      </c>
    </row>
    <row r="136" customFormat="false" ht="13.5" hidden="false" customHeight="true" outlineLevel="0" collapsed="false">
      <c r="A136" s="54" t="n">
        <f aca="false">IF(C136&lt;&gt;"",ROW()-2,"")</f>
        <v>134</v>
      </c>
      <c r="B136" s="55" t="s">
        <v>250</v>
      </c>
      <c r="C136" s="56" t="s">
        <v>555</v>
      </c>
      <c r="D136" s="57" t="s">
        <v>556</v>
      </c>
      <c r="E136" s="58" t="n">
        <v>14</v>
      </c>
      <c r="F136" s="59" t="n">
        <v>0.0782</v>
      </c>
      <c r="G136" s="60"/>
      <c r="H136" s="61" t="n">
        <f aca="false">IF(I136="是",0,IF(OR(E136="",F136=""),0,E136*F136*(1+IF(G136="",0,G136))))</f>
        <v>1.0948</v>
      </c>
      <c r="I136" s="55" t="s">
        <v>253</v>
      </c>
      <c r="J136" s="57" t="s">
        <v>557</v>
      </c>
    </row>
    <row r="137" customFormat="false" ht="13.5" hidden="false" customHeight="true" outlineLevel="0" collapsed="false">
      <c r="A137" s="27" t="n">
        <f aca="false">IF(C137&lt;&gt;"",ROW()-2,"")</f>
        <v>135</v>
      </c>
      <c r="B137" s="48" t="s">
        <v>250</v>
      </c>
      <c r="C137" s="49" t="s">
        <v>534</v>
      </c>
      <c r="D137" s="28" t="s">
        <v>535</v>
      </c>
      <c r="E137" s="50" t="n">
        <v>8</v>
      </c>
      <c r="F137" s="51" t="n">
        <v>0.24</v>
      </c>
      <c r="G137" s="52"/>
      <c r="H137" s="53" t="n">
        <f aca="false">IF(I137="是",0,IF(OR(E137="",F137=""),0,E137*F137*(1+IF(G137="",0,G137))))</f>
        <v>1.92</v>
      </c>
      <c r="I137" s="48" t="s">
        <v>253</v>
      </c>
      <c r="J137" s="28" t="s">
        <v>536</v>
      </c>
    </row>
    <row r="138" customFormat="false" ht="13.5" hidden="false" customHeight="true" outlineLevel="0" collapsed="false">
      <c r="A138" s="54" t="n">
        <f aca="false">IF(C138&lt;&gt;"",ROW()-2,"")</f>
        <v>136</v>
      </c>
      <c r="B138" s="55" t="s">
        <v>250</v>
      </c>
      <c r="C138" s="56" t="s">
        <v>540</v>
      </c>
      <c r="D138" s="57" t="s">
        <v>541</v>
      </c>
      <c r="E138" s="58" t="n">
        <v>4</v>
      </c>
      <c r="F138" s="59" t="n">
        <v>0.0373</v>
      </c>
      <c r="G138" s="60"/>
      <c r="H138" s="61" t="n">
        <f aca="false">IF(I138="是",0,IF(OR(E138="",F138=""),0,E138*F138*(1+IF(G138="",0,G138))))</f>
        <v>0.1492</v>
      </c>
      <c r="I138" s="55" t="s">
        <v>253</v>
      </c>
      <c r="J138" s="57" t="s">
        <v>542</v>
      </c>
    </row>
    <row r="139" customFormat="false" ht="13.5" hidden="false" customHeight="true" outlineLevel="0" collapsed="false">
      <c r="A139" s="27" t="n">
        <f aca="false">IF(C139&lt;&gt;"",ROW()-2,"")</f>
        <v>137</v>
      </c>
      <c r="B139" s="48" t="s">
        <v>250</v>
      </c>
      <c r="C139" s="49" t="s">
        <v>558</v>
      </c>
      <c r="D139" s="63" t="s">
        <v>559</v>
      </c>
      <c r="E139" s="50" t="n">
        <v>1</v>
      </c>
      <c r="F139" s="51" t="n">
        <v>10.5675</v>
      </c>
      <c r="G139" s="52"/>
      <c r="H139" s="53" t="n">
        <f aca="false">IF(I139="是",0,IF(OR(E139="",F139=""),0,E139*F139*(1+IF(G139="",0,G139))))</f>
        <v>10.5675</v>
      </c>
      <c r="I139" s="48" t="s">
        <v>253</v>
      </c>
      <c r="J139" s="28" t="s">
        <v>545</v>
      </c>
    </row>
    <row r="140" customFormat="false" ht="13.5" hidden="false" customHeight="true" outlineLevel="0" collapsed="false">
      <c r="A140" s="54" t="n">
        <f aca="false">IF(C140&lt;&gt;"",ROW()-2,"")</f>
        <v>138</v>
      </c>
      <c r="B140" s="55" t="s">
        <v>250</v>
      </c>
      <c r="C140" s="56" t="s">
        <v>560</v>
      </c>
      <c r="D140" s="57" t="s">
        <v>561</v>
      </c>
      <c r="E140" s="58" t="n">
        <v>2</v>
      </c>
      <c r="F140" s="59" t="n">
        <v>0.0042</v>
      </c>
      <c r="G140" s="60"/>
      <c r="H140" s="61" t="n">
        <f aca="false">IF(I140="是",0,IF(OR(E140="",F140=""),0,E140*F140*(1+IF(G140="",0,G140))))</f>
        <v>0.0084</v>
      </c>
      <c r="I140" s="55" t="s">
        <v>253</v>
      </c>
      <c r="J140" s="57" t="s">
        <v>268</v>
      </c>
    </row>
    <row r="141" customFormat="false" ht="13.5" hidden="false" customHeight="true" outlineLevel="0" collapsed="false">
      <c r="A141" s="27" t="n">
        <f aca="false">IF(C141&lt;&gt;"",ROW()-2,"")</f>
        <v>139</v>
      </c>
      <c r="B141" s="48" t="s">
        <v>250</v>
      </c>
      <c r="C141" s="49" t="s">
        <v>562</v>
      </c>
      <c r="D141" s="28" t="s">
        <v>563</v>
      </c>
      <c r="E141" s="50" t="n">
        <v>1</v>
      </c>
      <c r="F141" s="51" t="n">
        <v>0.0045</v>
      </c>
      <c r="G141" s="52"/>
      <c r="H141" s="53" t="n">
        <f aca="false">IF(I141="是",0,IF(OR(E141="",F141=""),0,E141*F141*(1+IF(G141="",0,G141))))</f>
        <v>0.0045</v>
      </c>
      <c r="I141" s="48" t="s">
        <v>253</v>
      </c>
      <c r="J141" s="28" t="s">
        <v>268</v>
      </c>
    </row>
    <row r="142" customFormat="false" ht="13.5" hidden="false" customHeight="true" outlineLevel="0" collapsed="false">
      <c r="A142" s="54" t="n">
        <f aca="false">IF(C142&lt;&gt;"",ROW()-2,"")</f>
        <v>140</v>
      </c>
      <c r="B142" s="55" t="s">
        <v>250</v>
      </c>
      <c r="C142" s="56" t="s">
        <v>564</v>
      </c>
      <c r="D142" s="57" t="s">
        <v>565</v>
      </c>
      <c r="E142" s="58" t="n">
        <v>1</v>
      </c>
      <c r="F142" s="59" t="n">
        <v>0.1842</v>
      </c>
      <c r="G142" s="60"/>
      <c r="H142" s="61" t="n">
        <f aca="false">IF(I142="是",0,IF(OR(E142="",F142=""),0,E142*F142*(1+IF(G142="",0,G142))))</f>
        <v>0.1842</v>
      </c>
      <c r="I142" s="55" t="s">
        <v>253</v>
      </c>
      <c r="J142" s="57" t="s">
        <v>566</v>
      </c>
    </row>
    <row r="143" customFormat="false" ht="13.5" hidden="false" customHeight="true" outlineLevel="0" collapsed="false">
      <c r="A143" s="27" t="n">
        <f aca="false">IF(C143&lt;&gt;"",ROW()-2,"")</f>
        <v>141</v>
      </c>
      <c r="B143" s="48" t="s">
        <v>250</v>
      </c>
      <c r="C143" s="49" t="s">
        <v>567</v>
      </c>
      <c r="D143" s="28" t="s">
        <v>568</v>
      </c>
      <c r="E143" s="50" t="n">
        <v>1</v>
      </c>
      <c r="F143" s="51" t="n">
        <v>0.108</v>
      </c>
      <c r="G143" s="52"/>
      <c r="H143" s="53" t="n">
        <f aca="false">IF(I143="是",0,IF(OR(E143="",F143=""),0,E143*F143*(1+IF(G143="",0,G143))))</f>
        <v>0.108</v>
      </c>
      <c r="I143" s="48" t="s">
        <v>253</v>
      </c>
      <c r="J143" s="28" t="s">
        <v>290</v>
      </c>
    </row>
    <row r="144" customFormat="false" ht="13.5" hidden="false" customHeight="true" outlineLevel="0" collapsed="false">
      <c r="A144" s="54" t="n">
        <f aca="false">IF(C144&lt;&gt;"",ROW()-2,"")</f>
        <v>142</v>
      </c>
      <c r="B144" s="55" t="s">
        <v>250</v>
      </c>
      <c r="C144" s="56" t="s">
        <v>569</v>
      </c>
      <c r="D144" s="57" t="s">
        <v>570</v>
      </c>
      <c r="E144" s="58" t="n">
        <v>1</v>
      </c>
      <c r="F144" s="59" t="n">
        <v>0.068</v>
      </c>
      <c r="G144" s="60"/>
      <c r="H144" s="61" t="n">
        <f aca="false">IF(I144="是",0,IF(OR(E144="",F144=""),0,E144*F144*(1+IF(G144="",0,G144))))</f>
        <v>0.068</v>
      </c>
      <c r="I144" s="55" t="s">
        <v>253</v>
      </c>
      <c r="J144" s="57" t="s">
        <v>550</v>
      </c>
    </row>
    <row r="145" customFormat="false" ht="13.5" hidden="false" customHeight="true" outlineLevel="0" collapsed="false">
      <c r="A145" s="27" t="n">
        <f aca="false">IF(C145&lt;&gt;"",ROW()-2,"")</f>
        <v>143</v>
      </c>
      <c r="B145" s="48" t="s">
        <v>250</v>
      </c>
      <c r="C145" s="49" t="s">
        <v>571</v>
      </c>
      <c r="D145" s="28" t="s">
        <v>572</v>
      </c>
      <c r="E145" s="50" t="n">
        <v>1</v>
      </c>
      <c r="F145" s="51" t="n">
        <v>0.2806</v>
      </c>
      <c r="G145" s="52"/>
      <c r="H145" s="53" t="n">
        <f aca="false">IF(I145="是",0,IF(OR(E145="",F145=""),0,E145*F145*(1+IF(G145="",0,G145))))</f>
        <v>0.2806</v>
      </c>
      <c r="I145" s="48" t="s">
        <v>253</v>
      </c>
      <c r="J145" s="28" t="s">
        <v>440</v>
      </c>
    </row>
    <row r="146" customFormat="false" ht="13.5" hidden="false" customHeight="true" outlineLevel="0" collapsed="false">
      <c r="A146" s="54" t="n">
        <f aca="false">IF(C146&lt;&gt;"",ROW()-2,"")</f>
        <v>144</v>
      </c>
      <c r="B146" s="55" t="s">
        <v>250</v>
      </c>
      <c r="C146" s="56" t="s">
        <v>573</v>
      </c>
      <c r="D146" s="57" t="s">
        <v>574</v>
      </c>
      <c r="E146" s="58" t="n">
        <v>5</v>
      </c>
      <c r="F146" s="59" t="n">
        <v>0.08</v>
      </c>
      <c r="G146" s="60"/>
      <c r="H146" s="61" t="n">
        <f aca="false">IF(I146="是",0,IF(OR(E146="",F146=""),0,E146*F146*(1+IF(G146="",0,G146))))</f>
        <v>0.4</v>
      </c>
      <c r="I146" s="55" t="s">
        <v>253</v>
      </c>
      <c r="J146" s="57" t="s">
        <v>575</v>
      </c>
    </row>
    <row r="147" customFormat="false" ht="13.5" hidden="false" customHeight="true" outlineLevel="0" collapsed="false">
      <c r="A147" s="27" t="n">
        <f aca="false">IF(C147&lt;&gt;"",ROW()-2,"")</f>
        <v>145</v>
      </c>
      <c r="B147" s="48" t="s">
        <v>250</v>
      </c>
      <c r="C147" s="49" t="s">
        <v>576</v>
      </c>
      <c r="D147" s="28" t="s">
        <v>577</v>
      </c>
      <c r="E147" s="50" t="n">
        <v>1</v>
      </c>
      <c r="F147" s="51" t="n">
        <v>0.0367</v>
      </c>
      <c r="G147" s="52"/>
      <c r="H147" s="53" t="n">
        <f aca="false">IF(I147="是",0,IF(OR(E147="",F147=""),0,E147*F147*(1+IF(G147="",0,G147))))</f>
        <v>0.0367</v>
      </c>
      <c r="I147" s="48" t="s">
        <v>253</v>
      </c>
      <c r="J147" s="28" t="s">
        <v>578</v>
      </c>
    </row>
    <row r="148" customFormat="false" ht="13.5" hidden="false" customHeight="true" outlineLevel="0" collapsed="false">
      <c r="A148" s="54" t="n">
        <f aca="false">IF(C148&lt;&gt;"",ROW()-2,"")</f>
        <v>146</v>
      </c>
      <c r="B148" s="55" t="s">
        <v>250</v>
      </c>
      <c r="C148" s="56" t="s">
        <v>579</v>
      </c>
      <c r="D148" s="57" t="s">
        <v>580</v>
      </c>
      <c r="E148" s="58" t="n">
        <v>2</v>
      </c>
      <c r="F148" s="59" t="n">
        <v>0.058</v>
      </c>
      <c r="G148" s="60"/>
      <c r="H148" s="61" t="n">
        <f aca="false">IF(I148="是",0,IF(OR(E148="",F148=""),0,E148*F148*(1+IF(G148="",0,G148))))</f>
        <v>0.116</v>
      </c>
      <c r="I148" s="55" t="s">
        <v>253</v>
      </c>
      <c r="J148" s="57" t="s">
        <v>578</v>
      </c>
    </row>
    <row r="149" customFormat="false" ht="13.5" hidden="false" customHeight="true" outlineLevel="0" collapsed="false">
      <c r="A149" s="27" t="n">
        <f aca="false">IF(C149&lt;&gt;"",ROW()-2,"")</f>
        <v>147</v>
      </c>
      <c r="B149" s="48" t="s">
        <v>250</v>
      </c>
      <c r="C149" s="49" t="s">
        <v>581</v>
      </c>
      <c r="D149" s="28" t="s">
        <v>582</v>
      </c>
      <c r="E149" s="50" t="n">
        <v>1</v>
      </c>
      <c r="F149" s="51" t="n">
        <v>0.0895</v>
      </c>
      <c r="G149" s="52"/>
      <c r="H149" s="53" t="n">
        <f aca="false">IF(I149="是",0,IF(OR(E149="",F149=""),0,E149*F149*(1+IF(G149="",0,G149))))</f>
        <v>0.0895</v>
      </c>
      <c r="I149" s="48" t="s">
        <v>253</v>
      </c>
      <c r="J149" s="28" t="s">
        <v>583</v>
      </c>
    </row>
    <row r="150" customFormat="false" ht="13.5" hidden="false" customHeight="true" outlineLevel="0" collapsed="false">
      <c r="A150" s="54" t="n">
        <f aca="false">IF(C150&lt;&gt;"",ROW()-2,"")</f>
        <v>148</v>
      </c>
      <c r="B150" s="55" t="s">
        <v>250</v>
      </c>
      <c r="C150" s="56" t="s">
        <v>584</v>
      </c>
      <c r="D150" s="57" t="s">
        <v>585</v>
      </c>
      <c r="E150" s="58" t="n">
        <v>2</v>
      </c>
      <c r="F150" s="59" t="n">
        <v>0.0895</v>
      </c>
      <c r="G150" s="60"/>
      <c r="H150" s="61" t="n">
        <f aca="false">IF(I150="是",0,IF(OR(E150="",F150=""),0,E150*F150*(1+IF(G150="",0,G150))))</f>
        <v>0.179</v>
      </c>
      <c r="I150" s="55" t="s">
        <v>253</v>
      </c>
      <c r="J150" s="57" t="s">
        <v>583</v>
      </c>
    </row>
    <row r="151" customFormat="false" ht="13.5" hidden="false" customHeight="true" outlineLevel="0" collapsed="false">
      <c r="A151" s="27" t="n">
        <f aca="false">IF(C151&lt;&gt;"",ROW()-2,"")</f>
        <v>149</v>
      </c>
      <c r="B151" s="48" t="s">
        <v>250</v>
      </c>
      <c r="C151" s="49" t="s">
        <v>586</v>
      </c>
      <c r="D151" s="28" t="s">
        <v>587</v>
      </c>
      <c r="E151" s="50" t="n">
        <v>1</v>
      </c>
      <c r="F151" s="51" t="n">
        <v>0.2031</v>
      </c>
      <c r="G151" s="52"/>
      <c r="H151" s="53" t="n">
        <f aca="false">IF(I151="是",0,IF(OR(E151="",F151=""),0,E151*F151*(1+IF(G151="",0,G151))))</f>
        <v>0.2031</v>
      </c>
      <c r="I151" s="48" t="s">
        <v>253</v>
      </c>
      <c r="J151" s="28" t="s">
        <v>583</v>
      </c>
    </row>
    <row r="152" customFormat="false" ht="13.5" hidden="false" customHeight="true" outlineLevel="0" collapsed="false">
      <c r="A152" s="54" t="n">
        <f aca="false">IF(C152&lt;&gt;"",ROW()-2,"")</f>
        <v>150</v>
      </c>
      <c r="B152" s="55" t="s">
        <v>250</v>
      </c>
      <c r="C152" s="56" t="s">
        <v>588</v>
      </c>
      <c r="D152" s="57" t="s">
        <v>589</v>
      </c>
      <c r="E152" s="58" t="n">
        <v>1</v>
      </c>
      <c r="F152" s="59" t="n">
        <v>0.3135</v>
      </c>
      <c r="G152" s="60"/>
      <c r="H152" s="61" t="n">
        <f aca="false">IF(I152="是",0,IF(OR(E152="",F152=""),0,E152*F152*(1+IF(G152="",0,G152))))</f>
        <v>0.3135</v>
      </c>
      <c r="I152" s="55" t="s">
        <v>253</v>
      </c>
      <c r="J152" s="57" t="s">
        <v>590</v>
      </c>
    </row>
    <row r="153" customFormat="false" ht="13.5" hidden="false" customHeight="true" outlineLevel="0" collapsed="false">
      <c r="A153" s="27" t="n">
        <f aca="false">IF(C153&lt;&gt;"",ROW()-2,"")</f>
        <v>151</v>
      </c>
      <c r="B153" s="48" t="s">
        <v>250</v>
      </c>
      <c r="C153" s="49" t="s">
        <v>591</v>
      </c>
      <c r="D153" s="28" t="s">
        <v>592</v>
      </c>
      <c r="E153" s="50" t="n">
        <v>1</v>
      </c>
      <c r="F153" s="51" t="n">
        <v>0.001</v>
      </c>
      <c r="G153" s="52"/>
      <c r="H153" s="53" t="n">
        <f aca="false">IF(I153="是",0,IF(OR(E153="",F153=""),0,E153*F153*(1+IF(G153="",0,G153))))</f>
        <v>0.001</v>
      </c>
      <c r="I153" s="48" t="s">
        <v>253</v>
      </c>
      <c r="J153" s="28" t="s">
        <v>268</v>
      </c>
    </row>
    <row r="154" customFormat="false" ht="13.5" hidden="false" customHeight="true" outlineLevel="0" collapsed="false">
      <c r="A154" s="54" t="n">
        <f aca="false">IF(C154&lt;&gt;"",ROW()-2,"")</f>
        <v>152</v>
      </c>
      <c r="B154" s="55" t="s">
        <v>250</v>
      </c>
      <c r="C154" s="56" t="s">
        <v>593</v>
      </c>
      <c r="D154" s="57" t="s">
        <v>594</v>
      </c>
      <c r="E154" s="58" t="n">
        <v>11</v>
      </c>
      <c r="F154" s="59" t="n">
        <v>0.001</v>
      </c>
      <c r="G154" s="60"/>
      <c r="H154" s="61" t="n">
        <f aca="false">IF(I154="是",0,IF(OR(E154="",F154=""),0,E154*F154*(1+IF(G154="",0,G154))))</f>
        <v>0.011</v>
      </c>
      <c r="I154" s="55" t="s">
        <v>253</v>
      </c>
      <c r="J154" s="57" t="s">
        <v>268</v>
      </c>
    </row>
    <row r="155" customFormat="false" ht="13.5" hidden="false" customHeight="true" outlineLevel="0" collapsed="false">
      <c r="A155" s="27" t="n">
        <f aca="false">IF(C155&lt;&gt;"",ROW()-2,"")</f>
        <v>153</v>
      </c>
      <c r="B155" s="48" t="s">
        <v>250</v>
      </c>
      <c r="C155" s="49" t="s">
        <v>595</v>
      </c>
      <c r="D155" s="28" t="s">
        <v>596</v>
      </c>
      <c r="E155" s="50" t="n">
        <v>5</v>
      </c>
      <c r="F155" s="51" t="n">
        <v>0.0008</v>
      </c>
      <c r="G155" s="52"/>
      <c r="H155" s="53" t="n">
        <f aca="false">IF(I155="是",0,IF(OR(E155="",F155=""),0,E155*F155*(1+IF(G155="",0,G155))))</f>
        <v>0.004</v>
      </c>
      <c r="I155" s="48" t="s">
        <v>253</v>
      </c>
      <c r="J155" s="28" t="s">
        <v>268</v>
      </c>
    </row>
    <row r="156" customFormat="false" ht="13.5" hidden="false" customHeight="true" outlineLevel="0" collapsed="false">
      <c r="A156" s="54" t="n">
        <f aca="false">IF(C156&lt;&gt;"",ROW()-2,"")</f>
        <v>154</v>
      </c>
      <c r="B156" s="55" t="s">
        <v>250</v>
      </c>
      <c r="C156" s="56" t="s">
        <v>597</v>
      </c>
      <c r="D156" s="57" t="s">
        <v>598</v>
      </c>
      <c r="E156" s="58" t="n">
        <v>4</v>
      </c>
      <c r="F156" s="59" t="n">
        <v>0.001</v>
      </c>
      <c r="G156" s="60"/>
      <c r="H156" s="61" t="n">
        <f aca="false">IF(I156="是",0,IF(OR(E156="",F156=""),0,E156*F156*(1+IF(G156="",0,G156))))</f>
        <v>0.004</v>
      </c>
      <c r="I156" s="55" t="s">
        <v>253</v>
      </c>
      <c r="J156" s="57" t="s">
        <v>268</v>
      </c>
    </row>
    <row r="157" customFormat="false" ht="13.5" hidden="false" customHeight="true" outlineLevel="0" collapsed="false">
      <c r="A157" s="27" t="n">
        <f aca="false">IF(C157&lt;&gt;"",ROW()-2,"")</f>
        <v>155</v>
      </c>
      <c r="B157" s="48" t="s">
        <v>250</v>
      </c>
      <c r="C157" s="49" t="s">
        <v>599</v>
      </c>
      <c r="D157" s="28" t="s">
        <v>600</v>
      </c>
      <c r="E157" s="50" t="n">
        <v>1</v>
      </c>
      <c r="F157" s="51" t="n">
        <v>0.063</v>
      </c>
      <c r="G157" s="52"/>
      <c r="H157" s="53" t="n">
        <f aca="false">IF(I157="是",0,IF(OR(E157="",F157=""),0,E157*F157*(1+IF(G157="",0,G157))))</f>
        <v>0.063</v>
      </c>
      <c r="I157" s="48" t="s">
        <v>253</v>
      </c>
      <c r="J157" s="28" t="s">
        <v>268</v>
      </c>
    </row>
    <row r="158" customFormat="false" ht="13.5" hidden="false" customHeight="true" outlineLevel="0" collapsed="false">
      <c r="A158" s="54" t="n">
        <f aca="false">IF(C158&lt;&gt;"",ROW()-2,"")</f>
        <v>156</v>
      </c>
      <c r="B158" s="55" t="s">
        <v>250</v>
      </c>
      <c r="C158" s="56" t="s">
        <v>601</v>
      </c>
      <c r="D158" s="57" t="s">
        <v>602</v>
      </c>
      <c r="E158" s="58" t="n">
        <v>1</v>
      </c>
      <c r="F158" s="59" t="n">
        <v>0.0025</v>
      </c>
      <c r="G158" s="60"/>
      <c r="H158" s="61" t="n">
        <f aca="false">IF(I158="是",0,IF(OR(E158="",F158=""),0,E158*F158*(1+IF(G158="",0,G158))))</f>
        <v>0.0025</v>
      </c>
      <c r="I158" s="55" t="s">
        <v>253</v>
      </c>
      <c r="J158" s="57" t="s">
        <v>290</v>
      </c>
    </row>
    <row r="159" customFormat="false" ht="13.5" hidden="false" customHeight="true" outlineLevel="0" collapsed="false">
      <c r="A159" s="27" t="n">
        <f aca="false">IF(C159&lt;&gt;"",ROW()-2,"")</f>
        <v>157</v>
      </c>
      <c r="B159" s="48" t="s">
        <v>250</v>
      </c>
      <c r="C159" s="49" t="s">
        <v>603</v>
      </c>
      <c r="D159" s="28" t="s">
        <v>604</v>
      </c>
      <c r="E159" s="50" t="n">
        <v>1</v>
      </c>
      <c r="F159" s="51" t="n">
        <v>0.0025</v>
      </c>
      <c r="G159" s="52"/>
      <c r="H159" s="53" t="n">
        <f aca="false">IF(I159="是",0,IF(OR(E159="",F159=""),0,E159*F159*(1+IF(G159="",0,G159))))</f>
        <v>0.0025</v>
      </c>
      <c r="I159" s="48" t="s">
        <v>253</v>
      </c>
      <c r="J159" s="28" t="s">
        <v>290</v>
      </c>
    </row>
    <row r="160" customFormat="false" ht="13.5" hidden="false" customHeight="true" outlineLevel="0" collapsed="false">
      <c r="A160" s="54" t="n">
        <f aca="false">IF(C160&lt;&gt;"",ROW()-2,"")</f>
        <v>158</v>
      </c>
      <c r="B160" s="55" t="s">
        <v>250</v>
      </c>
      <c r="C160" s="56" t="s">
        <v>605</v>
      </c>
      <c r="D160" s="57" t="s">
        <v>606</v>
      </c>
      <c r="E160" s="58" t="n">
        <v>1</v>
      </c>
      <c r="F160" s="59" t="n">
        <v>0.0015</v>
      </c>
      <c r="G160" s="60"/>
      <c r="H160" s="61" t="n">
        <f aca="false">IF(I160="是",0,IF(OR(E160="",F160=""),0,E160*F160*(1+IF(G160="",0,G160))))</f>
        <v>0.0015</v>
      </c>
      <c r="I160" s="55" t="s">
        <v>253</v>
      </c>
      <c r="J160" s="57" t="s">
        <v>290</v>
      </c>
    </row>
    <row r="161" customFormat="false" ht="13.5" hidden="false" customHeight="true" outlineLevel="0" collapsed="false">
      <c r="A161" s="27" t="n">
        <f aca="false">IF(C161&lt;&gt;"",ROW()-2,"")</f>
        <v>159</v>
      </c>
      <c r="B161" s="48" t="s">
        <v>250</v>
      </c>
      <c r="C161" s="49" t="s">
        <v>607</v>
      </c>
      <c r="D161" s="28" t="s">
        <v>608</v>
      </c>
      <c r="E161" s="50" t="n">
        <v>1</v>
      </c>
      <c r="F161" s="51" t="n">
        <v>0.0015</v>
      </c>
      <c r="G161" s="52"/>
      <c r="H161" s="53" t="n">
        <f aca="false">IF(I161="是",0,IF(OR(E161="",F161=""),0,E161*F161*(1+IF(G161="",0,G161))))</f>
        <v>0.0015</v>
      </c>
      <c r="I161" s="48" t="s">
        <v>253</v>
      </c>
      <c r="J161" s="28" t="s">
        <v>268</v>
      </c>
    </row>
    <row r="162" customFormat="false" ht="13.5" hidden="false" customHeight="true" outlineLevel="0" collapsed="false">
      <c r="A162" s="54" t="n">
        <f aca="false">IF(C162&lt;&gt;"",ROW()-2,"")</f>
        <v>160</v>
      </c>
      <c r="B162" s="55" t="s">
        <v>250</v>
      </c>
      <c r="C162" s="56" t="s">
        <v>609</v>
      </c>
      <c r="D162" s="57" t="s">
        <v>610</v>
      </c>
      <c r="E162" s="58" t="n">
        <v>4</v>
      </c>
      <c r="F162" s="59" t="n">
        <v>0.0042</v>
      </c>
      <c r="G162" s="60"/>
      <c r="H162" s="61" t="n">
        <f aca="false">IF(I162="是",0,IF(OR(E162="",F162=""),0,E162*F162*(1+IF(G162="",0,G162))))</f>
        <v>0.0168</v>
      </c>
      <c r="I162" s="55" t="s">
        <v>253</v>
      </c>
      <c r="J162" s="57" t="s">
        <v>290</v>
      </c>
    </row>
    <row r="163" customFormat="false" ht="13.5" hidden="false" customHeight="true" outlineLevel="0" collapsed="false">
      <c r="A163" s="27" t="n">
        <f aca="false">IF(C163&lt;&gt;"",ROW()-2,"")</f>
        <v>161</v>
      </c>
      <c r="B163" s="48" t="s">
        <v>250</v>
      </c>
      <c r="C163" s="49" t="s">
        <v>611</v>
      </c>
      <c r="D163" s="28" t="s">
        <v>612</v>
      </c>
      <c r="E163" s="50" t="n">
        <v>36</v>
      </c>
      <c r="F163" s="51" t="n">
        <v>0.0008</v>
      </c>
      <c r="G163" s="52"/>
      <c r="H163" s="53" t="n">
        <f aca="false">IF(I163="是",0,IF(OR(E163="",F163=""),0,E163*F163*(1+IF(G163="",0,G163))))</f>
        <v>0.0288</v>
      </c>
      <c r="I163" s="48" t="s">
        <v>253</v>
      </c>
      <c r="J163" s="28" t="s">
        <v>290</v>
      </c>
    </row>
    <row r="164" customFormat="false" ht="13.5" hidden="false" customHeight="true" outlineLevel="0" collapsed="false">
      <c r="A164" s="54" t="n">
        <f aca="false">IF(C164&lt;&gt;"",ROW()-2,"")</f>
        <v>162</v>
      </c>
      <c r="B164" s="55" t="s">
        <v>250</v>
      </c>
      <c r="C164" s="56" t="s">
        <v>613</v>
      </c>
      <c r="D164" s="57" t="s">
        <v>614</v>
      </c>
      <c r="E164" s="58" t="n">
        <v>2</v>
      </c>
      <c r="F164" s="59" t="n">
        <v>0.0008</v>
      </c>
      <c r="G164" s="60"/>
      <c r="H164" s="61" t="n">
        <f aca="false">IF(I164="是",0,IF(OR(E164="",F164=""),0,E164*F164*(1+IF(G164="",0,G164))))</f>
        <v>0.0016</v>
      </c>
      <c r="I164" s="55" t="s">
        <v>253</v>
      </c>
      <c r="J164" s="57" t="s">
        <v>290</v>
      </c>
    </row>
    <row r="165" customFormat="false" ht="13.5" hidden="false" customHeight="true" outlineLevel="0" collapsed="false">
      <c r="A165" s="27" t="n">
        <f aca="false">IF(C165&lt;&gt;"",ROW()-2,"")</f>
        <v>163</v>
      </c>
      <c r="B165" s="48" t="s">
        <v>250</v>
      </c>
      <c r="C165" s="49" t="s">
        <v>293</v>
      </c>
      <c r="D165" s="28" t="s">
        <v>294</v>
      </c>
      <c r="E165" s="50" t="n">
        <v>1</v>
      </c>
      <c r="F165" s="51" t="n">
        <v>0.0018</v>
      </c>
      <c r="G165" s="52"/>
      <c r="H165" s="53" t="n">
        <f aca="false">IF(I165="是",0,IF(OR(E165="",F165=""),0,E165*F165*(1+IF(G165="",0,G165))))</f>
        <v>0.0018</v>
      </c>
      <c r="I165" s="48" t="s">
        <v>253</v>
      </c>
      <c r="J165" s="28" t="s">
        <v>290</v>
      </c>
    </row>
    <row r="166" customFormat="false" ht="13.5" hidden="false" customHeight="true" outlineLevel="0" collapsed="false">
      <c r="A166" s="54" t="n">
        <f aca="false">IF(C166&lt;&gt;"",ROW()-2,"")</f>
        <v>164</v>
      </c>
      <c r="B166" s="55" t="s">
        <v>250</v>
      </c>
      <c r="C166" s="56" t="s">
        <v>615</v>
      </c>
      <c r="D166" s="57" t="s">
        <v>616</v>
      </c>
      <c r="E166" s="58" t="n">
        <v>26</v>
      </c>
      <c r="F166" s="59" t="n">
        <v>0.0008</v>
      </c>
      <c r="G166" s="60"/>
      <c r="H166" s="61" t="n">
        <f aca="false">IF(I166="是",0,IF(OR(E166="",F166=""),0,E166*F166*(1+IF(G166="",0,G166))))</f>
        <v>0.0208</v>
      </c>
      <c r="I166" s="55" t="s">
        <v>253</v>
      </c>
      <c r="J166" s="57" t="s">
        <v>290</v>
      </c>
    </row>
    <row r="167" customFormat="false" ht="13.5" hidden="false" customHeight="true" outlineLevel="0" collapsed="false">
      <c r="A167" s="27" t="n">
        <f aca="false">IF(C167&lt;&gt;"",ROW()-2,"")</f>
        <v>165</v>
      </c>
      <c r="B167" s="48" t="s">
        <v>250</v>
      </c>
      <c r="C167" s="49" t="s">
        <v>617</v>
      </c>
      <c r="D167" s="28" t="s">
        <v>618</v>
      </c>
      <c r="E167" s="50" t="n">
        <v>1</v>
      </c>
      <c r="F167" s="51" t="n">
        <v>0.0015</v>
      </c>
      <c r="G167" s="52"/>
      <c r="H167" s="53" t="n">
        <f aca="false">IF(I167="是",0,IF(OR(E167="",F167=""),0,E167*F167*(1+IF(G167="",0,G167))))</f>
        <v>0.0015</v>
      </c>
      <c r="I167" s="48" t="s">
        <v>253</v>
      </c>
      <c r="J167" s="28" t="s">
        <v>290</v>
      </c>
    </row>
    <row r="168" customFormat="false" ht="13.5" hidden="false" customHeight="true" outlineLevel="0" collapsed="false">
      <c r="A168" s="54" t="n">
        <f aca="false">IF(C168&lt;&gt;"",ROW()-2,"")</f>
        <v>166</v>
      </c>
      <c r="B168" s="55" t="s">
        <v>250</v>
      </c>
      <c r="C168" s="56" t="s">
        <v>619</v>
      </c>
      <c r="D168" s="57" t="s">
        <v>620</v>
      </c>
      <c r="E168" s="58" t="n">
        <v>3</v>
      </c>
      <c r="F168" s="59" t="n">
        <v>0.0025</v>
      </c>
      <c r="G168" s="60"/>
      <c r="H168" s="61" t="n">
        <f aca="false">IF(I168="是",0,IF(OR(E168="",F168=""),0,E168*F168*(1+IF(G168="",0,G168))))</f>
        <v>0.0075</v>
      </c>
      <c r="I168" s="55" t="s">
        <v>253</v>
      </c>
      <c r="J168" s="57" t="s">
        <v>290</v>
      </c>
    </row>
    <row r="169" customFormat="false" ht="13.5" hidden="false" customHeight="true" outlineLevel="0" collapsed="false">
      <c r="A169" s="27" t="n">
        <f aca="false">IF(C169&lt;&gt;"",ROW()-2,"")</f>
        <v>167</v>
      </c>
      <c r="B169" s="48" t="s">
        <v>250</v>
      </c>
      <c r="C169" s="49" t="s">
        <v>621</v>
      </c>
      <c r="D169" s="28" t="s">
        <v>622</v>
      </c>
      <c r="E169" s="50" t="n">
        <v>1</v>
      </c>
      <c r="F169" s="51" t="n">
        <v>0.0008</v>
      </c>
      <c r="G169" s="52"/>
      <c r="H169" s="53" t="n">
        <f aca="false">IF(I169="是",0,IF(OR(E169="",F169=""),0,E169*F169*(1+IF(G169="",0,G169))))</f>
        <v>0.0008</v>
      </c>
      <c r="I169" s="48" t="s">
        <v>253</v>
      </c>
      <c r="J169" s="28" t="s">
        <v>290</v>
      </c>
    </row>
    <row r="170" customFormat="false" ht="13.5" hidden="false" customHeight="true" outlineLevel="0" collapsed="false">
      <c r="A170" s="54" t="n">
        <f aca="false">IF(C170&lt;&gt;"",ROW()-2,"")</f>
        <v>168</v>
      </c>
      <c r="B170" s="55" t="s">
        <v>250</v>
      </c>
      <c r="C170" s="56" t="s">
        <v>295</v>
      </c>
      <c r="D170" s="57" t="s">
        <v>296</v>
      </c>
      <c r="E170" s="58" t="n">
        <v>1</v>
      </c>
      <c r="F170" s="59" t="n">
        <v>0.0018</v>
      </c>
      <c r="G170" s="60"/>
      <c r="H170" s="61" t="n">
        <f aca="false">IF(I170="是",0,IF(OR(E170="",F170=""),0,E170*F170*(1+IF(G170="",0,G170))))</f>
        <v>0.0018</v>
      </c>
      <c r="I170" s="55" t="s">
        <v>253</v>
      </c>
      <c r="J170" s="57" t="s">
        <v>290</v>
      </c>
    </row>
    <row r="171" customFormat="false" ht="13.5" hidden="false" customHeight="true" outlineLevel="0" collapsed="false">
      <c r="A171" s="27" t="n">
        <f aca="false">IF(C171&lt;&gt;"",ROW()-2,"")</f>
        <v>169</v>
      </c>
      <c r="B171" s="48" t="s">
        <v>250</v>
      </c>
      <c r="C171" s="49" t="s">
        <v>623</v>
      </c>
      <c r="D171" s="28" t="s">
        <v>624</v>
      </c>
      <c r="E171" s="50" t="n">
        <v>2</v>
      </c>
      <c r="F171" s="51" t="n">
        <v>0.0042</v>
      </c>
      <c r="G171" s="52"/>
      <c r="H171" s="53" t="n">
        <f aca="false">IF(I171="是",0,IF(OR(E171="",F171=""),0,E171*F171*(1+IF(G171="",0,G171))))</f>
        <v>0.0084</v>
      </c>
      <c r="I171" s="48" t="s">
        <v>253</v>
      </c>
      <c r="J171" s="28" t="s">
        <v>290</v>
      </c>
    </row>
    <row r="172" customFormat="false" ht="13.5" hidden="false" customHeight="true" outlineLevel="0" collapsed="false">
      <c r="A172" s="54" t="n">
        <f aca="false">IF(C172&lt;&gt;"",ROW()-2,"")</f>
        <v>170</v>
      </c>
      <c r="B172" s="55" t="s">
        <v>250</v>
      </c>
      <c r="C172" s="56" t="s">
        <v>625</v>
      </c>
      <c r="D172" s="57" t="s">
        <v>626</v>
      </c>
      <c r="E172" s="58" t="n">
        <v>1</v>
      </c>
      <c r="F172" s="59" t="n">
        <v>0.0025</v>
      </c>
      <c r="G172" s="60"/>
      <c r="H172" s="61" t="n">
        <f aca="false">IF(I172="是",0,IF(OR(E172="",F172=""),0,E172*F172*(1+IF(G172="",0,G172))))</f>
        <v>0.0025</v>
      </c>
      <c r="I172" s="55" t="s">
        <v>253</v>
      </c>
      <c r="J172" s="57" t="s">
        <v>290</v>
      </c>
    </row>
    <row r="173" customFormat="false" ht="13.5" hidden="false" customHeight="true" outlineLevel="0" collapsed="false">
      <c r="A173" s="27" t="n">
        <f aca="false">IF(C173&lt;&gt;"",ROW()-2,"")</f>
        <v>171</v>
      </c>
      <c r="B173" s="48" t="s">
        <v>250</v>
      </c>
      <c r="C173" s="49" t="s">
        <v>305</v>
      </c>
      <c r="D173" s="28" t="s">
        <v>306</v>
      </c>
      <c r="E173" s="50" t="n">
        <v>2</v>
      </c>
      <c r="F173" s="51" t="n">
        <v>0.0042</v>
      </c>
      <c r="G173" s="52"/>
      <c r="H173" s="53" t="n">
        <f aca="false">IF(I173="是",0,IF(OR(E173="",F173=""),0,E173*F173*(1+IF(G173="",0,G173))))</f>
        <v>0.0084</v>
      </c>
      <c r="I173" s="48" t="s">
        <v>253</v>
      </c>
      <c r="J173" s="28" t="s">
        <v>290</v>
      </c>
    </row>
    <row r="174" customFormat="false" ht="13.5" hidden="false" customHeight="true" outlineLevel="0" collapsed="false">
      <c r="A174" s="54" t="n">
        <f aca="false">IF(C174&lt;&gt;"",ROW()-2,"")</f>
        <v>172</v>
      </c>
      <c r="B174" s="55" t="s">
        <v>250</v>
      </c>
      <c r="C174" s="56" t="s">
        <v>627</v>
      </c>
      <c r="D174" s="57" t="s">
        <v>628</v>
      </c>
      <c r="E174" s="58" t="n">
        <v>6</v>
      </c>
      <c r="F174" s="59" t="n">
        <v>0.0043</v>
      </c>
      <c r="G174" s="60"/>
      <c r="H174" s="61" t="n">
        <f aca="false">IF(I174="是",0,IF(OR(E174="",F174=""),0,E174*F174*(1+IF(G174="",0,G174))))</f>
        <v>0.0258</v>
      </c>
      <c r="I174" s="55" t="s">
        <v>253</v>
      </c>
      <c r="J174" s="57" t="s">
        <v>268</v>
      </c>
    </row>
    <row r="175" customFormat="false" ht="13.5" hidden="false" customHeight="true" outlineLevel="0" collapsed="false">
      <c r="A175" s="27" t="n">
        <f aca="false">IF(C175&lt;&gt;"",ROW()-2,"")</f>
        <v>173</v>
      </c>
      <c r="B175" s="48" t="s">
        <v>250</v>
      </c>
      <c r="C175" s="49" t="s">
        <v>629</v>
      </c>
      <c r="D175" s="28" t="s">
        <v>630</v>
      </c>
      <c r="E175" s="50" t="n">
        <v>1</v>
      </c>
      <c r="F175" s="51" t="n">
        <v>0.0042</v>
      </c>
      <c r="G175" s="52"/>
      <c r="H175" s="53" t="n">
        <f aca="false">IF(I175="是",0,IF(OR(E175="",F175=""),0,E175*F175*(1+IF(G175="",0,G175))))</f>
        <v>0.0042</v>
      </c>
      <c r="I175" s="48" t="s">
        <v>253</v>
      </c>
      <c r="J175" s="28" t="s">
        <v>290</v>
      </c>
    </row>
    <row r="176" customFormat="false" ht="13.5" hidden="false" customHeight="true" outlineLevel="0" collapsed="false">
      <c r="A176" s="54" t="n">
        <f aca="false">IF(C176&lt;&gt;"",ROW()-2,"")</f>
        <v>174</v>
      </c>
      <c r="B176" s="55" t="s">
        <v>250</v>
      </c>
      <c r="C176" s="56" t="s">
        <v>631</v>
      </c>
      <c r="D176" s="57" t="s">
        <v>632</v>
      </c>
      <c r="E176" s="58" t="n">
        <v>2</v>
      </c>
      <c r="F176" s="59" t="n">
        <v>0.0008</v>
      </c>
      <c r="G176" s="60"/>
      <c r="H176" s="61" t="n">
        <f aca="false">IF(I176="是",0,IF(OR(E176="",F176=""),0,E176*F176*(1+IF(G176="",0,G176))))</f>
        <v>0.0016</v>
      </c>
      <c r="I176" s="55" t="s">
        <v>253</v>
      </c>
      <c r="J176" s="57" t="s">
        <v>290</v>
      </c>
    </row>
    <row r="177" customFormat="false" ht="13.5" hidden="false" customHeight="true" outlineLevel="0" collapsed="false">
      <c r="A177" s="27" t="n">
        <f aca="false">IF(C177&lt;&gt;"",ROW()-2,"")</f>
        <v>175</v>
      </c>
      <c r="B177" s="48" t="s">
        <v>250</v>
      </c>
      <c r="C177" s="49" t="s">
        <v>633</v>
      </c>
      <c r="D177" s="28" t="s">
        <v>634</v>
      </c>
      <c r="E177" s="50" t="n">
        <v>1</v>
      </c>
      <c r="F177" s="51" t="n">
        <v>0.0042</v>
      </c>
      <c r="G177" s="52"/>
      <c r="H177" s="53" t="n">
        <f aca="false">IF(I177="是",0,IF(OR(E177="",F177=""),0,E177*F177*(1+IF(G177="",0,G177))))</f>
        <v>0.0042</v>
      </c>
      <c r="I177" s="48" t="s">
        <v>253</v>
      </c>
      <c r="J177" s="28" t="s">
        <v>290</v>
      </c>
    </row>
    <row r="178" customFormat="false" ht="13.5" hidden="false" customHeight="true" outlineLevel="0" collapsed="false">
      <c r="A178" s="54" t="n">
        <f aca="false">IF(C178&lt;&gt;"",ROW()-2,"")</f>
        <v>176</v>
      </c>
      <c r="B178" s="55" t="s">
        <v>250</v>
      </c>
      <c r="C178" s="56" t="s">
        <v>635</v>
      </c>
      <c r="D178" s="57" t="s">
        <v>636</v>
      </c>
      <c r="E178" s="58" t="n">
        <v>2</v>
      </c>
      <c r="F178" s="59" t="n">
        <v>0.0008</v>
      </c>
      <c r="G178" s="60"/>
      <c r="H178" s="61" t="n">
        <f aca="false">IF(I178="是",0,IF(OR(E178="",F178=""),0,E178*F178*(1+IF(G178="",0,G178))))</f>
        <v>0.0016</v>
      </c>
      <c r="I178" s="55" t="s">
        <v>253</v>
      </c>
      <c r="J178" s="57" t="s">
        <v>290</v>
      </c>
    </row>
    <row r="179" customFormat="false" ht="13.5" hidden="false" customHeight="true" outlineLevel="0" collapsed="false">
      <c r="A179" s="27" t="n">
        <f aca="false">IF(C179&lt;&gt;"",ROW()-2,"")</f>
        <v>177</v>
      </c>
      <c r="B179" s="48" t="s">
        <v>250</v>
      </c>
      <c r="C179" s="49" t="s">
        <v>637</v>
      </c>
      <c r="D179" s="28" t="s">
        <v>638</v>
      </c>
      <c r="E179" s="50" t="n">
        <v>5</v>
      </c>
      <c r="F179" s="51" t="n">
        <v>0.001</v>
      </c>
      <c r="G179" s="52"/>
      <c r="H179" s="53" t="n">
        <f aca="false">IF(I179="是",0,IF(OR(E179="",F179=""),0,E179*F179*(1+IF(G179="",0,G179))))</f>
        <v>0.005</v>
      </c>
      <c r="I179" s="48" t="s">
        <v>253</v>
      </c>
      <c r="J179" s="28" t="s">
        <v>290</v>
      </c>
    </row>
    <row r="180" customFormat="false" ht="13.5" hidden="false" customHeight="true" outlineLevel="0" collapsed="false">
      <c r="A180" s="54" t="n">
        <f aca="false">IF(C180&lt;&gt;"",ROW()-2,"")</f>
        <v>178</v>
      </c>
      <c r="B180" s="55" t="s">
        <v>250</v>
      </c>
      <c r="C180" s="56" t="s">
        <v>639</v>
      </c>
      <c r="D180" s="57" t="s">
        <v>640</v>
      </c>
      <c r="E180" s="58" t="n">
        <v>1</v>
      </c>
      <c r="F180" s="59" t="n">
        <v>0.0018</v>
      </c>
      <c r="G180" s="60"/>
      <c r="H180" s="61" t="n">
        <f aca="false">IF(I180="是",0,IF(OR(E180="",F180=""),0,E180*F180*(1+IF(G180="",0,G180))))</f>
        <v>0.0018</v>
      </c>
      <c r="I180" s="55" t="s">
        <v>253</v>
      </c>
      <c r="J180" s="57" t="s">
        <v>290</v>
      </c>
    </row>
    <row r="181" customFormat="false" ht="13.5" hidden="false" customHeight="true" outlineLevel="0" collapsed="false">
      <c r="A181" s="27" t="n">
        <f aca="false">IF(C181&lt;&gt;"",ROW()-2,"")</f>
        <v>179</v>
      </c>
      <c r="B181" s="48" t="s">
        <v>250</v>
      </c>
      <c r="C181" s="49" t="s">
        <v>641</v>
      </c>
      <c r="D181" s="28" t="s">
        <v>642</v>
      </c>
      <c r="E181" s="50" t="n">
        <v>1</v>
      </c>
      <c r="F181" s="51" t="n">
        <v>0.0015</v>
      </c>
      <c r="G181" s="52"/>
      <c r="H181" s="53" t="n">
        <f aca="false">IF(I181="是",0,IF(OR(E181="",F181=""),0,E181*F181*(1+IF(G181="",0,G181))))</f>
        <v>0.0015</v>
      </c>
      <c r="I181" s="48" t="s">
        <v>253</v>
      </c>
      <c r="J181" s="28" t="s">
        <v>290</v>
      </c>
    </row>
    <row r="182" customFormat="false" ht="13.5" hidden="false" customHeight="true" outlineLevel="0" collapsed="false">
      <c r="A182" s="54" t="n">
        <f aca="false">IF(C182&lt;&gt;"",ROW()-2,"")</f>
        <v>180</v>
      </c>
      <c r="B182" s="55" t="s">
        <v>250</v>
      </c>
      <c r="C182" s="56" t="s">
        <v>643</v>
      </c>
      <c r="D182" s="57" t="s">
        <v>644</v>
      </c>
      <c r="E182" s="58" t="n">
        <v>3</v>
      </c>
      <c r="F182" s="59" t="n">
        <v>0.0058</v>
      </c>
      <c r="G182" s="60"/>
      <c r="H182" s="61" t="n">
        <f aca="false">IF(I182="是",0,IF(OR(E182="",F182=""),0,E182*F182*(1+IF(G182="",0,G182))))</f>
        <v>0.0174</v>
      </c>
      <c r="I182" s="55" t="s">
        <v>253</v>
      </c>
      <c r="J182" s="57" t="s">
        <v>268</v>
      </c>
    </row>
    <row r="183" customFormat="false" ht="13.5" hidden="false" customHeight="true" outlineLevel="0" collapsed="false">
      <c r="A183" s="27" t="n">
        <f aca="false">IF(C183&lt;&gt;"",ROW()-2,"")</f>
        <v>181</v>
      </c>
      <c r="B183" s="48" t="s">
        <v>250</v>
      </c>
      <c r="C183" s="49" t="s">
        <v>645</v>
      </c>
      <c r="D183" s="28" t="s">
        <v>646</v>
      </c>
      <c r="E183" s="50" t="n">
        <v>1</v>
      </c>
      <c r="F183" s="51" t="n">
        <v>0.0015</v>
      </c>
      <c r="G183" s="52"/>
      <c r="H183" s="53" t="n">
        <f aca="false">IF(I183="是",0,IF(OR(E183="",F183=""),0,E183*F183*(1+IF(G183="",0,G183))))</f>
        <v>0.0015</v>
      </c>
      <c r="I183" s="48" t="s">
        <v>253</v>
      </c>
      <c r="J183" s="28" t="s">
        <v>290</v>
      </c>
    </row>
    <row r="184" customFormat="false" ht="13.5" hidden="false" customHeight="true" outlineLevel="0" collapsed="false">
      <c r="A184" s="54" t="n">
        <f aca="false">IF(C184&lt;&gt;"",ROW()-2,"")</f>
        <v>182</v>
      </c>
      <c r="B184" s="55" t="s">
        <v>250</v>
      </c>
      <c r="C184" s="56" t="s">
        <v>647</v>
      </c>
      <c r="D184" s="57" t="s">
        <v>648</v>
      </c>
      <c r="E184" s="58" t="n">
        <v>12</v>
      </c>
      <c r="F184" s="59" t="n">
        <v>0.0008</v>
      </c>
      <c r="G184" s="60"/>
      <c r="H184" s="61" t="n">
        <f aca="false">IF(I184="是",0,IF(OR(E184="",F184=""),0,E184*F184*(1+IF(G184="",0,G184))))</f>
        <v>0.0096</v>
      </c>
      <c r="I184" s="55" t="s">
        <v>253</v>
      </c>
      <c r="J184" s="57" t="s">
        <v>290</v>
      </c>
    </row>
    <row r="185" customFormat="false" ht="13.5" hidden="false" customHeight="true" outlineLevel="0" collapsed="false">
      <c r="A185" s="27" t="n">
        <f aca="false">IF(C185&lt;&gt;"",ROW()-2,"")</f>
        <v>183</v>
      </c>
      <c r="B185" s="48" t="s">
        <v>250</v>
      </c>
      <c r="C185" s="49" t="s">
        <v>649</v>
      </c>
      <c r="D185" s="28" t="s">
        <v>650</v>
      </c>
      <c r="E185" s="50" t="n">
        <v>1</v>
      </c>
      <c r="F185" s="51" t="n">
        <v>0.0018</v>
      </c>
      <c r="G185" s="52"/>
      <c r="H185" s="53" t="n">
        <f aca="false">IF(I185="是",0,IF(OR(E185="",F185=""),0,E185*F185*(1+IF(G185="",0,G185))))</f>
        <v>0.0018</v>
      </c>
      <c r="I185" s="48" t="s">
        <v>253</v>
      </c>
      <c r="J185" s="28" t="s">
        <v>290</v>
      </c>
    </row>
    <row r="186" customFormat="false" ht="13.5" hidden="false" customHeight="true" outlineLevel="0" collapsed="false">
      <c r="A186" s="54" t="n">
        <f aca="false">IF(C186&lt;&gt;"",ROW()-2,"")</f>
        <v>184</v>
      </c>
      <c r="B186" s="55" t="s">
        <v>250</v>
      </c>
      <c r="C186" s="56" t="s">
        <v>651</v>
      </c>
      <c r="D186" s="57" t="s">
        <v>652</v>
      </c>
      <c r="E186" s="58" t="n">
        <v>1</v>
      </c>
      <c r="F186" s="59" t="n">
        <v>0.0018</v>
      </c>
      <c r="G186" s="60"/>
      <c r="H186" s="61" t="n">
        <f aca="false">IF(I186="是",0,IF(OR(E186="",F186=""),0,E186*F186*(1+IF(G186="",0,G186))))</f>
        <v>0.0018</v>
      </c>
      <c r="I186" s="55" t="s">
        <v>253</v>
      </c>
      <c r="J186" s="57" t="s">
        <v>290</v>
      </c>
    </row>
    <row r="187" customFormat="false" ht="13.5" hidden="false" customHeight="true" outlineLevel="0" collapsed="false">
      <c r="A187" s="27" t="n">
        <f aca="false">IF(C187&lt;&gt;"",ROW()-2,"")</f>
        <v>185</v>
      </c>
      <c r="B187" s="48" t="s">
        <v>250</v>
      </c>
      <c r="C187" s="49" t="s">
        <v>653</v>
      </c>
      <c r="D187" s="28" t="s">
        <v>654</v>
      </c>
      <c r="E187" s="50" t="n">
        <v>4</v>
      </c>
      <c r="F187" s="51" t="n">
        <v>0.001</v>
      </c>
      <c r="G187" s="52"/>
      <c r="H187" s="53" t="n">
        <f aca="false">IF(I187="是",0,IF(OR(E187="",F187=""),0,E187*F187*(1+IF(G187="",0,G187))))</f>
        <v>0.004</v>
      </c>
      <c r="I187" s="48" t="s">
        <v>253</v>
      </c>
      <c r="J187" s="28" t="s">
        <v>290</v>
      </c>
    </row>
    <row r="188" customFormat="false" ht="13.5" hidden="false" customHeight="true" outlineLevel="0" collapsed="false">
      <c r="A188" s="54" t="n">
        <f aca="false">IF(C188&lt;&gt;"",ROW()-2,"")</f>
        <v>186</v>
      </c>
      <c r="B188" s="55" t="s">
        <v>250</v>
      </c>
      <c r="C188" s="56" t="s">
        <v>655</v>
      </c>
      <c r="D188" s="57" t="s">
        <v>656</v>
      </c>
      <c r="E188" s="58" t="n">
        <v>4</v>
      </c>
      <c r="F188" s="59" t="n">
        <v>0.0008</v>
      </c>
      <c r="G188" s="60"/>
      <c r="H188" s="61" t="n">
        <f aca="false">IF(I188="是",0,IF(OR(E188="",F188=""),0,E188*F188*(1+IF(G188="",0,G188))))</f>
        <v>0.0032</v>
      </c>
      <c r="I188" s="55" t="s">
        <v>253</v>
      </c>
      <c r="J188" s="57" t="s">
        <v>290</v>
      </c>
    </row>
    <row r="189" customFormat="false" ht="13.5" hidden="false" customHeight="true" outlineLevel="0" collapsed="false">
      <c r="A189" s="27" t="n">
        <f aca="false">IF(C189&lt;&gt;"",ROW()-2,"")</f>
        <v>187</v>
      </c>
      <c r="B189" s="48" t="s">
        <v>250</v>
      </c>
      <c r="C189" s="49" t="s">
        <v>657</v>
      </c>
      <c r="D189" s="28" t="s">
        <v>658</v>
      </c>
      <c r="E189" s="50" t="n">
        <v>8</v>
      </c>
      <c r="F189" s="51" t="n">
        <v>0.0008</v>
      </c>
      <c r="G189" s="52"/>
      <c r="H189" s="53" t="n">
        <f aca="false">IF(I189="是",0,IF(OR(E189="",F189=""),0,E189*F189*(1+IF(G189="",0,G189))))</f>
        <v>0.0064</v>
      </c>
      <c r="I189" s="48" t="s">
        <v>253</v>
      </c>
      <c r="J189" s="28" t="s">
        <v>290</v>
      </c>
    </row>
    <row r="190" customFormat="false" ht="13.5" hidden="false" customHeight="true" outlineLevel="0" collapsed="false">
      <c r="A190" s="54" t="n">
        <f aca="false">IF(C190&lt;&gt;"",ROW()-2,"")</f>
        <v>188</v>
      </c>
      <c r="B190" s="55" t="s">
        <v>250</v>
      </c>
      <c r="C190" s="56" t="s">
        <v>659</v>
      </c>
      <c r="D190" s="57" t="s">
        <v>660</v>
      </c>
      <c r="E190" s="58" t="n">
        <v>1</v>
      </c>
      <c r="F190" s="59" t="n">
        <v>0.0018</v>
      </c>
      <c r="G190" s="60"/>
      <c r="H190" s="61" t="n">
        <f aca="false">IF(I190="是",0,IF(OR(E190="",F190=""),0,E190*F190*(1+IF(G190="",0,G190))))</f>
        <v>0.0018</v>
      </c>
      <c r="I190" s="55" t="s">
        <v>253</v>
      </c>
      <c r="J190" s="57" t="s">
        <v>290</v>
      </c>
    </row>
    <row r="191" customFormat="false" ht="13.5" hidden="false" customHeight="true" outlineLevel="0" collapsed="false">
      <c r="A191" s="27" t="n">
        <f aca="false">IF(C191&lt;&gt;"",ROW()-2,"")</f>
        <v>189</v>
      </c>
      <c r="B191" s="48" t="s">
        <v>250</v>
      </c>
      <c r="C191" s="49" t="s">
        <v>661</v>
      </c>
      <c r="D191" s="28" t="s">
        <v>662</v>
      </c>
      <c r="E191" s="50" t="n">
        <v>1</v>
      </c>
      <c r="F191" s="51" t="n">
        <v>0.0008</v>
      </c>
      <c r="G191" s="52"/>
      <c r="H191" s="53" t="n">
        <f aca="false">IF(I191="是",0,IF(OR(E191="",F191=""),0,E191*F191*(1+IF(G191="",0,G191))))</f>
        <v>0.0008</v>
      </c>
      <c r="I191" s="48" t="s">
        <v>253</v>
      </c>
      <c r="J191" s="28" t="s">
        <v>290</v>
      </c>
    </row>
    <row r="192" customFormat="false" ht="13.5" hidden="false" customHeight="true" outlineLevel="0" collapsed="false">
      <c r="A192" s="54" t="n">
        <f aca="false">IF(C192&lt;&gt;"",ROW()-2,"")</f>
        <v>190</v>
      </c>
      <c r="B192" s="55" t="s">
        <v>250</v>
      </c>
      <c r="C192" s="56" t="s">
        <v>663</v>
      </c>
      <c r="D192" s="57" t="s">
        <v>664</v>
      </c>
      <c r="E192" s="58" t="n">
        <v>2</v>
      </c>
      <c r="F192" s="59" t="n">
        <v>0.0008</v>
      </c>
      <c r="G192" s="60"/>
      <c r="H192" s="61" t="n">
        <f aca="false">IF(I192="是",0,IF(OR(E192="",F192=""),0,E192*F192*(1+IF(G192="",0,G192))))</f>
        <v>0.0016</v>
      </c>
      <c r="I192" s="55" t="s">
        <v>253</v>
      </c>
      <c r="J192" s="57" t="s">
        <v>290</v>
      </c>
    </row>
    <row r="193" customFormat="false" ht="13.5" hidden="false" customHeight="true" outlineLevel="0" collapsed="false">
      <c r="A193" s="27" t="n">
        <f aca="false">IF(C193&lt;&gt;"",ROW()-2,"")</f>
        <v>191</v>
      </c>
      <c r="B193" s="48" t="s">
        <v>250</v>
      </c>
      <c r="C193" s="49" t="s">
        <v>665</v>
      </c>
      <c r="D193" s="28" t="s">
        <v>666</v>
      </c>
      <c r="E193" s="50" t="n">
        <v>4</v>
      </c>
      <c r="F193" s="51" t="n">
        <v>0.0008</v>
      </c>
      <c r="G193" s="52"/>
      <c r="H193" s="53" t="n">
        <f aca="false">IF(I193="是",0,IF(OR(E193="",F193=""),0,E193*F193*(1+IF(G193="",0,G193))))</f>
        <v>0.0032</v>
      </c>
      <c r="I193" s="48" t="s">
        <v>253</v>
      </c>
      <c r="J193" s="28" t="s">
        <v>268</v>
      </c>
    </row>
    <row r="194" customFormat="false" ht="13.5" hidden="false" customHeight="true" outlineLevel="0" collapsed="false">
      <c r="A194" s="54" t="n">
        <f aca="false">IF(C194&lt;&gt;"",ROW()-2,"")</f>
        <v>192</v>
      </c>
      <c r="B194" s="55" t="s">
        <v>250</v>
      </c>
      <c r="C194" s="56" t="s">
        <v>667</v>
      </c>
      <c r="D194" s="57" t="s">
        <v>668</v>
      </c>
      <c r="E194" s="58" t="n">
        <v>12</v>
      </c>
      <c r="F194" s="59" t="n">
        <v>0.0274</v>
      </c>
      <c r="G194" s="60"/>
      <c r="H194" s="61" t="n">
        <f aca="false">IF(I194="是",0,IF(OR(E194="",F194=""),0,E194*F194*(1+IF(G194="",0,G194))))</f>
        <v>0.3288</v>
      </c>
      <c r="I194" s="55" t="s">
        <v>253</v>
      </c>
      <c r="J194" s="57" t="s">
        <v>290</v>
      </c>
    </row>
    <row r="195" customFormat="false" ht="13.5" hidden="false" customHeight="true" outlineLevel="0" collapsed="false">
      <c r="A195" s="27" t="n">
        <f aca="false">IF(C195&lt;&gt;"",ROW()-2,"")</f>
        <v>193</v>
      </c>
      <c r="B195" s="48" t="s">
        <v>250</v>
      </c>
      <c r="C195" s="49" t="s">
        <v>669</v>
      </c>
      <c r="D195" s="63" t="s">
        <v>670</v>
      </c>
      <c r="E195" s="50" t="n">
        <v>1</v>
      </c>
      <c r="F195" s="51" t="n">
        <v>0.2548</v>
      </c>
      <c r="G195" s="52"/>
      <c r="H195" s="53" t="n">
        <f aca="false">IF(I195="是",0,IF(OR(E195="",F195=""),0,E195*F195*(1+IF(G195="",0,G195))))</f>
        <v>0.2548</v>
      </c>
      <c r="I195" s="48" t="s">
        <v>253</v>
      </c>
      <c r="J195" s="28" t="s">
        <v>671</v>
      </c>
    </row>
    <row r="196" customFormat="false" ht="13.5" hidden="false" customHeight="true" outlineLevel="0" collapsed="false">
      <c r="A196" s="54" t="n">
        <f aca="false">IF(C196&lt;&gt;"",ROW()-2,"")</f>
        <v>194</v>
      </c>
      <c r="B196" s="55" t="s">
        <v>250</v>
      </c>
      <c r="C196" s="56" t="s">
        <v>672</v>
      </c>
      <c r="D196" s="57" t="s">
        <v>673</v>
      </c>
      <c r="E196" s="58" t="n">
        <v>1</v>
      </c>
      <c r="F196" s="59" t="n">
        <v>0.102</v>
      </c>
      <c r="G196" s="60"/>
      <c r="H196" s="61" t="n">
        <f aca="false">IF(I196="是",0,IF(OR(E196="",F196=""),0,E196*F196*(1+IF(G196="",0,G196))))</f>
        <v>0.102</v>
      </c>
      <c r="I196" s="55" t="s">
        <v>253</v>
      </c>
      <c r="J196" s="57" t="s">
        <v>366</v>
      </c>
    </row>
    <row r="197" customFormat="false" ht="13.5" hidden="false" customHeight="true" outlineLevel="0" collapsed="false">
      <c r="A197" s="27" t="n">
        <f aca="false">IF(C197&lt;&gt;"",ROW()-2,"")</f>
        <v>195</v>
      </c>
      <c r="B197" s="48" t="s">
        <v>250</v>
      </c>
      <c r="C197" s="49" t="s">
        <v>674</v>
      </c>
      <c r="D197" s="28" t="s">
        <v>675</v>
      </c>
      <c r="E197" s="50" t="n">
        <v>1</v>
      </c>
      <c r="F197" s="51" t="n">
        <v>0.88</v>
      </c>
      <c r="G197" s="52"/>
      <c r="H197" s="53" t="n">
        <f aca="false">IF(I197="是",0,IF(OR(E197="",F197=""),0,E197*F197*(1+IF(G197="",0,G197))))</f>
        <v>0.88</v>
      </c>
      <c r="I197" s="48" t="s">
        <v>253</v>
      </c>
      <c r="J197" s="28" t="s">
        <v>391</v>
      </c>
    </row>
    <row r="198" customFormat="false" ht="13.5" hidden="false" customHeight="true" outlineLevel="0" collapsed="false">
      <c r="A198" s="54" t="n">
        <f aca="false">IF(C198&lt;&gt;"",ROW()-2,"")</f>
        <v>196</v>
      </c>
      <c r="B198" s="55" t="s">
        <v>250</v>
      </c>
      <c r="C198" s="56" t="s">
        <v>676</v>
      </c>
      <c r="D198" s="57" t="s">
        <v>677</v>
      </c>
      <c r="E198" s="58" t="n">
        <v>1</v>
      </c>
      <c r="F198" s="59" t="n">
        <v>0.165</v>
      </c>
      <c r="G198" s="60"/>
      <c r="H198" s="61" t="n">
        <f aca="false">IF(I198="是",0,IF(OR(E198="",F198=""),0,E198*F198*(1+IF(G198="",0,G198))))</f>
        <v>0.165</v>
      </c>
      <c r="I198" s="55" t="s">
        <v>253</v>
      </c>
      <c r="J198" s="57" t="s">
        <v>678</v>
      </c>
    </row>
    <row r="199" customFormat="false" ht="13.5" hidden="false" customHeight="true" outlineLevel="0" collapsed="false">
      <c r="A199" s="27" t="n">
        <f aca="false">IF(C199&lt;&gt;"",ROW()-2,"")</f>
        <v>197</v>
      </c>
      <c r="B199" s="48" t="s">
        <v>250</v>
      </c>
      <c r="C199" s="49" t="s">
        <v>679</v>
      </c>
      <c r="D199" s="28" t="s">
        <v>680</v>
      </c>
      <c r="E199" s="50" t="n">
        <v>6</v>
      </c>
      <c r="F199" s="51" t="n">
        <v>0.15</v>
      </c>
      <c r="G199" s="52"/>
      <c r="H199" s="53" t="n">
        <f aca="false">IF(I199="是",0,IF(OR(E199="",F199=""),0,E199*F199*(1+IF(G199="",0,G199))))</f>
        <v>0.9</v>
      </c>
      <c r="I199" s="48" t="s">
        <v>253</v>
      </c>
      <c r="J199" s="28" t="s">
        <v>550</v>
      </c>
    </row>
    <row r="200" customFormat="false" ht="13.5" hidden="false" customHeight="true" outlineLevel="0" collapsed="false">
      <c r="A200" s="54" t="n">
        <f aca="false">IF(C200&lt;&gt;"",ROW()-2,"")</f>
        <v>198</v>
      </c>
      <c r="B200" s="55" t="s">
        <v>250</v>
      </c>
      <c r="C200" s="56" t="s">
        <v>681</v>
      </c>
      <c r="D200" s="57" t="s">
        <v>682</v>
      </c>
      <c r="E200" s="58" t="n">
        <v>6</v>
      </c>
      <c r="F200" s="59" t="n">
        <v>0.155</v>
      </c>
      <c r="G200" s="60"/>
      <c r="H200" s="61" t="n">
        <f aca="false">IF(I200="是",0,IF(OR(E200="",F200=""),0,E200*F200*(1+IF(G200="",0,G200))))</f>
        <v>0.93</v>
      </c>
      <c r="I200" s="55" t="s">
        <v>253</v>
      </c>
      <c r="J200" s="57" t="s">
        <v>550</v>
      </c>
    </row>
    <row r="201" customFormat="false" ht="13.5" hidden="false" customHeight="true" outlineLevel="0" collapsed="false">
      <c r="A201" s="27" t="n">
        <f aca="false">IF(C201&lt;&gt;"",ROW()-2,"")</f>
        <v>199</v>
      </c>
      <c r="B201" s="48" t="s">
        <v>250</v>
      </c>
      <c r="C201" s="49" t="s">
        <v>683</v>
      </c>
      <c r="D201" s="28" t="s">
        <v>684</v>
      </c>
      <c r="E201" s="50" t="n">
        <v>2</v>
      </c>
      <c r="F201" s="51" t="n">
        <v>0.45</v>
      </c>
      <c r="G201" s="52"/>
      <c r="H201" s="53" t="n">
        <f aca="false">IF(I201="是",0,IF(OR(E201="",F201=""),0,E201*F201*(1+IF(G201="",0,G201))))</f>
        <v>0.9</v>
      </c>
      <c r="I201" s="48" t="s">
        <v>253</v>
      </c>
      <c r="J201" s="28" t="s">
        <v>391</v>
      </c>
    </row>
    <row r="202" customFormat="false" ht="13.5" hidden="false" customHeight="true" outlineLevel="0" collapsed="false">
      <c r="A202" s="54" t="n">
        <f aca="false">IF(C202&lt;&gt;"",ROW()-2,"")</f>
        <v>200</v>
      </c>
      <c r="B202" s="55" t="s">
        <v>250</v>
      </c>
      <c r="C202" s="56" t="s">
        <v>685</v>
      </c>
      <c r="D202" s="57" t="s">
        <v>686</v>
      </c>
      <c r="E202" s="58" t="n">
        <v>1</v>
      </c>
      <c r="F202" s="59" t="n">
        <v>0.112</v>
      </c>
      <c r="G202" s="60"/>
      <c r="H202" s="61" t="n">
        <f aca="false">IF(I202="是",0,IF(OR(E202="",F202=""),0,E202*F202*(1+IF(G202="",0,G202))))</f>
        <v>0.112</v>
      </c>
      <c r="I202" s="55" t="s">
        <v>253</v>
      </c>
      <c r="J202" s="57" t="s">
        <v>550</v>
      </c>
    </row>
    <row r="203" customFormat="false" ht="13.5" hidden="false" customHeight="true" outlineLevel="0" collapsed="false">
      <c r="A203" s="27" t="n">
        <f aca="false">IF(C203&lt;&gt;"",ROW()-2,"")</f>
        <v>201</v>
      </c>
      <c r="B203" s="48" t="s">
        <v>250</v>
      </c>
      <c r="C203" s="49" t="s">
        <v>687</v>
      </c>
      <c r="D203" s="28" t="s">
        <v>688</v>
      </c>
      <c r="E203" s="50" t="n">
        <v>1</v>
      </c>
      <c r="F203" s="51" t="n">
        <v>0.15</v>
      </c>
      <c r="G203" s="52"/>
      <c r="H203" s="53" t="n">
        <f aca="false">IF(I203="是",0,IF(OR(E203="",F203=""),0,E203*F203*(1+IF(G203="",0,G203))))</f>
        <v>0.15</v>
      </c>
      <c r="I203" s="48" t="s">
        <v>253</v>
      </c>
      <c r="J203" s="28" t="s">
        <v>689</v>
      </c>
    </row>
    <row r="204" customFormat="false" ht="13.5" hidden="false" customHeight="true" outlineLevel="0" collapsed="false">
      <c r="A204" s="54" t="n">
        <f aca="false">IF(C204&lt;&gt;"",ROW()-2,"")</f>
        <v>202</v>
      </c>
      <c r="B204" s="55" t="s">
        <v>250</v>
      </c>
      <c r="C204" s="56" t="s">
        <v>690</v>
      </c>
      <c r="D204" s="57" t="s">
        <v>691</v>
      </c>
      <c r="E204" s="58" t="n">
        <v>2</v>
      </c>
      <c r="F204" s="59" t="n">
        <v>0.0025</v>
      </c>
      <c r="G204" s="60"/>
      <c r="H204" s="61" t="n">
        <f aca="false">IF(I204="是",0,IF(OR(E204="",F204=""),0,E204*F204*(1+IF(G204="",0,G204))))</f>
        <v>0.005</v>
      </c>
      <c r="I204" s="55" t="s">
        <v>253</v>
      </c>
      <c r="J204" s="57" t="s">
        <v>550</v>
      </c>
    </row>
    <row r="205" customFormat="false" ht="13.5" hidden="false" customHeight="true" outlineLevel="0" collapsed="false">
      <c r="A205" s="27" t="n">
        <f aca="false">IF(C205&lt;&gt;"",ROW()-2,"")</f>
        <v>203</v>
      </c>
      <c r="B205" s="48" t="s">
        <v>250</v>
      </c>
      <c r="C205" s="49" t="s">
        <v>397</v>
      </c>
      <c r="D205" s="28" t="s">
        <v>398</v>
      </c>
      <c r="E205" s="50" t="n">
        <v>3</v>
      </c>
      <c r="F205" s="51" t="n">
        <v>0.0051</v>
      </c>
      <c r="G205" s="52"/>
      <c r="H205" s="53" t="n">
        <f aca="false">IF(I205="是",0,IF(OR(E205="",F205=""),0,E205*F205*(1+IF(G205="",0,G205))))</f>
        <v>0.0153</v>
      </c>
      <c r="I205" s="48" t="s">
        <v>253</v>
      </c>
      <c r="J205" s="28" t="s">
        <v>290</v>
      </c>
    </row>
    <row r="206" customFormat="false" ht="13.5" hidden="false" customHeight="true" outlineLevel="0" collapsed="false">
      <c r="A206" s="54" t="n">
        <f aca="false">IF(C206&lt;&gt;"",ROW()-2,"")</f>
        <v>204</v>
      </c>
      <c r="B206" s="55" t="s">
        <v>250</v>
      </c>
      <c r="C206" s="56" t="s">
        <v>692</v>
      </c>
      <c r="D206" s="57" t="s">
        <v>693</v>
      </c>
      <c r="E206" s="58" t="n">
        <v>4</v>
      </c>
      <c r="F206" s="59" t="n">
        <v>0.0086</v>
      </c>
      <c r="G206" s="60"/>
      <c r="H206" s="61" t="n">
        <f aca="false">IF(I206="是",0,IF(OR(E206="",F206=""),0,E206*F206*(1+IF(G206="",0,G206))))</f>
        <v>0.0344</v>
      </c>
      <c r="I206" s="55" t="s">
        <v>253</v>
      </c>
      <c r="J206" s="57" t="s">
        <v>290</v>
      </c>
    </row>
    <row r="207" customFormat="false" ht="13.5" hidden="false" customHeight="true" outlineLevel="0" collapsed="false">
      <c r="A207" s="27" t="n">
        <f aca="false">IF(C207&lt;&gt;"",ROW()-2,"")</f>
        <v>205</v>
      </c>
      <c r="B207" s="48" t="s">
        <v>250</v>
      </c>
      <c r="C207" s="49" t="s">
        <v>694</v>
      </c>
      <c r="D207" s="28" t="s">
        <v>695</v>
      </c>
      <c r="E207" s="50" t="n">
        <v>87</v>
      </c>
      <c r="F207" s="51" t="n">
        <v>0.0024</v>
      </c>
      <c r="G207" s="52"/>
      <c r="H207" s="53" t="n">
        <f aca="false">IF(I207="是",0,IF(OR(E207="",F207=""),0,E207*F207*(1+IF(G207="",0,G207))))</f>
        <v>0.2088</v>
      </c>
      <c r="I207" s="48" t="s">
        <v>253</v>
      </c>
      <c r="J207" s="28" t="s">
        <v>290</v>
      </c>
    </row>
    <row r="208" customFormat="false" ht="13.5" hidden="false" customHeight="true" outlineLevel="0" collapsed="false">
      <c r="A208" s="54" t="n">
        <f aca="false">IF(C208&lt;&gt;"",ROW()-2,"")</f>
        <v>206</v>
      </c>
      <c r="B208" s="55" t="s">
        <v>250</v>
      </c>
      <c r="C208" s="56" t="s">
        <v>696</v>
      </c>
      <c r="D208" s="57" t="s">
        <v>697</v>
      </c>
      <c r="E208" s="58" t="n">
        <v>12</v>
      </c>
      <c r="F208" s="59" t="n">
        <v>0.0018</v>
      </c>
      <c r="G208" s="60"/>
      <c r="H208" s="61" t="n">
        <f aca="false">IF(I208="是",0,IF(OR(E208="",F208=""),0,E208*F208*(1+IF(G208="",0,G208))))</f>
        <v>0.0216</v>
      </c>
      <c r="I208" s="55" t="s">
        <v>253</v>
      </c>
      <c r="J208" s="57" t="s">
        <v>290</v>
      </c>
    </row>
    <row r="209" customFormat="false" ht="13.5" hidden="false" customHeight="true" outlineLevel="0" collapsed="false">
      <c r="A209" s="27" t="n">
        <f aca="false">IF(C209&lt;&gt;"",ROW()-2,"")</f>
        <v>207</v>
      </c>
      <c r="B209" s="48" t="s">
        <v>250</v>
      </c>
      <c r="C209" s="49" t="s">
        <v>698</v>
      </c>
      <c r="D209" s="28" t="s">
        <v>699</v>
      </c>
      <c r="E209" s="50" t="n">
        <v>2</v>
      </c>
      <c r="F209" s="51" t="n">
        <v>0.0112</v>
      </c>
      <c r="G209" s="52"/>
      <c r="H209" s="53" t="n">
        <f aca="false">IF(I209="是",0,IF(OR(E209="",F209=""),0,E209*F209*(1+IF(G209="",0,G209))))</f>
        <v>0.0224</v>
      </c>
      <c r="I209" s="48" t="s">
        <v>253</v>
      </c>
      <c r="J209" s="28" t="s">
        <v>411</v>
      </c>
    </row>
    <row r="210" customFormat="false" ht="13.5" hidden="false" customHeight="true" outlineLevel="0" collapsed="false">
      <c r="A210" s="54" t="n">
        <f aca="false">IF(C210&lt;&gt;"",ROW()-2,"")</f>
        <v>208</v>
      </c>
      <c r="B210" s="55" t="s">
        <v>250</v>
      </c>
      <c r="C210" s="56" t="s">
        <v>407</v>
      </c>
      <c r="D210" s="57" t="s">
        <v>408</v>
      </c>
      <c r="E210" s="58" t="n">
        <v>1</v>
      </c>
      <c r="F210" s="59" t="n">
        <v>0.0052</v>
      </c>
      <c r="G210" s="60"/>
      <c r="H210" s="61" t="n">
        <f aca="false">IF(I210="是",0,IF(OR(E210="",F210=""),0,E210*F210*(1+IF(G210="",0,G210))))</f>
        <v>0.0052</v>
      </c>
      <c r="I210" s="55" t="s">
        <v>253</v>
      </c>
      <c r="J210" s="57" t="s">
        <v>290</v>
      </c>
    </row>
    <row r="211" customFormat="false" ht="13.5" hidden="false" customHeight="true" outlineLevel="0" collapsed="false">
      <c r="A211" s="27" t="n">
        <f aca="false">IF(C211&lt;&gt;"",ROW()-2,"")</f>
        <v>209</v>
      </c>
      <c r="B211" s="48" t="s">
        <v>250</v>
      </c>
      <c r="C211" s="49" t="s">
        <v>700</v>
      </c>
      <c r="D211" s="28" t="s">
        <v>701</v>
      </c>
      <c r="E211" s="50" t="n">
        <v>21</v>
      </c>
      <c r="F211" s="51" t="n">
        <v>0.0108</v>
      </c>
      <c r="G211" s="52"/>
      <c r="H211" s="53" t="n">
        <f aca="false">IF(I211="是",0,IF(OR(E211="",F211=""),0,E211*F211*(1+IF(G211="",0,G211))))</f>
        <v>0.2268</v>
      </c>
      <c r="I211" s="48" t="s">
        <v>253</v>
      </c>
      <c r="J211" s="28" t="s">
        <v>411</v>
      </c>
    </row>
    <row r="212" customFormat="false" ht="13.5" hidden="false" customHeight="true" outlineLevel="0" collapsed="false">
      <c r="A212" s="54" t="n">
        <f aca="false">IF(C212&lt;&gt;"",ROW()-2,"")</f>
        <v>210</v>
      </c>
      <c r="B212" s="55" t="s">
        <v>250</v>
      </c>
      <c r="C212" s="56" t="s">
        <v>702</v>
      </c>
      <c r="D212" s="57" t="s">
        <v>703</v>
      </c>
      <c r="E212" s="58" t="n">
        <v>1</v>
      </c>
      <c r="F212" s="59" t="n">
        <v>0.0167</v>
      </c>
      <c r="G212" s="60"/>
      <c r="H212" s="61" t="n">
        <f aca="false">IF(I212="是",0,IF(OR(E212="",F212=""),0,E212*F212*(1+IF(G212="",0,G212))))</f>
        <v>0.0167</v>
      </c>
      <c r="I212" s="55" t="s">
        <v>253</v>
      </c>
      <c r="J212" s="57" t="s">
        <v>290</v>
      </c>
    </row>
    <row r="213" customFormat="false" ht="13.5" hidden="false" customHeight="true" outlineLevel="0" collapsed="false">
      <c r="A213" s="27" t="n">
        <f aca="false">IF(C213&lt;&gt;"",ROW()-2,"")</f>
        <v>211</v>
      </c>
      <c r="B213" s="48" t="s">
        <v>250</v>
      </c>
      <c r="C213" s="49" t="s">
        <v>704</v>
      </c>
      <c r="D213" s="28" t="s">
        <v>705</v>
      </c>
      <c r="E213" s="50" t="n">
        <v>2</v>
      </c>
      <c r="F213" s="51" t="n">
        <v>0.0485</v>
      </c>
      <c r="G213" s="52"/>
      <c r="H213" s="53" t="n">
        <f aca="false">IF(I213="是",0,IF(OR(E213="",F213=""),0,E213*F213*(1+IF(G213="",0,G213))))</f>
        <v>0.097</v>
      </c>
      <c r="I213" s="48" t="s">
        <v>253</v>
      </c>
      <c r="J213" s="28" t="s">
        <v>290</v>
      </c>
    </row>
    <row r="214" customFormat="false" ht="13.5" hidden="false" customHeight="true" outlineLevel="0" collapsed="false">
      <c r="A214" s="54" t="n">
        <f aca="false">IF(C214&lt;&gt;"",ROW()-2,"")</f>
        <v>212</v>
      </c>
      <c r="B214" s="55" t="s">
        <v>250</v>
      </c>
      <c r="C214" s="56" t="s">
        <v>706</v>
      </c>
      <c r="D214" s="57" t="s">
        <v>707</v>
      </c>
      <c r="E214" s="58" t="n">
        <v>4</v>
      </c>
      <c r="F214" s="59" t="n">
        <v>0.1665</v>
      </c>
      <c r="G214" s="60"/>
      <c r="H214" s="61" t="n">
        <f aca="false">IF(I214="是",0,IF(OR(E214="",F214=""),0,E214*F214*(1+IF(G214="",0,G214))))</f>
        <v>0.666</v>
      </c>
      <c r="I214" s="55" t="s">
        <v>253</v>
      </c>
      <c r="J214" s="57" t="s">
        <v>708</v>
      </c>
    </row>
    <row r="215" customFormat="false" ht="13.5" hidden="false" customHeight="true" outlineLevel="0" collapsed="false">
      <c r="A215" s="27" t="n">
        <f aca="false">IF(C215&lt;&gt;"",ROW()-2,"")</f>
        <v>213</v>
      </c>
      <c r="B215" s="48" t="s">
        <v>250</v>
      </c>
      <c r="C215" s="49" t="s">
        <v>424</v>
      </c>
      <c r="D215" s="28" t="s">
        <v>425</v>
      </c>
      <c r="E215" s="50" t="n">
        <v>1</v>
      </c>
      <c r="F215" s="51" t="n">
        <v>0.0355</v>
      </c>
      <c r="G215" s="52"/>
      <c r="H215" s="53" t="n">
        <f aca="false">IF(I215="是",0,IF(OR(E215="",F215=""),0,E215*F215*(1+IF(G215="",0,G215))))</f>
        <v>0.0355</v>
      </c>
      <c r="I215" s="48" t="s">
        <v>253</v>
      </c>
      <c r="J215" s="28" t="s">
        <v>254</v>
      </c>
    </row>
    <row r="216" customFormat="false" ht="13.5" hidden="false" customHeight="true" outlineLevel="0" collapsed="false">
      <c r="A216" s="54" t="n">
        <f aca="false">IF(C216&lt;&gt;"",ROW()-2,"")</f>
        <v>214</v>
      </c>
      <c r="B216" s="55" t="s">
        <v>250</v>
      </c>
      <c r="C216" s="56" t="s">
        <v>709</v>
      </c>
      <c r="D216" s="57" t="s">
        <v>710</v>
      </c>
      <c r="E216" s="58" t="n">
        <v>4</v>
      </c>
      <c r="F216" s="59" t="n">
        <v>0.039302</v>
      </c>
      <c r="G216" s="60"/>
      <c r="H216" s="61" t="n">
        <f aca="false">IF(I216="是",0,IF(OR(E216="",F216=""),0,E216*F216*(1+IF(G216="",0,G216))))</f>
        <v>0.157208</v>
      </c>
      <c r="I216" s="55" t="s">
        <v>253</v>
      </c>
      <c r="J216" s="62" t="s">
        <v>428</v>
      </c>
    </row>
    <row r="217" customFormat="false" ht="13.5" hidden="false" customHeight="true" outlineLevel="0" collapsed="false">
      <c r="A217" s="27" t="n">
        <f aca="false">IF(C217&lt;&gt;"",ROW()-2,"")</f>
        <v>215</v>
      </c>
      <c r="B217" s="48" t="s">
        <v>250</v>
      </c>
      <c r="C217" s="49" t="s">
        <v>711</v>
      </c>
      <c r="D217" s="28" t="s">
        <v>712</v>
      </c>
      <c r="E217" s="50" t="n">
        <v>1</v>
      </c>
      <c r="F217" s="51" t="n">
        <v>0.7</v>
      </c>
      <c r="G217" s="52"/>
      <c r="H217" s="53" t="n">
        <f aca="false">IF(I217="是",0,IF(OR(E217="",F217=""),0,E217*F217*(1+IF(G217="",0,G217))))</f>
        <v>0.7</v>
      </c>
      <c r="I217" s="48" t="s">
        <v>253</v>
      </c>
      <c r="J217" s="28" t="s">
        <v>434</v>
      </c>
    </row>
    <row r="218" customFormat="false" ht="13.5" hidden="false" customHeight="true" outlineLevel="0" collapsed="false">
      <c r="A218" s="54" t="n">
        <f aca="false">IF(C218&lt;&gt;"",ROW()-2,"")</f>
        <v>216</v>
      </c>
      <c r="B218" s="55" t="s">
        <v>250</v>
      </c>
      <c r="C218" s="56" t="s">
        <v>713</v>
      </c>
      <c r="D218" s="57" t="s">
        <v>714</v>
      </c>
      <c r="E218" s="58" t="n">
        <v>10</v>
      </c>
      <c r="F218" s="59" t="n">
        <v>0.075</v>
      </c>
      <c r="G218" s="60"/>
      <c r="H218" s="61" t="n">
        <f aca="false">IF(I218="是",0,IF(OR(E218="",F218=""),0,E218*F218*(1+IF(G218="",0,G218))))</f>
        <v>0.75</v>
      </c>
      <c r="I218" s="55" t="s">
        <v>253</v>
      </c>
      <c r="J218" s="57" t="s">
        <v>440</v>
      </c>
    </row>
    <row r="219" customFormat="false" ht="13.5" hidden="false" customHeight="true" outlineLevel="0" collapsed="false">
      <c r="A219" s="27" t="n">
        <f aca="false">IF(C219&lt;&gt;"",ROW()-2,"")</f>
        <v>217</v>
      </c>
      <c r="B219" s="48" t="s">
        <v>250</v>
      </c>
      <c r="C219" s="49" t="s">
        <v>715</v>
      </c>
      <c r="D219" s="63" t="s">
        <v>716</v>
      </c>
      <c r="E219" s="50" t="n">
        <v>2</v>
      </c>
      <c r="F219" s="51" t="n">
        <v>0.097</v>
      </c>
      <c r="G219" s="52"/>
      <c r="H219" s="53" t="n">
        <f aca="false">IF(I219="是",0,IF(OR(E219="",F219=""),0,E219*F219*(1+IF(G219="",0,G219))))</f>
        <v>0.194</v>
      </c>
      <c r="I219" s="48" t="s">
        <v>253</v>
      </c>
      <c r="J219" s="28" t="s">
        <v>254</v>
      </c>
    </row>
    <row r="220" customFormat="false" ht="13.5" hidden="false" customHeight="true" outlineLevel="0" collapsed="false">
      <c r="A220" s="54" t="n">
        <f aca="false">IF(C220&lt;&gt;"",ROW()-2,"")</f>
        <v>218</v>
      </c>
      <c r="B220" s="55" t="s">
        <v>250</v>
      </c>
      <c r="C220" s="56" t="s">
        <v>717</v>
      </c>
      <c r="D220" s="62" t="s">
        <v>718</v>
      </c>
      <c r="E220" s="58" t="n">
        <v>12</v>
      </c>
      <c r="F220" s="59" t="n">
        <v>0.15</v>
      </c>
      <c r="G220" s="60"/>
      <c r="H220" s="61" t="n">
        <f aca="false">IF(I220="是",0,IF(OR(E220="",F220=""),0,E220*F220*(1+IF(G220="",0,G220))))</f>
        <v>1.8</v>
      </c>
      <c r="I220" s="55" t="s">
        <v>253</v>
      </c>
      <c r="J220" s="57" t="s">
        <v>290</v>
      </c>
    </row>
    <row r="221" customFormat="false" ht="13.5" hidden="false" customHeight="true" outlineLevel="0" collapsed="false">
      <c r="A221" s="27" t="n">
        <f aca="false">IF(C221&lt;&gt;"",ROW()-2,"")</f>
        <v>219</v>
      </c>
      <c r="B221" s="48" t="s">
        <v>250</v>
      </c>
      <c r="C221" s="49" t="s">
        <v>719</v>
      </c>
      <c r="D221" s="28" t="s">
        <v>720</v>
      </c>
      <c r="E221" s="50" t="n">
        <v>4</v>
      </c>
      <c r="F221" s="51" t="n">
        <v>0.0169</v>
      </c>
      <c r="G221" s="52"/>
      <c r="H221" s="53" t="n">
        <f aca="false">IF(I221="是",0,IF(OR(E221="",F221=""),0,E221*F221*(1+IF(G221="",0,G221))))</f>
        <v>0.0676</v>
      </c>
      <c r="I221" s="48" t="s">
        <v>253</v>
      </c>
      <c r="J221" s="28" t="s">
        <v>260</v>
      </c>
    </row>
    <row r="222" customFormat="false" ht="13.5" hidden="false" customHeight="true" outlineLevel="0" collapsed="false">
      <c r="A222" s="54" t="n">
        <f aca="false">IF(C222&lt;&gt;"",ROW()-2,"")</f>
        <v>220</v>
      </c>
      <c r="B222" s="55" t="s">
        <v>250</v>
      </c>
      <c r="C222" s="56" t="s">
        <v>721</v>
      </c>
      <c r="D222" s="57" t="s">
        <v>722</v>
      </c>
      <c r="E222" s="58" t="n">
        <v>4</v>
      </c>
      <c r="F222" s="59" t="n">
        <v>0.02</v>
      </c>
      <c r="G222" s="60"/>
      <c r="H222" s="61" t="n">
        <f aca="false">IF(I222="是",0,IF(OR(E222="",F222=""),0,E222*F222*(1+IF(G222="",0,G222))))</f>
        <v>0.08</v>
      </c>
      <c r="I222" s="55" t="s">
        <v>253</v>
      </c>
      <c r="J222" s="57" t="s">
        <v>260</v>
      </c>
    </row>
    <row r="223" customFormat="false" ht="13.5" hidden="false" customHeight="true" outlineLevel="0" collapsed="false">
      <c r="A223" s="27" t="n">
        <f aca="false">IF(C223&lt;&gt;"",ROW()-2,"")</f>
        <v>221</v>
      </c>
      <c r="B223" s="48" t="s">
        <v>250</v>
      </c>
      <c r="C223" s="49" t="s">
        <v>723</v>
      </c>
      <c r="D223" s="28" t="s">
        <v>724</v>
      </c>
      <c r="E223" s="50" t="n">
        <v>2</v>
      </c>
      <c r="F223" s="51" t="n">
        <v>0.0274</v>
      </c>
      <c r="G223" s="52"/>
      <c r="H223" s="53" t="n">
        <f aca="false">IF(I223="是",0,IF(OR(E223="",F223=""),0,E223*F223*(1+IF(G223="",0,G223))))</f>
        <v>0.0548</v>
      </c>
      <c r="I223" s="48" t="s">
        <v>253</v>
      </c>
      <c r="J223" s="28" t="s">
        <v>260</v>
      </c>
    </row>
    <row r="224" customFormat="false" ht="13.5" hidden="false" customHeight="true" outlineLevel="0" collapsed="false">
      <c r="A224" s="54" t="n">
        <f aca="false">IF(C224&lt;&gt;"",ROW()-2,"")</f>
        <v>222</v>
      </c>
      <c r="B224" s="55" t="s">
        <v>250</v>
      </c>
      <c r="C224" s="56" t="s">
        <v>725</v>
      </c>
      <c r="D224" s="57" t="s">
        <v>726</v>
      </c>
      <c r="E224" s="58" t="n">
        <v>4</v>
      </c>
      <c r="F224" s="59" t="n">
        <v>0.0138</v>
      </c>
      <c r="G224" s="60"/>
      <c r="H224" s="61" t="n">
        <f aca="false">IF(I224="是",0,IF(OR(E224="",F224=""),0,E224*F224*(1+IF(G224="",0,G224))))</f>
        <v>0.0552</v>
      </c>
      <c r="I224" s="55" t="s">
        <v>253</v>
      </c>
      <c r="J224" s="57" t="s">
        <v>414</v>
      </c>
    </row>
    <row r="225" customFormat="false" ht="13.5" hidden="false" customHeight="true" outlineLevel="0" collapsed="false">
      <c r="A225" s="27" t="n">
        <f aca="false">IF(C225&lt;&gt;"",ROW()-2,"")</f>
        <v>223</v>
      </c>
      <c r="B225" s="48" t="s">
        <v>250</v>
      </c>
      <c r="C225" s="49" t="s">
        <v>727</v>
      </c>
      <c r="D225" s="28" t="s">
        <v>728</v>
      </c>
      <c r="E225" s="50" t="n">
        <v>1</v>
      </c>
      <c r="F225" s="51" t="n">
        <v>1.7608</v>
      </c>
      <c r="G225" s="52"/>
      <c r="H225" s="53" t="n">
        <f aca="false">IF(I225="是",0,IF(OR(E225="",F225=""),0,E225*F225*(1+IF(G225="",0,G225))))</f>
        <v>1.7608</v>
      </c>
      <c r="I225" s="48" t="s">
        <v>253</v>
      </c>
      <c r="J225" s="28" t="s">
        <v>729</v>
      </c>
    </row>
    <row r="226" customFormat="false" ht="13.5" hidden="false" customHeight="true" outlineLevel="0" collapsed="false">
      <c r="A226" s="54" t="n">
        <f aca="false">IF(C226&lt;&gt;"",ROW()-2,"")</f>
        <v>224</v>
      </c>
      <c r="B226" s="55" t="s">
        <v>250</v>
      </c>
      <c r="C226" s="56" t="s">
        <v>730</v>
      </c>
      <c r="D226" s="57" t="s">
        <v>731</v>
      </c>
      <c r="E226" s="58" t="n">
        <v>3</v>
      </c>
      <c r="F226" s="59" t="n">
        <v>0.0268</v>
      </c>
      <c r="G226" s="60"/>
      <c r="H226" s="61" t="n">
        <f aca="false">IF(I226="是",0,IF(OR(E226="",F226=""),0,E226*F226*(1+IF(G226="",0,G226))))</f>
        <v>0.0804</v>
      </c>
      <c r="I226" s="55" t="s">
        <v>253</v>
      </c>
      <c r="J226" s="57" t="s">
        <v>732</v>
      </c>
    </row>
    <row r="227" customFormat="false" ht="13.5" hidden="false" customHeight="true" outlineLevel="0" collapsed="false">
      <c r="A227" s="27" t="n">
        <f aca="false">IF(C227&lt;&gt;"",ROW()-2,"")</f>
        <v>225</v>
      </c>
      <c r="B227" s="48" t="s">
        <v>250</v>
      </c>
      <c r="C227" s="49" t="s">
        <v>733</v>
      </c>
      <c r="D227" s="28" t="s">
        <v>734</v>
      </c>
      <c r="E227" s="50" t="n">
        <v>3</v>
      </c>
      <c r="F227" s="51" t="n">
        <v>0.3176</v>
      </c>
      <c r="G227" s="52"/>
      <c r="H227" s="53" t="n">
        <f aca="false">IF(I227="是",0,IF(OR(E227="",F227=""),0,E227*F227*(1+IF(G227="",0,G227))))</f>
        <v>0.9528</v>
      </c>
      <c r="I227" s="48" t="s">
        <v>253</v>
      </c>
      <c r="J227" s="28" t="s">
        <v>414</v>
      </c>
    </row>
    <row r="228" customFormat="false" ht="13.5" hidden="false" customHeight="true" outlineLevel="0" collapsed="false">
      <c r="A228" s="54" t="n">
        <f aca="false">IF(C228&lt;&gt;"",ROW()-2,"")</f>
        <v>226</v>
      </c>
      <c r="B228" s="55" t="s">
        <v>250</v>
      </c>
      <c r="C228" s="56" t="s">
        <v>735</v>
      </c>
      <c r="D228" s="57" t="s">
        <v>736</v>
      </c>
      <c r="E228" s="58" t="n">
        <v>4</v>
      </c>
      <c r="F228" s="59" t="n">
        <v>2.3562</v>
      </c>
      <c r="G228" s="60"/>
      <c r="H228" s="61" t="n">
        <f aca="false">IF(I228="是",0,IF(OR(E228="",F228=""),0,E228*F228*(1+IF(G228="",0,G228))))</f>
        <v>9.4248</v>
      </c>
      <c r="I228" s="55" t="s">
        <v>253</v>
      </c>
      <c r="J228" s="57" t="s">
        <v>414</v>
      </c>
    </row>
    <row r="229" customFormat="false" ht="13.5" hidden="false" customHeight="true" outlineLevel="0" collapsed="false">
      <c r="A229" s="27" t="n">
        <f aca="false">IF(C229&lt;&gt;"",ROW()-2,"")</f>
        <v>227</v>
      </c>
      <c r="B229" s="48" t="s">
        <v>250</v>
      </c>
      <c r="C229" s="49" t="s">
        <v>737</v>
      </c>
      <c r="D229" s="28" t="s">
        <v>738</v>
      </c>
      <c r="E229" s="50" t="n">
        <v>1</v>
      </c>
      <c r="F229" s="51" t="n">
        <v>18.581</v>
      </c>
      <c r="G229" s="52"/>
      <c r="H229" s="53" t="n">
        <f aca="false">IF(I229="是",0,IF(OR(E229="",F229=""),0,E229*F229*(1+IF(G229="",0,G229))))</f>
        <v>18.581</v>
      </c>
      <c r="I229" s="48" t="s">
        <v>253</v>
      </c>
      <c r="J229" s="28" t="s">
        <v>414</v>
      </c>
    </row>
    <row r="230" customFormat="false" ht="13.5" hidden="false" customHeight="true" outlineLevel="0" collapsed="false">
      <c r="A230" s="54" t="n">
        <f aca="false">IF(C230&lt;&gt;"",ROW()-2,"")</f>
        <v>228</v>
      </c>
      <c r="B230" s="55" t="s">
        <v>250</v>
      </c>
      <c r="C230" s="56" t="s">
        <v>739</v>
      </c>
      <c r="D230" s="57" t="s">
        <v>740</v>
      </c>
      <c r="E230" s="58" t="n">
        <v>1</v>
      </c>
      <c r="F230" s="59" t="n">
        <v>0.3355</v>
      </c>
      <c r="G230" s="60"/>
      <c r="H230" s="61" t="n">
        <f aca="false">IF(I230="是",0,IF(OR(E230="",F230=""),0,E230*F230*(1+IF(G230="",0,G230))))</f>
        <v>0.3355</v>
      </c>
      <c r="I230" s="55" t="s">
        <v>253</v>
      </c>
      <c r="J230" s="57" t="s">
        <v>509</v>
      </c>
    </row>
    <row r="231" customFormat="false" ht="13.5" hidden="false" customHeight="true" outlineLevel="0" collapsed="false">
      <c r="A231" s="27" t="n">
        <f aca="false">IF(C231&lt;&gt;"",ROW()-2,"")</f>
        <v>229</v>
      </c>
      <c r="B231" s="48" t="s">
        <v>250</v>
      </c>
      <c r="C231" s="49" t="s">
        <v>741</v>
      </c>
      <c r="D231" s="28" t="s">
        <v>742</v>
      </c>
      <c r="E231" s="50" t="n">
        <v>1</v>
      </c>
      <c r="F231" s="51" t="n">
        <v>0.5204</v>
      </c>
      <c r="G231" s="52"/>
      <c r="H231" s="53" t="n">
        <f aca="false">IF(I231="是",0,IF(OR(E231="",F231=""),0,E231*F231*(1+IF(G231="",0,G231))))</f>
        <v>0.5204</v>
      </c>
      <c r="I231" s="48" t="s">
        <v>253</v>
      </c>
      <c r="J231" s="28" t="s">
        <v>743</v>
      </c>
    </row>
    <row r="232" customFormat="false" ht="13.5" hidden="false" customHeight="true" outlineLevel="0" collapsed="false">
      <c r="A232" s="54" t="n">
        <f aca="false">IF(C232&lt;&gt;"",ROW()-2,"")</f>
        <v>230</v>
      </c>
      <c r="B232" s="55" t="s">
        <v>250</v>
      </c>
      <c r="C232" s="56" t="s">
        <v>744</v>
      </c>
      <c r="D232" s="57" t="s">
        <v>745</v>
      </c>
      <c r="E232" s="58" t="n">
        <v>1</v>
      </c>
      <c r="F232" s="59" t="n">
        <v>0.1726</v>
      </c>
      <c r="G232" s="60"/>
      <c r="H232" s="61" t="n">
        <f aca="false">IF(I232="是",0,IF(OR(E232="",F232=""),0,E232*F232*(1+IF(G232="",0,G232))))</f>
        <v>0.1726</v>
      </c>
      <c r="I232" s="55" t="s">
        <v>253</v>
      </c>
      <c r="J232" s="57" t="s">
        <v>746</v>
      </c>
    </row>
    <row r="233" customFormat="false" ht="13.5" hidden="false" customHeight="true" outlineLevel="0" collapsed="false">
      <c r="A233" s="27" t="n">
        <f aca="false">IF(C233&lt;&gt;"",ROW()-2,"")</f>
        <v>231</v>
      </c>
      <c r="B233" s="48" t="s">
        <v>250</v>
      </c>
      <c r="C233" s="49" t="s">
        <v>747</v>
      </c>
      <c r="D233" s="28" t="s">
        <v>748</v>
      </c>
      <c r="E233" s="50" t="n">
        <v>1</v>
      </c>
      <c r="F233" s="51" t="n">
        <v>0.0885</v>
      </c>
      <c r="G233" s="52"/>
      <c r="H233" s="53" t="n">
        <f aca="false">IF(I233="是",0,IF(OR(E233="",F233=""),0,E233*F233*(1+IF(G233="",0,G233))))</f>
        <v>0.0885</v>
      </c>
      <c r="I233" s="48" t="s">
        <v>253</v>
      </c>
      <c r="J233" s="28" t="s">
        <v>746</v>
      </c>
    </row>
    <row r="234" customFormat="false" ht="13.5" hidden="false" customHeight="true" outlineLevel="0" collapsed="false">
      <c r="A234" s="54" t="n">
        <f aca="false">IF(C234&lt;&gt;"",ROW()-2,"")</f>
        <v>232</v>
      </c>
      <c r="B234" s="55" t="s">
        <v>250</v>
      </c>
      <c r="C234" s="56" t="s">
        <v>749</v>
      </c>
      <c r="D234" s="57" t="s">
        <v>750</v>
      </c>
      <c r="E234" s="58" t="n">
        <v>1</v>
      </c>
      <c r="F234" s="59" t="n">
        <v>0.544506</v>
      </c>
      <c r="G234" s="60"/>
      <c r="H234" s="61" t="n">
        <f aca="false">IF(I234="是",0,IF(OR(E234="",F234=""),0,E234*F234*(1+IF(G234="",0,G234))))</f>
        <v>0.544506</v>
      </c>
      <c r="I234" s="55" t="s">
        <v>253</v>
      </c>
      <c r="J234" s="62" t="s">
        <v>751</v>
      </c>
    </row>
    <row r="235" customFormat="false" ht="13.5" hidden="false" customHeight="true" outlineLevel="0" collapsed="false">
      <c r="A235" s="27" t="n">
        <f aca="false">IF(C235&lt;&gt;"",ROW()-2,"")</f>
        <v>233</v>
      </c>
      <c r="B235" s="48" t="s">
        <v>250</v>
      </c>
      <c r="C235" s="49" t="s">
        <v>752</v>
      </c>
      <c r="D235" s="28" t="s">
        <v>753</v>
      </c>
      <c r="E235" s="50" t="n">
        <v>1</v>
      </c>
      <c r="F235" s="51" t="n">
        <v>1.6815</v>
      </c>
      <c r="G235" s="52"/>
      <c r="H235" s="53" t="n">
        <f aca="false">IF(I235="是",0,IF(OR(E235="",F235=""),0,E235*F235*(1+IF(G235="",0,G235))))</f>
        <v>1.6815</v>
      </c>
      <c r="I235" s="48" t="s">
        <v>253</v>
      </c>
      <c r="J235" s="28" t="s">
        <v>754</v>
      </c>
    </row>
    <row r="236" customFormat="false" ht="13.5" hidden="false" customHeight="true" outlineLevel="0" collapsed="false">
      <c r="A236" s="54" t="n">
        <f aca="false">IF(C236&lt;&gt;"",ROW()-2,"")</f>
        <v>234</v>
      </c>
      <c r="B236" s="55" t="s">
        <v>250</v>
      </c>
      <c r="C236" s="56" t="s">
        <v>755</v>
      </c>
      <c r="D236" s="57" t="s">
        <v>756</v>
      </c>
      <c r="E236" s="58" t="n">
        <v>2</v>
      </c>
      <c r="F236" s="59" t="n">
        <v>0.678846</v>
      </c>
      <c r="G236" s="60"/>
      <c r="H236" s="61" t="n">
        <f aca="false">IF(I236="是",0,IF(OR(E236="",F236=""),0,E236*F236*(1+IF(G236="",0,G236))))</f>
        <v>1.357692</v>
      </c>
      <c r="I236" s="55" t="s">
        <v>253</v>
      </c>
      <c r="J236" s="62" t="s">
        <v>757</v>
      </c>
    </row>
    <row r="237" customFormat="false" ht="13.5" hidden="false" customHeight="true" outlineLevel="0" collapsed="false">
      <c r="A237" s="27" t="n">
        <f aca="false">IF(C237&lt;&gt;"",ROW()-2,"")</f>
        <v>235</v>
      </c>
      <c r="B237" s="48" t="s">
        <v>250</v>
      </c>
      <c r="C237" s="49" t="s">
        <v>758</v>
      </c>
      <c r="D237" s="28" t="s">
        <v>759</v>
      </c>
      <c r="E237" s="50" t="n">
        <v>1</v>
      </c>
      <c r="F237" s="51" t="n">
        <v>0.4059</v>
      </c>
      <c r="G237" s="52"/>
      <c r="H237" s="53" t="n">
        <f aca="false">IF(I237="是",0,IF(OR(E237="",F237=""),0,E237*F237*(1+IF(G237="",0,G237))))</f>
        <v>0.4059</v>
      </c>
      <c r="I237" s="48" t="s">
        <v>253</v>
      </c>
      <c r="J237" s="28" t="s">
        <v>414</v>
      </c>
    </row>
    <row r="238" customFormat="false" ht="13.5" hidden="false" customHeight="true" outlineLevel="0" collapsed="false">
      <c r="A238" s="54" t="n">
        <f aca="false">IF(C238&lt;&gt;"",ROW()-2,"")</f>
        <v>236</v>
      </c>
      <c r="B238" s="55" t="s">
        <v>250</v>
      </c>
      <c r="C238" s="56" t="s">
        <v>760</v>
      </c>
      <c r="D238" s="57" t="s">
        <v>761</v>
      </c>
      <c r="E238" s="58" t="n">
        <v>1</v>
      </c>
      <c r="F238" s="59" t="n">
        <v>0.28</v>
      </c>
      <c r="G238" s="60"/>
      <c r="H238" s="61" t="n">
        <f aca="false">IF(I238="是",0,IF(OR(E238="",F238=""),0,E238*F238*(1+IF(G238="",0,G238))))</f>
        <v>0.28</v>
      </c>
      <c r="I238" s="55" t="s">
        <v>253</v>
      </c>
      <c r="J238" s="57" t="s">
        <v>762</v>
      </c>
    </row>
    <row r="239" customFormat="false" ht="13.5" hidden="false" customHeight="true" outlineLevel="0" collapsed="false">
      <c r="A239" s="27" t="n">
        <f aca="false">IF(C239&lt;&gt;"",ROW()-2,"")</f>
        <v>237</v>
      </c>
      <c r="B239" s="48" t="s">
        <v>250</v>
      </c>
      <c r="C239" s="49" t="s">
        <v>763</v>
      </c>
      <c r="D239" s="28" t="s">
        <v>764</v>
      </c>
      <c r="E239" s="50" t="n">
        <v>1</v>
      </c>
      <c r="F239" s="51" t="n">
        <v>4.3844</v>
      </c>
      <c r="G239" s="52"/>
      <c r="H239" s="53" t="n">
        <f aca="false">IF(I239="是",0,IF(OR(E239="",F239=""),0,E239*F239*(1+IF(G239="",0,G239))))</f>
        <v>4.3844</v>
      </c>
      <c r="I239" s="48" t="s">
        <v>253</v>
      </c>
      <c r="J239" s="28" t="s">
        <v>765</v>
      </c>
    </row>
    <row r="240" customFormat="false" ht="13.5" hidden="false" customHeight="true" outlineLevel="0" collapsed="false">
      <c r="A240" s="54" t="n">
        <f aca="false">IF(C240&lt;&gt;"",ROW()-2,"")</f>
        <v>238</v>
      </c>
      <c r="B240" s="55" t="s">
        <v>250</v>
      </c>
      <c r="C240" s="56" t="s">
        <v>766</v>
      </c>
      <c r="D240" s="57" t="s">
        <v>767</v>
      </c>
      <c r="E240" s="58" t="n">
        <v>1</v>
      </c>
      <c r="F240" s="59" t="n">
        <v>0.155</v>
      </c>
      <c r="G240" s="60"/>
      <c r="H240" s="61" t="n">
        <f aca="false">IF(I240="是",0,IF(OR(E240="",F240=""),0,E240*F240*(1+IF(G240="",0,G240))))</f>
        <v>0.155</v>
      </c>
      <c r="I240" s="55" t="s">
        <v>253</v>
      </c>
      <c r="J240" s="57" t="s">
        <v>550</v>
      </c>
    </row>
    <row r="241" customFormat="false" ht="13.5" hidden="false" customHeight="true" outlineLevel="0" collapsed="false">
      <c r="A241" s="27" t="n">
        <f aca="false">IF(C241&lt;&gt;"",ROW()-2,"")</f>
        <v>239</v>
      </c>
      <c r="B241" s="48" t="s">
        <v>250</v>
      </c>
      <c r="C241" s="49" t="s">
        <v>768</v>
      </c>
      <c r="D241" s="28" t="s">
        <v>769</v>
      </c>
      <c r="E241" s="50" t="n">
        <v>1</v>
      </c>
      <c r="F241" s="51" t="n">
        <v>0.2794</v>
      </c>
      <c r="G241" s="52"/>
      <c r="H241" s="53" t="n">
        <f aca="false">IF(I241="是",0,IF(OR(E241="",F241=""),0,E241*F241*(1+IF(G241="",0,G241))))</f>
        <v>0.2794</v>
      </c>
      <c r="I241" s="48" t="s">
        <v>253</v>
      </c>
      <c r="J241" s="28" t="s">
        <v>414</v>
      </c>
    </row>
    <row r="242" customFormat="false" ht="13.5" hidden="false" customHeight="true" outlineLevel="0" collapsed="false">
      <c r="A242" s="54" t="n">
        <f aca="false">IF(C242&lt;&gt;"",ROW()-2,"")</f>
        <v>240</v>
      </c>
      <c r="B242" s="55" t="s">
        <v>250</v>
      </c>
      <c r="C242" s="56" t="s">
        <v>770</v>
      </c>
      <c r="D242" s="57" t="s">
        <v>771</v>
      </c>
      <c r="E242" s="58" t="n">
        <v>1</v>
      </c>
      <c r="F242" s="59" t="n">
        <v>1.6451</v>
      </c>
      <c r="G242" s="60"/>
      <c r="H242" s="61" t="n">
        <f aca="false">IF(I242="是",0,IF(OR(E242="",F242=""),0,E242*F242*(1+IF(G242="",0,G242))))</f>
        <v>1.6451</v>
      </c>
      <c r="I242" s="55" t="s">
        <v>253</v>
      </c>
      <c r="J242" s="57" t="s">
        <v>765</v>
      </c>
    </row>
    <row r="243" customFormat="false" ht="13.5" hidden="false" customHeight="true" outlineLevel="0" collapsed="false">
      <c r="A243" s="27" t="n">
        <f aca="false">IF(C243&lt;&gt;"",ROW()-2,"")</f>
        <v>241</v>
      </c>
      <c r="B243" s="48" t="s">
        <v>250</v>
      </c>
      <c r="C243" s="49" t="s">
        <v>772</v>
      </c>
      <c r="D243" s="28" t="s">
        <v>773</v>
      </c>
      <c r="E243" s="50" t="n">
        <v>10</v>
      </c>
      <c r="F243" s="51" t="n">
        <v>0.9</v>
      </c>
      <c r="G243" s="52"/>
      <c r="H243" s="53" t="n">
        <f aca="false">IF(I243="是",0,IF(OR(E243="",F243=""),0,E243*F243*(1+IF(G243="",0,G243))))</f>
        <v>9</v>
      </c>
      <c r="I243" s="48" t="s">
        <v>253</v>
      </c>
      <c r="J243" s="28" t="s">
        <v>501</v>
      </c>
    </row>
    <row r="244" customFormat="false" ht="13.5" hidden="false" customHeight="true" outlineLevel="0" collapsed="false">
      <c r="A244" s="54" t="n">
        <f aca="false">IF(C244&lt;&gt;"",ROW()-2,"")</f>
        <v>242</v>
      </c>
      <c r="B244" s="55" t="s">
        <v>250</v>
      </c>
      <c r="C244" s="56" t="s">
        <v>774</v>
      </c>
      <c r="D244" s="57" t="s">
        <v>775</v>
      </c>
      <c r="E244" s="58" t="n">
        <v>1</v>
      </c>
      <c r="F244" s="59" t="n">
        <v>1.395</v>
      </c>
      <c r="G244" s="60"/>
      <c r="H244" s="61" t="n">
        <f aca="false">IF(I244="是",0,IF(OR(E244="",F244=""),0,E244*F244*(1+IF(G244="",0,G244))))</f>
        <v>1.395</v>
      </c>
      <c r="I244" s="55" t="s">
        <v>253</v>
      </c>
      <c r="J244" s="57" t="s">
        <v>506</v>
      </c>
    </row>
    <row r="245" customFormat="false" ht="13.5" hidden="false" customHeight="true" outlineLevel="0" collapsed="false">
      <c r="A245" s="27" t="n">
        <f aca="false">IF(C245&lt;&gt;"",ROW()-2,"")</f>
        <v>243</v>
      </c>
      <c r="B245" s="48" t="s">
        <v>250</v>
      </c>
      <c r="C245" s="49" t="s">
        <v>776</v>
      </c>
      <c r="D245" s="28" t="s">
        <v>777</v>
      </c>
      <c r="E245" s="50" t="n">
        <v>2</v>
      </c>
      <c r="F245" s="51" t="n">
        <v>1.4159</v>
      </c>
      <c r="G245" s="52"/>
      <c r="H245" s="53" t="n">
        <f aca="false">IF(I245="是",0,IF(OR(E245="",F245=""),0,E245*F245*(1+IF(G245="",0,G245))))</f>
        <v>2.8318</v>
      </c>
      <c r="I245" s="48" t="s">
        <v>253</v>
      </c>
      <c r="J245" s="28" t="s">
        <v>778</v>
      </c>
    </row>
    <row r="246" customFormat="false" ht="13.5" hidden="false" customHeight="true" outlineLevel="0" collapsed="false">
      <c r="A246" s="54" t="n">
        <f aca="false">IF(C246&lt;&gt;"",ROW()-2,"")</f>
        <v>244</v>
      </c>
      <c r="B246" s="55" t="s">
        <v>250</v>
      </c>
      <c r="C246" s="56" t="s">
        <v>779</v>
      </c>
      <c r="D246" s="57" t="s">
        <v>780</v>
      </c>
      <c r="E246" s="58" t="n">
        <v>1</v>
      </c>
      <c r="F246" s="59" t="n">
        <v>0.2632</v>
      </c>
      <c r="G246" s="60"/>
      <c r="H246" s="61" t="n">
        <f aca="false">IF(I246="是",0,IF(OR(E246="",F246=""),0,E246*F246*(1+IF(G246="",0,G246))))</f>
        <v>0.2632</v>
      </c>
      <c r="I246" s="55" t="s">
        <v>253</v>
      </c>
      <c r="J246" s="57" t="s">
        <v>781</v>
      </c>
    </row>
    <row r="247" customFormat="false" ht="13.5" hidden="false" customHeight="true" outlineLevel="0" collapsed="false">
      <c r="A247" s="27" t="n">
        <f aca="false">IF(C247&lt;&gt;"",ROW()-2,"")</f>
        <v>245</v>
      </c>
      <c r="B247" s="48" t="s">
        <v>250</v>
      </c>
      <c r="C247" s="49" t="s">
        <v>782</v>
      </c>
      <c r="D247" s="28" t="s">
        <v>783</v>
      </c>
      <c r="E247" s="50" t="n">
        <v>2</v>
      </c>
      <c r="F247" s="51" t="n">
        <v>0.077</v>
      </c>
      <c r="G247" s="52"/>
      <c r="H247" s="53" t="n">
        <f aca="false">IF(I247="是",0,IF(OR(E247="",F247=""),0,E247*F247*(1+IF(G247="",0,G247))))</f>
        <v>0.154</v>
      </c>
      <c r="I247" s="48" t="s">
        <v>253</v>
      </c>
      <c r="J247" s="28" t="s">
        <v>578</v>
      </c>
    </row>
    <row r="248" customFormat="false" ht="13.5" hidden="false" customHeight="true" outlineLevel="0" collapsed="false">
      <c r="A248" s="54" t="n">
        <f aca="false">IF(C248&lt;&gt;"",ROW()-2,"")</f>
        <v>246</v>
      </c>
      <c r="B248" s="55" t="s">
        <v>250</v>
      </c>
      <c r="C248" s="56" t="s">
        <v>784</v>
      </c>
      <c r="D248" s="57" t="s">
        <v>785</v>
      </c>
      <c r="E248" s="58" t="n">
        <v>1</v>
      </c>
      <c r="F248" s="59" t="n">
        <v>0.0692</v>
      </c>
      <c r="G248" s="60"/>
      <c r="H248" s="61" t="n">
        <f aca="false">IF(I248="是",0,IF(OR(E248="",F248=""),0,E248*F248*(1+IF(G248="",0,G248))))</f>
        <v>0.0692</v>
      </c>
      <c r="I248" s="55" t="s">
        <v>253</v>
      </c>
      <c r="J248" s="57" t="s">
        <v>578</v>
      </c>
    </row>
    <row r="249" customFormat="false" ht="13.5" hidden="false" customHeight="true" outlineLevel="0" collapsed="false">
      <c r="A249" s="27" t="n">
        <f aca="false">IF(C249&lt;&gt;"",ROW()-2,"")</f>
        <v>247</v>
      </c>
      <c r="B249" s="48" t="s">
        <v>250</v>
      </c>
      <c r="C249" s="49" t="s">
        <v>786</v>
      </c>
      <c r="D249" s="28" t="s">
        <v>787</v>
      </c>
      <c r="E249" s="50" t="n">
        <v>1</v>
      </c>
      <c r="F249" s="51" t="n">
        <v>0.1</v>
      </c>
      <c r="G249" s="52"/>
      <c r="H249" s="53" t="n">
        <f aca="false">IF(I249="是",0,IF(OR(E249="",F249=""),0,E249*F249*(1+IF(G249="",0,G249))))</f>
        <v>0.1</v>
      </c>
      <c r="I249" s="48" t="s">
        <v>253</v>
      </c>
      <c r="J249" s="28" t="s">
        <v>583</v>
      </c>
    </row>
    <row r="250" customFormat="false" ht="13.5" hidden="false" customHeight="true" outlineLevel="0" collapsed="false">
      <c r="A250" s="54" t="n">
        <f aca="false">IF(C250&lt;&gt;"",ROW()-2,"")</f>
        <v>248</v>
      </c>
      <c r="B250" s="55" t="s">
        <v>250</v>
      </c>
      <c r="C250" s="56" t="s">
        <v>788</v>
      </c>
      <c r="D250" s="57" t="s">
        <v>789</v>
      </c>
      <c r="E250" s="58" t="n">
        <v>1</v>
      </c>
      <c r="F250" s="59" t="n">
        <v>0.0554</v>
      </c>
      <c r="G250" s="60"/>
      <c r="H250" s="61" t="n">
        <f aca="false">IF(I250="是",0,IF(OR(E250="",F250=""),0,E250*F250*(1+IF(G250="",0,G250))))</f>
        <v>0.0554</v>
      </c>
      <c r="I250" s="55" t="s">
        <v>253</v>
      </c>
      <c r="J250" s="57" t="s">
        <v>583</v>
      </c>
    </row>
    <row r="251" customFormat="false" ht="13.5" hidden="false" customHeight="true" outlineLevel="0" collapsed="false">
      <c r="A251" s="27" t="n">
        <f aca="false">IF(C251&lt;&gt;"",ROW()-2,"")</f>
        <v>249</v>
      </c>
      <c r="B251" s="48" t="s">
        <v>250</v>
      </c>
      <c r="C251" s="49" t="s">
        <v>790</v>
      </c>
      <c r="D251" s="28" t="s">
        <v>791</v>
      </c>
      <c r="E251" s="50" t="n">
        <v>1</v>
      </c>
      <c r="F251" s="51" t="n">
        <v>0.0895</v>
      </c>
      <c r="G251" s="52"/>
      <c r="H251" s="53" t="n">
        <f aca="false">IF(I251="是",0,IF(OR(E251="",F251=""),0,E251*F251*(1+IF(G251="",0,G251))))</f>
        <v>0.0895</v>
      </c>
      <c r="I251" s="48" t="s">
        <v>253</v>
      </c>
      <c r="J251" s="28" t="s">
        <v>578</v>
      </c>
    </row>
    <row r="252" customFormat="false" ht="13.5" hidden="false" customHeight="true" outlineLevel="0" collapsed="false">
      <c r="A252" s="54" t="n">
        <f aca="false">IF(C252&lt;&gt;"",ROW()-2,"")</f>
        <v>250</v>
      </c>
      <c r="B252" s="55" t="s">
        <v>250</v>
      </c>
      <c r="C252" s="56" t="s">
        <v>792</v>
      </c>
      <c r="D252" s="57" t="s">
        <v>793</v>
      </c>
      <c r="E252" s="58" t="n">
        <v>1</v>
      </c>
      <c r="F252" s="59" t="n">
        <v>0.0895</v>
      </c>
      <c r="G252" s="60"/>
      <c r="H252" s="61" t="n">
        <f aca="false">IF(I252="是",0,IF(OR(E252="",F252=""),0,E252*F252*(1+IF(G252="",0,G252))))</f>
        <v>0.0895</v>
      </c>
      <c r="I252" s="55" t="s">
        <v>253</v>
      </c>
      <c r="J252" s="57" t="s">
        <v>583</v>
      </c>
    </row>
    <row r="253" customFormat="false" ht="13.5" hidden="false" customHeight="true" outlineLevel="0" collapsed="false">
      <c r="A253" s="27" t="n">
        <f aca="false">IF(C253&lt;&gt;"",ROW()-2,"")</f>
        <v>251</v>
      </c>
      <c r="B253" s="48" t="s">
        <v>250</v>
      </c>
      <c r="C253" s="49" t="s">
        <v>794</v>
      </c>
      <c r="D253" s="28" t="s">
        <v>795</v>
      </c>
      <c r="E253" s="50" t="n">
        <v>1</v>
      </c>
      <c r="F253" s="51" t="n">
        <v>0.16</v>
      </c>
      <c r="G253" s="52"/>
      <c r="H253" s="53" t="n">
        <f aca="false">IF(I253="是",0,IF(OR(E253="",F253=""),0,E253*F253*(1+IF(G253="",0,G253))))</f>
        <v>0.16</v>
      </c>
      <c r="I253" s="48" t="s">
        <v>253</v>
      </c>
      <c r="J253" s="28" t="s">
        <v>583</v>
      </c>
    </row>
    <row r="254" customFormat="false" ht="13.5" hidden="false" customHeight="true" outlineLevel="0" collapsed="false">
      <c r="A254" s="54" t="n">
        <f aca="false">IF(C254&lt;&gt;"",ROW()-2,"")</f>
        <v>252</v>
      </c>
      <c r="B254" s="55" t="s">
        <v>250</v>
      </c>
      <c r="C254" s="56" t="s">
        <v>796</v>
      </c>
      <c r="D254" s="57" t="s">
        <v>797</v>
      </c>
      <c r="E254" s="58" t="n">
        <v>1</v>
      </c>
      <c r="F254" s="59" t="n">
        <v>0.0449</v>
      </c>
      <c r="G254" s="60"/>
      <c r="H254" s="61" t="n">
        <f aca="false">IF(I254="是",0,IF(OR(E254="",F254=""),0,E254*F254*(1+IF(G254="",0,G254))))</f>
        <v>0.0449</v>
      </c>
      <c r="I254" s="55" t="s">
        <v>253</v>
      </c>
      <c r="J254" s="57" t="s">
        <v>515</v>
      </c>
    </row>
    <row r="255" customFormat="false" ht="13.5" hidden="false" customHeight="true" outlineLevel="0" collapsed="false">
      <c r="A255" s="27" t="n">
        <f aca="false">IF(C255&lt;&gt;"",ROW()-2,"")</f>
        <v>253</v>
      </c>
      <c r="B255" s="48" t="s">
        <v>250</v>
      </c>
      <c r="C255" s="49" t="s">
        <v>798</v>
      </c>
      <c r="D255" s="28" t="s">
        <v>799</v>
      </c>
      <c r="E255" s="50" t="n">
        <v>1</v>
      </c>
      <c r="F255" s="51" t="n">
        <v>0.0785</v>
      </c>
      <c r="G255" s="52"/>
      <c r="H255" s="53" t="n">
        <f aca="false">IF(I255="是",0,IF(OR(E255="",F255=""),0,E255*F255*(1+IF(G255="",0,G255))))</f>
        <v>0.0785</v>
      </c>
      <c r="I255" s="48" t="s">
        <v>253</v>
      </c>
      <c r="J255" s="28" t="s">
        <v>515</v>
      </c>
    </row>
    <row r="256" customFormat="false" ht="13.5" hidden="false" customHeight="true" outlineLevel="0" collapsed="false">
      <c r="A256" s="54" t="n">
        <f aca="false">IF(C256&lt;&gt;"",ROW()-2,"")</f>
        <v>254</v>
      </c>
      <c r="B256" s="55" t="s">
        <v>250</v>
      </c>
      <c r="C256" s="56" t="s">
        <v>800</v>
      </c>
      <c r="D256" s="57" t="s">
        <v>801</v>
      </c>
      <c r="E256" s="58" t="n">
        <v>1</v>
      </c>
      <c r="F256" s="59" t="n">
        <v>0.1176</v>
      </c>
      <c r="G256" s="60"/>
      <c r="H256" s="61" t="n">
        <f aca="false">IF(I256="是",0,IF(OR(E256="",F256=""),0,E256*F256*(1+IF(G256="",0,G256))))</f>
        <v>0.1176</v>
      </c>
      <c r="I256" s="55" t="s">
        <v>253</v>
      </c>
      <c r="J256" s="57" t="s">
        <v>515</v>
      </c>
    </row>
    <row r="257" customFormat="false" ht="13.5" hidden="false" customHeight="true" outlineLevel="0" collapsed="false">
      <c r="A257" s="27" t="n">
        <f aca="false">IF(C257&lt;&gt;"",ROW()-2,"")</f>
        <v>255</v>
      </c>
      <c r="B257" s="48" t="s">
        <v>250</v>
      </c>
      <c r="C257" s="49" t="s">
        <v>802</v>
      </c>
      <c r="D257" s="28" t="s">
        <v>803</v>
      </c>
      <c r="E257" s="50" t="n">
        <v>1</v>
      </c>
      <c r="F257" s="51" t="n">
        <v>0.168</v>
      </c>
      <c r="G257" s="52"/>
      <c r="H257" s="53" t="n">
        <f aca="false">IF(I257="是",0,IF(OR(E257="",F257=""),0,E257*F257*(1+IF(G257="",0,G257))))</f>
        <v>0.168</v>
      </c>
      <c r="I257" s="48" t="s">
        <v>253</v>
      </c>
      <c r="J257" s="28" t="s">
        <v>583</v>
      </c>
    </row>
    <row r="258" customFormat="false" ht="13.5" hidden="false" customHeight="true" outlineLevel="0" collapsed="false">
      <c r="A258" s="54" t="n">
        <f aca="false">IF(C258&lt;&gt;"",ROW()-2,"")</f>
        <v>256</v>
      </c>
      <c r="B258" s="55" t="s">
        <v>250</v>
      </c>
      <c r="C258" s="56" t="s">
        <v>804</v>
      </c>
      <c r="D258" s="57" t="s">
        <v>805</v>
      </c>
      <c r="E258" s="58" t="n">
        <v>1</v>
      </c>
      <c r="F258" s="59" t="n">
        <v>0.1961</v>
      </c>
      <c r="G258" s="60"/>
      <c r="H258" s="61" t="n">
        <f aca="false">IF(I258="是",0,IF(OR(E258="",F258=""),0,E258*F258*(1+IF(G258="",0,G258))))</f>
        <v>0.1961</v>
      </c>
      <c r="I258" s="55" t="s">
        <v>253</v>
      </c>
      <c r="J258" s="57" t="s">
        <v>515</v>
      </c>
    </row>
    <row r="259" customFormat="false" ht="13.5" hidden="false" customHeight="true" outlineLevel="0" collapsed="false">
      <c r="A259" s="27" t="n">
        <f aca="false">IF(C259&lt;&gt;"",ROW()-2,"")</f>
        <v>257</v>
      </c>
      <c r="B259" s="48" t="s">
        <v>250</v>
      </c>
      <c r="C259" s="49" t="s">
        <v>806</v>
      </c>
      <c r="D259" s="28" t="s">
        <v>807</v>
      </c>
      <c r="E259" s="50" t="n">
        <v>1</v>
      </c>
      <c r="F259" s="51" t="n">
        <v>0.082</v>
      </c>
      <c r="G259" s="52"/>
      <c r="H259" s="53" t="n">
        <f aca="false">IF(I259="是",0,IF(OR(E259="",F259=""),0,E259*F259*(1+IF(G259="",0,G259))))</f>
        <v>0.082</v>
      </c>
      <c r="I259" s="48" t="s">
        <v>253</v>
      </c>
      <c r="J259" s="28" t="s">
        <v>578</v>
      </c>
    </row>
    <row r="260" customFormat="false" ht="13.5" hidden="false" customHeight="true" outlineLevel="0" collapsed="false">
      <c r="A260" s="54" t="n">
        <f aca="false">IF(C260&lt;&gt;"",ROW()-2,"")</f>
        <v>258</v>
      </c>
      <c r="B260" s="55" t="s">
        <v>250</v>
      </c>
      <c r="C260" s="56" t="s">
        <v>808</v>
      </c>
      <c r="D260" s="57" t="s">
        <v>809</v>
      </c>
      <c r="E260" s="58" t="n">
        <v>2</v>
      </c>
      <c r="F260" s="59" t="n">
        <v>0.092</v>
      </c>
      <c r="G260" s="60"/>
      <c r="H260" s="61" t="n">
        <f aca="false">IF(I260="是",0,IF(OR(E260="",F260=""),0,E260*F260*(1+IF(G260="",0,G260))))</f>
        <v>0.184</v>
      </c>
      <c r="I260" s="55" t="s">
        <v>253</v>
      </c>
      <c r="J260" s="57" t="s">
        <v>583</v>
      </c>
    </row>
    <row r="261" customFormat="false" ht="13.5" hidden="false" customHeight="true" outlineLevel="0" collapsed="false">
      <c r="A261" s="27" t="n">
        <f aca="false">IF(C261&lt;&gt;"",ROW()-2,"")</f>
        <v>259</v>
      </c>
      <c r="B261" s="48" t="s">
        <v>250</v>
      </c>
      <c r="C261" s="49" t="s">
        <v>810</v>
      </c>
      <c r="D261" s="28" t="s">
        <v>811</v>
      </c>
      <c r="E261" s="50" t="n">
        <v>1</v>
      </c>
      <c r="F261" s="51" t="n">
        <v>0.0895</v>
      </c>
      <c r="G261" s="52"/>
      <c r="H261" s="53" t="n">
        <f aca="false">IF(I261="是",0,IF(OR(E261="",F261=""),0,E261*F261*(1+IF(G261="",0,G261))))</f>
        <v>0.0895</v>
      </c>
      <c r="I261" s="48" t="s">
        <v>253</v>
      </c>
      <c r="J261" s="28" t="s">
        <v>583</v>
      </c>
    </row>
    <row r="262" customFormat="false" ht="13.5" hidden="false" customHeight="true" outlineLevel="0" collapsed="false">
      <c r="A262" s="54" t="n">
        <f aca="false">IF(C262&lt;&gt;"",ROW()-2,"")</f>
        <v>260</v>
      </c>
      <c r="B262" s="55" t="s">
        <v>250</v>
      </c>
      <c r="C262" s="56" t="s">
        <v>812</v>
      </c>
      <c r="D262" s="57" t="s">
        <v>813</v>
      </c>
      <c r="E262" s="58" t="n">
        <v>1</v>
      </c>
      <c r="F262" s="59" t="n">
        <v>0.0796</v>
      </c>
      <c r="G262" s="60"/>
      <c r="H262" s="61" t="n">
        <f aca="false">IF(I262="是",0,IF(OR(E262="",F262=""),0,E262*F262*(1+IF(G262="",0,G262))))</f>
        <v>0.0796</v>
      </c>
      <c r="I262" s="55" t="s">
        <v>253</v>
      </c>
      <c r="J262" s="57" t="s">
        <v>583</v>
      </c>
    </row>
    <row r="263" customFormat="false" ht="13.5" hidden="false" customHeight="true" outlineLevel="0" collapsed="false">
      <c r="A263" s="27" t="n">
        <f aca="false">IF(C263&lt;&gt;"",ROW()-2,"")</f>
        <v>261</v>
      </c>
      <c r="B263" s="48" t="s">
        <v>250</v>
      </c>
      <c r="C263" s="49" t="s">
        <v>814</v>
      </c>
      <c r="D263" s="28" t="s">
        <v>815</v>
      </c>
      <c r="E263" s="50" t="n">
        <v>1</v>
      </c>
      <c r="F263" s="51" t="n">
        <v>0.092</v>
      </c>
      <c r="G263" s="52"/>
      <c r="H263" s="53" t="n">
        <f aca="false">IF(I263="是",0,IF(OR(E263="",F263=""),0,E263*F263*(1+IF(G263="",0,G263))))</f>
        <v>0.092</v>
      </c>
      <c r="I263" s="48" t="s">
        <v>253</v>
      </c>
      <c r="J263" s="28" t="s">
        <v>583</v>
      </c>
    </row>
    <row r="264" customFormat="false" ht="13.5" hidden="false" customHeight="true" outlineLevel="0" collapsed="false">
      <c r="A264" s="54" t="n">
        <f aca="false">IF(C264&lt;&gt;"",ROW()-2,"")</f>
        <v>262</v>
      </c>
      <c r="B264" s="55" t="s">
        <v>250</v>
      </c>
      <c r="C264" s="56" t="s">
        <v>816</v>
      </c>
      <c r="D264" s="57" t="s">
        <v>817</v>
      </c>
      <c r="E264" s="58" t="n">
        <v>1</v>
      </c>
      <c r="F264" s="59" t="n">
        <v>0.058</v>
      </c>
      <c r="G264" s="60"/>
      <c r="H264" s="61" t="n">
        <f aca="false">IF(I264="是",0,IF(OR(E264="",F264=""),0,E264*F264*(1+IF(G264="",0,G264))))</f>
        <v>0.058</v>
      </c>
      <c r="I264" s="55" t="s">
        <v>253</v>
      </c>
      <c r="J264" s="57" t="s">
        <v>578</v>
      </c>
    </row>
    <row r="265" customFormat="false" ht="13.5" hidden="false" customHeight="true" outlineLevel="0" collapsed="false">
      <c r="A265" s="27" t="n">
        <f aca="false">IF(C265&lt;&gt;"",ROW()-2,"")</f>
        <v>263</v>
      </c>
      <c r="B265" s="48" t="s">
        <v>250</v>
      </c>
      <c r="C265" s="49" t="s">
        <v>818</v>
      </c>
      <c r="D265" s="28" t="s">
        <v>819</v>
      </c>
      <c r="E265" s="50" t="n">
        <v>1</v>
      </c>
      <c r="F265" s="51" t="n">
        <v>0.0467</v>
      </c>
      <c r="G265" s="52"/>
      <c r="H265" s="53" t="n">
        <f aca="false">IF(I265="是",0,IF(OR(E265="",F265=""),0,E265*F265*(1+IF(G265="",0,G265))))</f>
        <v>0.0467</v>
      </c>
      <c r="I265" s="48" t="s">
        <v>253</v>
      </c>
      <c r="J265" s="28" t="s">
        <v>515</v>
      </c>
    </row>
    <row r="266" customFormat="false" ht="13.5" hidden="false" customHeight="true" outlineLevel="0" collapsed="false">
      <c r="A266" s="54" t="n">
        <f aca="false">IF(C266&lt;&gt;"",ROW()-2,"")</f>
        <v>264</v>
      </c>
      <c r="B266" s="55" t="s">
        <v>250</v>
      </c>
      <c r="C266" s="56" t="s">
        <v>820</v>
      </c>
      <c r="D266" s="57" t="s">
        <v>821</v>
      </c>
      <c r="E266" s="58" t="n">
        <v>1</v>
      </c>
      <c r="F266" s="59" t="n">
        <v>0.062</v>
      </c>
      <c r="G266" s="60"/>
      <c r="H266" s="61" t="n">
        <f aca="false">IF(I266="是",0,IF(OR(E266="",F266=""),0,E266*F266*(1+IF(G266="",0,G266))))</f>
        <v>0.062</v>
      </c>
      <c r="I266" s="55" t="s">
        <v>253</v>
      </c>
      <c r="J266" s="57" t="s">
        <v>583</v>
      </c>
    </row>
    <row r="267" customFormat="false" ht="13.5" hidden="false" customHeight="true" outlineLevel="0" collapsed="false">
      <c r="A267" s="27" t="n">
        <f aca="false">IF(C267&lt;&gt;"",ROW()-2,"")</f>
        <v>265</v>
      </c>
      <c r="B267" s="48" t="s">
        <v>250</v>
      </c>
      <c r="C267" s="49" t="s">
        <v>822</v>
      </c>
      <c r="D267" s="28" t="s">
        <v>823</v>
      </c>
      <c r="E267" s="50" t="n">
        <v>2</v>
      </c>
      <c r="F267" s="51" t="n">
        <v>0.0895</v>
      </c>
      <c r="G267" s="52"/>
      <c r="H267" s="53" t="n">
        <f aca="false">IF(I267="是",0,IF(OR(E267="",F267=""),0,E267*F267*(1+IF(G267="",0,G267))))</f>
        <v>0.179</v>
      </c>
      <c r="I267" s="48" t="s">
        <v>253</v>
      </c>
      <c r="J267" s="28" t="s">
        <v>583</v>
      </c>
    </row>
    <row r="268" customFormat="false" ht="13.5" hidden="false" customHeight="true" outlineLevel="0" collapsed="false">
      <c r="A268" s="54" t="n">
        <f aca="false">IF(C268&lt;&gt;"",ROW()-2,"")</f>
        <v>266</v>
      </c>
      <c r="B268" s="55" t="s">
        <v>250</v>
      </c>
      <c r="C268" s="56" t="s">
        <v>824</v>
      </c>
      <c r="D268" s="57" t="s">
        <v>825</v>
      </c>
      <c r="E268" s="58" t="n">
        <v>1</v>
      </c>
      <c r="F268" s="59" t="n">
        <v>6.2975</v>
      </c>
      <c r="G268" s="60"/>
      <c r="H268" s="61" t="n">
        <f aca="false">IF(I268="是",0,IF(OR(E268="",F268=""),0,E268*F268*(1+IF(G268="",0,G268))))</f>
        <v>6.2975</v>
      </c>
      <c r="I268" s="55" t="s">
        <v>253</v>
      </c>
      <c r="J268" s="57" t="s">
        <v>826</v>
      </c>
    </row>
    <row r="269" customFormat="false" ht="13.5" hidden="false" customHeight="true" outlineLevel="0" collapsed="false">
      <c r="A269" s="27" t="n">
        <f aca="false">IF(C269&lt;&gt;"",ROW()-2,"")</f>
        <v>267</v>
      </c>
      <c r="B269" s="48" t="s">
        <v>250</v>
      </c>
      <c r="C269" s="49" t="s">
        <v>827</v>
      </c>
      <c r="D269" s="28" t="s">
        <v>828</v>
      </c>
      <c r="E269" s="50" t="n">
        <v>1</v>
      </c>
      <c r="F269" s="51" t="n">
        <v>1.9</v>
      </c>
      <c r="G269" s="52"/>
      <c r="H269" s="53" t="n">
        <f aca="false">IF(I269="是",0,IF(OR(E269="",F269=""),0,E269*F269*(1+IF(G269="",0,G269))))</f>
        <v>1.9</v>
      </c>
      <c r="I269" s="48" t="s">
        <v>253</v>
      </c>
      <c r="J269" s="28" t="s">
        <v>557</v>
      </c>
    </row>
    <row r="270" customFormat="false" ht="13.5" hidden="false" customHeight="true" outlineLevel="0" collapsed="false">
      <c r="A270" s="54" t="n">
        <f aca="false">IF(C270&lt;&gt;"",ROW()-2,"")</f>
        <v>268</v>
      </c>
      <c r="B270" s="55" t="s">
        <v>250</v>
      </c>
      <c r="C270" s="56" t="s">
        <v>829</v>
      </c>
      <c r="D270" s="57" t="s">
        <v>830</v>
      </c>
      <c r="E270" s="58" t="n">
        <v>2</v>
      </c>
      <c r="F270" s="59" t="n">
        <v>0.11</v>
      </c>
      <c r="G270" s="60"/>
      <c r="H270" s="61" t="n">
        <f aca="false">IF(I270="是",0,IF(OR(E270="",F270=""),0,E270*F270*(1+IF(G270="",0,G270))))</f>
        <v>0.22</v>
      </c>
      <c r="I270" s="55" t="s">
        <v>253</v>
      </c>
      <c r="J270" s="57" t="s">
        <v>536</v>
      </c>
    </row>
    <row r="271" customFormat="false" ht="13.5" hidden="false" customHeight="true" outlineLevel="0" collapsed="false">
      <c r="A271" s="27" t="n">
        <f aca="false">IF(C271&lt;&gt;"",ROW()-2,"")</f>
        <v>269</v>
      </c>
      <c r="B271" s="48" t="s">
        <v>250</v>
      </c>
      <c r="C271" s="49" t="s">
        <v>831</v>
      </c>
      <c r="D271" s="28" t="s">
        <v>832</v>
      </c>
      <c r="E271" s="50" t="n">
        <v>1</v>
      </c>
      <c r="F271" s="51" t="n">
        <v>0.0822</v>
      </c>
      <c r="G271" s="52"/>
      <c r="H271" s="53" t="n">
        <f aca="false">IF(I271="是",0,IF(OR(E271="",F271=""),0,E271*F271*(1+IF(G271="",0,G271))))</f>
        <v>0.0822</v>
      </c>
      <c r="I271" s="48" t="s">
        <v>253</v>
      </c>
      <c r="J271" s="28" t="s">
        <v>533</v>
      </c>
    </row>
    <row r="272" customFormat="false" ht="13.5" hidden="false" customHeight="true" outlineLevel="0" collapsed="false">
      <c r="A272" s="54" t="n">
        <f aca="false">IF(C272&lt;&gt;"",ROW()-2,"")</f>
        <v>270</v>
      </c>
      <c r="B272" s="55" t="s">
        <v>250</v>
      </c>
      <c r="C272" s="56" t="s">
        <v>833</v>
      </c>
      <c r="D272" s="57" t="s">
        <v>834</v>
      </c>
      <c r="E272" s="58" t="n">
        <v>1</v>
      </c>
      <c r="F272" s="59" t="n">
        <v>0.0348</v>
      </c>
      <c r="G272" s="60"/>
      <c r="H272" s="61" t="n">
        <f aca="false">IF(I272="是",0,IF(OR(E272="",F272=""),0,E272*F272*(1+IF(G272="",0,G272))))</f>
        <v>0.0348</v>
      </c>
      <c r="I272" s="55" t="s">
        <v>253</v>
      </c>
      <c r="J272" s="57" t="s">
        <v>542</v>
      </c>
    </row>
    <row r="273" customFormat="false" ht="13.5" hidden="false" customHeight="true" outlineLevel="0" collapsed="false">
      <c r="A273" s="27" t="n">
        <f aca="false">IF(C273&lt;&gt;"",ROW()-2,"")</f>
        <v>271</v>
      </c>
      <c r="B273" s="48" t="s">
        <v>250</v>
      </c>
      <c r="C273" s="49" t="s">
        <v>835</v>
      </c>
      <c r="D273" s="63" t="s">
        <v>836</v>
      </c>
      <c r="E273" s="50" t="n">
        <v>1</v>
      </c>
      <c r="F273" s="51" t="n">
        <v>12.5782</v>
      </c>
      <c r="G273" s="52"/>
      <c r="H273" s="53" t="n">
        <f aca="false">IF(I273="是",0,IF(OR(E273="",F273=""),0,E273*F273*(1+IF(G273="",0,G273))))</f>
        <v>12.5782</v>
      </c>
      <c r="I273" s="48" t="s">
        <v>253</v>
      </c>
      <c r="J273" s="28" t="s">
        <v>545</v>
      </c>
    </row>
    <row r="274" customFormat="false" ht="13.5" hidden="false" customHeight="true" outlineLevel="0" collapsed="false">
      <c r="A274" s="54" t="n">
        <f aca="false">IF(C274&lt;&gt;"",ROW()-2,"")</f>
        <v>272</v>
      </c>
      <c r="B274" s="55" t="s">
        <v>250</v>
      </c>
      <c r="C274" s="56" t="s">
        <v>837</v>
      </c>
      <c r="D274" s="57" t="s">
        <v>838</v>
      </c>
      <c r="E274" s="58" t="n">
        <v>1</v>
      </c>
      <c r="F274" s="59" t="n">
        <v>2.035</v>
      </c>
      <c r="G274" s="60"/>
      <c r="H274" s="61" t="n">
        <f aca="false">IF(I274="是",0,IF(OR(E274="",F274=""),0,E274*F274*(1+IF(G274="",0,G274))))</f>
        <v>2.035</v>
      </c>
      <c r="I274" s="55" t="s">
        <v>253</v>
      </c>
      <c r="J274" s="57" t="s">
        <v>839</v>
      </c>
    </row>
    <row r="275" customFormat="false" ht="13.5" hidden="false" customHeight="true" outlineLevel="0" collapsed="false">
      <c r="A275" s="27" t="n">
        <f aca="false">IF(C275&lt;&gt;"",ROW()-2,"")</f>
        <v>273</v>
      </c>
      <c r="B275" s="48" t="s">
        <v>90</v>
      </c>
      <c r="C275" s="49" t="s">
        <v>840</v>
      </c>
      <c r="D275" s="28" t="s">
        <v>841</v>
      </c>
      <c r="E275" s="50" t="n">
        <v>6</v>
      </c>
      <c r="F275" s="51" t="n">
        <v>0.099</v>
      </c>
      <c r="G275" s="52"/>
      <c r="H275" s="53" t="n">
        <f aca="false">IF(I275="是",0,IF(OR(E275="",F275=""),0,E275*F275*(1+IF(G275="",0,G275))))</f>
        <v>0.594</v>
      </c>
      <c r="I275" s="48" t="s">
        <v>253</v>
      </c>
      <c r="J275" s="28" t="s">
        <v>566</v>
      </c>
    </row>
    <row r="276" customFormat="false" ht="13.5" hidden="false" customHeight="true" outlineLevel="0" collapsed="false">
      <c r="A276" s="54" t="n">
        <f aca="false">IF(C276&lt;&gt;"",ROW()-2,"")</f>
        <v>274</v>
      </c>
      <c r="B276" s="55" t="s">
        <v>90</v>
      </c>
      <c r="C276" s="56" t="s">
        <v>842</v>
      </c>
      <c r="D276" s="57" t="s">
        <v>843</v>
      </c>
      <c r="E276" s="58" t="n">
        <v>1</v>
      </c>
      <c r="F276" s="59" t="n">
        <v>28</v>
      </c>
      <c r="G276" s="60"/>
      <c r="H276" s="61" t="n">
        <f aca="false">IF(I276="是",0,IF(OR(E276="",F276=""),0,E276*F276*(1+IF(G276="",0,G276))))</f>
        <v>28</v>
      </c>
      <c r="I276" s="55" t="s">
        <v>253</v>
      </c>
      <c r="J276" s="57" t="s">
        <v>844</v>
      </c>
    </row>
    <row r="277" customFormat="false" ht="13.5" hidden="false" customHeight="true" outlineLevel="0" collapsed="false">
      <c r="A277" s="27" t="n">
        <f aca="false">IF(C277&lt;&gt;"",ROW()-2,"")</f>
        <v>275</v>
      </c>
      <c r="B277" s="48" t="s">
        <v>90</v>
      </c>
      <c r="C277" s="49" t="s">
        <v>845</v>
      </c>
      <c r="D277" s="28" t="s">
        <v>846</v>
      </c>
      <c r="E277" s="50" t="n">
        <v>1</v>
      </c>
      <c r="F277" s="51" t="n">
        <v>2.17</v>
      </c>
      <c r="G277" s="52"/>
      <c r="H277" s="53" t="n">
        <f aca="false">IF(I277="是",0,IF(OR(E277="",F277=""),0,E277*F277*(1+IF(G277="",0,G277))))</f>
        <v>2.17</v>
      </c>
      <c r="I277" s="48" t="s">
        <v>253</v>
      </c>
      <c r="J277" s="28" t="s">
        <v>847</v>
      </c>
    </row>
    <row r="278" customFormat="false" ht="13.5" hidden="false" customHeight="true" outlineLevel="0" collapsed="false">
      <c r="A278" s="54" t="n">
        <f aca="false">IF(C278&lt;&gt;"",ROW()-2,"")</f>
        <v>276</v>
      </c>
      <c r="B278" s="55" t="s">
        <v>90</v>
      </c>
      <c r="C278" s="56" t="s">
        <v>848</v>
      </c>
      <c r="D278" s="57" t="s">
        <v>849</v>
      </c>
      <c r="E278" s="58" t="n">
        <v>1</v>
      </c>
      <c r="F278" s="59" t="n">
        <v>1.37</v>
      </c>
      <c r="G278" s="60"/>
      <c r="H278" s="61" t="n">
        <f aca="false">IF(I278="是",0,IF(OR(E278="",F278=""),0,E278*F278*(1+IF(G278="",0,G278))))</f>
        <v>1.37</v>
      </c>
      <c r="I278" s="55" t="s">
        <v>253</v>
      </c>
      <c r="J278" s="57" t="s">
        <v>847</v>
      </c>
    </row>
    <row r="279" customFormat="false" ht="13.5" hidden="false" customHeight="true" outlineLevel="0" collapsed="false">
      <c r="A279" s="27" t="n">
        <f aca="false">IF(C279&lt;&gt;"",ROW()-2,"")</f>
        <v>277</v>
      </c>
      <c r="B279" s="48" t="s">
        <v>90</v>
      </c>
      <c r="C279" s="49" t="s">
        <v>850</v>
      </c>
      <c r="D279" s="28" t="s">
        <v>851</v>
      </c>
      <c r="E279" s="50" t="n">
        <v>1</v>
      </c>
      <c r="F279" s="51" t="n">
        <v>38.3</v>
      </c>
      <c r="G279" s="52"/>
      <c r="H279" s="53" t="n">
        <f aca="false">IF(I279="是",0,IF(OR(E279="",F279=""),0,E279*F279*(1+IF(G279="",0,G279))))</f>
        <v>38.3</v>
      </c>
      <c r="I279" s="48" t="s">
        <v>253</v>
      </c>
      <c r="J279" s="28" t="s">
        <v>847</v>
      </c>
    </row>
    <row r="280" customFormat="false" ht="13.5" hidden="false" customHeight="true" outlineLevel="0" collapsed="false">
      <c r="A280" s="54" t="n">
        <f aca="false">IF(C280&lt;&gt;"",ROW()-2,"")</f>
        <v>278</v>
      </c>
      <c r="B280" s="55" t="s">
        <v>90</v>
      </c>
      <c r="C280" s="56" t="s">
        <v>852</v>
      </c>
      <c r="D280" s="57" t="s">
        <v>853</v>
      </c>
      <c r="E280" s="58" t="n">
        <v>1</v>
      </c>
      <c r="F280" s="59" t="n">
        <v>4.58</v>
      </c>
      <c r="G280" s="60"/>
      <c r="H280" s="61" t="n">
        <f aca="false">IF(I280="是",0,IF(OR(E280="",F280=""),0,E280*F280*(1+IF(G280="",0,G280))))</f>
        <v>4.58</v>
      </c>
      <c r="I280" s="55" t="s">
        <v>253</v>
      </c>
      <c r="J280" s="57" t="s">
        <v>847</v>
      </c>
    </row>
    <row r="281" customFormat="false" ht="13.5" hidden="false" customHeight="true" outlineLevel="0" collapsed="false">
      <c r="A281" s="27" t="n">
        <f aca="false">IF(C281&lt;&gt;"",ROW()-2,"")</f>
        <v>279</v>
      </c>
      <c r="B281" s="48" t="s">
        <v>90</v>
      </c>
      <c r="C281" s="49" t="s">
        <v>854</v>
      </c>
      <c r="D281" s="28" t="s">
        <v>855</v>
      </c>
      <c r="E281" s="50" t="n">
        <v>1</v>
      </c>
      <c r="F281" s="51" t="n">
        <v>128.72</v>
      </c>
      <c r="G281" s="52"/>
      <c r="H281" s="53" t="n">
        <f aca="false">IF(I281="是",0,IF(OR(E281="",F281=""),0,E281*F281*(1+IF(G281="",0,G281))))</f>
        <v>128.72</v>
      </c>
      <c r="I281" s="48" t="s">
        <v>253</v>
      </c>
      <c r="J281" s="28" t="s">
        <v>847</v>
      </c>
    </row>
    <row r="282" customFormat="false" ht="13.5" hidden="false" customHeight="true" outlineLevel="0" collapsed="false">
      <c r="A282" s="54" t="n">
        <f aca="false">IF(C282&lt;&gt;"",ROW()-2,"")</f>
        <v>280</v>
      </c>
      <c r="B282" s="55" t="s">
        <v>90</v>
      </c>
      <c r="C282" s="56" t="s">
        <v>856</v>
      </c>
      <c r="D282" s="57" t="s">
        <v>857</v>
      </c>
      <c r="E282" s="58" t="n">
        <v>1</v>
      </c>
      <c r="F282" s="59" t="n">
        <v>3.51</v>
      </c>
      <c r="G282" s="60"/>
      <c r="H282" s="61" t="n">
        <f aca="false">IF(I282="是",0,IF(OR(E282="",F282=""),0,E282*F282*(1+IF(G282="",0,G282))))</f>
        <v>3.51</v>
      </c>
      <c r="I282" s="55" t="s">
        <v>253</v>
      </c>
      <c r="J282" s="57" t="s">
        <v>847</v>
      </c>
    </row>
    <row r="283" customFormat="false" ht="13.5" hidden="false" customHeight="true" outlineLevel="0" collapsed="false">
      <c r="A283" s="27" t="n">
        <f aca="false">IF(C283&lt;&gt;"",ROW()-2,"")</f>
        <v>281</v>
      </c>
      <c r="B283" s="48" t="s">
        <v>90</v>
      </c>
      <c r="C283" s="49" t="s">
        <v>858</v>
      </c>
      <c r="D283" s="28" t="s">
        <v>859</v>
      </c>
      <c r="E283" s="50" t="n">
        <v>1</v>
      </c>
      <c r="F283" s="51" t="n">
        <v>2.1</v>
      </c>
      <c r="G283" s="52"/>
      <c r="H283" s="53" t="n">
        <f aca="false">IF(I283="是",0,IF(OR(E283="",F283=""),0,E283*F283*(1+IF(G283="",0,G283))))</f>
        <v>2.1</v>
      </c>
      <c r="I283" s="48" t="s">
        <v>253</v>
      </c>
      <c r="J283" s="28" t="s">
        <v>847</v>
      </c>
    </row>
    <row r="284" customFormat="false" ht="13.5" hidden="false" customHeight="true" outlineLevel="0" collapsed="false">
      <c r="A284" s="54" t="n">
        <f aca="false">IF(C284&lt;&gt;"",ROW()-2,"")</f>
        <v>282</v>
      </c>
      <c r="B284" s="55" t="s">
        <v>90</v>
      </c>
      <c r="C284" s="56" t="s">
        <v>860</v>
      </c>
      <c r="D284" s="57" t="s">
        <v>861</v>
      </c>
      <c r="E284" s="58" t="n">
        <v>1</v>
      </c>
      <c r="F284" s="59" t="n">
        <v>17.42</v>
      </c>
      <c r="G284" s="60"/>
      <c r="H284" s="61" t="n">
        <f aca="false">IF(I284="是",0,IF(OR(E284="",F284=""),0,E284*F284*(1+IF(G284="",0,G284))))</f>
        <v>17.42</v>
      </c>
      <c r="I284" s="55" t="s">
        <v>253</v>
      </c>
      <c r="J284" s="57" t="s">
        <v>847</v>
      </c>
    </row>
    <row r="285" customFormat="false" ht="13.5" hidden="false" customHeight="true" outlineLevel="0" collapsed="false">
      <c r="A285" s="27" t="n">
        <f aca="false">IF(C285&lt;&gt;"",ROW()-2,"")</f>
        <v>283</v>
      </c>
      <c r="B285" s="48" t="s">
        <v>90</v>
      </c>
      <c r="C285" s="49" t="s">
        <v>862</v>
      </c>
      <c r="D285" s="28" t="s">
        <v>863</v>
      </c>
      <c r="E285" s="50" t="n">
        <v>1</v>
      </c>
      <c r="F285" s="51" t="n">
        <v>17.11</v>
      </c>
      <c r="G285" s="52"/>
      <c r="H285" s="53" t="n">
        <f aca="false">IF(I285="是",0,IF(OR(E285="",F285=""),0,E285*F285*(1+IF(G285="",0,G285))))</f>
        <v>17.11</v>
      </c>
      <c r="I285" s="48" t="s">
        <v>253</v>
      </c>
      <c r="J285" s="28" t="s">
        <v>847</v>
      </c>
    </row>
    <row r="286" customFormat="false" ht="13.5" hidden="false" customHeight="true" outlineLevel="0" collapsed="false">
      <c r="A286" s="54" t="n">
        <f aca="false">IF(C286&lt;&gt;"",ROW()-2,"")</f>
        <v>284</v>
      </c>
      <c r="B286" s="55" t="s">
        <v>90</v>
      </c>
      <c r="C286" s="56" t="s">
        <v>864</v>
      </c>
      <c r="D286" s="57" t="s">
        <v>865</v>
      </c>
      <c r="E286" s="58" t="n">
        <v>1</v>
      </c>
      <c r="F286" s="59" t="n">
        <v>16.85</v>
      </c>
      <c r="G286" s="60"/>
      <c r="H286" s="61" t="n">
        <f aca="false">IF(I286="是",0,IF(OR(E286="",F286=""),0,E286*F286*(1+IF(G286="",0,G286))))</f>
        <v>16.85</v>
      </c>
      <c r="I286" s="55" t="s">
        <v>253</v>
      </c>
      <c r="J286" s="57" t="s">
        <v>847</v>
      </c>
    </row>
    <row r="287" customFormat="false" ht="13.5" hidden="false" customHeight="true" outlineLevel="0" collapsed="false">
      <c r="A287" s="27" t="n">
        <f aca="false">IF(C287&lt;&gt;"",ROW()-2,"")</f>
        <v>285</v>
      </c>
      <c r="B287" s="48" t="s">
        <v>90</v>
      </c>
      <c r="C287" s="49" t="s">
        <v>866</v>
      </c>
      <c r="D287" s="28" t="s">
        <v>867</v>
      </c>
      <c r="E287" s="50" t="n">
        <v>1</v>
      </c>
      <c r="F287" s="51" t="n">
        <v>5.88</v>
      </c>
      <c r="G287" s="52"/>
      <c r="H287" s="53" t="n">
        <f aca="false">IF(I287="是",0,IF(OR(E287="",F287=""),0,E287*F287*(1+IF(G287="",0,G287))))</f>
        <v>5.88</v>
      </c>
      <c r="I287" s="48" t="s">
        <v>253</v>
      </c>
      <c r="J287" s="28" t="s">
        <v>847</v>
      </c>
    </row>
    <row r="288" customFormat="false" ht="13.5" hidden="false" customHeight="true" outlineLevel="0" collapsed="false">
      <c r="A288" s="54" t="n">
        <f aca="false">IF(C288&lt;&gt;"",ROW()-2,"")</f>
        <v>286</v>
      </c>
      <c r="B288" s="55" t="s">
        <v>90</v>
      </c>
      <c r="C288" s="56" t="s">
        <v>868</v>
      </c>
      <c r="D288" s="57" t="s">
        <v>869</v>
      </c>
      <c r="E288" s="58" t="n">
        <v>1</v>
      </c>
      <c r="F288" s="59" t="n">
        <v>5.88</v>
      </c>
      <c r="G288" s="60"/>
      <c r="H288" s="61" t="n">
        <f aca="false">IF(I288="是",0,IF(OR(E288="",F288=""),0,E288*F288*(1+IF(G288="",0,G288))))</f>
        <v>5.88</v>
      </c>
      <c r="I288" s="55" t="s">
        <v>253</v>
      </c>
      <c r="J288" s="57" t="s">
        <v>847</v>
      </c>
    </row>
    <row r="289" customFormat="false" ht="13.5" hidden="false" customHeight="true" outlineLevel="0" collapsed="false">
      <c r="A289" s="27" t="n">
        <f aca="false">IF(C289&lt;&gt;"",ROW()-2,"")</f>
        <v>287</v>
      </c>
      <c r="B289" s="48" t="s">
        <v>90</v>
      </c>
      <c r="C289" s="49" t="s">
        <v>870</v>
      </c>
      <c r="D289" s="28" t="s">
        <v>871</v>
      </c>
      <c r="E289" s="50" t="n">
        <v>1</v>
      </c>
      <c r="F289" s="51" t="n">
        <v>6.05</v>
      </c>
      <c r="G289" s="52"/>
      <c r="H289" s="53" t="n">
        <f aca="false">IF(I289="是",0,IF(OR(E289="",F289=""),0,E289*F289*(1+IF(G289="",0,G289))))</f>
        <v>6.05</v>
      </c>
      <c r="I289" s="48" t="s">
        <v>253</v>
      </c>
      <c r="J289" s="28" t="s">
        <v>847</v>
      </c>
    </row>
    <row r="290" customFormat="false" ht="13.5" hidden="false" customHeight="true" outlineLevel="0" collapsed="false">
      <c r="A290" s="54" t="n">
        <f aca="false">IF(C290&lt;&gt;"",ROW()-2,"")</f>
        <v>288</v>
      </c>
      <c r="B290" s="55" t="s">
        <v>90</v>
      </c>
      <c r="C290" s="56" t="s">
        <v>872</v>
      </c>
      <c r="D290" s="57" t="s">
        <v>873</v>
      </c>
      <c r="E290" s="58" t="n">
        <v>1</v>
      </c>
      <c r="F290" s="59" t="n">
        <v>16.1</v>
      </c>
      <c r="G290" s="60"/>
      <c r="H290" s="61" t="n">
        <f aca="false">IF(I290="是",0,IF(OR(E290="",F290=""),0,E290*F290*(1+IF(G290="",0,G290))))</f>
        <v>16.1</v>
      </c>
      <c r="I290" s="55" t="s">
        <v>253</v>
      </c>
      <c r="J290" s="57" t="s">
        <v>826</v>
      </c>
    </row>
    <row r="291" customFormat="false" ht="13.5" hidden="false" customHeight="true" outlineLevel="0" collapsed="false">
      <c r="A291" s="27" t="n">
        <f aca="false">IF(C291&lt;&gt;"",ROW()-2,"")</f>
        <v>289</v>
      </c>
      <c r="B291" s="48" t="s">
        <v>90</v>
      </c>
      <c r="C291" s="49" t="s">
        <v>874</v>
      </c>
      <c r="D291" s="28" t="s">
        <v>875</v>
      </c>
      <c r="E291" s="50" t="n">
        <v>1</v>
      </c>
      <c r="F291" s="51" t="n">
        <v>0.053</v>
      </c>
      <c r="G291" s="52"/>
      <c r="H291" s="53" t="n">
        <f aca="false">IF(I291="是",0,IF(OR(E291="",F291=""),0,E291*F291*(1+IF(G291="",0,G291))))</f>
        <v>0.053</v>
      </c>
      <c r="I291" s="48" t="s">
        <v>253</v>
      </c>
      <c r="J291" s="28" t="s">
        <v>839</v>
      </c>
    </row>
    <row r="292" customFormat="false" ht="13.5" hidden="false" customHeight="true" outlineLevel="0" collapsed="false">
      <c r="A292" s="54" t="n">
        <f aca="false">IF(C292&lt;&gt;"",ROW()-2,"")</f>
        <v>290</v>
      </c>
      <c r="B292" s="55" t="s">
        <v>90</v>
      </c>
      <c r="C292" s="56" t="s">
        <v>876</v>
      </c>
      <c r="D292" s="57" t="s">
        <v>877</v>
      </c>
      <c r="E292" s="58" t="n">
        <v>1</v>
      </c>
      <c r="F292" s="59" t="n">
        <v>1.389</v>
      </c>
      <c r="G292" s="60"/>
      <c r="H292" s="61" t="n">
        <f aca="false">IF(I292="是",0,IF(OR(E292="",F292=""),0,E292*F292*(1+IF(G292="",0,G292))))</f>
        <v>1.389</v>
      </c>
      <c r="I292" s="55" t="s">
        <v>253</v>
      </c>
      <c r="J292" s="57" t="s">
        <v>839</v>
      </c>
    </row>
    <row r="293" customFormat="false" ht="13.5" hidden="false" customHeight="true" outlineLevel="0" collapsed="false">
      <c r="A293" s="27" t="n">
        <f aca="false">IF(C293&lt;&gt;"",ROW()-2,"")</f>
        <v>291</v>
      </c>
      <c r="B293" s="48" t="s">
        <v>90</v>
      </c>
      <c r="C293" s="49" t="s">
        <v>531</v>
      </c>
      <c r="D293" s="28" t="s">
        <v>532</v>
      </c>
      <c r="E293" s="50" t="n">
        <v>4</v>
      </c>
      <c r="F293" s="51" t="n">
        <v>0.118</v>
      </c>
      <c r="G293" s="52"/>
      <c r="H293" s="53" t="n">
        <f aca="false">IF(I293="是",0,IF(OR(E293="",F293=""),0,E293*F293*(1+IF(G293="",0,G293))))</f>
        <v>0.472</v>
      </c>
      <c r="I293" s="48" t="s">
        <v>253</v>
      </c>
      <c r="J293" s="28" t="s">
        <v>533</v>
      </c>
    </row>
    <row r="294" customFormat="false" ht="13.5" hidden="false" customHeight="true" outlineLevel="0" collapsed="false">
      <c r="A294" s="54" t="n">
        <f aca="false">IF(C294&lt;&gt;"",ROW()-2,"")</f>
        <v>292</v>
      </c>
      <c r="B294" s="55" t="s">
        <v>90</v>
      </c>
      <c r="C294" s="56" t="s">
        <v>878</v>
      </c>
      <c r="D294" s="57" t="s">
        <v>879</v>
      </c>
      <c r="E294" s="58" t="n">
        <v>14</v>
      </c>
      <c r="F294" s="59" t="n">
        <v>0.13</v>
      </c>
      <c r="G294" s="60"/>
      <c r="H294" s="61" t="n">
        <f aca="false">IF(I294="是",0,IF(OR(E294="",F294=""),0,E294*F294*(1+IF(G294="",0,G294))))</f>
        <v>1.82</v>
      </c>
      <c r="I294" s="55" t="s">
        <v>253</v>
      </c>
      <c r="J294" s="57" t="s">
        <v>536</v>
      </c>
    </row>
    <row r="295" customFormat="false" ht="13.5" hidden="false" customHeight="true" outlineLevel="0" collapsed="false">
      <c r="A295" s="27" t="n">
        <f aca="false">IF(C295&lt;&gt;"",ROW()-2,"")</f>
        <v>293</v>
      </c>
      <c r="B295" s="48" t="s">
        <v>90</v>
      </c>
      <c r="C295" s="49" t="s">
        <v>880</v>
      </c>
      <c r="D295" s="28" t="s">
        <v>881</v>
      </c>
      <c r="E295" s="50" t="n">
        <v>4</v>
      </c>
      <c r="F295" s="51" t="n">
        <v>0.085</v>
      </c>
      <c r="G295" s="52"/>
      <c r="H295" s="53" t="n">
        <f aca="false">IF(I295="是",0,IF(OR(E295="",F295=""),0,E295*F295*(1+IF(G295="",0,G295))))</f>
        <v>0.34</v>
      </c>
      <c r="I295" s="48" t="s">
        <v>253</v>
      </c>
      <c r="J295" s="28" t="s">
        <v>533</v>
      </c>
    </row>
    <row r="296" customFormat="false" ht="13.5" hidden="false" customHeight="true" outlineLevel="0" collapsed="false">
      <c r="A296" s="54" t="n">
        <f aca="false">IF(C296&lt;&gt;"",ROW()-2,"")</f>
        <v>294</v>
      </c>
      <c r="B296" s="55" t="s">
        <v>90</v>
      </c>
      <c r="C296" s="56" t="s">
        <v>882</v>
      </c>
      <c r="D296" s="57" t="s">
        <v>883</v>
      </c>
      <c r="E296" s="58" t="n">
        <v>3</v>
      </c>
      <c r="F296" s="59" t="n">
        <v>0.14</v>
      </c>
      <c r="G296" s="60"/>
      <c r="H296" s="61" t="n">
        <f aca="false">IF(I296="是",0,IF(OR(E296="",F296=""),0,E296*F296*(1+IF(G296="",0,G296))))</f>
        <v>0.42</v>
      </c>
      <c r="I296" s="55" t="s">
        <v>253</v>
      </c>
      <c r="J296" s="57" t="s">
        <v>533</v>
      </c>
    </row>
    <row r="297" customFormat="false" ht="13.5" hidden="false" customHeight="true" outlineLevel="0" collapsed="false">
      <c r="A297" s="27" t="n">
        <f aca="false">IF(C297&lt;&gt;"",ROW()-2,"")</f>
        <v>295</v>
      </c>
      <c r="B297" s="48" t="s">
        <v>90</v>
      </c>
      <c r="C297" s="49" t="s">
        <v>884</v>
      </c>
      <c r="D297" s="28" t="s">
        <v>885</v>
      </c>
      <c r="E297" s="50" t="n">
        <v>3</v>
      </c>
      <c r="F297" s="51" t="n">
        <v>1.2</v>
      </c>
      <c r="G297" s="52"/>
      <c r="H297" s="53" t="n">
        <f aca="false">IF(I297="是",0,IF(OR(E297="",F297=""),0,E297*F297*(1+IF(G297="",0,G297))))</f>
        <v>3.6</v>
      </c>
      <c r="I297" s="48" t="s">
        <v>253</v>
      </c>
      <c r="J297" s="28" t="s">
        <v>533</v>
      </c>
    </row>
    <row r="298" customFormat="false" ht="13.5" hidden="false" customHeight="true" outlineLevel="0" collapsed="false">
      <c r="A298" s="54" t="n">
        <f aca="false">IF(C298&lt;&gt;"",ROW()-2,"")</f>
        <v>296</v>
      </c>
      <c r="B298" s="55" t="s">
        <v>90</v>
      </c>
      <c r="C298" s="56" t="s">
        <v>886</v>
      </c>
      <c r="D298" s="57" t="s">
        <v>887</v>
      </c>
      <c r="E298" s="58" t="n">
        <v>1</v>
      </c>
      <c r="F298" s="59" t="n">
        <v>60</v>
      </c>
      <c r="G298" s="60"/>
      <c r="H298" s="61" t="n">
        <f aca="false">IF(I298="是",0,IF(OR(E298="",F298=""),0,E298*F298*(1+IF(G298="",0,G298))))</f>
        <v>60</v>
      </c>
      <c r="I298" s="55" t="s">
        <v>253</v>
      </c>
      <c r="J298" s="57" t="s">
        <v>888</v>
      </c>
    </row>
    <row r="299" customFormat="false" ht="13.5" hidden="false" customHeight="true" outlineLevel="0" collapsed="false">
      <c r="A299" s="27" t="n">
        <f aca="false">IF(C299&lt;&gt;"",ROW()-2,"")</f>
        <v>297</v>
      </c>
      <c r="B299" s="48" t="s">
        <v>90</v>
      </c>
      <c r="C299" s="49" t="s">
        <v>889</v>
      </c>
      <c r="D299" s="28" t="s">
        <v>890</v>
      </c>
      <c r="E299" s="50" t="n">
        <v>1</v>
      </c>
      <c r="F299" s="51" t="n">
        <v>33</v>
      </c>
      <c r="G299" s="52"/>
      <c r="H299" s="53" t="n">
        <f aca="false">IF(I299="是",0,IF(OR(E299="",F299=""),0,E299*F299*(1+IF(G299="",0,G299))))</f>
        <v>33</v>
      </c>
      <c r="I299" s="48" t="s">
        <v>253</v>
      </c>
      <c r="J299" s="28" t="s">
        <v>888</v>
      </c>
    </row>
    <row r="300" customFormat="false" ht="13.5" hidden="false" customHeight="true" outlineLevel="0" collapsed="false">
      <c r="A300" s="54" t="n">
        <f aca="false">IF(C300&lt;&gt;"",ROW()-2,"")</f>
        <v>298</v>
      </c>
      <c r="B300" s="55" t="s">
        <v>90</v>
      </c>
      <c r="C300" s="56" t="s">
        <v>891</v>
      </c>
      <c r="D300" s="57" t="s">
        <v>892</v>
      </c>
      <c r="E300" s="58" t="n">
        <v>1</v>
      </c>
      <c r="F300" s="59" t="n">
        <v>1.9</v>
      </c>
      <c r="G300" s="60"/>
      <c r="H300" s="61" t="n">
        <f aca="false">IF(I300="是",0,IF(OR(E300="",F300=""),0,E300*F300*(1+IF(G300="",0,G300))))</f>
        <v>1.9</v>
      </c>
      <c r="I300" s="55" t="s">
        <v>253</v>
      </c>
      <c r="J300" s="57" t="s">
        <v>888</v>
      </c>
    </row>
    <row r="301" customFormat="false" ht="13.5" hidden="false" customHeight="true" outlineLevel="0" collapsed="false">
      <c r="A301" s="27" t="n">
        <f aca="false">IF(C301&lt;&gt;"",ROW()-2,"")</f>
        <v>299</v>
      </c>
      <c r="B301" s="48" t="s">
        <v>90</v>
      </c>
      <c r="C301" s="49" t="s">
        <v>893</v>
      </c>
      <c r="D301" s="28" t="s">
        <v>894</v>
      </c>
      <c r="E301" s="50" t="n">
        <v>1</v>
      </c>
      <c r="F301" s="51" t="n">
        <v>7.9204</v>
      </c>
      <c r="G301" s="52"/>
      <c r="H301" s="53" t="n">
        <f aca="false">IF(I301="是",0,IF(OR(E301="",F301=""),0,E301*F301*(1+IF(G301="",0,G301))))</f>
        <v>7.9204</v>
      </c>
      <c r="I301" s="48" t="s">
        <v>253</v>
      </c>
      <c r="J301" s="28" t="s">
        <v>895</v>
      </c>
    </row>
    <row r="302" customFormat="false" ht="13.5" hidden="false" customHeight="true" outlineLevel="0" collapsed="false">
      <c r="A302" s="54" t="n">
        <f aca="false">IF(C302&lt;&gt;"",ROW()-2,"")</f>
        <v>300</v>
      </c>
      <c r="B302" s="55" t="s">
        <v>90</v>
      </c>
      <c r="C302" s="56" t="s">
        <v>896</v>
      </c>
      <c r="D302" s="57" t="s">
        <v>897</v>
      </c>
      <c r="E302" s="58" t="n">
        <v>1</v>
      </c>
      <c r="F302" s="59" t="n">
        <v>4.1327</v>
      </c>
      <c r="G302" s="60"/>
      <c r="H302" s="61" t="n">
        <f aca="false">IF(I302="是",0,IF(OR(E302="",F302=""),0,E302*F302*(1+IF(G302="",0,G302))))</f>
        <v>4.1327</v>
      </c>
      <c r="I302" s="55" t="s">
        <v>253</v>
      </c>
      <c r="J302" s="57" t="s">
        <v>895</v>
      </c>
    </row>
    <row r="303" customFormat="false" ht="13.5" hidden="false" customHeight="true" outlineLevel="0" collapsed="false">
      <c r="A303" s="27" t="n">
        <f aca="false">IF(C303&lt;&gt;"",ROW()-2,"")</f>
        <v>301</v>
      </c>
      <c r="B303" s="48" t="s">
        <v>90</v>
      </c>
      <c r="C303" s="49" t="s">
        <v>898</v>
      </c>
      <c r="D303" s="28" t="s">
        <v>899</v>
      </c>
      <c r="E303" s="50" t="n">
        <v>1</v>
      </c>
      <c r="F303" s="51" t="n">
        <v>4.1327</v>
      </c>
      <c r="G303" s="52"/>
      <c r="H303" s="53" t="n">
        <f aca="false">IF(I303="是",0,IF(OR(E303="",F303=""),0,E303*F303*(1+IF(G303="",0,G303))))</f>
        <v>4.1327</v>
      </c>
      <c r="I303" s="48" t="s">
        <v>253</v>
      </c>
      <c r="J303" s="28" t="s">
        <v>895</v>
      </c>
    </row>
    <row r="304" customFormat="false" ht="13.5" hidden="false" customHeight="true" outlineLevel="0" collapsed="false">
      <c r="A304" s="54" t="n">
        <f aca="false">IF(C304&lt;&gt;"",ROW()-2,"")</f>
        <v>302</v>
      </c>
      <c r="B304" s="55" t="s">
        <v>90</v>
      </c>
      <c r="C304" s="56" t="s">
        <v>900</v>
      </c>
      <c r="D304" s="57" t="s">
        <v>901</v>
      </c>
      <c r="E304" s="58" t="n">
        <v>3</v>
      </c>
      <c r="F304" s="59" t="n">
        <v>0.682</v>
      </c>
      <c r="G304" s="60"/>
      <c r="H304" s="61" t="n">
        <f aca="false">IF(I304="是",0,IF(OR(E304="",F304=""),0,E304*F304*(1+IF(G304="",0,G304))))</f>
        <v>2.046</v>
      </c>
      <c r="I304" s="55" t="s">
        <v>253</v>
      </c>
      <c r="J304" s="57" t="s">
        <v>902</v>
      </c>
    </row>
    <row r="305" customFormat="false" ht="13.5" hidden="false" customHeight="true" outlineLevel="0" collapsed="false">
      <c r="A305" s="27" t="n">
        <f aca="false">IF(C305&lt;&gt;"",ROW()-2,"")</f>
        <v>303</v>
      </c>
      <c r="B305" s="48" t="s">
        <v>90</v>
      </c>
      <c r="C305" s="49" t="s">
        <v>903</v>
      </c>
      <c r="D305" s="28" t="s">
        <v>904</v>
      </c>
      <c r="E305" s="50" t="n">
        <v>2</v>
      </c>
      <c r="F305" s="51" t="n">
        <v>0.25</v>
      </c>
      <c r="G305" s="52"/>
      <c r="H305" s="53" t="n">
        <f aca="false">IF(I305="是",0,IF(OR(E305="",F305=""),0,E305*F305*(1+IF(G305="",0,G305))))</f>
        <v>0.5</v>
      </c>
      <c r="I305" s="48" t="s">
        <v>253</v>
      </c>
      <c r="J305" s="28" t="s">
        <v>905</v>
      </c>
    </row>
    <row r="306" customFormat="false" ht="13.5" hidden="false" customHeight="true" outlineLevel="0" collapsed="false">
      <c r="A306" s="54" t="n">
        <f aca="false">IF(C306&lt;&gt;"",ROW()-2,"")</f>
        <v>304</v>
      </c>
      <c r="B306" s="55" t="s">
        <v>90</v>
      </c>
      <c r="C306" s="56" t="s">
        <v>906</v>
      </c>
      <c r="D306" s="57" t="s">
        <v>907</v>
      </c>
      <c r="E306" s="58" t="n">
        <v>1</v>
      </c>
      <c r="F306" s="59" t="n">
        <v>0.12</v>
      </c>
      <c r="G306" s="60"/>
      <c r="H306" s="61" t="n">
        <f aca="false">IF(I306="是",0,IF(OR(E306="",F306=""),0,E306*F306*(1+IF(G306="",0,G306))))</f>
        <v>0.12</v>
      </c>
      <c r="I306" s="55" t="s">
        <v>253</v>
      </c>
      <c r="J306" s="57" t="s">
        <v>902</v>
      </c>
    </row>
    <row r="307" customFormat="false" ht="13.5" hidden="false" customHeight="true" outlineLevel="0" collapsed="false">
      <c r="A307" s="27" t="n">
        <f aca="false">IF(C307&lt;&gt;"",ROW()-2,"")</f>
        <v>305</v>
      </c>
      <c r="B307" s="48" t="s">
        <v>93</v>
      </c>
      <c r="C307" s="49" t="s">
        <v>908</v>
      </c>
      <c r="D307" s="28" t="s">
        <v>909</v>
      </c>
      <c r="E307" s="50" t="n">
        <v>1</v>
      </c>
      <c r="F307" s="64" t="n">
        <f aca="false">参数!$B$49</f>
        <v>68</v>
      </c>
      <c r="G307" s="52"/>
      <c r="H307" s="53" t="n">
        <f aca="false">IF(I307="是",0,IF(OR(E307="",F307=""),0,E307*F307*(1+IF(G307="",0,G307))))</f>
        <v>68</v>
      </c>
      <c r="I307" s="48" t="s">
        <v>253</v>
      </c>
      <c r="J307" s="28" t="s">
        <v>910</v>
      </c>
    </row>
    <row r="308" customFormat="false" ht="13.5" hidden="false" customHeight="true" outlineLevel="0" collapsed="false">
      <c r="A308" s="54" t="n">
        <f aca="false">IF(C308&lt;&gt;"",ROW()-2,"")</f>
        <v>306</v>
      </c>
      <c r="B308" s="55" t="s">
        <v>96</v>
      </c>
      <c r="C308" s="56" t="s">
        <v>840</v>
      </c>
      <c r="D308" s="57" t="s">
        <v>841</v>
      </c>
      <c r="E308" s="58" t="n">
        <v>2</v>
      </c>
      <c r="F308" s="59" t="n">
        <v>0.099</v>
      </c>
      <c r="G308" s="60"/>
      <c r="H308" s="61" t="n">
        <f aca="false">IF(I308="是",0,IF(OR(E308="",F308=""),0,E308*F308*(1+IF(G308="",0,G308))))</f>
        <v>0.198</v>
      </c>
      <c r="I308" s="55" t="s">
        <v>253</v>
      </c>
      <c r="J308" s="57" t="s">
        <v>566</v>
      </c>
    </row>
    <row r="309" customFormat="false" ht="13.5" hidden="false" customHeight="true" outlineLevel="0" collapsed="false">
      <c r="A309" s="27" t="n">
        <f aca="false">IF(C309&lt;&gt;"",ROW()-2,"")</f>
        <v>307</v>
      </c>
      <c r="B309" s="48" t="s">
        <v>96</v>
      </c>
      <c r="C309" s="49" t="s">
        <v>911</v>
      </c>
      <c r="D309" s="28" t="s">
        <v>912</v>
      </c>
      <c r="E309" s="50" t="n">
        <v>1</v>
      </c>
      <c r="F309" s="51" t="n">
        <v>10.98</v>
      </c>
      <c r="G309" s="52"/>
      <c r="H309" s="53" t="n">
        <f aca="false">IF(I309="是",0,IF(OR(E309="",F309=""),0,E309*F309*(1+IF(G309="",0,G309))))</f>
        <v>10.98</v>
      </c>
      <c r="I309" s="48" t="s">
        <v>253</v>
      </c>
      <c r="J309" s="28" t="s">
        <v>913</v>
      </c>
    </row>
    <row r="310" customFormat="false" ht="13.5" hidden="false" customHeight="true" outlineLevel="0" collapsed="false">
      <c r="A310" s="54" t="n">
        <f aca="false">IF(C310&lt;&gt;"",ROW()-2,"")</f>
        <v>308</v>
      </c>
      <c r="B310" s="55" t="s">
        <v>96</v>
      </c>
      <c r="C310" s="56" t="s">
        <v>914</v>
      </c>
      <c r="D310" s="57" t="s">
        <v>915</v>
      </c>
      <c r="E310" s="58" t="n">
        <v>1</v>
      </c>
      <c r="F310" s="59" t="n">
        <v>0.25</v>
      </c>
      <c r="G310" s="60"/>
      <c r="H310" s="61" t="n">
        <f aca="false">IF(I310="是",0,IF(OR(E310="",F310=""),0,E310*F310*(1+IF(G310="",0,G310))))</f>
        <v>0.25</v>
      </c>
      <c r="I310" s="55" t="s">
        <v>253</v>
      </c>
      <c r="J310" s="57" t="s">
        <v>913</v>
      </c>
    </row>
    <row r="311" customFormat="false" ht="13.5" hidden="false" customHeight="true" outlineLevel="0" collapsed="false">
      <c r="A311" s="27" t="n">
        <f aca="false">IF(C311&lt;&gt;"",ROW()-2,"")</f>
        <v>309</v>
      </c>
      <c r="B311" s="48" t="s">
        <v>96</v>
      </c>
      <c r="C311" s="49" t="s">
        <v>916</v>
      </c>
      <c r="D311" s="28" t="s">
        <v>917</v>
      </c>
      <c r="E311" s="50" t="n">
        <v>1</v>
      </c>
      <c r="F311" s="51" t="n">
        <v>3.39</v>
      </c>
      <c r="G311" s="52"/>
      <c r="H311" s="53" t="n">
        <f aca="false">IF(I311="是",0,IF(OR(E311="",F311=""),0,E311*F311*(1+IF(G311="",0,G311))))</f>
        <v>3.39</v>
      </c>
      <c r="I311" s="48" t="s">
        <v>253</v>
      </c>
      <c r="J311" s="28" t="s">
        <v>913</v>
      </c>
    </row>
    <row r="312" customFormat="false" ht="13.5" hidden="false" customHeight="true" outlineLevel="0" collapsed="false">
      <c r="A312" s="54" t="n">
        <f aca="false">IF(C312&lt;&gt;"",ROW()-2,"")</f>
        <v>310</v>
      </c>
      <c r="B312" s="55" t="s">
        <v>96</v>
      </c>
      <c r="C312" s="56" t="s">
        <v>918</v>
      </c>
      <c r="D312" s="57" t="s">
        <v>919</v>
      </c>
      <c r="E312" s="58" t="n">
        <v>1</v>
      </c>
      <c r="F312" s="59" t="n">
        <v>22.1</v>
      </c>
      <c r="G312" s="60"/>
      <c r="H312" s="61" t="n">
        <f aca="false">IF(I312="是",0,IF(OR(E312="",F312=""),0,E312*F312*(1+IF(G312="",0,G312))))</f>
        <v>22.1</v>
      </c>
      <c r="I312" s="55" t="s">
        <v>253</v>
      </c>
      <c r="J312" s="57" t="s">
        <v>920</v>
      </c>
    </row>
    <row r="313" customFormat="false" ht="13.5" hidden="false" customHeight="true" outlineLevel="0" collapsed="false">
      <c r="A313" s="27" t="n">
        <f aca="false">IF(C313&lt;&gt;"",ROW()-2,"")</f>
        <v>311</v>
      </c>
      <c r="B313" s="48" t="s">
        <v>96</v>
      </c>
      <c r="C313" s="49" t="s">
        <v>921</v>
      </c>
      <c r="D313" s="28" t="s">
        <v>922</v>
      </c>
      <c r="E313" s="50" t="n">
        <v>1</v>
      </c>
      <c r="F313" s="51" t="n">
        <v>24.7</v>
      </c>
      <c r="G313" s="52"/>
      <c r="H313" s="53" t="n">
        <f aca="false">IF(I313="是",0,IF(OR(E313="",F313=""),0,E313*F313*(1+IF(G313="",0,G313))))</f>
        <v>24.7</v>
      </c>
      <c r="I313" s="48" t="s">
        <v>253</v>
      </c>
      <c r="J313" s="28" t="s">
        <v>920</v>
      </c>
    </row>
    <row r="314" customFormat="false" ht="13.5" hidden="false" customHeight="true" outlineLevel="0" collapsed="false">
      <c r="A314" s="54" t="n">
        <f aca="false">IF(C314&lt;&gt;"",ROW()-2,"")</f>
        <v>312</v>
      </c>
      <c r="B314" s="55" t="s">
        <v>96</v>
      </c>
      <c r="C314" s="56" t="s">
        <v>923</v>
      </c>
      <c r="D314" s="57" t="s">
        <v>924</v>
      </c>
      <c r="E314" s="58" t="n">
        <v>2</v>
      </c>
      <c r="F314" s="59" t="n">
        <v>1.0619</v>
      </c>
      <c r="G314" s="60"/>
      <c r="H314" s="61" t="n">
        <f aca="false">IF(I314="是",0,IF(OR(E314="",F314=""),0,E314*F314*(1+IF(G314="",0,G314))))</f>
        <v>2.1238</v>
      </c>
      <c r="I314" s="55" t="s">
        <v>253</v>
      </c>
      <c r="J314" s="57" t="s">
        <v>925</v>
      </c>
    </row>
    <row r="315" customFormat="false" ht="13.5" hidden="false" customHeight="true" outlineLevel="0" collapsed="false">
      <c r="A315" s="27" t="n">
        <f aca="false">IF(C315&lt;&gt;"",ROW()-2,"")</f>
        <v>313</v>
      </c>
      <c r="B315" s="48" t="s">
        <v>96</v>
      </c>
      <c r="C315" s="49" t="s">
        <v>926</v>
      </c>
      <c r="D315" s="28" t="s">
        <v>927</v>
      </c>
      <c r="E315" s="50" t="n">
        <v>1</v>
      </c>
      <c r="F315" s="51" t="n">
        <v>0.0347</v>
      </c>
      <c r="G315" s="52"/>
      <c r="H315" s="53" t="n">
        <f aca="false">IF(I315="是",0,IF(OR(E315="",F315=""),0,E315*F315*(1+IF(G315="",0,G315))))</f>
        <v>0.0347</v>
      </c>
      <c r="I315" s="48" t="s">
        <v>253</v>
      </c>
      <c r="J315" s="28" t="s">
        <v>928</v>
      </c>
    </row>
    <row r="316" customFormat="false" ht="13.5" hidden="false" customHeight="true" outlineLevel="0" collapsed="false">
      <c r="A316" s="54" t="n">
        <f aca="false">IF(C316&lt;&gt;"",ROW()-2,"")</f>
        <v>314</v>
      </c>
      <c r="B316" s="55" t="s">
        <v>98</v>
      </c>
      <c r="C316" s="56" t="s">
        <v>929</v>
      </c>
      <c r="D316" s="57" t="s">
        <v>930</v>
      </c>
      <c r="E316" s="58" t="n">
        <v>0.001723778</v>
      </c>
      <c r="F316" s="59" t="n">
        <v>309.2832</v>
      </c>
      <c r="G316" s="60"/>
      <c r="H316" s="61" t="n">
        <f aca="false">IF(I316="是",0,IF(OR(E316="",F316=""),0,E316*F316*(1+IF(G316="",0,G316))))</f>
        <v>0.5331355759296</v>
      </c>
      <c r="I316" s="55" t="s">
        <v>253</v>
      </c>
      <c r="J316" s="62" t="s">
        <v>931</v>
      </c>
    </row>
    <row r="317" customFormat="false" ht="13.5" hidden="false" customHeight="true" outlineLevel="0" collapsed="false">
      <c r="A317" s="27" t="n">
        <f aca="false">IF(C317&lt;&gt;"",ROW()-2,"")</f>
        <v>315</v>
      </c>
      <c r="B317" s="48" t="s">
        <v>98</v>
      </c>
      <c r="C317" s="49" t="s">
        <v>932</v>
      </c>
      <c r="D317" s="28" t="s">
        <v>933</v>
      </c>
      <c r="E317" s="50" t="n">
        <v>0.099898221</v>
      </c>
      <c r="F317" s="51" t="n">
        <v>265.4779</v>
      </c>
      <c r="G317" s="52"/>
      <c r="H317" s="53" t="n">
        <f aca="false">IF(I317="是",0,IF(OR(E317="",F317=""),0,E317*F317*(1+IF(G317="",0,G317))))</f>
        <v>26.5207699248159</v>
      </c>
      <c r="I317" s="48" t="s">
        <v>253</v>
      </c>
      <c r="J317" s="63" t="s">
        <v>934</v>
      </c>
    </row>
    <row r="318" customFormat="false" ht="13.5" hidden="false" customHeight="true" outlineLevel="0" collapsed="false">
      <c r="A318" s="54" t="n">
        <f aca="false">IF(C318&lt;&gt;"",ROW()-2,"")</f>
        <v>316</v>
      </c>
      <c r="B318" s="55" t="s">
        <v>98</v>
      </c>
      <c r="C318" s="56" t="s">
        <v>935</v>
      </c>
      <c r="D318" s="57" t="s">
        <v>936</v>
      </c>
      <c r="E318" s="58" t="n">
        <v>0.005</v>
      </c>
      <c r="F318" s="59" t="n">
        <v>15.8828</v>
      </c>
      <c r="G318" s="60"/>
      <c r="H318" s="61" t="n">
        <f aca="false">IF(I318="是",0,IF(OR(E318="",F318=""),0,E318*F318*(1+IF(G318="",0,G318))))</f>
        <v>0.079414</v>
      </c>
      <c r="I318" s="55" t="s">
        <v>253</v>
      </c>
      <c r="J318" s="62" t="s">
        <v>937</v>
      </c>
    </row>
    <row r="319" customFormat="false" ht="13.5" hidden="false" customHeight="true" outlineLevel="0" collapsed="false">
      <c r="A319" s="27" t="n">
        <f aca="false">IF(C319&lt;&gt;"",ROW()-2,"")</f>
        <v>317</v>
      </c>
      <c r="B319" s="48" t="s">
        <v>98</v>
      </c>
      <c r="C319" s="49" t="s">
        <v>938</v>
      </c>
      <c r="D319" s="28" t="s">
        <v>939</v>
      </c>
      <c r="E319" s="50" t="n">
        <v>0.0049</v>
      </c>
      <c r="F319" s="51" t="n">
        <v>6.1538</v>
      </c>
      <c r="G319" s="52"/>
      <c r="H319" s="53" t="n">
        <f aca="false">IF(I319="是",0,IF(OR(E319="",F319=""),0,E319*F319*(1+IF(G319="",0,G319))))</f>
        <v>0.03015362</v>
      </c>
      <c r="I319" s="48" t="s">
        <v>253</v>
      </c>
      <c r="J319" s="63" t="s">
        <v>940</v>
      </c>
    </row>
    <row r="320" customFormat="false" ht="13.5" hidden="false" customHeight="true" outlineLevel="0" collapsed="false">
      <c r="A320" s="54" t="n">
        <f aca="false">IF(C320&lt;&gt;"",ROW()-2,"")</f>
        <v>318</v>
      </c>
      <c r="B320" s="55" t="s">
        <v>98</v>
      </c>
      <c r="C320" s="56" t="s">
        <v>941</v>
      </c>
      <c r="D320" s="57" t="s">
        <v>942</v>
      </c>
      <c r="E320" s="58" t="n">
        <v>0.000816375</v>
      </c>
      <c r="F320" s="59" t="n">
        <v>681.8053</v>
      </c>
      <c r="G320" s="60"/>
      <c r="H320" s="61" t="n">
        <f aca="false">IF(I320="是",0,IF(OR(E320="",F320=""),0,E320*F320*(1+IF(G320="",0,G320))))</f>
        <v>0.5566088017875</v>
      </c>
      <c r="I320" s="55" t="s">
        <v>253</v>
      </c>
      <c r="J320" s="62" t="s">
        <v>931</v>
      </c>
    </row>
    <row r="321" customFormat="false" ht="13.5" hidden="false" customHeight="true" outlineLevel="0" collapsed="false">
      <c r="A321" s="27" t="n">
        <f aca="false">IF(C321&lt;&gt;"",ROW()-2,"")</f>
        <v>319</v>
      </c>
      <c r="B321" s="48" t="s">
        <v>98</v>
      </c>
      <c r="C321" s="49" t="s">
        <v>943</v>
      </c>
      <c r="D321" s="28" t="s">
        <v>944</v>
      </c>
      <c r="E321" s="50" t="n">
        <v>0.212</v>
      </c>
      <c r="F321" s="51" t="n">
        <v>0.1044</v>
      </c>
      <c r="G321" s="52"/>
      <c r="H321" s="53" t="n">
        <f aca="false">IF(I321="是",0,IF(OR(E321="",F321=""),0,E321*F321*(1+IF(G321="",0,G321))))</f>
        <v>0.0221328</v>
      </c>
      <c r="I321" s="48" t="s">
        <v>253</v>
      </c>
      <c r="J321" s="63" t="s">
        <v>945</v>
      </c>
    </row>
    <row r="322" customFormat="false" ht="13.5" hidden="false" customHeight="true" outlineLevel="0" collapsed="false">
      <c r="A322" s="54" t="n">
        <f aca="false">IF(C322&lt;&gt;"",ROW()-2,"")</f>
        <v>320</v>
      </c>
      <c r="B322" s="55" t="s">
        <v>98</v>
      </c>
      <c r="C322" s="56" t="s">
        <v>946</v>
      </c>
      <c r="D322" s="57" t="s">
        <v>947</v>
      </c>
      <c r="E322" s="58" t="n">
        <v>9.742268041</v>
      </c>
      <c r="F322" s="59" t="n">
        <v>0.3</v>
      </c>
      <c r="G322" s="60"/>
      <c r="H322" s="61" t="n">
        <f aca="false">IF(I322="是",0,IF(OR(E322="",F322=""),0,E322*F322*(1+IF(G322="",0,G322))))</f>
        <v>2.9226804123</v>
      </c>
      <c r="I322" s="55" t="s">
        <v>253</v>
      </c>
      <c r="J322" s="62" t="s">
        <v>945</v>
      </c>
    </row>
    <row r="323" customFormat="false" ht="13.5" hidden="false" customHeight="true" outlineLevel="0" collapsed="false">
      <c r="A323" s="27" t="n">
        <f aca="false">IF(C323&lt;&gt;"",ROW()-2,"")</f>
        <v>321</v>
      </c>
      <c r="B323" s="48" t="s">
        <v>98</v>
      </c>
      <c r="C323" s="49" t="s">
        <v>941</v>
      </c>
      <c r="D323" s="28" t="s">
        <v>942</v>
      </c>
      <c r="E323" s="50" t="n">
        <v>0.00147525</v>
      </c>
      <c r="F323" s="51" t="n">
        <v>681.8053</v>
      </c>
      <c r="G323" s="52"/>
      <c r="H323" s="53" t="n">
        <f aca="false">IF(I323="是",0,IF(OR(E323="",F323=""),0,E323*F323*(1+IF(G323="",0,G323))))</f>
        <v>1.005833268825</v>
      </c>
      <c r="I323" s="48" t="s">
        <v>253</v>
      </c>
      <c r="J323" s="63" t="s">
        <v>931</v>
      </c>
    </row>
    <row r="324" customFormat="false" ht="13.5" hidden="false" customHeight="true" outlineLevel="0" collapsed="false">
      <c r="A324" s="54" t="n">
        <f aca="false">IF(C324&lt;&gt;"",ROW()-2,"")</f>
        <v>322</v>
      </c>
      <c r="B324" s="55" t="s">
        <v>98</v>
      </c>
      <c r="C324" s="56" t="s">
        <v>943</v>
      </c>
      <c r="D324" s="57" t="s">
        <v>944</v>
      </c>
      <c r="E324" s="58" t="n">
        <v>0.66</v>
      </c>
      <c r="F324" s="59" t="n">
        <v>0.1044</v>
      </c>
      <c r="G324" s="60"/>
      <c r="H324" s="61" t="n">
        <f aca="false">IF(I324="是",0,IF(OR(E324="",F324=""),0,E324*F324*(1+IF(G324="",0,G324))))</f>
        <v>0.068904</v>
      </c>
      <c r="I324" s="55" t="s">
        <v>253</v>
      </c>
      <c r="J324" s="62" t="s">
        <v>945</v>
      </c>
    </row>
    <row r="325" customFormat="false" ht="13.5" hidden="false" customHeight="true" outlineLevel="0" collapsed="false">
      <c r="A325" s="27" t="n">
        <f aca="false">IF(C325&lt;&gt;"",ROW()-2,"")</f>
        <v>323</v>
      </c>
      <c r="B325" s="48" t="s">
        <v>98</v>
      </c>
      <c r="C325" s="49" t="s">
        <v>929</v>
      </c>
      <c r="D325" s="28" t="s">
        <v>930</v>
      </c>
      <c r="E325" s="50" t="n">
        <v>0.0048079826</v>
      </c>
      <c r="F325" s="51" t="n">
        <v>309.2832</v>
      </c>
      <c r="G325" s="52"/>
      <c r="H325" s="53" t="n">
        <f aca="false">IF(I325="是",0,IF(OR(E325="",F325=""),0,E325*F325*(1+IF(G325="",0,G325))))</f>
        <v>1.48702824407232</v>
      </c>
      <c r="I325" s="48" t="s">
        <v>253</v>
      </c>
      <c r="J325" s="63" t="s">
        <v>948</v>
      </c>
    </row>
    <row r="326" customFormat="false" ht="13.5" hidden="false" customHeight="true" outlineLevel="0" collapsed="false">
      <c r="A326" s="54" t="n">
        <f aca="false">IF(C326&lt;&gt;"",ROW()-2,"")</f>
        <v>324</v>
      </c>
      <c r="B326" s="55" t="s">
        <v>98</v>
      </c>
      <c r="C326" s="56" t="s">
        <v>935</v>
      </c>
      <c r="D326" s="57" t="s">
        <v>936</v>
      </c>
      <c r="E326" s="58" t="n">
        <v>0.0034571429</v>
      </c>
      <c r="F326" s="59" t="n">
        <v>15.8828</v>
      </c>
      <c r="G326" s="60"/>
      <c r="H326" s="61" t="n">
        <f aca="false">IF(I326="是",0,IF(OR(E326="",F326=""),0,E326*F326*(1+IF(G326="",0,G326))))</f>
        <v>0.05490910925212</v>
      </c>
      <c r="I326" s="55" t="s">
        <v>253</v>
      </c>
      <c r="J326" s="62" t="s">
        <v>937</v>
      </c>
    </row>
    <row r="327" customFormat="false" ht="13.5" hidden="false" customHeight="true" outlineLevel="0" collapsed="false">
      <c r="A327" s="27" t="n">
        <f aca="false">IF(C327&lt;&gt;"",ROW()-2,"")</f>
        <v>325</v>
      </c>
      <c r="B327" s="48" t="s">
        <v>98</v>
      </c>
      <c r="C327" s="49" t="s">
        <v>949</v>
      </c>
      <c r="D327" s="28" t="s">
        <v>950</v>
      </c>
      <c r="E327" s="50" t="n">
        <v>6.088917526</v>
      </c>
      <c r="F327" s="51" t="n">
        <v>0.545</v>
      </c>
      <c r="G327" s="52"/>
      <c r="H327" s="53" t="n">
        <f aca="false">IF(I327="是",0,IF(OR(E327="",F327=""),0,E327*F327*(1+IF(G327="",0,G327))))</f>
        <v>3.31846005167</v>
      </c>
      <c r="I327" s="48" t="s">
        <v>253</v>
      </c>
      <c r="J327" s="63" t="s">
        <v>945</v>
      </c>
    </row>
    <row r="328" customFormat="false" ht="13.5" hidden="false" customHeight="true" outlineLevel="0" collapsed="false">
      <c r="A328" s="54" t="n">
        <f aca="false">IF(C328&lt;&gt;"",ROW()-2,"")</f>
        <v>326</v>
      </c>
      <c r="B328" s="55" t="s">
        <v>98</v>
      </c>
      <c r="C328" s="56" t="s">
        <v>943</v>
      </c>
      <c r="D328" s="57" t="s">
        <v>944</v>
      </c>
      <c r="E328" s="58" t="n">
        <v>0.09</v>
      </c>
      <c r="F328" s="59" t="n">
        <v>0.1044</v>
      </c>
      <c r="G328" s="60"/>
      <c r="H328" s="61" t="n">
        <f aca="false">IF(I328="是",0,IF(OR(E328="",F328=""),0,E328*F328*(1+IF(G328="",0,G328))))</f>
        <v>0.009396</v>
      </c>
      <c r="I328" s="55" t="s">
        <v>253</v>
      </c>
      <c r="J328" s="62" t="s">
        <v>945</v>
      </c>
    </row>
    <row r="329" customFormat="false" ht="13.5" hidden="false" customHeight="true" outlineLevel="0" collapsed="false">
      <c r="A329" s="27" t="n">
        <f aca="false">IF(C329&lt;&gt;"",ROW()-2,"")</f>
        <v>327</v>
      </c>
      <c r="B329" s="48" t="s">
        <v>98</v>
      </c>
      <c r="C329" s="49" t="s">
        <v>935</v>
      </c>
      <c r="D329" s="28" t="s">
        <v>936</v>
      </c>
      <c r="E329" s="50" t="n">
        <v>0.0006656</v>
      </c>
      <c r="F329" s="51" t="n">
        <v>15.8828</v>
      </c>
      <c r="G329" s="52"/>
      <c r="H329" s="53" t="n">
        <f aca="false">IF(I329="是",0,IF(OR(E329="",F329=""),0,E329*F329*(1+IF(G329="",0,G329))))</f>
        <v>0.01057159168</v>
      </c>
      <c r="I329" s="48" t="s">
        <v>253</v>
      </c>
      <c r="J329" s="63" t="s">
        <v>937</v>
      </c>
    </row>
    <row r="330" customFormat="false" ht="13.5" hidden="false" customHeight="true" outlineLevel="0" collapsed="false">
      <c r="A330" s="54" t="n">
        <f aca="false">IF(C330&lt;&gt;"",ROW()-2,"")</f>
        <v>328</v>
      </c>
      <c r="B330" s="55" t="s">
        <v>98</v>
      </c>
      <c r="C330" s="56" t="s">
        <v>946</v>
      </c>
      <c r="D330" s="57" t="s">
        <v>947</v>
      </c>
      <c r="E330" s="58" t="n">
        <v>1.753608247</v>
      </c>
      <c r="F330" s="59" t="n">
        <v>0.3</v>
      </c>
      <c r="G330" s="60"/>
      <c r="H330" s="61" t="n">
        <f aca="false">IF(I330="是",0,IF(OR(E330="",F330=""),0,E330*F330*(1+IF(G330="",0,G330))))</f>
        <v>0.5260824741</v>
      </c>
      <c r="I330" s="55" t="s">
        <v>253</v>
      </c>
      <c r="J330" s="62" t="s">
        <v>945</v>
      </c>
    </row>
    <row r="331" customFormat="false" ht="13.5" hidden="false" customHeight="true" outlineLevel="0" collapsed="false">
      <c r="A331" s="27" t="n">
        <f aca="false">IF(C331&lt;&gt;"",ROW()-2,"")</f>
        <v>329</v>
      </c>
      <c r="B331" s="48" t="s">
        <v>98</v>
      </c>
      <c r="C331" s="49" t="s">
        <v>929</v>
      </c>
      <c r="D331" s="28" t="s">
        <v>930</v>
      </c>
      <c r="E331" s="50" t="n">
        <v>0.00257704</v>
      </c>
      <c r="F331" s="51" t="n">
        <v>309.2832</v>
      </c>
      <c r="G331" s="52"/>
      <c r="H331" s="53" t="n">
        <f aca="false">IF(I331="是",0,IF(OR(E331="",F331=""),0,E331*F331*(1+IF(G331="",0,G331))))</f>
        <v>0.797035177728</v>
      </c>
      <c r="I331" s="48" t="s">
        <v>253</v>
      </c>
      <c r="J331" s="63" t="s">
        <v>951</v>
      </c>
    </row>
    <row r="332" customFormat="false" ht="13.5" hidden="false" customHeight="true" outlineLevel="0" collapsed="false">
      <c r="A332" s="54" t="n">
        <f aca="false">IF(C332&lt;&gt;"",ROW()-2,"")</f>
        <v>330</v>
      </c>
      <c r="B332" s="55" t="s">
        <v>952</v>
      </c>
      <c r="C332" s="65" t="s">
        <v>953</v>
      </c>
      <c r="D332" s="57" t="s">
        <v>954</v>
      </c>
      <c r="E332" s="58" t="n">
        <v>3</v>
      </c>
      <c r="F332" s="59" t="n">
        <v>23.98</v>
      </c>
      <c r="G332" s="60"/>
      <c r="H332" s="61" t="n">
        <f aca="false">IF(I332="是",0,IF(OR(E332="",F332=""),0,E332*F332*(1+IF(G332="",0,G332))))</f>
        <v>0</v>
      </c>
      <c r="I332" s="55" t="s">
        <v>57</v>
      </c>
      <c r="J332" s="57" t="s">
        <v>955</v>
      </c>
    </row>
    <row r="333" customFormat="false" ht="13.5" hidden="false" customHeight="true" outlineLevel="0" collapsed="false">
      <c r="A333" s="27" t="n">
        <f aca="false">IF(C333&lt;&gt;"",ROW()-2,"")</f>
        <v>331</v>
      </c>
      <c r="B333" s="48" t="s">
        <v>952</v>
      </c>
      <c r="C333" s="66" t="s">
        <v>956</v>
      </c>
      <c r="D333" s="28" t="s">
        <v>957</v>
      </c>
      <c r="E333" s="50" t="n">
        <v>2</v>
      </c>
      <c r="F333" s="51" t="n">
        <v>45.8</v>
      </c>
      <c r="G333" s="52"/>
      <c r="H333" s="53" t="n">
        <f aca="false">IF(I333="是",0,IF(OR(E333="",F333=""),0,E333*F333*(1+IF(G333="",0,G333))))</f>
        <v>0</v>
      </c>
      <c r="I333" s="48" t="s">
        <v>57</v>
      </c>
      <c r="J333" s="28" t="s">
        <v>958</v>
      </c>
    </row>
    <row r="334" customFormat="false" ht="13.5" hidden="false" customHeight="true" outlineLevel="0" collapsed="false">
      <c r="A334" s="54" t="n">
        <f aca="false">IF(C334&lt;&gt;"",ROW()-2,"")</f>
        <v>332</v>
      </c>
      <c r="B334" s="55" t="s">
        <v>952</v>
      </c>
      <c r="C334" s="65" t="s">
        <v>959</v>
      </c>
      <c r="D334" s="57" t="s">
        <v>960</v>
      </c>
      <c r="E334" s="58" t="n">
        <v>1</v>
      </c>
      <c r="F334" s="59" t="n">
        <v>7</v>
      </c>
      <c r="G334" s="60"/>
      <c r="H334" s="61" t="n">
        <f aca="false">IF(I334="是",0,IF(OR(E334="",F334=""),0,E334*F334*(1+IF(G334="",0,G334))))</f>
        <v>0</v>
      </c>
      <c r="I334" s="55" t="s">
        <v>57</v>
      </c>
      <c r="J334" s="57" t="s">
        <v>961</v>
      </c>
    </row>
    <row r="335" customFormat="false" ht="13.5" hidden="false" customHeight="true" outlineLevel="0" collapsed="false">
      <c r="A335" s="27" t="n">
        <f aca="false">IF(C335&lt;&gt;"",ROW()-2,"")</f>
        <v>333</v>
      </c>
      <c r="B335" s="48" t="s">
        <v>952</v>
      </c>
      <c r="C335" s="66" t="s">
        <v>962</v>
      </c>
      <c r="D335" s="63" t="s">
        <v>963</v>
      </c>
      <c r="E335" s="50" t="n">
        <v>1</v>
      </c>
      <c r="F335" s="51" t="n">
        <v>307.3</v>
      </c>
      <c r="G335" s="52"/>
      <c r="H335" s="53" t="n">
        <f aca="false">IF(I335="是",0,IF(OR(E335="",F335=""),0,E335*F335*(1+IF(G335="",0,G335))))</f>
        <v>0</v>
      </c>
      <c r="I335" s="48" t="s">
        <v>57</v>
      </c>
      <c r="J335" s="28" t="s">
        <v>964</v>
      </c>
    </row>
    <row r="336" customFormat="false" ht="13.5" hidden="false" customHeight="true" outlineLevel="0" collapsed="false">
      <c r="A336" s="54" t="n">
        <f aca="false">IF(C336&lt;&gt;"",ROW()-2,"")</f>
        <v>334</v>
      </c>
      <c r="B336" s="55" t="s">
        <v>952</v>
      </c>
      <c r="C336" s="65" t="s">
        <v>965</v>
      </c>
      <c r="D336" s="57" t="s">
        <v>966</v>
      </c>
      <c r="E336" s="58" t="n">
        <v>6</v>
      </c>
      <c r="F336" s="59" t="n">
        <v>3.83</v>
      </c>
      <c r="G336" s="60"/>
      <c r="H336" s="61" t="n">
        <f aca="false">IF(I336="是",0,IF(OR(E336="",F336=""),0,E336*F336*(1+IF(G336="",0,G336))))</f>
        <v>0</v>
      </c>
      <c r="I336" s="55" t="s">
        <v>57</v>
      </c>
      <c r="J336" s="57" t="s">
        <v>964</v>
      </c>
    </row>
    <row r="337" customFormat="false" ht="13.5" hidden="false" customHeight="true" outlineLevel="0" collapsed="false">
      <c r="A337" s="27" t="n">
        <f aca="false">IF(C337&lt;&gt;"",ROW()-2,"")</f>
        <v>335</v>
      </c>
      <c r="B337" s="48" t="s">
        <v>952</v>
      </c>
      <c r="C337" s="66" t="s">
        <v>967</v>
      </c>
      <c r="D337" s="63" t="s">
        <v>968</v>
      </c>
      <c r="E337" s="50" t="n">
        <v>2</v>
      </c>
      <c r="F337" s="51" t="n">
        <v>23</v>
      </c>
      <c r="G337" s="52"/>
      <c r="H337" s="53" t="n">
        <f aca="false">IF(I337="是",0,IF(OR(E337="",F337=""),0,E337*F337*(1+IF(G337="",0,G337))))</f>
        <v>0</v>
      </c>
      <c r="I337" s="48" t="s">
        <v>57</v>
      </c>
      <c r="J337" s="28" t="s">
        <v>969</v>
      </c>
    </row>
    <row r="338" customFormat="false" ht="13.5" hidden="false" customHeight="true" outlineLevel="0" collapsed="false">
      <c r="A338" s="54" t="n">
        <f aca="false">IF(C338&lt;&gt;"",ROW()-2,"")</f>
        <v>336</v>
      </c>
      <c r="B338" s="55" t="s">
        <v>952</v>
      </c>
      <c r="C338" s="65" t="s">
        <v>970</v>
      </c>
      <c r="D338" s="62" t="s">
        <v>971</v>
      </c>
      <c r="E338" s="58" t="n">
        <v>1</v>
      </c>
      <c r="F338" s="59" t="n">
        <v>2.818</v>
      </c>
      <c r="G338" s="60"/>
      <c r="H338" s="61" t="n">
        <f aca="false">IF(I338="是",0,IF(OR(E338="",F338=""),0,E338*F338*(1+IF(G338="",0,G338))))</f>
        <v>0</v>
      </c>
      <c r="I338" s="55" t="s">
        <v>57</v>
      </c>
      <c r="J338" s="57" t="s">
        <v>972</v>
      </c>
    </row>
    <row r="339" customFormat="false" ht="13.5" hidden="false" customHeight="true" outlineLevel="0" collapsed="false">
      <c r="A339" s="27" t="n">
        <f aca="false">IF(C339&lt;&gt;"",ROW()-2,"")</f>
        <v>337</v>
      </c>
      <c r="B339" s="48" t="s">
        <v>952</v>
      </c>
      <c r="C339" s="66" t="s">
        <v>973</v>
      </c>
      <c r="D339" s="63" t="s">
        <v>974</v>
      </c>
      <c r="E339" s="50" t="n">
        <v>2</v>
      </c>
      <c r="F339" s="51" t="n">
        <v>7.75</v>
      </c>
      <c r="G339" s="52"/>
      <c r="H339" s="53" t="n">
        <f aca="false">IF(I339="是",0,IF(OR(E339="",F339=""),0,E339*F339*(1+IF(G339="",0,G339))))</f>
        <v>0</v>
      </c>
      <c r="I339" s="48" t="s">
        <v>57</v>
      </c>
      <c r="J339" s="28" t="s">
        <v>975</v>
      </c>
    </row>
    <row r="340" customFormat="false" ht="13.5" hidden="false" customHeight="true" outlineLevel="0" collapsed="false">
      <c r="A340" s="23"/>
      <c r="B340" s="23"/>
      <c r="C340" s="23"/>
      <c r="D340" s="23"/>
      <c r="E340" s="23"/>
      <c r="F340" s="23"/>
      <c r="G340" s="23"/>
      <c r="H340" s="23"/>
      <c r="I340" s="23"/>
      <c r="J340" s="23"/>
    </row>
  </sheetData>
  <autoFilter ref="A2:J339"/>
  <mergeCells count="1">
    <mergeCell ref="A1:I1"/>
  </mergeCells>
  <dataValidations count="1">
    <dataValidation allowBlank="true" errorStyle="stop" operator="between" showDropDown="false" showErrorMessage="false" showInputMessage="false" sqref="I3:I339" type="list">
      <formula1>"否,是"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13"/>
    <col collapsed="false" customWidth="true" hidden="false" outlineLevel="0" max="6" min="5" style="1" width="11"/>
    <col collapsed="false" customWidth="true" hidden="false" outlineLevel="0" max="7" min="7" style="1" width="13"/>
    <col collapsed="false" customWidth="true" hidden="false" outlineLevel="0" max="8" min="8" style="1" width="40"/>
  </cols>
  <sheetData>
    <row r="1" customFormat="false" ht="25.5" hidden="false" customHeight="true" outlineLevel="0" collapsed="false">
      <c r="A1" s="67" t="s">
        <v>976</v>
      </c>
      <c r="B1" s="67"/>
      <c r="C1" s="67"/>
      <c r="D1" s="67"/>
      <c r="E1" s="67"/>
      <c r="F1" s="67"/>
      <c r="G1" s="67"/>
      <c r="H1" s="67"/>
    </row>
    <row r="3" customFormat="false" ht="15" hidden="false" customHeight="true" outlineLevel="0" collapsed="false">
      <c r="A3" s="68" t="s">
        <v>977</v>
      </c>
      <c r="B3" s="69" t="str">
        <f aca="false">报价汇总!B6</f>
        <v>青岛国创智能家电研究院有限公司</v>
      </c>
      <c r="C3" s="68" t="s">
        <v>978</v>
      </c>
      <c r="D3" s="69" t="str">
        <f aca="false">报价汇总!B4</f>
        <v>N10305002124</v>
      </c>
      <c r="E3" s="68" t="s">
        <v>979</v>
      </c>
      <c r="F3" s="68"/>
      <c r="G3" s="70" t="n">
        <f aca="false">报价汇总!B8</f>
        <v>5000</v>
      </c>
      <c r="H3" s="71" t="s">
        <v>980</v>
      </c>
    </row>
    <row r="4" customFormat="false" ht="15" hidden="false" customHeight="true" outlineLevel="0" collapsed="false">
      <c r="A4" s="68" t="s">
        <v>981</v>
      </c>
      <c r="B4" s="72" t="n">
        <v>0.0089138889</v>
      </c>
      <c r="C4" s="73" t="s">
        <v>982</v>
      </c>
      <c r="D4" s="68" t="s">
        <v>983</v>
      </c>
      <c r="E4" s="74" t="n">
        <v>1.1</v>
      </c>
      <c r="F4" s="71" t="s">
        <v>984</v>
      </c>
      <c r="G4" s="75" t="s">
        <v>985</v>
      </c>
      <c r="H4" s="75"/>
    </row>
    <row r="6" customFormat="false" ht="15" hidden="false" customHeight="true" outlineLevel="0" collapsed="false">
      <c r="A6" s="76" t="s">
        <v>986</v>
      </c>
      <c r="B6" s="76"/>
      <c r="C6" s="76"/>
      <c r="D6" s="76"/>
      <c r="E6" s="76"/>
      <c r="F6" s="76"/>
      <c r="G6" s="76"/>
      <c r="H6" s="76"/>
    </row>
    <row r="7" customFormat="false" ht="15" hidden="false" customHeight="true" outlineLevel="0" collapsed="false">
      <c r="A7" s="24" t="s">
        <v>987</v>
      </c>
      <c r="B7" s="24" t="s">
        <v>988</v>
      </c>
      <c r="C7" s="24" t="s">
        <v>989</v>
      </c>
      <c r="D7" s="24" t="s">
        <v>990</v>
      </c>
      <c r="E7" s="24" t="s">
        <v>991</v>
      </c>
      <c r="F7" s="24" t="s">
        <v>40</v>
      </c>
      <c r="G7" s="24" t="s">
        <v>992</v>
      </c>
      <c r="H7" s="24" t="s">
        <v>993</v>
      </c>
    </row>
    <row r="8" customFormat="false" ht="15" hidden="false" customHeight="true" outlineLevel="0" collapsed="false">
      <c r="A8" s="77" t="s">
        <v>994</v>
      </c>
      <c r="B8" s="77" t="s">
        <v>995</v>
      </c>
      <c r="C8" s="77" t="s">
        <v>996</v>
      </c>
      <c r="D8" s="72" t="n">
        <v>0.019</v>
      </c>
      <c r="E8" s="78" t="n">
        <v>56</v>
      </c>
      <c r="F8" s="79"/>
      <c r="G8" s="80" t="n">
        <f aca="false">IFERROR(D8*E8,0)</f>
        <v>1.064</v>
      </c>
      <c r="H8" s="77"/>
    </row>
    <row r="9" customFormat="false" ht="15" hidden="false" customHeight="true" outlineLevel="0" collapsed="false">
      <c r="A9" s="77"/>
      <c r="B9" s="77"/>
      <c r="C9" s="77" t="s">
        <v>997</v>
      </c>
      <c r="D9" s="72" t="n">
        <v>0.02</v>
      </c>
      <c r="E9" s="78" t="n">
        <v>4</v>
      </c>
      <c r="F9" s="79"/>
      <c r="G9" s="80" t="n">
        <f aca="false">IFERROR(D9*E9,0)</f>
        <v>0.08</v>
      </c>
      <c r="H9" s="77"/>
    </row>
    <row r="10" customFormat="false" ht="15" hidden="false" customHeight="true" outlineLevel="0" collapsed="false">
      <c r="A10" s="77"/>
      <c r="B10" s="77"/>
      <c r="C10" s="81" t="s">
        <v>998</v>
      </c>
      <c r="D10" s="72" t="n">
        <v>0.02</v>
      </c>
      <c r="E10" s="78" t="n">
        <v>0</v>
      </c>
      <c r="F10" s="79"/>
      <c r="G10" s="80" t="n">
        <f aca="false">IFERROR(D10*E10,0)</f>
        <v>0</v>
      </c>
      <c r="H10" s="81"/>
    </row>
    <row r="11" customFormat="false" ht="15" hidden="false" customHeight="true" outlineLevel="0" collapsed="false">
      <c r="A11" s="81"/>
      <c r="B11" s="81"/>
      <c r="C11" s="81" t="s">
        <v>999</v>
      </c>
      <c r="D11" s="72" t="n">
        <v>0.06</v>
      </c>
      <c r="E11" s="78" t="n">
        <v>4</v>
      </c>
      <c r="F11" s="79"/>
      <c r="G11" s="80" t="n">
        <f aca="false">IFERROR(D11*E11,0)</f>
        <v>0.24</v>
      </c>
      <c r="H11" s="81"/>
    </row>
    <row r="12" customFormat="false" ht="15" hidden="false" customHeight="true" outlineLevel="0" collapsed="false">
      <c r="A12" s="81"/>
      <c r="B12" s="81"/>
      <c r="C12" s="81" t="s">
        <v>1000</v>
      </c>
      <c r="D12" s="72" t="n">
        <v>0.035</v>
      </c>
      <c r="E12" s="78" t="n">
        <v>1</v>
      </c>
      <c r="F12" s="79"/>
      <c r="G12" s="80" t="n">
        <f aca="false">IFERROR(D12*E12,0)</f>
        <v>0.035</v>
      </c>
      <c r="H12" s="81"/>
    </row>
    <row r="13" customFormat="false" ht="15" hidden="false" customHeight="true" outlineLevel="0" collapsed="false">
      <c r="A13" s="81"/>
      <c r="B13" s="81"/>
      <c r="C13" s="81" t="s">
        <v>1001</v>
      </c>
      <c r="D13" s="72" t="n">
        <v>0.018</v>
      </c>
      <c r="E13" s="78" t="n">
        <v>9</v>
      </c>
      <c r="F13" s="28" t="s">
        <v>1002</v>
      </c>
      <c r="G13" s="80" t="n">
        <f aca="false">IFERROR(D13*E13,0)</f>
        <v>0.162</v>
      </c>
      <c r="H13" s="81"/>
    </row>
    <row r="14" customFormat="false" ht="15" hidden="false" customHeight="true" outlineLevel="0" collapsed="false">
      <c r="A14" s="81"/>
      <c r="B14" s="81"/>
      <c r="C14" s="81" t="s">
        <v>1003</v>
      </c>
      <c r="D14" s="72" t="n">
        <v>0.142</v>
      </c>
      <c r="E14" s="78" t="n">
        <v>0</v>
      </c>
      <c r="F14" s="28"/>
      <c r="G14" s="80" t="n">
        <f aca="false">IFERROR(D14*E14,0)</f>
        <v>0</v>
      </c>
      <c r="H14" s="81"/>
    </row>
    <row r="15" customFormat="false" ht="15" hidden="false" customHeight="true" outlineLevel="0" collapsed="false">
      <c r="C15" s="82" t="s">
        <v>1004</v>
      </c>
      <c r="G15" s="83" t="n">
        <f aca="false">SUM(G8:G14)</f>
        <v>1.581</v>
      </c>
    </row>
    <row r="17" customFormat="false" ht="15" hidden="false" customHeight="true" outlineLevel="0" collapsed="false">
      <c r="A17" s="76" t="s">
        <v>1005</v>
      </c>
      <c r="B17" s="76"/>
      <c r="C17" s="76"/>
      <c r="D17" s="76"/>
      <c r="E17" s="76"/>
      <c r="F17" s="76"/>
      <c r="G17" s="76"/>
      <c r="H17" s="76"/>
    </row>
    <row r="18" customFormat="false" ht="15" hidden="false" customHeight="true" outlineLevel="0" collapsed="false">
      <c r="A18" s="24" t="s">
        <v>987</v>
      </c>
      <c r="B18" s="24" t="s">
        <v>988</v>
      </c>
      <c r="C18" s="24" t="s">
        <v>1006</v>
      </c>
      <c r="D18" s="24" t="s">
        <v>1007</v>
      </c>
      <c r="E18" s="24" t="s">
        <v>1008</v>
      </c>
      <c r="F18" s="24" t="s">
        <v>983</v>
      </c>
      <c r="G18" s="24" t="s">
        <v>1009</v>
      </c>
      <c r="H18" s="24" t="s">
        <v>992</v>
      </c>
    </row>
    <row r="19" customFormat="false" ht="15" hidden="false" customHeight="true" outlineLevel="0" collapsed="false">
      <c r="A19" s="77" t="s">
        <v>1010</v>
      </c>
      <c r="B19" s="77" t="s">
        <v>1011</v>
      </c>
      <c r="C19" s="81" t="s">
        <v>1012</v>
      </c>
      <c r="D19" s="84" t="n">
        <v>6</v>
      </c>
      <c r="E19" s="78" t="n">
        <v>1</v>
      </c>
      <c r="F19" s="85" t="n">
        <f aca="false">$E$4</f>
        <v>1.1</v>
      </c>
      <c r="G19" s="85" t="n">
        <f aca="false">D19*E19*F19</f>
        <v>6.6</v>
      </c>
      <c r="H19" s="80" t="n">
        <f aca="false">G19*$B$4</f>
        <v>0.05883166674</v>
      </c>
    </row>
    <row r="20" customFormat="false" ht="15" hidden="false" customHeight="true" outlineLevel="0" collapsed="false">
      <c r="A20" s="81"/>
      <c r="B20" s="81"/>
      <c r="C20" s="81" t="s">
        <v>1013</v>
      </c>
      <c r="D20" s="84" t="n">
        <v>3</v>
      </c>
      <c r="E20" s="78" t="n">
        <v>0</v>
      </c>
      <c r="F20" s="85" t="n">
        <f aca="false">$E$4</f>
        <v>1.1</v>
      </c>
      <c r="G20" s="85" t="n">
        <f aca="false">D20*E20*F20</f>
        <v>0</v>
      </c>
      <c r="H20" s="80" t="n">
        <f aca="false">G20*$B$4</f>
        <v>0</v>
      </c>
    </row>
    <row r="21" customFormat="false" ht="15" hidden="false" customHeight="true" outlineLevel="0" collapsed="false">
      <c r="C21" s="68" t="s">
        <v>1014</v>
      </c>
      <c r="H21" s="83" t="n">
        <f aca="false">SUM(H19:H20)</f>
        <v>0.05883166674</v>
      </c>
    </row>
    <row r="23" customFormat="false" ht="15" hidden="false" customHeight="true" outlineLevel="0" collapsed="false">
      <c r="A23" s="76" t="s">
        <v>1015</v>
      </c>
      <c r="B23" s="76"/>
      <c r="C23" s="76"/>
      <c r="D23" s="76"/>
      <c r="E23" s="76"/>
      <c r="F23" s="76"/>
      <c r="G23" s="76"/>
      <c r="H23" s="76"/>
    </row>
    <row r="24" customFormat="false" ht="15" hidden="false" customHeight="true" outlineLevel="0" collapsed="false">
      <c r="A24" s="24" t="s">
        <v>987</v>
      </c>
      <c r="B24" s="24" t="s">
        <v>988</v>
      </c>
      <c r="C24" s="24" t="s">
        <v>989</v>
      </c>
      <c r="D24" s="24" t="s">
        <v>990</v>
      </c>
      <c r="E24" s="24" t="s">
        <v>991</v>
      </c>
      <c r="F24" s="24" t="s">
        <v>983</v>
      </c>
      <c r="G24" s="24" t="s">
        <v>992</v>
      </c>
      <c r="H24" s="24" t="s">
        <v>993</v>
      </c>
    </row>
    <row r="25" customFormat="false" ht="15" hidden="false" customHeight="true" outlineLevel="0" collapsed="false">
      <c r="A25" s="77" t="s">
        <v>1016</v>
      </c>
      <c r="B25" s="77" t="s">
        <v>1017</v>
      </c>
      <c r="C25" s="81" t="s">
        <v>1018</v>
      </c>
      <c r="D25" s="72" t="n">
        <v>0.025</v>
      </c>
      <c r="E25" s="78" t="n">
        <v>0</v>
      </c>
      <c r="F25" s="85" t="n">
        <f aca="false">$E$4</f>
        <v>1.1</v>
      </c>
      <c r="G25" s="80" t="n">
        <f aca="false">IFERROR(D25*E25*F25,0)</f>
        <v>0</v>
      </c>
      <c r="H25" s="81"/>
    </row>
    <row r="26" customFormat="false" ht="15" hidden="false" customHeight="true" outlineLevel="0" collapsed="false">
      <c r="A26" s="81"/>
      <c r="B26" s="81"/>
      <c r="C26" s="81" t="s">
        <v>1019</v>
      </c>
      <c r="D26" s="72" t="n">
        <v>0.022</v>
      </c>
      <c r="E26" s="78" t="n">
        <v>0</v>
      </c>
      <c r="F26" s="85" t="n">
        <f aca="false">$E$4</f>
        <v>1.1</v>
      </c>
      <c r="G26" s="80" t="n">
        <f aca="false">IFERROR(D26*E26*F26,0)</f>
        <v>0</v>
      </c>
      <c r="H26" s="81"/>
    </row>
    <row r="27" customFormat="false" ht="15" hidden="false" customHeight="true" outlineLevel="0" collapsed="false">
      <c r="A27" s="81"/>
      <c r="B27" s="81"/>
      <c r="C27" s="77" t="s">
        <v>1020</v>
      </c>
      <c r="D27" s="72" t="n">
        <v>0.025</v>
      </c>
      <c r="E27" s="78" t="n">
        <v>0</v>
      </c>
      <c r="F27" s="85" t="n">
        <f aca="false">$E$4</f>
        <v>1.1</v>
      </c>
      <c r="G27" s="80" t="n">
        <f aca="false">IFERROR(D27*E27*F27,0)</f>
        <v>0</v>
      </c>
      <c r="H27" s="81"/>
    </row>
    <row r="28" customFormat="false" ht="15" hidden="false" customHeight="true" outlineLevel="0" collapsed="false">
      <c r="C28" s="82" t="s">
        <v>1021</v>
      </c>
      <c r="G28" s="83" t="n">
        <f aca="false">SUM(G25:G27)</f>
        <v>0</v>
      </c>
    </row>
    <row r="30" customFormat="false" ht="15" hidden="false" customHeight="true" outlineLevel="0" collapsed="false">
      <c r="A30" s="76" t="s">
        <v>1022</v>
      </c>
      <c r="B30" s="76"/>
      <c r="C30" s="76"/>
      <c r="D30" s="76"/>
      <c r="E30" s="76"/>
      <c r="F30" s="76"/>
      <c r="G30" s="76"/>
      <c r="H30" s="76"/>
    </row>
    <row r="31" customFormat="false" ht="15" hidden="false" customHeight="true" outlineLevel="0" collapsed="false">
      <c r="A31" s="24" t="s">
        <v>987</v>
      </c>
      <c r="B31" s="24" t="s">
        <v>988</v>
      </c>
      <c r="C31" s="24" t="s">
        <v>1006</v>
      </c>
      <c r="D31" s="24" t="s">
        <v>1007</v>
      </c>
      <c r="E31" s="24" t="s">
        <v>1023</v>
      </c>
      <c r="F31" s="24" t="s">
        <v>983</v>
      </c>
      <c r="G31" s="24" t="s">
        <v>1009</v>
      </c>
      <c r="H31" s="24" t="s">
        <v>992</v>
      </c>
    </row>
    <row r="32" customFormat="false" ht="15" hidden="false" customHeight="true" outlineLevel="0" collapsed="false">
      <c r="A32" s="77" t="s">
        <v>1024</v>
      </c>
      <c r="B32" s="81" t="s">
        <v>1025</v>
      </c>
      <c r="C32" s="81" t="s">
        <v>1026</v>
      </c>
      <c r="D32" s="84" t="n">
        <v>1.2</v>
      </c>
      <c r="E32" s="78" t="n">
        <v>0</v>
      </c>
      <c r="F32" s="85" t="n">
        <f aca="false">$E$4</f>
        <v>1.1</v>
      </c>
      <c r="G32" s="85" t="n">
        <f aca="false">D32*E32*F32</f>
        <v>0</v>
      </c>
      <c r="H32" s="80" t="n">
        <f aca="false">G32*$B$4</f>
        <v>0</v>
      </c>
    </row>
    <row r="33" customFormat="false" ht="15" hidden="false" customHeight="true" outlineLevel="0" collapsed="false">
      <c r="A33" s="81"/>
      <c r="B33" s="81"/>
      <c r="C33" s="81" t="s">
        <v>1027</v>
      </c>
      <c r="D33" s="84" t="n">
        <v>1.8</v>
      </c>
      <c r="E33" s="78" t="n">
        <v>0</v>
      </c>
      <c r="F33" s="85" t="n">
        <f aca="false">$E$4</f>
        <v>1.1</v>
      </c>
      <c r="G33" s="85" t="n">
        <f aca="false">D33*E33*F33</f>
        <v>0</v>
      </c>
      <c r="H33" s="80" t="n">
        <f aca="false">G33*$B$4</f>
        <v>0</v>
      </c>
    </row>
    <row r="34" customFormat="false" ht="15" hidden="false" customHeight="true" outlineLevel="0" collapsed="false">
      <c r="A34" s="81"/>
      <c r="B34" s="81"/>
      <c r="C34" s="81" t="s">
        <v>1028</v>
      </c>
      <c r="D34" s="84" t="n">
        <v>0.6</v>
      </c>
      <c r="E34" s="78" t="n">
        <v>0</v>
      </c>
      <c r="F34" s="85" t="n">
        <f aca="false">$E$4</f>
        <v>1.1</v>
      </c>
      <c r="G34" s="85" t="n">
        <f aca="false">D34*E34*F34</f>
        <v>0</v>
      </c>
      <c r="H34" s="80" t="n">
        <f aca="false">G34*$B$4</f>
        <v>0</v>
      </c>
    </row>
    <row r="35" customFormat="false" ht="15" hidden="false" customHeight="true" outlineLevel="0" collapsed="false">
      <c r="A35" s="81"/>
      <c r="B35" s="81"/>
      <c r="C35" s="81" t="s">
        <v>1029</v>
      </c>
      <c r="D35" s="84" t="n">
        <v>6</v>
      </c>
      <c r="E35" s="78" t="n">
        <v>0</v>
      </c>
      <c r="F35" s="85" t="n">
        <f aca="false">$E$4</f>
        <v>1.1</v>
      </c>
      <c r="G35" s="85" t="n">
        <f aca="false">D35*E35*F35</f>
        <v>0</v>
      </c>
      <c r="H35" s="80" t="n">
        <f aca="false">G35*$B$4</f>
        <v>0</v>
      </c>
    </row>
    <row r="36" customFormat="false" ht="15" hidden="false" customHeight="true" outlineLevel="0" collapsed="false">
      <c r="A36" s="81"/>
      <c r="B36" s="81"/>
      <c r="C36" s="81" t="s">
        <v>1030</v>
      </c>
      <c r="D36" s="84" t="n">
        <v>20</v>
      </c>
      <c r="E36" s="78" t="n">
        <v>0</v>
      </c>
      <c r="F36" s="85" t="n">
        <f aca="false">$E$4</f>
        <v>1.1</v>
      </c>
      <c r="G36" s="85" t="n">
        <f aca="false">D36*E36*F36</f>
        <v>0</v>
      </c>
      <c r="H36" s="80" t="n">
        <f aca="false">G36*$B$4</f>
        <v>0</v>
      </c>
    </row>
    <row r="37" customFormat="false" ht="15" hidden="false" customHeight="true" outlineLevel="0" collapsed="false">
      <c r="A37" s="81"/>
      <c r="B37" s="81"/>
      <c r="C37" s="81" t="s">
        <v>1031</v>
      </c>
      <c r="D37" s="84" t="n">
        <v>8</v>
      </c>
      <c r="E37" s="78" t="n">
        <v>0</v>
      </c>
      <c r="F37" s="85" t="n">
        <f aca="false">$E$4</f>
        <v>1.1</v>
      </c>
      <c r="G37" s="85" t="n">
        <f aca="false">D37*E37*F37</f>
        <v>0</v>
      </c>
      <c r="H37" s="80" t="n">
        <f aca="false">G37*$B$4</f>
        <v>0</v>
      </c>
    </row>
    <row r="38" customFormat="false" ht="15" hidden="false" customHeight="true" outlineLevel="0" collapsed="false">
      <c r="A38" s="81"/>
      <c r="B38" s="81"/>
      <c r="C38" s="81" t="s">
        <v>1032</v>
      </c>
      <c r="D38" s="84" t="n">
        <v>0.5</v>
      </c>
      <c r="E38" s="78" t="n">
        <v>0</v>
      </c>
      <c r="F38" s="85" t="n">
        <f aca="false">$E$4</f>
        <v>1.1</v>
      </c>
      <c r="G38" s="85" t="n">
        <f aca="false">D38*E38*F38</f>
        <v>0</v>
      </c>
      <c r="H38" s="80" t="n">
        <f aca="false">G38*$B$4</f>
        <v>0</v>
      </c>
    </row>
    <row r="39" customFormat="false" ht="15" hidden="false" customHeight="true" outlineLevel="0" collapsed="false">
      <c r="C39" s="68" t="s">
        <v>1033</v>
      </c>
      <c r="H39" s="83" t="n">
        <f aca="false">SUM(H32:H38)</f>
        <v>0</v>
      </c>
    </row>
    <row r="41" customFormat="false" ht="15" hidden="false" customHeight="true" outlineLevel="0" collapsed="false">
      <c r="A41" s="76" t="s">
        <v>1034</v>
      </c>
      <c r="B41" s="76"/>
      <c r="C41" s="76"/>
      <c r="D41" s="76"/>
      <c r="E41" s="76"/>
      <c r="F41" s="76"/>
      <c r="G41" s="76"/>
      <c r="H41" s="76"/>
    </row>
    <row r="42" customFormat="false" ht="15" hidden="false" customHeight="true" outlineLevel="0" collapsed="false">
      <c r="A42" s="24" t="s">
        <v>987</v>
      </c>
      <c r="B42" s="24" t="s">
        <v>988</v>
      </c>
      <c r="C42" s="24" t="s">
        <v>1006</v>
      </c>
      <c r="D42" s="24" t="s">
        <v>1035</v>
      </c>
      <c r="E42" s="24" t="s">
        <v>1008</v>
      </c>
      <c r="F42" s="24" t="s">
        <v>983</v>
      </c>
      <c r="G42" s="24" t="s">
        <v>1009</v>
      </c>
      <c r="H42" s="24" t="s">
        <v>992</v>
      </c>
    </row>
    <row r="43" customFormat="false" ht="15" hidden="false" customHeight="true" outlineLevel="0" collapsed="false">
      <c r="A43" s="77" t="s">
        <v>1036</v>
      </c>
      <c r="B43" s="81" t="s">
        <v>1037</v>
      </c>
      <c r="C43" s="81" t="s">
        <v>1038</v>
      </c>
      <c r="D43" s="84" t="n">
        <v>3</v>
      </c>
      <c r="E43" s="78" t="n">
        <v>1</v>
      </c>
      <c r="F43" s="85" t="n">
        <f aca="false">$E$4</f>
        <v>1.1</v>
      </c>
      <c r="G43" s="85" t="n">
        <f aca="false">D43*E43*F43</f>
        <v>3.3</v>
      </c>
      <c r="H43" s="80" t="n">
        <f aca="false">G43*$B$4</f>
        <v>0.02941583337</v>
      </c>
    </row>
    <row r="44" customFormat="false" ht="15" hidden="false" customHeight="true" outlineLevel="0" collapsed="false">
      <c r="A44" s="81"/>
      <c r="B44" s="81"/>
      <c r="C44" s="81" t="s">
        <v>1039</v>
      </c>
      <c r="D44" s="84" t="n">
        <v>3</v>
      </c>
      <c r="E44" s="78" t="n">
        <v>1</v>
      </c>
      <c r="F44" s="85" t="n">
        <f aca="false">$E$4</f>
        <v>1.1</v>
      </c>
      <c r="G44" s="85" t="n">
        <f aca="false">D44*E44*F44</f>
        <v>3.3</v>
      </c>
      <c r="H44" s="80" t="n">
        <f aca="false">G44*$B$4</f>
        <v>0.02941583337</v>
      </c>
    </row>
    <row r="45" customFormat="false" ht="15" hidden="false" customHeight="true" outlineLevel="0" collapsed="false">
      <c r="A45" s="81"/>
      <c r="B45" s="81"/>
      <c r="C45" s="81" t="s">
        <v>1040</v>
      </c>
      <c r="D45" s="84" t="n">
        <v>3</v>
      </c>
      <c r="E45" s="78" t="n">
        <v>1</v>
      </c>
      <c r="F45" s="85" t="n">
        <f aca="false">$E$4</f>
        <v>1.1</v>
      </c>
      <c r="G45" s="85" t="n">
        <f aca="false">D45*E45*F45</f>
        <v>3.3</v>
      </c>
      <c r="H45" s="80" t="n">
        <f aca="false">G45*$B$4</f>
        <v>0.02941583337</v>
      </c>
    </row>
    <row r="46" customFormat="false" ht="15" hidden="false" customHeight="true" outlineLevel="0" collapsed="false">
      <c r="A46" s="81"/>
      <c r="B46" s="81"/>
      <c r="C46" s="81" t="s">
        <v>1041</v>
      </c>
      <c r="D46" s="84" t="n">
        <v>3</v>
      </c>
      <c r="E46" s="78" t="n">
        <v>2</v>
      </c>
      <c r="F46" s="85" t="n">
        <f aca="false">$E$4</f>
        <v>1.1</v>
      </c>
      <c r="G46" s="85" t="n">
        <f aca="false">D46*E46*F46</f>
        <v>6.6</v>
      </c>
      <c r="H46" s="80" t="n">
        <f aca="false">G46*$B$4</f>
        <v>0.05883166674</v>
      </c>
    </row>
    <row r="47" customFormat="false" ht="15" hidden="false" customHeight="true" outlineLevel="0" collapsed="false">
      <c r="A47" s="81"/>
      <c r="B47" s="81"/>
      <c r="C47" s="81" t="s">
        <v>1042</v>
      </c>
      <c r="D47" s="84" t="n">
        <v>3</v>
      </c>
      <c r="E47" s="78" t="n">
        <v>2</v>
      </c>
      <c r="F47" s="85" t="n">
        <f aca="false">$E$4</f>
        <v>1.1</v>
      </c>
      <c r="G47" s="85" t="n">
        <f aca="false">D47*E47*F47</f>
        <v>6.6</v>
      </c>
      <c r="H47" s="80" t="n">
        <f aca="false">G47*$B$4</f>
        <v>0.05883166674</v>
      </c>
    </row>
    <row r="48" customFormat="false" ht="15" hidden="false" customHeight="true" outlineLevel="0" collapsed="false">
      <c r="A48" s="81"/>
      <c r="B48" s="81"/>
      <c r="C48" s="81" t="s">
        <v>1043</v>
      </c>
      <c r="D48" s="84" t="n">
        <v>3</v>
      </c>
      <c r="E48" s="78" t="n">
        <v>2</v>
      </c>
      <c r="F48" s="85" t="n">
        <f aca="false">$E$4</f>
        <v>1.1</v>
      </c>
      <c r="G48" s="85" t="n">
        <f aca="false">D48*E48*F48</f>
        <v>6.6</v>
      </c>
      <c r="H48" s="80" t="n">
        <f aca="false">G48*$B$4</f>
        <v>0.05883166674</v>
      </c>
    </row>
    <row r="49" customFormat="false" ht="15" hidden="false" customHeight="true" outlineLevel="0" collapsed="false">
      <c r="A49" s="81"/>
      <c r="B49" s="81"/>
      <c r="C49" s="77" t="s">
        <v>1044</v>
      </c>
      <c r="D49" s="84" t="n">
        <v>3</v>
      </c>
      <c r="E49" s="78" t="n">
        <v>1</v>
      </c>
      <c r="F49" s="85" t="n">
        <f aca="false">$E$4</f>
        <v>1.1</v>
      </c>
      <c r="G49" s="85" t="n">
        <f aca="false">D49*E49*F49</f>
        <v>3.3</v>
      </c>
      <c r="H49" s="80" t="n">
        <f aca="false">G49*$B$4</f>
        <v>0.02941583337</v>
      </c>
    </row>
    <row r="50" customFormat="false" ht="15" hidden="false" customHeight="true" outlineLevel="0" collapsed="false">
      <c r="A50" s="81"/>
      <c r="B50" s="81"/>
      <c r="C50" s="81" t="s">
        <v>1045</v>
      </c>
      <c r="D50" s="84" t="n">
        <v>3</v>
      </c>
      <c r="E50" s="78" t="n">
        <v>1</v>
      </c>
      <c r="F50" s="85" t="n">
        <f aca="false">$E$4</f>
        <v>1.1</v>
      </c>
      <c r="G50" s="85" t="n">
        <f aca="false">D50*E50*F50</f>
        <v>3.3</v>
      </c>
      <c r="H50" s="80" t="n">
        <f aca="false">G50*$B$4</f>
        <v>0.02941583337</v>
      </c>
    </row>
    <row r="51" customFormat="false" ht="15" hidden="false" customHeight="true" outlineLevel="0" collapsed="false">
      <c r="A51" s="81"/>
      <c r="B51" s="81"/>
      <c r="C51" s="77" t="s">
        <v>1046</v>
      </c>
      <c r="D51" s="84" t="n">
        <v>3</v>
      </c>
      <c r="E51" s="78" t="n">
        <v>4</v>
      </c>
      <c r="F51" s="85" t="n">
        <f aca="false">$E$4</f>
        <v>1.1</v>
      </c>
      <c r="G51" s="85" t="n">
        <f aca="false">D51*E51*F51</f>
        <v>13.2</v>
      </c>
      <c r="H51" s="80" t="n">
        <f aca="false">G51*$B$4</f>
        <v>0.11766333348</v>
      </c>
    </row>
    <row r="52" customFormat="false" ht="15" hidden="false" customHeight="true" outlineLevel="0" collapsed="false">
      <c r="A52" s="81"/>
      <c r="B52" s="81"/>
      <c r="C52" s="81" t="s">
        <v>1047</v>
      </c>
      <c r="D52" s="84" t="n">
        <v>3</v>
      </c>
      <c r="E52" s="78" t="n">
        <v>0</v>
      </c>
      <c r="F52" s="85" t="n">
        <f aca="false">$E$4</f>
        <v>1.1</v>
      </c>
      <c r="G52" s="85" t="n">
        <f aca="false">D52*E52*F52</f>
        <v>0</v>
      </c>
      <c r="H52" s="80" t="n">
        <f aca="false">G52*$B$4</f>
        <v>0</v>
      </c>
    </row>
    <row r="53" customFormat="false" ht="15" hidden="false" customHeight="true" outlineLevel="0" collapsed="false">
      <c r="A53" s="81"/>
      <c r="B53" s="81"/>
      <c r="C53" s="81" t="s">
        <v>1048</v>
      </c>
      <c r="D53" s="84" t="n">
        <v>3</v>
      </c>
      <c r="E53" s="78" t="n">
        <v>0</v>
      </c>
      <c r="F53" s="85" t="n">
        <f aca="false">$E$4</f>
        <v>1.1</v>
      </c>
      <c r="G53" s="85" t="n">
        <f aca="false">D53*E53*F53</f>
        <v>0</v>
      </c>
      <c r="H53" s="80" t="n">
        <f aca="false">G53*$B$4</f>
        <v>0</v>
      </c>
    </row>
    <row r="54" customFormat="false" ht="15" hidden="false" customHeight="true" outlineLevel="0" collapsed="false">
      <c r="A54" s="81"/>
      <c r="B54" s="81"/>
      <c r="C54" s="81" t="s">
        <v>1049</v>
      </c>
      <c r="D54" s="84" t="n">
        <v>3</v>
      </c>
      <c r="E54" s="78" t="n">
        <v>4</v>
      </c>
      <c r="F54" s="85" t="n">
        <f aca="false">$E$4</f>
        <v>1.1</v>
      </c>
      <c r="G54" s="85" t="n">
        <f aca="false">D54*E54*F54</f>
        <v>13.2</v>
      </c>
      <c r="H54" s="80" t="n">
        <f aca="false">G54*$B$4</f>
        <v>0.11766333348</v>
      </c>
    </row>
    <row r="55" customFormat="false" ht="15" hidden="false" customHeight="true" outlineLevel="0" collapsed="false">
      <c r="A55" s="81"/>
      <c r="B55" s="81"/>
      <c r="C55" s="81" t="s">
        <v>1050</v>
      </c>
      <c r="D55" s="84" t="n">
        <v>3</v>
      </c>
      <c r="E55" s="78" t="n">
        <v>1</v>
      </c>
      <c r="F55" s="85" t="n">
        <f aca="false">$E$4</f>
        <v>1.1</v>
      </c>
      <c r="G55" s="85" t="n">
        <f aca="false">D55*E55*F55</f>
        <v>3.3</v>
      </c>
      <c r="H55" s="80" t="n">
        <f aca="false">G55*$B$4</f>
        <v>0.02941583337</v>
      </c>
    </row>
    <row r="56" customFormat="false" ht="15" hidden="false" customHeight="true" outlineLevel="0" collapsed="false">
      <c r="A56" s="81"/>
      <c r="B56" s="81"/>
      <c r="C56" s="81" t="s">
        <v>1051</v>
      </c>
      <c r="D56" s="84" t="n">
        <v>3</v>
      </c>
      <c r="E56" s="78" t="n">
        <v>1</v>
      </c>
      <c r="F56" s="85" t="n">
        <f aca="false">$E$4</f>
        <v>1.1</v>
      </c>
      <c r="G56" s="85" t="n">
        <f aca="false">D56*E56*F56</f>
        <v>3.3</v>
      </c>
      <c r="H56" s="80" t="n">
        <f aca="false">G56*$B$4</f>
        <v>0.02941583337</v>
      </c>
    </row>
    <row r="57" customFormat="false" ht="15" hidden="false" customHeight="true" outlineLevel="0" collapsed="false">
      <c r="A57" s="81"/>
      <c r="B57" s="81"/>
      <c r="C57" s="81" t="s">
        <v>1037</v>
      </c>
      <c r="D57" s="84" t="n">
        <v>3</v>
      </c>
      <c r="E57" s="78" t="n">
        <v>0</v>
      </c>
      <c r="F57" s="85" t="n">
        <f aca="false">$E$4</f>
        <v>1.1</v>
      </c>
      <c r="G57" s="85" t="n">
        <f aca="false">D57*E57*F57</f>
        <v>0</v>
      </c>
      <c r="H57" s="80" t="n">
        <f aca="false">G57*$B$4</f>
        <v>0</v>
      </c>
    </row>
    <row r="58" customFormat="false" ht="15" hidden="false" customHeight="true" outlineLevel="0" collapsed="false">
      <c r="A58" s="81"/>
      <c r="B58" s="81"/>
      <c r="C58" s="77" t="s">
        <v>1052</v>
      </c>
      <c r="D58" s="84" t="n">
        <v>3</v>
      </c>
      <c r="E58" s="78" t="n">
        <v>2</v>
      </c>
      <c r="F58" s="85" t="n">
        <f aca="false">$E$4</f>
        <v>1.1</v>
      </c>
      <c r="G58" s="85" t="n">
        <f aca="false">D58*E58*F58</f>
        <v>6.6</v>
      </c>
      <c r="H58" s="80" t="n">
        <f aca="false">G58*$B$4</f>
        <v>0.05883166674</v>
      </c>
    </row>
    <row r="59" customFormat="false" ht="15" hidden="false" customHeight="true" outlineLevel="0" collapsed="false">
      <c r="A59" s="81"/>
      <c r="B59" s="81"/>
      <c r="C59" s="81" t="s">
        <v>1053</v>
      </c>
      <c r="D59" s="84" t="n">
        <v>3</v>
      </c>
      <c r="E59" s="78" t="n">
        <v>2</v>
      </c>
      <c r="F59" s="85" t="n">
        <f aca="false">$E$4</f>
        <v>1.1</v>
      </c>
      <c r="G59" s="85" t="n">
        <f aca="false">D59*E59*F59</f>
        <v>6.6</v>
      </c>
      <c r="H59" s="80" t="n">
        <f aca="false">G59*$B$4</f>
        <v>0.05883166674</v>
      </c>
    </row>
    <row r="60" customFormat="false" ht="15" hidden="false" customHeight="true" outlineLevel="0" collapsed="false">
      <c r="A60" s="81"/>
      <c r="B60" s="81"/>
      <c r="C60" s="81" t="s">
        <v>1054</v>
      </c>
      <c r="D60" s="84" t="n">
        <v>3</v>
      </c>
      <c r="E60" s="78" t="n">
        <v>1</v>
      </c>
      <c r="F60" s="85" t="n">
        <f aca="false">$E$4</f>
        <v>1.1</v>
      </c>
      <c r="G60" s="85" t="n">
        <f aca="false">D60*E60*F60</f>
        <v>3.3</v>
      </c>
      <c r="H60" s="80" t="n">
        <f aca="false">G60*$B$4</f>
        <v>0.02941583337</v>
      </c>
    </row>
    <row r="61" customFormat="false" ht="15" hidden="false" customHeight="true" outlineLevel="0" collapsed="false">
      <c r="C61" s="68" t="s">
        <v>1055</v>
      </c>
      <c r="H61" s="83" t="n">
        <f aca="false">SUM(H43:H60)</f>
        <v>0.76481166762</v>
      </c>
    </row>
    <row r="62" customFormat="false" ht="15" hidden="false" customHeight="true" outlineLevel="0" collapsed="false">
      <c r="A62" s="86" t="s">
        <v>1056</v>
      </c>
      <c r="B62" s="86"/>
      <c r="C62" s="86"/>
      <c r="D62" s="86"/>
      <c r="E62" s="86"/>
      <c r="F62" s="86"/>
      <c r="G62" s="87"/>
      <c r="H62" s="88" t="n">
        <f aca="false">$G$15+$H$21+$G$28+$H$39+$H$61</f>
        <v>2.40464333436</v>
      </c>
    </row>
    <row r="64" customFormat="false" ht="15" hidden="false" customHeight="true" outlineLevel="0" collapsed="false">
      <c r="A64" s="89" t="s">
        <v>1057</v>
      </c>
      <c r="B64" s="89"/>
      <c r="C64" s="89"/>
      <c r="D64" s="89"/>
      <c r="E64" s="89"/>
      <c r="F64" s="89"/>
      <c r="G64" s="89"/>
      <c r="H64" s="89"/>
    </row>
    <row r="65" customFormat="false" ht="15" hidden="false" customHeight="true" outlineLevel="0" collapsed="false">
      <c r="A65" s="24" t="s">
        <v>987</v>
      </c>
      <c r="B65" s="24" t="s">
        <v>1058</v>
      </c>
      <c r="C65" s="24" t="s">
        <v>1059</v>
      </c>
      <c r="D65" s="24" t="s">
        <v>1060</v>
      </c>
      <c r="E65" s="24" t="s">
        <v>1061</v>
      </c>
      <c r="F65" s="24" t="s">
        <v>983</v>
      </c>
      <c r="G65" s="24" t="s">
        <v>1062</v>
      </c>
      <c r="H65" s="24" t="s">
        <v>993</v>
      </c>
    </row>
    <row r="66" customFormat="false" ht="15" hidden="false" customHeight="true" outlineLevel="0" collapsed="false">
      <c r="A66" s="77" t="s">
        <v>1063</v>
      </c>
      <c r="B66" s="81" t="s">
        <v>1064</v>
      </c>
      <c r="C66" s="81" t="s">
        <v>1065</v>
      </c>
      <c r="D66" s="72" t="n">
        <v>0.04</v>
      </c>
      <c r="E66" s="90" t="n">
        <v>0</v>
      </c>
      <c r="F66" s="74" t="n">
        <v>1</v>
      </c>
      <c r="G66" s="80" t="n">
        <f aca="false">IFERROR(D66*E66*F66,0)</f>
        <v>0</v>
      </c>
      <c r="H66" s="28" t="s">
        <v>1066</v>
      </c>
    </row>
    <row r="67" customFormat="false" ht="15" hidden="false" customHeight="true" outlineLevel="0" collapsed="false">
      <c r="A67" s="81"/>
      <c r="B67" s="81"/>
      <c r="C67" s="81" t="s">
        <v>1067</v>
      </c>
      <c r="D67" s="72" t="n">
        <v>0.019</v>
      </c>
      <c r="E67" s="90" t="n">
        <v>0</v>
      </c>
      <c r="F67" s="74" t="n">
        <v>1.2</v>
      </c>
      <c r="G67" s="80" t="n">
        <f aca="false">IFERROR(D67*E67*F67,0)</f>
        <v>0</v>
      </c>
      <c r="H67" s="28"/>
    </row>
    <row r="68" customFormat="false" ht="15" hidden="false" customHeight="true" outlineLevel="0" collapsed="false">
      <c r="A68" s="81"/>
      <c r="B68" s="81"/>
      <c r="C68" s="81" t="s">
        <v>1068</v>
      </c>
      <c r="D68" s="72" t="n">
        <v>0.279</v>
      </c>
      <c r="E68" s="90" t="n">
        <v>0</v>
      </c>
      <c r="F68" s="74" t="n">
        <v>1.1</v>
      </c>
      <c r="G68" s="80" t="n">
        <f aca="false">IFERROR(D68*E68*F68,0)</f>
        <v>0</v>
      </c>
      <c r="H68" s="28"/>
    </row>
    <row r="69" customFormat="false" ht="15" hidden="false" customHeight="true" outlineLevel="0" collapsed="false">
      <c r="A69" s="81"/>
      <c r="B69" s="81"/>
      <c r="C69" s="81" t="s">
        <v>1069</v>
      </c>
      <c r="D69" s="72" t="n">
        <v>0.196</v>
      </c>
      <c r="E69" s="90" t="n">
        <v>0</v>
      </c>
      <c r="F69" s="74" t="n">
        <v>1.2</v>
      </c>
      <c r="G69" s="80" t="n">
        <f aca="false">IFERROR(D69*E69*F69,0)</f>
        <v>0</v>
      </c>
      <c r="H69" s="28"/>
    </row>
    <row r="70" customFormat="false" ht="15" hidden="false" customHeight="true" outlineLevel="0" collapsed="false">
      <c r="A70" s="81"/>
      <c r="B70" s="81"/>
      <c r="C70" s="81" t="s">
        <v>1070</v>
      </c>
      <c r="D70" s="72" t="n">
        <v>0.04</v>
      </c>
      <c r="E70" s="90" t="n">
        <v>0</v>
      </c>
      <c r="F70" s="74" t="n">
        <v>1.1</v>
      </c>
      <c r="G70" s="80" t="n">
        <f aca="false">IFERROR(D70*E70*F70,0)</f>
        <v>0</v>
      </c>
      <c r="H70" s="28"/>
    </row>
    <row r="71" customFormat="false" ht="15" hidden="false" customHeight="true" outlineLevel="0" collapsed="false">
      <c r="A71" s="81"/>
      <c r="B71" s="81"/>
      <c r="C71" s="81" t="s">
        <v>1071</v>
      </c>
      <c r="D71" s="72" t="n">
        <v>0.21</v>
      </c>
      <c r="E71" s="90" t="n">
        <v>0</v>
      </c>
      <c r="F71" s="74" t="n">
        <v>1.2</v>
      </c>
      <c r="G71" s="80" t="n">
        <f aca="false">IFERROR(D71*E71*F71,0)</f>
        <v>0</v>
      </c>
      <c r="H71" s="28" t="s">
        <v>1072</v>
      </c>
    </row>
    <row r="72" customFormat="false" ht="15" hidden="false" customHeight="true" outlineLevel="0" collapsed="false">
      <c r="A72" s="81"/>
      <c r="B72" s="81"/>
      <c r="C72" s="77" t="s">
        <v>1073</v>
      </c>
      <c r="D72" s="72" t="n">
        <v>0.024</v>
      </c>
      <c r="E72" s="90" t="n">
        <v>0</v>
      </c>
      <c r="F72" s="74" t="n">
        <v>1.2</v>
      </c>
      <c r="G72" s="80" t="n">
        <f aca="false">IFERROR(D72*E72*F72,0)</f>
        <v>0</v>
      </c>
      <c r="H72" s="28"/>
    </row>
    <row r="73" customFormat="false" ht="15" hidden="false" customHeight="true" outlineLevel="0" collapsed="false">
      <c r="C73" s="68" t="s">
        <v>1074</v>
      </c>
      <c r="G73" s="83" t="n">
        <f aca="false">SUM(G66:G72)</f>
        <v>0</v>
      </c>
    </row>
    <row r="75" customFormat="false" ht="15" hidden="false" customHeight="true" outlineLevel="0" collapsed="false">
      <c r="A75" s="89" t="s">
        <v>1075</v>
      </c>
      <c r="B75" s="89"/>
      <c r="C75" s="89"/>
      <c r="D75" s="89"/>
      <c r="E75" s="89"/>
      <c r="F75" s="89"/>
      <c r="G75" s="89"/>
      <c r="H75" s="89"/>
    </row>
    <row r="76" customFormat="false" ht="15" hidden="false" customHeight="true" outlineLevel="0" collapsed="false">
      <c r="A76" s="24" t="s">
        <v>987</v>
      </c>
      <c r="B76" s="24" t="s">
        <v>1058</v>
      </c>
      <c r="C76" s="24" t="s">
        <v>1076</v>
      </c>
      <c r="D76" s="24" t="s">
        <v>1077</v>
      </c>
      <c r="E76" s="24" t="s">
        <v>1078</v>
      </c>
      <c r="F76" s="24" t="s">
        <v>40</v>
      </c>
      <c r="G76" s="24" t="s">
        <v>1079</v>
      </c>
      <c r="H76" s="24" t="s">
        <v>993</v>
      </c>
    </row>
    <row r="77" customFormat="false" ht="15" hidden="false" customHeight="true" outlineLevel="0" collapsed="false">
      <c r="A77" s="77" t="s">
        <v>1080</v>
      </c>
      <c r="B77" s="81" t="s">
        <v>1081</v>
      </c>
      <c r="C77" s="81" t="s">
        <v>1082</v>
      </c>
      <c r="D77" s="78" t="n">
        <v>265</v>
      </c>
      <c r="E77" s="78" t="n">
        <v>0</v>
      </c>
      <c r="F77" s="81"/>
      <c r="G77" s="91" t="n">
        <f aca="false">IFERROR(D77*E77,0)</f>
        <v>0</v>
      </c>
      <c r="H77" s="81"/>
    </row>
    <row r="78" customFormat="false" ht="15" hidden="false" customHeight="true" outlineLevel="0" collapsed="false">
      <c r="A78" s="81"/>
      <c r="B78" s="81"/>
      <c r="C78" s="81" t="s">
        <v>1083</v>
      </c>
      <c r="D78" s="78" t="n">
        <v>1000</v>
      </c>
      <c r="E78" s="78" t="n">
        <v>0</v>
      </c>
      <c r="F78" s="81"/>
      <c r="G78" s="91" t="n">
        <f aca="false">IFERROR(D78*E78,0)</f>
        <v>0</v>
      </c>
      <c r="H78" s="81"/>
    </row>
    <row r="79" customFormat="false" ht="15" hidden="false" customHeight="true" outlineLevel="0" collapsed="false">
      <c r="A79" s="81"/>
      <c r="B79" s="81"/>
      <c r="C79" s="81" t="s">
        <v>1084</v>
      </c>
      <c r="D79" s="78" t="n">
        <v>350</v>
      </c>
      <c r="E79" s="78" t="n">
        <v>0</v>
      </c>
      <c r="F79" s="81"/>
      <c r="G79" s="91" t="n">
        <f aca="false">IFERROR(D79*E79,0)</f>
        <v>0</v>
      </c>
      <c r="H79" s="81"/>
    </row>
    <row r="80" customFormat="false" ht="15" hidden="false" customHeight="true" outlineLevel="0" collapsed="false">
      <c r="A80" s="81"/>
      <c r="B80" s="81"/>
      <c r="C80" s="81" t="s">
        <v>1085</v>
      </c>
      <c r="D80" s="78" t="n">
        <v>1500</v>
      </c>
      <c r="E80" s="78" t="n">
        <v>0</v>
      </c>
      <c r="F80" s="81"/>
      <c r="G80" s="91" t="n">
        <f aca="false">IFERROR(D80*E80,0)</f>
        <v>0</v>
      </c>
      <c r="H80" s="81"/>
    </row>
    <row r="81" customFormat="false" ht="15" hidden="false" customHeight="true" outlineLevel="0" collapsed="false">
      <c r="A81" s="81"/>
      <c r="B81" s="81"/>
      <c r="C81" s="81" t="s">
        <v>1086</v>
      </c>
      <c r="D81" s="78" t="n">
        <v>20000</v>
      </c>
      <c r="E81" s="78" t="n">
        <v>0</v>
      </c>
      <c r="F81" s="81"/>
      <c r="G81" s="91" t="n">
        <f aca="false">IFERROR(D81*E81,0)</f>
        <v>0</v>
      </c>
      <c r="H81" s="81"/>
    </row>
    <row r="82" customFormat="false" ht="15" hidden="false" customHeight="true" outlineLevel="0" collapsed="false">
      <c r="A82" s="81"/>
      <c r="B82" s="81"/>
      <c r="C82" s="81" t="s">
        <v>1087</v>
      </c>
      <c r="D82" s="78" t="n">
        <v>800</v>
      </c>
      <c r="E82" s="78" t="n">
        <v>0</v>
      </c>
      <c r="F82" s="81"/>
      <c r="G82" s="91" t="n">
        <f aca="false">IFERROR(D82*E82,0)</f>
        <v>0</v>
      </c>
      <c r="H82" s="81"/>
    </row>
    <row r="83" customFormat="false" ht="15" hidden="false" customHeight="true" outlineLevel="0" collapsed="false">
      <c r="A83" s="81"/>
      <c r="B83" s="81"/>
      <c r="C83" s="77" t="s">
        <v>1088</v>
      </c>
      <c r="D83" s="78" t="n">
        <v>8000</v>
      </c>
      <c r="E83" s="78" t="n">
        <v>0</v>
      </c>
      <c r="F83" s="81"/>
      <c r="G83" s="91" t="n">
        <f aca="false">IFERROR(D83*E83,0)</f>
        <v>0</v>
      </c>
      <c r="H83" s="81"/>
    </row>
    <row r="84" customFormat="false" ht="15" hidden="false" customHeight="true" outlineLevel="0" collapsed="false">
      <c r="A84" s="81"/>
      <c r="B84" s="81"/>
      <c r="C84" s="81" t="s">
        <v>1089</v>
      </c>
      <c r="D84" s="78" t="n">
        <v>4000</v>
      </c>
      <c r="E84" s="78" t="n">
        <v>0</v>
      </c>
      <c r="F84" s="81"/>
      <c r="G84" s="91" t="n">
        <f aca="false">IFERROR(D84*E84,0)</f>
        <v>0</v>
      </c>
      <c r="H84" s="81"/>
    </row>
    <row r="85" customFormat="false" ht="15" hidden="false" customHeight="true" outlineLevel="0" collapsed="false">
      <c r="A85" s="81"/>
      <c r="B85" s="81"/>
      <c r="C85" s="77" t="s">
        <v>1090</v>
      </c>
      <c r="D85" s="78" t="n">
        <v>8000</v>
      </c>
      <c r="E85" s="78" t="n">
        <v>0</v>
      </c>
      <c r="F85" s="81"/>
      <c r="G85" s="91" t="n">
        <f aca="false">IFERROR(D85*E85,0)</f>
        <v>0</v>
      </c>
      <c r="H85" s="81"/>
    </row>
    <row r="86" customFormat="false" ht="15" hidden="false" customHeight="true" outlineLevel="0" collapsed="false">
      <c r="A86" s="81"/>
      <c r="B86" s="81"/>
      <c r="C86" s="77" t="s">
        <v>1091</v>
      </c>
      <c r="D86" s="78" t="n">
        <v>4000</v>
      </c>
      <c r="E86" s="78" t="n">
        <v>0</v>
      </c>
      <c r="F86" s="81"/>
      <c r="G86" s="91" t="n">
        <f aca="false">IFERROR(D86*E86,0)</f>
        <v>0</v>
      </c>
      <c r="H86" s="81"/>
    </row>
    <row r="87" customFormat="false" ht="15" hidden="false" customHeight="true" outlineLevel="0" collapsed="false">
      <c r="A87" s="81"/>
      <c r="B87" s="81"/>
      <c r="C87" s="81" t="s">
        <v>1092</v>
      </c>
      <c r="D87" s="78" t="n">
        <v>800</v>
      </c>
      <c r="E87" s="78" t="n">
        <v>0</v>
      </c>
      <c r="F87" s="81"/>
      <c r="G87" s="91" t="n">
        <f aca="false">IFERROR(D87*E87,0)</f>
        <v>0</v>
      </c>
      <c r="H87" s="81"/>
    </row>
    <row r="88" customFormat="false" ht="15" hidden="false" customHeight="true" outlineLevel="0" collapsed="false">
      <c r="A88" s="81"/>
      <c r="B88" s="81"/>
      <c r="C88" s="81" t="s">
        <v>1093</v>
      </c>
      <c r="D88" s="78" t="n">
        <v>300</v>
      </c>
      <c r="E88" s="78" t="n">
        <v>0</v>
      </c>
      <c r="F88" s="81"/>
      <c r="G88" s="91" t="n">
        <f aca="false">IFERROR(D88*E88,0)</f>
        <v>0</v>
      </c>
      <c r="H88" s="81"/>
    </row>
    <row r="89" customFormat="false" ht="15" hidden="false" customHeight="true" outlineLevel="0" collapsed="false">
      <c r="C89" s="68" t="s">
        <v>1094</v>
      </c>
      <c r="G89" s="92" t="n">
        <f aca="false">SUM(G77:G88)</f>
        <v>0</v>
      </c>
    </row>
    <row r="90" customFormat="false" ht="15" hidden="false" customHeight="true" outlineLevel="0" collapsed="false">
      <c r="C90" s="68" t="s">
        <v>1095</v>
      </c>
      <c r="G90" s="83" t="n">
        <f aca="false">IFERROR($G$89/$G$3,0)</f>
        <v>0</v>
      </c>
      <c r="H90" s="28" t="s">
        <v>1096</v>
      </c>
    </row>
    <row r="91" customFormat="false" ht="15" hidden="false" customHeight="true" outlineLevel="0" collapsed="false">
      <c r="A91" s="86" t="s">
        <v>1097</v>
      </c>
      <c r="B91" s="86"/>
      <c r="C91" s="86"/>
      <c r="D91" s="86"/>
      <c r="E91" s="86"/>
      <c r="F91" s="86"/>
      <c r="G91" s="86"/>
      <c r="H91" s="88" t="n">
        <f aca="false">$H$62+$G$73+$G$90</f>
        <v>2.40464333436</v>
      </c>
    </row>
    <row r="93" customFormat="false" ht="42.75" hidden="false" customHeight="true" outlineLevel="0" collapsed="false">
      <c r="A93" s="93" t="s">
        <v>1098</v>
      </c>
    </row>
  </sheetData>
  <mergeCells count="12">
    <mergeCell ref="A1:H1"/>
    <mergeCell ref="E3:F3"/>
    <mergeCell ref="G4:H4"/>
    <mergeCell ref="A6:H6"/>
    <mergeCell ref="A17:H17"/>
    <mergeCell ref="A23:H23"/>
    <mergeCell ref="A30:H30"/>
    <mergeCell ref="A41:H41"/>
    <mergeCell ref="A62:F62"/>
    <mergeCell ref="A64:H64"/>
    <mergeCell ref="A75:H75"/>
    <mergeCell ref="A91:G9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5" min="4" style="0" width="14"/>
    <col collapsed="false" customWidth="true" hidden="false" outlineLevel="0" max="6" min="6" style="0" width="40"/>
  </cols>
  <sheetData>
    <row r="1" customFormat="false" ht="25.5" hidden="false" customHeight="true" outlineLevel="0" collapsed="false">
      <c r="A1" s="67" t="s">
        <v>1099</v>
      </c>
      <c r="B1" s="67"/>
      <c r="C1" s="67"/>
      <c r="D1" s="67"/>
      <c r="E1" s="67"/>
      <c r="F1" s="67"/>
    </row>
    <row r="3" customFormat="false" ht="15" hidden="false" customHeight="true" outlineLevel="0" collapsed="false">
      <c r="A3" s="94" t="s">
        <v>1100</v>
      </c>
      <c r="B3" s="94"/>
      <c r="C3" s="94"/>
      <c r="D3" s="94"/>
      <c r="E3" s="94"/>
      <c r="F3" s="94"/>
    </row>
    <row r="4" customFormat="false" ht="15" hidden="false" customHeight="true" outlineLevel="0" collapsed="false">
      <c r="A4" s="24" t="s">
        <v>242</v>
      </c>
      <c r="B4" s="24" t="s">
        <v>1101</v>
      </c>
      <c r="C4" s="24" t="s">
        <v>1102</v>
      </c>
      <c r="D4" s="24"/>
      <c r="E4" s="24"/>
      <c r="F4" s="24" t="s">
        <v>993</v>
      </c>
    </row>
    <row r="5" customFormat="false" ht="15" hidden="false" customHeight="false" outlineLevel="0" collapsed="false">
      <c r="A5" s="27" t="n">
        <v>1</v>
      </c>
      <c r="B5" s="81" t="s">
        <v>1103</v>
      </c>
      <c r="C5" s="95" t="n">
        <v>6.1656</v>
      </c>
      <c r="D5" s="95"/>
      <c r="E5" s="95"/>
      <c r="F5" s="63" t="s">
        <v>1104</v>
      </c>
    </row>
    <row r="6" customFormat="false" ht="15" hidden="false" customHeight="false" outlineLevel="0" collapsed="false">
      <c r="A6" s="27" t="n">
        <v>2</v>
      </c>
      <c r="B6" s="81" t="s">
        <v>1105</v>
      </c>
      <c r="C6" s="95" t="n">
        <v>0.2394</v>
      </c>
      <c r="D6" s="95"/>
      <c r="E6" s="95"/>
      <c r="F6" s="63" t="s">
        <v>1106</v>
      </c>
    </row>
    <row r="7" customFormat="false" ht="15" hidden="false" customHeight="false" outlineLevel="0" collapsed="false">
      <c r="A7" s="27" t="n">
        <v>3</v>
      </c>
      <c r="B7" s="81" t="s">
        <v>1107</v>
      </c>
      <c r="C7" s="95" t="n">
        <v>0</v>
      </c>
      <c r="D7" s="95"/>
      <c r="E7" s="95"/>
      <c r="F7" s="28" t="s">
        <v>1108</v>
      </c>
    </row>
    <row r="8" customFormat="false" ht="15" hidden="false" customHeight="false" outlineLevel="0" collapsed="false">
      <c r="A8" s="27" t="n">
        <v>4</v>
      </c>
      <c r="B8" s="81" t="s">
        <v>1109</v>
      </c>
      <c r="C8" s="95" t="n">
        <v>82.0882</v>
      </c>
      <c r="D8" s="95"/>
      <c r="E8" s="95"/>
      <c r="F8" s="28" t="s">
        <v>1110</v>
      </c>
    </row>
    <row r="9" customFormat="false" ht="15" hidden="false" customHeight="false" outlineLevel="0" collapsed="false">
      <c r="A9" s="27" t="n">
        <v>5</v>
      </c>
      <c r="B9" s="81" t="s">
        <v>1111</v>
      </c>
      <c r="C9" s="95" t="n">
        <v>0.8424</v>
      </c>
      <c r="D9" s="95"/>
      <c r="E9" s="95"/>
      <c r="F9" s="28" t="s">
        <v>1112</v>
      </c>
    </row>
    <row r="10" customFormat="false" ht="15" hidden="false" customHeight="false" outlineLevel="0" collapsed="false">
      <c r="A10" s="27" t="n">
        <v>6</v>
      </c>
      <c r="B10" s="81" t="s">
        <v>1113</v>
      </c>
      <c r="C10" s="95" t="n">
        <v>2.2</v>
      </c>
      <c r="D10" s="95"/>
      <c r="E10" s="95"/>
      <c r="F10" s="28" t="s">
        <v>1114</v>
      </c>
    </row>
    <row r="11" customFormat="false" ht="15" hidden="false" customHeight="false" outlineLevel="0" collapsed="false">
      <c r="A11" s="27" t="n">
        <v>7</v>
      </c>
      <c r="B11" s="81" t="s">
        <v>1115</v>
      </c>
      <c r="C11" s="95" t="n">
        <v>1.4745</v>
      </c>
      <c r="D11" s="95"/>
      <c r="E11" s="95"/>
      <c r="F11" s="28" t="s">
        <v>1116</v>
      </c>
    </row>
    <row r="12" customFormat="false" ht="15" hidden="false" customHeight="false" outlineLevel="0" collapsed="false">
      <c r="A12" s="27" t="n">
        <v>8</v>
      </c>
      <c r="B12" s="81" t="s">
        <v>1117</v>
      </c>
      <c r="C12" s="95" t="n">
        <v>1.4776</v>
      </c>
      <c r="D12" s="95"/>
      <c r="E12" s="95"/>
      <c r="F12" s="28" t="s">
        <v>1118</v>
      </c>
    </row>
    <row r="13" customFormat="false" ht="15" hidden="false" customHeight="false" outlineLevel="0" collapsed="false">
      <c r="A13" s="27" t="n">
        <v>9</v>
      </c>
      <c r="B13" s="81" t="s">
        <v>1119</v>
      </c>
      <c r="C13" s="95" t="n">
        <v>0</v>
      </c>
      <c r="D13" s="95"/>
      <c r="E13" s="95"/>
      <c r="F13" s="28" t="s">
        <v>1120</v>
      </c>
    </row>
    <row r="14" customFormat="false" ht="15" hidden="false" customHeight="false" outlineLevel="0" collapsed="false">
      <c r="A14" s="27" t="n">
        <v>10</v>
      </c>
      <c r="B14" s="81" t="s">
        <v>1121</v>
      </c>
      <c r="C14" s="95" t="n">
        <v>4.5477</v>
      </c>
      <c r="D14" s="95"/>
      <c r="E14" s="95"/>
      <c r="F14" s="28" t="s">
        <v>1122</v>
      </c>
    </row>
    <row r="15" customFormat="false" ht="15" hidden="false" customHeight="false" outlineLevel="0" collapsed="false">
      <c r="A15" s="27" t="n">
        <v>11</v>
      </c>
      <c r="B15" s="81" t="s">
        <v>1123</v>
      </c>
      <c r="C15" s="95" t="n">
        <v>21.3676</v>
      </c>
      <c r="D15" s="95"/>
      <c r="E15" s="95"/>
      <c r="F15" s="28" t="s">
        <v>1124</v>
      </c>
    </row>
    <row r="16" customFormat="false" ht="15" hidden="false" customHeight="false" outlineLevel="0" collapsed="false">
      <c r="A16" s="27" t="n">
        <v>12</v>
      </c>
      <c r="B16" s="81" t="s">
        <v>1125</v>
      </c>
      <c r="C16" s="95" t="n">
        <v>6.0253</v>
      </c>
      <c r="D16" s="95"/>
      <c r="E16" s="95"/>
      <c r="F16" s="28" t="s">
        <v>1126</v>
      </c>
    </row>
    <row r="17" customFormat="false" ht="15" hidden="false" customHeight="false" outlineLevel="0" collapsed="false">
      <c r="A17" s="27" t="n">
        <v>13</v>
      </c>
      <c r="B17" s="81" t="s">
        <v>1127</v>
      </c>
      <c r="C17" s="95" t="n">
        <v>0</v>
      </c>
      <c r="D17" s="95"/>
      <c r="E17" s="95"/>
      <c r="F17" s="28" t="s">
        <v>1128</v>
      </c>
    </row>
    <row r="18" customFormat="false" ht="15" hidden="false" customHeight="false" outlineLevel="0" collapsed="false">
      <c r="A18" s="87"/>
      <c r="B18" s="86" t="s">
        <v>1129</v>
      </c>
      <c r="C18" s="88" t="n">
        <f aca="false">SUM(C5:C17)</f>
        <v>126.4283</v>
      </c>
      <c r="D18" s="88"/>
      <c r="E18" s="88"/>
      <c r="F18" s="33" t="s">
        <v>1130</v>
      </c>
    </row>
    <row r="20" customFormat="false" ht="15" hidden="false" customHeight="true" outlineLevel="0" collapsed="false">
      <c r="A20" s="94" t="s">
        <v>1131</v>
      </c>
      <c r="B20" s="94"/>
      <c r="C20" s="94"/>
      <c r="D20" s="94"/>
      <c r="E20" s="94"/>
      <c r="F20" s="94"/>
    </row>
    <row r="21" customFormat="false" ht="15" hidden="false" customHeight="false" outlineLevel="0" collapsed="false">
      <c r="A21" s="24" t="s">
        <v>242</v>
      </c>
      <c r="B21" s="24" t="s">
        <v>1132</v>
      </c>
      <c r="C21" s="24" t="s">
        <v>1133</v>
      </c>
      <c r="D21" s="24" t="s">
        <v>1134</v>
      </c>
      <c r="E21" s="24" t="s">
        <v>1135</v>
      </c>
      <c r="F21" s="24" t="s">
        <v>40</v>
      </c>
    </row>
    <row r="22" customFormat="false" ht="15" hidden="false" customHeight="false" outlineLevel="0" collapsed="false">
      <c r="A22" s="27" t="n">
        <v>1</v>
      </c>
      <c r="B22" s="96" t="s">
        <v>1136</v>
      </c>
      <c r="C22" s="96" t="s">
        <v>1137</v>
      </c>
      <c r="D22" s="97" t="n">
        <v>12</v>
      </c>
      <c r="E22" s="97" t="n">
        <v>10</v>
      </c>
      <c r="F22" s="28"/>
    </row>
    <row r="23" customFormat="false" ht="15" hidden="false" customHeight="false" outlineLevel="0" collapsed="false">
      <c r="A23" s="27" t="n">
        <v>2</v>
      </c>
      <c r="B23" s="96" t="s">
        <v>1136</v>
      </c>
      <c r="C23" s="98" t="s">
        <v>1046</v>
      </c>
      <c r="D23" s="97" t="n">
        <v>12</v>
      </c>
      <c r="E23" s="97" t="n">
        <v>2</v>
      </c>
      <c r="F23" s="28"/>
    </row>
    <row r="24" customFormat="false" ht="15" hidden="false" customHeight="false" outlineLevel="0" collapsed="false">
      <c r="A24" s="27" t="n">
        <v>3</v>
      </c>
      <c r="B24" s="96" t="s">
        <v>1136</v>
      </c>
      <c r="C24" s="96" t="s">
        <v>1138</v>
      </c>
      <c r="D24" s="97" t="n">
        <v>12</v>
      </c>
      <c r="E24" s="97" t="n">
        <v>2</v>
      </c>
      <c r="F24" s="28"/>
    </row>
    <row r="25" customFormat="false" ht="15" hidden="false" customHeight="false" outlineLevel="0" collapsed="false">
      <c r="A25" s="27" t="n">
        <v>4</v>
      </c>
      <c r="B25" s="96" t="s">
        <v>1136</v>
      </c>
      <c r="C25" s="98" t="s">
        <v>1139</v>
      </c>
      <c r="D25" s="97" t="n">
        <v>12</v>
      </c>
      <c r="E25" s="97" t="n">
        <v>0.24</v>
      </c>
      <c r="F25" s="28"/>
    </row>
    <row r="26" customFormat="false" ht="15" hidden="false" customHeight="false" outlineLevel="0" collapsed="false">
      <c r="A26" s="27" t="n">
        <v>5</v>
      </c>
      <c r="B26" s="96" t="s">
        <v>1136</v>
      </c>
      <c r="C26" s="96" t="s">
        <v>1140</v>
      </c>
      <c r="D26" s="97" t="n">
        <v>12</v>
      </c>
      <c r="E26" s="97" t="n">
        <v>0.6</v>
      </c>
      <c r="F26" s="28"/>
    </row>
    <row r="27" customFormat="false" ht="15" hidden="false" customHeight="false" outlineLevel="0" collapsed="false">
      <c r="A27" s="27" t="n">
        <v>6</v>
      </c>
      <c r="B27" s="96" t="s">
        <v>1136</v>
      </c>
      <c r="C27" s="96" t="s">
        <v>1141</v>
      </c>
      <c r="D27" s="97" t="n">
        <v>12</v>
      </c>
      <c r="E27" s="97" t="n">
        <v>0.6</v>
      </c>
      <c r="F27" s="28"/>
    </row>
    <row r="28" customFormat="false" ht="15" hidden="false" customHeight="false" outlineLevel="0" collapsed="false">
      <c r="A28" s="27" t="n">
        <v>7</v>
      </c>
      <c r="B28" s="96" t="s">
        <v>1136</v>
      </c>
      <c r="C28" s="96" t="s">
        <v>1142</v>
      </c>
      <c r="D28" s="97" t="n">
        <v>12</v>
      </c>
      <c r="E28" s="97" t="n">
        <v>0.36</v>
      </c>
      <c r="F28" s="28"/>
    </row>
    <row r="29" customFormat="false" ht="15" hidden="false" customHeight="false" outlineLevel="0" collapsed="false">
      <c r="A29" s="27" t="n">
        <v>8</v>
      </c>
      <c r="B29" s="96" t="s">
        <v>1136</v>
      </c>
      <c r="C29" s="96" t="s">
        <v>1053</v>
      </c>
      <c r="D29" s="97" t="n">
        <v>12</v>
      </c>
      <c r="E29" s="97" t="n">
        <v>2</v>
      </c>
      <c r="F29" s="28"/>
    </row>
    <row r="30" customFormat="false" ht="15" hidden="false" customHeight="false" outlineLevel="0" collapsed="false">
      <c r="A30" s="27" t="n">
        <v>9</v>
      </c>
      <c r="B30" s="96" t="s">
        <v>1143</v>
      </c>
      <c r="C30" s="96" t="s">
        <v>1144</v>
      </c>
      <c r="D30" s="97" t="n">
        <v>80</v>
      </c>
      <c r="E30" s="97" t="n">
        <v>5</v>
      </c>
      <c r="F30" s="28"/>
    </row>
    <row r="31" customFormat="false" ht="15" hidden="false" customHeight="false" outlineLevel="0" collapsed="false">
      <c r="A31" s="27" t="n">
        <v>10</v>
      </c>
      <c r="B31" s="96" t="s">
        <v>1143</v>
      </c>
      <c r="C31" s="96" t="s">
        <v>1039</v>
      </c>
      <c r="D31" s="97" t="n">
        <v>80</v>
      </c>
      <c r="E31" s="97" t="n">
        <v>9</v>
      </c>
      <c r="F31" s="28"/>
    </row>
    <row r="32" customFormat="false" ht="15" hidden="false" customHeight="false" outlineLevel="0" collapsed="false">
      <c r="A32" s="27" t="n">
        <v>11</v>
      </c>
      <c r="B32" s="96" t="s">
        <v>1143</v>
      </c>
      <c r="C32" s="96" t="s">
        <v>1142</v>
      </c>
      <c r="D32" s="97" t="n">
        <v>80</v>
      </c>
      <c r="E32" s="97" t="n">
        <v>0.5</v>
      </c>
      <c r="F32" s="28"/>
    </row>
    <row r="33" customFormat="false" ht="15" hidden="false" customHeight="false" outlineLevel="0" collapsed="false">
      <c r="A33" s="27" t="n">
        <v>12</v>
      </c>
      <c r="B33" s="96" t="s">
        <v>1143</v>
      </c>
      <c r="C33" s="96" t="s">
        <v>1145</v>
      </c>
      <c r="D33" s="97" t="n">
        <v>80</v>
      </c>
      <c r="E33" s="97" t="n">
        <v>0.6</v>
      </c>
      <c r="F33" s="28"/>
    </row>
    <row r="34" customFormat="false" ht="15" hidden="false" customHeight="false" outlineLevel="0" collapsed="false">
      <c r="A34" s="27" t="n">
        <v>13</v>
      </c>
      <c r="B34" s="96" t="s">
        <v>1143</v>
      </c>
      <c r="C34" s="96" t="s">
        <v>1141</v>
      </c>
      <c r="D34" s="97" t="n">
        <v>80</v>
      </c>
      <c r="E34" s="97" t="n">
        <v>0.4</v>
      </c>
      <c r="F34" s="28"/>
    </row>
    <row r="35" customFormat="false" ht="15" hidden="false" customHeight="false" outlineLevel="0" collapsed="false">
      <c r="A35" s="27" t="n">
        <v>14</v>
      </c>
      <c r="B35" s="96" t="s">
        <v>1143</v>
      </c>
      <c r="C35" s="96" t="s">
        <v>1146</v>
      </c>
      <c r="D35" s="97" t="n">
        <v>80</v>
      </c>
      <c r="E35" s="97" t="n">
        <v>0.4</v>
      </c>
      <c r="F35" s="28"/>
    </row>
    <row r="36" customFormat="false" ht="15" hidden="false" customHeight="false" outlineLevel="0" collapsed="false">
      <c r="A36" s="27" t="n">
        <v>15</v>
      </c>
      <c r="B36" s="96" t="s">
        <v>1143</v>
      </c>
      <c r="C36" s="96" t="s">
        <v>1140</v>
      </c>
      <c r="D36" s="97" t="n">
        <v>80</v>
      </c>
      <c r="E36" s="97" t="n">
        <v>0.5</v>
      </c>
      <c r="F36" s="28"/>
    </row>
    <row r="37" customFormat="false" ht="15" hidden="false" customHeight="false" outlineLevel="0" collapsed="false">
      <c r="A37" s="27" t="n">
        <v>16</v>
      </c>
      <c r="B37" s="96" t="s">
        <v>1143</v>
      </c>
      <c r="C37" s="96" t="s">
        <v>1147</v>
      </c>
      <c r="D37" s="97" t="n">
        <v>80</v>
      </c>
      <c r="E37" s="97" t="n">
        <v>1</v>
      </c>
      <c r="F37" s="28"/>
    </row>
    <row r="38" customFormat="false" ht="15" hidden="false" customHeight="false" outlineLevel="0" collapsed="false">
      <c r="A38" s="27" t="n">
        <v>17</v>
      </c>
      <c r="B38" s="96" t="s">
        <v>1143</v>
      </c>
      <c r="C38" s="96" t="s">
        <v>1138</v>
      </c>
      <c r="D38" s="97" t="n">
        <v>80</v>
      </c>
      <c r="E38" s="97" t="n">
        <v>1</v>
      </c>
      <c r="F38" s="28"/>
    </row>
    <row r="39" customFormat="false" ht="15" hidden="false" customHeight="false" outlineLevel="0" collapsed="false">
      <c r="A39" s="27" t="n">
        <v>18</v>
      </c>
      <c r="B39" s="96" t="s">
        <v>1143</v>
      </c>
      <c r="C39" s="98" t="s">
        <v>1044</v>
      </c>
      <c r="D39" s="97" t="n">
        <v>80</v>
      </c>
      <c r="E39" s="97" t="n">
        <v>1</v>
      </c>
      <c r="F39" s="28"/>
    </row>
    <row r="40" customFormat="false" ht="15" hidden="false" customHeight="false" outlineLevel="0" collapsed="false">
      <c r="A40" s="27" t="n">
        <v>19</v>
      </c>
      <c r="B40" s="96" t="s">
        <v>1143</v>
      </c>
      <c r="C40" s="96" t="s">
        <v>1148</v>
      </c>
      <c r="D40" s="97" t="n">
        <v>80</v>
      </c>
      <c r="E40" s="97" t="n">
        <v>1</v>
      </c>
      <c r="F40" s="28"/>
    </row>
    <row r="41" customFormat="false" ht="15" hidden="false" customHeight="false" outlineLevel="0" collapsed="false">
      <c r="A41" s="27" t="n">
        <v>20</v>
      </c>
      <c r="B41" s="96" t="s">
        <v>1143</v>
      </c>
      <c r="C41" s="98" t="s">
        <v>1046</v>
      </c>
      <c r="D41" s="97" t="n">
        <v>80</v>
      </c>
      <c r="E41" s="97" t="n">
        <v>2</v>
      </c>
      <c r="F41" s="28"/>
    </row>
    <row r="42" customFormat="false" ht="15" hidden="false" customHeight="false" outlineLevel="0" collapsed="false">
      <c r="A42" s="27" t="n">
        <v>21</v>
      </c>
      <c r="B42" s="96" t="s">
        <v>1149</v>
      </c>
      <c r="C42" s="96" t="s">
        <v>1138</v>
      </c>
      <c r="D42" s="97" t="n">
        <v>40</v>
      </c>
      <c r="E42" s="97" t="n">
        <v>1</v>
      </c>
      <c r="F42" s="28"/>
    </row>
    <row r="43" customFormat="false" ht="15" hidden="false" customHeight="false" outlineLevel="0" collapsed="false">
      <c r="A43" s="27" t="n">
        <v>22</v>
      </c>
      <c r="B43" s="96" t="s">
        <v>1149</v>
      </c>
      <c r="C43" s="98" t="s">
        <v>1046</v>
      </c>
      <c r="D43" s="97" t="n">
        <v>40</v>
      </c>
      <c r="E43" s="97" t="n">
        <v>2</v>
      </c>
      <c r="F43" s="28"/>
    </row>
    <row r="44" customFormat="false" ht="15" hidden="false" customHeight="false" outlineLevel="0" collapsed="false">
      <c r="A44" s="27" t="n">
        <v>23</v>
      </c>
      <c r="B44" s="96" t="s">
        <v>1149</v>
      </c>
      <c r="C44" s="96" t="s">
        <v>1137</v>
      </c>
      <c r="D44" s="97" t="n">
        <v>40</v>
      </c>
      <c r="E44" s="97" t="n">
        <v>2</v>
      </c>
      <c r="F44" s="28"/>
    </row>
    <row r="45" customFormat="false" ht="15" hidden="false" customHeight="false" outlineLevel="0" collapsed="false">
      <c r="A45" s="27" t="n">
        <v>24</v>
      </c>
      <c r="B45" s="96" t="s">
        <v>1149</v>
      </c>
      <c r="C45" s="96" t="s">
        <v>1144</v>
      </c>
      <c r="D45" s="97" t="n">
        <v>40</v>
      </c>
      <c r="E45" s="97" t="n">
        <v>6</v>
      </c>
      <c r="F45" s="28"/>
    </row>
    <row r="46" customFormat="false" ht="15" hidden="false" customHeight="false" outlineLevel="0" collapsed="false">
      <c r="A46" s="27" t="n">
        <v>25</v>
      </c>
      <c r="B46" s="96" t="s">
        <v>1149</v>
      </c>
      <c r="C46" s="96" t="s">
        <v>1142</v>
      </c>
      <c r="D46" s="97" t="n">
        <v>40</v>
      </c>
      <c r="E46" s="97" t="n">
        <v>0.4</v>
      </c>
      <c r="F46" s="28"/>
    </row>
    <row r="47" customFormat="false" ht="15" hidden="false" customHeight="false" outlineLevel="0" collapsed="false">
      <c r="A47" s="27" t="n">
        <v>26</v>
      </c>
      <c r="B47" s="96" t="s">
        <v>1149</v>
      </c>
      <c r="C47" s="96" t="s">
        <v>1141</v>
      </c>
      <c r="D47" s="97" t="n">
        <v>40</v>
      </c>
      <c r="E47" s="97" t="n">
        <v>0.3</v>
      </c>
      <c r="F47" s="28"/>
    </row>
    <row r="48" customFormat="false" ht="15" hidden="false" customHeight="false" outlineLevel="0" collapsed="false">
      <c r="A48" s="27" t="n">
        <v>27</v>
      </c>
      <c r="B48" s="96" t="s">
        <v>1149</v>
      </c>
      <c r="C48" s="96" t="s">
        <v>1140</v>
      </c>
      <c r="D48" s="97" t="n">
        <v>40</v>
      </c>
      <c r="E48" s="97" t="n">
        <v>0.6</v>
      </c>
      <c r="F48" s="28"/>
    </row>
    <row r="49" customFormat="false" ht="15" hidden="false" customHeight="false" outlineLevel="0" collapsed="false">
      <c r="A49" s="27" t="n">
        <v>28</v>
      </c>
      <c r="B49" s="96" t="s">
        <v>1149</v>
      </c>
      <c r="C49" s="98" t="s">
        <v>1139</v>
      </c>
      <c r="D49" s="97" t="n">
        <v>40</v>
      </c>
      <c r="E49" s="97" t="n">
        <v>0.5</v>
      </c>
      <c r="F49" s="28"/>
    </row>
    <row r="50" customFormat="false" ht="15" hidden="false" customHeight="false" outlineLevel="0" collapsed="false">
      <c r="A50" s="27" t="n">
        <v>29</v>
      </c>
      <c r="B50" s="96" t="s">
        <v>1143</v>
      </c>
      <c r="C50" s="96" t="s">
        <v>1144</v>
      </c>
      <c r="D50" s="97" t="n">
        <v>110</v>
      </c>
      <c r="E50" s="97" t="n">
        <v>3</v>
      </c>
      <c r="F50" s="28"/>
    </row>
    <row r="51" customFormat="false" ht="15" hidden="false" customHeight="false" outlineLevel="0" collapsed="false">
      <c r="A51" s="27" t="n">
        <v>30</v>
      </c>
      <c r="B51" s="96" t="s">
        <v>1143</v>
      </c>
      <c r="C51" s="98" t="s">
        <v>1044</v>
      </c>
      <c r="D51" s="97" t="n">
        <v>110</v>
      </c>
      <c r="E51" s="97" t="n">
        <v>1</v>
      </c>
      <c r="F51" s="28"/>
    </row>
    <row r="52" customFormat="false" ht="15" hidden="false" customHeight="false" outlineLevel="0" collapsed="false">
      <c r="A52" s="27" t="n">
        <v>31</v>
      </c>
      <c r="B52" s="96" t="s">
        <v>1143</v>
      </c>
      <c r="C52" s="96" t="s">
        <v>1148</v>
      </c>
      <c r="D52" s="97" t="n">
        <v>110</v>
      </c>
      <c r="E52" s="97" t="n">
        <v>1</v>
      </c>
      <c r="F52" s="28"/>
    </row>
    <row r="53" customFormat="false" ht="15" hidden="false" customHeight="false" outlineLevel="0" collapsed="false">
      <c r="A53" s="27" t="n">
        <v>32</v>
      </c>
      <c r="B53" s="96" t="s">
        <v>1143</v>
      </c>
      <c r="C53" s="98" t="s">
        <v>1046</v>
      </c>
      <c r="D53" s="97" t="n">
        <v>110</v>
      </c>
      <c r="E53" s="97" t="n">
        <v>3</v>
      </c>
      <c r="F53" s="28"/>
    </row>
    <row r="54" customFormat="false" ht="15" hidden="false" customHeight="false" outlineLevel="0" collapsed="false">
      <c r="A54" s="27" t="n">
        <v>33</v>
      </c>
      <c r="B54" s="96" t="s">
        <v>1143</v>
      </c>
      <c r="C54" s="96" t="s">
        <v>1138</v>
      </c>
      <c r="D54" s="97" t="n">
        <v>110</v>
      </c>
      <c r="E54" s="97" t="n">
        <v>2</v>
      </c>
      <c r="F54" s="28"/>
    </row>
    <row r="55" customFormat="false" ht="15" hidden="false" customHeight="false" outlineLevel="0" collapsed="false">
      <c r="A55" s="27" t="n">
        <v>34</v>
      </c>
      <c r="B55" s="96" t="s">
        <v>1143</v>
      </c>
      <c r="C55" s="96" t="s">
        <v>1147</v>
      </c>
      <c r="D55" s="97" t="n">
        <v>110</v>
      </c>
      <c r="E55" s="97" t="n">
        <v>1</v>
      </c>
      <c r="F55" s="28"/>
    </row>
    <row r="56" customFormat="false" ht="15" hidden="false" customHeight="false" outlineLevel="0" collapsed="false">
      <c r="A56" s="27" t="n">
        <v>35</v>
      </c>
      <c r="B56" s="96" t="s">
        <v>1143</v>
      </c>
      <c r="C56" s="98" t="s">
        <v>1139</v>
      </c>
      <c r="D56" s="97" t="n">
        <v>110</v>
      </c>
      <c r="E56" s="97" t="n">
        <v>0.3</v>
      </c>
      <c r="F56" s="28"/>
    </row>
    <row r="57" customFormat="false" ht="15" hidden="false" customHeight="false" outlineLevel="0" collapsed="false">
      <c r="A57" s="27" t="n">
        <v>36</v>
      </c>
      <c r="B57" s="96" t="s">
        <v>1143</v>
      </c>
      <c r="C57" s="96" t="s">
        <v>1146</v>
      </c>
      <c r="D57" s="97" t="n">
        <v>110</v>
      </c>
      <c r="E57" s="97" t="n">
        <v>0.4</v>
      </c>
      <c r="F57" s="28"/>
    </row>
    <row r="58" customFormat="false" ht="15" hidden="false" customHeight="false" outlineLevel="0" collapsed="false">
      <c r="A58" s="27" t="n">
        <v>37</v>
      </c>
      <c r="B58" s="96" t="s">
        <v>1143</v>
      </c>
      <c r="C58" s="96" t="s">
        <v>1039</v>
      </c>
      <c r="D58" s="97" t="n">
        <v>110</v>
      </c>
      <c r="E58" s="97" t="n">
        <v>9</v>
      </c>
      <c r="F58" s="28"/>
    </row>
    <row r="59" customFormat="false" ht="15" hidden="false" customHeight="false" outlineLevel="0" collapsed="false">
      <c r="A59" s="27" t="n">
        <v>38</v>
      </c>
      <c r="B59" s="96" t="s">
        <v>1143</v>
      </c>
      <c r="C59" s="96" t="s">
        <v>1141</v>
      </c>
      <c r="D59" s="97" t="n">
        <v>110</v>
      </c>
      <c r="E59" s="97" t="n">
        <v>0.3</v>
      </c>
      <c r="F59" s="28"/>
    </row>
    <row r="60" customFormat="false" ht="15" hidden="false" customHeight="false" outlineLevel="0" collapsed="false">
      <c r="A60" s="27" t="n">
        <v>39</v>
      </c>
      <c r="B60" s="96" t="s">
        <v>1143</v>
      </c>
      <c r="C60" s="96" t="s">
        <v>1145</v>
      </c>
      <c r="D60" s="97" t="n">
        <v>110</v>
      </c>
      <c r="E60" s="97" t="n">
        <v>0.3</v>
      </c>
      <c r="F60" s="28"/>
    </row>
    <row r="61" customFormat="false" ht="15" hidden="false" customHeight="false" outlineLevel="0" collapsed="false">
      <c r="A61" s="27" t="n">
        <v>40</v>
      </c>
      <c r="B61" s="96" t="s">
        <v>1143</v>
      </c>
      <c r="C61" s="96" t="s">
        <v>1142</v>
      </c>
      <c r="D61" s="97" t="n">
        <v>110</v>
      </c>
      <c r="E61" s="97" t="n">
        <v>0.6</v>
      </c>
      <c r="F61" s="28"/>
    </row>
    <row r="62" customFormat="false" ht="15" hidden="false" customHeight="false" outlineLevel="0" collapsed="false">
      <c r="A62" s="27" t="n">
        <v>41</v>
      </c>
      <c r="B62" s="96" t="s">
        <v>1143</v>
      </c>
      <c r="C62" s="96" t="s">
        <v>1140</v>
      </c>
      <c r="D62" s="97" t="n">
        <v>110</v>
      </c>
      <c r="E62" s="97" t="n">
        <v>0.5</v>
      </c>
      <c r="F62" s="28"/>
    </row>
    <row r="63" customFormat="false" ht="15" hidden="false" customHeight="false" outlineLevel="0" collapsed="false">
      <c r="A63" s="27" t="n">
        <v>42</v>
      </c>
      <c r="B63" s="96" t="s">
        <v>1143</v>
      </c>
      <c r="C63" s="96" t="s">
        <v>1138</v>
      </c>
      <c r="D63" s="97" t="n">
        <v>240</v>
      </c>
      <c r="E63" s="97" t="n">
        <v>1</v>
      </c>
      <c r="F63" s="28"/>
    </row>
    <row r="64" customFormat="false" ht="15" hidden="false" customHeight="false" outlineLevel="0" collapsed="false">
      <c r="A64" s="27" t="n">
        <v>43</v>
      </c>
      <c r="B64" s="96" t="s">
        <v>1143</v>
      </c>
      <c r="C64" s="96" t="s">
        <v>1039</v>
      </c>
      <c r="D64" s="97" t="n">
        <v>240</v>
      </c>
      <c r="E64" s="97" t="n">
        <v>6</v>
      </c>
      <c r="F64" s="28"/>
    </row>
    <row r="65" customFormat="false" ht="15" hidden="false" customHeight="false" outlineLevel="0" collapsed="false">
      <c r="A65" s="27" t="n">
        <v>44</v>
      </c>
      <c r="B65" s="96" t="s">
        <v>1143</v>
      </c>
      <c r="C65" s="96" t="s">
        <v>1144</v>
      </c>
      <c r="D65" s="97" t="n">
        <v>240</v>
      </c>
      <c r="E65" s="97" t="n">
        <v>7</v>
      </c>
      <c r="F65" s="28"/>
    </row>
    <row r="66" customFormat="false" ht="15" hidden="false" customHeight="false" outlineLevel="0" collapsed="false">
      <c r="A66" s="27" t="n">
        <v>45</v>
      </c>
      <c r="B66" s="96" t="s">
        <v>1143</v>
      </c>
      <c r="C66" s="98" t="s">
        <v>1044</v>
      </c>
      <c r="D66" s="97" t="n">
        <v>240</v>
      </c>
      <c r="E66" s="97" t="n">
        <v>1</v>
      </c>
      <c r="F66" s="28"/>
    </row>
    <row r="67" customFormat="false" ht="15" hidden="false" customHeight="false" outlineLevel="0" collapsed="false">
      <c r="A67" s="27" t="n">
        <v>46</v>
      </c>
      <c r="B67" s="96" t="s">
        <v>1143</v>
      </c>
      <c r="C67" s="96" t="s">
        <v>1147</v>
      </c>
      <c r="D67" s="97" t="n">
        <v>240</v>
      </c>
      <c r="E67" s="97" t="n">
        <v>1</v>
      </c>
      <c r="F67" s="28"/>
    </row>
    <row r="68" customFormat="false" ht="15" hidden="false" customHeight="false" outlineLevel="0" collapsed="false">
      <c r="A68" s="27" t="n">
        <v>47</v>
      </c>
      <c r="B68" s="96" t="s">
        <v>1143</v>
      </c>
      <c r="C68" s="98" t="s">
        <v>1139</v>
      </c>
      <c r="D68" s="97" t="n">
        <v>240</v>
      </c>
      <c r="E68" s="97" t="n">
        <v>0.4</v>
      </c>
      <c r="F68" s="28"/>
    </row>
    <row r="69" customFormat="false" ht="15" hidden="false" customHeight="false" outlineLevel="0" collapsed="false">
      <c r="A69" s="27" t="n">
        <v>48</v>
      </c>
      <c r="B69" s="96" t="s">
        <v>1143</v>
      </c>
      <c r="C69" s="96" t="s">
        <v>1146</v>
      </c>
      <c r="D69" s="97" t="n">
        <v>240</v>
      </c>
      <c r="E69" s="97" t="n">
        <v>0.4</v>
      </c>
      <c r="F69" s="28"/>
    </row>
    <row r="70" customFormat="false" ht="15" hidden="false" customHeight="false" outlineLevel="0" collapsed="false">
      <c r="A70" s="27" t="n">
        <v>49</v>
      </c>
      <c r="B70" s="96" t="s">
        <v>1143</v>
      </c>
      <c r="C70" s="96" t="s">
        <v>1141</v>
      </c>
      <c r="D70" s="97" t="n">
        <v>240</v>
      </c>
      <c r="E70" s="97" t="n">
        <v>0.3</v>
      </c>
      <c r="F70" s="28"/>
    </row>
    <row r="71" customFormat="false" ht="15" hidden="false" customHeight="false" outlineLevel="0" collapsed="false">
      <c r="A71" s="27" t="n">
        <v>50</v>
      </c>
      <c r="B71" s="96" t="s">
        <v>1143</v>
      </c>
      <c r="C71" s="96" t="s">
        <v>1145</v>
      </c>
      <c r="D71" s="97" t="n">
        <v>240</v>
      </c>
      <c r="E71" s="97" t="n">
        <v>0.5</v>
      </c>
      <c r="F71" s="28"/>
    </row>
    <row r="72" customFormat="false" ht="15" hidden="false" customHeight="false" outlineLevel="0" collapsed="false">
      <c r="A72" s="27" t="n">
        <v>51</v>
      </c>
      <c r="B72" s="96" t="s">
        <v>1143</v>
      </c>
      <c r="C72" s="96" t="s">
        <v>1142</v>
      </c>
      <c r="D72" s="97" t="n">
        <v>240</v>
      </c>
      <c r="E72" s="97" t="n">
        <v>0.6</v>
      </c>
      <c r="F72" s="28"/>
    </row>
    <row r="73" customFormat="false" ht="15" hidden="false" customHeight="false" outlineLevel="0" collapsed="false">
      <c r="A73" s="27" t="n">
        <v>52</v>
      </c>
      <c r="B73" s="96" t="s">
        <v>1143</v>
      </c>
      <c r="C73" s="96" t="s">
        <v>1140</v>
      </c>
      <c r="D73" s="97" t="n">
        <v>240</v>
      </c>
      <c r="E73" s="97" t="n">
        <v>0.6</v>
      </c>
      <c r="F73" s="28"/>
    </row>
    <row r="74" customFormat="false" ht="15" hidden="false" customHeight="false" outlineLevel="0" collapsed="false">
      <c r="A74" s="87"/>
      <c r="B74" s="87"/>
      <c r="C74" s="68" t="s">
        <v>1150</v>
      </c>
      <c r="D74" s="99" t="n">
        <v>82.0882</v>
      </c>
      <c r="E74" s="99"/>
      <c r="F74" s="33" t="s">
        <v>1151</v>
      </c>
    </row>
    <row r="76" customFormat="false" ht="15" hidden="false" customHeight="true" outlineLevel="0" collapsed="false">
      <c r="A76" s="94" t="s">
        <v>1152</v>
      </c>
      <c r="B76" s="94"/>
      <c r="C76" s="94"/>
      <c r="D76" s="94"/>
      <c r="E76" s="94"/>
      <c r="F76" s="94"/>
    </row>
    <row r="77" customFormat="false" ht="15" hidden="false" customHeight="false" outlineLevel="0" collapsed="false">
      <c r="A77" s="24" t="s">
        <v>242</v>
      </c>
      <c r="B77" s="24" t="s">
        <v>1153</v>
      </c>
      <c r="C77" s="24" t="s">
        <v>1154</v>
      </c>
      <c r="D77" s="24" t="s">
        <v>1155</v>
      </c>
      <c r="E77" s="24" t="s">
        <v>1156</v>
      </c>
      <c r="F77" s="24" t="s">
        <v>1157</v>
      </c>
    </row>
    <row r="78" customFormat="false" ht="15" hidden="false" customHeight="false" outlineLevel="0" collapsed="false">
      <c r="A78" s="27" t="n">
        <v>1</v>
      </c>
      <c r="B78" s="96" t="s">
        <v>1158</v>
      </c>
      <c r="C78" s="100" t="n">
        <v>2</v>
      </c>
      <c r="D78" s="101" t="n">
        <v>2000</v>
      </c>
      <c r="E78" s="102" t="n">
        <v>4000</v>
      </c>
      <c r="F78" s="28" t="s">
        <v>1159</v>
      </c>
    </row>
    <row r="79" customFormat="false" ht="15" hidden="false" customHeight="false" outlineLevel="0" collapsed="false">
      <c r="A79" s="27" t="n">
        <v>2</v>
      </c>
      <c r="B79" s="96" t="s">
        <v>1160</v>
      </c>
      <c r="C79" s="100" t="n">
        <v>2</v>
      </c>
      <c r="D79" s="101" t="n">
        <v>4000</v>
      </c>
      <c r="E79" s="102" t="n">
        <v>8000</v>
      </c>
      <c r="F79" s="28" t="s">
        <v>1161</v>
      </c>
    </row>
    <row r="80" customFormat="false" ht="15" hidden="false" customHeight="false" outlineLevel="0" collapsed="false">
      <c r="A80" s="27" t="n">
        <v>3</v>
      </c>
      <c r="B80" s="96" t="s">
        <v>1162</v>
      </c>
      <c r="C80" s="100" t="n">
        <v>15</v>
      </c>
      <c r="D80" s="101" t="n">
        <v>300</v>
      </c>
      <c r="E80" s="102" t="n">
        <v>4500</v>
      </c>
      <c r="F80" s="28" t="s">
        <v>1163</v>
      </c>
    </row>
    <row r="81" customFormat="false" ht="15" hidden="false" customHeight="false" outlineLevel="0" collapsed="false">
      <c r="A81" s="27" t="n">
        <v>4</v>
      </c>
      <c r="B81" s="96" t="s">
        <v>1164</v>
      </c>
      <c r="C81" s="100" t="n">
        <v>0</v>
      </c>
      <c r="D81" s="101" t="n">
        <v>0</v>
      </c>
      <c r="E81" s="102" t="n">
        <v>0</v>
      </c>
      <c r="F81" s="28" t="s">
        <v>1165</v>
      </c>
    </row>
    <row r="82" customFormat="false" ht="15" hidden="false" customHeight="false" outlineLevel="0" collapsed="false">
      <c r="A82" s="27" t="n">
        <v>5</v>
      </c>
      <c r="B82" s="96" t="s">
        <v>1166</v>
      </c>
      <c r="C82" s="100" t="n">
        <v>2</v>
      </c>
      <c r="D82" s="101" t="n">
        <v>4000</v>
      </c>
      <c r="E82" s="102" t="n">
        <v>8000</v>
      </c>
      <c r="F82" s="28" t="s">
        <v>1161</v>
      </c>
    </row>
    <row r="83" customFormat="false" ht="15" hidden="false" customHeight="false" outlineLevel="0" collapsed="false">
      <c r="A83" s="27" t="n">
        <v>6</v>
      </c>
      <c r="B83" s="98" t="s">
        <v>1167</v>
      </c>
      <c r="C83" s="100" t="n">
        <v>1</v>
      </c>
      <c r="D83" s="101" t="n">
        <v>0</v>
      </c>
      <c r="E83" s="102" t="n">
        <v>0</v>
      </c>
      <c r="F83" s="28" t="s">
        <v>1165</v>
      </c>
    </row>
    <row r="84" customFormat="false" ht="15" hidden="false" customHeight="false" outlineLevel="0" collapsed="false">
      <c r="A84" s="27" t="n">
        <v>7</v>
      </c>
      <c r="B84" s="96" t="s">
        <v>1158</v>
      </c>
      <c r="C84" s="100" t="n">
        <v>3</v>
      </c>
      <c r="D84" s="101" t="n">
        <v>0</v>
      </c>
      <c r="E84" s="102" t="n">
        <v>0</v>
      </c>
      <c r="F84" s="28" t="s">
        <v>1165</v>
      </c>
    </row>
    <row r="85" customFormat="false" ht="15" hidden="false" customHeight="false" outlineLevel="0" collapsed="false">
      <c r="A85" s="27" t="n">
        <v>8</v>
      </c>
      <c r="B85" s="96" t="s">
        <v>1168</v>
      </c>
      <c r="C85" s="100" t="n">
        <v>3</v>
      </c>
      <c r="D85" s="101" t="n">
        <v>400</v>
      </c>
      <c r="E85" s="102" t="n">
        <v>1200</v>
      </c>
      <c r="F85" s="28" t="s">
        <v>1169</v>
      </c>
    </row>
    <row r="86" customFormat="false" ht="15" hidden="false" customHeight="false" outlineLevel="0" collapsed="false">
      <c r="A86" s="27" t="n">
        <v>9</v>
      </c>
      <c r="B86" s="96" t="s">
        <v>1164</v>
      </c>
      <c r="C86" s="100" t="n">
        <v>15</v>
      </c>
      <c r="D86" s="101" t="n">
        <v>0</v>
      </c>
      <c r="E86" s="102" t="n">
        <v>0</v>
      </c>
      <c r="F86" s="28" t="s">
        <v>1165</v>
      </c>
    </row>
    <row r="87" customFormat="false" ht="15" hidden="false" customHeight="false" outlineLevel="0" collapsed="false">
      <c r="A87" s="27" t="n">
        <v>10</v>
      </c>
      <c r="B87" s="98" t="s">
        <v>1167</v>
      </c>
      <c r="C87" s="100" t="n">
        <v>1</v>
      </c>
      <c r="D87" s="101" t="n">
        <v>0</v>
      </c>
      <c r="E87" s="102" t="n">
        <v>0</v>
      </c>
      <c r="F87" s="28" t="s">
        <v>1165</v>
      </c>
    </row>
    <row r="88" customFormat="false" ht="15" hidden="false" customHeight="false" outlineLevel="0" collapsed="false">
      <c r="A88" s="27" t="n">
        <v>11</v>
      </c>
      <c r="B88" s="96" t="s">
        <v>1170</v>
      </c>
      <c r="C88" s="100" t="n">
        <v>3</v>
      </c>
      <c r="D88" s="101" t="n">
        <v>0</v>
      </c>
      <c r="E88" s="102" t="n">
        <v>0</v>
      </c>
      <c r="F88" s="28" t="s">
        <v>1165</v>
      </c>
    </row>
    <row r="89" customFormat="false" ht="15" hidden="false" customHeight="false" outlineLevel="0" collapsed="false">
      <c r="A89" s="27" t="n">
        <v>12</v>
      </c>
      <c r="B89" s="96" t="s">
        <v>1162</v>
      </c>
      <c r="C89" s="100" t="n">
        <v>0</v>
      </c>
      <c r="D89" s="101" t="n">
        <v>0</v>
      </c>
      <c r="E89" s="102" t="n">
        <v>0</v>
      </c>
      <c r="F89" s="28" t="s">
        <v>1171</v>
      </c>
    </row>
    <row r="90" customFormat="false" ht="15" hidden="false" customHeight="false" outlineLevel="0" collapsed="false">
      <c r="A90" s="27" t="n">
        <v>13</v>
      </c>
      <c r="B90" s="96" t="s">
        <v>1162</v>
      </c>
      <c r="C90" s="100" t="n">
        <v>25</v>
      </c>
      <c r="D90" s="101" t="n">
        <v>300</v>
      </c>
      <c r="E90" s="102" t="n">
        <v>7500</v>
      </c>
      <c r="F90" s="28" t="s">
        <v>1172</v>
      </c>
    </row>
    <row r="91" customFormat="false" ht="15" hidden="false" customHeight="false" outlineLevel="0" collapsed="false">
      <c r="A91" s="27" t="n">
        <v>14</v>
      </c>
      <c r="B91" s="96" t="s">
        <v>1173</v>
      </c>
      <c r="C91" s="100" t="n">
        <v>15</v>
      </c>
      <c r="D91" s="101" t="n">
        <v>0</v>
      </c>
      <c r="E91" s="102" t="n">
        <v>0</v>
      </c>
      <c r="F91" s="28" t="s">
        <v>1165</v>
      </c>
    </row>
    <row r="92" customFormat="false" ht="15" hidden="false" customHeight="false" outlineLevel="0" collapsed="false">
      <c r="A92" s="27" t="n">
        <v>15</v>
      </c>
      <c r="B92" s="96" t="s">
        <v>1166</v>
      </c>
      <c r="C92" s="100" t="n">
        <v>3</v>
      </c>
      <c r="D92" s="101" t="n">
        <v>4000</v>
      </c>
      <c r="E92" s="102" t="n">
        <v>12000</v>
      </c>
      <c r="F92" s="28" t="s">
        <v>1174</v>
      </c>
    </row>
    <row r="93" customFormat="false" ht="15" hidden="false" customHeight="false" outlineLevel="0" collapsed="false">
      <c r="A93" s="27" t="n">
        <v>16</v>
      </c>
      <c r="B93" s="98" t="s">
        <v>1167</v>
      </c>
      <c r="C93" s="100" t="n">
        <v>1</v>
      </c>
      <c r="D93" s="101" t="n">
        <v>3500</v>
      </c>
      <c r="E93" s="102" t="n">
        <v>3500</v>
      </c>
      <c r="F93" s="28" t="s">
        <v>1175</v>
      </c>
    </row>
    <row r="94" customFormat="false" ht="15" hidden="false" customHeight="false" outlineLevel="0" collapsed="false">
      <c r="A94" s="87"/>
      <c r="B94" s="86" t="s">
        <v>1176</v>
      </c>
      <c r="C94" s="87"/>
      <c r="D94" s="87"/>
      <c r="E94" s="103" t="n">
        <f aca="false">SUM(E78:E93)</f>
        <v>48700</v>
      </c>
      <c r="F94" s="33" t="s">
        <v>1177</v>
      </c>
    </row>
    <row r="95" customFormat="false" ht="43.25" hidden="false" customHeight="false" outlineLevel="0" collapsed="false">
      <c r="A95" s="93" t="s">
        <v>1098</v>
      </c>
    </row>
  </sheetData>
  <mergeCells count="20">
    <mergeCell ref="A1:F1"/>
    <mergeCell ref="A3:F3"/>
    <mergeCell ref="C4:E4"/>
    <mergeCell ref="C5:E5"/>
    <mergeCell ref="C6:E6"/>
    <mergeCell ref="C7:E7"/>
    <mergeCell ref="C8:E8"/>
    <mergeCell ref="C9:E9"/>
    <mergeCell ref="C10:E10"/>
    <mergeCell ref="C11:E11"/>
    <mergeCell ref="C12:E12"/>
    <mergeCell ref="C13:E13"/>
    <mergeCell ref="C14:E14"/>
    <mergeCell ref="C15:E15"/>
    <mergeCell ref="C16:E16"/>
    <mergeCell ref="C17:E17"/>
    <mergeCell ref="C18:E18"/>
    <mergeCell ref="A20:F20"/>
    <mergeCell ref="D74:E74"/>
    <mergeCell ref="A76:F7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5"/>
  <sheetViews>
    <sheetView showFormulas="false" showGridLines="false" showRowColHeaders="true" showZeros="true" rightToLeft="false" tabSelected="false" showOutlineSymbols="true" defaultGridColor="true" view="normal" topLeftCell="A25" colorId="64" zoomScale="100" zoomScaleNormal="100" zoomScalePageLayoutView="100" workbookViewId="0">
      <selection pane="topLeft" activeCell="A1" activeCellId="0" sqref="A1"/>
    </sheetView>
  </sheetViews>
  <sheetFormatPr defaultColWidth="8.55859375" defaultRowHeight="13.5" zeroHeight="false" outlineLevelRow="0" outlineLevelCol="0"/>
  <cols>
    <col collapsed="false" customWidth="true" hidden="false" outlineLevel="0" max="1" min="1" style="1" width="22"/>
    <col collapsed="false" customWidth="true" hidden="false" outlineLevel="0" max="3" min="2" style="1" width="12"/>
    <col collapsed="false" customWidth="true" hidden="false" outlineLevel="0" max="4" min="4" style="1" width="30"/>
  </cols>
  <sheetData>
    <row r="1" customFormat="false" ht="18" hidden="false" customHeight="true" outlineLevel="0" collapsed="false">
      <c r="A1" s="47" t="s">
        <v>1178</v>
      </c>
      <c r="B1" s="47"/>
      <c r="C1" s="47"/>
    </row>
    <row r="2" customFormat="false" ht="13.5" hidden="false" customHeight="true" outlineLevel="0" collapsed="false">
      <c r="A2" s="104" t="s">
        <v>1179</v>
      </c>
      <c r="B2" s="104" t="s">
        <v>1180</v>
      </c>
      <c r="C2" s="104" t="s">
        <v>993</v>
      </c>
    </row>
    <row r="3" customFormat="false" ht="26.25" hidden="false" customHeight="true" outlineLevel="0" collapsed="false">
      <c r="A3" s="81" t="s">
        <v>129</v>
      </c>
      <c r="B3" s="105" t="n">
        <v>0.13</v>
      </c>
      <c r="C3" s="81" t="s">
        <v>1181</v>
      </c>
    </row>
    <row r="4" customFormat="false" ht="26.25" hidden="false" customHeight="true" outlineLevel="0" collapsed="false">
      <c r="A4" s="106" t="s">
        <v>122</v>
      </c>
      <c r="B4" s="105" t="n">
        <v>0.3</v>
      </c>
      <c r="C4" s="106" t="s">
        <v>1182</v>
      </c>
    </row>
    <row r="5" customFormat="false" ht="26.25" hidden="false" customHeight="true" outlineLevel="0" collapsed="false">
      <c r="A5" s="81" t="s">
        <v>1183</v>
      </c>
      <c r="B5" s="105" t="n">
        <v>0.02</v>
      </c>
      <c r="C5" s="81" t="s">
        <v>1184</v>
      </c>
    </row>
    <row r="6" customFormat="false" ht="39" hidden="false" customHeight="true" outlineLevel="0" collapsed="false">
      <c r="A6" s="106" t="s">
        <v>1185</v>
      </c>
      <c r="B6" s="105" t="n">
        <v>5000</v>
      </c>
      <c r="C6" s="106" t="s">
        <v>1186</v>
      </c>
    </row>
    <row r="8" customFormat="false" ht="15" hidden="false" customHeight="true" outlineLevel="0" collapsed="false">
      <c r="A8" s="7" t="s">
        <v>1187</v>
      </c>
      <c r="B8" s="7"/>
      <c r="C8" s="7"/>
    </row>
    <row r="9" customFormat="false" ht="15" hidden="false" customHeight="true" outlineLevel="0" collapsed="false">
      <c r="A9" s="107" t="s">
        <v>1179</v>
      </c>
      <c r="B9" s="107" t="s">
        <v>1180</v>
      </c>
      <c r="C9" s="107" t="s">
        <v>83</v>
      </c>
      <c r="D9" s="107" t="s">
        <v>993</v>
      </c>
    </row>
    <row r="10" customFormat="false" ht="15" hidden="false" customHeight="true" outlineLevel="0" collapsed="false">
      <c r="A10" s="5" t="s">
        <v>1188</v>
      </c>
      <c r="B10" s="108" t="n">
        <v>2.5</v>
      </c>
      <c r="C10" s="5" t="s">
        <v>1189</v>
      </c>
    </row>
    <row r="11" customFormat="false" ht="15" hidden="false" customHeight="true" outlineLevel="0" collapsed="false">
      <c r="A11" s="5" t="s">
        <v>1190</v>
      </c>
      <c r="B11" s="109" t="n">
        <v>30</v>
      </c>
      <c r="C11" s="12" t="s">
        <v>1191</v>
      </c>
    </row>
    <row r="12" customFormat="false" ht="15" hidden="false" customHeight="true" outlineLevel="0" collapsed="false">
      <c r="A12" s="5" t="s">
        <v>1192</v>
      </c>
      <c r="B12" s="110" t="n">
        <v>0.1</v>
      </c>
      <c r="C12" s="5" t="s">
        <v>1193</v>
      </c>
    </row>
    <row r="13" customFormat="false" ht="15" hidden="false" customHeight="true" outlineLevel="0" collapsed="false">
      <c r="A13" s="5" t="s">
        <v>1194</v>
      </c>
      <c r="B13" s="110" t="n">
        <v>0.3</v>
      </c>
      <c r="C13" s="5" t="s">
        <v>1195</v>
      </c>
    </row>
    <row r="14" customFormat="false" ht="15" hidden="false" customHeight="true" outlineLevel="0" collapsed="false">
      <c r="A14" s="12" t="s">
        <v>1196</v>
      </c>
      <c r="B14" s="109" t="n">
        <v>1800</v>
      </c>
      <c r="C14" s="5" t="s">
        <v>1197</v>
      </c>
    </row>
    <row r="15" customFormat="false" ht="15" hidden="false" customHeight="true" outlineLevel="0" collapsed="false">
      <c r="A15" s="12" t="s">
        <v>1198</v>
      </c>
      <c r="B15" s="109" t="n">
        <v>22</v>
      </c>
      <c r="C15" s="12" t="s">
        <v>1199</v>
      </c>
    </row>
    <row r="16" customFormat="false" ht="15" hidden="false" customHeight="true" outlineLevel="0" collapsed="false">
      <c r="A16" s="5" t="s">
        <v>1200</v>
      </c>
      <c r="B16" s="110" t="n">
        <v>2</v>
      </c>
      <c r="C16" s="5" t="s">
        <v>1189</v>
      </c>
    </row>
    <row r="17" customFormat="false" ht="15" hidden="false" customHeight="true" outlineLevel="0" collapsed="false">
      <c r="A17" s="5" t="s">
        <v>1201</v>
      </c>
      <c r="B17" s="110" t="n">
        <v>3.2</v>
      </c>
      <c r="C17" s="5" t="s">
        <v>1189</v>
      </c>
    </row>
    <row r="18" customFormat="false" ht="15" hidden="false" customHeight="true" outlineLevel="0" collapsed="false">
      <c r="A18" s="5" t="s">
        <v>1202</v>
      </c>
      <c r="B18" s="110" t="n">
        <v>5</v>
      </c>
      <c r="C18" s="5" t="s">
        <v>1189</v>
      </c>
    </row>
    <row r="19" customFormat="false" ht="15" hidden="false" customHeight="true" outlineLevel="0" collapsed="false">
      <c r="A19" s="5" t="s">
        <v>1203</v>
      </c>
      <c r="B19" s="109" t="n">
        <v>700</v>
      </c>
      <c r="C19" s="12" t="s">
        <v>1204</v>
      </c>
    </row>
    <row r="20" customFormat="false" ht="15" hidden="false" customHeight="true" outlineLevel="0" collapsed="false">
      <c r="A20" s="5" t="s">
        <v>1205</v>
      </c>
      <c r="B20" s="110" t="n">
        <v>1.5</v>
      </c>
      <c r="C20" s="5" t="s">
        <v>1206</v>
      </c>
    </row>
    <row r="21" customFormat="false" ht="15" hidden="false" customHeight="true" outlineLevel="0" collapsed="false">
      <c r="A21" s="5" t="s">
        <v>1207</v>
      </c>
      <c r="B21" s="111" t="n">
        <v>0.05</v>
      </c>
      <c r="C21" s="5" t="s">
        <v>1208</v>
      </c>
    </row>
    <row r="22" customFormat="false" ht="15" hidden="false" customHeight="true" outlineLevel="0" collapsed="false">
      <c r="A22" s="5" t="s">
        <v>1209</v>
      </c>
      <c r="B22" s="109" t="n">
        <v>10</v>
      </c>
      <c r="C22" s="12" t="s">
        <v>1191</v>
      </c>
    </row>
    <row r="23" customFormat="false" ht="15" hidden="false" customHeight="true" outlineLevel="0" collapsed="false">
      <c r="A23" s="5" t="s">
        <v>1210</v>
      </c>
      <c r="B23" s="110" t="n">
        <v>0.3</v>
      </c>
      <c r="C23" s="5" t="s">
        <v>1211</v>
      </c>
    </row>
    <row r="24" customFormat="false" ht="15" hidden="false" customHeight="true" outlineLevel="0" collapsed="false">
      <c r="A24" s="5" t="s">
        <v>1065</v>
      </c>
      <c r="B24" s="110" t="n">
        <v>0.05</v>
      </c>
      <c r="C24" s="5" t="s">
        <v>1195</v>
      </c>
    </row>
    <row r="25" customFormat="false" ht="15" hidden="false" customHeight="true" outlineLevel="0" collapsed="false">
      <c r="A25" s="5" t="s">
        <v>1212</v>
      </c>
      <c r="B25" s="109" t="n">
        <v>80</v>
      </c>
      <c r="C25" s="5" t="s">
        <v>1213</v>
      </c>
    </row>
    <row r="26" customFormat="false" ht="15" hidden="false" customHeight="true" outlineLevel="0" collapsed="false">
      <c r="A26" s="5" t="s">
        <v>1214</v>
      </c>
      <c r="B26" s="109" t="n">
        <v>5</v>
      </c>
      <c r="C26" s="5" t="s">
        <v>1215</v>
      </c>
    </row>
    <row r="27" customFormat="false" ht="15" hidden="false" customHeight="true" outlineLevel="0" collapsed="false">
      <c r="A27" s="5" t="s">
        <v>1216</v>
      </c>
      <c r="B27" s="109" t="n">
        <v>9</v>
      </c>
      <c r="C27" s="5" t="s">
        <v>1217</v>
      </c>
    </row>
    <row r="28" customFormat="false" ht="15" hidden="false" customHeight="true" outlineLevel="0" collapsed="false">
      <c r="A28" s="5" t="s">
        <v>1218</v>
      </c>
      <c r="B28" s="110" t="n">
        <v>0.8</v>
      </c>
      <c r="C28" s="12" t="s">
        <v>1219</v>
      </c>
    </row>
    <row r="29" customFormat="false" ht="15" hidden="false" customHeight="true" outlineLevel="0" collapsed="false">
      <c r="A29" s="5" t="s">
        <v>1220</v>
      </c>
      <c r="B29" s="109" t="n">
        <v>3</v>
      </c>
      <c r="C29" s="5" t="s">
        <v>1221</v>
      </c>
    </row>
    <row r="30" customFormat="false" ht="15" hidden="false" customHeight="true" outlineLevel="0" collapsed="false">
      <c r="A30" s="5" t="s">
        <v>1222</v>
      </c>
      <c r="B30" s="109" t="n">
        <v>1</v>
      </c>
      <c r="C30" s="5" t="s">
        <v>1213</v>
      </c>
    </row>
    <row r="31" customFormat="false" ht="15" hidden="false" customHeight="true" outlineLevel="0" collapsed="false">
      <c r="A31" s="5" t="s">
        <v>1223</v>
      </c>
      <c r="B31" s="110" t="n">
        <v>1.1</v>
      </c>
      <c r="C31" s="5" t="s">
        <v>1224</v>
      </c>
    </row>
    <row r="32" customFormat="false" ht="15" hidden="false" customHeight="true" outlineLevel="0" collapsed="false">
      <c r="A32" s="5" t="s">
        <v>1225</v>
      </c>
      <c r="B32" s="109" t="n">
        <v>4</v>
      </c>
      <c r="C32" s="5" t="s">
        <v>1226</v>
      </c>
    </row>
    <row r="34" customFormat="false" ht="15" hidden="false" customHeight="true" outlineLevel="0" collapsed="false">
      <c r="A34" s="7" t="s">
        <v>1227</v>
      </c>
      <c r="B34" s="7"/>
      <c r="C34" s="7"/>
    </row>
    <row r="35" customFormat="false" ht="15" hidden="false" customHeight="true" outlineLevel="0" collapsed="false">
      <c r="A35" s="107" t="s">
        <v>1179</v>
      </c>
      <c r="B35" s="107" t="s">
        <v>1180</v>
      </c>
      <c r="C35" s="107" t="s">
        <v>83</v>
      </c>
      <c r="D35" s="107" t="s">
        <v>993</v>
      </c>
    </row>
    <row r="36" customFormat="false" ht="15" hidden="false" customHeight="true" outlineLevel="0" collapsed="false">
      <c r="A36" s="5" t="s">
        <v>1228</v>
      </c>
      <c r="B36" s="21" t="n">
        <v>6000</v>
      </c>
      <c r="C36" s="112" t="s">
        <v>1229</v>
      </c>
    </row>
    <row r="37" customFormat="false" ht="15" hidden="false" customHeight="true" outlineLevel="0" collapsed="false">
      <c r="A37" s="5" t="s">
        <v>1230</v>
      </c>
      <c r="B37" s="21" t="n">
        <v>0.004</v>
      </c>
      <c r="C37" s="112" t="s">
        <v>1231</v>
      </c>
    </row>
    <row r="38" customFormat="false" ht="15" hidden="false" customHeight="true" outlineLevel="0" collapsed="false">
      <c r="A38" s="5" t="s">
        <v>1232</v>
      </c>
      <c r="B38" s="21" t="n">
        <v>5</v>
      </c>
      <c r="C38" s="112" t="s">
        <v>1233</v>
      </c>
    </row>
    <row r="39" customFormat="false" ht="15" hidden="false" customHeight="true" outlineLevel="0" collapsed="false">
      <c r="A39" s="5" t="s">
        <v>1234</v>
      </c>
      <c r="B39" s="13" t="s">
        <v>253</v>
      </c>
      <c r="C39" s="112" t="s">
        <v>1235</v>
      </c>
    </row>
    <row r="41" customFormat="false" ht="13.5" hidden="false" customHeight="true" outlineLevel="0" collapsed="false">
      <c r="A41" s="113" t="s">
        <v>1236</v>
      </c>
      <c r="B41" s="113"/>
      <c r="C41" s="113"/>
    </row>
    <row r="42" customFormat="false" ht="13.5" hidden="false" customHeight="true" outlineLevel="0" collapsed="false">
      <c r="A42" s="114" t="s">
        <v>1179</v>
      </c>
      <c r="B42" s="114" t="s">
        <v>1180</v>
      </c>
      <c r="C42" s="114" t="s">
        <v>83</v>
      </c>
      <c r="D42" s="114" t="s">
        <v>993</v>
      </c>
    </row>
    <row r="43" customFormat="false" ht="13.5" hidden="false" customHeight="true" outlineLevel="0" collapsed="false">
      <c r="A43" s="5" t="s">
        <v>1237</v>
      </c>
      <c r="B43" s="108" t="n">
        <v>60</v>
      </c>
      <c r="C43" s="115" t="s">
        <v>1238</v>
      </c>
      <c r="D43" s="5" t="s">
        <v>1239</v>
      </c>
    </row>
    <row r="44" customFormat="false" ht="13.5" hidden="false" customHeight="true" outlineLevel="0" collapsed="false">
      <c r="A44" s="5" t="s">
        <v>1240</v>
      </c>
      <c r="B44" s="116" t="n">
        <v>0.3</v>
      </c>
      <c r="C44" s="5" t="s">
        <v>1241</v>
      </c>
      <c r="D44" s="5" t="s">
        <v>1242</v>
      </c>
    </row>
    <row r="45" customFormat="false" ht="13.5" hidden="false" customHeight="true" outlineLevel="0" collapsed="false">
      <c r="A45" s="5" t="s">
        <v>1243</v>
      </c>
      <c r="B45" s="108" t="n">
        <v>20</v>
      </c>
      <c r="C45" s="115" t="s">
        <v>1244</v>
      </c>
      <c r="D45" s="5" t="s">
        <v>1245</v>
      </c>
    </row>
    <row r="46" customFormat="false" ht="13.5" hidden="false" customHeight="true" outlineLevel="0" collapsed="false">
      <c r="A46" s="5" t="s">
        <v>1246</v>
      </c>
      <c r="B46" s="116" t="n">
        <v>60</v>
      </c>
      <c r="C46" s="5" t="s">
        <v>1247</v>
      </c>
      <c r="D46" s="5" t="s">
        <v>1248</v>
      </c>
    </row>
    <row r="48" customFormat="false" ht="13.5" hidden="false" customHeight="true" outlineLevel="0" collapsed="false">
      <c r="A48" s="114" t="s">
        <v>1249</v>
      </c>
      <c r="B48" s="117"/>
    </row>
    <row r="49" customFormat="false" ht="13.5" hidden="false" customHeight="true" outlineLevel="0" collapsed="false">
      <c r="A49" s="25" t="s">
        <v>1250</v>
      </c>
      <c r="B49" s="118" t="n">
        <v>68</v>
      </c>
    </row>
    <row r="50" customFormat="false" ht="13.5" hidden="false" customHeight="true" outlineLevel="0" collapsed="false">
      <c r="A50" s="25" t="s">
        <v>1251</v>
      </c>
      <c r="B50" s="119" t="n">
        <v>0.0135</v>
      </c>
    </row>
    <row r="51" customFormat="false" ht="13.5" hidden="false" customHeight="true" outlineLevel="0" collapsed="false">
      <c r="A51" s="25" t="s">
        <v>1252</v>
      </c>
      <c r="B51" s="119" t="n">
        <v>0.0116</v>
      </c>
    </row>
    <row r="52" customFormat="false" ht="13.5" hidden="false" customHeight="true" outlineLevel="0" collapsed="false">
      <c r="A52" s="25" t="s">
        <v>1253</v>
      </c>
      <c r="B52" s="119" t="n">
        <v>0</v>
      </c>
    </row>
    <row r="53" customFormat="false" ht="13.5" hidden="false" customHeight="true" outlineLevel="0" collapsed="false">
      <c r="A53" s="43" t="s">
        <v>1254</v>
      </c>
      <c r="B53" s="118" t="n">
        <v>29499.1150442478</v>
      </c>
    </row>
    <row r="54" customFormat="false" ht="13.5" hidden="false" customHeight="true" outlineLevel="0" collapsed="false">
      <c r="A54" s="25" t="s">
        <v>1255</v>
      </c>
      <c r="B54" s="118" t="n">
        <v>48700</v>
      </c>
    </row>
    <row r="55" customFormat="false" ht="13.5" hidden="false" customHeight="true" outlineLevel="0" collapsed="false">
      <c r="A55" s="25" t="s">
        <v>1256</v>
      </c>
      <c r="B55" s="120" t="n">
        <v>554.3197</v>
      </c>
    </row>
  </sheetData>
  <mergeCells count="4">
    <mergeCell ref="A1:C1"/>
    <mergeCell ref="A8:C8"/>
    <mergeCell ref="A34:C34"/>
    <mergeCell ref="A41:C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0"/>
  <sheetViews>
    <sheetView showFormulas="false" showGridLines="false" showRowColHeaders="true" showZeros="true" rightToLeft="false" tabSelected="false" showOutlineSymbols="true" defaultGridColor="true" view="normal" topLeftCell="A17" colorId="64" zoomScale="100" zoomScaleNormal="100" zoomScalePageLayoutView="100" workbookViewId="0">
      <selection pane="top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6"/>
    <col collapsed="false" customWidth="true" hidden="false" outlineLevel="0" max="4" min="3" style="1" width="14"/>
    <col collapsed="false" customWidth="true" hidden="false" outlineLevel="0" max="5" min="5" style="1" width="10"/>
  </cols>
  <sheetData>
    <row r="1" customFormat="false" ht="17.25" hidden="false" customHeight="true" outlineLevel="0" collapsed="false">
      <c r="A1" s="121" t="s">
        <v>1257</v>
      </c>
      <c r="B1" s="121"/>
      <c r="C1" s="121"/>
      <c r="D1" s="121"/>
      <c r="E1" s="121"/>
    </row>
    <row r="2" customFormat="false" ht="13.5" hidden="false" customHeight="true" outlineLevel="0" collapsed="false">
      <c r="A2" s="122"/>
      <c r="B2" s="122"/>
      <c r="C2" s="122"/>
      <c r="D2" s="122"/>
      <c r="E2" s="122"/>
    </row>
    <row r="3" customFormat="false" ht="15" hidden="false" customHeight="true" outlineLevel="0" collapsed="false">
      <c r="A3" s="113" t="s">
        <v>1258</v>
      </c>
      <c r="B3" s="113"/>
      <c r="C3" s="113"/>
      <c r="D3" s="113"/>
      <c r="E3" s="113"/>
    </row>
    <row r="4" customFormat="false" ht="15" hidden="false" customHeight="true" outlineLevel="0" collapsed="false">
      <c r="A4" s="5" t="s">
        <v>1259</v>
      </c>
      <c r="B4" s="123" t="n">
        <f aca="false">报价汇总!B13</f>
        <v>660</v>
      </c>
      <c r="C4" s="122"/>
      <c r="D4" s="122"/>
      <c r="E4" s="122"/>
    </row>
    <row r="5" customFormat="false" ht="15" hidden="false" customHeight="true" outlineLevel="0" collapsed="false">
      <c r="A5" s="5" t="s">
        <v>48</v>
      </c>
      <c r="B5" s="123" t="n">
        <f aca="false">报价汇总!B14</f>
        <v>390</v>
      </c>
      <c r="C5" s="122"/>
      <c r="D5" s="122"/>
      <c r="E5" s="122"/>
    </row>
    <row r="6" customFormat="false" ht="15" hidden="false" customHeight="true" outlineLevel="0" collapsed="false">
      <c r="A6" s="5" t="s">
        <v>50</v>
      </c>
      <c r="B6" s="123" t="n">
        <f aca="false">报价汇总!B15</f>
        <v>260</v>
      </c>
      <c r="C6" s="122"/>
      <c r="D6" s="122"/>
      <c r="E6" s="122"/>
    </row>
    <row r="7" customFormat="false" ht="15" hidden="false" customHeight="true" outlineLevel="0" collapsed="false">
      <c r="A7" s="5" t="s">
        <v>54</v>
      </c>
      <c r="B7" s="123" t="n">
        <f aca="false">报价汇总!B17</f>
        <v>2</v>
      </c>
      <c r="C7" s="122"/>
      <c r="D7" s="122"/>
      <c r="E7" s="122"/>
    </row>
    <row r="8" customFormat="false" ht="15" hidden="false" customHeight="true" outlineLevel="0" collapsed="false">
      <c r="A8" s="5" t="s">
        <v>1260</v>
      </c>
      <c r="B8" s="17" t="str">
        <f aca="false">报价汇总!B18</f>
        <v>是</v>
      </c>
      <c r="C8" s="122"/>
      <c r="D8" s="122"/>
      <c r="E8" s="122"/>
    </row>
    <row r="9" customFormat="false" ht="15" hidden="false" customHeight="true" outlineLevel="0" collapsed="false">
      <c r="A9" s="5" t="s">
        <v>1261</v>
      </c>
      <c r="B9" s="17" t="str">
        <f aca="false">IF(OR(报价汇总!B19="是",报价汇总!B20="是"),"大板","小板")</f>
        <v>大板</v>
      </c>
      <c r="C9" s="122"/>
      <c r="D9" s="122"/>
      <c r="E9" s="122"/>
    </row>
    <row r="10" customFormat="false" ht="15" hidden="false" customHeight="true" outlineLevel="0" collapsed="false">
      <c r="A10" s="122"/>
      <c r="B10" s="122"/>
      <c r="C10" s="122"/>
      <c r="D10" s="122"/>
      <c r="E10" s="122"/>
    </row>
    <row r="11" customFormat="false" ht="15" hidden="false" customHeight="true" outlineLevel="0" collapsed="false">
      <c r="A11" s="113" t="s">
        <v>1262</v>
      </c>
      <c r="B11" s="113"/>
      <c r="C11" s="113"/>
      <c r="D11" s="113"/>
      <c r="E11" s="113"/>
    </row>
    <row r="12" customFormat="false" ht="15" hidden="false" customHeight="true" outlineLevel="0" collapsed="false">
      <c r="A12" s="5" t="s">
        <v>1263</v>
      </c>
      <c r="B12" s="123" t="n">
        <f aca="false">MAX(B4:B6)</f>
        <v>660</v>
      </c>
      <c r="C12" s="122"/>
      <c r="D12" s="122"/>
      <c r="E12" s="122"/>
    </row>
    <row r="13" customFormat="false" ht="15" hidden="false" customHeight="true" outlineLevel="0" collapsed="false">
      <c r="A13" s="5" t="s">
        <v>1264</v>
      </c>
      <c r="B13" s="123" t="n">
        <f aca="false">VLOOKUP($B$12,$A$58:$D$61,3,TRUE())</f>
        <v>30</v>
      </c>
      <c r="C13" s="122"/>
      <c r="D13" s="122"/>
      <c r="E13" s="122"/>
    </row>
    <row r="14" customFormat="false" ht="15" hidden="false" customHeight="true" outlineLevel="0" collapsed="false">
      <c r="A14" s="5" t="s">
        <v>1265</v>
      </c>
      <c r="B14" s="123" t="n">
        <f aca="false">B4+2*B13+参数!$B$22</f>
        <v>730</v>
      </c>
      <c r="C14" s="122"/>
      <c r="D14" s="122"/>
      <c r="E14" s="122"/>
    </row>
    <row r="15" customFormat="false" ht="15" hidden="false" customHeight="true" outlineLevel="0" collapsed="false">
      <c r="A15" s="5" t="s">
        <v>1266</v>
      </c>
      <c r="B15" s="123" t="n">
        <f aca="false">B5+2*B13+参数!$B$22</f>
        <v>460</v>
      </c>
      <c r="C15" s="122"/>
      <c r="D15" s="122"/>
      <c r="E15" s="122"/>
    </row>
    <row r="16" customFormat="false" ht="15" hidden="false" customHeight="true" outlineLevel="0" collapsed="false">
      <c r="A16" s="5" t="s">
        <v>1267</v>
      </c>
      <c r="B16" s="123" t="n">
        <f aca="false">B7*(B6+2*B13)+参数!$B$22</f>
        <v>650</v>
      </c>
      <c r="C16" s="122"/>
      <c r="D16" s="122"/>
      <c r="E16" s="122"/>
    </row>
    <row r="17" customFormat="false" ht="15" hidden="false" customHeight="true" outlineLevel="0" collapsed="false">
      <c r="A17" s="5" t="s">
        <v>1268</v>
      </c>
      <c r="B17" s="123" t="n">
        <f aca="false">B14*B15*B16/1000</f>
        <v>218270</v>
      </c>
      <c r="C17" s="122"/>
      <c r="D17" s="122"/>
      <c r="E17" s="122"/>
    </row>
    <row r="18" customFormat="false" ht="15" hidden="false" customHeight="true" outlineLevel="0" collapsed="false">
      <c r="A18" s="122"/>
      <c r="B18" s="122"/>
      <c r="C18" s="122"/>
      <c r="D18" s="122"/>
      <c r="E18" s="122"/>
    </row>
    <row r="19" customFormat="false" ht="15" hidden="false" customHeight="true" outlineLevel="0" collapsed="false">
      <c r="A19" s="113" t="s">
        <v>1269</v>
      </c>
      <c r="B19" s="113"/>
      <c r="C19" s="113"/>
      <c r="D19" s="113"/>
      <c r="E19" s="113"/>
    </row>
    <row r="20" customFormat="false" ht="15" hidden="false" customHeight="true" outlineLevel="0" collapsed="false">
      <c r="A20" s="5" t="s">
        <v>1270</v>
      </c>
      <c r="B20" s="123" t="n">
        <f aca="false">B4+B6+2*参数!$B$11</f>
        <v>980</v>
      </c>
      <c r="C20" s="122"/>
      <c r="D20" s="122"/>
      <c r="E20" s="122"/>
    </row>
    <row r="21" customFormat="false" ht="15" hidden="false" customHeight="true" outlineLevel="0" collapsed="false">
      <c r="A21" s="5" t="s">
        <v>1271</v>
      </c>
      <c r="B21" s="123" t="n">
        <f aca="false">B5+B6+2*参数!$B$11</f>
        <v>710</v>
      </c>
      <c r="C21" s="122"/>
      <c r="D21" s="122"/>
      <c r="E21" s="122"/>
    </row>
    <row r="22" customFormat="false" ht="15" hidden="false" customHeight="true" outlineLevel="0" collapsed="false">
      <c r="A22" s="5" t="s">
        <v>1272</v>
      </c>
      <c r="B22" s="124" t="n">
        <f aca="false">B20*B21/10^6</f>
        <v>0.6958</v>
      </c>
      <c r="C22" s="122"/>
      <c r="D22" s="122"/>
      <c r="E22" s="122"/>
    </row>
    <row r="23" customFormat="false" ht="15" hidden="false" customHeight="true" outlineLevel="0" collapsed="false">
      <c r="A23" s="5" t="s">
        <v>1273</v>
      </c>
      <c r="B23" s="124" t="n">
        <f aca="false">B22*参数!$B$10</f>
        <v>1.7395</v>
      </c>
      <c r="C23" s="122"/>
      <c r="D23" s="122"/>
      <c r="E23" s="122"/>
    </row>
    <row r="24" customFormat="false" ht="15" hidden="false" customHeight="true" outlineLevel="0" collapsed="false">
      <c r="A24" s="5" t="s">
        <v>1274</v>
      </c>
      <c r="B24" s="124" t="n">
        <f aca="false">IF($B$9="小板",IF(OR($B$7="",$B$7=0),0,参数!$B$44*MAX($B$7-1,0)/$B$7),0)</f>
        <v>0</v>
      </c>
      <c r="C24" s="122"/>
      <c r="D24" s="122"/>
      <c r="E24" s="122"/>
    </row>
    <row r="25" customFormat="false" ht="15" hidden="false" customHeight="true" outlineLevel="0" collapsed="false">
      <c r="A25" s="115" t="s">
        <v>1275</v>
      </c>
      <c r="B25" s="124" t="n">
        <f aca="false">(2*B4*B5*B13+4*B13*B13*B6)/10^9</f>
        <v>0.01638</v>
      </c>
      <c r="C25" s="122"/>
      <c r="D25" s="122"/>
      <c r="E25" s="122"/>
    </row>
    <row r="26" customFormat="false" ht="15" hidden="false" customHeight="true" outlineLevel="0" collapsed="false">
      <c r="A26" s="115" t="s">
        <v>1276</v>
      </c>
      <c r="B26" s="124" t="n">
        <f aca="false">B25*参数!$B$14</f>
        <v>29.484</v>
      </c>
      <c r="C26" s="122"/>
      <c r="D26" s="122"/>
      <c r="E26" s="122"/>
    </row>
    <row r="27" customFormat="false" ht="15" hidden="false" customHeight="true" outlineLevel="0" collapsed="false">
      <c r="A27" s="5" t="s">
        <v>1277</v>
      </c>
      <c r="B27" s="124" t="n">
        <f aca="false">IF($B$9="小板",B23+B24,B26)</f>
        <v>29.484</v>
      </c>
      <c r="C27" s="122"/>
      <c r="D27" s="122"/>
      <c r="E27" s="122"/>
    </row>
    <row r="28" customFormat="false" ht="15" hidden="false" customHeight="true" outlineLevel="0" collapsed="false">
      <c r="A28" s="5" t="s">
        <v>1278</v>
      </c>
      <c r="B28" s="124" t="n">
        <f aca="false">(B14+B15)*2*(B15+2*B16)/10^6*(1+参数!$B$21)</f>
        <v>4.39824</v>
      </c>
      <c r="C28" s="122"/>
      <c r="D28" s="122"/>
      <c r="E28" s="122"/>
    </row>
    <row r="29" customFormat="false" ht="15" hidden="false" customHeight="true" outlineLevel="0" collapsed="false">
      <c r="A29" s="5" t="s">
        <v>1279</v>
      </c>
      <c r="B29" s="17" t="str">
        <f aca="false">VLOOKUP($B$12,$A$58:$D$61,4,TRUE())</f>
        <v>重型7层</v>
      </c>
      <c r="C29" s="122"/>
      <c r="D29" s="122"/>
      <c r="E29" s="122"/>
    </row>
    <row r="30" customFormat="false" ht="15" hidden="false" customHeight="true" outlineLevel="0" collapsed="false">
      <c r="A30" s="5" t="s">
        <v>1280</v>
      </c>
      <c r="B30" s="125" t="n">
        <f aca="false">VLOOKUP(B29,$A$65:$B$67,2,FALSE())</f>
        <v>5</v>
      </c>
      <c r="C30" s="122"/>
      <c r="D30" s="122"/>
      <c r="E30" s="122"/>
    </row>
    <row r="31" customFormat="false" ht="13.5" hidden="false" customHeight="true" outlineLevel="0" collapsed="false">
      <c r="A31" s="5" t="s">
        <v>1281</v>
      </c>
      <c r="B31" s="125" t="n">
        <f aca="false">B28*B30+参数!$B$20</f>
        <v>23.4912</v>
      </c>
      <c r="C31" s="122"/>
      <c r="D31" s="122"/>
      <c r="E31" s="122"/>
    </row>
    <row r="32" customFormat="false" ht="15" hidden="false" customHeight="true" outlineLevel="0" collapsed="false">
      <c r="A32" s="126" t="s">
        <v>1282</v>
      </c>
      <c r="B32" s="127" t="n">
        <f aca="false">IF(OR(B7="",B7=0),0,B31/B7)</f>
        <v>11.7456</v>
      </c>
      <c r="C32" s="122"/>
      <c r="D32" s="122"/>
      <c r="E32" s="122"/>
    </row>
    <row r="33" customFormat="false" ht="13.5" hidden="false" customHeight="true" outlineLevel="0" collapsed="false">
      <c r="A33" s="5" t="s">
        <v>1283</v>
      </c>
      <c r="B33" s="124" t="n">
        <f aca="false">IF(OR(B7="",B7=0),0,(参数!$B$23+参数!$B$24)/B7)</f>
        <v>0.175</v>
      </c>
      <c r="C33" s="122"/>
      <c r="D33" s="122"/>
      <c r="E33" s="122"/>
    </row>
    <row r="34" customFormat="false" ht="15" hidden="false" customHeight="true" outlineLevel="0" collapsed="false">
      <c r="A34" s="128" t="s">
        <v>1284</v>
      </c>
      <c r="B34" s="129" t="n">
        <f aca="false">B27+B32+B33</f>
        <v>41.4046</v>
      </c>
      <c r="C34" s="122"/>
      <c r="D34" s="122"/>
      <c r="E34" s="122"/>
    </row>
    <row r="35" customFormat="false" ht="15" hidden="false" customHeight="true" outlineLevel="0" collapsed="false">
      <c r="A35" s="122"/>
      <c r="B35" s="122"/>
      <c r="C35" s="122"/>
      <c r="D35" s="122"/>
      <c r="E35" s="122"/>
    </row>
    <row r="36" customFormat="false" ht="15" hidden="false" customHeight="true" outlineLevel="0" collapsed="false">
      <c r="A36" s="113" t="s">
        <v>1285</v>
      </c>
      <c r="B36" s="113"/>
      <c r="C36" s="113"/>
      <c r="D36" s="113"/>
      <c r="E36" s="113"/>
    </row>
    <row r="37" customFormat="false" ht="15" hidden="false" customHeight="true" outlineLevel="0" collapsed="false">
      <c r="A37" s="5" t="s">
        <v>1286</v>
      </c>
      <c r="B37" s="124" t="n">
        <f aca="false">B14*B15/10^6</f>
        <v>0.3358</v>
      </c>
      <c r="C37" s="122"/>
      <c r="D37" s="122"/>
      <c r="E37" s="122"/>
    </row>
    <row r="38" customFormat="false" ht="15" hidden="false" customHeight="true" outlineLevel="0" collapsed="false">
      <c r="A38" s="5" t="s">
        <v>1287</v>
      </c>
      <c r="B38" s="123" t="n">
        <f aca="false">IF(OR(B37="",B37=0),0,ROUNDDOWN(参数!$B$31/B37,0)*参数!$B$32)</f>
        <v>12</v>
      </c>
      <c r="C38" s="122"/>
      <c r="D38" s="122"/>
      <c r="E38" s="122"/>
    </row>
    <row r="39" customFormat="false" ht="15" hidden="false" customHeight="true" outlineLevel="0" collapsed="false">
      <c r="A39" s="5" t="s">
        <v>1288</v>
      </c>
      <c r="B39" s="125" t="n">
        <f aca="false">参数!$B$29+参数!$B$25/参数!$B$26+参数!$B$27*参数!$B$28+IF($B$9="大板",参数!$B$30,0)</f>
        <v>27.2</v>
      </c>
      <c r="C39" s="122"/>
      <c r="D39" s="122"/>
      <c r="E39" s="122"/>
    </row>
    <row r="40" customFormat="false" ht="13.5" hidden="false" customHeight="true" outlineLevel="0" collapsed="false">
      <c r="A40" s="5" t="s">
        <v>1289</v>
      </c>
      <c r="B40" s="124" t="n">
        <f aca="false">IF(OR(B38="",B38=0),0,B39/B38)</f>
        <v>2.26666666666667</v>
      </c>
      <c r="C40" s="122"/>
      <c r="D40" s="122"/>
      <c r="E40" s="122"/>
    </row>
    <row r="41" customFormat="false" ht="13.5" hidden="false" customHeight="true" outlineLevel="0" collapsed="false">
      <c r="A41" s="5" t="s">
        <v>1290</v>
      </c>
      <c r="B41" s="130" t="n">
        <f aca="false">IF(OR(B7="",B7=0),0,IF($B$9="小板",B22*参数!$B$43/1000,B25*参数!$B$15)+B28*参数!$B$19/1000/B7+IF($B$9="小板",参数!$B$45/1000*MAX($B$7-1,0)/$B$7,0)+0.005)</f>
        <v>1.904744</v>
      </c>
      <c r="C41" s="122"/>
      <c r="D41" s="122"/>
      <c r="E41" s="122"/>
    </row>
    <row r="42" customFormat="false" ht="15" hidden="false" customHeight="true" outlineLevel="0" collapsed="false">
      <c r="A42" s="122"/>
      <c r="B42" s="122"/>
      <c r="C42" s="122"/>
      <c r="D42" s="122"/>
      <c r="E42" s="122"/>
    </row>
    <row r="43" customFormat="false" ht="15" hidden="false" customHeight="true" outlineLevel="0" collapsed="false">
      <c r="A43" s="128" t="s">
        <v>1291</v>
      </c>
      <c r="B43" s="129" t="n">
        <f aca="false">B34+IF($B$8="是",B40,0)</f>
        <v>43.6712666666667</v>
      </c>
      <c r="C43" s="122"/>
      <c r="D43" s="122"/>
      <c r="E43" s="122"/>
    </row>
    <row r="44" customFormat="false" ht="15" hidden="false" customHeight="true" outlineLevel="0" collapsed="false">
      <c r="A44" s="122"/>
      <c r="B44" s="122"/>
      <c r="C44" s="122"/>
      <c r="D44" s="122"/>
      <c r="E44" s="122"/>
    </row>
    <row r="45" customFormat="false" ht="15" hidden="false" customHeight="true" outlineLevel="0" collapsed="false">
      <c r="A45" s="113" t="s">
        <v>1292</v>
      </c>
      <c r="B45" s="113"/>
      <c r="C45" s="113"/>
      <c r="D45" s="113"/>
      <c r="E45" s="113"/>
    </row>
    <row r="46" customFormat="false" ht="15" hidden="false" customHeight="true" outlineLevel="0" collapsed="false">
      <c r="A46" s="114" t="s">
        <v>1293</v>
      </c>
      <c r="B46" s="114" t="s">
        <v>83</v>
      </c>
      <c r="C46" s="114" t="s">
        <v>1294</v>
      </c>
      <c r="D46" s="114" t="s">
        <v>1295</v>
      </c>
      <c r="E46" s="114" t="s">
        <v>1296</v>
      </c>
    </row>
    <row r="47" customFormat="false" ht="15" hidden="false" customHeight="true" outlineLevel="0" collapsed="false">
      <c r="A47" s="5" t="s">
        <v>1297</v>
      </c>
      <c r="B47" s="5" t="s">
        <v>1189</v>
      </c>
      <c r="C47" s="125" t="n">
        <f aca="false">参数!$B$10</f>
        <v>2.5</v>
      </c>
      <c r="D47" s="115" t="s">
        <v>1298</v>
      </c>
      <c r="E47" s="115" t="s">
        <v>1299</v>
      </c>
    </row>
    <row r="48" customFormat="false" ht="13.5" hidden="false" customHeight="true" outlineLevel="0" collapsed="false">
      <c r="A48" s="5" t="s">
        <v>1300</v>
      </c>
      <c r="B48" s="5" t="s">
        <v>1241</v>
      </c>
      <c r="C48" s="125" t="n">
        <f aca="false">参数!$B$44</f>
        <v>0.3</v>
      </c>
      <c r="D48" s="115" t="s">
        <v>1298</v>
      </c>
      <c r="E48" s="115" t="s">
        <v>1299</v>
      </c>
    </row>
    <row r="49" customFormat="false" ht="15" hidden="false" customHeight="true" outlineLevel="0" collapsed="false">
      <c r="A49" s="115" t="s">
        <v>1301</v>
      </c>
      <c r="B49" s="5" t="s">
        <v>1197</v>
      </c>
      <c r="C49" s="125" t="n">
        <f aca="false">参数!$B$14</f>
        <v>1800</v>
      </c>
      <c r="D49" s="115" t="s">
        <v>1299</v>
      </c>
      <c r="E49" s="115" t="s">
        <v>1298</v>
      </c>
    </row>
    <row r="50" customFormat="false" ht="15" hidden="false" customHeight="true" outlineLevel="0" collapsed="false">
      <c r="A50" s="5" t="s">
        <v>1302</v>
      </c>
      <c r="B50" s="5" t="s">
        <v>1211</v>
      </c>
      <c r="C50" s="5" t="s">
        <v>1303</v>
      </c>
      <c r="D50" s="115" t="s">
        <v>1298</v>
      </c>
      <c r="E50" s="115" t="s">
        <v>1298</v>
      </c>
    </row>
    <row r="51" customFormat="false" ht="15" hidden="false" customHeight="true" outlineLevel="0" collapsed="false">
      <c r="A51" s="5" t="s">
        <v>1220</v>
      </c>
      <c r="B51" s="5" t="s">
        <v>1221</v>
      </c>
      <c r="C51" s="125" t="n">
        <f aca="false">参数!$B$29</f>
        <v>3</v>
      </c>
      <c r="D51" s="115" t="s">
        <v>1298</v>
      </c>
      <c r="E51" s="115" t="s">
        <v>1298</v>
      </c>
    </row>
    <row r="52" customFormat="false" ht="15" hidden="false" customHeight="true" outlineLevel="0" collapsed="false">
      <c r="A52" s="5" t="s">
        <v>1304</v>
      </c>
      <c r="B52" s="5" t="s">
        <v>1213</v>
      </c>
      <c r="C52" s="125" t="n">
        <f aca="false">参数!$B$25/参数!$B$26</f>
        <v>16</v>
      </c>
      <c r="D52" s="115" t="s">
        <v>1298</v>
      </c>
      <c r="E52" s="115" t="s">
        <v>1298</v>
      </c>
    </row>
    <row r="53" customFormat="false" ht="15" hidden="false" customHeight="true" outlineLevel="0" collapsed="false">
      <c r="A53" s="5" t="s">
        <v>1305</v>
      </c>
      <c r="B53" s="5" t="s">
        <v>1213</v>
      </c>
      <c r="C53" s="125" t="n">
        <f aca="false">参数!$B$27*参数!$B$28</f>
        <v>7.2</v>
      </c>
      <c r="D53" s="115" t="s">
        <v>1298</v>
      </c>
      <c r="E53" s="115" t="s">
        <v>1298</v>
      </c>
    </row>
    <row r="54" customFormat="false" ht="13.5" hidden="false" customHeight="true" outlineLevel="0" collapsed="false">
      <c r="A54" s="5" t="s">
        <v>1222</v>
      </c>
      <c r="B54" s="5" t="s">
        <v>1213</v>
      </c>
      <c r="C54" s="125" t="n">
        <f aca="false">参数!$B$30</f>
        <v>1</v>
      </c>
      <c r="D54" s="115" t="s">
        <v>1299</v>
      </c>
      <c r="E54" s="115" t="s">
        <v>1298</v>
      </c>
    </row>
    <row r="55" customFormat="false" ht="12" hidden="false" customHeight="true" outlineLevel="0" collapsed="false">
      <c r="A55" s="131" t="s">
        <v>1306</v>
      </c>
      <c r="B55" s="131"/>
      <c r="C55" s="131"/>
      <c r="D55" s="131"/>
      <c r="E55" s="131"/>
    </row>
    <row r="56" customFormat="false" ht="12" hidden="false" customHeight="true" outlineLevel="0" collapsed="false">
      <c r="A56" s="113" t="s">
        <v>1307</v>
      </c>
      <c r="B56" s="113"/>
      <c r="C56" s="113"/>
      <c r="D56" s="113"/>
      <c r="E56" s="113"/>
    </row>
    <row r="57" customFormat="false" ht="13.5" hidden="false" customHeight="true" outlineLevel="0" collapsed="false">
      <c r="A57" s="114" t="s">
        <v>1308</v>
      </c>
      <c r="B57" s="114" t="s">
        <v>1309</v>
      </c>
      <c r="C57" s="114" t="s">
        <v>1310</v>
      </c>
      <c r="D57" s="114" t="s">
        <v>1311</v>
      </c>
      <c r="E57" s="122"/>
    </row>
    <row r="58" customFormat="false" ht="13.5" hidden="false" customHeight="true" outlineLevel="0" collapsed="false">
      <c r="A58" s="5" t="n">
        <v>0</v>
      </c>
      <c r="B58" s="5" t="n">
        <v>200</v>
      </c>
      <c r="C58" s="5" t="n">
        <v>15</v>
      </c>
      <c r="D58" s="5" t="s">
        <v>1312</v>
      </c>
      <c r="E58" s="122"/>
    </row>
    <row r="59" customFormat="false" ht="13.5" hidden="false" customHeight="true" outlineLevel="0" collapsed="false">
      <c r="A59" s="5" t="n">
        <v>200</v>
      </c>
      <c r="B59" s="5" t="n">
        <v>350</v>
      </c>
      <c r="C59" s="5" t="n">
        <v>20</v>
      </c>
      <c r="D59" s="5" t="s">
        <v>1313</v>
      </c>
      <c r="E59" s="122"/>
    </row>
    <row r="60" customFormat="false" ht="13.5" hidden="false" customHeight="true" outlineLevel="0" collapsed="false">
      <c r="A60" s="5" t="n">
        <v>350</v>
      </c>
      <c r="B60" s="5" t="n">
        <v>550</v>
      </c>
      <c r="C60" s="5" t="n">
        <v>25</v>
      </c>
      <c r="D60" s="5" t="s">
        <v>1313</v>
      </c>
      <c r="E60" s="122"/>
    </row>
    <row r="61" customFormat="false" ht="13.5" hidden="false" customHeight="true" outlineLevel="0" collapsed="false">
      <c r="A61" s="5" t="n">
        <v>550</v>
      </c>
      <c r="B61" s="5" t="n">
        <v>999999</v>
      </c>
      <c r="C61" s="5" t="n">
        <v>30</v>
      </c>
      <c r="D61" s="5" t="s">
        <v>1314</v>
      </c>
      <c r="E61" s="122"/>
    </row>
    <row r="62" customFormat="false" ht="13.5" hidden="false" customHeight="true" outlineLevel="0" collapsed="false">
      <c r="A62" s="122"/>
      <c r="B62" s="122"/>
      <c r="C62" s="122"/>
      <c r="D62" s="122"/>
      <c r="E62" s="122"/>
    </row>
    <row r="63" customFormat="false" ht="13.5" hidden="false" customHeight="true" outlineLevel="0" collapsed="false">
      <c r="A63" s="113" t="s">
        <v>1315</v>
      </c>
      <c r="B63" s="113"/>
      <c r="C63" s="113"/>
      <c r="D63" s="113"/>
      <c r="E63" s="113"/>
    </row>
    <row r="64" customFormat="false" ht="13.5" hidden="false" customHeight="true" outlineLevel="0" collapsed="false">
      <c r="A64" s="114" t="s">
        <v>1279</v>
      </c>
      <c r="B64" s="114" t="s">
        <v>1316</v>
      </c>
      <c r="C64" s="122"/>
      <c r="D64" s="122"/>
      <c r="E64" s="122"/>
    </row>
    <row r="65" customFormat="false" ht="13.5" hidden="false" customHeight="true" outlineLevel="0" collapsed="false">
      <c r="A65" s="5" t="s">
        <v>1312</v>
      </c>
      <c r="B65" s="125" t="n">
        <f aca="false">参数!$B$16</f>
        <v>2</v>
      </c>
      <c r="C65" s="122"/>
      <c r="D65" s="122"/>
      <c r="E65" s="122"/>
    </row>
    <row r="66" customFormat="false" ht="13.5" hidden="false" customHeight="true" outlineLevel="0" collapsed="false">
      <c r="A66" s="5" t="s">
        <v>1313</v>
      </c>
      <c r="B66" s="125" t="n">
        <f aca="false">参数!$B$17</f>
        <v>3.2</v>
      </c>
      <c r="C66" s="122"/>
      <c r="D66" s="122"/>
      <c r="E66" s="122"/>
    </row>
    <row r="67" customFormat="false" ht="13.5" hidden="false" customHeight="true" outlineLevel="0" collapsed="false">
      <c r="A67" s="5" t="s">
        <v>1314</v>
      </c>
      <c r="B67" s="125" t="n">
        <f aca="false">参数!$B$18</f>
        <v>5</v>
      </c>
      <c r="C67" s="122"/>
      <c r="D67" s="122"/>
      <c r="E67" s="122"/>
    </row>
    <row r="68" customFormat="false" ht="13.5" hidden="false" customHeight="true" outlineLevel="0" collapsed="false">
      <c r="A68" s="122"/>
      <c r="B68" s="122"/>
      <c r="C68" s="122"/>
      <c r="D68" s="122"/>
      <c r="E68" s="122"/>
    </row>
    <row r="69" customFormat="false" ht="13.5" hidden="false" customHeight="true" outlineLevel="0" collapsed="false">
      <c r="A69" s="122"/>
      <c r="B69" s="122"/>
      <c r="C69" s="122"/>
      <c r="D69" s="122"/>
      <c r="E69" s="122"/>
    </row>
    <row r="70" customFormat="false" ht="13.5" hidden="false" customHeight="true" outlineLevel="0" collapsed="false">
      <c r="A70" s="122"/>
      <c r="B70" s="122"/>
      <c r="C70" s="122"/>
      <c r="D70" s="122"/>
      <c r="E70" s="122"/>
    </row>
  </sheetData>
  <mergeCells count="9">
    <mergeCell ref="A1:E1"/>
    <mergeCell ref="A3:E3"/>
    <mergeCell ref="A11:E11"/>
    <mergeCell ref="A19:E19"/>
    <mergeCell ref="A36:E36"/>
    <mergeCell ref="A45:E45"/>
    <mergeCell ref="A55:E55"/>
    <mergeCell ref="A56:E56"/>
    <mergeCell ref="A63:E6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100" activePane="bottomLeft" state="frozen"/>
      <selection pane="topLeft" activeCell="A1" activeCellId="0" sqref="A1"/>
      <selection pane="bottom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  <col collapsed="false" customWidth="true" hidden="false" outlineLevel="0" max="3" min="3" style="1" width="30"/>
    <col collapsed="false" customWidth="true" hidden="false" outlineLevel="0" max="6" min="6" style="1" width="6"/>
    <col collapsed="false" customWidth="true" hidden="false" outlineLevel="0" max="16" min="8" style="1" width="7"/>
    <col collapsed="false" customWidth="true" hidden="false" outlineLevel="0" max="17" min="17" style="1" width="28"/>
  </cols>
  <sheetData>
    <row r="1" customFormat="false" ht="17.25" hidden="false" customHeight="true" outlineLevel="0" collapsed="false">
      <c r="A1" s="2" t="s">
        <v>1317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3" customFormat="false" ht="30.75" hidden="false" customHeight="true" outlineLevel="0" collapsed="false">
      <c r="A3" s="132" t="s">
        <v>1318</v>
      </c>
      <c r="B3" s="132" t="s">
        <v>1319</v>
      </c>
      <c r="C3" s="132" t="s">
        <v>69</v>
      </c>
      <c r="D3" s="132" t="s">
        <v>1320</v>
      </c>
      <c r="E3" s="132" t="s">
        <v>1321</v>
      </c>
      <c r="F3" s="132" t="s">
        <v>1322</v>
      </c>
      <c r="G3" s="132" t="s">
        <v>1323</v>
      </c>
      <c r="H3" s="132" t="s">
        <v>1324</v>
      </c>
      <c r="I3" s="132" t="s">
        <v>1325</v>
      </c>
      <c r="J3" s="132" t="s">
        <v>1326</v>
      </c>
      <c r="K3" s="132" t="s">
        <v>1327</v>
      </c>
      <c r="L3" s="132" t="s">
        <v>1328</v>
      </c>
      <c r="M3" s="132" t="s">
        <v>1329</v>
      </c>
      <c r="N3" s="132" t="s">
        <v>1330</v>
      </c>
      <c r="O3" s="132" t="s">
        <v>1331</v>
      </c>
      <c r="P3" s="132" t="s">
        <v>1332</v>
      </c>
      <c r="Q3" s="132" t="s">
        <v>1333</v>
      </c>
    </row>
    <row r="4" customFormat="false" ht="15" hidden="false" customHeight="true" outlineLevel="0" collapsed="false">
      <c r="A4" s="133" t="s">
        <v>67</v>
      </c>
      <c r="B4" s="134" t="s">
        <v>1334</v>
      </c>
      <c r="C4" s="134" t="s">
        <v>1335</v>
      </c>
      <c r="D4" s="135" t="n">
        <v>1</v>
      </c>
      <c r="E4" s="136" t="n">
        <v>20</v>
      </c>
      <c r="F4" s="135" t="n">
        <v>30</v>
      </c>
      <c r="G4" s="136" t="n">
        <v>255</v>
      </c>
      <c r="H4" s="136" t="n">
        <v>8.1</v>
      </c>
      <c r="I4" s="136" t="n">
        <v>8.1</v>
      </c>
      <c r="J4" s="136" t="n">
        <v>8.1</v>
      </c>
      <c r="K4" s="136" t="n">
        <v>8.1</v>
      </c>
      <c r="L4" s="136" t="n">
        <v>7.2</v>
      </c>
      <c r="M4" s="136" t="n">
        <v>6.3</v>
      </c>
      <c r="N4" s="136" t="n">
        <v>6.3</v>
      </c>
      <c r="O4" s="136" t="n">
        <v>6.3</v>
      </c>
      <c r="P4" s="136" t="n">
        <v>6.3</v>
      </c>
      <c r="Q4" s="134" t="s">
        <v>1336</v>
      </c>
    </row>
    <row r="5" customFormat="false" ht="15" hidden="false" customHeight="true" outlineLevel="0" collapsed="false">
      <c r="A5" s="133" t="s">
        <v>67</v>
      </c>
      <c r="B5" s="134"/>
      <c r="C5" s="134" t="s">
        <v>1337</v>
      </c>
      <c r="D5" s="135" t="n">
        <v>1</v>
      </c>
      <c r="E5" s="136" t="n">
        <v>20</v>
      </c>
      <c r="F5" s="135" t="n">
        <v>30</v>
      </c>
      <c r="G5" s="136" t="n">
        <v>255</v>
      </c>
      <c r="H5" s="136" t="n">
        <v>8.1</v>
      </c>
      <c r="I5" s="136" t="n">
        <v>8.1</v>
      </c>
      <c r="J5" s="136" t="n">
        <v>8.1</v>
      </c>
      <c r="K5" s="136" t="n">
        <v>8.1</v>
      </c>
      <c r="L5" s="136" t="n">
        <v>7.2</v>
      </c>
      <c r="M5" s="136" t="n">
        <v>6.3</v>
      </c>
      <c r="N5" s="136" t="n">
        <v>6.3</v>
      </c>
      <c r="O5" s="136" t="n">
        <v>6.3</v>
      </c>
      <c r="P5" s="136" t="n">
        <v>6.3</v>
      </c>
      <c r="Q5" s="134" t="s">
        <v>1338</v>
      </c>
    </row>
    <row r="6" customFormat="false" ht="15" hidden="false" customHeight="true" outlineLevel="0" collapsed="false">
      <c r="A6" s="133" t="s">
        <v>67</v>
      </c>
      <c r="B6" s="134"/>
      <c r="C6" s="134" t="s">
        <v>1339</v>
      </c>
      <c r="D6" s="135" t="n">
        <v>1</v>
      </c>
      <c r="E6" s="136" t="n">
        <v>20</v>
      </c>
      <c r="F6" s="135" t="n">
        <v>30</v>
      </c>
      <c r="G6" s="136" t="n">
        <v>255</v>
      </c>
      <c r="H6" s="136" t="n">
        <v>8.1</v>
      </c>
      <c r="I6" s="136" t="n">
        <v>8.1</v>
      </c>
      <c r="J6" s="136" t="n">
        <v>8.1</v>
      </c>
      <c r="K6" s="136" t="n">
        <v>8.1</v>
      </c>
      <c r="L6" s="136" t="n">
        <v>7.2</v>
      </c>
      <c r="M6" s="136" t="n">
        <v>6.3</v>
      </c>
      <c r="N6" s="136" t="n">
        <v>6.3</v>
      </c>
      <c r="O6" s="136" t="n">
        <v>6.3</v>
      </c>
      <c r="P6" s="136" t="n">
        <v>6.3</v>
      </c>
      <c r="Q6" s="134" t="s">
        <v>1340</v>
      </c>
    </row>
    <row r="7" customFormat="false" ht="15" hidden="false" customHeight="true" outlineLevel="0" collapsed="false">
      <c r="A7" s="133" t="s">
        <v>67</v>
      </c>
      <c r="B7" s="134" t="s">
        <v>1341</v>
      </c>
      <c r="C7" s="134" t="s">
        <v>35</v>
      </c>
      <c r="D7" s="135" t="n">
        <v>1</v>
      </c>
      <c r="E7" s="136" t="n">
        <v>20</v>
      </c>
      <c r="F7" s="135" t="n">
        <v>30</v>
      </c>
      <c r="G7" s="136" t="n">
        <v>542</v>
      </c>
      <c r="H7" s="136" t="n">
        <v>18</v>
      </c>
      <c r="I7" s="136" t="n">
        <v>18</v>
      </c>
      <c r="J7" s="136" t="n">
        <v>18</v>
      </c>
      <c r="K7" s="136" t="n">
        <v>18</v>
      </c>
      <c r="L7" s="136" t="n">
        <v>18</v>
      </c>
      <c r="M7" s="136" t="n">
        <v>18</v>
      </c>
      <c r="N7" s="136" t="n">
        <v>18</v>
      </c>
      <c r="O7" s="136" t="n">
        <v>18</v>
      </c>
      <c r="P7" s="136" t="n">
        <v>18</v>
      </c>
      <c r="Q7" s="134" t="s">
        <v>1342</v>
      </c>
    </row>
    <row r="8" customFormat="false" ht="15" hidden="false" customHeight="true" outlineLevel="0" collapsed="false">
      <c r="A8" s="133" t="s">
        <v>67</v>
      </c>
      <c r="B8" s="134"/>
      <c r="C8" s="134" t="s">
        <v>1343</v>
      </c>
      <c r="D8" s="135" t="n">
        <v>1</v>
      </c>
      <c r="E8" s="136" t="n">
        <v>25</v>
      </c>
      <c r="F8" s="135" t="n">
        <v>30</v>
      </c>
      <c r="G8" s="136" t="n">
        <v>678</v>
      </c>
      <c r="H8" s="136" t="n">
        <v>22.5</v>
      </c>
      <c r="I8" s="136" t="n">
        <v>22.5</v>
      </c>
      <c r="J8" s="136" t="n">
        <v>22.5</v>
      </c>
      <c r="K8" s="136" t="n">
        <v>22.5</v>
      </c>
      <c r="L8" s="136" t="n">
        <v>22.5</v>
      </c>
      <c r="M8" s="136" t="n">
        <v>22.5</v>
      </c>
      <c r="N8" s="136" t="n">
        <v>22.5</v>
      </c>
      <c r="O8" s="136" t="n">
        <v>22.5</v>
      </c>
      <c r="P8" s="136" t="n">
        <v>22.5</v>
      </c>
      <c r="Q8" s="134" t="s">
        <v>1344</v>
      </c>
    </row>
    <row r="9" customFormat="false" ht="15" hidden="false" customHeight="true" outlineLevel="0" collapsed="false">
      <c r="A9" s="133" t="s">
        <v>67</v>
      </c>
      <c r="B9" s="134" t="s">
        <v>1345</v>
      </c>
      <c r="C9" s="134" t="s">
        <v>1346</v>
      </c>
      <c r="D9" s="135" t="n">
        <v>1</v>
      </c>
      <c r="E9" s="136" t="n">
        <v>20</v>
      </c>
      <c r="F9" s="135" t="n">
        <v>30</v>
      </c>
      <c r="G9" s="136" t="n">
        <v>307</v>
      </c>
      <c r="H9" s="136" t="n">
        <v>9.9</v>
      </c>
      <c r="I9" s="136" t="n">
        <v>9.9</v>
      </c>
      <c r="J9" s="136" t="n">
        <v>9.9</v>
      </c>
      <c r="K9" s="136" t="n">
        <v>9</v>
      </c>
      <c r="L9" s="136" t="n">
        <v>9</v>
      </c>
      <c r="M9" s="136" t="n">
        <v>8.1</v>
      </c>
      <c r="N9" s="136" t="n">
        <v>8.1</v>
      </c>
      <c r="O9" s="136" t="n">
        <v>8.1</v>
      </c>
      <c r="P9" s="136" t="n">
        <v>8.1</v>
      </c>
      <c r="Q9" s="134" t="s">
        <v>1347</v>
      </c>
    </row>
    <row r="10" customFormat="false" ht="15" hidden="false" customHeight="true" outlineLevel="0" collapsed="false">
      <c r="A10" s="133" t="s">
        <v>67</v>
      </c>
      <c r="B10" s="134"/>
      <c r="C10" s="134" t="s">
        <v>1348</v>
      </c>
      <c r="D10" s="135" t="n">
        <v>1</v>
      </c>
      <c r="E10" s="136" t="n">
        <v>20</v>
      </c>
      <c r="F10" s="135" t="n">
        <v>30</v>
      </c>
      <c r="G10" s="136" t="n">
        <v>307</v>
      </c>
      <c r="H10" s="136" t="n">
        <v>9.9</v>
      </c>
      <c r="I10" s="136" t="n">
        <v>9.9</v>
      </c>
      <c r="J10" s="136" t="n">
        <v>9.9</v>
      </c>
      <c r="K10" s="136" t="n">
        <v>9</v>
      </c>
      <c r="L10" s="136" t="n">
        <v>9</v>
      </c>
      <c r="M10" s="136" t="n">
        <v>8.1</v>
      </c>
      <c r="N10" s="136" t="n">
        <v>8.1</v>
      </c>
      <c r="O10" s="136" t="n">
        <v>8.1</v>
      </c>
      <c r="P10" s="136" t="n">
        <v>8.1</v>
      </c>
      <c r="Q10" s="134" t="s">
        <v>1349</v>
      </c>
    </row>
    <row r="11" customFormat="false" ht="15" hidden="false" customHeight="true" outlineLevel="0" collapsed="false">
      <c r="A11" s="133" t="s">
        <v>67</v>
      </c>
      <c r="B11" s="134" t="s">
        <v>1350</v>
      </c>
      <c r="C11" s="134" t="s">
        <v>1351</v>
      </c>
      <c r="D11" s="135" t="n">
        <v>1</v>
      </c>
      <c r="E11" s="136" t="n">
        <v>20</v>
      </c>
      <c r="F11" s="135" t="n">
        <v>15</v>
      </c>
      <c r="G11" s="136" t="n">
        <v>171</v>
      </c>
      <c r="H11" s="136" t="n">
        <v>10.8</v>
      </c>
      <c r="I11" s="136" t="n">
        <v>10.8</v>
      </c>
      <c r="J11" s="136" t="n">
        <v>10.8</v>
      </c>
      <c r="K11" s="136" t="n">
        <v>9.9</v>
      </c>
      <c r="L11" s="136" t="n">
        <v>9</v>
      </c>
      <c r="M11" s="136" t="n">
        <v>8.1</v>
      </c>
      <c r="N11" s="136" t="n">
        <v>8.1</v>
      </c>
      <c r="O11" s="136" t="n">
        <v>8.1</v>
      </c>
      <c r="P11" s="136" t="n">
        <v>8.1</v>
      </c>
      <c r="Q11" s="134" t="s">
        <v>1352</v>
      </c>
    </row>
    <row r="12" customFormat="false" ht="15" hidden="false" customHeight="true" outlineLevel="0" collapsed="false">
      <c r="A12" s="133" t="s">
        <v>67</v>
      </c>
      <c r="B12" s="134"/>
      <c r="C12" s="134" t="s">
        <v>1353</v>
      </c>
      <c r="D12" s="135" t="n">
        <v>1</v>
      </c>
      <c r="E12" s="136" t="n">
        <v>20</v>
      </c>
      <c r="F12" s="135" t="n">
        <v>15</v>
      </c>
      <c r="G12" s="136" t="n">
        <v>171</v>
      </c>
      <c r="H12" s="136" t="n">
        <v>10.8</v>
      </c>
      <c r="I12" s="136" t="n">
        <v>10.8</v>
      </c>
      <c r="J12" s="136" t="n">
        <v>10.8</v>
      </c>
      <c r="K12" s="136" t="n">
        <v>9.9</v>
      </c>
      <c r="L12" s="136" t="n">
        <v>9</v>
      </c>
      <c r="M12" s="136" t="n">
        <v>8.1</v>
      </c>
      <c r="N12" s="136" t="n">
        <v>8.1</v>
      </c>
      <c r="O12" s="136" t="n">
        <v>8.1</v>
      </c>
      <c r="P12" s="136" t="n">
        <v>8.1</v>
      </c>
      <c r="Q12" s="134" t="s">
        <v>1354</v>
      </c>
    </row>
    <row r="13" customFormat="false" ht="15" hidden="false" customHeight="true" outlineLevel="0" collapsed="false">
      <c r="A13" s="133" t="s">
        <v>67</v>
      </c>
      <c r="B13" s="134"/>
      <c r="C13" s="134" t="s">
        <v>1355</v>
      </c>
      <c r="D13" s="135" t="n">
        <v>1</v>
      </c>
      <c r="E13" s="136" t="n">
        <v>20</v>
      </c>
      <c r="F13" s="135" t="n">
        <v>15</v>
      </c>
      <c r="G13" s="136" t="n">
        <v>171</v>
      </c>
      <c r="H13" s="136" t="n">
        <v>10.8</v>
      </c>
      <c r="I13" s="136" t="n">
        <v>10.8</v>
      </c>
      <c r="J13" s="136" t="n">
        <v>10.8</v>
      </c>
      <c r="K13" s="136" t="n">
        <v>9.9</v>
      </c>
      <c r="L13" s="136" t="n">
        <v>9</v>
      </c>
      <c r="M13" s="136" t="n">
        <v>8.1</v>
      </c>
      <c r="N13" s="136" t="n">
        <v>8.1</v>
      </c>
      <c r="O13" s="136" t="n">
        <v>8.1</v>
      </c>
      <c r="P13" s="136" t="n">
        <v>8.1</v>
      </c>
      <c r="Q13" s="134" t="s">
        <v>1356</v>
      </c>
    </row>
    <row r="14" customFormat="false" ht="15" hidden="false" customHeight="true" outlineLevel="0" collapsed="false">
      <c r="A14" s="133" t="s">
        <v>67</v>
      </c>
      <c r="B14" s="134" t="s">
        <v>1357</v>
      </c>
      <c r="C14" s="134" t="s">
        <v>1358</v>
      </c>
      <c r="D14" s="135" t="n">
        <v>1</v>
      </c>
      <c r="E14" s="136" t="n">
        <v>20</v>
      </c>
      <c r="F14" s="135" t="n">
        <v>30</v>
      </c>
      <c r="G14" s="136" t="n">
        <v>255</v>
      </c>
      <c r="H14" s="136" t="n">
        <v>8.1</v>
      </c>
      <c r="I14" s="136" t="n">
        <v>8.1</v>
      </c>
      <c r="J14" s="136" t="n">
        <v>8.1</v>
      </c>
      <c r="K14" s="136" t="n">
        <v>8.1</v>
      </c>
      <c r="L14" s="136" t="n">
        <v>7.2</v>
      </c>
      <c r="M14" s="136" t="n">
        <v>6.3</v>
      </c>
      <c r="N14" s="136" t="n">
        <v>6.3</v>
      </c>
      <c r="O14" s="136" t="n">
        <v>6.3</v>
      </c>
      <c r="P14" s="136" t="n">
        <v>6.3</v>
      </c>
      <c r="Q14" s="134" t="s">
        <v>1359</v>
      </c>
    </row>
    <row r="15" customFormat="false" ht="15" hidden="false" customHeight="true" outlineLevel="0" collapsed="false">
      <c r="A15" s="133" t="s">
        <v>67</v>
      </c>
      <c r="B15" s="134"/>
      <c r="C15" s="134" t="s">
        <v>1360</v>
      </c>
      <c r="D15" s="135" t="n">
        <v>1</v>
      </c>
      <c r="E15" s="136" t="n">
        <v>20</v>
      </c>
      <c r="F15" s="135" t="n">
        <v>30</v>
      </c>
      <c r="G15" s="136" t="n">
        <v>255</v>
      </c>
      <c r="H15" s="136" t="n">
        <v>8.1</v>
      </c>
      <c r="I15" s="136" t="n">
        <v>8.1</v>
      </c>
      <c r="J15" s="136" t="n">
        <v>8.1</v>
      </c>
      <c r="K15" s="136" t="n">
        <v>8.1</v>
      </c>
      <c r="L15" s="136" t="n">
        <v>7.2</v>
      </c>
      <c r="M15" s="136" t="n">
        <v>6.3</v>
      </c>
      <c r="N15" s="136" t="n">
        <v>6.3</v>
      </c>
      <c r="O15" s="136" t="n">
        <v>6.3</v>
      </c>
      <c r="P15" s="136" t="n">
        <v>6.3</v>
      </c>
      <c r="Q15" s="134" t="s">
        <v>1361</v>
      </c>
    </row>
    <row r="16" customFormat="false" ht="15" hidden="false" customHeight="true" outlineLevel="0" collapsed="false">
      <c r="A16" s="133" t="s">
        <v>67</v>
      </c>
      <c r="B16" s="134"/>
      <c r="C16" s="134" t="s">
        <v>1362</v>
      </c>
      <c r="D16" s="135" t="n">
        <v>1</v>
      </c>
      <c r="E16" s="136" t="n">
        <v>20</v>
      </c>
      <c r="F16" s="135" t="n">
        <v>30</v>
      </c>
      <c r="G16" s="136" t="n">
        <v>307</v>
      </c>
      <c r="H16" s="136" t="n">
        <v>9.9</v>
      </c>
      <c r="I16" s="136" t="n">
        <v>9.9</v>
      </c>
      <c r="J16" s="136" t="n">
        <v>9.9</v>
      </c>
      <c r="K16" s="136" t="n">
        <v>9.9</v>
      </c>
      <c r="L16" s="136" t="n">
        <v>9</v>
      </c>
      <c r="M16" s="136" t="n">
        <v>8.1</v>
      </c>
      <c r="N16" s="136" t="n">
        <v>8.1</v>
      </c>
      <c r="O16" s="136" t="n">
        <v>8.1</v>
      </c>
      <c r="P16" s="136" t="n">
        <v>8.1</v>
      </c>
      <c r="Q16" s="134" t="s">
        <v>1363</v>
      </c>
    </row>
    <row r="17" customFormat="false" ht="15" hidden="false" customHeight="true" outlineLevel="0" collapsed="false">
      <c r="A17" s="133" t="s">
        <v>67</v>
      </c>
      <c r="B17" s="134" t="s">
        <v>1364</v>
      </c>
      <c r="C17" s="134" t="s">
        <v>1365</v>
      </c>
      <c r="D17" s="135" t="n">
        <v>1</v>
      </c>
      <c r="E17" s="136" t="n">
        <v>20</v>
      </c>
      <c r="F17" s="135" t="n">
        <v>30</v>
      </c>
      <c r="G17" s="136" t="n">
        <v>255</v>
      </c>
      <c r="H17" s="136" t="n">
        <v>8.1</v>
      </c>
      <c r="I17" s="136" t="n">
        <v>8.1</v>
      </c>
      <c r="J17" s="136" t="n">
        <v>8.1</v>
      </c>
      <c r="K17" s="136" t="n">
        <v>8.1</v>
      </c>
      <c r="L17" s="136" t="n">
        <v>7.2</v>
      </c>
      <c r="M17" s="136" t="n">
        <v>6.3</v>
      </c>
      <c r="N17" s="136" t="n">
        <v>6.3</v>
      </c>
      <c r="O17" s="136" t="n">
        <v>6.3</v>
      </c>
      <c r="P17" s="136" t="n">
        <v>6.3</v>
      </c>
      <c r="Q17" s="134" t="s">
        <v>1366</v>
      </c>
    </row>
    <row r="18" customFormat="false" ht="15" hidden="false" customHeight="true" outlineLevel="0" collapsed="false">
      <c r="A18" s="133" t="s">
        <v>67</v>
      </c>
      <c r="B18" s="134"/>
      <c r="C18" s="134" t="s">
        <v>58</v>
      </c>
      <c r="D18" s="135" t="n">
        <v>1</v>
      </c>
      <c r="E18" s="136" t="n">
        <v>20</v>
      </c>
      <c r="F18" s="135" t="n">
        <v>30</v>
      </c>
      <c r="G18" s="136" t="n">
        <v>255</v>
      </c>
      <c r="H18" s="136" t="n">
        <v>8.1</v>
      </c>
      <c r="I18" s="136" t="n">
        <v>8.1</v>
      </c>
      <c r="J18" s="136" t="n">
        <v>8.1</v>
      </c>
      <c r="K18" s="136" t="n">
        <v>8.1</v>
      </c>
      <c r="L18" s="136" t="n">
        <v>7.2</v>
      </c>
      <c r="M18" s="136" t="n">
        <v>6.3</v>
      </c>
      <c r="N18" s="136" t="n">
        <v>6.3</v>
      </c>
      <c r="O18" s="136" t="n">
        <v>6.3</v>
      </c>
      <c r="P18" s="136" t="n">
        <v>6.3</v>
      </c>
      <c r="Q18" s="134" t="s">
        <v>1367</v>
      </c>
    </row>
    <row r="19" customFormat="false" ht="15" hidden="false" customHeight="true" outlineLevel="0" collapsed="false">
      <c r="A19" s="133" t="s">
        <v>67</v>
      </c>
      <c r="B19" s="134"/>
      <c r="C19" s="134" t="s">
        <v>1368</v>
      </c>
      <c r="D19" s="135" t="n">
        <v>1</v>
      </c>
      <c r="E19" s="136" t="n">
        <v>20</v>
      </c>
      <c r="F19" s="135" t="n">
        <v>30</v>
      </c>
      <c r="G19" s="136" t="n">
        <v>307</v>
      </c>
      <c r="H19" s="136" t="n">
        <v>9.9</v>
      </c>
      <c r="I19" s="136" t="n">
        <v>9.9</v>
      </c>
      <c r="J19" s="136" t="n">
        <v>9.9</v>
      </c>
      <c r="K19" s="136" t="n">
        <v>9.9</v>
      </c>
      <c r="L19" s="136" t="n">
        <v>9</v>
      </c>
      <c r="M19" s="136" t="n">
        <v>8.1</v>
      </c>
      <c r="N19" s="136" t="n">
        <v>8.1</v>
      </c>
      <c r="O19" s="136" t="n">
        <v>8.1</v>
      </c>
      <c r="P19" s="136" t="n">
        <v>8.1</v>
      </c>
      <c r="Q19" s="134" t="s">
        <v>1369</v>
      </c>
    </row>
    <row r="20" customFormat="false" ht="15" hidden="false" customHeight="true" outlineLevel="0" collapsed="false">
      <c r="A20" s="133" t="s">
        <v>67</v>
      </c>
      <c r="B20" s="134" t="s">
        <v>1370</v>
      </c>
      <c r="C20" s="134" t="s">
        <v>65</v>
      </c>
      <c r="D20" s="135" t="n">
        <v>1</v>
      </c>
      <c r="E20" s="136" t="n">
        <v>20</v>
      </c>
      <c r="F20" s="135" t="n">
        <v>30</v>
      </c>
      <c r="G20" s="136" t="n">
        <v>255</v>
      </c>
      <c r="H20" s="136" t="n">
        <v>8.1</v>
      </c>
      <c r="I20" s="136" t="n">
        <v>8.1</v>
      </c>
      <c r="J20" s="136" t="n">
        <v>8.1</v>
      </c>
      <c r="K20" s="136" t="n">
        <v>8.1</v>
      </c>
      <c r="L20" s="136" t="n">
        <v>7.2</v>
      </c>
      <c r="M20" s="136" t="n">
        <v>7.2</v>
      </c>
      <c r="N20" s="136" t="n">
        <v>7.2</v>
      </c>
      <c r="O20" s="136" t="n">
        <v>7.2</v>
      </c>
      <c r="P20" s="136" t="n">
        <v>7.2</v>
      </c>
      <c r="Q20" s="134" t="s">
        <v>1371</v>
      </c>
    </row>
    <row r="21" customFormat="false" ht="15" hidden="false" customHeight="true" outlineLevel="0" collapsed="false">
      <c r="A21" s="133" t="s">
        <v>67</v>
      </c>
      <c r="B21" s="134" t="s">
        <v>1372</v>
      </c>
      <c r="C21" s="134" t="s">
        <v>1373</v>
      </c>
      <c r="D21" s="135" t="n">
        <v>1</v>
      </c>
      <c r="E21" s="136" t="n">
        <v>20</v>
      </c>
      <c r="F21" s="135" t="n">
        <v>30</v>
      </c>
      <c r="G21" s="136" t="n">
        <v>255</v>
      </c>
      <c r="H21" s="136" t="n">
        <v>8.1</v>
      </c>
      <c r="I21" s="136" t="n">
        <v>8.1</v>
      </c>
      <c r="J21" s="136" t="n">
        <v>8.1</v>
      </c>
      <c r="K21" s="136" t="n">
        <v>8.1</v>
      </c>
      <c r="L21" s="136" t="n">
        <v>7.2</v>
      </c>
      <c r="M21" s="136" t="n">
        <v>7.2</v>
      </c>
      <c r="N21" s="136" t="n">
        <v>7.2</v>
      </c>
      <c r="O21" s="136" t="n">
        <v>7.2</v>
      </c>
      <c r="P21" s="136" t="n">
        <v>7.2</v>
      </c>
      <c r="Q21" s="134" t="s">
        <v>1374</v>
      </c>
    </row>
    <row r="22" customFormat="false" ht="15" hidden="false" customHeight="true" outlineLevel="0" collapsed="false">
      <c r="A22" s="133" t="s">
        <v>67</v>
      </c>
      <c r="B22" s="134"/>
      <c r="C22" s="134" t="s">
        <v>71</v>
      </c>
      <c r="D22" s="135" t="n">
        <v>1</v>
      </c>
      <c r="E22" s="136" t="n">
        <v>20</v>
      </c>
      <c r="F22" s="135" t="n">
        <v>30</v>
      </c>
      <c r="G22" s="136" t="n">
        <v>255</v>
      </c>
      <c r="H22" s="136" t="n">
        <v>8.1</v>
      </c>
      <c r="I22" s="136" t="n">
        <v>8.1</v>
      </c>
      <c r="J22" s="136" t="n">
        <v>8.1</v>
      </c>
      <c r="K22" s="136" t="n">
        <v>8.1</v>
      </c>
      <c r="L22" s="136" t="n">
        <v>7.2</v>
      </c>
      <c r="M22" s="136" t="n">
        <v>7.2</v>
      </c>
      <c r="N22" s="136" t="n">
        <v>7.2</v>
      </c>
      <c r="O22" s="136" t="n">
        <v>7.2</v>
      </c>
      <c r="P22" s="136" t="n">
        <v>7.2</v>
      </c>
      <c r="Q22" s="134" t="s">
        <v>1375</v>
      </c>
    </row>
    <row r="23" customFormat="false" ht="15" hidden="false" customHeight="true" outlineLevel="0" collapsed="false">
      <c r="A23" s="133" t="s">
        <v>67</v>
      </c>
      <c r="B23" s="134"/>
      <c r="C23" s="134" t="s">
        <v>1376</v>
      </c>
      <c r="D23" s="135" t="n">
        <v>1</v>
      </c>
      <c r="E23" s="136" t="n">
        <v>20</v>
      </c>
      <c r="F23" s="135" t="n">
        <v>30</v>
      </c>
      <c r="G23" s="136" t="n">
        <v>307</v>
      </c>
      <c r="H23" s="136" t="n">
        <v>9.9</v>
      </c>
      <c r="I23" s="136" t="n">
        <v>9.9</v>
      </c>
      <c r="J23" s="136" t="n">
        <v>9.9</v>
      </c>
      <c r="K23" s="136" t="n">
        <v>9.9</v>
      </c>
      <c r="L23" s="136" t="n">
        <v>9</v>
      </c>
      <c r="M23" s="136" t="n">
        <v>9</v>
      </c>
      <c r="N23" s="136" t="n">
        <v>9</v>
      </c>
      <c r="O23" s="136" t="n">
        <v>9</v>
      </c>
      <c r="P23" s="136" t="n">
        <v>9</v>
      </c>
      <c r="Q23" s="134" t="s">
        <v>1377</v>
      </c>
    </row>
    <row r="24" customFormat="false" ht="15" hidden="false" customHeight="true" outlineLevel="0" collapsed="false">
      <c r="A24" s="133" t="s">
        <v>67</v>
      </c>
      <c r="B24" s="134"/>
      <c r="C24" s="134" t="s">
        <v>1378</v>
      </c>
      <c r="D24" s="135" t="n">
        <v>1</v>
      </c>
      <c r="E24" s="136" t="n">
        <v>20</v>
      </c>
      <c r="F24" s="135" t="n">
        <v>30</v>
      </c>
      <c r="G24" s="136" t="n">
        <v>385</v>
      </c>
      <c r="H24" s="136" t="n">
        <v>12.6</v>
      </c>
      <c r="I24" s="136" t="n">
        <v>12.6</v>
      </c>
      <c r="J24" s="136" t="n">
        <v>12.6</v>
      </c>
      <c r="K24" s="136" t="n">
        <v>12.6</v>
      </c>
      <c r="L24" s="136" t="n">
        <v>11.7</v>
      </c>
      <c r="M24" s="136" t="n">
        <v>11.7</v>
      </c>
      <c r="N24" s="136" t="n">
        <v>11.7</v>
      </c>
      <c r="O24" s="136" t="n">
        <v>11.7</v>
      </c>
      <c r="P24" s="136" t="n">
        <v>11.7</v>
      </c>
      <c r="Q24" s="134" t="s">
        <v>1379</v>
      </c>
    </row>
    <row r="25" customFormat="false" ht="15" hidden="false" customHeight="true" outlineLevel="0" collapsed="false">
      <c r="A25" s="133" t="s">
        <v>67</v>
      </c>
      <c r="B25" s="134" t="s">
        <v>1380</v>
      </c>
      <c r="C25" s="134" t="s">
        <v>1381</v>
      </c>
      <c r="D25" s="135" t="n">
        <v>1</v>
      </c>
      <c r="E25" s="136" t="n">
        <v>20</v>
      </c>
      <c r="F25" s="135" t="n">
        <v>30</v>
      </c>
      <c r="G25" s="136" t="n">
        <v>255</v>
      </c>
      <c r="H25" s="136" t="n">
        <v>8.1</v>
      </c>
      <c r="I25" s="136" t="n">
        <v>8.1</v>
      </c>
      <c r="J25" s="136" t="n">
        <v>8.1</v>
      </c>
      <c r="K25" s="136" t="n">
        <v>8.1</v>
      </c>
      <c r="L25" s="136" t="n">
        <v>7.2</v>
      </c>
      <c r="M25" s="136" t="n">
        <v>6.3</v>
      </c>
      <c r="N25" s="136" t="n">
        <v>6.3</v>
      </c>
      <c r="O25" s="136" t="n">
        <v>6.3</v>
      </c>
      <c r="P25" s="136" t="n">
        <v>6.3</v>
      </c>
      <c r="Q25" s="134" t="s">
        <v>1382</v>
      </c>
    </row>
    <row r="26" customFormat="false" ht="15" hidden="false" customHeight="true" outlineLevel="0" collapsed="false">
      <c r="A26" s="133" t="s">
        <v>67</v>
      </c>
      <c r="B26" s="134"/>
      <c r="C26" s="134" t="s">
        <v>1383</v>
      </c>
      <c r="D26" s="135" t="n">
        <v>1</v>
      </c>
      <c r="E26" s="136" t="n">
        <v>20</v>
      </c>
      <c r="F26" s="135" t="n">
        <v>30</v>
      </c>
      <c r="G26" s="136" t="n">
        <v>281</v>
      </c>
      <c r="H26" s="136" t="n">
        <v>9</v>
      </c>
      <c r="I26" s="136" t="n">
        <v>9</v>
      </c>
      <c r="J26" s="136" t="n">
        <v>9</v>
      </c>
      <c r="K26" s="136" t="n">
        <v>9</v>
      </c>
      <c r="L26" s="136" t="n">
        <v>8.1</v>
      </c>
      <c r="M26" s="136" t="n">
        <v>7.2</v>
      </c>
      <c r="N26" s="136" t="n">
        <v>7.2</v>
      </c>
      <c r="O26" s="136" t="n">
        <v>7.2</v>
      </c>
      <c r="P26" s="136" t="n">
        <v>7.2</v>
      </c>
      <c r="Q26" s="134" t="s">
        <v>1384</v>
      </c>
    </row>
    <row r="27" customFormat="false" ht="15" hidden="false" customHeight="true" outlineLevel="0" collapsed="false">
      <c r="A27" s="133" t="s">
        <v>67</v>
      </c>
      <c r="B27" s="134"/>
      <c r="C27" s="134" t="s">
        <v>1385</v>
      </c>
      <c r="D27" s="135" t="n">
        <v>1</v>
      </c>
      <c r="E27" s="136" t="n">
        <v>20</v>
      </c>
      <c r="F27" s="135" t="n">
        <v>30</v>
      </c>
      <c r="G27" s="136" t="n">
        <v>307</v>
      </c>
      <c r="H27" s="136" t="n">
        <v>9.9</v>
      </c>
      <c r="I27" s="136" t="n">
        <v>9.9</v>
      </c>
      <c r="J27" s="136" t="n">
        <v>9.9</v>
      </c>
      <c r="K27" s="136" t="n">
        <v>9.9</v>
      </c>
      <c r="L27" s="136" t="n">
        <v>9</v>
      </c>
      <c r="M27" s="136" t="n">
        <v>8.1</v>
      </c>
      <c r="N27" s="136" t="n">
        <v>8.1</v>
      </c>
      <c r="O27" s="136" t="n">
        <v>8.1</v>
      </c>
      <c r="P27" s="136" t="n">
        <v>8.1</v>
      </c>
      <c r="Q27" s="134" t="s">
        <v>1386</v>
      </c>
    </row>
    <row r="28" customFormat="false" ht="15" hidden="false" customHeight="true" outlineLevel="0" collapsed="false">
      <c r="A28" s="133" t="s">
        <v>67</v>
      </c>
      <c r="B28" s="134" t="s">
        <v>1387</v>
      </c>
      <c r="C28" s="134" t="s">
        <v>89</v>
      </c>
      <c r="D28" s="135" t="n">
        <v>1</v>
      </c>
      <c r="E28" s="136" t="n">
        <v>20</v>
      </c>
      <c r="F28" s="135" t="n">
        <v>30</v>
      </c>
      <c r="G28" s="136" t="n">
        <v>542</v>
      </c>
      <c r="H28" s="136" t="n">
        <v>18</v>
      </c>
      <c r="I28" s="136" t="n">
        <v>18</v>
      </c>
      <c r="J28" s="136" t="n">
        <v>18</v>
      </c>
      <c r="K28" s="136" t="n">
        <v>18</v>
      </c>
      <c r="L28" s="136" t="n">
        <v>18</v>
      </c>
      <c r="M28" s="136" t="n">
        <v>18</v>
      </c>
      <c r="N28" s="136" t="n">
        <v>18</v>
      </c>
      <c r="O28" s="136" t="n">
        <v>18</v>
      </c>
      <c r="P28" s="136" t="n">
        <v>18</v>
      </c>
      <c r="Q28" s="134" t="s">
        <v>1388</v>
      </c>
    </row>
    <row r="29" customFormat="false" ht="15" hidden="false" customHeight="true" outlineLevel="0" collapsed="false">
      <c r="A29" s="133" t="s">
        <v>67</v>
      </c>
      <c r="B29" s="134"/>
      <c r="C29" s="134" t="s">
        <v>1389</v>
      </c>
      <c r="D29" s="135" t="n">
        <v>1</v>
      </c>
      <c r="E29" s="136" t="n">
        <v>25</v>
      </c>
      <c r="F29" s="135" t="n">
        <v>30</v>
      </c>
      <c r="G29" s="136" t="n">
        <v>678</v>
      </c>
      <c r="H29" s="136" t="n">
        <v>22.5</v>
      </c>
      <c r="I29" s="136" t="n">
        <v>22.5</v>
      </c>
      <c r="J29" s="136" t="n">
        <v>22.5</v>
      </c>
      <c r="K29" s="136" t="n">
        <v>22.5</v>
      </c>
      <c r="L29" s="136" t="n">
        <v>22.5</v>
      </c>
      <c r="M29" s="136" t="n">
        <v>22.5</v>
      </c>
      <c r="N29" s="136" t="n">
        <v>22.5</v>
      </c>
      <c r="O29" s="136" t="n">
        <v>22.5</v>
      </c>
      <c r="P29" s="136" t="n">
        <v>22.5</v>
      </c>
      <c r="Q29" s="134" t="s">
        <v>1390</v>
      </c>
    </row>
    <row r="30" customFormat="false" ht="15" hidden="false" customHeight="true" outlineLevel="0" collapsed="false">
      <c r="A30" s="133" t="s">
        <v>67</v>
      </c>
      <c r="B30" s="134" t="s">
        <v>1391</v>
      </c>
      <c r="C30" s="134" t="s">
        <v>1392</v>
      </c>
      <c r="D30" s="135" t="n">
        <v>1</v>
      </c>
      <c r="E30" s="136" t="n">
        <v>20</v>
      </c>
      <c r="F30" s="135" t="n">
        <v>15</v>
      </c>
      <c r="G30" s="136" t="n">
        <v>133</v>
      </c>
      <c r="H30" s="136" t="n">
        <v>8.1</v>
      </c>
      <c r="I30" s="136" t="n">
        <v>8.1</v>
      </c>
      <c r="J30" s="136" t="n">
        <v>8.1</v>
      </c>
      <c r="K30" s="136" t="n">
        <v>7.2</v>
      </c>
      <c r="L30" s="136" t="n">
        <v>6.3</v>
      </c>
      <c r="M30" s="136" t="n">
        <v>6.3</v>
      </c>
      <c r="N30" s="136" t="n">
        <v>6.3</v>
      </c>
      <c r="O30" s="136" t="n">
        <v>6.3</v>
      </c>
      <c r="P30" s="136" t="n">
        <v>6.3</v>
      </c>
      <c r="Q30" s="134" t="s">
        <v>1393</v>
      </c>
    </row>
    <row r="31" customFormat="false" ht="15" hidden="false" customHeight="true" outlineLevel="0" collapsed="false">
      <c r="A31" s="133" t="s">
        <v>67</v>
      </c>
      <c r="B31" s="134"/>
      <c r="C31" s="134" t="s">
        <v>1394</v>
      </c>
      <c r="D31" s="135" t="n">
        <v>1</v>
      </c>
      <c r="E31" s="136" t="n">
        <v>20</v>
      </c>
      <c r="F31" s="135" t="n">
        <v>15</v>
      </c>
      <c r="G31" s="136" t="n">
        <v>133</v>
      </c>
      <c r="H31" s="136" t="n">
        <v>8.1</v>
      </c>
      <c r="I31" s="136" t="n">
        <v>8.1</v>
      </c>
      <c r="J31" s="136" t="n">
        <v>8.1</v>
      </c>
      <c r="K31" s="136" t="n">
        <v>7.2</v>
      </c>
      <c r="L31" s="136" t="n">
        <v>6.3</v>
      </c>
      <c r="M31" s="136" t="n">
        <v>6.3</v>
      </c>
      <c r="N31" s="136" t="n">
        <v>6.3</v>
      </c>
      <c r="O31" s="136" t="n">
        <v>6.3</v>
      </c>
      <c r="P31" s="136" t="n">
        <v>6.3</v>
      </c>
      <c r="Q31" s="134" t="s">
        <v>1395</v>
      </c>
    </row>
    <row r="32" customFormat="false" ht="15" hidden="false" customHeight="true" outlineLevel="0" collapsed="false">
      <c r="A32" s="133" t="s">
        <v>67</v>
      </c>
      <c r="B32" s="134"/>
      <c r="C32" s="134" t="s">
        <v>1396</v>
      </c>
      <c r="D32" s="135" t="n">
        <v>1</v>
      </c>
      <c r="E32" s="136" t="n">
        <v>20</v>
      </c>
      <c r="F32" s="135" t="n">
        <v>15</v>
      </c>
      <c r="G32" s="136" t="n">
        <v>133</v>
      </c>
      <c r="H32" s="136" t="n">
        <v>8.1</v>
      </c>
      <c r="I32" s="136" t="n">
        <v>8.1</v>
      </c>
      <c r="J32" s="136" t="n">
        <v>8.1</v>
      </c>
      <c r="K32" s="136" t="n">
        <v>7.2</v>
      </c>
      <c r="L32" s="136" t="n">
        <v>6.3</v>
      </c>
      <c r="M32" s="136" t="n">
        <v>6.3</v>
      </c>
      <c r="N32" s="136" t="n">
        <v>6.3</v>
      </c>
      <c r="O32" s="136" t="n">
        <v>6.3</v>
      </c>
      <c r="P32" s="136" t="n">
        <v>6.3</v>
      </c>
      <c r="Q32" s="134" t="s">
        <v>1397</v>
      </c>
    </row>
    <row r="33" customFormat="false" ht="15" hidden="false" customHeight="true" outlineLevel="0" collapsed="false">
      <c r="A33" s="133" t="s">
        <v>67</v>
      </c>
      <c r="B33" s="134" t="s">
        <v>1398</v>
      </c>
      <c r="C33" s="134" t="s">
        <v>105</v>
      </c>
      <c r="D33" s="135" t="n">
        <v>1</v>
      </c>
      <c r="E33" s="136" t="n">
        <v>20</v>
      </c>
      <c r="F33" s="135" t="n">
        <v>20</v>
      </c>
      <c r="G33" s="136" t="n">
        <v>157</v>
      </c>
      <c r="H33" s="136" t="n">
        <v>7.2</v>
      </c>
      <c r="I33" s="136" t="n">
        <v>7.2</v>
      </c>
      <c r="J33" s="136" t="n">
        <v>7.2</v>
      </c>
      <c r="K33" s="136" t="n">
        <v>7.2</v>
      </c>
      <c r="L33" s="136" t="n">
        <v>6.3</v>
      </c>
      <c r="M33" s="136" t="n">
        <v>6.3</v>
      </c>
      <c r="N33" s="136" t="n">
        <v>6.3</v>
      </c>
      <c r="O33" s="136" t="n">
        <v>6.3</v>
      </c>
      <c r="P33" s="136" t="n">
        <v>6.3</v>
      </c>
      <c r="Q33" s="134" t="s">
        <v>1399</v>
      </c>
    </row>
    <row r="34" customFormat="false" ht="15" hidden="false" customHeight="true" outlineLevel="0" collapsed="false">
      <c r="A34" s="133" t="s">
        <v>67</v>
      </c>
      <c r="B34" s="134" t="s">
        <v>1400</v>
      </c>
      <c r="C34" s="134" t="s">
        <v>108</v>
      </c>
      <c r="D34" s="135" t="n">
        <v>1</v>
      </c>
      <c r="E34" s="136" t="n">
        <v>20</v>
      </c>
      <c r="F34" s="135" t="n">
        <v>30</v>
      </c>
      <c r="G34" s="136" t="n">
        <v>333</v>
      </c>
      <c r="H34" s="136" t="n">
        <v>10.8</v>
      </c>
      <c r="I34" s="136" t="n">
        <v>10.8</v>
      </c>
      <c r="J34" s="136" t="n">
        <v>10.8</v>
      </c>
      <c r="K34" s="136" t="n">
        <v>9.9</v>
      </c>
      <c r="L34" s="136" t="n">
        <v>9.9</v>
      </c>
      <c r="M34" s="136" t="n">
        <v>9</v>
      </c>
      <c r="N34" s="136" t="n">
        <v>9</v>
      </c>
      <c r="O34" s="136" t="n">
        <v>9</v>
      </c>
      <c r="P34" s="136" t="n">
        <v>9</v>
      </c>
      <c r="Q34" s="134" t="s">
        <v>1401</v>
      </c>
    </row>
    <row r="35" customFormat="false" ht="15" hidden="false" customHeight="true" outlineLevel="0" collapsed="false">
      <c r="A35" s="133" t="s">
        <v>67</v>
      </c>
      <c r="B35" s="134"/>
      <c r="C35" s="134" t="s">
        <v>109</v>
      </c>
      <c r="D35" s="135" t="n">
        <v>1</v>
      </c>
      <c r="E35" s="136" t="n">
        <v>20</v>
      </c>
      <c r="F35" s="135" t="n">
        <v>30</v>
      </c>
      <c r="G35" s="136" t="n">
        <v>359</v>
      </c>
      <c r="H35" s="136" t="n">
        <v>11.7</v>
      </c>
      <c r="I35" s="136" t="n">
        <v>11.7</v>
      </c>
      <c r="J35" s="136" t="n">
        <v>11.7</v>
      </c>
      <c r="K35" s="136" t="n">
        <v>10.8</v>
      </c>
      <c r="L35" s="136" t="n">
        <v>10.8</v>
      </c>
      <c r="M35" s="136" t="n">
        <v>9.9</v>
      </c>
      <c r="N35" s="136" t="n">
        <v>9.9</v>
      </c>
      <c r="O35" s="136" t="n">
        <v>9.9</v>
      </c>
      <c r="P35" s="136" t="n">
        <v>9.9</v>
      </c>
      <c r="Q35" s="134" t="s">
        <v>1402</v>
      </c>
    </row>
    <row r="36" customFormat="false" ht="15" hidden="false" customHeight="true" outlineLevel="0" collapsed="false">
      <c r="A36" s="133" t="s">
        <v>67</v>
      </c>
      <c r="B36" s="134"/>
      <c r="C36" s="134" t="s">
        <v>1403</v>
      </c>
      <c r="D36" s="135" t="n">
        <v>1</v>
      </c>
      <c r="E36" s="136" t="n">
        <v>20</v>
      </c>
      <c r="F36" s="135" t="n">
        <v>30</v>
      </c>
      <c r="G36" s="136" t="n">
        <v>412</v>
      </c>
      <c r="H36" s="136" t="n">
        <v>13.5</v>
      </c>
      <c r="I36" s="136" t="n">
        <v>13.5</v>
      </c>
      <c r="J36" s="136" t="n">
        <v>13.5</v>
      </c>
      <c r="K36" s="136" t="n">
        <v>12.6</v>
      </c>
      <c r="L36" s="136" t="n">
        <v>12.6</v>
      </c>
      <c r="M36" s="136" t="n">
        <v>11.7</v>
      </c>
      <c r="N36" s="136" t="n">
        <v>11.7</v>
      </c>
      <c r="O36" s="136" t="n">
        <v>11.7</v>
      </c>
      <c r="P36" s="136" t="n">
        <v>11.7</v>
      </c>
      <c r="Q36" s="134" t="s">
        <v>1404</v>
      </c>
    </row>
    <row r="37" customFormat="false" ht="15" hidden="false" customHeight="true" outlineLevel="0" collapsed="false">
      <c r="A37" s="133" t="s">
        <v>67</v>
      </c>
      <c r="B37" s="134" t="s">
        <v>1405</v>
      </c>
      <c r="C37" s="134" t="s">
        <v>115</v>
      </c>
      <c r="D37" s="135" t="n">
        <v>1</v>
      </c>
      <c r="E37" s="136" t="n">
        <v>20</v>
      </c>
      <c r="F37" s="135" t="n">
        <v>30</v>
      </c>
      <c r="G37" s="136" t="n">
        <v>490</v>
      </c>
      <c r="H37" s="136" t="n">
        <v>16.2</v>
      </c>
      <c r="I37" s="136" t="n">
        <v>16.2</v>
      </c>
      <c r="J37" s="136" t="n">
        <v>16.2</v>
      </c>
      <c r="K37" s="136" t="n">
        <v>14.4</v>
      </c>
      <c r="L37" s="136" t="n">
        <v>14.4</v>
      </c>
      <c r="M37" s="136" t="n">
        <v>14.4</v>
      </c>
      <c r="N37" s="136" t="n">
        <v>13.5</v>
      </c>
      <c r="O37" s="136" t="n">
        <v>13.5</v>
      </c>
      <c r="P37" s="136" t="n">
        <v>13.5</v>
      </c>
      <c r="Q37" s="134" t="s">
        <v>1406</v>
      </c>
    </row>
    <row r="38" customFormat="false" ht="15" hidden="false" customHeight="true" outlineLevel="0" collapsed="false">
      <c r="A38" s="133" t="s">
        <v>67</v>
      </c>
      <c r="B38" s="134"/>
      <c r="C38" s="134" t="s">
        <v>1407</v>
      </c>
      <c r="D38" s="135" t="n">
        <v>1</v>
      </c>
      <c r="E38" s="136" t="n">
        <v>20</v>
      </c>
      <c r="F38" s="135" t="n">
        <v>30</v>
      </c>
      <c r="G38" s="136" t="n">
        <v>542</v>
      </c>
      <c r="H38" s="136" t="n">
        <v>18</v>
      </c>
      <c r="I38" s="136" t="n">
        <v>18</v>
      </c>
      <c r="J38" s="136" t="n">
        <v>18</v>
      </c>
      <c r="K38" s="136" t="n">
        <v>16.2</v>
      </c>
      <c r="L38" s="136" t="n">
        <v>16.2</v>
      </c>
      <c r="M38" s="136" t="n">
        <v>16.2</v>
      </c>
      <c r="N38" s="136" t="n">
        <v>15.3</v>
      </c>
      <c r="O38" s="136" t="n">
        <v>15.3</v>
      </c>
      <c r="P38" s="136" t="n">
        <v>15.3</v>
      </c>
      <c r="Q38" s="134" t="s">
        <v>1408</v>
      </c>
    </row>
    <row r="39" customFormat="false" ht="15" hidden="false" customHeight="true" outlineLevel="0" collapsed="false">
      <c r="A39" s="133" t="s">
        <v>67</v>
      </c>
      <c r="B39" s="134" t="s">
        <v>1409</v>
      </c>
      <c r="C39" s="134" t="s">
        <v>1410</v>
      </c>
      <c r="D39" s="135" t="n">
        <v>1</v>
      </c>
      <c r="E39" s="136" t="n">
        <v>20</v>
      </c>
      <c r="F39" s="135" t="n">
        <v>30</v>
      </c>
      <c r="G39" s="136" t="n">
        <v>229</v>
      </c>
      <c r="H39" s="136" t="n">
        <v>7.2</v>
      </c>
      <c r="I39" s="136" t="n">
        <v>7.2</v>
      </c>
      <c r="J39" s="136" t="n">
        <v>7.2</v>
      </c>
      <c r="K39" s="136" t="n">
        <v>7.2</v>
      </c>
      <c r="L39" s="136" t="n">
        <v>7.2</v>
      </c>
      <c r="M39" s="136" t="n">
        <v>6.3</v>
      </c>
      <c r="N39" s="136" t="n">
        <v>6.3</v>
      </c>
      <c r="O39" s="136" t="n">
        <v>6.3</v>
      </c>
      <c r="P39" s="136" t="n">
        <v>6.3</v>
      </c>
      <c r="Q39" s="134" t="s">
        <v>1411</v>
      </c>
    </row>
    <row r="40" customFormat="false" ht="15" hidden="false" customHeight="true" outlineLevel="0" collapsed="false">
      <c r="A40" s="133" t="s">
        <v>67</v>
      </c>
      <c r="B40" s="134"/>
      <c r="C40" s="134" t="s">
        <v>1412</v>
      </c>
      <c r="D40" s="135" t="n">
        <v>1</v>
      </c>
      <c r="E40" s="136" t="n">
        <v>20</v>
      </c>
      <c r="F40" s="135" t="n">
        <v>30</v>
      </c>
      <c r="G40" s="136" t="n">
        <v>255</v>
      </c>
      <c r="H40" s="136" t="n">
        <v>8.1</v>
      </c>
      <c r="I40" s="136" t="n">
        <v>8.1</v>
      </c>
      <c r="J40" s="136" t="n">
        <v>8.1</v>
      </c>
      <c r="K40" s="136" t="n">
        <v>8.1</v>
      </c>
      <c r="L40" s="136" t="n">
        <v>8.1</v>
      </c>
      <c r="M40" s="136" t="n">
        <v>7.2</v>
      </c>
      <c r="N40" s="136" t="n">
        <v>7.2</v>
      </c>
      <c r="O40" s="136" t="n">
        <v>7.2</v>
      </c>
      <c r="P40" s="136" t="n">
        <v>7.2</v>
      </c>
      <c r="Q40" s="134" t="s">
        <v>1413</v>
      </c>
    </row>
    <row r="41" customFormat="false" ht="15" hidden="false" customHeight="true" outlineLevel="0" collapsed="false">
      <c r="A41" s="133" t="s">
        <v>67</v>
      </c>
      <c r="B41" s="134"/>
      <c r="C41" s="134" t="s">
        <v>1414</v>
      </c>
      <c r="D41" s="135" t="n">
        <v>1</v>
      </c>
      <c r="E41" s="136" t="n">
        <v>20</v>
      </c>
      <c r="F41" s="135" t="n">
        <v>30</v>
      </c>
      <c r="G41" s="136" t="n">
        <v>281</v>
      </c>
      <c r="H41" s="136" t="n">
        <v>9</v>
      </c>
      <c r="I41" s="136" t="n">
        <v>9</v>
      </c>
      <c r="J41" s="136" t="n">
        <v>9</v>
      </c>
      <c r="K41" s="136" t="n">
        <v>9</v>
      </c>
      <c r="L41" s="136" t="n">
        <v>9</v>
      </c>
      <c r="M41" s="136" t="n">
        <v>8.1</v>
      </c>
      <c r="N41" s="136" t="n">
        <v>8.1</v>
      </c>
      <c r="O41" s="136" t="n">
        <v>8.1</v>
      </c>
      <c r="P41" s="136" t="n">
        <v>8.1</v>
      </c>
      <c r="Q41" s="134" t="s">
        <v>1415</v>
      </c>
    </row>
    <row r="42" customFormat="false" ht="15" hidden="false" customHeight="true" outlineLevel="0" collapsed="false">
      <c r="A42" s="133" t="s">
        <v>67</v>
      </c>
      <c r="B42" s="134" t="s">
        <v>1416</v>
      </c>
      <c r="C42" s="134" t="s">
        <v>1417</v>
      </c>
      <c r="D42" s="135" t="n">
        <v>1</v>
      </c>
      <c r="E42" s="136" t="n">
        <v>20</v>
      </c>
      <c r="F42" s="135" t="n">
        <v>30</v>
      </c>
      <c r="G42" s="136" t="n">
        <v>229</v>
      </c>
      <c r="H42" s="136" t="n">
        <v>7.2</v>
      </c>
      <c r="I42" s="136" t="n">
        <v>7.2</v>
      </c>
      <c r="J42" s="136" t="n">
        <v>7.2</v>
      </c>
      <c r="K42" s="136" t="n">
        <v>7.2</v>
      </c>
      <c r="L42" s="136" t="n">
        <v>7.2</v>
      </c>
      <c r="M42" s="136" t="n">
        <v>6.3</v>
      </c>
      <c r="N42" s="136" t="n">
        <v>6.3</v>
      </c>
      <c r="O42" s="136" t="n">
        <v>6.3</v>
      </c>
      <c r="P42" s="136" t="n">
        <v>6.3</v>
      </c>
      <c r="Q42" s="134" t="s">
        <v>1418</v>
      </c>
    </row>
    <row r="43" customFormat="false" ht="15" hidden="false" customHeight="true" outlineLevel="0" collapsed="false">
      <c r="A43" s="133" t="s">
        <v>67</v>
      </c>
      <c r="B43" s="134"/>
      <c r="C43" s="134" t="s">
        <v>1419</v>
      </c>
      <c r="D43" s="135" t="n">
        <v>1</v>
      </c>
      <c r="E43" s="136" t="n">
        <v>20</v>
      </c>
      <c r="F43" s="135" t="n">
        <v>30</v>
      </c>
      <c r="G43" s="136" t="n">
        <v>255</v>
      </c>
      <c r="H43" s="136" t="n">
        <v>8.1</v>
      </c>
      <c r="I43" s="136" t="n">
        <v>8.1</v>
      </c>
      <c r="J43" s="136" t="n">
        <v>8.1</v>
      </c>
      <c r="K43" s="136" t="n">
        <v>8.1</v>
      </c>
      <c r="L43" s="136" t="n">
        <v>8.1</v>
      </c>
      <c r="M43" s="136" t="n">
        <v>7.2</v>
      </c>
      <c r="N43" s="136" t="n">
        <v>7.2</v>
      </c>
      <c r="O43" s="136" t="n">
        <v>7.2</v>
      </c>
      <c r="P43" s="136" t="n">
        <v>7.2</v>
      </c>
      <c r="Q43" s="134" t="s">
        <v>1420</v>
      </c>
    </row>
    <row r="44" customFormat="false" ht="15" hidden="false" customHeight="true" outlineLevel="0" collapsed="false">
      <c r="A44" s="133" t="s">
        <v>67</v>
      </c>
      <c r="B44" s="134"/>
      <c r="C44" s="134" t="s">
        <v>1421</v>
      </c>
      <c r="D44" s="135" t="n">
        <v>1</v>
      </c>
      <c r="E44" s="136" t="n">
        <v>20</v>
      </c>
      <c r="F44" s="135" t="n">
        <v>30</v>
      </c>
      <c r="G44" s="136" t="n">
        <v>281</v>
      </c>
      <c r="H44" s="136" t="n">
        <v>9</v>
      </c>
      <c r="I44" s="136" t="n">
        <v>9</v>
      </c>
      <c r="J44" s="136" t="n">
        <v>9</v>
      </c>
      <c r="K44" s="136" t="n">
        <v>9</v>
      </c>
      <c r="L44" s="136" t="n">
        <v>9</v>
      </c>
      <c r="M44" s="136" t="n">
        <v>8.1</v>
      </c>
      <c r="N44" s="136" t="n">
        <v>8.1</v>
      </c>
      <c r="O44" s="136" t="n">
        <v>8.1</v>
      </c>
      <c r="P44" s="136" t="n">
        <v>8.1</v>
      </c>
      <c r="Q44" s="134" t="s">
        <v>1422</v>
      </c>
    </row>
    <row r="45" customFormat="false" ht="15" hidden="false" customHeight="true" outlineLevel="0" collapsed="false">
      <c r="A45" s="133" t="s">
        <v>67</v>
      </c>
      <c r="B45" s="134" t="s">
        <v>1423</v>
      </c>
      <c r="C45" s="134" t="s">
        <v>1424</v>
      </c>
      <c r="D45" s="135" t="n">
        <v>1</v>
      </c>
      <c r="E45" s="136" t="n">
        <v>20</v>
      </c>
      <c r="F45" s="135" t="n">
        <v>30</v>
      </c>
      <c r="G45" s="136" t="n">
        <v>307</v>
      </c>
      <c r="H45" s="136" t="n">
        <v>9.9</v>
      </c>
      <c r="I45" s="136" t="n">
        <v>9.9</v>
      </c>
      <c r="J45" s="136" t="n">
        <v>9.9</v>
      </c>
      <c r="K45" s="136" t="n">
        <v>9</v>
      </c>
      <c r="L45" s="136" t="n">
        <v>9</v>
      </c>
      <c r="M45" s="136" t="n">
        <v>8.1</v>
      </c>
      <c r="N45" s="136" t="n">
        <v>8.1</v>
      </c>
      <c r="O45" s="136" t="n">
        <v>8.1</v>
      </c>
      <c r="P45" s="136" t="n">
        <v>8.1</v>
      </c>
      <c r="Q45" s="134" t="s">
        <v>1425</v>
      </c>
    </row>
    <row r="46" customFormat="false" ht="15" hidden="false" customHeight="true" outlineLevel="0" collapsed="false">
      <c r="A46" s="133" t="s">
        <v>67</v>
      </c>
      <c r="B46" s="134"/>
      <c r="C46" s="134" t="s">
        <v>1426</v>
      </c>
      <c r="D46" s="135" t="n">
        <v>1</v>
      </c>
      <c r="E46" s="136" t="n">
        <v>20</v>
      </c>
      <c r="F46" s="135" t="n">
        <v>30</v>
      </c>
      <c r="G46" s="136" t="n">
        <v>333</v>
      </c>
      <c r="H46" s="136" t="n">
        <v>10.8</v>
      </c>
      <c r="I46" s="136" t="n">
        <v>10.8</v>
      </c>
      <c r="J46" s="136" t="n">
        <v>10.8</v>
      </c>
      <c r="K46" s="136" t="n">
        <v>9.9</v>
      </c>
      <c r="L46" s="136" t="n">
        <v>9.9</v>
      </c>
      <c r="M46" s="136" t="n">
        <v>9</v>
      </c>
      <c r="N46" s="136" t="n">
        <v>9</v>
      </c>
      <c r="O46" s="136" t="n">
        <v>9</v>
      </c>
      <c r="P46" s="136" t="n">
        <v>9</v>
      </c>
      <c r="Q46" s="134" t="s">
        <v>1427</v>
      </c>
    </row>
    <row r="47" customFormat="false" ht="15" hidden="false" customHeight="true" outlineLevel="0" collapsed="false">
      <c r="A47" s="133" t="s">
        <v>67</v>
      </c>
      <c r="B47" s="134"/>
      <c r="C47" s="134" t="s">
        <v>1428</v>
      </c>
      <c r="D47" s="135" t="n">
        <v>1</v>
      </c>
      <c r="E47" s="136" t="n">
        <v>20</v>
      </c>
      <c r="F47" s="135" t="n">
        <v>30</v>
      </c>
      <c r="G47" s="136" t="n">
        <v>385</v>
      </c>
      <c r="H47" s="136" t="n">
        <v>12.6</v>
      </c>
      <c r="I47" s="136" t="n">
        <v>12.6</v>
      </c>
      <c r="J47" s="136" t="n">
        <v>12.6</v>
      </c>
      <c r="K47" s="136" t="n">
        <v>11.7</v>
      </c>
      <c r="L47" s="136" t="n">
        <v>11.7</v>
      </c>
      <c r="M47" s="136" t="n">
        <v>10.8</v>
      </c>
      <c r="N47" s="136" t="n">
        <v>10.8</v>
      </c>
      <c r="O47" s="136" t="n">
        <v>10.8</v>
      </c>
      <c r="P47" s="136" t="n">
        <v>10.8</v>
      </c>
      <c r="Q47" s="134" t="s">
        <v>1429</v>
      </c>
    </row>
    <row r="48" customFormat="false" ht="15" hidden="false" customHeight="true" outlineLevel="0" collapsed="false">
      <c r="A48" s="133" t="s">
        <v>67</v>
      </c>
      <c r="B48" s="134" t="s">
        <v>1430</v>
      </c>
      <c r="C48" s="134" t="s">
        <v>1431</v>
      </c>
      <c r="D48" s="135" t="n">
        <v>1</v>
      </c>
      <c r="E48" s="136" t="n">
        <v>20</v>
      </c>
      <c r="F48" s="135" t="n">
        <v>30</v>
      </c>
      <c r="G48" s="136" t="n">
        <v>281</v>
      </c>
      <c r="H48" s="136" t="n">
        <v>9</v>
      </c>
      <c r="I48" s="136" t="n">
        <v>9</v>
      </c>
      <c r="J48" s="136" t="n">
        <v>9</v>
      </c>
      <c r="K48" s="136" t="n">
        <v>8.1</v>
      </c>
      <c r="L48" s="136" t="n">
        <v>7.2</v>
      </c>
      <c r="M48" s="136" t="n">
        <v>7.2</v>
      </c>
      <c r="N48" s="136" t="n">
        <v>7.2</v>
      </c>
      <c r="O48" s="136" t="n">
        <v>7.2</v>
      </c>
      <c r="P48" s="136" t="n">
        <v>7.2</v>
      </c>
      <c r="Q48" s="134" t="s">
        <v>1432</v>
      </c>
    </row>
    <row r="49" customFormat="false" ht="15" hidden="false" customHeight="true" outlineLevel="0" collapsed="false">
      <c r="A49" s="133" t="s">
        <v>67</v>
      </c>
      <c r="B49" s="134" t="s">
        <v>1433</v>
      </c>
      <c r="C49" s="134" t="s">
        <v>148</v>
      </c>
      <c r="D49" s="135" t="n">
        <v>1</v>
      </c>
      <c r="E49" s="136" t="n">
        <v>20</v>
      </c>
      <c r="F49" s="135" t="n">
        <v>15</v>
      </c>
      <c r="G49" s="136" t="n">
        <v>133</v>
      </c>
      <c r="H49" s="136" t="n">
        <v>8.1</v>
      </c>
      <c r="I49" s="136" t="n">
        <v>8.1</v>
      </c>
      <c r="J49" s="136" t="n">
        <v>8.1</v>
      </c>
      <c r="K49" s="136" t="n">
        <v>7.2</v>
      </c>
      <c r="L49" s="136" t="n">
        <v>6.3</v>
      </c>
      <c r="M49" s="136" t="n">
        <v>6.3</v>
      </c>
      <c r="N49" s="136" t="n">
        <v>6.3</v>
      </c>
      <c r="O49" s="136" t="n">
        <v>6.3</v>
      </c>
      <c r="P49" s="136" t="n">
        <v>6.3</v>
      </c>
      <c r="Q49" s="134" t="s">
        <v>1434</v>
      </c>
    </row>
    <row r="50" customFormat="false" ht="15" hidden="false" customHeight="true" outlineLevel="0" collapsed="false">
      <c r="A50" s="133" t="s">
        <v>67</v>
      </c>
      <c r="B50" s="134" t="s">
        <v>1435</v>
      </c>
      <c r="C50" s="134" t="s">
        <v>149</v>
      </c>
      <c r="D50" s="135" t="n">
        <v>1</v>
      </c>
      <c r="E50" s="136" t="n">
        <v>20</v>
      </c>
      <c r="F50" s="135" t="n">
        <v>30</v>
      </c>
      <c r="G50" s="136" t="n">
        <v>255</v>
      </c>
      <c r="H50" s="136" t="n">
        <v>8.1</v>
      </c>
      <c r="I50" s="136" t="n">
        <v>8.1</v>
      </c>
      <c r="J50" s="136" t="n">
        <v>8.1</v>
      </c>
      <c r="K50" s="136" t="n">
        <v>8.1</v>
      </c>
      <c r="L50" s="136" t="n">
        <v>7.2</v>
      </c>
      <c r="M50" s="136" t="n">
        <v>6.3</v>
      </c>
      <c r="N50" s="136" t="n">
        <v>6.3</v>
      </c>
      <c r="O50" s="136" t="n">
        <v>6.3</v>
      </c>
      <c r="P50" s="136" t="n">
        <v>6.3</v>
      </c>
      <c r="Q50" s="134" t="s">
        <v>1436</v>
      </c>
    </row>
    <row r="51" customFormat="false" ht="15" hidden="false" customHeight="true" outlineLevel="0" collapsed="false">
      <c r="A51" s="133" t="s">
        <v>67</v>
      </c>
      <c r="B51" s="134"/>
      <c r="C51" s="134" t="s">
        <v>1437</v>
      </c>
      <c r="D51" s="135" t="n">
        <v>1</v>
      </c>
      <c r="E51" s="136" t="n">
        <v>20</v>
      </c>
      <c r="F51" s="135" t="n">
        <v>30</v>
      </c>
      <c r="G51" s="136" t="n">
        <v>255</v>
      </c>
      <c r="H51" s="136" t="n">
        <v>8.1</v>
      </c>
      <c r="I51" s="136" t="n">
        <v>8.1</v>
      </c>
      <c r="J51" s="136" t="n">
        <v>8.1</v>
      </c>
      <c r="K51" s="136" t="n">
        <v>8.1</v>
      </c>
      <c r="L51" s="136" t="n">
        <v>7.2</v>
      </c>
      <c r="M51" s="136" t="n">
        <v>6.3</v>
      </c>
      <c r="N51" s="136" t="n">
        <v>6.3</v>
      </c>
      <c r="O51" s="136" t="n">
        <v>6.3</v>
      </c>
      <c r="P51" s="136" t="n">
        <v>6.3</v>
      </c>
      <c r="Q51" s="134" t="s">
        <v>1438</v>
      </c>
    </row>
    <row r="52" customFormat="false" ht="15" hidden="false" customHeight="true" outlineLevel="0" collapsed="false">
      <c r="A52" s="133" t="s">
        <v>67</v>
      </c>
      <c r="B52" s="134"/>
      <c r="C52" s="134" t="s">
        <v>1439</v>
      </c>
      <c r="D52" s="135" t="n">
        <v>1</v>
      </c>
      <c r="E52" s="136" t="n">
        <v>20</v>
      </c>
      <c r="F52" s="135" t="n">
        <v>30</v>
      </c>
      <c r="G52" s="136" t="n">
        <v>307</v>
      </c>
      <c r="H52" s="136" t="n">
        <v>9.9</v>
      </c>
      <c r="I52" s="136" t="n">
        <v>9.9</v>
      </c>
      <c r="J52" s="136" t="n">
        <v>9.9</v>
      </c>
      <c r="K52" s="136" t="n">
        <v>9.9</v>
      </c>
      <c r="L52" s="136" t="n">
        <v>9</v>
      </c>
      <c r="M52" s="136" t="n">
        <v>8.1</v>
      </c>
      <c r="N52" s="136" t="n">
        <v>8.1</v>
      </c>
      <c r="O52" s="136" t="n">
        <v>8.1</v>
      </c>
      <c r="P52" s="136" t="n">
        <v>8.1</v>
      </c>
      <c r="Q52" s="134" t="s">
        <v>1440</v>
      </c>
    </row>
    <row r="53" customFormat="false" ht="15" hidden="false" customHeight="true" outlineLevel="0" collapsed="false">
      <c r="A53" s="133" t="s">
        <v>67</v>
      </c>
      <c r="B53" s="134" t="s">
        <v>1441</v>
      </c>
      <c r="C53" s="134" t="s">
        <v>157</v>
      </c>
      <c r="D53" s="135" t="n">
        <v>1</v>
      </c>
      <c r="E53" s="136" t="n">
        <v>20</v>
      </c>
      <c r="F53" s="135" t="n">
        <v>30</v>
      </c>
      <c r="G53" s="136" t="n">
        <v>307</v>
      </c>
      <c r="H53" s="136" t="n">
        <v>9.9</v>
      </c>
      <c r="I53" s="136" t="n">
        <v>9.9</v>
      </c>
      <c r="J53" s="136" t="n">
        <v>9.9</v>
      </c>
      <c r="K53" s="136" t="n">
        <v>9</v>
      </c>
      <c r="L53" s="136" t="n">
        <v>9</v>
      </c>
      <c r="M53" s="136" t="n">
        <v>8.1</v>
      </c>
      <c r="N53" s="136" t="n">
        <v>8.1</v>
      </c>
      <c r="O53" s="136" t="n">
        <v>8.1</v>
      </c>
      <c r="P53" s="136" t="n">
        <v>8.1</v>
      </c>
      <c r="Q53" s="134" t="s">
        <v>1442</v>
      </c>
    </row>
    <row r="54" customFormat="false" ht="15" hidden="false" customHeight="true" outlineLevel="0" collapsed="false">
      <c r="A54" s="133" t="s">
        <v>67</v>
      </c>
      <c r="B54" s="134"/>
      <c r="C54" s="134" t="s">
        <v>1443</v>
      </c>
      <c r="D54" s="135" t="n">
        <v>1</v>
      </c>
      <c r="E54" s="136" t="n">
        <v>20</v>
      </c>
      <c r="F54" s="135" t="n">
        <v>30</v>
      </c>
      <c r="G54" s="136" t="n">
        <v>307</v>
      </c>
      <c r="H54" s="136" t="n">
        <v>9.9</v>
      </c>
      <c r="I54" s="136" t="n">
        <v>9.9</v>
      </c>
      <c r="J54" s="136" t="n">
        <v>9.9</v>
      </c>
      <c r="K54" s="136" t="n">
        <v>9</v>
      </c>
      <c r="L54" s="136" t="n">
        <v>9</v>
      </c>
      <c r="M54" s="136" t="n">
        <v>8.1</v>
      </c>
      <c r="N54" s="136" t="n">
        <v>8.1</v>
      </c>
      <c r="O54" s="136" t="n">
        <v>8.1</v>
      </c>
      <c r="P54" s="136" t="n">
        <v>8.1</v>
      </c>
      <c r="Q54" s="134" t="s">
        <v>1444</v>
      </c>
    </row>
    <row r="55" customFormat="false" ht="15" hidden="false" customHeight="true" outlineLevel="0" collapsed="false">
      <c r="A55" s="133" t="s">
        <v>67</v>
      </c>
      <c r="B55" s="134"/>
      <c r="C55" s="134" t="s">
        <v>1445</v>
      </c>
      <c r="D55" s="135" t="n">
        <v>1</v>
      </c>
      <c r="E55" s="136" t="n">
        <v>20</v>
      </c>
      <c r="F55" s="135" t="n">
        <v>30</v>
      </c>
      <c r="G55" s="136" t="n">
        <v>307</v>
      </c>
      <c r="H55" s="136" t="n">
        <v>9.9</v>
      </c>
      <c r="I55" s="136" t="n">
        <v>9.9</v>
      </c>
      <c r="J55" s="136" t="n">
        <v>9.9</v>
      </c>
      <c r="K55" s="136" t="n">
        <v>9</v>
      </c>
      <c r="L55" s="136" t="n">
        <v>9</v>
      </c>
      <c r="M55" s="136" t="n">
        <v>8.1</v>
      </c>
      <c r="N55" s="136" t="n">
        <v>8.1</v>
      </c>
      <c r="O55" s="136" t="n">
        <v>8.1</v>
      </c>
      <c r="P55" s="136" t="n">
        <v>8.1</v>
      </c>
      <c r="Q55" s="134" t="s">
        <v>1446</v>
      </c>
    </row>
    <row r="56" customFormat="false" ht="15" hidden="false" customHeight="true" outlineLevel="0" collapsed="false">
      <c r="A56" s="133" t="s">
        <v>67</v>
      </c>
      <c r="B56" s="134" t="s">
        <v>1447</v>
      </c>
      <c r="C56" s="134" t="s">
        <v>164</v>
      </c>
      <c r="D56" s="135" t="n">
        <v>1</v>
      </c>
      <c r="E56" s="136" t="n">
        <v>20</v>
      </c>
      <c r="F56" s="135" t="n">
        <v>30</v>
      </c>
      <c r="G56" s="136" t="n">
        <v>490</v>
      </c>
      <c r="H56" s="136" t="n">
        <v>16.2</v>
      </c>
      <c r="I56" s="136" t="n">
        <v>16.2</v>
      </c>
      <c r="J56" s="136" t="n">
        <v>16.2</v>
      </c>
      <c r="K56" s="136" t="n">
        <v>16.2</v>
      </c>
      <c r="L56" s="136" t="n">
        <v>16.2</v>
      </c>
      <c r="M56" s="136" t="n">
        <v>15.3</v>
      </c>
      <c r="N56" s="136" t="n">
        <v>14.4</v>
      </c>
      <c r="O56" s="136" t="n">
        <v>14.4</v>
      </c>
      <c r="P56" s="136" t="n">
        <v>14.4</v>
      </c>
      <c r="Q56" s="134" t="s">
        <v>1448</v>
      </c>
    </row>
    <row r="57" customFormat="false" ht="15" hidden="false" customHeight="true" outlineLevel="0" collapsed="false">
      <c r="A57" s="133" t="s">
        <v>67</v>
      </c>
      <c r="B57" s="134"/>
      <c r="C57" s="134" t="s">
        <v>1449</v>
      </c>
      <c r="D57" s="135" t="n">
        <v>1</v>
      </c>
      <c r="E57" s="136" t="n">
        <v>20</v>
      </c>
      <c r="F57" s="135" t="n">
        <v>30</v>
      </c>
      <c r="G57" s="136" t="n">
        <v>542</v>
      </c>
      <c r="H57" s="136" t="n">
        <v>18</v>
      </c>
      <c r="I57" s="136" t="n">
        <v>18</v>
      </c>
      <c r="J57" s="136" t="n">
        <v>18</v>
      </c>
      <c r="K57" s="136" t="n">
        <v>18</v>
      </c>
      <c r="L57" s="136" t="n">
        <v>17.1</v>
      </c>
      <c r="M57" s="136" t="n">
        <v>17.1</v>
      </c>
      <c r="N57" s="136" t="n">
        <v>16.2</v>
      </c>
      <c r="O57" s="136" t="n">
        <v>16.2</v>
      </c>
      <c r="P57" s="136" t="n">
        <v>16.2</v>
      </c>
      <c r="Q57" s="134" t="s">
        <v>1450</v>
      </c>
    </row>
    <row r="58" customFormat="false" ht="15" hidden="false" customHeight="true" outlineLevel="0" collapsed="false">
      <c r="A58" s="133" t="s">
        <v>67</v>
      </c>
      <c r="B58" s="134" t="s">
        <v>1451</v>
      </c>
      <c r="C58" s="134" t="s">
        <v>1452</v>
      </c>
      <c r="D58" s="135" t="n">
        <v>1</v>
      </c>
      <c r="E58" s="136" t="n">
        <v>20</v>
      </c>
      <c r="F58" s="135" t="n">
        <v>30</v>
      </c>
      <c r="G58" s="136" t="n">
        <v>255</v>
      </c>
      <c r="H58" s="136" t="n">
        <v>8.1</v>
      </c>
      <c r="I58" s="136" t="n">
        <v>8.1</v>
      </c>
      <c r="J58" s="136" t="n">
        <v>8.1</v>
      </c>
      <c r="K58" s="136" t="n">
        <v>8.1</v>
      </c>
      <c r="L58" s="136" t="n">
        <v>7.2</v>
      </c>
      <c r="M58" s="136" t="n">
        <v>7.2</v>
      </c>
      <c r="N58" s="136" t="n">
        <v>7.2</v>
      </c>
      <c r="O58" s="136" t="n">
        <v>7.2</v>
      </c>
      <c r="P58" s="136" t="n">
        <v>7.2</v>
      </c>
      <c r="Q58" s="134" t="s">
        <v>1453</v>
      </c>
    </row>
    <row r="59" customFormat="false" ht="15" hidden="false" customHeight="true" outlineLevel="0" collapsed="false">
      <c r="A59" s="133" t="s">
        <v>67</v>
      </c>
      <c r="B59" s="134"/>
      <c r="C59" s="134" t="s">
        <v>1454</v>
      </c>
      <c r="D59" s="135" t="n">
        <v>1</v>
      </c>
      <c r="E59" s="136" t="n">
        <v>20</v>
      </c>
      <c r="F59" s="135" t="n">
        <v>30</v>
      </c>
      <c r="G59" s="136" t="n">
        <v>281</v>
      </c>
      <c r="H59" s="136" t="n">
        <v>9</v>
      </c>
      <c r="I59" s="136" t="n">
        <v>9</v>
      </c>
      <c r="J59" s="136" t="n">
        <v>9</v>
      </c>
      <c r="K59" s="136" t="n">
        <v>9</v>
      </c>
      <c r="L59" s="136" t="n">
        <v>8.1</v>
      </c>
      <c r="M59" s="136" t="n">
        <v>8.1</v>
      </c>
      <c r="N59" s="136" t="n">
        <v>8.1</v>
      </c>
      <c r="O59" s="136" t="n">
        <v>8.1</v>
      </c>
      <c r="P59" s="136" t="n">
        <v>8.1</v>
      </c>
      <c r="Q59" s="134" t="s">
        <v>1455</v>
      </c>
    </row>
    <row r="60" customFormat="false" ht="15" hidden="false" customHeight="true" outlineLevel="0" collapsed="false">
      <c r="A60" s="133" t="s">
        <v>67</v>
      </c>
      <c r="B60" s="134"/>
      <c r="C60" s="134" t="s">
        <v>1456</v>
      </c>
      <c r="D60" s="135" t="n">
        <v>1</v>
      </c>
      <c r="E60" s="136" t="n">
        <v>20</v>
      </c>
      <c r="F60" s="135" t="n">
        <v>30</v>
      </c>
      <c r="G60" s="136" t="n">
        <v>307</v>
      </c>
      <c r="H60" s="136" t="n">
        <v>9.9</v>
      </c>
      <c r="I60" s="136" t="n">
        <v>9.9</v>
      </c>
      <c r="J60" s="136" t="n">
        <v>9.9</v>
      </c>
      <c r="K60" s="136" t="n">
        <v>9.9</v>
      </c>
      <c r="L60" s="136" t="n">
        <v>9</v>
      </c>
      <c r="M60" s="136" t="n">
        <v>9</v>
      </c>
      <c r="N60" s="136" t="n">
        <v>9</v>
      </c>
      <c r="O60" s="136" t="n">
        <v>9</v>
      </c>
      <c r="P60" s="136" t="n">
        <v>9</v>
      </c>
      <c r="Q60" s="134" t="s">
        <v>1457</v>
      </c>
    </row>
    <row r="61" customFormat="false" ht="15" hidden="false" customHeight="true" outlineLevel="0" collapsed="false">
      <c r="A61" s="133" t="s">
        <v>67</v>
      </c>
      <c r="B61" s="134" t="s">
        <v>1458</v>
      </c>
      <c r="C61" s="134" t="s">
        <v>1459</v>
      </c>
      <c r="D61" s="135" t="n">
        <v>1</v>
      </c>
      <c r="E61" s="136" t="n">
        <v>20</v>
      </c>
      <c r="F61" s="135" t="n">
        <v>15</v>
      </c>
      <c r="G61" s="136" t="n">
        <v>133</v>
      </c>
      <c r="H61" s="136" t="n">
        <v>8.1</v>
      </c>
      <c r="I61" s="136" t="n">
        <v>8.1</v>
      </c>
      <c r="J61" s="136" t="n">
        <v>8.1</v>
      </c>
      <c r="K61" s="136" t="n">
        <v>7.2</v>
      </c>
      <c r="L61" s="136" t="n">
        <v>6.3</v>
      </c>
      <c r="M61" s="136" t="n">
        <v>6.3</v>
      </c>
      <c r="N61" s="136" t="n">
        <v>6.3</v>
      </c>
      <c r="O61" s="136" t="n">
        <v>6.3</v>
      </c>
      <c r="P61" s="136" t="n">
        <v>6.3</v>
      </c>
      <c r="Q61" s="134" t="s">
        <v>1460</v>
      </c>
    </row>
    <row r="62" customFormat="false" ht="15" hidden="false" customHeight="true" outlineLevel="0" collapsed="false">
      <c r="A62" s="133" t="s">
        <v>67</v>
      </c>
      <c r="B62" s="134"/>
      <c r="C62" s="134" t="s">
        <v>1461</v>
      </c>
      <c r="D62" s="135" t="n">
        <v>1</v>
      </c>
      <c r="E62" s="136" t="n">
        <v>20</v>
      </c>
      <c r="F62" s="135" t="n">
        <v>15</v>
      </c>
      <c r="G62" s="136" t="n">
        <v>133</v>
      </c>
      <c r="H62" s="136" t="n">
        <v>8.1</v>
      </c>
      <c r="I62" s="136" t="n">
        <v>8.1</v>
      </c>
      <c r="J62" s="136" t="n">
        <v>8.1</v>
      </c>
      <c r="K62" s="136" t="n">
        <v>7.2</v>
      </c>
      <c r="L62" s="136" t="n">
        <v>6.3</v>
      </c>
      <c r="M62" s="136" t="n">
        <v>6.3</v>
      </c>
      <c r="N62" s="136" t="n">
        <v>6.3</v>
      </c>
      <c r="O62" s="136" t="n">
        <v>6.3</v>
      </c>
      <c r="P62" s="136" t="n">
        <v>6.3</v>
      </c>
      <c r="Q62" s="134" t="s">
        <v>1462</v>
      </c>
    </row>
    <row r="63" customFormat="false" ht="15" hidden="false" customHeight="true" outlineLevel="0" collapsed="false">
      <c r="A63" s="133" t="s">
        <v>67</v>
      </c>
      <c r="B63" s="134"/>
      <c r="C63" s="134" t="s">
        <v>1463</v>
      </c>
      <c r="D63" s="135" t="n">
        <v>1</v>
      </c>
      <c r="E63" s="136" t="n">
        <v>20</v>
      </c>
      <c r="F63" s="135" t="n">
        <v>15</v>
      </c>
      <c r="G63" s="136" t="n">
        <v>159</v>
      </c>
      <c r="H63" s="136" t="n">
        <v>9.9</v>
      </c>
      <c r="I63" s="136" t="n">
        <v>9.9</v>
      </c>
      <c r="J63" s="136" t="n">
        <v>9.9</v>
      </c>
      <c r="K63" s="136" t="n">
        <v>9</v>
      </c>
      <c r="L63" s="136" t="n">
        <v>8.1</v>
      </c>
      <c r="M63" s="136" t="n">
        <v>8.1</v>
      </c>
      <c r="N63" s="136" t="n">
        <v>8.1</v>
      </c>
      <c r="O63" s="136" t="n">
        <v>8.1</v>
      </c>
      <c r="P63" s="136" t="n">
        <v>8.1</v>
      </c>
      <c r="Q63" s="134" t="s">
        <v>1464</v>
      </c>
    </row>
    <row r="64" customFormat="false" ht="15" hidden="false" customHeight="true" outlineLevel="0" collapsed="false">
      <c r="A64" s="133" t="s">
        <v>67</v>
      </c>
      <c r="B64" s="134"/>
      <c r="C64" s="134" t="s">
        <v>1465</v>
      </c>
      <c r="D64" s="135" t="n">
        <v>1</v>
      </c>
      <c r="E64" s="136" t="n">
        <v>20</v>
      </c>
      <c r="F64" s="135" t="n">
        <v>30</v>
      </c>
      <c r="G64" s="136" t="n">
        <v>281</v>
      </c>
      <c r="H64" s="136" t="n">
        <v>9</v>
      </c>
      <c r="I64" s="136" t="n">
        <v>9</v>
      </c>
      <c r="J64" s="136" t="n">
        <v>9</v>
      </c>
      <c r="K64" s="136" t="n">
        <v>8.1</v>
      </c>
      <c r="L64" s="136" t="n">
        <v>7.2</v>
      </c>
      <c r="M64" s="136" t="n">
        <v>6.3</v>
      </c>
      <c r="N64" s="136" t="n">
        <v>6.3</v>
      </c>
      <c r="O64" s="136" t="n">
        <v>6.3</v>
      </c>
      <c r="P64" s="136" t="n">
        <v>6.3</v>
      </c>
      <c r="Q64" s="134" t="s">
        <v>1466</v>
      </c>
    </row>
    <row r="65" customFormat="false" ht="15" hidden="false" customHeight="true" outlineLevel="0" collapsed="false">
      <c r="A65" s="133" t="s">
        <v>67</v>
      </c>
      <c r="B65" s="134" t="s">
        <v>1467</v>
      </c>
      <c r="C65" s="134" t="s">
        <v>187</v>
      </c>
      <c r="D65" s="135" t="n">
        <v>1</v>
      </c>
      <c r="E65" s="136" t="n">
        <v>20</v>
      </c>
      <c r="F65" s="135" t="n">
        <v>30</v>
      </c>
      <c r="G65" s="136" t="n">
        <v>438</v>
      </c>
      <c r="H65" s="136" t="n">
        <v>14.4</v>
      </c>
      <c r="I65" s="136" t="n">
        <v>14.4</v>
      </c>
      <c r="J65" s="136" t="n">
        <v>14.4</v>
      </c>
      <c r="K65" s="136" t="n">
        <v>12.6</v>
      </c>
      <c r="L65" s="136" t="n">
        <v>12.6</v>
      </c>
      <c r="M65" s="136" t="n">
        <v>12.6</v>
      </c>
      <c r="N65" s="136" t="n">
        <v>12.6</v>
      </c>
      <c r="O65" s="136" t="n">
        <v>11.7</v>
      </c>
      <c r="P65" s="136" t="n">
        <v>11.7</v>
      </c>
      <c r="Q65" s="134" t="s">
        <v>1468</v>
      </c>
    </row>
    <row r="66" customFormat="false" ht="15" hidden="false" customHeight="true" outlineLevel="0" collapsed="false">
      <c r="A66" s="133" t="s">
        <v>67</v>
      </c>
      <c r="B66" s="134"/>
      <c r="C66" s="134" t="s">
        <v>188</v>
      </c>
      <c r="D66" s="135" t="n">
        <v>1</v>
      </c>
      <c r="E66" s="136" t="n">
        <v>20</v>
      </c>
      <c r="F66" s="135" t="n">
        <v>30</v>
      </c>
      <c r="G66" s="136" t="n">
        <v>438</v>
      </c>
      <c r="H66" s="136" t="n">
        <v>14.4</v>
      </c>
      <c r="I66" s="136" t="n">
        <v>14.4</v>
      </c>
      <c r="J66" s="136" t="n">
        <v>14.4</v>
      </c>
      <c r="K66" s="136" t="n">
        <v>12.6</v>
      </c>
      <c r="L66" s="136" t="n">
        <v>12.6</v>
      </c>
      <c r="M66" s="136" t="n">
        <v>12.6</v>
      </c>
      <c r="N66" s="136" t="n">
        <v>12.6</v>
      </c>
      <c r="O66" s="136" t="n">
        <v>11.7</v>
      </c>
      <c r="P66" s="136" t="n">
        <v>11.7</v>
      </c>
      <c r="Q66" s="134" t="s">
        <v>1469</v>
      </c>
    </row>
    <row r="67" customFormat="false" ht="15" hidden="false" customHeight="true" outlineLevel="0" collapsed="false">
      <c r="A67" s="133" t="s">
        <v>67</v>
      </c>
      <c r="B67" s="134"/>
      <c r="C67" s="134" t="s">
        <v>1470</v>
      </c>
      <c r="D67" s="135" t="n">
        <v>1</v>
      </c>
      <c r="E67" s="136" t="n">
        <v>20</v>
      </c>
      <c r="F67" s="135" t="n">
        <v>30</v>
      </c>
      <c r="G67" s="136" t="n">
        <v>516</v>
      </c>
      <c r="H67" s="136" t="n">
        <v>17.1</v>
      </c>
      <c r="I67" s="136" t="n">
        <v>17.1</v>
      </c>
      <c r="J67" s="136" t="n">
        <v>17.1</v>
      </c>
      <c r="K67" s="136" t="n">
        <v>15.3</v>
      </c>
      <c r="L67" s="136" t="n">
        <v>15.3</v>
      </c>
      <c r="M67" s="136" t="n">
        <v>15.3</v>
      </c>
      <c r="N67" s="136" t="n">
        <v>15.3</v>
      </c>
      <c r="O67" s="136" t="n">
        <v>14.4</v>
      </c>
      <c r="P67" s="136" t="n">
        <v>14.4</v>
      </c>
      <c r="Q67" s="134" t="s">
        <v>1471</v>
      </c>
    </row>
    <row r="68" customFormat="false" ht="15" hidden="false" customHeight="true" outlineLevel="0" collapsed="false">
      <c r="A68" s="133" t="s">
        <v>67</v>
      </c>
      <c r="B68" s="134" t="s">
        <v>1472</v>
      </c>
      <c r="C68" s="134" t="s">
        <v>190</v>
      </c>
      <c r="D68" s="135" t="n">
        <v>1</v>
      </c>
      <c r="E68" s="136" t="n">
        <v>20</v>
      </c>
      <c r="F68" s="135" t="n">
        <v>30</v>
      </c>
      <c r="G68" s="136" t="n">
        <v>490</v>
      </c>
      <c r="H68" s="136" t="n">
        <v>16.2</v>
      </c>
      <c r="I68" s="136" t="n">
        <v>16.2</v>
      </c>
      <c r="J68" s="136" t="n">
        <v>16.2</v>
      </c>
      <c r="K68" s="136" t="n">
        <v>14.4</v>
      </c>
      <c r="L68" s="136" t="n">
        <v>14.4</v>
      </c>
      <c r="M68" s="136" t="n">
        <v>14.4</v>
      </c>
      <c r="N68" s="136" t="n">
        <v>13.5</v>
      </c>
      <c r="O68" s="136" t="n">
        <v>13.5</v>
      </c>
      <c r="P68" s="136" t="n">
        <v>13.5</v>
      </c>
      <c r="Q68" s="134" t="s">
        <v>1473</v>
      </c>
    </row>
    <row r="69" customFormat="false" ht="15" hidden="false" customHeight="true" outlineLevel="0" collapsed="false">
      <c r="A69" s="133" t="s">
        <v>67</v>
      </c>
      <c r="B69" s="134"/>
      <c r="C69" s="134" t="s">
        <v>1474</v>
      </c>
      <c r="D69" s="135" t="n">
        <v>1</v>
      </c>
      <c r="E69" s="136" t="n">
        <v>20</v>
      </c>
      <c r="F69" s="135" t="n">
        <v>30</v>
      </c>
      <c r="G69" s="136" t="n">
        <v>542</v>
      </c>
      <c r="H69" s="136" t="n">
        <v>18</v>
      </c>
      <c r="I69" s="136" t="n">
        <v>18</v>
      </c>
      <c r="J69" s="136" t="n">
        <v>18</v>
      </c>
      <c r="K69" s="136" t="n">
        <v>16.2</v>
      </c>
      <c r="L69" s="136" t="n">
        <v>16.2</v>
      </c>
      <c r="M69" s="136" t="n">
        <v>16.2</v>
      </c>
      <c r="N69" s="136" t="n">
        <v>15.3</v>
      </c>
      <c r="O69" s="136" t="n">
        <v>15.3</v>
      </c>
      <c r="P69" s="136" t="n">
        <v>15.3</v>
      </c>
      <c r="Q69" s="134" t="s">
        <v>1475</v>
      </c>
    </row>
    <row r="70" customFormat="false" ht="15" hidden="false" customHeight="true" outlineLevel="0" collapsed="false">
      <c r="A70" s="133" t="s">
        <v>67</v>
      </c>
      <c r="B70" s="134" t="s">
        <v>1476</v>
      </c>
      <c r="C70" s="134" t="s">
        <v>1477</v>
      </c>
      <c r="D70" s="135" t="n">
        <v>1</v>
      </c>
      <c r="E70" s="136" t="n">
        <v>20</v>
      </c>
      <c r="F70" s="135" t="n">
        <v>30</v>
      </c>
      <c r="G70" s="136" t="n">
        <v>255</v>
      </c>
      <c r="H70" s="136" t="n">
        <v>8.1</v>
      </c>
      <c r="I70" s="136" t="n">
        <v>8.1</v>
      </c>
      <c r="J70" s="136" t="n">
        <v>8.1</v>
      </c>
      <c r="K70" s="136" t="n">
        <v>8.1</v>
      </c>
      <c r="L70" s="136" t="n">
        <v>8.1</v>
      </c>
      <c r="M70" s="136" t="n">
        <v>8.1</v>
      </c>
      <c r="N70" s="136" t="n">
        <v>8.1</v>
      </c>
      <c r="O70" s="136" t="n">
        <v>8.1</v>
      </c>
      <c r="P70" s="136" t="n">
        <v>8.1</v>
      </c>
      <c r="Q70" s="134" t="s">
        <v>1478</v>
      </c>
    </row>
    <row r="71" customFormat="false" ht="15" hidden="false" customHeight="true" outlineLevel="0" collapsed="false">
      <c r="A71" s="133" t="s">
        <v>67</v>
      </c>
      <c r="B71" s="134"/>
      <c r="C71" s="134" t="s">
        <v>193</v>
      </c>
      <c r="D71" s="135" t="n">
        <v>1</v>
      </c>
      <c r="E71" s="136" t="n">
        <v>20</v>
      </c>
      <c r="F71" s="135" t="n">
        <v>30</v>
      </c>
      <c r="G71" s="136" t="n">
        <v>263</v>
      </c>
      <c r="H71" s="136" t="n">
        <v>9</v>
      </c>
      <c r="I71" s="136" t="n">
        <v>8.1</v>
      </c>
      <c r="J71" s="136" t="n">
        <v>8.1</v>
      </c>
      <c r="K71" s="136" t="n">
        <v>8.1</v>
      </c>
      <c r="L71" s="136" t="n">
        <v>7.2</v>
      </c>
      <c r="M71" s="136" t="n">
        <v>7.2</v>
      </c>
      <c r="N71" s="136" t="n">
        <v>7.2</v>
      </c>
      <c r="O71" s="136" t="n">
        <v>7.2</v>
      </c>
      <c r="P71" s="136" t="n">
        <v>7.2</v>
      </c>
      <c r="Q71" s="134" t="s">
        <v>1479</v>
      </c>
    </row>
    <row r="72" customFormat="false" ht="15" hidden="false" customHeight="true" outlineLevel="0" collapsed="false">
      <c r="A72" s="133" t="s">
        <v>67</v>
      </c>
      <c r="B72" s="134"/>
      <c r="C72" s="134" t="s">
        <v>1480</v>
      </c>
      <c r="D72" s="135" t="n">
        <v>1</v>
      </c>
      <c r="E72" s="136" t="n">
        <v>20</v>
      </c>
      <c r="F72" s="135" t="n">
        <v>30</v>
      </c>
      <c r="G72" s="136" t="n">
        <v>307</v>
      </c>
      <c r="H72" s="136" t="n">
        <v>9.9</v>
      </c>
      <c r="I72" s="136" t="n">
        <v>9.9</v>
      </c>
      <c r="J72" s="136" t="n">
        <v>9.9</v>
      </c>
      <c r="K72" s="136" t="n">
        <v>9.9</v>
      </c>
      <c r="L72" s="136" t="n">
        <v>9.9</v>
      </c>
      <c r="M72" s="136" t="n">
        <v>9.9</v>
      </c>
      <c r="N72" s="136" t="n">
        <v>9.9</v>
      </c>
      <c r="O72" s="136" t="n">
        <v>9.9</v>
      </c>
      <c r="P72" s="136" t="n">
        <v>9.9</v>
      </c>
      <c r="Q72" s="134" t="s">
        <v>1481</v>
      </c>
    </row>
    <row r="73" customFormat="false" ht="15" hidden="false" customHeight="true" outlineLevel="0" collapsed="false">
      <c r="A73" s="133" t="s">
        <v>67</v>
      </c>
      <c r="B73" s="134" t="s">
        <v>1482</v>
      </c>
      <c r="C73" s="134" t="s">
        <v>195</v>
      </c>
      <c r="D73" s="135" t="n">
        <v>1</v>
      </c>
      <c r="E73" s="136" t="n">
        <v>20</v>
      </c>
      <c r="F73" s="135" t="n">
        <v>30</v>
      </c>
      <c r="G73" s="136" t="n">
        <v>333</v>
      </c>
      <c r="H73" s="136" t="n">
        <v>10.8</v>
      </c>
      <c r="I73" s="136" t="n">
        <v>10.8</v>
      </c>
      <c r="J73" s="136" t="n">
        <v>10.8</v>
      </c>
      <c r="K73" s="136" t="n">
        <v>9.9</v>
      </c>
      <c r="L73" s="136" t="n">
        <v>9.9</v>
      </c>
      <c r="M73" s="136" t="n">
        <v>9</v>
      </c>
      <c r="N73" s="136" t="n">
        <v>9</v>
      </c>
      <c r="O73" s="136" t="n">
        <v>9</v>
      </c>
      <c r="P73" s="136" t="n">
        <v>9</v>
      </c>
      <c r="Q73" s="134" t="s">
        <v>1483</v>
      </c>
    </row>
    <row r="74" customFormat="false" ht="15" hidden="false" customHeight="true" outlineLevel="0" collapsed="false">
      <c r="A74" s="133" t="s">
        <v>67</v>
      </c>
      <c r="B74" s="134"/>
      <c r="C74" s="134" t="s">
        <v>1484</v>
      </c>
      <c r="D74" s="135" t="n">
        <v>1</v>
      </c>
      <c r="E74" s="136" t="n">
        <v>20</v>
      </c>
      <c r="F74" s="135" t="n">
        <v>30</v>
      </c>
      <c r="G74" s="136" t="n">
        <v>385</v>
      </c>
      <c r="H74" s="136" t="n">
        <v>12.6</v>
      </c>
      <c r="I74" s="136" t="n">
        <v>12.6</v>
      </c>
      <c r="J74" s="136" t="n">
        <v>12.6</v>
      </c>
      <c r="K74" s="136" t="n">
        <v>11.7</v>
      </c>
      <c r="L74" s="136" t="n">
        <v>11.7</v>
      </c>
      <c r="M74" s="136" t="n">
        <v>10.8</v>
      </c>
      <c r="N74" s="136" t="n">
        <v>10.8</v>
      </c>
      <c r="O74" s="136" t="n">
        <v>10.8</v>
      </c>
      <c r="P74" s="136" t="n">
        <v>10.8</v>
      </c>
      <c r="Q74" s="134" t="s">
        <v>1485</v>
      </c>
    </row>
    <row r="75" customFormat="false" ht="15" hidden="false" customHeight="true" outlineLevel="0" collapsed="false">
      <c r="A75" s="133" t="s">
        <v>67</v>
      </c>
      <c r="B75" s="134" t="s">
        <v>1486</v>
      </c>
      <c r="C75" s="134" t="s">
        <v>197</v>
      </c>
      <c r="D75" s="135" t="n">
        <v>1</v>
      </c>
      <c r="E75" s="136" t="n">
        <v>20</v>
      </c>
      <c r="F75" s="135" t="n">
        <v>20</v>
      </c>
      <c r="G75" s="136" t="n">
        <v>157</v>
      </c>
      <c r="H75" s="136" t="n">
        <v>7.2</v>
      </c>
      <c r="I75" s="136" t="n">
        <v>7.2</v>
      </c>
      <c r="J75" s="136" t="n">
        <v>7.2</v>
      </c>
      <c r="K75" s="136" t="n">
        <v>7.2</v>
      </c>
      <c r="L75" s="136" t="n">
        <v>6.3</v>
      </c>
      <c r="M75" s="136" t="n">
        <v>6.3</v>
      </c>
      <c r="N75" s="136" t="n">
        <v>6.3</v>
      </c>
      <c r="O75" s="136" t="n">
        <v>6.3</v>
      </c>
      <c r="P75" s="136" t="n">
        <v>6.3</v>
      </c>
      <c r="Q75" s="134" t="s">
        <v>1487</v>
      </c>
    </row>
    <row r="76" customFormat="false" ht="15" hidden="false" customHeight="true" outlineLevel="0" collapsed="false">
      <c r="A76" s="133" t="s">
        <v>67</v>
      </c>
      <c r="B76" s="134" t="s">
        <v>1488</v>
      </c>
      <c r="C76" s="134" t="s">
        <v>1489</v>
      </c>
      <c r="D76" s="135" t="n">
        <v>1</v>
      </c>
      <c r="E76" s="136" t="n">
        <v>20</v>
      </c>
      <c r="F76" s="135" t="n">
        <v>30</v>
      </c>
      <c r="G76" s="136" t="n">
        <v>307</v>
      </c>
      <c r="H76" s="136" t="n">
        <v>9.9</v>
      </c>
      <c r="I76" s="136" t="n">
        <v>9.9</v>
      </c>
      <c r="J76" s="136" t="n">
        <v>9.9</v>
      </c>
      <c r="K76" s="136" t="n">
        <v>9</v>
      </c>
      <c r="L76" s="136" t="n">
        <v>9</v>
      </c>
      <c r="M76" s="136" t="n">
        <v>9</v>
      </c>
      <c r="N76" s="136" t="n">
        <v>9</v>
      </c>
      <c r="O76" s="136" t="n">
        <v>9</v>
      </c>
      <c r="P76" s="136" t="n">
        <v>9</v>
      </c>
      <c r="Q76" s="134" t="s">
        <v>1490</v>
      </c>
    </row>
    <row r="77" customFormat="false" ht="15" hidden="false" customHeight="true" outlineLevel="0" collapsed="false">
      <c r="A77" s="133" t="s">
        <v>67</v>
      </c>
      <c r="B77" s="134"/>
      <c r="C77" s="134" t="s">
        <v>1491</v>
      </c>
      <c r="D77" s="135" t="n">
        <v>1</v>
      </c>
      <c r="E77" s="136" t="n">
        <v>20</v>
      </c>
      <c r="F77" s="135" t="n">
        <v>30</v>
      </c>
      <c r="G77" s="136" t="n">
        <v>359</v>
      </c>
      <c r="H77" s="136" t="n">
        <v>11.7</v>
      </c>
      <c r="I77" s="136" t="n">
        <v>11.7</v>
      </c>
      <c r="J77" s="136" t="n">
        <v>11.7</v>
      </c>
      <c r="K77" s="136" t="n">
        <v>10.8</v>
      </c>
      <c r="L77" s="136" t="n">
        <v>10.8</v>
      </c>
      <c r="M77" s="136" t="n">
        <v>10.8</v>
      </c>
      <c r="N77" s="136" t="n">
        <v>10.8</v>
      </c>
      <c r="O77" s="136" t="n">
        <v>10.8</v>
      </c>
      <c r="P77" s="136" t="n">
        <v>10.8</v>
      </c>
      <c r="Q77" s="134" t="s">
        <v>1492</v>
      </c>
    </row>
    <row r="78" customFormat="false" ht="15" hidden="false" customHeight="true" outlineLevel="0" collapsed="false">
      <c r="A78" s="133" t="s">
        <v>1493</v>
      </c>
      <c r="B78" s="134" t="s">
        <v>1423</v>
      </c>
      <c r="C78" s="134" t="s">
        <v>1424</v>
      </c>
      <c r="D78" s="135" t="n">
        <v>1</v>
      </c>
      <c r="E78" s="136" t="n">
        <v>10</v>
      </c>
      <c r="F78" s="135" t="n">
        <v>50</v>
      </c>
      <c r="G78" s="136" t="n">
        <v>108</v>
      </c>
      <c r="H78" s="136" t="n">
        <v>2</v>
      </c>
      <c r="I78" s="136" t="n">
        <v>2</v>
      </c>
      <c r="J78" s="136" t="n">
        <v>1.9</v>
      </c>
      <c r="K78" s="136" t="n">
        <v>1.9</v>
      </c>
      <c r="L78" s="136" t="n">
        <v>1.8</v>
      </c>
      <c r="M78" s="136" t="n">
        <v>1.7</v>
      </c>
      <c r="N78" s="136" t="n">
        <v>1.6</v>
      </c>
      <c r="O78" s="136" t="n">
        <v>1.5</v>
      </c>
      <c r="P78" s="136" t="n">
        <v>0</v>
      </c>
      <c r="Q78" s="134" t="s">
        <v>1494</v>
      </c>
    </row>
    <row r="79" customFormat="false" ht="15" hidden="false" customHeight="true" outlineLevel="0" collapsed="false">
      <c r="A79" s="133" t="s">
        <v>1493</v>
      </c>
      <c r="B79" s="134"/>
      <c r="C79" s="134" t="s">
        <v>1495</v>
      </c>
      <c r="D79" s="135" t="n">
        <v>1</v>
      </c>
      <c r="E79" s="136" t="n">
        <v>10</v>
      </c>
      <c r="F79" s="135" t="n">
        <v>50</v>
      </c>
      <c r="G79" s="136" t="n">
        <v>113</v>
      </c>
      <c r="H79" s="136" t="n">
        <v>2.1</v>
      </c>
      <c r="I79" s="136" t="n">
        <v>2.1</v>
      </c>
      <c r="J79" s="136" t="n">
        <v>2</v>
      </c>
      <c r="K79" s="136" t="n">
        <v>2</v>
      </c>
      <c r="L79" s="136" t="n">
        <v>1.9</v>
      </c>
      <c r="M79" s="136" t="n">
        <v>1.8</v>
      </c>
      <c r="N79" s="136" t="n">
        <v>1.7</v>
      </c>
      <c r="O79" s="136" t="n">
        <v>1.6</v>
      </c>
      <c r="P79" s="136" t="n">
        <v>0</v>
      </c>
      <c r="Q79" s="134" t="s">
        <v>1496</v>
      </c>
    </row>
    <row r="80" customFormat="false" ht="15" hidden="false" customHeight="true" outlineLevel="0" collapsed="false">
      <c r="A80" s="133" t="s">
        <v>1493</v>
      </c>
      <c r="B80" s="134" t="s">
        <v>1334</v>
      </c>
      <c r="C80" s="134" t="s">
        <v>201</v>
      </c>
      <c r="D80" s="135" t="n">
        <v>1</v>
      </c>
      <c r="E80" s="136" t="n">
        <v>10</v>
      </c>
      <c r="F80" s="135" t="n">
        <v>50</v>
      </c>
      <c r="G80" s="136" t="n">
        <v>98</v>
      </c>
      <c r="H80" s="136" t="n">
        <v>1.8</v>
      </c>
      <c r="I80" s="136" t="n">
        <v>1.8</v>
      </c>
      <c r="J80" s="136" t="n">
        <v>1.6</v>
      </c>
      <c r="K80" s="136" t="n">
        <v>1.6</v>
      </c>
      <c r="L80" s="136" t="n">
        <v>1.5</v>
      </c>
      <c r="M80" s="136" t="n">
        <v>1.45</v>
      </c>
      <c r="N80" s="136" t="n">
        <v>1.35</v>
      </c>
      <c r="O80" s="136" t="n">
        <v>1.25</v>
      </c>
      <c r="P80" s="136" t="n">
        <v>0</v>
      </c>
      <c r="Q80" s="134" t="s">
        <v>1497</v>
      </c>
    </row>
    <row r="81" customFormat="false" ht="15" hidden="false" customHeight="true" outlineLevel="0" collapsed="false">
      <c r="A81" s="133" t="s">
        <v>1493</v>
      </c>
      <c r="B81" s="134"/>
      <c r="C81" s="134" t="s">
        <v>1498</v>
      </c>
      <c r="D81" s="135" t="n">
        <v>1</v>
      </c>
      <c r="E81" s="136" t="n">
        <v>10</v>
      </c>
      <c r="F81" s="135" t="n">
        <v>50</v>
      </c>
      <c r="G81" s="136" t="n">
        <v>98</v>
      </c>
      <c r="H81" s="136" t="n">
        <v>1.8</v>
      </c>
      <c r="I81" s="136" t="n">
        <v>1.8</v>
      </c>
      <c r="J81" s="136" t="n">
        <v>1.7</v>
      </c>
      <c r="K81" s="136" t="n">
        <v>1.7</v>
      </c>
      <c r="L81" s="136" t="n">
        <v>1.6</v>
      </c>
      <c r="M81" s="136" t="n">
        <v>1.5</v>
      </c>
      <c r="N81" s="136" t="n">
        <v>1.4</v>
      </c>
      <c r="O81" s="136" t="n">
        <v>1.4</v>
      </c>
      <c r="P81" s="136" t="n">
        <v>0</v>
      </c>
      <c r="Q81" s="134" t="s">
        <v>1499</v>
      </c>
    </row>
    <row r="82" customFormat="false" ht="15" hidden="false" customHeight="true" outlineLevel="0" collapsed="false">
      <c r="A82" s="133" t="s">
        <v>1493</v>
      </c>
      <c r="B82" s="134"/>
      <c r="C82" s="134" t="s">
        <v>203</v>
      </c>
      <c r="D82" s="135" t="n">
        <v>1</v>
      </c>
      <c r="E82" s="136" t="n">
        <v>10</v>
      </c>
      <c r="F82" s="135" t="n">
        <v>50</v>
      </c>
      <c r="G82" s="136" t="n">
        <v>101</v>
      </c>
      <c r="H82" s="136" t="n">
        <v>1.85</v>
      </c>
      <c r="I82" s="136" t="n">
        <v>1.85</v>
      </c>
      <c r="J82" s="136" t="n">
        <v>1.7</v>
      </c>
      <c r="K82" s="136" t="n">
        <v>1.7</v>
      </c>
      <c r="L82" s="136" t="n">
        <v>1.6</v>
      </c>
      <c r="M82" s="136" t="n">
        <v>1.5</v>
      </c>
      <c r="N82" s="136" t="n">
        <v>1.4</v>
      </c>
      <c r="O82" s="136" t="n">
        <v>1.3</v>
      </c>
      <c r="P82" s="136" t="n">
        <v>0</v>
      </c>
      <c r="Q82" s="134" t="s">
        <v>1500</v>
      </c>
    </row>
    <row r="83" customFormat="false" ht="15" hidden="false" customHeight="true" outlineLevel="0" collapsed="false">
      <c r="A83" s="133" t="s">
        <v>1493</v>
      </c>
      <c r="B83" s="134"/>
      <c r="C83" s="134" t="s">
        <v>1501</v>
      </c>
      <c r="D83" s="135" t="n">
        <v>1</v>
      </c>
      <c r="E83" s="136" t="n">
        <v>10</v>
      </c>
      <c r="F83" s="135" t="n">
        <v>50</v>
      </c>
      <c r="G83" s="136" t="n">
        <v>106</v>
      </c>
      <c r="H83" s="136" t="n">
        <v>1.95</v>
      </c>
      <c r="I83" s="136" t="n">
        <v>1.95</v>
      </c>
      <c r="J83" s="136" t="n">
        <v>1.75</v>
      </c>
      <c r="K83" s="136" t="n">
        <v>1.75</v>
      </c>
      <c r="L83" s="136" t="n">
        <v>1.65</v>
      </c>
      <c r="M83" s="136" t="n">
        <v>1.6</v>
      </c>
      <c r="N83" s="136" t="n">
        <v>1.5</v>
      </c>
      <c r="O83" s="136" t="n">
        <v>1.4</v>
      </c>
      <c r="P83" s="136" t="n">
        <v>0</v>
      </c>
      <c r="Q83" s="134" t="s">
        <v>1502</v>
      </c>
    </row>
    <row r="84" customFormat="false" ht="15" hidden="false" customHeight="true" outlineLevel="0" collapsed="false">
      <c r="A84" s="133" t="s">
        <v>1493</v>
      </c>
      <c r="B84" s="134" t="s">
        <v>1503</v>
      </c>
      <c r="C84" s="134" t="s">
        <v>1504</v>
      </c>
      <c r="D84" s="135" t="n">
        <v>1</v>
      </c>
      <c r="E84" s="136" t="n">
        <v>10</v>
      </c>
      <c r="F84" s="135" t="n">
        <v>50</v>
      </c>
      <c r="G84" s="136" t="n">
        <v>88</v>
      </c>
      <c r="H84" s="136" t="n">
        <v>1.6</v>
      </c>
      <c r="I84" s="136" t="n">
        <v>1.6</v>
      </c>
      <c r="J84" s="136" t="n">
        <v>1.5</v>
      </c>
      <c r="K84" s="136" t="n">
        <v>1.5</v>
      </c>
      <c r="L84" s="136" t="n">
        <v>1.3</v>
      </c>
      <c r="M84" s="136" t="n">
        <v>1.2</v>
      </c>
      <c r="N84" s="136" t="n">
        <v>1.1</v>
      </c>
      <c r="O84" s="136" t="n">
        <v>1</v>
      </c>
      <c r="P84" s="136" t="n">
        <v>0</v>
      </c>
      <c r="Q84" s="134" t="s">
        <v>1505</v>
      </c>
    </row>
    <row r="85" customFormat="false" ht="15" hidden="false" customHeight="true" outlineLevel="0" collapsed="false">
      <c r="A85" s="133" t="s">
        <v>1493</v>
      </c>
      <c r="B85" s="134" t="s">
        <v>1506</v>
      </c>
      <c r="C85" s="134" t="s">
        <v>1507</v>
      </c>
      <c r="D85" s="135" t="n">
        <v>1</v>
      </c>
      <c r="E85" s="136" t="n">
        <v>10</v>
      </c>
      <c r="F85" s="135" t="n">
        <v>50</v>
      </c>
      <c r="G85" s="136" t="n">
        <v>103</v>
      </c>
      <c r="H85" s="136" t="n">
        <v>1.9</v>
      </c>
      <c r="I85" s="136" t="n">
        <v>1.9</v>
      </c>
      <c r="J85" s="136" t="n">
        <v>1.7</v>
      </c>
      <c r="K85" s="136" t="n">
        <v>1.7</v>
      </c>
      <c r="L85" s="136" t="n">
        <v>1.6</v>
      </c>
      <c r="M85" s="136" t="n">
        <v>1.5</v>
      </c>
      <c r="N85" s="136" t="n">
        <v>1.4</v>
      </c>
      <c r="O85" s="136" t="n">
        <v>1.3</v>
      </c>
      <c r="P85" s="136" t="n">
        <v>0</v>
      </c>
      <c r="Q85" s="134" t="s">
        <v>1508</v>
      </c>
    </row>
    <row r="86" customFormat="false" ht="15" hidden="false" customHeight="true" outlineLevel="0" collapsed="false">
      <c r="A86" s="133" t="s">
        <v>1493</v>
      </c>
      <c r="B86" s="134" t="s">
        <v>1345</v>
      </c>
      <c r="C86" s="134" t="s">
        <v>207</v>
      </c>
      <c r="D86" s="135" t="n">
        <v>1</v>
      </c>
      <c r="E86" s="136" t="n">
        <v>10</v>
      </c>
      <c r="F86" s="135" t="n">
        <v>50</v>
      </c>
      <c r="G86" s="136" t="n">
        <v>118</v>
      </c>
      <c r="H86" s="136" t="n">
        <v>2.2</v>
      </c>
      <c r="I86" s="136" t="n">
        <v>2.2</v>
      </c>
      <c r="J86" s="136" t="n">
        <v>2</v>
      </c>
      <c r="K86" s="136" t="n">
        <v>2</v>
      </c>
      <c r="L86" s="136" t="n">
        <v>1.9</v>
      </c>
      <c r="M86" s="136" t="n">
        <v>1.8</v>
      </c>
      <c r="N86" s="136" t="n">
        <v>1.7</v>
      </c>
      <c r="O86" s="136" t="n">
        <v>1.7</v>
      </c>
      <c r="P86" s="136" t="n">
        <v>0</v>
      </c>
      <c r="Q86" s="134" t="s">
        <v>1509</v>
      </c>
    </row>
    <row r="87" customFormat="false" ht="15" hidden="false" customHeight="true" outlineLevel="0" collapsed="false">
      <c r="A87" s="133" t="s">
        <v>1493</v>
      </c>
      <c r="B87" s="134"/>
      <c r="C87" s="134" t="s">
        <v>1510</v>
      </c>
      <c r="D87" s="135" t="n">
        <v>1</v>
      </c>
      <c r="E87" s="136" t="n">
        <v>10</v>
      </c>
      <c r="F87" s="135" t="n">
        <v>50</v>
      </c>
      <c r="G87" s="136" t="n">
        <v>123</v>
      </c>
      <c r="H87" s="136" t="n">
        <v>2.3</v>
      </c>
      <c r="I87" s="136" t="n">
        <v>2.3</v>
      </c>
      <c r="J87" s="136" t="n">
        <v>2.1</v>
      </c>
      <c r="K87" s="136" t="n">
        <v>2.1</v>
      </c>
      <c r="L87" s="136" t="n">
        <v>2</v>
      </c>
      <c r="M87" s="136" t="n">
        <v>1.9</v>
      </c>
      <c r="N87" s="136" t="n">
        <v>1.8</v>
      </c>
      <c r="O87" s="136" t="n">
        <v>1.8</v>
      </c>
      <c r="P87" s="136" t="n">
        <v>0</v>
      </c>
      <c r="Q87" s="134" t="s">
        <v>1511</v>
      </c>
    </row>
    <row r="88" customFormat="false" ht="15" hidden="false" customHeight="true" outlineLevel="0" collapsed="false">
      <c r="A88" s="133" t="s">
        <v>1493</v>
      </c>
      <c r="B88" s="134" t="s">
        <v>1435</v>
      </c>
      <c r="C88" s="134" t="s">
        <v>149</v>
      </c>
      <c r="D88" s="135" t="n">
        <v>1</v>
      </c>
      <c r="E88" s="136" t="n">
        <v>10</v>
      </c>
      <c r="F88" s="135" t="n">
        <v>50</v>
      </c>
      <c r="G88" s="136" t="n">
        <v>93</v>
      </c>
      <c r="H88" s="136" t="n">
        <v>1.7</v>
      </c>
      <c r="I88" s="136" t="n">
        <v>1.7</v>
      </c>
      <c r="J88" s="136" t="n">
        <v>1.5</v>
      </c>
      <c r="K88" s="136" t="n">
        <v>1.5</v>
      </c>
      <c r="L88" s="136" t="n">
        <v>1.4</v>
      </c>
      <c r="M88" s="136" t="n">
        <v>1.3</v>
      </c>
      <c r="N88" s="136" t="n">
        <v>1.2</v>
      </c>
      <c r="O88" s="136" t="n">
        <v>1.1</v>
      </c>
      <c r="P88" s="136" t="n">
        <v>0</v>
      </c>
      <c r="Q88" s="134" t="s">
        <v>1512</v>
      </c>
    </row>
    <row r="89" customFormat="false" ht="15" hidden="false" customHeight="true" outlineLevel="0" collapsed="false">
      <c r="A89" s="133" t="s">
        <v>1493</v>
      </c>
      <c r="B89" s="134"/>
      <c r="C89" s="134" t="s">
        <v>1513</v>
      </c>
      <c r="D89" s="135" t="n">
        <v>1</v>
      </c>
      <c r="E89" s="136" t="n">
        <v>10</v>
      </c>
      <c r="F89" s="135" t="n">
        <v>50</v>
      </c>
      <c r="G89" s="136" t="n">
        <v>93</v>
      </c>
      <c r="H89" s="136" t="n">
        <v>1.7</v>
      </c>
      <c r="I89" s="136" t="n">
        <v>1.7</v>
      </c>
      <c r="J89" s="136" t="n">
        <v>1.6</v>
      </c>
      <c r="K89" s="136" t="n">
        <v>1.6</v>
      </c>
      <c r="L89" s="136" t="n">
        <v>1.5</v>
      </c>
      <c r="M89" s="136" t="n">
        <v>1.4</v>
      </c>
      <c r="N89" s="136" t="n">
        <v>1.3</v>
      </c>
      <c r="O89" s="136" t="n">
        <v>1.2</v>
      </c>
      <c r="P89" s="136" t="n">
        <v>0</v>
      </c>
      <c r="Q89" s="134" t="s">
        <v>1514</v>
      </c>
    </row>
    <row r="90" customFormat="false" ht="15" hidden="false" customHeight="true" outlineLevel="0" collapsed="false">
      <c r="A90" s="133" t="s">
        <v>1493</v>
      </c>
      <c r="B90" s="134" t="s">
        <v>1357</v>
      </c>
      <c r="C90" s="134" t="s">
        <v>210</v>
      </c>
      <c r="D90" s="135" t="n">
        <v>1</v>
      </c>
      <c r="E90" s="136" t="n">
        <v>10</v>
      </c>
      <c r="F90" s="135" t="n">
        <v>50</v>
      </c>
      <c r="G90" s="136" t="n">
        <v>84</v>
      </c>
      <c r="H90" s="136" t="n">
        <v>1.5</v>
      </c>
      <c r="I90" s="136" t="n">
        <v>1.5</v>
      </c>
      <c r="J90" s="136" t="n">
        <v>1.4</v>
      </c>
      <c r="K90" s="136" t="n">
        <v>1.4</v>
      </c>
      <c r="L90" s="136" t="n">
        <v>1.3</v>
      </c>
      <c r="M90" s="136" t="n">
        <v>1.2</v>
      </c>
      <c r="N90" s="136" t="n">
        <v>1.1</v>
      </c>
      <c r="O90" s="136" t="n">
        <v>1</v>
      </c>
      <c r="P90" s="136" t="n">
        <v>0</v>
      </c>
      <c r="Q90" s="134" t="s">
        <v>1515</v>
      </c>
    </row>
    <row r="91" customFormat="false" ht="15" hidden="false" customHeight="true" outlineLevel="0" collapsed="false">
      <c r="A91" s="133" t="s">
        <v>1493</v>
      </c>
      <c r="B91" s="134"/>
      <c r="C91" s="134" t="s">
        <v>1516</v>
      </c>
      <c r="D91" s="135" t="n">
        <v>1</v>
      </c>
      <c r="E91" s="136" t="n">
        <v>10</v>
      </c>
      <c r="F91" s="135" t="n">
        <v>50</v>
      </c>
      <c r="G91" s="136" t="n">
        <v>93</v>
      </c>
      <c r="H91" s="136" t="n">
        <v>1.7</v>
      </c>
      <c r="I91" s="136" t="n">
        <v>1.7</v>
      </c>
      <c r="J91" s="136" t="n">
        <v>1.5</v>
      </c>
      <c r="K91" s="136" t="n">
        <v>1.5</v>
      </c>
      <c r="L91" s="136" t="n">
        <v>1.4</v>
      </c>
      <c r="M91" s="136" t="n">
        <v>1.3</v>
      </c>
      <c r="N91" s="136" t="n">
        <v>1.2</v>
      </c>
      <c r="O91" s="136" t="n">
        <v>1.1</v>
      </c>
      <c r="P91" s="136" t="n">
        <v>0</v>
      </c>
      <c r="Q91" s="134" t="s">
        <v>1517</v>
      </c>
    </row>
    <row r="92" customFormat="false" ht="15" hidden="false" customHeight="true" outlineLevel="0" collapsed="false">
      <c r="A92" s="133" t="s">
        <v>1493</v>
      </c>
      <c r="B92" s="134" t="s">
        <v>1364</v>
      </c>
      <c r="C92" s="134" t="s">
        <v>1365</v>
      </c>
      <c r="D92" s="135" t="n">
        <v>1</v>
      </c>
      <c r="E92" s="136" t="n">
        <v>10</v>
      </c>
      <c r="F92" s="135" t="n">
        <v>50</v>
      </c>
      <c r="G92" s="136" t="n">
        <v>91</v>
      </c>
      <c r="H92" s="136" t="n">
        <v>1.65</v>
      </c>
      <c r="I92" s="136" t="n">
        <v>1.65</v>
      </c>
      <c r="J92" s="136" t="n">
        <v>1.45</v>
      </c>
      <c r="K92" s="136" t="n">
        <v>1.45</v>
      </c>
      <c r="L92" s="136" t="n">
        <v>1.35</v>
      </c>
      <c r="M92" s="136" t="n">
        <v>1.3</v>
      </c>
      <c r="N92" s="136" t="n">
        <v>1.2</v>
      </c>
      <c r="O92" s="136" t="n">
        <v>1.1</v>
      </c>
      <c r="P92" s="136" t="n">
        <v>0</v>
      </c>
      <c r="Q92" s="134" t="s">
        <v>1518</v>
      </c>
    </row>
    <row r="93" customFormat="false" ht="15" hidden="false" customHeight="true" outlineLevel="0" collapsed="false">
      <c r="A93" s="133" t="s">
        <v>1493</v>
      </c>
      <c r="B93" s="134" t="s">
        <v>1519</v>
      </c>
      <c r="C93" s="134" t="s">
        <v>1520</v>
      </c>
      <c r="D93" s="135" t="n">
        <v>1</v>
      </c>
      <c r="E93" s="136" t="n">
        <v>10</v>
      </c>
      <c r="F93" s="135" t="n">
        <v>50</v>
      </c>
      <c r="G93" s="136" t="n">
        <v>88</v>
      </c>
      <c r="H93" s="136" t="n">
        <v>1.6</v>
      </c>
      <c r="I93" s="136" t="n">
        <v>1.6</v>
      </c>
      <c r="J93" s="136" t="n">
        <v>1.45</v>
      </c>
      <c r="K93" s="136" t="n">
        <v>1.45</v>
      </c>
      <c r="L93" s="136" t="n">
        <v>1.35</v>
      </c>
      <c r="M93" s="136" t="n">
        <v>1.25</v>
      </c>
      <c r="N93" s="136" t="n">
        <v>1.15</v>
      </c>
      <c r="O93" s="136" t="n">
        <v>1.05</v>
      </c>
      <c r="P93" s="136" t="n">
        <v>0</v>
      </c>
      <c r="Q93" s="134" t="s">
        <v>1521</v>
      </c>
    </row>
    <row r="94" customFormat="false" ht="15" hidden="false" customHeight="true" outlineLevel="0" collapsed="false">
      <c r="A94" s="133" t="s">
        <v>1493</v>
      </c>
      <c r="B94" s="134" t="s">
        <v>1370</v>
      </c>
      <c r="C94" s="134" t="s">
        <v>65</v>
      </c>
      <c r="D94" s="135" t="n">
        <v>1</v>
      </c>
      <c r="E94" s="136" t="n">
        <v>10</v>
      </c>
      <c r="F94" s="135" t="n">
        <v>50</v>
      </c>
      <c r="G94" s="136" t="n">
        <v>96</v>
      </c>
      <c r="H94" s="136" t="n">
        <v>1.75</v>
      </c>
      <c r="I94" s="136" t="n">
        <v>1.75</v>
      </c>
      <c r="J94" s="136" t="n">
        <v>1.65</v>
      </c>
      <c r="K94" s="136" t="n">
        <v>1.6</v>
      </c>
      <c r="L94" s="136" t="n">
        <v>1.5</v>
      </c>
      <c r="M94" s="136" t="n">
        <v>1.4</v>
      </c>
      <c r="N94" s="136" t="n">
        <v>1.35</v>
      </c>
      <c r="O94" s="136" t="n">
        <v>1.25</v>
      </c>
      <c r="P94" s="136" t="n">
        <v>0</v>
      </c>
      <c r="Q94" s="134" t="s">
        <v>1522</v>
      </c>
    </row>
    <row r="95" customFormat="false" ht="15" hidden="false" customHeight="true" outlineLevel="0" collapsed="false">
      <c r="A95" s="133" t="s">
        <v>1493</v>
      </c>
      <c r="B95" s="134" t="s">
        <v>1380</v>
      </c>
      <c r="C95" s="134" t="s">
        <v>213</v>
      </c>
      <c r="D95" s="135" t="n">
        <v>1</v>
      </c>
      <c r="E95" s="136" t="n">
        <v>10</v>
      </c>
      <c r="F95" s="135" t="n">
        <v>50</v>
      </c>
      <c r="G95" s="136" t="n">
        <v>84</v>
      </c>
      <c r="H95" s="136" t="n">
        <v>1.5</v>
      </c>
      <c r="I95" s="136" t="n">
        <v>1.5</v>
      </c>
      <c r="J95" s="136" t="n">
        <v>1.35</v>
      </c>
      <c r="K95" s="136" t="n">
        <v>1.35</v>
      </c>
      <c r="L95" s="136" t="n">
        <v>1.25</v>
      </c>
      <c r="M95" s="136" t="n">
        <v>1.15</v>
      </c>
      <c r="N95" s="136" t="n">
        <v>1.05</v>
      </c>
      <c r="O95" s="136" t="n">
        <v>0.95</v>
      </c>
      <c r="P95" s="136" t="n">
        <v>0</v>
      </c>
      <c r="Q95" s="134" t="s">
        <v>1523</v>
      </c>
    </row>
    <row r="96" customFormat="false" ht="15" hidden="false" customHeight="true" outlineLevel="0" collapsed="false">
      <c r="A96" s="133" t="s">
        <v>1493</v>
      </c>
      <c r="B96" s="134" t="s">
        <v>1372</v>
      </c>
      <c r="C96" s="134" t="s">
        <v>1524</v>
      </c>
      <c r="D96" s="135" t="n">
        <v>1</v>
      </c>
      <c r="E96" s="136" t="n">
        <v>10</v>
      </c>
      <c r="F96" s="135" t="n">
        <v>50</v>
      </c>
      <c r="G96" s="136" t="n">
        <v>101</v>
      </c>
      <c r="H96" s="136" t="n">
        <v>1.85</v>
      </c>
      <c r="I96" s="136" t="n">
        <v>1.85</v>
      </c>
      <c r="J96" s="136" t="n">
        <v>1.75</v>
      </c>
      <c r="K96" s="136" t="n">
        <v>1.7</v>
      </c>
      <c r="L96" s="136" t="n">
        <v>1.65</v>
      </c>
      <c r="M96" s="136" t="n">
        <v>1.55</v>
      </c>
      <c r="N96" s="136" t="n">
        <v>1.45</v>
      </c>
      <c r="O96" s="136" t="n">
        <v>1.35</v>
      </c>
      <c r="P96" s="136" t="n">
        <v>0</v>
      </c>
      <c r="Q96" s="134" t="s">
        <v>1525</v>
      </c>
    </row>
    <row r="97" customFormat="false" ht="15" hidden="false" customHeight="true" outlineLevel="0" collapsed="false">
      <c r="A97" s="133" t="s">
        <v>1493</v>
      </c>
      <c r="B97" s="134"/>
      <c r="C97" s="134" t="s">
        <v>1526</v>
      </c>
      <c r="D97" s="135" t="n">
        <v>1</v>
      </c>
      <c r="E97" s="136" t="n">
        <v>10</v>
      </c>
      <c r="F97" s="135" t="n">
        <v>50</v>
      </c>
      <c r="G97" s="136" t="n">
        <v>101</v>
      </c>
      <c r="H97" s="136" t="n">
        <v>1.85</v>
      </c>
      <c r="I97" s="136" t="n">
        <v>1.85</v>
      </c>
      <c r="J97" s="136" t="n">
        <v>1.75</v>
      </c>
      <c r="K97" s="136" t="n">
        <v>1.7</v>
      </c>
      <c r="L97" s="136" t="n">
        <v>1.6</v>
      </c>
      <c r="M97" s="136" t="n">
        <v>1.5</v>
      </c>
      <c r="N97" s="136" t="n">
        <v>1.45</v>
      </c>
      <c r="O97" s="136" t="n">
        <v>1.35</v>
      </c>
      <c r="P97" s="136" t="n">
        <v>0</v>
      </c>
      <c r="Q97" s="134" t="s">
        <v>1527</v>
      </c>
    </row>
    <row r="98" customFormat="false" ht="15" hidden="false" customHeight="true" outlineLevel="0" collapsed="false">
      <c r="A98" s="133" t="s">
        <v>1493</v>
      </c>
      <c r="B98" s="134"/>
      <c r="C98" s="134" t="s">
        <v>1373</v>
      </c>
      <c r="D98" s="135" t="n">
        <v>1</v>
      </c>
      <c r="E98" s="136" t="n">
        <v>10</v>
      </c>
      <c r="F98" s="135" t="n">
        <v>50</v>
      </c>
      <c r="G98" s="136" t="n">
        <v>96</v>
      </c>
      <c r="H98" s="136" t="n">
        <v>1.75</v>
      </c>
      <c r="I98" s="136" t="n">
        <v>1.75</v>
      </c>
      <c r="J98" s="136" t="n">
        <v>1.65</v>
      </c>
      <c r="K98" s="136" t="n">
        <v>1.6</v>
      </c>
      <c r="L98" s="136" t="n">
        <v>1.55</v>
      </c>
      <c r="M98" s="136" t="n">
        <v>1.45</v>
      </c>
      <c r="N98" s="136" t="n">
        <v>1.4</v>
      </c>
      <c r="O98" s="136" t="n">
        <v>1.3</v>
      </c>
      <c r="P98" s="136" t="n">
        <v>0</v>
      </c>
      <c r="Q98" s="134" t="s">
        <v>1528</v>
      </c>
    </row>
    <row r="99" customFormat="false" ht="15" hidden="false" customHeight="true" outlineLevel="0" collapsed="false">
      <c r="A99" s="133" t="s">
        <v>1493</v>
      </c>
      <c r="B99" s="134" t="s">
        <v>1451</v>
      </c>
      <c r="C99" s="134" t="s">
        <v>1452</v>
      </c>
      <c r="D99" s="135" t="n">
        <v>1</v>
      </c>
      <c r="E99" s="136" t="n">
        <v>10</v>
      </c>
      <c r="F99" s="135" t="n">
        <v>50</v>
      </c>
      <c r="G99" s="136" t="n">
        <v>86</v>
      </c>
      <c r="H99" s="136" t="n">
        <v>1.55</v>
      </c>
      <c r="I99" s="136" t="n">
        <v>1.55</v>
      </c>
      <c r="J99" s="136" t="n">
        <v>1.45</v>
      </c>
      <c r="K99" s="136" t="n">
        <v>1.45</v>
      </c>
      <c r="L99" s="136" t="n">
        <v>1.35</v>
      </c>
      <c r="M99" s="136" t="n">
        <v>1.3</v>
      </c>
      <c r="N99" s="136" t="n">
        <v>1.2</v>
      </c>
      <c r="O99" s="136" t="n">
        <v>1.1</v>
      </c>
      <c r="P99" s="136" t="n">
        <v>0</v>
      </c>
      <c r="Q99" s="134" t="s">
        <v>1529</v>
      </c>
    </row>
    <row r="100" customFormat="false" ht="15" hidden="false" customHeight="true" outlineLevel="0" collapsed="false">
      <c r="A100" s="133" t="s">
        <v>1493</v>
      </c>
      <c r="B100" s="134" t="s">
        <v>1391</v>
      </c>
      <c r="C100" s="134" t="s">
        <v>216</v>
      </c>
      <c r="D100" s="135" t="n">
        <v>1</v>
      </c>
      <c r="E100" s="136" t="n">
        <v>10</v>
      </c>
      <c r="F100" s="135" t="n">
        <v>50</v>
      </c>
      <c r="G100" s="136" t="n">
        <v>79</v>
      </c>
      <c r="H100" s="136" t="n">
        <v>1.4</v>
      </c>
      <c r="I100" s="136" t="n">
        <v>1.4</v>
      </c>
      <c r="J100" s="136" t="n">
        <v>1.3</v>
      </c>
      <c r="K100" s="136" t="n">
        <v>1.3</v>
      </c>
      <c r="L100" s="136" t="n">
        <v>1.2</v>
      </c>
      <c r="M100" s="136" t="n">
        <v>1.1</v>
      </c>
      <c r="N100" s="136" t="n">
        <v>1</v>
      </c>
      <c r="O100" s="136" t="n">
        <v>0.9</v>
      </c>
      <c r="P100" s="136" t="n">
        <v>0</v>
      </c>
      <c r="Q100" s="134" t="s">
        <v>1530</v>
      </c>
    </row>
    <row r="101" customFormat="false" ht="15" hidden="false" customHeight="true" outlineLevel="0" collapsed="false">
      <c r="A101" s="133" t="s">
        <v>1493</v>
      </c>
      <c r="B101" s="134"/>
      <c r="C101" s="134" t="s">
        <v>217</v>
      </c>
      <c r="D101" s="135" t="n">
        <v>1</v>
      </c>
      <c r="E101" s="136" t="n">
        <v>10</v>
      </c>
      <c r="F101" s="135" t="n">
        <v>50</v>
      </c>
      <c r="G101" s="136" t="n">
        <v>86</v>
      </c>
      <c r="H101" s="136" t="n">
        <v>1.55</v>
      </c>
      <c r="I101" s="136" t="n">
        <v>1.55</v>
      </c>
      <c r="J101" s="136" t="n">
        <v>1.35</v>
      </c>
      <c r="K101" s="136" t="n">
        <v>1.35</v>
      </c>
      <c r="L101" s="136" t="n">
        <v>1.25</v>
      </c>
      <c r="M101" s="136" t="n">
        <v>1.15</v>
      </c>
      <c r="N101" s="136" t="n">
        <v>1.05</v>
      </c>
      <c r="O101" s="136" t="n">
        <v>0.95</v>
      </c>
      <c r="P101" s="136" t="n">
        <v>0</v>
      </c>
      <c r="Q101" s="134" t="s">
        <v>1531</v>
      </c>
    </row>
    <row r="102" customFormat="false" ht="15" hidden="false" customHeight="true" outlineLevel="0" collapsed="false">
      <c r="A102" s="133" t="s">
        <v>1493</v>
      </c>
      <c r="B102" s="134"/>
      <c r="C102" s="134" t="s">
        <v>218</v>
      </c>
      <c r="D102" s="135" t="n">
        <v>1</v>
      </c>
      <c r="E102" s="136" t="n">
        <v>10</v>
      </c>
      <c r="F102" s="135" t="n">
        <v>50</v>
      </c>
      <c r="G102" s="136" t="n">
        <v>79</v>
      </c>
      <c r="H102" s="136" t="n">
        <v>1.4</v>
      </c>
      <c r="I102" s="136" t="n">
        <v>1.4</v>
      </c>
      <c r="J102" s="136" t="n">
        <v>1.3</v>
      </c>
      <c r="K102" s="136" t="n">
        <v>1.3</v>
      </c>
      <c r="L102" s="136" t="n">
        <v>1.2</v>
      </c>
      <c r="M102" s="136" t="n">
        <v>1.1</v>
      </c>
      <c r="N102" s="136" t="n">
        <v>1</v>
      </c>
      <c r="O102" s="136" t="n">
        <v>0.9</v>
      </c>
      <c r="P102" s="136" t="n">
        <v>0</v>
      </c>
      <c r="Q102" s="134" t="s">
        <v>1532</v>
      </c>
    </row>
    <row r="103" customFormat="false" ht="15" hidden="false" customHeight="true" outlineLevel="0" collapsed="false">
      <c r="A103" s="133" t="s">
        <v>1493</v>
      </c>
      <c r="B103" s="134"/>
      <c r="C103" s="134" t="s">
        <v>219</v>
      </c>
      <c r="D103" s="135" t="n">
        <v>1</v>
      </c>
      <c r="E103" s="136" t="n">
        <v>10</v>
      </c>
      <c r="F103" s="135" t="n">
        <v>50</v>
      </c>
      <c r="G103" s="136" t="n">
        <v>74</v>
      </c>
      <c r="H103" s="136" t="n">
        <v>1.3</v>
      </c>
      <c r="I103" s="136" t="n">
        <v>1.3</v>
      </c>
      <c r="J103" s="136" t="n">
        <v>1.2</v>
      </c>
      <c r="K103" s="136" t="n">
        <v>1.2</v>
      </c>
      <c r="L103" s="136" t="n">
        <v>1.1</v>
      </c>
      <c r="M103" s="136" t="n">
        <v>1</v>
      </c>
      <c r="N103" s="136" t="n">
        <v>0.9</v>
      </c>
      <c r="O103" s="136" t="n">
        <v>0.9</v>
      </c>
      <c r="P103" s="136" t="n">
        <v>0</v>
      </c>
      <c r="Q103" s="134" t="s">
        <v>1533</v>
      </c>
    </row>
    <row r="104" customFormat="false" ht="15" hidden="false" customHeight="true" outlineLevel="0" collapsed="false">
      <c r="A104" s="133" t="s">
        <v>1493</v>
      </c>
      <c r="B104" s="134"/>
      <c r="C104" s="134" t="s">
        <v>1534</v>
      </c>
      <c r="D104" s="135" t="n">
        <v>1</v>
      </c>
      <c r="E104" s="136" t="n">
        <v>10</v>
      </c>
      <c r="F104" s="135" t="n">
        <v>50</v>
      </c>
      <c r="G104" s="136" t="n">
        <v>84</v>
      </c>
      <c r="H104" s="136" t="n">
        <v>1.5</v>
      </c>
      <c r="I104" s="136" t="n">
        <v>1.5</v>
      </c>
      <c r="J104" s="136" t="n">
        <v>1.3</v>
      </c>
      <c r="K104" s="136" t="n">
        <v>1.3</v>
      </c>
      <c r="L104" s="136" t="n">
        <v>1.2</v>
      </c>
      <c r="M104" s="136" t="n">
        <v>1.15</v>
      </c>
      <c r="N104" s="136" t="n">
        <v>1.05</v>
      </c>
      <c r="O104" s="136" t="n">
        <v>0.95</v>
      </c>
      <c r="P104" s="136" t="n">
        <v>0</v>
      </c>
      <c r="Q104" s="134" t="s">
        <v>1535</v>
      </c>
    </row>
    <row r="105" customFormat="false" ht="15" hidden="false" customHeight="true" outlineLevel="0" collapsed="false">
      <c r="A105" s="133" t="s">
        <v>1493</v>
      </c>
      <c r="B105" s="134"/>
      <c r="C105" s="134" t="s">
        <v>221</v>
      </c>
      <c r="D105" s="135" t="n">
        <v>1</v>
      </c>
      <c r="E105" s="136" t="n">
        <v>10</v>
      </c>
      <c r="F105" s="135" t="n">
        <v>50</v>
      </c>
      <c r="G105" s="136" t="n">
        <v>79</v>
      </c>
      <c r="H105" s="136" t="n">
        <v>1.4</v>
      </c>
      <c r="I105" s="136" t="n">
        <v>1.4</v>
      </c>
      <c r="J105" s="136" t="n">
        <v>1.3</v>
      </c>
      <c r="K105" s="136" t="n">
        <v>1.3</v>
      </c>
      <c r="L105" s="136" t="n">
        <v>1.2</v>
      </c>
      <c r="M105" s="136" t="n">
        <v>1.1</v>
      </c>
      <c r="N105" s="136" t="n">
        <v>1</v>
      </c>
      <c r="O105" s="136" t="n">
        <v>0.9</v>
      </c>
      <c r="P105" s="136" t="n">
        <v>0</v>
      </c>
      <c r="Q105" s="134" t="s">
        <v>1536</v>
      </c>
    </row>
    <row r="106" customFormat="false" ht="15" hidden="false" customHeight="true" outlineLevel="0" collapsed="false">
      <c r="A106" s="133" t="s">
        <v>1493</v>
      </c>
      <c r="B106" s="134" t="s">
        <v>1476</v>
      </c>
      <c r="C106" s="134" t="s">
        <v>1537</v>
      </c>
      <c r="D106" s="135" t="n">
        <v>1</v>
      </c>
      <c r="E106" s="136" t="n">
        <v>10</v>
      </c>
      <c r="F106" s="135" t="n">
        <v>50</v>
      </c>
      <c r="G106" s="136" t="n">
        <v>98</v>
      </c>
      <c r="H106" s="136" t="n">
        <v>1.8</v>
      </c>
      <c r="I106" s="136" t="n">
        <v>1.8</v>
      </c>
      <c r="J106" s="136" t="n">
        <v>1.7</v>
      </c>
      <c r="K106" s="136" t="n">
        <v>1.7</v>
      </c>
      <c r="L106" s="136" t="n">
        <v>1.6</v>
      </c>
      <c r="M106" s="136" t="n">
        <v>1.5</v>
      </c>
      <c r="N106" s="136" t="n">
        <v>1.4</v>
      </c>
      <c r="O106" s="136" t="n">
        <v>1.3</v>
      </c>
      <c r="P106" s="136" t="n">
        <v>0</v>
      </c>
      <c r="Q106" s="134" t="s">
        <v>1538</v>
      </c>
    </row>
    <row r="107" customFormat="false" ht="15" hidden="false" customHeight="true" outlineLevel="0" collapsed="false">
      <c r="A107" s="133" t="s">
        <v>1493</v>
      </c>
      <c r="B107" s="134"/>
      <c r="C107" s="134" t="s">
        <v>223</v>
      </c>
      <c r="D107" s="135" t="n">
        <v>1</v>
      </c>
      <c r="E107" s="136" t="n">
        <v>10</v>
      </c>
      <c r="F107" s="135" t="n">
        <v>50</v>
      </c>
      <c r="G107" s="136" t="n">
        <v>93</v>
      </c>
      <c r="H107" s="136" t="n">
        <v>1.7</v>
      </c>
      <c r="I107" s="136" t="n">
        <v>1.7</v>
      </c>
      <c r="J107" s="136" t="n">
        <v>1.55</v>
      </c>
      <c r="K107" s="136" t="n">
        <v>1.55</v>
      </c>
      <c r="L107" s="136" t="n">
        <v>1.45</v>
      </c>
      <c r="M107" s="136" t="n">
        <v>1.35</v>
      </c>
      <c r="N107" s="136" t="n">
        <v>1.25</v>
      </c>
      <c r="O107" s="136" t="n">
        <v>1.15</v>
      </c>
      <c r="P107" s="136" t="n">
        <v>0</v>
      </c>
      <c r="Q107" s="134" t="s">
        <v>1539</v>
      </c>
    </row>
    <row r="108" customFormat="false" ht="15" hidden="false" customHeight="true" outlineLevel="0" collapsed="false">
      <c r="A108" s="133" t="s">
        <v>1493</v>
      </c>
      <c r="B108" s="134"/>
      <c r="C108" s="134" t="s">
        <v>1540</v>
      </c>
      <c r="D108" s="135" t="n">
        <v>1</v>
      </c>
      <c r="E108" s="136" t="n">
        <v>10</v>
      </c>
      <c r="F108" s="135" t="n">
        <v>50</v>
      </c>
      <c r="G108" s="136" t="n">
        <v>98</v>
      </c>
      <c r="H108" s="136" t="n">
        <v>1.8</v>
      </c>
      <c r="I108" s="136" t="n">
        <v>1.8</v>
      </c>
      <c r="J108" s="136" t="n">
        <v>1.6</v>
      </c>
      <c r="K108" s="136" t="n">
        <v>1.6</v>
      </c>
      <c r="L108" s="136" t="n">
        <v>1.55</v>
      </c>
      <c r="M108" s="136" t="n">
        <v>1.45</v>
      </c>
      <c r="N108" s="136" t="n">
        <v>1.35</v>
      </c>
      <c r="O108" s="136" t="n">
        <v>1.25</v>
      </c>
      <c r="P108" s="136" t="n">
        <v>0</v>
      </c>
      <c r="Q108" s="134" t="s">
        <v>1541</v>
      </c>
    </row>
    <row r="109" customFormat="false" ht="15" hidden="false" customHeight="true" outlineLevel="0" collapsed="false">
      <c r="A109" s="133" t="s">
        <v>1493</v>
      </c>
      <c r="B109" s="134"/>
      <c r="C109" s="134" t="s">
        <v>225</v>
      </c>
      <c r="D109" s="135" t="n">
        <v>1</v>
      </c>
      <c r="E109" s="136" t="n">
        <v>10</v>
      </c>
      <c r="F109" s="135" t="n">
        <v>50</v>
      </c>
      <c r="G109" s="136" t="n">
        <v>98</v>
      </c>
      <c r="H109" s="136" t="n">
        <v>1.8</v>
      </c>
      <c r="I109" s="136" t="n">
        <v>1.8</v>
      </c>
      <c r="J109" s="136" t="n">
        <v>1.7</v>
      </c>
      <c r="K109" s="136" t="n">
        <v>1.7</v>
      </c>
      <c r="L109" s="136" t="n">
        <v>1.6</v>
      </c>
      <c r="M109" s="136" t="n">
        <v>1.5</v>
      </c>
      <c r="N109" s="136" t="n">
        <v>1.4</v>
      </c>
      <c r="O109" s="136" t="n">
        <v>1.3</v>
      </c>
      <c r="P109" s="136" t="n">
        <v>0</v>
      </c>
      <c r="Q109" s="134" t="s">
        <v>1542</v>
      </c>
    </row>
    <row r="110" customFormat="false" ht="15" hidden="false" customHeight="true" outlineLevel="0" collapsed="false">
      <c r="A110" s="133" t="s">
        <v>1493</v>
      </c>
      <c r="B110" s="134" t="s">
        <v>1543</v>
      </c>
      <c r="C110" s="134" t="s">
        <v>1544</v>
      </c>
      <c r="D110" s="135" t="n">
        <v>1</v>
      </c>
      <c r="E110" s="136" t="n">
        <v>10</v>
      </c>
      <c r="F110" s="135" t="n">
        <v>50</v>
      </c>
      <c r="G110" s="136" t="n">
        <v>93</v>
      </c>
      <c r="H110" s="136" t="n">
        <v>1.7</v>
      </c>
      <c r="I110" s="136" t="n">
        <v>1.7</v>
      </c>
      <c r="J110" s="136" t="n">
        <v>1.6</v>
      </c>
      <c r="K110" s="136" t="n">
        <v>1.6</v>
      </c>
      <c r="L110" s="136" t="n">
        <v>1.5</v>
      </c>
      <c r="M110" s="136" t="n">
        <v>1.4</v>
      </c>
      <c r="N110" s="136" t="n">
        <v>1.35</v>
      </c>
      <c r="O110" s="136" t="n">
        <v>1.3</v>
      </c>
      <c r="P110" s="136" t="n">
        <v>0</v>
      </c>
      <c r="Q110" s="134" t="s">
        <v>1545</v>
      </c>
    </row>
    <row r="111" customFormat="false" ht="15" hidden="false" customHeight="true" outlineLevel="0" collapsed="false">
      <c r="A111" s="133" t="s">
        <v>1493</v>
      </c>
      <c r="B111" s="134" t="s">
        <v>1400</v>
      </c>
      <c r="C111" s="134" t="s">
        <v>108</v>
      </c>
      <c r="D111" s="135" t="n">
        <v>1</v>
      </c>
      <c r="E111" s="136" t="n">
        <v>10</v>
      </c>
      <c r="F111" s="135" t="n">
        <v>50</v>
      </c>
      <c r="G111" s="136" t="n">
        <v>98</v>
      </c>
      <c r="H111" s="136" t="n">
        <v>1.8</v>
      </c>
      <c r="I111" s="136" t="n">
        <v>1.8</v>
      </c>
      <c r="J111" s="136" t="n">
        <v>1.7</v>
      </c>
      <c r="K111" s="136" t="n">
        <v>1.7</v>
      </c>
      <c r="L111" s="136" t="n">
        <v>1.6</v>
      </c>
      <c r="M111" s="136" t="n">
        <v>1.5</v>
      </c>
      <c r="N111" s="136" t="n">
        <v>1.4</v>
      </c>
      <c r="O111" s="136" t="n">
        <v>1.3</v>
      </c>
      <c r="P111" s="136" t="n">
        <v>0</v>
      </c>
      <c r="Q111" s="134" t="s">
        <v>1546</v>
      </c>
    </row>
    <row r="112" customFormat="false" ht="15" hidden="false" customHeight="true" outlineLevel="0" collapsed="false">
      <c r="A112" s="133" t="s">
        <v>1493</v>
      </c>
      <c r="B112" s="134"/>
      <c r="C112" s="134" t="s">
        <v>1547</v>
      </c>
      <c r="D112" s="135" t="n">
        <v>1</v>
      </c>
      <c r="E112" s="136" t="n">
        <v>10</v>
      </c>
      <c r="F112" s="135" t="n">
        <v>50</v>
      </c>
      <c r="G112" s="136" t="n">
        <v>118</v>
      </c>
      <c r="H112" s="136" t="n">
        <v>2.2</v>
      </c>
      <c r="I112" s="136" t="n">
        <v>2.2</v>
      </c>
      <c r="J112" s="136" t="n">
        <v>2.1</v>
      </c>
      <c r="K112" s="136" t="n">
        <v>2.1</v>
      </c>
      <c r="L112" s="136" t="n">
        <v>2</v>
      </c>
      <c r="M112" s="136" t="n">
        <v>1.9</v>
      </c>
      <c r="N112" s="136" t="n">
        <v>1.8</v>
      </c>
      <c r="O112" s="136" t="n">
        <v>1.7</v>
      </c>
      <c r="P112" s="136" t="n">
        <v>0</v>
      </c>
      <c r="Q112" s="134" t="s">
        <v>1548</v>
      </c>
    </row>
    <row r="113" customFormat="false" ht="15" hidden="false" customHeight="true" outlineLevel="0" collapsed="false">
      <c r="A113" s="133" t="s">
        <v>1493</v>
      </c>
      <c r="B113" s="134" t="s">
        <v>1482</v>
      </c>
      <c r="C113" s="134" t="s">
        <v>195</v>
      </c>
      <c r="D113" s="135" t="n">
        <v>1</v>
      </c>
      <c r="E113" s="136" t="n">
        <v>10</v>
      </c>
      <c r="F113" s="135" t="n">
        <v>50</v>
      </c>
      <c r="G113" s="136" t="n">
        <v>103</v>
      </c>
      <c r="H113" s="136" t="n">
        <v>1.9</v>
      </c>
      <c r="I113" s="136" t="n">
        <v>1.9</v>
      </c>
      <c r="J113" s="136" t="n">
        <v>1.8</v>
      </c>
      <c r="K113" s="136" t="n">
        <v>1.8</v>
      </c>
      <c r="L113" s="136" t="n">
        <v>1.7</v>
      </c>
      <c r="M113" s="136" t="n">
        <v>1.6</v>
      </c>
      <c r="N113" s="136" t="n">
        <v>1.5</v>
      </c>
      <c r="O113" s="136" t="n">
        <v>1.4</v>
      </c>
      <c r="P113" s="136" t="n">
        <v>0</v>
      </c>
      <c r="Q113" s="134" t="s">
        <v>1549</v>
      </c>
    </row>
    <row r="114" customFormat="false" ht="15" hidden="false" customHeight="true" outlineLevel="0" collapsed="false">
      <c r="A114" s="133" t="s">
        <v>1493</v>
      </c>
      <c r="B114" s="134"/>
      <c r="C114" s="134" t="s">
        <v>1550</v>
      </c>
      <c r="D114" s="135" t="n">
        <v>1</v>
      </c>
      <c r="E114" s="136" t="n">
        <v>10</v>
      </c>
      <c r="F114" s="135" t="n">
        <v>50</v>
      </c>
      <c r="G114" s="136" t="n">
        <v>123</v>
      </c>
      <c r="H114" s="136" t="n">
        <v>2.3</v>
      </c>
      <c r="I114" s="136" t="n">
        <v>2.3</v>
      </c>
      <c r="J114" s="136" t="n">
        <v>2.1</v>
      </c>
      <c r="K114" s="136" t="n">
        <v>2.1</v>
      </c>
      <c r="L114" s="136" t="n">
        <v>2</v>
      </c>
      <c r="M114" s="136" t="n">
        <v>1.95</v>
      </c>
      <c r="N114" s="136" t="n">
        <v>1.85</v>
      </c>
      <c r="O114" s="136" t="n">
        <v>1.75</v>
      </c>
      <c r="P114" s="136" t="n">
        <v>0</v>
      </c>
      <c r="Q114" s="134" t="s">
        <v>1551</v>
      </c>
    </row>
    <row r="115" customFormat="false" ht="15" hidden="false" customHeight="true" outlineLevel="0" collapsed="false">
      <c r="A115" s="133" t="s">
        <v>1493</v>
      </c>
      <c r="B115" s="134" t="s">
        <v>1552</v>
      </c>
      <c r="C115" s="134" t="s">
        <v>1553</v>
      </c>
      <c r="D115" s="135" t="n">
        <v>1</v>
      </c>
      <c r="E115" s="136" t="n">
        <v>10</v>
      </c>
      <c r="F115" s="135" t="n">
        <v>50</v>
      </c>
      <c r="G115" s="136" t="n">
        <v>93</v>
      </c>
      <c r="H115" s="136" t="n">
        <v>1.7</v>
      </c>
      <c r="I115" s="136" t="n">
        <v>1.7</v>
      </c>
      <c r="J115" s="136" t="n">
        <v>1.5</v>
      </c>
      <c r="K115" s="136" t="n">
        <v>1.5</v>
      </c>
      <c r="L115" s="136" t="n">
        <v>1.4</v>
      </c>
      <c r="M115" s="136" t="n">
        <v>1.3</v>
      </c>
      <c r="N115" s="136" t="n">
        <v>1.2</v>
      </c>
      <c r="O115" s="136" t="n">
        <v>1.1</v>
      </c>
      <c r="P115" s="136" t="n">
        <v>0</v>
      </c>
      <c r="Q115" s="134" t="s">
        <v>1554</v>
      </c>
    </row>
    <row r="116" customFormat="false" ht="15" hidden="false" customHeight="true" outlineLevel="0" collapsed="false">
      <c r="A116" s="133" t="s">
        <v>1493</v>
      </c>
      <c r="B116" s="134" t="s">
        <v>1409</v>
      </c>
      <c r="C116" s="134" t="s">
        <v>230</v>
      </c>
      <c r="D116" s="135" t="n">
        <v>1</v>
      </c>
      <c r="E116" s="136" t="n">
        <v>10</v>
      </c>
      <c r="F116" s="135" t="n">
        <v>50</v>
      </c>
      <c r="G116" s="136" t="n">
        <v>84</v>
      </c>
      <c r="H116" s="136" t="n">
        <v>1.5</v>
      </c>
      <c r="I116" s="136" t="n">
        <v>1.5</v>
      </c>
      <c r="J116" s="136" t="n">
        <v>1.3</v>
      </c>
      <c r="K116" s="136" t="n">
        <v>1.3</v>
      </c>
      <c r="L116" s="136" t="n">
        <v>1.2</v>
      </c>
      <c r="M116" s="136" t="n">
        <v>1.1</v>
      </c>
      <c r="N116" s="136" t="n">
        <v>1</v>
      </c>
      <c r="O116" s="136" t="n">
        <v>0.9</v>
      </c>
      <c r="P116" s="136" t="n">
        <v>0</v>
      </c>
      <c r="Q116" s="134" t="s">
        <v>1555</v>
      </c>
    </row>
    <row r="117" customFormat="false" ht="15" hidden="false" customHeight="true" outlineLevel="0" collapsed="false">
      <c r="A117" s="133" t="s">
        <v>1493</v>
      </c>
      <c r="B117" s="134" t="s">
        <v>1486</v>
      </c>
      <c r="C117" s="134" t="s">
        <v>197</v>
      </c>
      <c r="D117" s="135" t="n">
        <v>1</v>
      </c>
      <c r="E117" s="136" t="n">
        <v>10</v>
      </c>
      <c r="F117" s="135" t="n">
        <v>50</v>
      </c>
      <c r="G117" s="136" t="n">
        <v>79</v>
      </c>
      <c r="H117" s="136" t="n">
        <v>1.4</v>
      </c>
      <c r="I117" s="136" t="n">
        <v>1.4</v>
      </c>
      <c r="J117" s="136" t="n">
        <v>1.3</v>
      </c>
      <c r="K117" s="136" t="n">
        <v>1.3</v>
      </c>
      <c r="L117" s="136" t="n">
        <v>1.2</v>
      </c>
      <c r="M117" s="136" t="n">
        <v>1.1</v>
      </c>
      <c r="N117" s="136" t="n">
        <v>1</v>
      </c>
      <c r="O117" s="136" t="n">
        <v>0.9</v>
      </c>
      <c r="P117" s="136" t="n">
        <v>0</v>
      </c>
      <c r="Q117" s="134" t="s">
        <v>1556</v>
      </c>
    </row>
    <row r="118" customFormat="false" ht="15" hidden="false" customHeight="true" outlineLevel="0" collapsed="false">
      <c r="A118" s="133" t="s">
        <v>1493</v>
      </c>
      <c r="B118" s="134" t="s">
        <v>1557</v>
      </c>
      <c r="C118" s="134" t="s">
        <v>1558</v>
      </c>
      <c r="D118" s="135" t="n">
        <v>1</v>
      </c>
      <c r="E118" s="136" t="n">
        <v>10</v>
      </c>
      <c r="F118" s="135" t="n">
        <v>50</v>
      </c>
      <c r="G118" s="136" t="n">
        <v>98</v>
      </c>
      <c r="H118" s="136" t="n">
        <v>1.8</v>
      </c>
      <c r="I118" s="136" t="n">
        <v>1.8</v>
      </c>
      <c r="J118" s="136" t="n">
        <v>1.6</v>
      </c>
      <c r="K118" s="136" t="n">
        <v>1.6</v>
      </c>
      <c r="L118" s="136" t="n">
        <v>1.5</v>
      </c>
      <c r="M118" s="136" t="n">
        <v>1.4</v>
      </c>
      <c r="N118" s="136" t="n">
        <v>1.3</v>
      </c>
      <c r="O118" s="136" t="n">
        <v>1.2</v>
      </c>
      <c r="P118" s="136" t="n">
        <v>0</v>
      </c>
      <c r="Q118" s="134" t="s">
        <v>1559</v>
      </c>
    </row>
    <row r="119" customFormat="false" ht="15" hidden="false" customHeight="true" outlineLevel="0" collapsed="false">
      <c r="A119" s="133" t="s">
        <v>1493</v>
      </c>
      <c r="B119" s="134" t="s">
        <v>1488</v>
      </c>
      <c r="C119" s="134" t="s">
        <v>1489</v>
      </c>
      <c r="D119" s="135" t="n">
        <v>1</v>
      </c>
      <c r="E119" s="136" t="n">
        <v>10</v>
      </c>
      <c r="F119" s="135" t="n">
        <v>50</v>
      </c>
      <c r="G119" s="136" t="n">
        <v>84</v>
      </c>
      <c r="H119" s="136" t="n">
        <v>1.5</v>
      </c>
      <c r="I119" s="136" t="n">
        <v>1.5</v>
      </c>
      <c r="J119" s="136" t="n">
        <v>1.3</v>
      </c>
      <c r="K119" s="136" t="n">
        <v>1.3</v>
      </c>
      <c r="L119" s="136" t="n">
        <v>1.2</v>
      </c>
      <c r="M119" s="136" t="n">
        <v>1.1</v>
      </c>
      <c r="N119" s="136" t="n">
        <v>1</v>
      </c>
      <c r="O119" s="136" t="n">
        <v>0.9</v>
      </c>
      <c r="P119" s="136" t="n">
        <v>0</v>
      </c>
      <c r="Q119" s="134" t="s">
        <v>1560</v>
      </c>
    </row>
    <row r="120" customFormat="false" ht="15" hidden="false" customHeight="true" outlineLevel="0" collapsed="false">
      <c r="A120" s="133" t="s">
        <v>1493</v>
      </c>
      <c r="B120" s="134" t="s">
        <v>1433</v>
      </c>
      <c r="C120" s="134" t="s">
        <v>148</v>
      </c>
      <c r="D120" s="135" t="n">
        <v>1</v>
      </c>
      <c r="E120" s="136" t="n">
        <v>10</v>
      </c>
      <c r="F120" s="135" t="n">
        <v>50</v>
      </c>
      <c r="G120" s="136" t="n">
        <v>84</v>
      </c>
      <c r="H120" s="136" t="n">
        <v>1.5</v>
      </c>
      <c r="I120" s="136" t="n">
        <v>1.5</v>
      </c>
      <c r="J120" s="136" t="n">
        <v>1.3</v>
      </c>
      <c r="K120" s="136" t="n">
        <v>1.3</v>
      </c>
      <c r="L120" s="136" t="n">
        <v>1.2</v>
      </c>
      <c r="M120" s="136" t="n">
        <v>1.1</v>
      </c>
      <c r="N120" s="136" t="n">
        <v>1.05</v>
      </c>
      <c r="O120" s="136" t="n">
        <v>1</v>
      </c>
      <c r="P120" s="136" t="n">
        <v>0</v>
      </c>
      <c r="Q120" s="134" t="s">
        <v>1561</v>
      </c>
    </row>
    <row r="121" customFormat="false" ht="15" hidden="false" customHeight="true" outlineLevel="0" collapsed="false">
      <c r="A121" s="133" t="s">
        <v>1493</v>
      </c>
      <c r="B121" s="134" t="s">
        <v>1391</v>
      </c>
      <c r="C121" s="134" t="s">
        <v>1562</v>
      </c>
      <c r="D121" s="135" t="n">
        <v>1</v>
      </c>
      <c r="E121" s="136" t="n">
        <v>10</v>
      </c>
      <c r="F121" s="135" t="n">
        <v>50</v>
      </c>
      <c r="G121" s="136" t="n">
        <v>84</v>
      </c>
      <c r="H121" s="136" t="n">
        <v>1.5</v>
      </c>
      <c r="I121" s="136" t="n">
        <v>1.5</v>
      </c>
      <c r="J121" s="136" t="n">
        <v>1.3</v>
      </c>
      <c r="K121" s="136" t="n">
        <v>1.3</v>
      </c>
      <c r="L121" s="136" t="n">
        <v>1.2</v>
      </c>
      <c r="M121" s="136" t="n">
        <v>1.1</v>
      </c>
      <c r="N121" s="136" t="n">
        <v>1.05</v>
      </c>
      <c r="O121" s="136" t="n">
        <v>1</v>
      </c>
      <c r="P121" s="136" t="n">
        <v>0</v>
      </c>
      <c r="Q121" s="134" t="s">
        <v>1563</v>
      </c>
    </row>
    <row r="122" customFormat="false" ht="15" hidden="false" customHeight="true" outlineLevel="0" collapsed="false">
      <c r="A122" s="133" t="s">
        <v>1493</v>
      </c>
      <c r="B122" s="134" t="s">
        <v>1423</v>
      </c>
      <c r="C122" s="134" t="s">
        <v>1564</v>
      </c>
      <c r="D122" s="135" t="n">
        <v>1</v>
      </c>
      <c r="E122" s="136" t="n">
        <v>10</v>
      </c>
      <c r="F122" s="135" t="n">
        <v>50</v>
      </c>
      <c r="G122" s="136" t="n">
        <v>113</v>
      </c>
      <c r="H122" s="136" t="n">
        <v>2.1</v>
      </c>
      <c r="I122" s="136" t="n">
        <v>2.1</v>
      </c>
      <c r="J122" s="136" t="n">
        <v>2</v>
      </c>
      <c r="K122" s="136" t="n">
        <v>2</v>
      </c>
      <c r="L122" s="136" t="n">
        <v>1.9</v>
      </c>
      <c r="M122" s="136" t="n">
        <v>1.8</v>
      </c>
      <c r="N122" s="136" t="n">
        <v>1.7</v>
      </c>
      <c r="O122" s="136" t="n">
        <v>1.6</v>
      </c>
      <c r="P122" s="136" t="n">
        <v>0</v>
      </c>
      <c r="Q122" s="134" t="s">
        <v>1565</v>
      </c>
    </row>
    <row r="123" customFormat="false" ht="15" hidden="false" customHeight="true" outlineLevel="0" collapsed="false">
      <c r="A123" s="133" t="s">
        <v>1493</v>
      </c>
      <c r="B123" s="134" t="s">
        <v>1441</v>
      </c>
      <c r="C123" s="134" t="s">
        <v>157</v>
      </c>
      <c r="D123" s="135" t="n">
        <v>1</v>
      </c>
      <c r="E123" s="136" t="n">
        <v>10</v>
      </c>
      <c r="F123" s="135" t="n">
        <v>50</v>
      </c>
      <c r="G123" s="136" t="n">
        <v>118</v>
      </c>
      <c r="H123" s="136" t="n">
        <v>2.2</v>
      </c>
      <c r="I123" s="136" t="n">
        <v>2.2</v>
      </c>
      <c r="J123" s="136" t="n">
        <v>2.1</v>
      </c>
      <c r="K123" s="136" t="n">
        <v>2.1</v>
      </c>
      <c r="L123" s="136" t="n">
        <v>2</v>
      </c>
      <c r="M123" s="136" t="n">
        <v>1.9</v>
      </c>
      <c r="N123" s="136" t="n">
        <v>1.8</v>
      </c>
      <c r="O123" s="136" t="n">
        <v>1.7</v>
      </c>
      <c r="P123" s="136" t="n">
        <v>0</v>
      </c>
      <c r="Q123" s="134" t="s">
        <v>1566</v>
      </c>
    </row>
    <row r="124" customFormat="false" ht="15" hidden="false" customHeight="true" outlineLevel="0" collapsed="false">
      <c r="A124" s="133" t="s">
        <v>1493</v>
      </c>
      <c r="B124" s="134"/>
      <c r="C124" s="134" t="s">
        <v>1567</v>
      </c>
      <c r="D124" s="135" t="n">
        <v>1</v>
      </c>
      <c r="E124" s="136" t="n">
        <v>10</v>
      </c>
      <c r="F124" s="135" t="n">
        <v>50</v>
      </c>
      <c r="G124" s="136" t="n">
        <v>133</v>
      </c>
      <c r="H124" s="136" t="n">
        <v>2.5</v>
      </c>
      <c r="I124" s="136" t="n">
        <v>2.5</v>
      </c>
      <c r="J124" s="136" t="n">
        <v>2.3</v>
      </c>
      <c r="K124" s="136" t="n">
        <v>2.3</v>
      </c>
      <c r="L124" s="136" t="n">
        <v>2.2</v>
      </c>
      <c r="M124" s="136" t="n">
        <v>2.1</v>
      </c>
      <c r="N124" s="136" t="n">
        <v>2</v>
      </c>
      <c r="O124" s="136" t="n">
        <v>2</v>
      </c>
      <c r="P124" s="136" t="n">
        <v>0</v>
      </c>
      <c r="Q124" s="134" t="s">
        <v>1568</v>
      </c>
    </row>
    <row r="125" customFormat="false" ht="15" hidden="false" customHeight="true" outlineLevel="0" collapsed="false">
      <c r="A125" s="133" t="s">
        <v>1493</v>
      </c>
      <c r="B125" s="134" t="s">
        <v>1345</v>
      </c>
      <c r="C125" s="134" t="s">
        <v>1569</v>
      </c>
      <c r="D125" s="135" t="n">
        <v>1</v>
      </c>
      <c r="E125" s="136" t="n">
        <v>10</v>
      </c>
      <c r="F125" s="135" t="n">
        <v>50</v>
      </c>
      <c r="G125" s="136" t="n">
        <v>133</v>
      </c>
      <c r="H125" s="136" t="n">
        <v>2.5</v>
      </c>
      <c r="I125" s="136" t="n">
        <v>2.5</v>
      </c>
      <c r="J125" s="136" t="n">
        <v>2.3</v>
      </c>
      <c r="K125" s="136" t="n">
        <v>2.3</v>
      </c>
      <c r="L125" s="136" t="n">
        <v>2.2</v>
      </c>
      <c r="M125" s="136" t="n">
        <v>2.1</v>
      </c>
      <c r="N125" s="136" t="n">
        <v>2</v>
      </c>
      <c r="O125" s="136" t="n">
        <v>2</v>
      </c>
      <c r="P125" s="136" t="n">
        <v>0</v>
      </c>
      <c r="Q125" s="134" t="s">
        <v>1570</v>
      </c>
    </row>
    <row r="126" customFormat="false" ht="15" hidden="false" customHeight="true" outlineLevel="0" collapsed="false">
      <c r="A126" s="133" t="s">
        <v>1493</v>
      </c>
      <c r="B126" s="134" t="s">
        <v>1433</v>
      </c>
      <c r="C126" s="134" t="s">
        <v>148</v>
      </c>
      <c r="D126" s="135" t="n">
        <v>1</v>
      </c>
      <c r="E126" s="136" t="n">
        <v>10</v>
      </c>
      <c r="F126" s="135" t="n">
        <v>50</v>
      </c>
      <c r="G126" s="136" t="n">
        <v>81</v>
      </c>
      <c r="H126" s="136" t="n">
        <v>1.45</v>
      </c>
      <c r="I126" s="136" t="n">
        <v>1.45</v>
      </c>
      <c r="J126" s="136" t="n">
        <v>1.3</v>
      </c>
      <c r="K126" s="136" t="n">
        <v>1.3</v>
      </c>
      <c r="L126" s="136" t="n">
        <v>1.2</v>
      </c>
      <c r="M126" s="136" t="n">
        <v>1.1</v>
      </c>
      <c r="N126" s="136" t="n">
        <v>1</v>
      </c>
      <c r="O126" s="136" t="n">
        <v>0.9</v>
      </c>
      <c r="P126" s="136" t="n">
        <v>0</v>
      </c>
      <c r="Q126" s="134" t="s">
        <v>1561</v>
      </c>
    </row>
    <row r="127" customFormat="false" ht="15" hidden="false" customHeight="true" outlineLevel="0" collapsed="false">
      <c r="A127" s="133" t="s">
        <v>1493</v>
      </c>
      <c r="B127" s="134" t="s">
        <v>1391</v>
      </c>
      <c r="C127" s="134" t="s">
        <v>1571</v>
      </c>
      <c r="D127" s="135" t="n">
        <v>1</v>
      </c>
      <c r="E127" s="136" t="n">
        <v>10</v>
      </c>
      <c r="F127" s="135" t="n">
        <v>50</v>
      </c>
      <c r="G127" s="136" t="n">
        <v>86</v>
      </c>
      <c r="H127" s="136" t="n">
        <v>1.55</v>
      </c>
      <c r="I127" s="136" t="n">
        <v>1.55</v>
      </c>
      <c r="J127" s="136" t="n">
        <v>1.35</v>
      </c>
      <c r="K127" s="136" t="n">
        <v>1.35</v>
      </c>
      <c r="L127" s="136" t="n">
        <v>1.25</v>
      </c>
      <c r="M127" s="136" t="n">
        <v>1.15</v>
      </c>
      <c r="N127" s="136" t="n">
        <v>1.1</v>
      </c>
      <c r="O127" s="136" t="n">
        <v>1</v>
      </c>
      <c r="P127" s="136" t="n">
        <v>0</v>
      </c>
      <c r="Q127" s="134" t="s">
        <v>1572</v>
      </c>
    </row>
    <row r="128" customFormat="false" ht="15" hidden="false" customHeight="true" outlineLevel="0" collapsed="false">
      <c r="A128" s="133" t="s">
        <v>1493</v>
      </c>
      <c r="B128" s="134"/>
      <c r="C128" s="134" t="s">
        <v>1573</v>
      </c>
      <c r="D128" s="135" t="n">
        <v>1</v>
      </c>
      <c r="E128" s="136" t="n">
        <v>10</v>
      </c>
      <c r="F128" s="135" t="n">
        <v>50</v>
      </c>
      <c r="G128" s="136" t="n">
        <v>83</v>
      </c>
      <c r="H128" s="136" t="n">
        <v>1.48</v>
      </c>
      <c r="I128" s="136" t="n">
        <v>1.48</v>
      </c>
      <c r="J128" s="136" t="n">
        <v>1.35</v>
      </c>
      <c r="K128" s="136" t="n">
        <v>1.35</v>
      </c>
      <c r="L128" s="136" t="n">
        <v>1.25</v>
      </c>
      <c r="M128" s="136" t="n">
        <v>1.15</v>
      </c>
      <c r="N128" s="136" t="n">
        <v>1.05</v>
      </c>
      <c r="O128" s="136" t="n">
        <v>0.95</v>
      </c>
      <c r="P128" s="136" t="n">
        <v>0</v>
      </c>
      <c r="Q128" s="134" t="s">
        <v>1574</v>
      </c>
    </row>
    <row r="129" customFormat="false" ht="15" hidden="false" customHeight="true" outlineLevel="0" collapsed="false">
      <c r="A129" s="133" t="s">
        <v>1493</v>
      </c>
      <c r="B129" s="134"/>
      <c r="C129" s="134" t="s">
        <v>1575</v>
      </c>
      <c r="D129" s="135" t="n">
        <v>1</v>
      </c>
      <c r="E129" s="136" t="n">
        <v>10</v>
      </c>
      <c r="F129" s="135" t="n">
        <v>50</v>
      </c>
      <c r="G129" s="136" t="n">
        <v>79</v>
      </c>
      <c r="H129" s="136" t="n">
        <v>1.4</v>
      </c>
      <c r="I129" s="136" t="n">
        <v>1.4</v>
      </c>
      <c r="J129" s="136" t="n">
        <v>1.3</v>
      </c>
      <c r="K129" s="136" t="n">
        <v>1.3</v>
      </c>
      <c r="L129" s="136" t="n">
        <v>1.2</v>
      </c>
      <c r="M129" s="136" t="n">
        <v>1.1</v>
      </c>
      <c r="N129" s="136" t="n">
        <v>1</v>
      </c>
      <c r="O129" s="136" t="n">
        <v>0.9</v>
      </c>
      <c r="P129" s="136" t="n">
        <v>0</v>
      </c>
      <c r="Q129" s="134" t="s">
        <v>1576</v>
      </c>
    </row>
    <row r="130" customFormat="false" ht="15" hidden="false" customHeight="true" outlineLevel="0" collapsed="false">
      <c r="A130" s="133" t="s">
        <v>1493</v>
      </c>
      <c r="B130" s="134" t="s">
        <v>1398</v>
      </c>
      <c r="C130" s="134" t="s">
        <v>105</v>
      </c>
      <c r="D130" s="135" t="n">
        <v>1</v>
      </c>
      <c r="E130" s="136" t="n">
        <v>10</v>
      </c>
      <c r="F130" s="135" t="n">
        <v>50</v>
      </c>
      <c r="G130" s="136" t="n">
        <v>79</v>
      </c>
      <c r="H130" s="136" t="n">
        <v>1.4</v>
      </c>
      <c r="I130" s="136" t="n">
        <v>1.4</v>
      </c>
      <c r="J130" s="136" t="n">
        <v>1.3</v>
      </c>
      <c r="K130" s="136" t="n">
        <v>1.3</v>
      </c>
      <c r="L130" s="136" t="n">
        <v>1.2</v>
      </c>
      <c r="M130" s="136" t="n">
        <v>1.1</v>
      </c>
      <c r="N130" s="136" t="n">
        <v>1</v>
      </c>
      <c r="O130" s="136" t="n">
        <v>0.9</v>
      </c>
      <c r="P130" s="136" t="n">
        <v>0</v>
      </c>
      <c r="Q130" s="134" t="s">
        <v>1577</v>
      </c>
    </row>
    <row r="131" customFormat="false" ht="15" hidden="false" customHeight="true" outlineLevel="0" collapsed="false">
      <c r="A131" s="133" t="s">
        <v>1493</v>
      </c>
      <c r="B131" s="134" t="s">
        <v>1486</v>
      </c>
      <c r="C131" s="134" t="s">
        <v>197</v>
      </c>
      <c r="D131" s="135" t="n">
        <v>1</v>
      </c>
      <c r="E131" s="136" t="n">
        <v>10</v>
      </c>
      <c r="F131" s="135" t="n">
        <v>50</v>
      </c>
      <c r="G131" s="136" t="n">
        <v>79</v>
      </c>
      <c r="H131" s="136" t="n">
        <v>1.4</v>
      </c>
      <c r="I131" s="136" t="n">
        <v>1.4</v>
      </c>
      <c r="J131" s="136" t="n">
        <v>1.3</v>
      </c>
      <c r="K131" s="136" t="n">
        <v>1.3</v>
      </c>
      <c r="L131" s="136" t="n">
        <v>1.2</v>
      </c>
      <c r="M131" s="136" t="n">
        <v>1.1</v>
      </c>
      <c r="N131" s="136" t="n">
        <v>1</v>
      </c>
      <c r="O131" s="136" t="n">
        <v>0.9</v>
      </c>
      <c r="P131" s="136" t="n">
        <v>0</v>
      </c>
      <c r="Q131" s="134" t="s">
        <v>1556</v>
      </c>
    </row>
    <row r="132" customFormat="false" ht="15" hidden="false" customHeight="true" outlineLevel="0" collapsed="false">
      <c r="A132" s="133" t="s">
        <v>1493</v>
      </c>
      <c r="B132" s="134" t="s">
        <v>1409</v>
      </c>
      <c r="C132" s="134" t="s">
        <v>239</v>
      </c>
      <c r="D132" s="135" t="n">
        <v>1</v>
      </c>
      <c r="E132" s="136" t="n">
        <v>10</v>
      </c>
      <c r="F132" s="135" t="n">
        <v>50</v>
      </c>
      <c r="G132" s="136" t="n">
        <v>79</v>
      </c>
      <c r="H132" s="136" t="n">
        <v>1.4</v>
      </c>
      <c r="I132" s="136" t="n">
        <v>1.4</v>
      </c>
      <c r="J132" s="136" t="n">
        <v>1.3</v>
      </c>
      <c r="K132" s="136" t="n">
        <v>1.3</v>
      </c>
      <c r="L132" s="136" t="n">
        <v>1.2</v>
      </c>
      <c r="M132" s="136" t="n">
        <v>1.1</v>
      </c>
      <c r="N132" s="136" t="n">
        <v>1</v>
      </c>
      <c r="O132" s="136" t="n">
        <v>0.9</v>
      </c>
      <c r="P132" s="136" t="n">
        <v>0</v>
      </c>
      <c r="Q132" s="134" t="s">
        <v>1578</v>
      </c>
    </row>
    <row r="133" customFormat="false" ht="15" hidden="false" customHeight="true" outlineLevel="0" collapsed="false">
      <c r="A133" s="133" t="s">
        <v>1493</v>
      </c>
      <c r="B133" s="134"/>
      <c r="C133" s="134" t="s">
        <v>1579</v>
      </c>
      <c r="D133" s="135" t="n">
        <v>1</v>
      </c>
      <c r="E133" s="136" t="n">
        <v>10</v>
      </c>
      <c r="F133" s="135" t="n">
        <v>50</v>
      </c>
      <c r="G133" s="136" t="n">
        <v>86</v>
      </c>
      <c r="H133" s="136" t="n">
        <v>1.55</v>
      </c>
      <c r="I133" s="136" t="n">
        <v>1.55</v>
      </c>
      <c r="J133" s="136" t="n">
        <v>1.4</v>
      </c>
      <c r="K133" s="136" t="n">
        <v>1.4</v>
      </c>
      <c r="L133" s="136" t="n">
        <v>1.3</v>
      </c>
      <c r="M133" s="136" t="n">
        <v>1.2</v>
      </c>
      <c r="N133" s="136" t="n">
        <v>1.1</v>
      </c>
      <c r="O133" s="136" t="n">
        <v>1</v>
      </c>
      <c r="P133" s="136" t="n">
        <v>0</v>
      </c>
      <c r="Q133" s="134" t="s">
        <v>1580</v>
      </c>
    </row>
  </sheetData>
  <autoFilter ref="A3:Q133"/>
  <mergeCells count="1">
    <mergeCell ref="A1:Q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" defaultRowHeight="13.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18"/>
  </cols>
  <sheetData>
    <row r="1" customFormat="false" ht="17.25" hidden="false" customHeight="true" outlineLevel="0" collapsed="false">
      <c r="A1" s="2" t="s">
        <v>1581</v>
      </c>
      <c r="B1" s="2"/>
      <c r="C1" s="2"/>
      <c r="D1" s="2"/>
    </row>
    <row r="3" customFormat="false" ht="15" hidden="false" customHeight="true" outlineLevel="0" collapsed="false">
      <c r="A3" s="7" t="s">
        <v>1582</v>
      </c>
      <c r="B3" s="7"/>
      <c r="C3" s="7"/>
      <c r="D3" s="7"/>
    </row>
    <row r="4" customFormat="false" ht="15" hidden="false" customHeight="true" outlineLevel="0" collapsed="false">
      <c r="A4" s="5" t="s">
        <v>66</v>
      </c>
      <c r="B4" s="17" t="str">
        <f aca="false">报价汇总!B22</f>
        <v>次日达</v>
      </c>
    </row>
    <row r="5" customFormat="false" ht="15" hidden="false" customHeight="true" outlineLevel="0" collapsed="false">
      <c r="A5" s="5" t="s">
        <v>69</v>
      </c>
      <c r="B5" s="17" t="str">
        <f aca="false">报价汇总!B23</f>
        <v>青岛市</v>
      </c>
    </row>
    <row r="6" customFormat="false" ht="15" hidden="false" customHeight="true" outlineLevel="0" collapsed="false">
      <c r="A6" s="5" t="s">
        <v>72</v>
      </c>
      <c r="B6" s="17" t="n">
        <f aca="false">报价汇总!B24</f>
        <v>20</v>
      </c>
    </row>
    <row r="7" customFormat="false" ht="15" hidden="false" customHeight="true" outlineLevel="0" collapsed="false">
      <c r="A7" s="5" t="s">
        <v>1583</v>
      </c>
      <c r="B7" s="137" t="n">
        <f aca="false">IF(报价汇总!B16="","",报价汇总!B16+包装计算!$B$41)</f>
        <v>5.404744</v>
      </c>
    </row>
    <row r="8" customFormat="false" ht="15" hidden="false" customHeight="true" outlineLevel="0" collapsed="false">
      <c r="A8" s="5" t="s">
        <v>1268</v>
      </c>
      <c r="B8" s="138" t="n">
        <f aca="false">包装计算!$B$17</f>
        <v>218270</v>
      </c>
    </row>
    <row r="9" customFormat="false" ht="15" hidden="false" customHeight="true" outlineLevel="0" collapsed="false">
      <c r="A9" s="5" t="s">
        <v>54</v>
      </c>
      <c r="B9" s="138" t="n">
        <f aca="false">报价汇总!B17</f>
        <v>2</v>
      </c>
    </row>
    <row r="10" customFormat="false" ht="15" hidden="false" customHeight="true" outlineLevel="0" collapsed="false">
      <c r="A10" s="5" t="s">
        <v>1584</v>
      </c>
      <c r="B10" s="139" t="n">
        <f aca="false">IF(OR(B6="",B9="",B9=0),"",B6/B9)</f>
        <v>10</v>
      </c>
    </row>
    <row r="11" customFormat="false" ht="15" hidden="false" customHeight="true" outlineLevel="0" collapsed="false">
      <c r="A11" s="5" t="s">
        <v>1333</v>
      </c>
      <c r="B11" s="17" t="str">
        <f aca="false">IF($B$12="","",INDEX(跨越费率!$Q$4:$Q$300,$B$12))</f>
        <v/>
      </c>
    </row>
    <row r="12" customFormat="false" ht="15" hidden="false" customHeight="true" outlineLevel="0" collapsed="false">
      <c r="A12" s="5" t="s">
        <v>1585</v>
      </c>
      <c r="B12" s="138" t="str">
        <f aca="false">IF(OR($B$4="",$B$5=""),"",IFERROR(MATCH(1,INDEX((跨越费率!$A$4:$A$300=$B$4)*(ISNUMBER(SEARCH($B$5,跨越费率!$Q$4:$Q$300))),0),0),""))</f>
        <v/>
      </c>
    </row>
    <row r="14" customFormat="false" ht="15" hidden="false" customHeight="true" outlineLevel="0" collapsed="false">
      <c r="A14" s="7" t="s">
        <v>1586</v>
      </c>
      <c r="B14" s="7"/>
      <c r="C14" s="7"/>
      <c r="D14" s="7"/>
    </row>
    <row r="15" customFormat="false" ht="15" hidden="false" customHeight="true" outlineLevel="0" collapsed="false">
      <c r="A15" s="5" t="s">
        <v>1587</v>
      </c>
      <c r="B15" s="140" t="n">
        <f aca="false">IF(OR(B7="",B6=""),"",B7*B6)</f>
        <v>108.09488</v>
      </c>
    </row>
    <row r="16" customFormat="false" ht="15" hidden="false" customHeight="true" outlineLevel="0" collapsed="false">
      <c r="A16" s="5" t="s">
        <v>1588</v>
      </c>
      <c r="B16" s="140" t="n">
        <f aca="false">IF(OR(B8="",B10=""),"",B8*B10/参数!$B$36)</f>
        <v>363.783333333333</v>
      </c>
    </row>
    <row r="17" customFormat="false" ht="15" hidden="false" customHeight="true" outlineLevel="0" collapsed="false">
      <c r="A17" s="5" t="s">
        <v>1589</v>
      </c>
      <c r="B17" s="140" t="n">
        <f aca="false">IF(AND(ISNUMBER(B15),ISNUMBER(B16)),MAX(B15,B16),"")</f>
        <v>363.783333333333</v>
      </c>
    </row>
    <row r="18" customFormat="false" ht="15" hidden="false" customHeight="true" outlineLevel="0" collapsed="false">
      <c r="A18" s="5" t="s">
        <v>1590</v>
      </c>
      <c r="B18" s="140" t="str">
        <f aca="false">IF(B12="","",INDEX(跨越费率!$F$4:$F$300,B12))</f>
        <v/>
      </c>
    </row>
    <row r="19" customFormat="false" ht="15" hidden="false" customHeight="true" outlineLevel="0" collapsed="false">
      <c r="A19" s="5" t="s">
        <v>1591</v>
      </c>
      <c r="B19" s="140" t="str">
        <f aca="false">IF(OR(B17="",B18=""),"",MAX(B17,B18))</f>
        <v/>
      </c>
    </row>
    <row r="21" customFormat="false" ht="15" hidden="false" customHeight="true" outlineLevel="0" collapsed="false">
      <c r="A21" s="7" t="s">
        <v>1592</v>
      </c>
      <c r="B21" s="7"/>
      <c r="C21" s="7"/>
      <c r="D21" s="7"/>
    </row>
    <row r="22" customFormat="false" ht="15" hidden="false" customHeight="true" outlineLevel="0" collapsed="false">
      <c r="A22" s="5" t="s">
        <v>1320</v>
      </c>
      <c r="B22" s="138" t="str">
        <f aca="false">IF(B12="","",INDEX(跨越费率!$D$4:$D$300,B12))</f>
        <v/>
      </c>
    </row>
    <row r="23" customFormat="false" ht="15" hidden="false" customHeight="true" outlineLevel="0" collapsed="false">
      <c r="A23" s="5" t="s">
        <v>1321</v>
      </c>
      <c r="B23" s="140" t="str">
        <f aca="false">IF(B12="","",INDEX(跨越费率!$E$4:$E$300,B12))</f>
        <v/>
      </c>
    </row>
    <row r="24" customFormat="false" ht="15" hidden="false" customHeight="true" outlineLevel="0" collapsed="false">
      <c r="A24" s="5" t="s">
        <v>1593</v>
      </c>
      <c r="B24" s="138" t="str">
        <f aca="false">IF(OR(B19="",B4=""),"",IF(B4="次日达",MATCH(B19,$B$26:$J$26,1),MATCH(B19,$B$27:$J$27,1)))</f>
        <v/>
      </c>
    </row>
    <row r="25" customFormat="false" ht="15" hidden="false" customHeight="true" outlineLevel="0" collapsed="false">
      <c r="A25" s="5" t="s">
        <v>1594</v>
      </c>
      <c r="B25" s="140" t="str">
        <f aca="false">IF(OR(B12="",B24=""),"",INDEX(跨越费率!$H$4:$P$300,B12,B24))</f>
        <v/>
      </c>
    </row>
    <row r="26" customFormat="false" ht="15" hidden="false" customHeight="true" outlineLevel="0" collapsed="false">
      <c r="A26" s="112" t="s">
        <v>1595</v>
      </c>
      <c r="B26" s="141" t="n">
        <v>1</v>
      </c>
      <c r="C26" s="141" t="n">
        <v>10</v>
      </c>
      <c r="D26" s="141" t="n">
        <v>30</v>
      </c>
      <c r="E26" s="141" t="n">
        <v>50</v>
      </c>
      <c r="F26" s="141" t="n">
        <v>100</v>
      </c>
      <c r="G26" s="141" t="n">
        <v>300</v>
      </c>
      <c r="H26" s="141" t="n">
        <v>500</v>
      </c>
      <c r="I26" s="141" t="n">
        <v>1000</v>
      </c>
      <c r="J26" s="141" t="n">
        <v>2000</v>
      </c>
    </row>
    <row r="27" customFormat="false" ht="15" hidden="false" customHeight="true" outlineLevel="0" collapsed="false">
      <c r="A27" s="112" t="s">
        <v>1596</v>
      </c>
      <c r="B27" s="141" t="n">
        <v>1</v>
      </c>
      <c r="C27" s="141" t="n">
        <v>50</v>
      </c>
      <c r="D27" s="141" t="n">
        <v>100</v>
      </c>
      <c r="E27" s="141" t="n">
        <v>200</v>
      </c>
      <c r="F27" s="141" t="n">
        <v>300</v>
      </c>
      <c r="G27" s="141" t="n">
        <v>500</v>
      </c>
      <c r="H27" s="141" t="n">
        <v>1000</v>
      </c>
      <c r="I27" s="141" t="n">
        <v>2000</v>
      </c>
      <c r="J27" s="141" t="n">
        <v>0</v>
      </c>
    </row>
    <row r="28" customFormat="false" ht="15" hidden="false" customHeight="true" outlineLevel="0" collapsed="false">
      <c r="A28" s="5" t="s">
        <v>1323</v>
      </c>
      <c r="B28" s="140" t="str">
        <f aca="false">IF(B12="","",INDEX(跨越费率!$G$4:$G$300,B12))</f>
        <v/>
      </c>
    </row>
    <row r="29" customFormat="false" ht="15" hidden="false" customHeight="true" outlineLevel="0" collapsed="false">
      <c r="A29" s="5" t="s">
        <v>1597</v>
      </c>
      <c r="B29" s="140" t="str">
        <f aca="false">IF(OR(B23="",B19="",B25="",B28=""),"",MAX(B23+(B19-B22)*B25,B28))</f>
        <v/>
      </c>
    </row>
    <row r="30" customFormat="false" ht="15" hidden="false" customHeight="true" outlineLevel="0" collapsed="false">
      <c r="A30" s="5" t="s">
        <v>1598</v>
      </c>
      <c r="B30" s="138" t="n">
        <f aca="false">报价汇总!B25</f>
        <v>0</v>
      </c>
    </row>
    <row r="31" customFormat="false" ht="15" hidden="false" customHeight="true" outlineLevel="0" collapsed="false">
      <c r="A31" s="5" t="s">
        <v>1599</v>
      </c>
      <c r="B31" s="140" t="n">
        <f aca="false">IF(参数!$B$39="是",IF(NOT(ISNUMBER(B30)),"",MAX(参数!$B$37*B30,参数!$B$38)),0)</f>
        <v>0</v>
      </c>
    </row>
    <row r="32" customFormat="false" ht="15" hidden="false" customHeight="true" outlineLevel="0" collapsed="false">
      <c r="A32" s="5" t="s">
        <v>1600</v>
      </c>
      <c r="B32" s="140" t="str">
        <f aca="false">IF(OR(B29="",B31=""),"",B29+B31)</f>
        <v/>
      </c>
    </row>
    <row r="33" customFormat="false" ht="15" hidden="false" customHeight="true" outlineLevel="0" collapsed="false">
      <c r="A33" s="5" t="s">
        <v>1601</v>
      </c>
      <c r="B33" s="142" t="str">
        <f aca="false">IF(OR(B32="",B6="",B6=0),"",B32/B6)</f>
        <v/>
      </c>
    </row>
    <row r="35" customFormat="false" ht="15" hidden="false" customHeight="true" outlineLevel="0" collapsed="false">
      <c r="A35" s="112" t="s">
        <v>1602</v>
      </c>
    </row>
    <row r="36" customFormat="false" ht="15" hidden="false" customHeight="true" outlineLevel="0" collapsed="false">
      <c r="A36" s="112" t="s">
        <v>1603</v>
      </c>
    </row>
  </sheetData>
  <mergeCells count="4">
    <mergeCell ref="A1:D1"/>
    <mergeCell ref="A3:D3"/>
    <mergeCell ref="A14:D14"/>
    <mergeCell ref="A21:D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2026-10-12T11:07:00Z</dcterms:created>
  <dc:creator>openpyxl</dc:creator>
  <dc:description/>
  <dc:language>en-US</dc:language>
  <cp:lastModifiedBy>HAIER</cp:lastModifiedBy>
  <dcterms:modified xsi:type="dcterms:W3CDTF">2026-10-13T04:00:12Z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IGC">
    <vt:lpwstr>{"Label":"1","ContentProducer":"001191110102MACQD9K64010000","ProduceID":"7695675034551815451","ReservedCode1":"","ContentPropagator":"","PropagateID":"","ReservedCode2":""}</vt:lpwstr>
  </property>
</Properties>
</file>