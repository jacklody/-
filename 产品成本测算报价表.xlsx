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使用说明" sheetId="1" state="visible" r:id="rId1"/>
    <sheet name="报价汇总" sheetId="2" state="visible" r:id="rId2"/>
    <sheet name="物料明细" sheetId="3" state="visible" r:id="rId3"/>
    <sheet name="制费明细" sheetId="4" state="visible" r:id="rId4"/>
    <sheet name="加工成本明细" sheetId="5" state="visible" r:id="rId5"/>
    <sheet name="参数" sheetId="6" state="visible" r:id="rId6"/>
    <sheet name="包装计算" sheetId="7" state="visible" r:id="rId7"/>
    <sheet name="跨越费率" sheetId="8" state="visible" r:id="rId8"/>
    <sheet name="运费计算" sheetId="9" state="visible" r:id="rId9"/>
  </sheets>
  <definedNames>
    <definedName name="_xlnm._FilterDatabase" localSheetId="2" hidden="1">'物料明细'!$A$2:$J$339</definedName>
    <definedName name="_xlnm._FilterDatabase" localSheetId="7" hidden="1">'跨越费率'!$A$3:$Q$133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0.000"/>
    <numFmt numFmtId="166" formatCode="0.0"/>
    <numFmt numFmtId="167" formatCode="#,##0.0000"/>
    <numFmt numFmtId="168" formatCode="0.0%"/>
    <numFmt numFmtId="169" formatCode="#,##0.######"/>
    <numFmt numFmtId="170" formatCode="#,##0.000000"/>
    <numFmt numFmtId="171" formatCode="#,##0.##"/>
    <numFmt numFmtId="172" formatCode="0.0000"/>
  </numFmts>
  <fonts count="45">
    <font>
      <name val="等线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2"/>
    </font>
    <font>
      <name val="DejaVu Sans"/>
      <charset val="1"/>
      <family val="2"/>
      <b val="1"/>
      <color rgb="FFFFFFFF"/>
      <sz val="12"/>
    </font>
    <font>
      <name val="DejaVu Sans"/>
      <family val="2"/>
      <b val="1"/>
      <color rgb="FF000000"/>
      <sz val="10"/>
    </font>
    <font>
      <name val="DejaVu Sans"/>
      <family val="2"/>
      <i val="1"/>
      <color rgb="FF808080"/>
      <sz val="10"/>
    </font>
    <font>
      <name val="DejaVu Sans"/>
      <charset val="1"/>
      <family val="2"/>
      <i val="1"/>
      <color rgb="FF808080"/>
      <sz val="10"/>
    </font>
    <font>
      <name val="DejaVu Sans"/>
      <charset val="1"/>
      <family val="2"/>
      <b val="1"/>
      <color rgb="FF000000"/>
      <sz val="10"/>
    </font>
    <font>
      <name val="DejaVu Sans"/>
      <family val="2"/>
      <color rgb="FF000000"/>
      <sz val="10"/>
    </font>
    <font>
      <name val="DejaVu Sans"/>
      <charset val="1"/>
      <family val="2"/>
      <color rgb="FF000000"/>
      <sz val="10"/>
    </font>
    <font>
      <name val="微软雅黑"/>
      <charset val="1"/>
      <family val="0"/>
      <color rgb="FF000000"/>
      <sz val="10"/>
    </font>
    <font>
      <name val="DejaVu Sans"/>
      <family val="2"/>
      <b val="1"/>
      <color rgb="FFFFFFFF"/>
      <sz val="10"/>
    </font>
    <font>
      <name val="微软雅黑"/>
      <charset val="1"/>
      <family val="0"/>
      <color rgb="FF0000FF"/>
      <sz val="10"/>
    </font>
    <font>
      <name val="DejaVu Sans"/>
      <family val="2"/>
      <color rgb="FF000000"/>
      <sz val="11"/>
    </font>
    <font>
      <name val="DejaVu Sans"/>
      <charset val="1"/>
      <family val="2"/>
      <color rgb="FF000000"/>
      <sz val="11"/>
    </font>
    <font>
      <name val="DejaVu Sans"/>
      <family val="2"/>
      <color rgb="FF0000FF"/>
      <sz val="10"/>
    </font>
    <font>
      <name val="微软雅黑"/>
      <charset val="1"/>
      <family val="2"/>
      <color rgb="FF000000"/>
      <sz val="10"/>
    </font>
    <font>
      <name val="DejaVu Sans"/>
      <family val="2"/>
      <color rgb="FF008000"/>
      <sz val="10"/>
    </font>
    <font>
      <name val="微软雅黑"/>
      <charset val="1"/>
      <family val="0"/>
      <color rgb="FF008000"/>
      <sz val="10"/>
    </font>
    <font>
      <name val="微软雅黑"/>
      <charset val="1"/>
      <family val="2"/>
      <color rgb="FF0000FF"/>
      <sz val="10"/>
    </font>
    <font>
      <name val="DejaVu Sans"/>
      <charset val="1"/>
      <family val="2"/>
      <color rgb="FF0000FF"/>
      <sz val="10"/>
    </font>
    <font>
      <name val="DejaVu Sans"/>
      <family val="2"/>
      <b val="1"/>
      <color rgb="FFFFFFFF"/>
      <sz val="11"/>
    </font>
    <font>
      <name val="微软雅黑"/>
      <charset val="1"/>
      <family val="0"/>
      <b val="1"/>
      <color rgb="FFFFFFFF"/>
      <sz val="11"/>
    </font>
    <font>
      <name val="DejaVu Sans"/>
      <family val="2"/>
      <color rgb="FF808080"/>
      <sz val="9"/>
    </font>
    <font>
      <name val="微软雅黑"/>
      <charset val="1"/>
      <family val="0"/>
      <color rgb="FF808080"/>
      <sz val="9"/>
    </font>
    <font>
      <name val="微软雅黑"/>
      <charset val="1"/>
      <family val="0"/>
      <b val="1"/>
      <color rgb="FF000000"/>
      <sz val="10"/>
    </font>
    <font>
      <name val="DejaVu Sans"/>
      <family val="2"/>
      <b val="1"/>
      <color rgb="FF000000"/>
      <sz val="11"/>
    </font>
    <font>
      <name val="微软雅黑"/>
      <charset val="1"/>
      <family val="0"/>
      <b val="1"/>
      <color rgb="FF000000"/>
      <sz val="11"/>
    </font>
    <font>
      <name val="DejaVu Sans"/>
      <charset val="1"/>
      <family val="2"/>
      <b val="1"/>
      <color rgb="FFFFFFFF"/>
      <sz val="10"/>
    </font>
    <font>
      <name val="微软雅黑"/>
      <charset val="1"/>
      <family val="0"/>
      <color rgb="FF808080"/>
      <sz val="10"/>
    </font>
    <font>
      <name val="DejaVu Sans"/>
      <family val="2"/>
      <b val="1"/>
      <color rgb="FFFFFFFF"/>
      <sz val="14"/>
    </font>
    <font>
      <name val="DejaVu Sans"/>
      <family val="2"/>
      <color rgb="FF000000"/>
      <sz val="9"/>
    </font>
    <font>
      <name val="微软雅黑"/>
      <charset val="1"/>
      <family val="0"/>
      <color rgb="FF0000FF"/>
      <sz val="9"/>
    </font>
    <font>
      <name val="微软雅黑"/>
      <charset val="1"/>
      <family val="0"/>
      <color rgb="FF000000"/>
      <sz val="9"/>
    </font>
    <font>
      <name val="微软雅黑"/>
      <charset val="1"/>
      <family val="0"/>
      <color rgb="FF008000"/>
      <sz val="9"/>
    </font>
    <font>
      <name val="DejaVu Sans"/>
      <charset val="1"/>
      <family val="2"/>
      <b val="1"/>
      <color rgb="FFFFFFFF"/>
      <sz val="14"/>
    </font>
    <font>
      <name val="DejaVu Sans"/>
      <charset val="1"/>
      <family val="2"/>
      <color rgb="FF808080"/>
      <sz val="9"/>
    </font>
    <font>
      <name val="DejaVu Sans"/>
      <charset val="1"/>
      <family val="2"/>
      <b val="1"/>
      <color rgb="FF000000"/>
      <sz val="11"/>
    </font>
    <font>
      <name val="微软雅黑"/>
      <charset val="1"/>
      <family val="0"/>
      <b val="1"/>
      <color rgb="FFFFFFFF"/>
      <sz val="14"/>
    </font>
    <font>
      <name val="Noto Sans CJK SC"/>
      <charset val="1"/>
      <family val="2"/>
      <color rgb="FF000000"/>
      <sz val="10"/>
    </font>
    <font>
      <name val="微软雅黑"/>
      <charset val="1"/>
      <family val="0"/>
      <sz val="10"/>
    </font>
    <font>
      <name val="微软雅黑"/>
      <charset val="1"/>
      <family val="2"/>
      <color rgb="FF008000"/>
      <sz val="10"/>
    </font>
    <font>
      <name val="微软雅黑"/>
      <charset val="1"/>
      <family val="2"/>
      <i val="1"/>
      <color rgb="FF808080"/>
      <sz val="10"/>
    </font>
  </fonts>
  <fills count="9">
    <fill>
      <patternFill/>
    </fill>
    <fill>
      <patternFill patternType="gray125"/>
    </fill>
    <fill>
      <patternFill patternType="solid">
        <fgColor rgb="FF0F3B5D"/>
        <bgColor rgb="FF1F4E78"/>
      </patternFill>
    </fill>
    <fill>
      <patternFill patternType="solid">
        <fgColor rgb="FF3288B9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AF2FF"/>
        <bgColor rgb="FFF7F9FC"/>
      </patternFill>
    </fill>
    <fill>
      <patternFill patternType="solid">
        <fgColor rgb="FF1F4E78"/>
        <bgColor rgb="FF0F3B5D"/>
      </patternFill>
    </fill>
    <fill>
      <patternFill patternType="solid">
        <fgColor rgb="FFF7F9FC"/>
        <bgColor rgb="FFFFFFFF"/>
      </patternFill>
    </fill>
    <fill>
      <patternFill patternType="solid">
        <fgColor rgb="FFFFF2CC"/>
        <bgColor rgb="FFF7F9FC"/>
      </patternFill>
    </fill>
  </fills>
  <borders count="7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0D8E8"/>
      </top>
      <bottom/>
      <diagonal/>
    </border>
    <border>
      <left/>
      <right/>
      <top style="thin">
        <color rgb="FFD9DEE7"/>
      </top>
      <bottom/>
      <diagonal/>
    </border>
    <border>
      <left/>
      <right style="thin">
        <color rgb="FFD9DEE7"/>
      </right>
      <top style="thin">
        <color rgb="FFD9DEE7"/>
      </top>
      <bottom/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3" fillId="3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" fontId="14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166" fontId="14" fillId="4" borderId="0" applyAlignment="1" pivotButton="0" quotePrefix="0" xfId="0">
      <alignment horizontal="left" vertical="bottom"/>
    </xf>
    <xf numFmtId="2" fontId="20" fillId="4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167" fontId="20" fillId="0" borderId="1" applyAlignment="1" pivotButton="0" quotePrefix="0" xfId="0">
      <alignment horizontal="right" vertical="center"/>
    </xf>
    <xf numFmtId="0" fontId="25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general" vertical="center" wrapText="1"/>
    </xf>
    <xf numFmtId="167" fontId="27" fillId="0" borderId="1" applyAlignment="1" pivotButton="0" quotePrefix="0" xfId="0">
      <alignment horizontal="right" vertical="center"/>
    </xf>
    <xf numFmtId="0" fontId="28" fillId="5" borderId="1" applyAlignment="1" pivotButton="0" quotePrefix="0" xfId="0">
      <alignment horizontal="general" vertical="bottom"/>
    </xf>
    <xf numFmtId="167" fontId="29" fillId="5" borderId="1" applyAlignment="1" pivotButton="0" quotePrefix="0" xfId="0">
      <alignment horizontal="right" vertical="center"/>
    </xf>
    <xf numFmtId="0" fontId="25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bottom"/>
    </xf>
    <xf numFmtId="168" fontId="6" fillId="5" borderId="1" applyAlignment="1" pivotButton="0" quotePrefix="0" xfId="0">
      <alignment horizontal="center" vertical="center" wrapText="1"/>
    </xf>
    <xf numFmtId="10" fontId="20" fillId="0" borderId="1" applyAlignment="1" pivotButton="0" quotePrefix="0" xfId="0">
      <alignment horizontal="right" vertical="center"/>
    </xf>
    <xf numFmtId="0" fontId="26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general" vertical="bottom"/>
    </xf>
    <xf numFmtId="167" fontId="14" fillId="0" borderId="1" applyAlignment="1" pivotButton="0" quotePrefix="0" xfId="0">
      <alignment horizontal="right" vertical="center"/>
    </xf>
    <xf numFmtId="4" fontId="20" fillId="0" borderId="1" applyAlignment="1" pivotButton="0" quotePrefix="0" xfId="0">
      <alignment horizontal="right" vertical="center"/>
    </xf>
    <xf numFmtId="1" fontId="6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4" fontId="29" fillId="5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4" fontId="31" fillId="0" borderId="1" applyAlignment="1" pivotButton="0" quotePrefix="0" xfId="0">
      <alignment horizontal="right" vertical="center"/>
    </xf>
    <xf numFmtId="0" fontId="32" fillId="6" borderId="0" applyAlignment="1" pivotButton="0" quotePrefix="0" xfId="0">
      <alignment horizontal="center" vertical="bottom"/>
    </xf>
    <xf numFmtId="0" fontId="33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general" vertical="center"/>
    </xf>
    <xf numFmtId="169" fontId="34" fillId="0" borderId="1" applyAlignment="1" pivotButton="0" quotePrefix="0" xfId="0">
      <alignment horizontal="general" vertical="center"/>
    </xf>
    <xf numFmtId="170" fontId="34" fillId="0" borderId="1" applyAlignment="1" pivotButton="0" quotePrefix="0" xfId="0">
      <alignment horizontal="general" vertical="center"/>
    </xf>
    <xf numFmtId="10" fontId="34" fillId="0" borderId="1" applyAlignment="1" pivotButton="0" quotePrefix="0" xfId="0">
      <alignment horizontal="general" vertical="center"/>
    </xf>
    <xf numFmtId="167" fontId="35" fillId="0" borderId="1" applyAlignment="1" pivotButton="0" quotePrefix="0" xfId="0">
      <alignment horizontal="general" vertical="center"/>
    </xf>
    <xf numFmtId="0" fontId="26" fillId="7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general" vertical="center"/>
    </xf>
    <xf numFmtId="0" fontId="25" fillId="7" borderId="1" applyAlignment="1" pivotButton="0" quotePrefix="0" xfId="0">
      <alignment horizontal="general" vertical="center" wrapText="1"/>
    </xf>
    <xf numFmtId="169" fontId="34" fillId="7" borderId="1" applyAlignment="1" pivotButton="0" quotePrefix="0" xfId="0">
      <alignment horizontal="general" vertical="center"/>
    </xf>
    <xf numFmtId="170" fontId="34" fillId="7" borderId="1" applyAlignment="1" pivotButton="0" quotePrefix="0" xfId="0">
      <alignment horizontal="general" vertical="center"/>
    </xf>
    <xf numFmtId="10" fontId="34" fillId="7" borderId="1" applyAlignment="1" pivotButton="0" quotePrefix="0" xfId="0">
      <alignment horizontal="general" vertical="center"/>
    </xf>
    <xf numFmtId="167" fontId="35" fillId="7" borderId="1" applyAlignment="1" pivotButton="0" quotePrefix="0" xfId="0">
      <alignment horizontal="general" vertical="center"/>
    </xf>
    <xf numFmtId="0" fontId="26" fillId="7" borderId="1" applyAlignment="1" pivotButton="0" quotePrefix="0" xfId="0">
      <alignment horizontal="general" vertical="center" wrapText="1"/>
    </xf>
    <xf numFmtId="0" fontId="26" fillId="0" borderId="1" applyAlignment="1" pivotButton="0" quotePrefix="0" xfId="0">
      <alignment horizontal="general" vertical="center" wrapText="1"/>
    </xf>
    <xf numFmtId="170" fontId="36" fillId="0" borderId="1" applyAlignment="1" pivotButton="0" quotePrefix="0" xfId="0">
      <alignment horizontal="general" vertical="center"/>
    </xf>
    <xf numFmtId="0" fontId="25" fillId="7" borderId="1" applyAlignment="1" pivotButton="0" quotePrefix="0" xfId="0">
      <alignment horizontal="general" vertical="center"/>
    </xf>
    <xf numFmtId="0" fontId="25" fillId="0" borderId="1" applyAlignment="1" pivotButton="0" quotePrefix="0" xfId="0">
      <alignment horizontal="general" vertical="center"/>
    </xf>
    <xf numFmtId="0" fontId="32" fillId="2" borderId="0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general" vertical="center" wrapText="1"/>
    </xf>
    <xf numFmtId="3" fontId="20" fillId="0" borderId="1" applyAlignment="1" pivotButton="0" quotePrefix="0" xfId="0">
      <alignment horizontal="general" vertical="center" wrapText="1"/>
    </xf>
    <xf numFmtId="0" fontId="25" fillId="0" borderId="0" applyAlignment="1" pivotButton="0" quotePrefix="0" xfId="0">
      <alignment horizontal="general" vertical="center" wrapText="1"/>
    </xf>
    <xf numFmtId="170" fontId="14" fillId="0" borderId="1" applyAlignment="1" pivotButton="0" quotePrefix="0" xfId="0">
      <alignment horizontal="general" vertical="center" wrapText="1"/>
    </xf>
    <xf numFmtId="0" fontId="26" fillId="0" borderId="0" applyAlignment="1" pivotButton="0" quotePrefix="0" xfId="0">
      <alignment horizontal="general" vertical="center" wrapText="1"/>
    </xf>
    <xf numFmtId="2" fontId="14" fillId="0" borderId="1" applyAlignment="1" pivotButton="0" quotePrefix="0" xfId="0">
      <alignment horizontal="general" vertical="center" wrapText="1"/>
    </xf>
    <xf numFmtId="0" fontId="25" fillId="0" borderId="0" applyAlignment="1" pivotButton="0" quotePrefix="0" xfId="0">
      <alignment horizontal="general" vertical="center" wrapText="1"/>
    </xf>
    <xf numFmtId="0" fontId="24" fillId="3" borderId="0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3" fontId="14" fillId="0" borderId="1" applyAlignment="1" pivotButton="0" quotePrefix="0" xfId="0">
      <alignment horizontal="general" vertical="center" wrapText="1"/>
    </xf>
    <xf numFmtId="0" fontId="38" fillId="0" borderId="1" applyAlignment="1" pivotButton="0" quotePrefix="0" xfId="0">
      <alignment horizontal="general" vertical="center" wrapText="1"/>
    </xf>
    <xf numFmtId="167" fontId="12" fillId="0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center" wrapText="1"/>
    </xf>
    <xf numFmtId="0" fontId="27" fillId="5" borderId="1" applyAlignment="1" pivotButton="0" quotePrefix="0" xfId="0">
      <alignment horizontal="general" vertical="center" wrapText="1"/>
    </xf>
    <xf numFmtId="167" fontId="27" fillId="5" borderId="1" applyAlignment="1" pivotButton="0" quotePrefix="0" xfId="0">
      <alignment horizontal="general" vertical="center" wrapText="1"/>
    </xf>
    <xf numFmtId="166" fontId="14" fillId="0" borderId="1" applyAlignment="1" pivotButton="0" quotePrefix="0" xfId="0">
      <alignment horizontal="general" vertical="center" wrapText="1"/>
    </xf>
    <xf numFmtId="2" fontId="12" fillId="0" borderId="1" applyAlignment="1" pivotButton="0" quotePrefix="0" xfId="0">
      <alignment horizontal="general" vertical="center" wrapText="1"/>
    </xf>
    <xf numFmtId="0" fontId="28" fillId="5" borderId="1" applyAlignment="1" pivotButton="0" quotePrefix="0" xfId="0">
      <alignment horizontal="general" vertical="center" wrapText="1"/>
    </xf>
    <xf numFmtId="0" fontId="12" fillId="5" borderId="1" applyAlignment="1" pivotButton="0" quotePrefix="0" xfId="0">
      <alignment horizontal="general" vertical="center" wrapText="1"/>
    </xf>
    <xf numFmtId="167" fontId="29" fillId="5" borderId="1" applyAlignment="1" pivotButton="0" quotePrefix="0" xfId="0">
      <alignment horizontal="general" vertical="center" wrapText="1"/>
    </xf>
    <xf numFmtId="0" fontId="26" fillId="3" borderId="0" applyAlignment="1" pivotButton="0" quotePrefix="0" xfId="0">
      <alignment horizontal="general" vertical="center" wrapText="1"/>
    </xf>
    <xf numFmtId="165" fontId="14" fillId="0" borderId="1" applyAlignment="1" pivotButton="0" quotePrefix="0" xfId="0">
      <alignment horizontal="general" vertical="center" wrapText="1"/>
    </xf>
    <xf numFmtId="4" fontId="12" fillId="0" borderId="1" applyAlignment="1" pivotButton="0" quotePrefix="0" xfId="0">
      <alignment horizontal="general" vertical="center" wrapText="1"/>
    </xf>
    <xf numFmtId="4" fontId="27" fillId="5" borderId="1" applyAlignment="1" pivotButton="0" quotePrefix="0" xfId="0">
      <alignment horizontal="general" vertical="center" wrapText="1"/>
    </xf>
    <xf numFmtId="0" fontId="33" fillId="0" borderId="0" applyAlignment="1" pivotButton="0" quotePrefix="0" xfId="0">
      <alignment horizontal="general" vertical="center" wrapText="1"/>
    </xf>
    <xf numFmtId="0" fontId="23" fillId="3" borderId="0" applyAlignment="1" pivotButton="0" quotePrefix="0" xfId="0">
      <alignment horizontal="general" vertical="center" wrapText="1"/>
    </xf>
    <xf numFmtId="167" fontId="14" fillId="0" borderId="1" applyAlignment="1" pivotButton="0" quotePrefix="0" xfId="0">
      <alignment horizontal="general" vertical="center" wrapText="1"/>
    </xf>
    <xf numFmtId="0" fontId="33" fillId="0" borderId="1" applyAlignment="1" pivotButton="0" quotePrefix="0" xfId="0">
      <alignment horizontal="general" vertical="center" wrapText="1"/>
    </xf>
    <xf numFmtId="171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general" vertical="center" wrapText="1"/>
    </xf>
    <xf numFmtId="167" fontId="27" fillId="5" borderId="1" applyAlignment="1" pivotButton="0" quotePrefix="0" xfId="0">
      <alignment horizontal="center" vertical="center"/>
    </xf>
    <xf numFmtId="3" fontId="34" fillId="0" borderId="1" applyAlignment="1" pivotButton="0" quotePrefix="0" xfId="0">
      <alignment horizontal="center" vertical="center"/>
    </xf>
    <xf numFmtId="4" fontId="34" fillId="0" borderId="1" applyAlignment="1" pivotButton="0" quotePrefix="0" xfId="0">
      <alignment horizontal="general" vertical="center" wrapText="1"/>
    </xf>
    <xf numFmtId="4" fontId="35" fillId="0" borderId="1" applyAlignment="1" pivotButton="0" quotePrefix="0" xfId="0">
      <alignment horizontal="general" vertical="center" wrapText="1"/>
    </xf>
    <xf numFmtId="4" fontId="29" fillId="5" borderId="1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center" vertical="center" wrapText="1"/>
    </xf>
    <xf numFmtId="0" fontId="41" fillId="8" borderId="1" applyAlignment="1" pivotButton="0" quotePrefix="0" xfId="0">
      <alignment horizontal="general" vertical="center" wrapText="1"/>
    </xf>
    <xf numFmtId="0" fontId="10" fillId="7" borderId="1" applyAlignment="1" pivotButton="0" quotePrefix="0" xfId="0">
      <alignment horizontal="general" vertical="center" wrapText="1"/>
    </xf>
    <xf numFmtId="0" fontId="13" fillId="3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2" fontId="2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2" fontId="14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4" fontId="14" fillId="0" borderId="1" applyAlignment="1" pivotButton="0" quotePrefix="0" xfId="0">
      <alignment horizontal="general" vertical="bottom"/>
    </xf>
    <xf numFmtId="10" fontId="14" fillId="0" borderId="1" applyAlignment="1" pivotButton="0" quotePrefix="0" xfId="0">
      <alignment horizontal="general" vertical="bottom"/>
    </xf>
    <xf numFmtId="4" fontId="31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" fontId="20" fillId="0" borderId="0" applyAlignment="1" pivotButton="0" quotePrefix="0" xfId="0">
      <alignment horizontal="general" vertical="bottom"/>
    </xf>
    <xf numFmtId="172" fontId="20" fillId="0" borderId="0" applyAlignment="1" pivotButton="0" quotePrefix="0" xfId="0">
      <alignment horizontal="general" vertical="bottom"/>
    </xf>
    <xf numFmtId="2" fontId="20" fillId="0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172" fontId="20" fillId="0" borderId="2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72" fontId="27" fillId="0" borderId="0" applyAlignment="1" pivotButton="0" quotePrefix="0" xfId="0">
      <alignment horizontal="general" vertical="bottom"/>
    </xf>
    <xf numFmtId="165" fontId="2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bottom"/>
    </xf>
    <xf numFmtId="1" fontId="18" fillId="0" borderId="0" applyAlignment="1" pivotButton="0" quotePrefix="0" xfId="0">
      <alignment horizontal="center" vertical="bottom"/>
    </xf>
    <xf numFmtId="2" fontId="18" fillId="0" borderId="0" applyAlignment="1" pivotButton="0" quotePrefix="0" xfId="0">
      <alignment horizontal="center" vertical="bottom"/>
    </xf>
    <xf numFmtId="165" fontId="43" fillId="0" borderId="0" applyAlignment="1" pivotButton="0" quotePrefix="0" xfId="0">
      <alignment horizontal="general" vertical="bottom"/>
    </xf>
    <xf numFmtId="1" fontId="43" fillId="0" borderId="0" applyAlignment="1" pivotButton="0" quotePrefix="0" xfId="0">
      <alignment horizontal="general" vertical="bottom"/>
    </xf>
    <xf numFmtId="166" fontId="43" fillId="0" borderId="0" applyAlignment="1" pivotButton="0" quotePrefix="0" xfId="0">
      <alignment horizontal="general" vertical="bottom"/>
    </xf>
    <xf numFmtId="2" fontId="43" fillId="0" borderId="0" applyAlignment="1" pivotButton="0" quotePrefix="0" xfId="0">
      <alignment horizontal="general" vertical="bottom"/>
    </xf>
    <xf numFmtId="1" fontId="44" fillId="0" borderId="0" applyAlignment="1" pivotButton="0" quotePrefix="0" xfId="0">
      <alignment horizontal="center" vertical="bottom"/>
    </xf>
    <xf numFmtId="172" fontId="4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3" fillId="3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" fontId="14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166" fontId="14" fillId="4" borderId="0" applyAlignment="1" pivotButton="0" quotePrefix="0" xfId="0">
      <alignment horizontal="left" vertical="bottom"/>
    </xf>
    <xf numFmtId="2" fontId="20" fillId="4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center"/>
    </xf>
    <xf numFmtId="0" fontId="6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167" fontId="20" fillId="0" borderId="1" applyAlignment="1" pivotButton="0" quotePrefix="0" xfId="0">
      <alignment horizontal="right" vertical="center"/>
    </xf>
    <xf numFmtId="0" fontId="25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general" vertical="center" wrapText="1"/>
    </xf>
    <xf numFmtId="0" fontId="0" fillId="0" borderId="5" pivotButton="0" quotePrefix="0" xfId="0"/>
    <xf numFmtId="167" fontId="27" fillId="0" borderId="1" applyAlignment="1" pivotButton="0" quotePrefix="0" xfId="0">
      <alignment horizontal="right" vertical="center"/>
    </xf>
    <xf numFmtId="0" fontId="28" fillId="5" borderId="1" applyAlignment="1" pivotButton="0" quotePrefix="0" xfId="0">
      <alignment horizontal="general" vertical="bottom"/>
    </xf>
    <xf numFmtId="167" fontId="29" fillId="5" borderId="1" applyAlignment="1" pivotButton="0" quotePrefix="0" xfId="0">
      <alignment horizontal="right" vertical="center"/>
    </xf>
    <xf numFmtId="0" fontId="25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bottom"/>
    </xf>
    <xf numFmtId="168" fontId="6" fillId="5" borderId="1" applyAlignment="1" pivotButton="0" quotePrefix="0" xfId="0">
      <alignment horizontal="center" vertical="center" wrapText="1"/>
    </xf>
    <xf numFmtId="10" fontId="20" fillId="0" borderId="1" applyAlignment="1" pivotButton="0" quotePrefix="0" xfId="0">
      <alignment horizontal="right" vertical="center"/>
    </xf>
    <xf numFmtId="0" fontId="26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general" vertical="bottom"/>
    </xf>
    <xf numFmtId="167" fontId="14" fillId="0" borderId="1" applyAlignment="1" pivotButton="0" quotePrefix="0" xfId="0">
      <alignment horizontal="right" vertical="center"/>
    </xf>
    <xf numFmtId="4" fontId="20" fillId="0" borderId="1" applyAlignment="1" pivotButton="0" quotePrefix="0" xfId="0">
      <alignment horizontal="right" vertical="center"/>
    </xf>
    <xf numFmtId="1" fontId="6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4" fontId="29" fillId="5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4" fontId="31" fillId="0" borderId="1" applyAlignment="1" pivotButton="0" quotePrefix="0" xfId="0">
      <alignment horizontal="right" vertical="center"/>
    </xf>
    <xf numFmtId="0" fontId="32" fillId="6" borderId="0" applyAlignment="1" pivotButton="0" quotePrefix="0" xfId="0">
      <alignment horizontal="center" vertical="bottom"/>
    </xf>
    <xf numFmtId="0" fontId="33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general" vertical="center"/>
    </xf>
    <xf numFmtId="169" fontId="34" fillId="0" borderId="1" applyAlignment="1" pivotButton="0" quotePrefix="0" xfId="0">
      <alignment horizontal="general" vertical="center"/>
    </xf>
    <xf numFmtId="170" fontId="34" fillId="0" borderId="1" applyAlignment="1" pivotButton="0" quotePrefix="0" xfId="0">
      <alignment horizontal="general" vertical="center"/>
    </xf>
    <xf numFmtId="10" fontId="34" fillId="0" borderId="1" applyAlignment="1" pivotButton="0" quotePrefix="0" xfId="0">
      <alignment horizontal="general" vertical="center"/>
    </xf>
    <xf numFmtId="167" fontId="35" fillId="0" borderId="1" applyAlignment="1" pivotButton="0" quotePrefix="0" xfId="0">
      <alignment horizontal="general" vertical="center"/>
    </xf>
    <xf numFmtId="0" fontId="26" fillId="7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general" vertical="center"/>
    </xf>
    <xf numFmtId="0" fontId="25" fillId="7" borderId="1" applyAlignment="1" pivotButton="0" quotePrefix="0" xfId="0">
      <alignment horizontal="general" vertical="center" wrapText="1"/>
    </xf>
    <xf numFmtId="169" fontId="34" fillId="7" borderId="1" applyAlignment="1" pivotButton="0" quotePrefix="0" xfId="0">
      <alignment horizontal="general" vertical="center"/>
    </xf>
    <xf numFmtId="170" fontId="34" fillId="7" borderId="1" applyAlignment="1" pivotButton="0" quotePrefix="0" xfId="0">
      <alignment horizontal="general" vertical="center"/>
    </xf>
    <xf numFmtId="10" fontId="34" fillId="7" borderId="1" applyAlignment="1" pivotButton="0" quotePrefix="0" xfId="0">
      <alignment horizontal="general" vertical="center"/>
    </xf>
    <xf numFmtId="167" fontId="35" fillId="7" borderId="1" applyAlignment="1" pivotButton="0" quotePrefix="0" xfId="0">
      <alignment horizontal="general" vertical="center"/>
    </xf>
    <xf numFmtId="0" fontId="26" fillId="7" borderId="1" applyAlignment="1" pivotButton="0" quotePrefix="0" xfId="0">
      <alignment horizontal="general" vertical="center" wrapText="1"/>
    </xf>
    <xf numFmtId="0" fontId="26" fillId="0" borderId="1" applyAlignment="1" pivotButton="0" quotePrefix="0" xfId="0">
      <alignment horizontal="general" vertical="center" wrapText="1"/>
    </xf>
    <xf numFmtId="170" fontId="36" fillId="0" borderId="1" applyAlignment="1" pivotButton="0" quotePrefix="0" xfId="0">
      <alignment horizontal="general" vertical="center"/>
    </xf>
    <xf numFmtId="0" fontId="25" fillId="7" borderId="1" applyAlignment="1" pivotButton="0" quotePrefix="0" xfId="0">
      <alignment horizontal="general" vertical="center"/>
    </xf>
    <xf numFmtId="0" fontId="25" fillId="0" borderId="1" applyAlignment="1" pivotButton="0" quotePrefix="0" xfId="0">
      <alignment horizontal="general" vertical="center"/>
    </xf>
    <xf numFmtId="0" fontId="32" fillId="2" borderId="0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general" vertical="center" wrapText="1"/>
    </xf>
    <xf numFmtId="3" fontId="20" fillId="0" borderId="1" applyAlignment="1" pivotButton="0" quotePrefix="0" xfId="0">
      <alignment horizontal="general" vertical="center" wrapText="1"/>
    </xf>
    <xf numFmtId="0" fontId="25" fillId="0" borderId="0" applyAlignment="1" pivotButton="0" quotePrefix="0" xfId="0">
      <alignment horizontal="general" vertical="center" wrapText="1"/>
    </xf>
    <xf numFmtId="170" fontId="14" fillId="0" borderId="1" applyAlignment="1" pivotButton="0" quotePrefix="0" xfId="0">
      <alignment horizontal="general" vertical="center" wrapText="1"/>
    </xf>
    <xf numFmtId="0" fontId="26" fillId="0" borderId="0" applyAlignment="1" pivotButton="0" quotePrefix="0" xfId="0">
      <alignment horizontal="general" vertical="center" wrapText="1"/>
    </xf>
    <xf numFmtId="2" fontId="14" fillId="0" borderId="1" applyAlignment="1" pivotButton="0" quotePrefix="0" xfId="0">
      <alignment horizontal="general" vertical="center" wrapText="1"/>
    </xf>
    <xf numFmtId="0" fontId="24" fillId="3" borderId="0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3" fontId="14" fillId="0" borderId="1" applyAlignment="1" pivotButton="0" quotePrefix="0" xfId="0">
      <alignment horizontal="general" vertical="center" wrapText="1"/>
    </xf>
    <xf numFmtId="0" fontId="38" fillId="0" borderId="1" applyAlignment="1" pivotButton="0" quotePrefix="0" xfId="0">
      <alignment horizontal="general" vertical="center" wrapText="1"/>
    </xf>
    <xf numFmtId="167" fontId="12" fillId="0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center" wrapText="1"/>
    </xf>
    <xf numFmtId="0" fontId="27" fillId="5" borderId="1" applyAlignment="1" pivotButton="0" quotePrefix="0" xfId="0">
      <alignment horizontal="general" vertical="center" wrapText="1"/>
    </xf>
    <xf numFmtId="167" fontId="27" fillId="5" borderId="1" applyAlignment="1" pivotButton="0" quotePrefix="0" xfId="0">
      <alignment horizontal="general" vertical="center" wrapText="1"/>
    </xf>
    <xf numFmtId="166" fontId="14" fillId="0" borderId="1" applyAlignment="1" pivotButton="0" quotePrefix="0" xfId="0">
      <alignment horizontal="general" vertical="center" wrapText="1"/>
    </xf>
    <xf numFmtId="2" fontId="12" fillId="0" borderId="1" applyAlignment="1" pivotButton="0" quotePrefix="0" xfId="0">
      <alignment horizontal="general" vertical="center" wrapText="1"/>
    </xf>
    <xf numFmtId="0" fontId="28" fillId="5" borderId="1" applyAlignment="1" pivotButton="0" quotePrefix="0" xfId="0">
      <alignment horizontal="general" vertical="center" wrapText="1"/>
    </xf>
    <xf numFmtId="0" fontId="0" fillId="0" borderId="6" pivotButton="0" quotePrefix="0" xfId="0"/>
    <xf numFmtId="0" fontId="12" fillId="5" borderId="1" applyAlignment="1" pivotButton="0" quotePrefix="0" xfId="0">
      <alignment horizontal="general" vertical="center" wrapText="1"/>
    </xf>
    <xf numFmtId="167" fontId="29" fillId="5" borderId="1" applyAlignment="1" pivotButton="0" quotePrefix="0" xfId="0">
      <alignment horizontal="general" vertical="center" wrapText="1"/>
    </xf>
    <xf numFmtId="0" fontId="26" fillId="3" borderId="0" applyAlignment="1" pivotButton="0" quotePrefix="0" xfId="0">
      <alignment horizontal="general" vertical="center" wrapText="1"/>
    </xf>
    <xf numFmtId="165" fontId="14" fillId="0" borderId="1" applyAlignment="1" pivotButton="0" quotePrefix="0" xfId="0">
      <alignment horizontal="general" vertical="center" wrapText="1"/>
    </xf>
    <xf numFmtId="4" fontId="12" fillId="0" borderId="1" applyAlignment="1" pivotButton="0" quotePrefix="0" xfId="0">
      <alignment horizontal="general" vertical="center" wrapText="1"/>
    </xf>
    <xf numFmtId="4" fontId="27" fillId="5" borderId="1" applyAlignment="1" pivotButton="0" quotePrefix="0" xfId="0">
      <alignment horizontal="general" vertical="center" wrapText="1"/>
    </xf>
    <xf numFmtId="0" fontId="33" fillId="0" borderId="0" applyAlignment="1" pivotButton="0" quotePrefix="0" xfId="0">
      <alignment horizontal="general" vertical="center" wrapText="1"/>
    </xf>
    <xf numFmtId="0" fontId="23" fillId="3" borderId="0" applyAlignment="1" pivotButton="0" quotePrefix="0" xfId="0">
      <alignment horizontal="general" vertical="center" wrapText="1"/>
    </xf>
    <xf numFmtId="167" fontId="14" fillId="0" borderId="1" applyAlignment="1" pivotButton="0" quotePrefix="0" xfId="0">
      <alignment horizontal="general" vertical="center" wrapText="1"/>
    </xf>
    <xf numFmtId="0" fontId="33" fillId="0" borderId="1" applyAlignment="1" pivotButton="0" quotePrefix="0" xfId="0">
      <alignment horizontal="general" vertical="center" wrapText="1"/>
    </xf>
    <xf numFmtId="171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general" vertical="center" wrapText="1"/>
    </xf>
    <xf numFmtId="167" fontId="27" fillId="5" borderId="1" applyAlignment="1" pivotButton="0" quotePrefix="0" xfId="0">
      <alignment horizontal="center" vertical="center"/>
    </xf>
    <xf numFmtId="3" fontId="34" fillId="0" borderId="1" applyAlignment="1" pivotButton="0" quotePrefix="0" xfId="0">
      <alignment horizontal="center" vertical="center"/>
    </xf>
    <xf numFmtId="4" fontId="34" fillId="0" borderId="1" applyAlignment="1" pivotButton="0" quotePrefix="0" xfId="0">
      <alignment horizontal="general" vertical="center" wrapText="1"/>
    </xf>
    <xf numFmtId="4" fontId="35" fillId="0" borderId="1" applyAlignment="1" pivotButton="0" quotePrefix="0" xfId="0">
      <alignment horizontal="general" vertical="center" wrapText="1"/>
    </xf>
    <xf numFmtId="4" fontId="29" fillId="5" borderId="1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center" vertical="center" wrapText="1"/>
    </xf>
    <xf numFmtId="0" fontId="41" fillId="8" borderId="1" applyAlignment="1" pivotButton="0" quotePrefix="0" xfId="0">
      <alignment horizontal="general" vertical="center" wrapText="1"/>
    </xf>
    <xf numFmtId="0" fontId="10" fillId="7" borderId="1" applyAlignment="1" pivotButton="0" quotePrefix="0" xfId="0">
      <alignment horizontal="general" vertical="center" wrapText="1"/>
    </xf>
    <xf numFmtId="0" fontId="13" fillId="3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2" fontId="2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2" fontId="14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4" fontId="14" fillId="0" borderId="1" applyAlignment="1" pivotButton="0" quotePrefix="0" xfId="0">
      <alignment horizontal="general" vertical="bottom"/>
    </xf>
    <xf numFmtId="10" fontId="14" fillId="0" borderId="1" applyAlignment="1" pivotButton="0" quotePrefix="0" xfId="0">
      <alignment horizontal="general" vertical="bottom"/>
    </xf>
    <xf numFmtId="4" fontId="31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" fontId="20" fillId="0" borderId="0" applyAlignment="1" pivotButton="0" quotePrefix="0" xfId="0">
      <alignment horizontal="general" vertical="bottom"/>
    </xf>
    <xf numFmtId="172" fontId="20" fillId="0" borderId="0" applyAlignment="1" pivotButton="0" quotePrefix="0" xfId="0">
      <alignment horizontal="general" vertical="bottom"/>
    </xf>
    <xf numFmtId="2" fontId="20" fillId="0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172" fontId="20" fillId="0" borderId="2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72" fontId="27" fillId="0" borderId="0" applyAlignment="1" pivotButton="0" quotePrefix="0" xfId="0">
      <alignment horizontal="general" vertical="bottom"/>
    </xf>
    <xf numFmtId="165" fontId="20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bottom"/>
    </xf>
    <xf numFmtId="1" fontId="18" fillId="0" borderId="0" applyAlignment="1" pivotButton="0" quotePrefix="0" xfId="0">
      <alignment horizontal="center" vertical="bottom"/>
    </xf>
    <xf numFmtId="2" fontId="18" fillId="0" borderId="0" applyAlignment="1" pivotButton="0" quotePrefix="0" xfId="0">
      <alignment horizontal="center" vertical="bottom"/>
    </xf>
    <xf numFmtId="165" fontId="43" fillId="0" borderId="0" applyAlignment="1" pivotButton="0" quotePrefix="0" xfId="0">
      <alignment horizontal="general" vertical="bottom"/>
    </xf>
    <xf numFmtId="1" fontId="43" fillId="0" borderId="0" applyAlignment="1" pivotButton="0" quotePrefix="0" xfId="0">
      <alignment horizontal="general" vertical="bottom"/>
    </xf>
    <xf numFmtId="166" fontId="43" fillId="0" borderId="0" applyAlignment="1" pivotButton="0" quotePrefix="0" xfId="0">
      <alignment horizontal="general" vertical="bottom"/>
    </xf>
    <xf numFmtId="2" fontId="43" fillId="0" borderId="0" applyAlignment="1" pivotButton="0" quotePrefix="0" xfId="0">
      <alignment horizontal="general" vertical="bottom"/>
    </xf>
    <xf numFmtId="1" fontId="44" fillId="0" borderId="0" applyAlignment="1" pivotButton="0" quotePrefix="0" xfId="0">
      <alignment horizontal="center" vertical="bottom"/>
    </xf>
    <xf numFmtId="172" fontId="4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>
          <bgColor rgb="FFC6EFCE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3288B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EE7"/>
      <rgbColor rgb="FF808080"/>
      <rgbColor rgb="FF9999FF"/>
      <rgbColor rgb="FF993366"/>
      <rgbColor rgb="FFFFF2CC"/>
      <rgbColor rgb="FFEAF2FF"/>
      <rgbColor rgb="FF660066"/>
      <rgbColor rgb="FFFF8080"/>
      <rgbColor rgb="FF0066CC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B5D"/>
      <rgbColor rgb="FF3288B9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" defaultRowHeight="13.5" zeroHeight="0" outlineLevelRow="0"/>
  <cols>
    <col width="13" customWidth="1" style="143" min="1" max="1"/>
    <col width="95" customWidth="1" style="143" min="2" max="2"/>
  </cols>
  <sheetData>
    <row r="1" ht="17.25" customHeight="1" s="144">
      <c r="A1" s="145" t="inlineStr">
        <is>
          <t>产品成本测算报价表 · 使用说明</t>
        </is>
      </c>
    </row>
    <row r="3" ht="33.75" customHeight="1" s="144">
      <c r="A3" s="146" t="inlineStr">
        <is>
          <t>怎么用</t>
        </is>
      </c>
      <c r="B3" s="147" t="inlineStr">
        <is>
          <t>首页【报价汇总】只填：产品信息、成品尺寸与单台净重、每箱件数、是否带散热器、是否带组装结构、是否含整托、物流产品、目的地、每票件数。包装费、装配费与运费全部自动算。黄色底=必填待填，填完后自动变绿。</t>
        </is>
      </c>
    </row>
    <row r="4" ht="33.75" customHeight="1" s="144">
      <c r="A4" s="146" t="inlineStr">
        <is>
          <t>包装费</t>
        </is>
      </c>
      <c r="B4" s="147" t="inlineStr">
        <is>
          <t>首页【报价汇总】分别填写【是否带散热器】与【是否带组装结构】：任一为「是」→大板（EPE上下垫片+四角护角+纸箱+托盘+缠绕膜+打包带）；两项均为「否」→小板（防静电气泡袋+隔板+纸箱+护角+托盘+缠绕膜）。如有组装结构，填写装配节拍(秒/台)和工时费，装配费=节拍÷3600×工时费。单价与系数在《参数》页改。</t>
        </is>
      </c>
    </row>
    <row r="5" ht="33.75" customHeight="1" s="144">
      <c r="A5" s="146" t="inlineStr">
        <is>
          <t>运费</t>
        </is>
      </c>
      <c r="B5" s="147" t="inlineStr">
        <is>
          <t>依据《跨越费率》（源自青岛国创VIP报价表）按 实重/体积重取大→起重→分段单价 计算单票运费，再摊到单件。目的地在首页下拉选择，产品可选次日达/特惠普运。</t>
        </is>
      </c>
    </row>
    <row r="6" ht="33.75" customHeight="1" s="144">
      <c r="A6" s="146" t="inlineStr">
        <is>
          <t>物料明细/制费明细</t>
        </is>
      </c>
      <c r="B6" s="147" t="inlineStr">
        <is>
          <t>沿用原模板，硬件/结构件/辅助材料与加工费、工装分摊在此填写。</t>
        </is>
      </c>
    </row>
    <row r="7" ht="33.75" customHeight="1" s="144">
      <c r="A7" s="146" t="inlineStr">
        <is>
          <t>成本与报价</t>
        </is>
      </c>
      <c r="B7" s="147" t="inlineStr">
        <is>
          <t>总成本=材料+加工+工装+包装+运费+利润；建议报价=总成本/(1-目标毛利率)。毛利率/税率在《参数》页改。</t>
        </is>
      </c>
    </row>
    <row r="8" ht="33.75" customHeight="1" s="144">
      <c r="A8" s="146" t="inlineStr">
        <is>
          <t>注意</t>
        </is>
      </c>
      <c r="B8" s="147" t="inlineStr">
        <is>
          <t>跨越费率为参考价，可在《跨越费率》页直接改；金额默认不含税；包装费按方案清单自动算。</t>
        </is>
      </c>
    </row>
    <row r="9" ht="13.5" customHeight="1" s="144">
      <c r="A9" s="148" t="inlineStr">
        <is>
          <t>制费明细：P01~P07工程报价表格式，蓝色单元格按项目填写（元件个数/工序个数/用量/张数/预计订单数），默认预填003小板参考数据；辅料与BOM辅助材料二选一，避免重复计费。</t>
        </is>
      </c>
    </row>
    <row r="10" ht="113.25" customHeight="1" s="144">
      <c r="A10" s="149" t="inlineStr">
        <is>
          <t>• 商空大功率驱动板套表：物料明细已导入 硬件272/结构件32/散热器1/包装8/辅料16/客供料8 共337行；损耗率留空使金额=用量×单价，与源表精确对账（硬件358.4632/结构416.4798/包装63.7765/辅料37.9431）。</t>
        </is>
      </c>
    </row>
    <row r="11" ht="90.75" customHeight="1" s="144">
      <c r="A11" s="149" t="inlineStr">
        <is>
          <t>• 加工成本明细：综合口径13项构成→126.4283元/台（含人工82.0882+SMT/机插+折旧+水电+管理），附52行人工工时定额、16行工装治具明细；报价汇总「加工成本」直接引用其合计。</t>
        </is>
      </c>
    </row>
    <row r="12" ht="45.75" customHeight="1" s="144">
      <c r="A12" s="149" t="inlineStr">
        <is>
          <t>• 散热器：源表未含，按68元未税单列（参数B49），物料明细分类「散热器」，报价汇总独立成本行。</t>
        </is>
      </c>
    </row>
    <row r="13" ht="68.25" customHeight="1" s="144">
      <c r="A13" s="149" t="inlineStr">
        <is>
          <t>• 一次性费用：工装48700+EPS泡沫模具29499.115=78199.115元，直接向客户收取，不计入单台成本（报价汇总六）。</t>
        </is>
      </c>
    </row>
    <row r="14" ht="79.5" customHeight="1" s="144">
      <c r="A14" s="149" t="inlineStr">
        <is>
          <t>• 运费：目的地填「青岛市」时跨越费率未覆盖山东→自动按运费率(参数B51=1.16%)回退估算；覆盖城市则用跨越费率精算。毛利率(参数B4)已对齐源表0.3。</t>
        </is>
      </c>
    </row>
    <row r="15" ht="57" customHeight="1" s="144">
      <c r="A15" s="149" t="inlineStr">
        <is>
          <t>• 制费明细P01~P07为自下而上工序估算工具（商空项目已置0辅料/工装避免重复）；商空加工成本以「加工成本明细」综合表为准。</t>
        </is>
      </c>
    </row>
    <row r="16" ht="102.2" customHeight="1" s="144">
      <c r="A16" s="149" t="inlineStr">
        <is>
          <t>• 风险检查（报价汇总七）：客供料清单8项与硬件BOM内8项单价0的客供标记一一对应，均不计入成本；未报价物料(非客供)应为0。客供料参考金额按用量×单价=565.138元/台，源表合计554.3197（源表口径差10.82，不影响报价）。</t>
        </is>
      </c>
    </row>
    <row r="17" ht="79.84999999999999" customHeight="1" s="144">
      <c r="A17" s="149" t="inlineStr">
        <is>
          <t>• 包装费双口径：报价汇总取包装BOM实际63.7765元/台；包装计算表按几何模型估算约43.67元/件，两者互为校验，BOM优先。EPS泡沫模具16667元×2已列入一次性费用。</t>
        </is>
      </c>
    </row>
    <row r="18" ht="68.65000000000001" customHeight="1" s="144">
      <c r="A18" s="149" t="inlineStr">
        <is>
          <t>• 成本差异1.35%(参数B50)与运费率1.16%(参数B51)均取自源表比例；小计含散热器68元后，成本差异与运费随之联动放大，符合"全部成本因素入表"的口径。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B21" activeCellId="0" sqref="B21"/>
    </sheetView>
  </sheetViews>
  <sheetFormatPr baseColWidth="8" defaultColWidth="8" defaultRowHeight="13.5" zeroHeight="0" outlineLevelRow="0"/>
  <cols>
    <col width="26" customWidth="1" style="143" min="1" max="1"/>
    <col width="16" customWidth="1" style="143" min="2" max="2"/>
    <col width="26" customWidth="1" style="143" min="4" max="4"/>
    <col hidden="1" width="13" customWidth="1" style="143" min="26" max="26"/>
  </cols>
  <sheetData>
    <row r="1" ht="17.25" customHeight="1" s="144">
      <c r="A1" s="145" t="inlineStr">
        <is>
          <t>产品成本测算报价表（包装费 + 运费自动计算）</t>
        </is>
      </c>
    </row>
    <row r="3" ht="15" customHeight="1" s="144">
      <c r="A3" s="150" t="inlineStr">
        <is>
          <t>一、产品基础信息（输入）</t>
        </is>
      </c>
    </row>
    <row r="4" ht="15" customHeight="1" s="144">
      <c r="A4" s="148" t="inlineStr">
        <is>
          <t>产品代码</t>
        </is>
      </c>
      <c r="B4" s="151" t="inlineStr">
        <is>
          <t>N10305002124</t>
        </is>
      </c>
      <c r="Z4" s="152" t="inlineStr">
        <is>
          <t>福州市/厦门市/泉州市</t>
        </is>
      </c>
    </row>
    <row r="5" ht="15" customHeight="1" s="144">
      <c r="A5" s="148" t="inlineStr">
        <is>
          <t>产品名称</t>
        </is>
      </c>
      <c r="B5" s="151" t="inlineStr">
        <is>
          <t>DRV-26P-NJTJ(RoHS)中央式空调控制器驱动板组件</t>
        </is>
      </c>
      <c r="Z5" s="152" t="inlineStr">
        <is>
          <t>宁德市/莆田市/漳州市</t>
        </is>
      </c>
    </row>
    <row r="6" ht="15" customHeight="1" s="144">
      <c r="A6" s="148" t="inlineStr">
        <is>
          <t>客户名称</t>
        </is>
      </c>
      <c r="B6" s="153" t="inlineStr">
        <is>
          <t>青岛国创智能家电研究院有限公司</t>
        </is>
      </c>
      <c r="Z6" s="152" t="inlineStr">
        <is>
          <t>龙岩市/三明市/南平市</t>
        </is>
      </c>
    </row>
    <row r="7" ht="15" customHeight="1" s="144">
      <c r="A7" s="148" t="inlineStr">
        <is>
          <t>报价日期</t>
        </is>
      </c>
      <c r="B7" s="154">
        <f>TODAY()</f>
        <v/>
      </c>
      <c r="Z7" s="152" t="inlineStr">
        <is>
          <t>拉萨市</t>
        </is>
      </c>
    </row>
    <row r="8" ht="15" customHeight="1" s="144">
      <c r="A8" s="148" t="inlineStr">
        <is>
          <t>年需求量(PCS)</t>
        </is>
      </c>
      <c r="B8" s="151" t="n">
        <v>5000</v>
      </c>
      <c r="Z8" s="152" t="inlineStr">
        <is>
          <t>日喀则市/山南市/林芝市/昌都市/那曲市/阿里地区</t>
        </is>
      </c>
    </row>
    <row r="9" ht="15" customHeight="1" s="144">
      <c r="A9" s="155" t="inlineStr">
        <is>
          <t>MOQ(PCS)</t>
        </is>
      </c>
      <c r="B9" s="151" t="n">
        <v>50</v>
      </c>
      <c r="Z9" s="152" t="inlineStr">
        <is>
          <t>贵阳市/遵义市/安顺市</t>
        </is>
      </c>
    </row>
    <row r="10" ht="15" customHeight="1" s="144">
      <c r="A10" s="148" t="inlineStr">
        <is>
          <t>备注</t>
        </is>
      </c>
      <c r="B10" s="156" t="inlineStr">
        <is>
          <t>工装、模具费直接向客户收取；已扣除8颗客供料核算成本；散热器68元未税另计；N10305002124与N10305002125共用模具</t>
        </is>
      </c>
      <c r="Z10" s="152" t="inlineStr">
        <is>
          <t>黔南布依族苗族自治州/黔东南苗族侗族自治州/铜仁市/毕节市/六盘水市/黔西南布依族苗族自治州</t>
        </is>
      </c>
    </row>
    <row r="11" ht="14.25" customHeight="1" s="144">
      <c r="Z11" s="152" t="inlineStr">
        <is>
          <t>广州市/深圳市/珠海市/中山市/东莞市</t>
        </is>
      </c>
    </row>
    <row r="12" ht="15" customHeight="1" s="144">
      <c r="A12" s="150" t="inlineStr">
        <is>
          <t>二、产品规格（输入，驱动包装费）</t>
        </is>
      </c>
      <c r="Z12" s="152" t="inlineStr">
        <is>
          <t>江门市/惠州市/佛山市/肇庆市</t>
        </is>
      </c>
    </row>
    <row r="13" ht="15" customHeight="1" s="144">
      <c r="A13" s="148" t="inlineStr">
        <is>
          <t>成品长(mm,含散热器)</t>
        </is>
      </c>
      <c r="B13" s="157" t="n">
        <v>660</v>
      </c>
      <c r="Z13" s="152" t="inlineStr">
        <is>
          <t>汕尾市/阳江市/揭阳市/茂名市/韶关市/梅州市/汕头市/湛江市/河源市/清远市/云浮市/潮州市</t>
        </is>
      </c>
    </row>
    <row r="14" ht="15" customHeight="1" s="144">
      <c r="A14" s="148" t="inlineStr">
        <is>
          <t>成品宽(mm)</t>
        </is>
      </c>
      <c r="B14" s="157" t="n">
        <v>390</v>
      </c>
      <c r="Z14" s="152" t="inlineStr">
        <is>
          <t>武汉市/鄂州市</t>
        </is>
      </c>
    </row>
    <row r="15" ht="15" customHeight="1" s="144">
      <c r="A15" s="148" t="inlineStr">
        <is>
          <t>成品高(mm)</t>
        </is>
      </c>
      <c r="B15" s="157" t="n">
        <v>260</v>
      </c>
      <c r="Z15" s="152" t="inlineStr">
        <is>
          <t>襄阳市/孝感市/黄石市/荆州市/宜昌市/神农架林区/十堰市/随州市/荆门市</t>
        </is>
      </c>
    </row>
    <row r="16" ht="15" customHeight="1" s="144">
      <c r="A16" s="148" t="inlineStr">
        <is>
          <t>单台净重(kg)</t>
        </is>
      </c>
      <c r="B16" s="158" t="n">
        <v>3.5</v>
      </c>
      <c r="Z16" s="152" t="inlineStr">
        <is>
          <t>黄冈市/咸宁市/恩施土家族苗族自治州/潜江市/仙桃市/天门市</t>
        </is>
      </c>
    </row>
    <row r="17" ht="15" customHeight="1" s="144">
      <c r="A17" s="148" t="inlineStr">
        <is>
          <t>每箱件数N</t>
        </is>
      </c>
      <c r="B17" s="157" t="n">
        <v>2</v>
      </c>
      <c r="Z17" s="152" t="inlineStr">
        <is>
          <t>株洲市/长沙市/湘潭市</t>
        </is>
      </c>
    </row>
    <row r="18" ht="15" customHeight="1" s="144">
      <c r="A18" s="148" t="inlineStr">
        <is>
          <t>是否含整托分摊</t>
        </is>
      </c>
      <c r="B18" s="153" t="inlineStr">
        <is>
          <t>是</t>
        </is>
      </c>
      <c r="Z18" s="152" t="inlineStr">
        <is>
          <t>益阳市</t>
        </is>
      </c>
    </row>
    <row r="19" ht="14.25" customHeight="1" s="144">
      <c r="A19" s="148" t="inlineStr">
        <is>
          <t>是否带散热器(是/否)</t>
        </is>
      </c>
      <c r="B19" s="159" t="inlineStr">
        <is>
          <t>是</t>
        </is>
      </c>
      <c r="D19" s="160">
        <f>IF(OR(B19="是",B20="是"),"自动→大板：EPE上下垫片+四角护角+纸箱+托盘+缠绕膜+打包带","自动→小板：防静电气泡袋+隔板+纸箱+护角+托盘+缠绕膜")</f>
        <v/>
      </c>
      <c r="Z19" s="152" t="inlineStr">
        <is>
          <t>岳阳市/衡阳市/郴州市/常德市/娄底市/邵阳市/湘西土家族苗族自治州/张家界市/怀化市/永州市</t>
        </is>
      </c>
    </row>
    <row r="20" ht="15" customHeight="1" s="144">
      <c r="A20" s="148" t="inlineStr">
        <is>
          <t>是否带组装结构(是/否)</t>
        </is>
      </c>
      <c r="B20" s="159" t="inlineStr">
        <is>
          <t>是</t>
        </is>
      </c>
      <c r="D20" s="148" t="inlineStr">
        <is>
          <t>装配节拍(秒/台)</t>
        </is>
      </c>
      <c r="E20" s="161" t="n">
        <v>12</v>
      </c>
      <c r="F20" s="148" t="inlineStr">
        <is>
          <t>工时费(元/小时)</t>
        </is>
      </c>
      <c r="G20" s="162">
        <f>参数!$B$46</f>
        <v/>
      </c>
    </row>
    <row r="21" ht="15" customHeight="1" s="144">
      <c r="A21" s="150" t="inlineStr">
        <is>
          <t>三、物流（输入，驱动运费）</t>
        </is>
      </c>
      <c r="Z21" s="152" t="inlineStr">
        <is>
          <t>重庆市</t>
        </is>
      </c>
    </row>
    <row r="22" ht="15" customHeight="1" s="144">
      <c r="A22" s="148" t="inlineStr">
        <is>
          <t>物流产品</t>
        </is>
      </c>
      <c r="B22" s="153" t="inlineStr">
        <is>
          <t>次日达</t>
        </is>
      </c>
      <c r="Z22" s="152" t="inlineStr">
        <is>
          <t>成都市/资阳市/眉山市</t>
        </is>
      </c>
    </row>
    <row r="23" ht="15" customHeight="1" s="144">
      <c r="A23" s="148" t="inlineStr">
        <is>
          <t>目的地</t>
        </is>
      </c>
      <c r="B23" s="153" t="inlineStr">
        <is>
          <t>青岛市</t>
        </is>
      </c>
      <c r="Z23" s="152" t="inlineStr">
        <is>
          <t>绵阳市</t>
        </is>
      </c>
    </row>
    <row r="24" ht="15" customHeight="1" s="144">
      <c r="A24" s="148" t="inlineStr">
        <is>
          <t>每票件数M</t>
        </is>
      </c>
      <c r="B24" s="153" t="n">
        <v>20</v>
      </c>
      <c r="Z24" s="152" t="inlineStr">
        <is>
          <t>自贡市/南充市/达州市/遂宁市/广安市/巴中市/泸州市/宜宾市/内江市/乐山市/雅安市/德阳市/广元市</t>
        </is>
      </c>
    </row>
    <row r="25" ht="15" customHeight="1" s="144">
      <c r="A25" s="148" t="inlineStr">
        <is>
          <t>声明价值(元/票,可选)</t>
        </is>
      </c>
      <c r="B25" s="163" t="n"/>
      <c r="Z25" s="152" t="inlineStr">
        <is>
          <t>攀枝花市/凉山彝族自治州/甘孜藏族自治州/阿坝藏族羌族自治州</t>
        </is>
      </c>
    </row>
    <row r="26" ht="15" customHeight="1" s="144">
      <c r="A26" s="148" t="inlineStr">
        <is>
          <t>注</t>
        </is>
      </c>
      <c r="B26" s="156" t="inlineStr">
        <is>
          <t>物流产品选次日达/特惠普运；目的地只需填城市名（如“宁波”“杭州”），系统按所选产品自动匹配对应费率行；该产品不覆盖此城市时运费显示空白。</t>
        </is>
      </c>
      <c r="Z26" s="152" t="inlineStr">
        <is>
          <t>合肥市/芜湖市/马鞍山市</t>
        </is>
      </c>
    </row>
    <row r="27" ht="15" customHeight="1" s="144">
      <c r="A27" s="164" t="inlineStr">
        <is>
          <t>四、成本构成（未税/单台，自动计算）</t>
        </is>
      </c>
      <c r="F27" s="143" t="n"/>
      <c r="Z27" s="152" t="inlineStr">
        <is>
          <t>滁州市/蚌埠市/六安市</t>
        </is>
      </c>
    </row>
    <row r="28" ht="15" customHeight="1" s="144">
      <c r="A28" s="165" t="inlineStr">
        <is>
          <t>成本项目</t>
        </is>
      </c>
      <c r="B28" s="165" t="inlineStr">
        <is>
          <t>金额</t>
        </is>
      </c>
      <c r="C28" s="165" t="inlineStr">
        <is>
          <t>单位</t>
        </is>
      </c>
      <c r="D28" s="165" t="inlineStr">
        <is>
          <t>备注</t>
        </is>
      </c>
      <c r="E28" s="165" t="inlineStr">
        <is>
          <t>公式</t>
        </is>
      </c>
      <c r="F28" s="143" t="n"/>
      <c r="Z28" s="152" t="inlineStr">
        <is>
          <t>淮南市/安庆市/宿州市/亳州市/阜阳市/黄山市/淮北市/铜陵市/宣城市/池州市</t>
        </is>
      </c>
    </row>
    <row r="29" ht="15" customHeight="1" s="144">
      <c r="A29" s="166" t="inlineStr">
        <is>
          <t>硬件材料</t>
        </is>
      </c>
      <c r="B29" s="167">
        <f>SUMIFS(物料明细!$H:$H,物料明细!$B:$B,"硬件")</f>
        <v/>
      </c>
      <c r="C29" s="168" t="inlineStr">
        <is>
          <t>元/台</t>
        </is>
      </c>
      <c r="D29" s="169" t="inlineStr">
        <is>
          <t>物料明细·硬件(272项)</t>
        </is>
      </c>
      <c r="E29" s="170" t="n"/>
      <c r="F29" s="143" t="n"/>
      <c r="Z29" s="152" t="inlineStr">
        <is>
          <t>乌鲁木齐市</t>
        </is>
      </c>
    </row>
    <row r="30" ht="15" customHeight="1" s="144">
      <c r="A30" s="166" t="inlineStr">
        <is>
          <t>结构件</t>
        </is>
      </c>
      <c r="B30" s="167">
        <f>SUMIFS(物料明细!$H:$H,物料明细!$B:$B,"结构件")</f>
        <v/>
      </c>
      <c r="C30" s="168" t="inlineStr">
        <is>
          <t>元/台</t>
        </is>
      </c>
      <c r="D30" s="169" t="inlineStr">
        <is>
          <t>物料明细·结构件(32项，含组装结构)</t>
        </is>
      </c>
      <c r="E30" s="170" t="n"/>
      <c r="F30" s="143" t="n"/>
      <c r="Z30" s="152" t="inlineStr">
        <is>
          <t>塔城地区/白杨市/新星市/哈密市/昆玉市/和田地区/北屯市/阿勒泰地区/克孜勒苏柯尔克孜自治州/双河市/博尔塔拉蒙古自治州/克拉玛依市/胡杨河市/石河子市/五家渠市/昌吉回族自治州/吐鲁番市/巴音郭楞蒙古自治州/铁门关市/阿克苏地区/阿拉尔市/图木舒克市/喀什地区/伊犁哈萨克自治州/可克达拉市</t>
        </is>
      </c>
    </row>
    <row r="31" ht="15" customHeight="1" s="144">
      <c r="A31" s="166" t="inlineStr">
        <is>
          <t>散热器</t>
        </is>
      </c>
      <c r="B31" s="167">
        <f>SUMIFS(物料明细!$H:$H,物料明细!$B:$B,"散热器")</f>
        <v/>
      </c>
      <c r="C31" s="168" t="inlineStr">
        <is>
          <t>元/台</t>
        </is>
      </c>
      <c r="D31" s="169" t="inlineStr">
        <is>
          <t>单独采购68元未税(参数B49)，源表未含</t>
        </is>
      </c>
      <c r="E31" s="170" t="n"/>
      <c r="F31" s="143" t="n"/>
      <c r="Z31" s="152" t="inlineStr">
        <is>
          <t>南京市/无锡市/苏州市/常州市</t>
        </is>
      </c>
    </row>
    <row r="32" ht="15" customHeight="1" s="144">
      <c r="A32" s="166" t="inlineStr">
        <is>
          <t>包装材料</t>
        </is>
      </c>
      <c r="B32" s="167">
        <f>SUMIFS(物料明细!$H:$H,物料明细!$B:$B,"包装材料")</f>
        <v/>
      </c>
      <c r="C32" s="168" t="inlineStr">
        <is>
          <t>元/台</t>
        </is>
      </c>
      <c r="D32" s="169">
        <f>"包装BOM实际(商空方案8项)；包装计算模型估算="&amp;TEXT(包装计算!$B$43,"0.00")&amp;"元/件，可互校"</f>
        <v/>
      </c>
      <c r="E32" s="170" t="n"/>
      <c r="F32" s="143" t="n"/>
      <c r="Z32" s="152" t="inlineStr">
        <is>
          <t>镇江市/南通市/扬州市</t>
        </is>
      </c>
    </row>
    <row r="33" ht="15" customHeight="1" s="144">
      <c r="A33" s="166" t="inlineStr">
        <is>
          <t>辅助材料</t>
        </is>
      </c>
      <c r="B33" s="167">
        <f>SUMIFS(物料明细!$H:$H,物料明细!$B:$B,"辅助材料")</f>
        <v/>
      </c>
      <c r="C33" s="168" t="inlineStr">
        <is>
          <t>元/台</t>
        </is>
      </c>
      <c r="D33" s="169" t="inlineStr">
        <is>
          <t>物料明细·辅料(锡丝/助焊剂等，16项)</t>
        </is>
      </c>
      <c r="E33" s="170" t="n"/>
      <c r="F33" s="143" t="n"/>
      <c r="Z33" s="152" t="inlineStr">
        <is>
          <t>盐城市/徐州市/淮安市/连云港市/泰州市/宿迁市</t>
        </is>
      </c>
    </row>
    <row r="34" ht="15" customHeight="1" s="144">
      <c r="A34" s="166" t="inlineStr">
        <is>
          <t>加工成本</t>
        </is>
      </c>
      <c r="B34" s="167">
        <f>加工成本明细!$C$18</f>
        <v/>
      </c>
      <c r="C34" s="168" t="inlineStr">
        <is>
          <t>元/台</t>
        </is>
      </c>
      <c r="D34" s="169" t="inlineStr">
        <is>
          <t>综合口径：人工+SMT+机插+折旧+水电+管理(加工成本明细)</t>
        </is>
      </c>
      <c r="E34" s="170" t="n"/>
      <c r="F34" s="143" t="n"/>
    </row>
    <row r="35" ht="15" customHeight="1" s="144">
      <c r="A35" s="166" t="inlineStr">
        <is>
          <t>小计(料工费)</t>
        </is>
      </c>
      <c r="B35" s="171">
        <f>SUM(B29:B34)</f>
        <v/>
      </c>
      <c r="C35" s="168" t="inlineStr">
        <is>
          <t>元/台</t>
        </is>
      </c>
      <c r="D35" s="169" t="inlineStr">
        <is>
          <t>材料+加工(源表口径+散热器68)</t>
        </is>
      </c>
      <c r="E35" s="170" t="n"/>
      <c r="F35" s="143" t="n"/>
      <c r="Z35" s="152" t="inlineStr">
        <is>
          <t>天津市</t>
        </is>
      </c>
    </row>
    <row r="36" ht="15" customHeight="1" s="144">
      <c r="A36" s="166" t="inlineStr">
        <is>
          <t>成本差异</t>
        </is>
      </c>
      <c r="B36" s="167">
        <f>B35*参数!$B$50</f>
        <v/>
      </c>
      <c r="C36" s="168" t="inlineStr">
        <is>
          <t>元/台</t>
        </is>
      </c>
      <c r="D36" s="169" t="inlineStr">
        <is>
          <t>制造损耗/差异缓冲(参数B50，默认1.35%)</t>
        </is>
      </c>
      <c r="E36" s="170" t="n"/>
      <c r="F36" s="143" t="n"/>
      <c r="Z36" s="152" t="inlineStr">
        <is>
          <t>长春市</t>
        </is>
      </c>
    </row>
    <row r="37" ht="14.25" customHeight="1" s="144">
      <c r="A37" s="166" t="inlineStr">
        <is>
          <t>运费</t>
        </is>
      </c>
      <c r="B37" s="167">
        <f>IF(ISNUMBER(运费计算!$B$33),运费计算!$B$33,B35*参数!$B$51)</f>
        <v/>
      </c>
      <c r="C37" s="168" t="inlineStr">
        <is>
          <t>元/台</t>
        </is>
      </c>
      <c r="D37" s="169">
        <f>IF(ISNUMBER(运费计算!$B$33),"跨越费率自动计算(运费计算表)","跨越费率未覆盖该目的地，按参数B51运费率回退")</f>
        <v/>
      </c>
      <c r="E37" s="170" t="n"/>
      <c r="F37" s="143" t="n"/>
      <c r="Z37" s="152" t="inlineStr">
        <is>
          <t>吉林市</t>
        </is>
      </c>
    </row>
    <row r="38" ht="15" customHeight="1" s="144">
      <c r="A38" s="166" t="inlineStr">
        <is>
          <t>利润加成</t>
        </is>
      </c>
      <c r="B38" s="167">
        <f>SUM(B35:B37)*参数!$B$52</f>
        <v/>
      </c>
      <c r="C38" s="168" t="inlineStr">
        <is>
          <t>元/台</t>
        </is>
      </c>
      <c r="D38" s="169" t="inlineStr">
        <is>
          <t>成本内加成(参数B52，商空默认0)</t>
        </is>
      </c>
      <c r="E38" s="170" t="n"/>
      <c r="F38" s="143" t="n"/>
      <c r="Z38" s="152" t="inlineStr">
        <is>
          <t>延边朝鲜族自治州/四平市/通化市/白城市/辽源市/松原市/白山市</t>
        </is>
      </c>
    </row>
    <row r="39" ht="15" customHeight="1" s="144">
      <c r="A39" s="172" t="inlineStr">
        <is>
          <t>总成本未税</t>
        </is>
      </c>
      <c r="B39" s="173">
        <f>SUM(B35:B38)</f>
        <v/>
      </c>
      <c r="C39" s="174" t="inlineStr">
        <is>
          <t>元/台</t>
        </is>
      </c>
      <c r="D39" s="175" t="inlineStr">
        <is>
          <t>主营业务成本(单台)</t>
        </is>
      </c>
      <c r="E39" s="170" t="n"/>
      <c r="F39" s="143" t="n"/>
      <c r="Z39" s="152" t="inlineStr">
        <is>
          <t>银川市</t>
        </is>
      </c>
    </row>
    <row r="40" ht="15" customHeight="1" s="144">
      <c r="A40" s="176" t="n"/>
      <c r="B40" s="143" t="n"/>
      <c r="C40" s="177" t="n"/>
      <c r="D40" s="177" t="n"/>
      <c r="E40" s="143" t="n"/>
      <c r="F40" s="143" t="n"/>
      <c r="Z40" s="152" t="inlineStr">
        <is>
          <t>石嘴山市/吴忠市/固原市/中卫市</t>
        </is>
      </c>
    </row>
    <row r="41" ht="15" customHeight="1" s="144">
      <c r="A41" s="164" t="inlineStr">
        <is>
          <t>五、自动报价结果</t>
        </is>
      </c>
      <c r="F41" s="143" t="n"/>
      <c r="Z41" s="152" t="inlineStr">
        <is>
          <t>石家庄市/廊坊市</t>
        </is>
      </c>
    </row>
    <row r="42" ht="15" customHeight="1" s="144">
      <c r="A42" s="165" t="inlineStr">
        <is>
          <t>报价项目</t>
        </is>
      </c>
      <c r="B42" s="178" t="inlineStr">
        <is>
          <t>结果</t>
        </is>
      </c>
      <c r="C42" s="165" t="inlineStr">
        <is>
          <t>单位</t>
        </is>
      </c>
      <c r="D42" s="165" t="inlineStr">
        <is>
          <t>备注</t>
        </is>
      </c>
      <c r="E42" s="165" t="inlineStr">
        <is>
          <t>公式</t>
        </is>
      </c>
      <c r="F42" s="143" t="n"/>
      <c r="Z42" s="152" t="inlineStr">
        <is>
          <t>邯郸市/保定市/雄安新区/唐山市/沧州市/秦皇岛市</t>
        </is>
      </c>
    </row>
    <row r="43" ht="15" customHeight="1" s="144">
      <c r="A43" s="166" t="inlineStr">
        <is>
          <t>目标毛利率</t>
        </is>
      </c>
      <c r="B43" s="179">
        <f>参数!B4</f>
        <v/>
      </c>
      <c r="C43" s="180" t="inlineStr">
        <is>
          <t>%</t>
        </is>
      </c>
      <c r="D43" s="169" t="inlineStr">
        <is>
          <t>参数页可改(商空对齐源表0.3)</t>
        </is>
      </c>
      <c r="E43" s="170" t="n"/>
      <c r="F43" s="143" t="n"/>
      <c r="Z43" s="152" t="inlineStr">
        <is>
          <t>张家口市/承德市/衡水市/邢台市</t>
        </is>
      </c>
    </row>
    <row r="44" ht="15" customHeight="1" s="144">
      <c r="A44" s="181" t="inlineStr">
        <is>
          <t>建议报价未税</t>
        </is>
      </c>
      <c r="B44" s="173">
        <f>IFERROR(B39/(1-B43),0)</f>
        <v/>
      </c>
      <c r="C44" s="174" t="inlineStr">
        <is>
          <t>元/台</t>
        </is>
      </c>
      <c r="D44" s="175" t="inlineStr">
        <is>
          <t>总成本/(1-毛利率)</t>
        </is>
      </c>
      <c r="E44" s="170" t="n"/>
      <c r="F44" s="143" t="n"/>
      <c r="Z44" s="152" t="inlineStr">
        <is>
          <t>开封市/郑州市</t>
        </is>
      </c>
    </row>
    <row r="45" ht="15" customHeight="1" s="144">
      <c r="A45" s="166" t="inlineStr">
        <is>
          <t>税率</t>
        </is>
      </c>
      <c r="B45" s="179">
        <f>参数!B3</f>
        <v/>
      </c>
      <c r="C45" s="180" t="inlineStr">
        <is>
          <t>%</t>
        </is>
      </c>
      <c r="D45" s="169" t="inlineStr">
        <is>
          <t>参数页可改</t>
        </is>
      </c>
      <c r="E45" s="170" t="n"/>
      <c r="F45" s="143" t="n"/>
      <c r="Z45" s="152" t="inlineStr">
        <is>
          <t>新乡市/许昌市/信阳市/洛阳市/鹤壁市</t>
        </is>
      </c>
    </row>
    <row r="46" ht="15" customHeight="1" s="144">
      <c r="A46" s="181" t="inlineStr">
        <is>
          <t>建议报价含税</t>
        </is>
      </c>
      <c r="B46" s="173">
        <f>B44*(1+B45)</f>
        <v/>
      </c>
      <c r="C46" s="174" t="inlineStr">
        <is>
          <t>元/台</t>
        </is>
      </c>
      <c r="D46" s="175" t="inlineStr">
        <is>
          <t>未税价×(1+税率)</t>
        </is>
      </c>
      <c r="E46" s="170" t="n"/>
      <c r="F46" s="143" t="n"/>
      <c r="Z46" s="152" t="inlineStr">
        <is>
          <t>商丘市/安阳市/平顶山市/南阳市/焦作市/济源市/濮阳市/周口市/漯河市/驻马店市/三门峡市</t>
        </is>
      </c>
    </row>
    <row r="47" ht="15" customHeight="1" s="144">
      <c r="A47" s="166" t="inlineStr">
        <is>
          <t>客户目标价</t>
        </is>
      </c>
      <c r="B47" s="182" t="n"/>
      <c r="C47" s="168" t="inlineStr">
        <is>
          <t>元/台</t>
        </is>
      </c>
      <c r="D47" s="169" t="inlineStr">
        <is>
          <t>手工填写</t>
        </is>
      </c>
      <c r="E47" s="170" t="n"/>
      <c r="F47" s="143" t="n"/>
      <c r="Z47" s="152" t="inlineStr">
        <is>
          <t>崇左市/南宁市</t>
        </is>
      </c>
    </row>
    <row r="48" ht="15" customHeight="1" s="144">
      <c r="A48" s="166" t="inlineStr">
        <is>
          <t>目标价差异</t>
        </is>
      </c>
      <c r="B48" s="167">
        <f>IF(B47="","",B44-B47)</f>
        <v/>
      </c>
      <c r="C48" s="168" t="inlineStr">
        <is>
          <t>元/台</t>
        </is>
      </c>
      <c r="D48" s="169" t="inlineStr">
        <is>
          <t>建议价-目标价</t>
        </is>
      </c>
      <c r="E48" s="170" t="n"/>
      <c r="F48" s="143" t="n"/>
      <c r="Z48" s="152" t="inlineStr">
        <is>
          <t>柳州市/来宾市/桂林市</t>
        </is>
      </c>
    </row>
    <row r="49" ht="14.25" customHeight="1" s="144">
      <c r="A49" s="166" t="inlineStr">
        <is>
          <t>报价毛利率</t>
        </is>
      </c>
      <c r="B49" s="179">
        <f>IFERROR((B44-B39)/B44,0)</f>
        <v/>
      </c>
      <c r="C49" s="180" t="inlineStr">
        <is>
          <t>%</t>
        </is>
      </c>
      <c r="D49" s="169" t="inlineStr">
        <is>
          <t>自动计算</t>
        </is>
      </c>
      <c r="E49" s="170" t="n"/>
      <c r="F49" s="143" t="n"/>
      <c r="Z49" s="152" t="inlineStr">
        <is>
          <t>防城港市/梧州市/贺州市/贵港市/玉林市/百色市/钦州市/河池市/北海市</t>
        </is>
      </c>
    </row>
    <row r="50" ht="15" customHeight="1" s="144">
      <c r="A50" s="166" t="inlineStr">
        <is>
          <t>年销售额未税</t>
        </is>
      </c>
      <c r="B50" s="183">
        <f>B44*B8</f>
        <v/>
      </c>
      <c r="C50" s="168" t="inlineStr">
        <is>
          <t>元/年</t>
        </is>
      </c>
      <c r="D50" s="169" t="inlineStr">
        <is>
          <t>自动计算</t>
        </is>
      </c>
      <c r="E50" s="170" t="n"/>
      <c r="F50" s="143" t="n"/>
      <c r="Z50" s="152" t="inlineStr">
        <is>
          <t>屯昌县/五指山市/白沙黎族自治县/东方市/保亭黎族苗族自治县/琼中黎族苗族自治县/定安县/临高县/陵水黎族自治县/文昌市/海口市/万宁市/乐东黎族自治县/琼海市/澄迈县/昌江黎族自治县/儋州市/三亚市/三沙市</t>
        </is>
      </c>
    </row>
    <row r="51" ht="15" customHeight="1" s="144">
      <c r="A51" s="166" t="inlineStr">
        <is>
          <t>年毛利额</t>
        </is>
      </c>
      <c r="B51" s="183">
        <f>IFERROR((B44-B39)*B8,0)</f>
        <v/>
      </c>
      <c r="C51" s="168" t="inlineStr">
        <is>
          <t>元/年</t>
        </is>
      </c>
      <c r="D51" s="169" t="inlineStr">
        <is>
          <t>自动计算</t>
        </is>
      </c>
      <c r="E51" s="170" t="n"/>
      <c r="F51" s="143" t="n"/>
      <c r="Z51" s="152" t="inlineStr">
        <is>
          <t>上海市</t>
        </is>
      </c>
    </row>
    <row r="52" ht="15" customHeight="1" s="144">
      <c r="A52" s="176" t="n"/>
      <c r="B52" s="143" t="n"/>
      <c r="C52" s="143" t="n"/>
      <c r="D52" s="143" t="n"/>
      <c r="E52" s="143" t="n"/>
      <c r="F52" s="143" t="n"/>
      <c r="Z52" s="152" t="inlineStr">
        <is>
          <t>南昌市</t>
        </is>
      </c>
    </row>
    <row r="53" ht="14.25" customHeight="1" s="144">
      <c r="A53" s="164" t="inlineStr">
        <is>
          <t>六、一次性费用（直接向客户收取，不计入单台成本）</t>
        </is>
      </c>
      <c r="F53" s="143" t="n"/>
      <c r="Z53" s="152" t="inlineStr">
        <is>
          <t>九江市/吉安市/赣州市</t>
        </is>
      </c>
    </row>
    <row r="54" ht="14.25" customHeight="1" s="144">
      <c r="A54" s="165" t="inlineStr">
        <is>
          <t>费用项目</t>
        </is>
      </c>
      <c r="B54" s="184" t="inlineStr">
        <is>
          <t>金额</t>
        </is>
      </c>
      <c r="C54" s="165" t="inlineStr">
        <is>
          <t>单位</t>
        </is>
      </c>
      <c r="D54" s="165" t="inlineStr">
        <is>
          <t>备注</t>
        </is>
      </c>
      <c r="E54" s="165" t="inlineStr">
        <is>
          <t>公式</t>
        </is>
      </c>
      <c r="F54" s="143" t="n"/>
      <c r="Z54" s="152" t="inlineStr">
        <is>
          <t>鹰潭市/新余市/上饶市/抚州市/宜春市/景德镇市/萍乡市</t>
        </is>
      </c>
    </row>
    <row r="55" ht="14.25" customHeight="1" s="144">
      <c r="A55" s="166" t="inlineStr">
        <is>
          <t>工装治具费</t>
        </is>
      </c>
      <c r="B55" s="183">
        <f>参数!B54</f>
        <v/>
      </c>
      <c r="C55" s="168" t="inlineStr">
        <is>
          <t>元</t>
        </is>
      </c>
      <c r="D55" s="169" t="inlineStr">
        <is>
          <t>装配/测试/波峰焊/ICT等工装(加工成本明细·三)</t>
        </is>
      </c>
      <c r="E55" s="170" t="n"/>
      <c r="F55" s="143" t="n"/>
      <c r="Z55" s="152" t="inlineStr">
        <is>
          <t>昆明市</t>
        </is>
      </c>
    </row>
    <row r="56" ht="14.25" customHeight="1" s="144">
      <c r="A56" s="185" t="inlineStr">
        <is>
          <t>EPS泡沫模具费</t>
        </is>
      </c>
      <c r="B56" s="183">
        <f>参数!B53</f>
        <v/>
      </c>
      <c r="C56" s="168" t="inlineStr">
        <is>
          <t>元</t>
        </is>
      </c>
      <c r="D56" s="169" t="inlineStr">
        <is>
          <t>左右侧泡沫模具，N10305002124/25共用</t>
        </is>
      </c>
      <c r="E56" s="170" t="n"/>
      <c r="F56" s="143" t="n"/>
      <c r="Z56" s="152" t="inlineStr">
        <is>
          <t>大理白族自治州/曲靖市/玉溪市/楚雄彝族自治州</t>
        </is>
      </c>
    </row>
    <row r="57" ht="14.25" customHeight="1" s="144">
      <c r="A57" s="181" t="inlineStr">
        <is>
          <t>一次性合计</t>
        </is>
      </c>
      <c r="B57" s="186">
        <f>SUM(B55:B56)</f>
        <v/>
      </c>
      <c r="C57" s="174" t="inlineStr">
        <is>
          <t>元</t>
        </is>
      </c>
      <c r="D57" s="175" t="inlineStr">
        <is>
          <t>向客户单独收取</t>
        </is>
      </c>
      <c r="E57" s="170" t="n"/>
      <c r="F57" s="143" t="n"/>
      <c r="Z57" s="152" t="inlineStr">
        <is>
          <t>西双版纳傣族自治州/德宏傣族景颇族自治州/昭通市/红河哈尼族彝族自治州/保山市/文山壮族苗族自治州/普洱市/临沧市/怒江傈僳族自治州/迪庆藏族自治州/丽江市</t>
        </is>
      </c>
    </row>
    <row r="58" ht="14.25" customHeight="1" s="144">
      <c r="A58" s="143" t="n"/>
      <c r="B58" s="143" t="n"/>
      <c r="C58" s="143" t="n"/>
      <c r="D58" s="143" t="n"/>
      <c r="E58" s="143" t="n"/>
      <c r="F58" s="143" t="n"/>
      <c r="Z58" s="152" t="inlineStr">
        <is>
          <t>兰州市</t>
        </is>
      </c>
    </row>
    <row r="59" ht="14.25" customHeight="1" s="144">
      <c r="A59" s="164" t="inlineStr">
        <is>
          <t>七、风险检查与对账</t>
        </is>
      </c>
      <c r="F59" s="143" t="n"/>
      <c r="Z59" s="152" t="inlineStr">
        <is>
          <t>临夏回族自治州/定西市/平凉市/庆阳市/金昌市/武威市/张掖市/嘉峪关市/酒泉市/天水市/陇南市/甘南藏族自治州/白银市</t>
        </is>
      </c>
    </row>
    <row r="60" ht="14.25" customHeight="1" s="144">
      <c r="A60" s="165" t="inlineStr">
        <is>
          <t>检查项</t>
        </is>
      </c>
      <c r="B60" s="165" t="inlineStr">
        <is>
          <t>数值</t>
        </is>
      </c>
      <c r="C60" s="165" t="inlineStr">
        <is>
          <t>单位</t>
        </is>
      </c>
      <c r="D60" s="165" t="inlineStr">
        <is>
          <t>备注</t>
        </is>
      </c>
      <c r="E60" s="165" t="inlineStr">
        <is>
          <t>公式</t>
        </is>
      </c>
      <c r="F60" s="143" t="n"/>
      <c r="Z60" s="152" t="inlineStr">
        <is>
          <t>西安市/咸阳市</t>
        </is>
      </c>
    </row>
    <row r="61" ht="14.25" customHeight="1" s="144">
      <c r="A61" s="166" t="inlineStr">
        <is>
          <t>客供料品项(清单)</t>
        </is>
      </c>
      <c r="B61" s="187">
        <f>COUNTIF(物料明细!$B:$B,"客供料")</f>
        <v/>
      </c>
      <c r="C61" s="168" t="inlineStr">
        <is>
          <t>项</t>
        </is>
      </c>
      <c r="D61" s="169" t="inlineStr">
        <is>
          <t>源表客供料清单8颗，金额不计入成本</t>
        </is>
      </c>
      <c r="E61" s="170" t="n"/>
      <c r="F61" s="143" t="n"/>
      <c r="Z61" s="152" t="inlineStr">
        <is>
          <t>宝鸡市/铜川市</t>
        </is>
      </c>
    </row>
    <row r="62" ht="14.25" customHeight="1" s="144">
      <c r="A62" s="185" t="inlineStr">
        <is>
          <t>BOM内客供标记项</t>
        </is>
      </c>
      <c r="B62" s="187">
        <f>COUNTIFS(物料明细!$B:$B,"硬件",物料明细!$I:$I,"是")</f>
        <v/>
      </c>
      <c r="C62" s="168" t="inlineStr">
        <is>
          <t>项</t>
        </is>
      </c>
      <c r="D62" s="169" t="inlineStr">
        <is>
          <t>硬件BOM中单价为0的国创客供料，应与上行一致</t>
        </is>
      </c>
      <c r="E62" s="170" t="n"/>
      <c r="F62" s="143" t="n"/>
      <c r="Z62" s="152" t="inlineStr">
        <is>
          <t>延安市/榆林市/渭南市/商洛市/安康市/汉中市</t>
        </is>
      </c>
    </row>
    <row r="63" ht="14.25" customHeight="1" s="144">
      <c r="A63" s="166" t="inlineStr">
        <is>
          <t>未报价物料(非客供)</t>
        </is>
      </c>
      <c r="B63" s="187">
        <f>COUNTIFS(物料明细!$H:$H,0,物料明细!$I:$I,"否")</f>
        <v/>
      </c>
      <c r="C63" s="168" t="inlineStr">
        <is>
          <t>项</t>
        </is>
      </c>
      <c r="D63" s="169" t="inlineStr">
        <is>
          <t>金额为0且非客供的物料需补价，0为正常</t>
        </is>
      </c>
      <c r="E63" s="170" t="n"/>
      <c r="F63" s="143" t="n"/>
      <c r="Z63" s="152" t="inlineStr">
        <is>
          <t>杭州市/嘉兴市/宁波市</t>
        </is>
      </c>
    </row>
    <row r="64" ht="14.25" customHeight="1" s="144">
      <c r="A64" s="166" t="inlineStr">
        <is>
          <t>客供料参考金额(导入清单)</t>
        </is>
      </c>
      <c r="B64" s="188">
        <f>SUMPRODUCT((物料明细!$B$3:$B$339="客供料")*物料明细!$E$3:$E$339*物料明细!$F$3:$F$339)</f>
        <v/>
      </c>
      <c r="C64" s="168" t="inlineStr">
        <is>
          <t>元/台</t>
        </is>
      </c>
      <c r="D64" s="169" t="inlineStr">
        <is>
          <t>按导入清单用量×单价计算，仅供参考不计入成本</t>
        </is>
      </c>
      <c r="E64" s="170" t="n"/>
      <c r="F64" s="143" t="n"/>
      <c r="Z64" s="152" t="inlineStr">
        <is>
          <t>湖州市/绍兴市/金华市</t>
        </is>
      </c>
    </row>
    <row r="65" ht="14.25" customHeight="1" s="144">
      <c r="A65" s="166" t="inlineStr">
        <is>
          <t>源表客供合计(对照)</t>
        </is>
      </c>
      <c r="B65" s="188">
        <f>参数!B55</f>
        <v/>
      </c>
      <c r="C65" s="168" t="inlineStr">
        <is>
          <t>元/台</t>
        </is>
      </c>
      <c r="D65" s="169" t="inlineStr">
        <is>
          <t>源表合计554.3197；与上行差异属源表口径差，不影响报价</t>
        </is>
      </c>
      <c r="E65" s="170" t="n"/>
      <c r="F65" s="143" t="n"/>
      <c r="Z65" s="152" t="inlineStr">
        <is>
          <t>台州市/温州市</t>
        </is>
      </c>
    </row>
    <row r="66" ht="14.25" customHeight="1" s="144">
      <c r="A66" s="143" t="n"/>
      <c r="B66" s="143" t="n"/>
      <c r="C66" s="143" t="n"/>
      <c r="D66" s="143" t="n"/>
      <c r="E66" s="143" t="n"/>
      <c r="F66" s="143" t="n"/>
      <c r="Z66" s="152" t="inlineStr">
        <is>
          <t>衢州市/丽水市/舟山市</t>
        </is>
      </c>
    </row>
    <row r="67" ht="14.25" customHeight="1" s="144">
      <c r="A67" s="143" t="n"/>
      <c r="B67" s="143" t="n"/>
      <c r="C67" s="143" t="n"/>
      <c r="D67" s="143" t="n"/>
      <c r="E67" s="143" t="n"/>
      <c r="F67" s="143" t="n"/>
      <c r="Z67" s="152" t="inlineStr">
        <is>
          <t>呼和浩特市</t>
        </is>
      </c>
    </row>
    <row r="68" ht="14.25" customHeight="1" s="144">
      <c r="A68" s="143" t="n"/>
      <c r="B68" s="143" t="n"/>
      <c r="C68" s="143" t="n"/>
      <c r="D68" s="143" t="n"/>
      <c r="E68" s="143" t="n"/>
      <c r="F68" s="143" t="n"/>
      <c r="Z68" s="152" t="inlineStr">
        <is>
          <t>包头市</t>
        </is>
      </c>
    </row>
    <row r="69" ht="14.25" customHeight="1" s="144">
      <c r="A69" s="143" t="n"/>
      <c r="B69" s="143" t="n"/>
      <c r="C69" s="143" t="n"/>
      <c r="D69" s="143" t="n"/>
      <c r="E69" s="143" t="n"/>
      <c r="F69" s="143" t="n"/>
      <c r="Z69" s="152" t="inlineStr">
        <is>
          <t>呼伦贝尔市/乌海市/乌兰察布市/通辽市/赤峰市/鄂尔多斯市/巴彦淖尔市/锡林郭勒盟/兴安盟/阿拉善盟</t>
        </is>
      </c>
    </row>
    <row r="70" ht="14.25" customHeight="1" s="144">
      <c r="A70" s="143" t="n"/>
      <c r="B70" s="143" t="n"/>
      <c r="C70" s="143" t="n"/>
      <c r="D70" s="143" t="n"/>
      <c r="E70" s="143" t="n"/>
      <c r="F70" s="143" t="n"/>
      <c r="Z70" s="152" t="inlineStr">
        <is>
          <t>西宁市</t>
        </is>
      </c>
    </row>
    <row r="71" ht="14.25" customHeight="1" s="144">
      <c r="Z71" s="152" t="inlineStr">
        <is>
          <t>海北藏族自治州/海东市/黄南藏族自治州/海南藏族自治州/果洛藏族自治州/玉树藏族自治州/海西蒙古族藏族自治州</t>
        </is>
      </c>
    </row>
    <row r="72" ht="14.25" customHeight="1" s="144">
      <c r="Z72" s="152" t="inlineStr">
        <is>
          <t>抚顺市/本溪市/铁岭市/沈阳市/大连市</t>
        </is>
      </c>
    </row>
    <row r="73" ht="14.25" customHeight="1" s="144">
      <c r="Z73" s="152" t="inlineStr">
        <is>
          <t>鞍山市</t>
        </is>
      </c>
    </row>
    <row r="74" ht="14.25" customHeight="1" s="144">
      <c r="Z74" s="152" t="inlineStr">
        <is>
          <t>丹东市/锦州市/营口市/阜新市/辽阳市/朝阳市/盘锦市/葫芦岛市</t>
        </is>
      </c>
    </row>
    <row r="75" ht="14.25" customHeight="1" s="144">
      <c r="Z75" s="152" t="inlineStr">
        <is>
          <t>哈尔滨市</t>
        </is>
      </c>
    </row>
    <row r="76" ht="14.25" customHeight="1" s="144">
      <c r="Z76" s="152" t="inlineStr">
        <is>
          <t>齐齐哈尔市/牡丹江市/佳木斯市/绥化市/黑河市/大兴安岭地区/伊春市/大庆市/七台河市/鸡西市/鹤岗市/双鸭山市</t>
        </is>
      </c>
    </row>
    <row r="77" ht="14.25" customHeight="1" s="144">
      <c r="Z77" s="152" t="inlineStr">
        <is>
          <t>北京市</t>
        </is>
      </c>
    </row>
    <row r="78" ht="14.25" customHeight="1" s="144">
      <c r="Z78" s="152" t="inlineStr">
        <is>
          <t>太原市/晋中市</t>
        </is>
      </c>
    </row>
    <row r="79" ht="14.25" customHeight="1" s="144">
      <c r="Z79" s="152" t="inlineStr">
        <is>
          <t>朔州市/忻州市/大同市/阳泉市/长治市/晋城市/临汾市/吕梁市/运城市</t>
        </is>
      </c>
    </row>
    <row r="80" ht="14.25" customHeight="1" s="144">
      <c r="Z80" s="152" t="inlineStr">
        <is>
          <t>防城港市/桂林市/贵港市/玉林市/钦州市/北海市</t>
        </is>
      </c>
    </row>
    <row r="81" ht="14.25" customHeight="1" s="144">
      <c r="Z81" s="152" t="inlineStr">
        <is>
          <t>厦门市</t>
        </is>
      </c>
    </row>
    <row r="82" ht="14.25" customHeight="1" s="144">
      <c r="Z82" s="152" t="inlineStr">
        <is>
          <t>莆田市/泉州市/漳州市/龙岩市</t>
        </is>
      </c>
    </row>
    <row r="83" ht="14.25" customHeight="1" s="144">
      <c r="Z83" s="152" t="inlineStr">
        <is>
          <t>福州市</t>
        </is>
      </c>
    </row>
    <row r="84" ht="14.25" customHeight="1" s="144">
      <c r="Z84" s="152" t="inlineStr">
        <is>
          <t>宁德市/三明市/南平市</t>
        </is>
      </c>
    </row>
    <row r="85" ht="14.25" customHeight="1" s="144">
      <c r="Z85" s="152" t="inlineStr">
        <is>
          <t>邯郸市/保定市/雄安新区/衡水市/邢台市/阳泉市</t>
        </is>
      </c>
    </row>
    <row r="86" ht="14.25" customHeight="1" s="144">
      <c r="Z86" s="152" t="inlineStr">
        <is>
          <t>郴州市/张家界市/怀化市/永州市/铜仁市</t>
        </is>
      </c>
    </row>
    <row r="87" ht="14.25" customHeight="1" s="144">
      <c r="Z87" s="152" t="inlineStr">
        <is>
          <t>贵阳市</t>
        </is>
      </c>
    </row>
    <row r="88" ht="14.25" customHeight="1" s="144">
      <c r="Z88" s="152" t="inlineStr">
        <is>
          <t>遵义市/安顺市</t>
        </is>
      </c>
    </row>
    <row r="89" ht="14.25" customHeight="1" s="144">
      <c r="Z89" s="152" t="inlineStr">
        <is>
          <t>鹰潭市/新余市/九江市/上饶市/抚州市/吉安市/赣州市/景德镇市</t>
        </is>
      </c>
    </row>
    <row r="90" ht="14.25" customHeight="1" s="144">
      <c r="Z90" s="152" t="inlineStr">
        <is>
          <t>武汉市</t>
        </is>
      </c>
    </row>
    <row r="91" ht="14.25" customHeight="1" s="144">
      <c r="Z91" s="152" t="inlineStr">
        <is>
          <t>襄阳市/荆州市/宜昌市/恩施土家族苗族自治州/神农架林区/十堰市/荆门市</t>
        </is>
      </c>
    </row>
    <row r="92" ht="14.25" customHeight="1" s="144">
      <c r="Z92" s="152" t="inlineStr">
        <is>
          <t>信阳市/鄂州市/孝感市/黄冈市/黄石市/咸宁市/随州市/潜江市/仙桃市/天门市</t>
        </is>
      </c>
    </row>
    <row r="93" ht="14.25" customHeight="1" s="144">
      <c r="Z93" s="152" t="inlineStr">
        <is>
          <t>滁州市</t>
        </is>
      </c>
    </row>
    <row r="94" ht="14.25" customHeight="1" s="144">
      <c r="Z94" s="152" t="inlineStr">
        <is>
          <t>绵阳市/乐山市/雅安市/德阳市/广元市</t>
        </is>
      </c>
    </row>
    <row r="95" ht="14.25" customHeight="1" s="144">
      <c r="Z95" s="152" t="inlineStr">
        <is>
          <t>自贡市/南充市/达州市/遂宁市/广安市/巴中市/泸州市/宜宾市/内江市</t>
        </is>
      </c>
    </row>
    <row r="96" ht="14.25" customHeight="1" s="144">
      <c r="Z96" s="152" t="inlineStr">
        <is>
          <t>盐城市</t>
        </is>
      </c>
    </row>
    <row r="97" ht="14.25" customHeight="1" s="144">
      <c r="Z97" s="152" t="inlineStr">
        <is>
          <t>无锡市</t>
        </is>
      </c>
    </row>
    <row r="98" ht="14.25" customHeight="1" s="144">
      <c r="Z98" s="152" t="inlineStr">
        <is>
          <t>南京市</t>
        </is>
      </c>
    </row>
    <row r="99" ht="14.25" customHeight="1" s="144">
      <c r="Z99" s="152" t="inlineStr">
        <is>
          <t>淮安市</t>
        </is>
      </c>
    </row>
    <row r="100" ht="14.25" customHeight="1" s="144">
      <c r="Z100" s="152" t="inlineStr">
        <is>
          <t>徐州市/连云港市/宿迁市</t>
        </is>
      </c>
    </row>
    <row r="101" ht="14.25" customHeight="1" s="144">
      <c r="Z101" s="152" t="inlineStr">
        <is>
          <t>南通市</t>
        </is>
      </c>
    </row>
    <row r="102" ht="14.25" customHeight="1" s="144">
      <c r="Z102" s="152" t="inlineStr">
        <is>
          <t>抚顺市/本溪市/铁岭市</t>
        </is>
      </c>
    </row>
    <row r="103" ht="14.25" customHeight="1" s="144">
      <c r="Z103" s="152" t="inlineStr">
        <is>
          <t>沈阳市</t>
        </is>
      </c>
    </row>
    <row r="104" ht="14.25" customHeight="1" s="144">
      <c r="Z104" s="152" t="inlineStr">
        <is>
          <t>鞍山市/丹东市/营口市/辽阳市/朝阳市/盘锦市</t>
        </is>
      </c>
    </row>
    <row r="105" ht="14.25" customHeight="1" s="144">
      <c r="Z105" s="152" t="inlineStr">
        <is>
          <t>大连市</t>
        </is>
      </c>
    </row>
    <row r="106" ht="14.25" customHeight="1" s="144">
      <c r="Z106" s="152" t="inlineStr">
        <is>
          <t>运城市/延安市/渭南市/商洛市/安康市/汉中市/宝鸡市/铜川市/天水市</t>
        </is>
      </c>
    </row>
    <row r="107" ht="14.25" customHeight="1" s="144">
      <c r="Z107" s="152" t="inlineStr">
        <is>
          <t>吉林市/延边朝鲜族自治州/四平市/通化市/白城市/辽源市/松原市/白山市</t>
        </is>
      </c>
    </row>
    <row r="108" ht="14.25" customHeight="1" s="144">
      <c r="Z108" s="152" t="inlineStr">
        <is>
          <t>齐齐哈尔市/牡丹江市/佳木斯市/绥化市/鸡西市</t>
        </is>
      </c>
    </row>
    <row r="109" ht="14.25" customHeight="1" s="144">
      <c r="Z109" s="152" t="inlineStr">
        <is>
          <t>朔州市/忻州市/大同市/长治市/晋城市/吕梁市/榆林市</t>
        </is>
      </c>
    </row>
    <row r="110" ht="14.25" customHeight="1" s="144">
      <c r="Z110" s="152" t="inlineStr">
        <is>
          <t>石家庄市</t>
        </is>
      </c>
    </row>
    <row r="111" ht="14.25" customHeight="1" s="144">
      <c r="Z111" s="152" t="inlineStr">
        <is>
          <t>岳阳市/衡阳市/常德市/益阳市/娄底市/邵阳市/宜春市/萍乡市</t>
        </is>
      </c>
    </row>
    <row r="112" ht="14.25" customHeight="1" s="144">
      <c r="Z112" s="152" t="inlineStr">
        <is>
          <t>无锡市/苏州市/南通市/盐城市</t>
        </is>
      </c>
    </row>
    <row r="113" ht="14.25" customHeight="1" s="144">
      <c r="Z113" s="152" t="inlineStr">
        <is>
          <t>柳州市/来宾市</t>
        </is>
      </c>
    </row>
    <row r="114" ht="14.25" customHeight="1" s="144">
      <c r="Z114" s="152" t="inlineStr">
        <is>
          <t>大理白族自治州/红河哈尼族彝族自治州/曲靖市/玉溪市/楚雄彝族自治州</t>
        </is>
      </c>
    </row>
    <row r="115" ht="14.25" customHeight="1" s="144">
      <c r="Z115" s="152" t="inlineStr">
        <is>
          <t>黔南布依族苗族自治州/毕节市/六盘水市</t>
        </is>
      </c>
    </row>
    <row r="116" ht="14.25" customHeight="1" s="144">
      <c r="Z116" s="152" t="inlineStr">
        <is>
          <t>镇江市/扬州市/泰州市</t>
        </is>
      </c>
    </row>
    <row r="117" ht="14.25" customHeight="1" s="144">
      <c r="Z117" s="152" t="inlineStr">
        <is>
          <t>南通市/盐城市</t>
        </is>
      </c>
    </row>
    <row r="118" ht="14.25" customHeight="1" s="144">
      <c r="Z118" s="152" t="inlineStr">
        <is>
          <t>无锡市/苏州市/常州市</t>
        </is>
      </c>
    </row>
    <row r="119" ht="13.5" customHeight="1" s="144">
      <c r="Z119" s="152" t="inlineStr">
        <is>
          <t>廊坊市</t>
        </is>
      </c>
    </row>
    <row r="120" ht="13.5" customHeight="1" s="144">
      <c r="Z120" s="152" t="inlineStr">
        <is>
          <t>邯郸市/石家庄市/保定市/雄安新区/张家口市/承德市/唐山市/沧州市/衡水市/邢台市/秦皇岛市</t>
        </is>
      </c>
    </row>
  </sheetData>
  <mergeCells count="35">
    <mergeCell ref="A59:E59"/>
    <mergeCell ref="D63:E63"/>
    <mergeCell ref="D34:E34"/>
    <mergeCell ref="A1:E1"/>
    <mergeCell ref="D46:E46"/>
    <mergeCell ref="D36:E36"/>
    <mergeCell ref="D31:E31"/>
    <mergeCell ref="D65:E65"/>
    <mergeCell ref="D45:E45"/>
    <mergeCell ref="D49:E49"/>
    <mergeCell ref="D57:E57"/>
    <mergeCell ref="A41:E41"/>
    <mergeCell ref="D32:E32"/>
    <mergeCell ref="D61:E61"/>
    <mergeCell ref="D48:E48"/>
    <mergeCell ref="A27:E27"/>
    <mergeCell ref="A3:E3"/>
    <mergeCell ref="D47:E47"/>
    <mergeCell ref="A12:E12"/>
    <mergeCell ref="D43:E43"/>
    <mergeCell ref="D37:E37"/>
    <mergeCell ref="D62:E62"/>
    <mergeCell ref="D56:E56"/>
    <mergeCell ref="D39:E39"/>
    <mergeCell ref="A53:E53"/>
    <mergeCell ref="D55:E55"/>
    <mergeCell ref="D30:E30"/>
    <mergeCell ref="D64:E64"/>
    <mergeCell ref="D33:E33"/>
    <mergeCell ref="D29:E29"/>
    <mergeCell ref="D51:E51"/>
    <mergeCell ref="D38:E38"/>
    <mergeCell ref="D50:E50"/>
    <mergeCell ref="D44:E44"/>
    <mergeCell ref="D35:E35"/>
  </mergeCells>
  <conditionalFormatting sqref="B4:B6">
    <cfRule type="expression" rank="0" priority="2" equalAverage="0" aboveAverage="0" dxfId="0" text="" percent="0" bottom="0">
      <formula>LEN(B4)&gt;0</formula>
    </cfRule>
  </conditionalFormatting>
  <conditionalFormatting sqref="B8:B9">
    <cfRule type="expression" rank="0" priority="3" equalAverage="0" aboveAverage="0" dxfId="0" text="" percent="0" bottom="0">
      <formula>LEN(B8)&gt;0</formula>
    </cfRule>
  </conditionalFormatting>
  <conditionalFormatting sqref="B13:B20">
    <cfRule type="expression" rank="0" priority="4" equalAverage="0" aboveAverage="0" dxfId="0" text="" percent="0" bottom="0">
      <formula>LEN(B13)&gt;0</formula>
    </cfRule>
  </conditionalFormatting>
  <conditionalFormatting sqref="E20">
    <cfRule type="expression" rank="0" priority="5" equalAverage="0" aboveAverage="0" dxfId="0" text="" percent="0" bottom="0">
      <formula>LEN(E20)&gt;0</formula>
    </cfRule>
  </conditionalFormatting>
  <conditionalFormatting sqref="G20">
    <cfRule type="expression" rank="0" priority="6" equalAverage="0" aboveAverage="0" dxfId="0" text="" percent="0" bottom="0">
      <formula>LEN(G20)&gt;0</formula>
    </cfRule>
  </conditionalFormatting>
  <conditionalFormatting sqref="B22:B24">
    <cfRule type="expression" rank="0" priority="7" equalAverage="0" aboveAverage="0" dxfId="0" text="" percent="0" bottom="0">
      <formula>LEN(B22)&gt;0</formula>
    </cfRule>
  </conditionalFormatting>
  <dataValidations count="3">
    <dataValidation sqref="B18" showDropDown="0" showInputMessage="0" showErrorMessage="1" allowBlank="1" type="list" errorStyle="stop" operator="between">
      <formula1>"否,是"</formula1>
      <formula2>0</formula2>
    </dataValidation>
    <dataValidation sqref="B19:B20" showDropDown="0" showInputMessage="0" showErrorMessage="0" allowBlank="0" type="list" errorStyle="stop" operator="between">
      <formula1>"否,是"</formula1>
      <formula2>0</formula2>
    </dataValidation>
    <dataValidation sqref="B22" showDropDown="0" showInputMessage="0" showErrorMessage="0" allowBlank="1" type="list" errorStyle="stop" operator="between">
      <formula1>"次日达,特惠普运"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3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5859375" defaultRowHeight="13.5" zeroHeight="0" outlineLevelRow="0"/>
  <cols>
    <col width="8" customWidth="1" style="143" min="1" max="1"/>
    <col width="14" customWidth="1" style="143" min="2" max="2"/>
    <col width="16" customWidth="1" style="143" min="3" max="3"/>
    <col width="28" customWidth="1" style="143" min="4" max="4"/>
    <col width="12" customWidth="1" style="143" min="5" max="6"/>
    <col width="10" customWidth="1" style="143" min="7" max="7"/>
    <col width="12" customWidth="1" style="143" min="8" max="8"/>
    <col width="10" customWidth="1" style="143" min="9" max="9"/>
    <col width="24" customWidth="1" style="143" min="10" max="10"/>
  </cols>
  <sheetData>
    <row r="1" ht="18" customHeight="1" s="144">
      <c r="A1" s="189" t="inlineStr">
        <is>
          <t>物料明细</t>
        </is>
      </c>
    </row>
    <row r="2" ht="15" customHeight="1" s="144">
      <c r="A2" s="165" t="inlineStr">
        <is>
          <t>序号</t>
        </is>
      </c>
      <c r="B2" s="165" t="inlineStr">
        <is>
          <t>物料分类</t>
        </is>
      </c>
      <c r="C2" s="165" t="inlineStr">
        <is>
          <t>物料编码</t>
        </is>
      </c>
      <c r="D2" s="165" t="inlineStr">
        <is>
          <t>物料名称规格</t>
        </is>
      </c>
      <c r="E2" s="165" t="inlineStr">
        <is>
          <t>单机用量</t>
        </is>
      </c>
      <c r="F2" s="165" t="inlineStr">
        <is>
          <t>未税单价</t>
        </is>
      </c>
      <c r="G2" s="165" t="inlineStr">
        <is>
          <t>损耗率</t>
        </is>
      </c>
      <c r="H2" s="165" t="inlineStr">
        <is>
          <t>金额</t>
        </is>
      </c>
      <c r="I2" s="165" t="inlineStr">
        <is>
          <t>是否客供</t>
        </is>
      </c>
      <c r="J2" s="165" t="inlineStr">
        <is>
          <t>备注</t>
        </is>
      </c>
    </row>
    <row r="3" ht="13.5" customHeight="1" s="144">
      <c r="A3" s="168">
        <f>IF(C3&lt;&gt;"",ROW()-2,"")</f>
        <v/>
      </c>
      <c r="B3" s="190" t="inlineStr">
        <is>
          <t>硬件</t>
        </is>
      </c>
      <c r="C3" s="191" t="inlineStr">
        <is>
          <t>301H030491</t>
        </is>
      </c>
      <c r="D3" s="169" t="inlineStr">
        <is>
          <t>片式电阻 RC0805FR-07300KL/0805W8F3003T5E 1/8W,300KΩ,1%,0805(国巨/厚声)(编带)(RoHS)</t>
        </is>
      </c>
      <c r="E3" s="192" t="n">
        <v>18</v>
      </c>
      <c r="F3" s="193" t="n">
        <v>0.0045</v>
      </c>
      <c r="G3" s="194" t="n"/>
      <c r="H3" s="195">
        <f>IF(I3="是",0,IF(OR(E3="",F3=""),0,E3*F3*(1+IF(G3="",0,G3))))</f>
        <v/>
      </c>
      <c r="I3" s="190" t="inlineStr">
        <is>
          <t>否</t>
        </is>
      </c>
      <c r="J3" s="169" t="inlineStr">
        <is>
          <t>深圳市超利维实业有限公司</t>
        </is>
      </c>
    </row>
    <row r="4" ht="13.5" customHeight="1" s="144">
      <c r="A4" s="196">
        <f>IF(C4&lt;&gt;"",ROW()-2,"")</f>
        <v/>
      </c>
      <c r="B4" s="197" t="inlineStr">
        <is>
          <t>硬件</t>
        </is>
      </c>
      <c r="C4" s="198" t="inlineStr">
        <is>
          <t>306110396</t>
        </is>
      </c>
      <c r="D4" s="199" t="inlineStr">
        <is>
          <t>高压陶瓷电容 HGK3AF103ZG3AW 10nF,1KV,P=7.5(万明)(编带)(RoHS)</t>
        </is>
      </c>
      <c r="E4" s="200" t="n">
        <v>1</v>
      </c>
      <c r="F4" s="201" t="n">
        <v>0.1331</v>
      </c>
      <c r="G4" s="202" t="n"/>
      <c r="H4" s="203">
        <f>IF(I4="是",0,IF(OR(E4="",F4=""),0,E4*F4*(1+IF(G4="",0,G4))))</f>
        <v/>
      </c>
      <c r="I4" s="197" t="inlineStr">
        <is>
          <t>否</t>
        </is>
      </c>
      <c r="J4" s="199" t="inlineStr">
        <is>
          <t>厦门万明电子有限公司</t>
        </is>
      </c>
    </row>
    <row r="5" ht="13.5" customHeight="1" s="144">
      <c r="A5" s="168">
        <f>IF(C5&lt;&gt;"",ROW()-2,"")</f>
        <v/>
      </c>
      <c r="B5" s="190" t="inlineStr">
        <is>
          <t>硬件</t>
        </is>
      </c>
      <c r="C5" s="191" t="inlineStr">
        <is>
          <t>3155US1M</t>
        </is>
      </c>
      <c r="D5" s="169" t="inlineStr">
        <is>
          <t>超快恢复二极管 US1M 1A,1KV,SMA(强茂)(编带)(RoHS)</t>
        </is>
      </c>
      <c r="E5" s="192" t="n">
        <v>1</v>
      </c>
      <c r="F5" s="193" t="n">
        <v>0.0274</v>
      </c>
      <c r="G5" s="194" t="n"/>
      <c r="H5" s="195">
        <f>IF(I5="是",0,IF(OR(E5="",F5=""),0,E5*F5*(1+IF(G5="",0,G5))))</f>
        <v/>
      </c>
      <c r="I5" s="190" t="inlineStr">
        <is>
          <t>否</t>
        </is>
      </c>
      <c r="J5" s="169" t="inlineStr">
        <is>
          <t>厦门镁富莱工贸有限公司</t>
        </is>
      </c>
    </row>
    <row r="6" ht="13.5" customHeight="1" s="144">
      <c r="A6" s="196">
        <f>IF(C6&lt;&gt;"",ROW()-2,"")</f>
        <v/>
      </c>
      <c r="B6" s="197" t="inlineStr">
        <is>
          <t>硬件</t>
        </is>
      </c>
      <c r="C6" s="198" t="inlineStr">
        <is>
          <t>604B03VHZ51R</t>
        </is>
      </c>
      <c r="D6" s="199" t="inlineStr">
        <is>
          <t>端子 B3P-VH (JST)(RoHS)</t>
        </is>
      </c>
      <c r="E6" s="200" t="n">
        <v>1</v>
      </c>
      <c r="F6" s="201" t="n">
        <v>0.222</v>
      </c>
      <c r="G6" s="202" t="n"/>
      <c r="H6" s="203">
        <f>IF(I6="是",0,IF(OR(E6="",F6=""),0,E6*F6*(1+IF(G6="",0,G6))))</f>
        <v/>
      </c>
      <c r="I6" s="197" t="inlineStr">
        <is>
          <t>否</t>
        </is>
      </c>
      <c r="J6" s="199" t="inlineStr">
        <is>
          <t>深圳市恒有电子有限公司</t>
        </is>
      </c>
    </row>
    <row r="7" ht="13.5" customHeight="1" s="144">
      <c r="A7" s="168">
        <f>IF(C7&lt;&gt;"",ROW()-2,"")</f>
        <v/>
      </c>
      <c r="B7" s="190" t="inlineStr">
        <is>
          <t>硬件</t>
        </is>
      </c>
      <c r="C7" s="191" t="inlineStr">
        <is>
          <t>604B05VHZ51R</t>
        </is>
      </c>
      <c r="D7" s="169" t="inlineStr">
        <is>
          <t>端子 B5P-VH (JST)(RoHS)</t>
        </is>
      </c>
      <c r="E7" s="192" t="n">
        <v>2</v>
      </c>
      <c r="F7" s="193" t="n">
        <v>0.322</v>
      </c>
      <c r="G7" s="194" t="n"/>
      <c r="H7" s="195">
        <f>IF(I7="是",0,IF(OR(E7="",F7=""),0,E7*F7*(1+IF(G7="",0,G7))))</f>
        <v/>
      </c>
      <c r="I7" s="190" t="inlineStr">
        <is>
          <t>否</t>
        </is>
      </c>
      <c r="J7" s="169" t="inlineStr">
        <is>
          <t>深圳市恒有电子有限公司</t>
        </is>
      </c>
    </row>
    <row r="8" ht="13.5" customHeight="1" s="144">
      <c r="A8" s="196">
        <f>IF(C8&lt;&gt;"",ROW()-2,"")</f>
        <v/>
      </c>
      <c r="B8" s="197" t="inlineStr">
        <is>
          <t>硬件</t>
        </is>
      </c>
      <c r="C8" s="198" t="inlineStr">
        <is>
          <t>N30101000615</t>
        </is>
      </c>
      <c r="D8" s="199" t="inlineStr">
        <is>
          <t>片式电阻 RC1206JR-0775RL/1206W4J0750T5E 1/4W,75Ω,5%,1206(国巨/厚声)(编带)(RoHS)</t>
        </is>
      </c>
      <c r="E8" s="200" t="n">
        <v>1</v>
      </c>
      <c r="F8" s="201" t="n">
        <v>0.0045</v>
      </c>
      <c r="G8" s="202" t="n"/>
      <c r="H8" s="203">
        <f>IF(I8="是",0,IF(OR(E8="",F8=""),0,E8*F8*(1+IF(G8="",0,G8))))</f>
        <v/>
      </c>
      <c r="I8" s="197" t="inlineStr">
        <is>
          <t>否</t>
        </is>
      </c>
      <c r="J8" s="199" t="inlineStr">
        <is>
          <t>厚声国际贸易（昆山）有限公司</t>
        </is>
      </c>
    </row>
    <row r="9" ht="13.5" customHeight="1" s="144">
      <c r="A9" s="168">
        <f>IF(C9&lt;&gt;"",ROW()-2,"")</f>
        <v/>
      </c>
      <c r="B9" s="190" t="inlineStr">
        <is>
          <t>硬件</t>
        </is>
      </c>
      <c r="C9" s="191" t="inlineStr">
        <is>
          <t>N30101000894</t>
        </is>
      </c>
      <c r="D9" s="169" t="inlineStr">
        <is>
          <t>片式电阻 RC1206FR-0722RL/1206W4F220JT5E 1/4W,22Ω,1%,1206(国巨/厚声)(编带)(RoHS)</t>
        </is>
      </c>
      <c r="E9" s="192" t="n">
        <v>2</v>
      </c>
      <c r="F9" s="193" t="n">
        <v>0.0058</v>
      </c>
      <c r="G9" s="194" t="n"/>
      <c r="H9" s="195">
        <f>IF(I9="是",0,IF(OR(E9="",F9=""),0,E9*F9*(1+IF(G9="",0,G9))))</f>
        <v/>
      </c>
      <c r="I9" s="190" t="inlineStr">
        <is>
          <t>否</t>
        </is>
      </c>
      <c r="J9" s="169" t="inlineStr">
        <is>
          <t>厚声国际贸易（昆山）有限公司</t>
        </is>
      </c>
    </row>
    <row r="10" ht="13.5" customHeight="1" s="144">
      <c r="A10" s="196">
        <f>IF(C10&lt;&gt;"",ROW()-2,"")</f>
        <v/>
      </c>
      <c r="B10" s="197" t="inlineStr">
        <is>
          <t>硬件</t>
        </is>
      </c>
      <c r="C10" s="198" t="inlineStr">
        <is>
          <t>N30101001049</t>
        </is>
      </c>
      <c r="D10" s="199" t="inlineStr">
        <is>
          <t>片式电阻 RC1206FR-076R8L/1206W4F680KT5E 1/4W,6.8Ω,1%,1206(国巨/厚声)(编带)(RoHS)</t>
        </is>
      </c>
      <c r="E10" s="200" t="n">
        <v>2</v>
      </c>
      <c r="F10" s="201" t="n">
        <v>0.0083</v>
      </c>
      <c r="G10" s="202" t="n"/>
      <c r="H10" s="203">
        <f>IF(I10="是",0,IF(OR(E10="",F10=""),0,E10*F10*(1+IF(G10="",0,G10))))</f>
        <v/>
      </c>
      <c r="I10" s="197" t="inlineStr">
        <is>
          <t>否</t>
        </is>
      </c>
      <c r="J10" s="199" t="inlineStr">
        <is>
          <t>厚声国际贸易（昆山）有限公司</t>
        </is>
      </c>
    </row>
    <row r="11" ht="13.5" customHeight="1" s="144">
      <c r="A11" s="168">
        <f>IF(C11&lt;&gt;"",ROW()-2,"")</f>
        <v/>
      </c>
      <c r="B11" s="190" t="inlineStr">
        <is>
          <t>硬件</t>
        </is>
      </c>
      <c r="C11" s="191" t="inlineStr">
        <is>
          <t>N30101005306</t>
        </is>
      </c>
      <c r="D11" s="169" t="inlineStr">
        <is>
          <t>片式电阻 GMR320HJCFAR100 7W,100mΩ,1%,2817(Rohm)(编带)(RoHS)</t>
        </is>
      </c>
      <c r="E11" s="192" t="n">
        <v>2</v>
      </c>
      <c r="F11" s="193" t="n">
        <v>2.38</v>
      </c>
      <c r="G11" s="194" t="n"/>
      <c r="H11" s="195">
        <f>IF(I11="是",0,IF(OR(E11="",F11=""),0,E11*F11*(1+IF(G11="",0,G11))))</f>
        <v/>
      </c>
      <c r="I11" s="190" t="inlineStr">
        <is>
          <t>否</t>
        </is>
      </c>
      <c r="J11" s="169" t="inlineStr">
        <is>
          <t>北天星电子(深圳)有限公司</t>
        </is>
      </c>
    </row>
    <row r="12" ht="13.5" customHeight="1" s="144">
      <c r="A12" s="196">
        <f>IF(C12&lt;&gt;"",ROW()-2,"")</f>
        <v/>
      </c>
      <c r="B12" s="197" t="inlineStr">
        <is>
          <t>硬件</t>
        </is>
      </c>
      <c r="C12" s="198" t="inlineStr">
        <is>
          <t>N30101005309</t>
        </is>
      </c>
      <c r="D12" s="199" t="inlineStr">
        <is>
          <t>片式电阻 1210W2F3003T5E 1/2W,300KΩ,1%,1210(厚声)(编带)(RoHS)</t>
        </is>
      </c>
      <c r="E12" s="200" t="n">
        <v>8</v>
      </c>
      <c r="F12" s="201" t="n">
        <v>0.023</v>
      </c>
      <c r="G12" s="202" t="n"/>
      <c r="H12" s="203">
        <f>IF(I12="是",0,IF(OR(E12="",F12=""),0,E12*F12*(1+IF(G12="",0,G12))))</f>
        <v/>
      </c>
      <c r="I12" s="197" t="inlineStr">
        <is>
          <t>否</t>
        </is>
      </c>
      <c r="J12" s="199" t="inlineStr">
        <is>
          <t>厚声国际贸易（昆山）有限公司</t>
        </is>
      </c>
    </row>
    <row r="13" ht="13.5" customHeight="1" s="144">
      <c r="A13" s="168">
        <f>IF(C13&lt;&gt;"",ROW()-2,"")</f>
        <v/>
      </c>
      <c r="B13" s="190" t="inlineStr">
        <is>
          <t>硬件</t>
        </is>
      </c>
      <c r="C13" s="191" t="inlineStr">
        <is>
          <t>N30103000520</t>
        </is>
      </c>
      <c r="D13" s="169" t="inlineStr">
        <is>
          <t>金属膜电阻 MF02SJJ0364A10 2WS,360KΩ,5%(厚声)(HF;RoHS)</t>
        </is>
      </c>
      <c r="E13" s="192" t="n">
        <v>3</v>
      </c>
      <c r="F13" s="193" t="n">
        <v>0.065</v>
      </c>
      <c r="G13" s="194" t="n"/>
      <c r="H13" s="195">
        <f>IF(I13="是",0,IF(OR(E13="",F13=""),0,E13*F13*(1+IF(G13="",0,G13))))</f>
        <v/>
      </c>
      <c r="I13" s="190" t="inlineStr">
        <is>
          <t>否</t>
        </is>
      </c>
      <c r="J13" s="169" t="inlineStr">
        <is>
          <t>厚声国际贸易（昆山）有限公司</t>
        </is>
      </c>
    </row>
    <row r="14" ht="13.5" customHeight="1" s="144">
      <c r="A14" s="196">
        <f>IF(C14&lt;&gt;"",ROW()-2,"")</f>
        <v/>
      </c>
      <c r="B14" s="197" t="inlineStr">
        <is>
          <t>硬件</t>
        </is>
      </c>
      <c r="C14" s="198" t="inlineStr">
        <is>
          <t>N30103000526</t>
        </is>
      </c>
      <c r="D14" s="199" t="inlineStr">
        <is>
          <t>金属膜电阻 MF01WFF3003A10 1W,300KΩ,1%(厚声)(编带)(HF;RoHS)</t>
        </is>
      </c>
      <c r="E14" s="200" t="n">
        <v>1</v>
      </c>
      <c r="F14" s="201" t="n">
        <v>0.0828</v>
      </c>
      <c r="G14" s="202" t="n"/>
      <c r="H14" s="203">
        <f>IF(I14="是",0,IF(OR(E14="",F14=""),0,E14*F14*(1+IF(G14="",0,G14))))</f>
        <v/>
      </c>
      <c r="I14" s="197" t="inlineStr">
        <is>
          <t>否</t>
        </is>
      </c>
      <c r="J14" s="199" t="inlineStr">
        <is>
          <t>厚声国际贸易（昆山）有限公司</t>
        </is>
      </c>
    </row>
    <row r="15" ht="13.5" customHeight="1" s="144">
      <c r="A15" s="168">
        <f>IF(C15&lt;&gt;"",ROW()-2,"")</f>
        <v/>
      </c>
      <c r="B15" s="190" t="inlineStr">
        <is>
          <t>硬件</t>
        </is>
      </c>
      <c r="C15" s="191" t="inlineStr">
        <is>
          <t>N30103000527</t>
        </is>
      </c>
      <c r="D15" s="169" t="inlineStr">
        <is>
          <t>金属膜电阻 MF02WJJ0753A10 2W,75KΩ,5%(厚声)(编带)(HF;RoHS)</t>
        </is>
      </c>
      <c r="E15" s="192" t="n">
        <v>1</v>
      </c>
      <c r="F15" s="193" t="n">
        <v>0.092</v>
      </c>
      <c r="G15" s="194" t="n"/>
      <c r="H15" s="195">
        <f>IF(I15="是",0,IF(OR(E15="",F15=""),0,E15*F15*(1+IF(G15="",0,G15))))</f>
        <v/>
      </c>
      <c r="I15" s="190" t="inlineStr">
        <is>
          <t>否</t>
        </is>
      </c>
      <c r="J15" s="169" t="inlineStr">
        <is>
          <t>厚声国际贸易（昆山）有限公司</t>
        </is>
      </c>
    </row>
    <row r="16" ht="13.5" customHeight="1" s="144">
      <c r="A16" s="196">
        <f>IF(C16&lt;&gt;"",ROW()-2,"")</f>
        <v/>
      </c>
      <c r="B16" s="197" t="inlineStr">
        <is>
          <t>硬件</t>
        </is>
      </c>
      <c r="C16" s="198" t="inlineStr">
        <is>
          <t>N30111000138</t>
        </is>
      </c>
      <c r="D16" s="199" t="inlineStr">
        <is>
          <t>合金电阻 DSLR-K-7-3F 7W,3mΩ,1%,5930(业展)(编带)(REACH;RoHS)</t>
        </is>
      </c>
      <c r="E16" s="200" t="n">
        <v>3</v>
      </c>
      <c r="F16" s="201" t="n">
        <v>0.9</v>
      </c>
      <c r="G16" s="202" t="n"/>
      <c r="H16" s="203">
        <f>IF(I16="是",0,IF(OR(E16="",F16=""),0,E16*F16*(1+IF(G16="",0,G16))))</f>
        <v/>
      </c>
      <c r="I16" s="197" t="inlineStr">
        <is>
          <t>否</t>
        </is>
      </c>
      <c r="J16" s="199" t="inlineStr">
        <is>
          <t>北天星电子(深圳)有限公司</t>
        </is>
      </c>
    </row>
    <row r="17" ht="13.5" customHeight="1" s="144">
      <c r="A17" s="168">
        <f>IF(C17&lt;&gt;"",ROW()-2,"")</f>
        <v/>
      </c>
      <c r="B17" s="190" t="inlineStr">
        <is>
          <t>硬件</t>
        </is>
      </c>
      <c r="C17" s="191" t="inlineStr">
        <is>
          <t>N30111000139</t>
        </is>
      </c>
      <c r="D17" s="169" t="inlineStr">
        <is>
          <t>合金电阻 LR123WF200LT4E 3W,200mΩ,1%,2512(厚声)(编带)(RoHS)</t>
        </is>
      </c>
      <c r="E17" s="192" t="n">
        <v>8</v>
      </c>
      <c r="F17" s="193" t="n">
        <v>0.22</v>
      </c>
      <c r="G17" s="194" t="n"/>
      <c r="H17" s="195">
        <f>IF(I17="是",0,IF(OR(E17="",F17=""),0,E17*F17*(1+IF(G17="",0,G17))))</f>
        <v/>
      </c>
      <c r="I17" s="190" t="inlineStr">
        <is>
          <t>否</t>
        </is>
      </c>
      <c r="J17" s="169" t="inlineStr">
        <is>
          <t>厚声国际贸易（昆山）有限公司</t>
        </is>
      </c>
    </row>
    <row r="18" ht="13.5" customHeight="1" s="144">
      <c r="A18" s="196">
        <f>IF(C18&lt;&gt;"",ROW()-2,"")</f>
        <v/>
      </c>
      <c r="B18" s="197" t="inlineStr">
        <is>
          <t>硬件</t>
        </is>
      </c>
      <c r="C18" s="198" t="inlineStr">
        <is>
          <t>N30199000015</t>
        </is>
      </c>
      <c r="D18" s="199" t="inlineStr">
        <is>
          <t>片式电阻 1/4W,0Ω,5%,1206(编带)(RoHS)(互换件)</t>
        </is>
      </c>
      <c r="E18" s="200" t="n">
        <v>1</v>
      </c>
      <c r="F18" s="201" t="n">
        <v>0.0042</v>
      </c>
      <c r="G18" s="202" t="n"/>
      <c r="H18" s="203">
        <f>IF(I18="是",0,IF(OR(E18="",F18=""),0,E18*F18*(1+IF(G18="",0,G18))))</f>
        <v/>
      </c>
      <c r="I18" s="197" t="inlineStr">
        <is>
          <t>否</t>
        </is>
      </c>
      <c r="J18" s="199" t="inlineStr">
        <is>
          <t>厦门美赫电子有限公司</t>
        </is>
      </c>
    </row>
    <row r="19" ht="13.5" customHeight="1" s="144">
      <c r="A19" s="168">
        <f>IF(C19&lt;&gt;"",ROW()-2,"")</f>
        <v/>
      </c>
      <c r="B19" s="190" t="inlineStr">
        <is>
          <t>硬件</t>
        </is>
      </c>
      <c r="C19" s="191" t="inlineStr">
        <is>
          <t>N30199000022</t>
        </is>
      </c>
      <c r="D19" s="169" t="inlineStr">
        <is>
          <t>片式电阻 1/10W,10KΩ,1%,0603(编带)(RoHS)(互换件)</t>
        </is>
      </c>
      <c r="E19" s="192" t="n">
        <v>49</v>
      </c>
      <c r="F19" s="193" t="n">
        <v>0.0018</v>
      </c>
      <c r="G19" s="194" t="n"/>
      <c r="H19" s="195">
        <f>IF(I19="是",0,IF(OR(E19="",F19=""),0,E19*F19*(1+IF(G19="",0,G19))))</f>
        <v/>
      </c>
      <c r="I19" s="190" t="inlineStr">
        <is>
          <t>否</t>
        </is>
      </c>
      <c r="J19" s="169" t="inlineStr">
        <is>
          <t>厚声国际贸易（昆山）有限公司</t>
        </is>
      </c>
    </row>
    <row r="20" ht="13.5" customHeight="1" s="144">
      <c r="A20" s="196">
        <f>IF(C20&lt;&gt;"",ROW()-2,"")</f>
        <v/>
      </c>
      <c r="B20" s="197" t="inlineStr">
        <is>
          <t>硬件</t>
        </is>
      </c>
      <c r="C20" s="198" t="inlineStr">
        <is>
          <t>N30199000047</t>
        </is>
      </c>
      <c r="D20" s="199" t="inlineStr">
        <is>
          <t>片式电阻 1/10W,1KΩ,1%,0603(编带)(RoHS)(互换件)</t>
        </is>
      </c>
      <c r="E20" s="200" t="n">
        <v>25</v>
      </c>
      <c r="F20" s="201" t="n">
        <v>0.0018</v>
      </c>
      <c r="G20" s="202" t="n"/>
      <c r="H20" s="203">
        <f>IF(I20="是",0,IF(OR(E20="",F20=""),0,E20*F20*(1+IF(G20="",0,G20))))</f>
        <v/>
      </c>
      <c r="I20" s="197" t="inlineStr">
        <is>
          <t>否</t>
        </is>
      </c>
      <c r="J20" s="199" t="inlineStr">
        <is>
          <t>厦门美赫电子有限公司</t>
        </is>
      </c>
    </row>
    <row r="21" ht="13.5" customHeight="1" s="144">
      <c r="A21" s="168">
        <f>IF(C21&lt;&gt;"",ROW()-2,"")</f>
        <v/>
      </c>
      <c r="B21" s="190" t="inlineStr">
        <is>
          <t>硬件</t>
        </is>
      </c>
      <c r="C21" s="191" t="inlineStr">
        <is>
          <t>N30199000075</t>
        </is>
      </c>
      <c r="D21" s="169" t="inlineStr">
        <is>
          <t>片式电阻 1/10W,4.7KΩ,1%,0603(编带)(RoHS)(互换件)</t>
        </is>
      </c>
      <c r="E21" s="192" t="n">
        <v>9</v>
      </c>
      <c r="F21" s="193" t="n">
        <v>0.0018</v>
      </c>
      <c r="G21" s="194" t="n"/>
      <c r="H21" s="195">
        <f>IF(I21="是",0,IF(OR(E21="",F21=""),0,E21*F21*(1+IF(G21="",0,G21))))</f>
        <v/>
      </c>
      <c r="I21" s="190" t="inlineStr">
        <is>
          <t>否</t>
        </is>
      </c>
      <c r="J21" s="169" t="inlineStr">
        <is>
          <t>厦门美赫电子有限公司</t>
        </is>
      </c>
    </row>
    <row r="22" ht="13.5" customHeight="1" s="144">
      <c r="A22" s="196">
        <f>IF(C22&lt;&gt;"",ROW()-2,"")</f>
        <v/>
      </c>
      <c r="B22" s="197" t="inlineStr">
        <is>
          <t>硬件</t>
        </is>
      </c>
      <c r="C22" s="198" t="inlineStr">
        <is>
          <t>N30199000085</t>
        </is>
      </c>
      <c r="D22" s="199" t="inlineStr">
        <is>
          <t>片式电阻 1/10W,20KΩ,1%,0603(编带)(RoHS)(互换件)</t>
        </is>
      </c>
      <c r="E22" s="200" t="n">
        <v>2</v>
      </c>
      <c r="F22" s="201" t="n">
        <v>0.0018</v>
      </c>
      <c r="G22" s="202" t="n"/>
      <c r="H22" s="203">
        <f>IF(I22="是",0,IF(OR(E22="",F22=""),0,E22*F22*(1+IF(G22="",0,G22))))</f>
        <v/>
      </c>
      <c r="I22" s="197" t="inlineStr">
        <is>
          <t>否</t>
        </is>
      </c>
      <c r="J22" s="199" t="inlineStr">
        <is>
          <t>厦门美赫电子有限公司</t>
        </is>
      </c>
    </row>
    <row r="23" ht="13.5" customHeight="1" s="144">
      <c r="A23" s="168">
        <f>IF(C23&lt;&gt;"",ROW()-2,"")</f>
        <v/>
      </c>
      <c r="B23" s="190" t="inlineStr">
        <is>
          <t>硬件</t>
        </is>
      </c>
      <c r="C23" s="191" t="inlineStr">
        <is>
          <t>N30199000101</t>
        </is>
      </c>
      <c r="D23" s="169" t="inlineStr">
        <is>
          <t>片式电阻 1/10W,2.2KΩ,1%,0603(编带)(RoHS)(互换件)</t>
        </is>
      </c>
      <c r="E23" s="192" t="n">
        <v>7</v>
      </c>
      <c r="F23" s="193" t="n">
        <v>0.0018</v>
      </c>
      <c r="G23" s="194" t="n"/>
      <c r="H23" s="195">
        <f>IF(I23="是",0,IF(OR(E23="",F23=""),0,E23*F23*(1+IF(G23="",0,G23))))</f>
        <v/>
      </c>
      <c r="I23" s="190" t="inlineStr">
        <is>
          <t>否</t>
        </is>
      </c>
      <c r="J23" s="169" t="inlineStr">
        <is>
          <t>厦门美赫电子有限公司</t>
        </is>
      </c>
    </row>
    <row r="24" ht="13.5" customHeight="1" s="144">
      <c r="A24" s="196">
        <f>IF(C24&lt;&gt;"",ROW()-2,"")</f>
        <v/>
      </c>
      <c r="B24" s="197" t="inlineStr">
        <is>
          <t>硬件</t>
        </is>
      </c>
      <c r="C24" s="198" t="inlineStr">
        <is>
          <t>N30199000108</t>
        </is>
      </c>
      <c r="D24" s="199" t="inlineStr">
        <is>
          <t>片式电阻 1/10W,22KΩ,1%,0603(编带)(RoHS)(互换件)</t>
        </is>
      </c>
      <c r="E24" s="200" t="n">
        <v>2</v>
      </c>
      <c r="F24" s="201" t="n">
        <v>0.0018</v>
      </c>
      <c r="G24" s="202" t="n"/>
      <c r="H24" s="203">
        <f>IF(I24="是",0,IF(OR(E24="",F24=""),0,E24*F24*(1+IF(G24="",0,G24))))</f>
        <v/>
      </c>
      <c r="I24" s="197" t="inlineStr">
        <is>
          <t>否</t>
        </is>
      </c>
      <c r="J24" s="199" t="inlineStr">
        <is>
          <t>厦门美赫电子有限公司</t>
        </is>
      </c>
    </row>
    <row r="25" ht="13.5" customHeight="1" s="144">
      <c r="A25" s="168">
        <f>IF(C25&lt;&gt;"",ROW()-2,"")</f>
        <v/>
      </c>
      <c r="B25" s="190" t="inlineStr">
        <is>
          <t>硬件</t>
        </is>
      </c>
      <c r="C25" s="191" t="inlineStr">
        <is>
          <t>N30199000111</t>
        </is>
      </c>
      <c r="D25" s="169" t="inlineStr">
        <is>
          <t>片式电阻 1/10W,15KΩ,1%,0603(编带)(RoHS)(互换件)</t>
        </is>
      </c>
      <c r="E25" s="192" t="n">
        <v>8</v>
      </c>
      <c r="F25" s="193" t="n">
        <v>0.0018</v>
      </c>
      <c r="G25" s="194" t="n"/>
      <c r="H25" s="195">
        <f>IF(I25="是",0,IF(OR(E25="",F25=""),0,E25*F25*(1+IF(G25="",0,G25))))</f>
        <v/>
      </c>
      <c r="I25" s="190" t="inlineStr">
        <is>
          <t>否</t>
        </is>
      </c>
      <c r="J25" s="169" t="inlineStr">
        <is>
          <t>厦门美赫电子有限公司</t>
        </is>
      </c>
    </row>
    <row r="26" ht="13.5" customHeight="1" s="144">
      <c r="A26" s="196">
        <f>IF(C26&lt;&gt;"",ROW()-2,"")</f>
        <v/>
      </c>
      <c r="B26" s="197" t="inlineStr">
        <is>
          <t>硬件</t>
        </is>
      </c>
      <c r="C26" s="198" t="inlineStr">
        <is>
          <t>N30199000117</t>
        </is>
      </c>
      <c r="D26" s="199" t="inlineStr">
        <is>
          <t>片式电阻 1/4W,100Ω,5%,1206(编带)(RoHS)(互换件)</t>
        </is>
      </c>
      <c r="E26" s="200" t="n">
        <v>2</v>
      </c>
      <c r="F26" s="201" t="n">
        <v>0.0042</v>
      </c>
      <c r="G26" s="202" t="n"/>
      <c r="H26" s="203">
        <f>IF(I26="是",0,IF(OR(E26="",F26=""),0,E26*F26*(1+IF(G26="",0,G26))))</f>
        <v/>
      </c>
      <c r="I26" s="197" t="inlineStr">
        <is>
          <t>否</t>
        </is>
      </c>
      <c r="J26" s="199" t="inlineStr">
        <is>
          <t>厦门美赫电子有限公司</t>
        </is>
      </c>
    </row>
    <row r="27" ht="13.5" customHeight="1" s="144">
      <c r="A27" s="168">
        <f>IF(C27&lt;&gt;"",ROW()-2,"")</f>
        <v/>
      </c>
      <c r="B27" s="190" t="inlineStr">
        <is>
          <t>硬件</t>
        </is>
      </c>
      <c r="C27" s="191" t="inlineStr">
        <is>
          <t>N30199000127</t>
        </is>
      </c>
      <c r="D27" s="169" t="inlineStr">
        <is>
          <t>片式电阻 1/10W,5.6KΩ,1%,0603(编带)(RoHS)(互换件)</t>
        </is>
      </c>
      <c r="E27" s="192" t="n">
        <v>1</v>
      </c>
      <c r="F27" s="193" t="n">
        <v>0.0018</v>
      </c>
      <c r="G27" s="194" t="n"/>
      <c r="H27" s="195">
        <f>IF(I27="是",0,IF(OR(E27="",F27=""),0,E27*F27*(1+IF(G27="",0,G27))))</f>
        <v/>
      </c>
      <c r="I27" s="190" t="inlineStr">
        <is>
          <t>否</t>
        </is>
      </c>
      <c r="J27" s="169" t="inlineStr">
        <is>
          <t>厦门美赫电子有限公司</t>
        </is>
      </c>
    </row>
    <row r="28" ht="13.5" customHeight="1" s="144">
      <c r="A28" s="196">
        <f>IF(C28&lt;&gt;"",ROW()-2,"")</f>
        <v/>
      </c>
      <c r="B28" s="197" t="inlineStr">
        <is>
          <t>硬件</t>
        </is>
      </c>
      <c r="C28" s="198" t="inlineStr">
        <is>
          <t>N30199000137</t>
        </is>
      </c>
      <c r="D28" s="199" t="inlineStr">
        <is>
          <t>片式电阻 1/10W,470Ω,1%,0603(编带)(RoHS)(互换件)</t>
        </is>
      </c>
      <c r="E28" s="200" t="n">
        <v>1</v>
      </c>
      <c r="F28" s="201" t="n">
        <v>0.0018</v>
      </c>
      <c r="G28" s="202" t="n"/>
      <c r="H28" s="203">
        <f>IF(I28="是",0,IF(OR(E28="",F28=""),0,E28*F28*(1+IF(G28="",0,G28))))</f>
        <v/>
      </c>
      <c r="I28" s="197" t="inlineStr">
        <is>
          <t>否</t>
        </is>
      </c>
      <c r="J28" s="199" t="inlineStr">
        <is>
          <t>厚声国际贸易（昆山）有限公司</t>
        </is>
      </c>
    </row>
    <row r="29" ht="13.5" customHeight="1" s="144">
      <c r="A29" s="168">
        <f>IF(C29&lt;&gt;"",ROW()-2,"")</f>
        <v/>
      </c>
      <c r="B29" s="190" t="inlineStr">
        <is>
          <t>硬件</t>
        </is>
      </c>
      <c r="C29" s="191" t="inlineStr">
        <is>
          <t>N30199000146</t>
        </is>
      </c>
      <c r="D29" s="169" t="inlineStr">
        <is>
          <t>片式电阻 1/10W,3KΩ,1%,0603(编带)(RoHS)(互换件)</t>
        </is>
      </c>
      <c r="E29" s="192" t="n">
        <v>8</v>
      </c>
      <c r="F29" s="193" t="n">
        <v>0.0018</v>
      </c>
      <c r="G29" s="194" t="n"/>
      <c r="H29" s="195">
        <f>IF(I29="是",0,IF(OR(E29="",F29=""),0,E29*F29*(1+IF(G29="",0,G29))))</f>
        <v/>
      </c>
      <c r="I29" s="190" t="inlineStr">
        <is>
          <t>否</t>
        </is>
      </c>
      <c r="J29" s="169" t="inlineStr">
        <is>
          <t>厦门美赫电子有限公司</t>
        </is>
      </c>
    </row>
    <row r="30" ht="13.5" customHeight="1" s="144">
      <c r="A30" s="196">
        <f>IF(C30&lt;&gt;"",ROW()-2,"")</f>
        <v/>
      </c>
      <c r="B30" s="197" t="inlineStr">
        <is>
          <t>硬件</t>
        </is>
      </c>
      <c r="C30" s="198" t="inlineStr">
        <is>
          <t>N30199000171</t>
        </is>
      </c>
      <c r="D30" s="199" t="inlineStr">
        <is>
          <t>片式电阻 1/10W,5.1KΩ,1%,0603(编带)(RoHS)(互换件)</t>
        </is>
      </c>
      <c r="E30" s="200" t="n">
        <v>2</v>
      </c>
      <c r="F30" s="201" t="n">
        <v>0.0018</v>
      </c>
      <c r="G30" s="202" t="n"/>
      <c r="H30" s="203">
        <f>IF(I30="是",0,IF(OR(E30="",F30=""),0,E30*F30*(1+IF(G30="",0,G30))))</f>
        <v/>
      </c>
      <c r="I30" s="197" t="inlineStr">
        <is>
          <t>否</t>
        </is>
      </c>
      <c r="J30" s="199" t="inlineStr">
        <is>
          <t>厚声国际贸易（昆山）有限公司</t>
        </is>
      </c>
    </row>
    <row r="31" ht="13.5" customHeight="1" s="144">
      <c r="A31" s="168">
        <f>IF(C31&lt;&gt;"",ROW()-2,"")</f>
        <v/>
      </c>
      <c r="B31" s="190" t="inlineStr">
        <is>
          <t>硬件</t>
        </is>
      </c>
      <c r="C31" s="191" t="inlineStr">
        <is>
          <t>N30199000219</t>
        </is>
      </c>
      <c r="D31" s="169" t="inlineStr">
        <is>
          <t>片式电阻 1/10W,100Ω,1%,0603(编带)(RoHS)(互换件)</t>
        </is>
      </c>
      <c r="E31" s="192" t="n">
        <v>29</v>
      </c>
      <c r="F31" s="193" t="n">
        <v>0.0018</v>
      </c>
      <c r="G31" s="194" t="n"/>
      <c r="H31" s="195">
        <f>IF(I31="是",0,IF(OR(E31="",F31=""),0,E31*F31*(1+IF(G31="",0,G31))))</f>
        <v/>
      </c>
      <c r="I31" s="190" t="inlineStr">
        <is>
          <t>否</t>
        </is>
      </c>
      <c r="J31" s="169" t="inlineStr">
        <is>
          <t>厦门美赫电子有限公司</t>
        </is>
      </c>
    </row>
    <row r="32" ht="13.5" customHeight="1" s="144">
      <c r="A32" s="196">
        <f>IF(C32&lt;&gt;"",ROW()-2,"")</f>
        <v/>
      </c>
      <c r="B32" s="197" t="inlineStr">
        <is>
          <t>硬件</t>
        </is>
      </c>
      <c r="C32" s="198" t="inlineStr">
        <is>
          <t>N30199000237</t>
        </is>
      </c>
      <c r="D32" s="199" t="inlineStr">
        <is>
          <t>片式电阻 1/10W,510Ω,1%,0603(编带)(RoHS)(互换件)</t>
        </is>
      </c>
      <c r="E32" s="200" t="n">
        <v>2</v>
      </c>
      <c r="F32" s="201" t="n">
        <v>0.0018</v>
      </c>
      <c r="G32" s="202" t="n"/>
      <c r="H32" s="203">
        <f>IF(I32="是",0,IF(OR(E32="",F32=""),0,E32*F32*(1+IF(G32="",0,G32))))</f>
        <v/>
      </c>
      <c r="I32" s="197" t="inlineStr">
        <is>
          <t>否</t>
        </is>
      </c>
      <c r="J32" s="199" t="inlineStr">
        <is>
          <t>厦门美赫电子有限公司</t>
        </is>
      </c>
    </row>
    <row r="33" ht="13.5" customHeight="1" s="144">
      <c r="A33" s="168">
        <f>IF(C33&lt;&gt;"",ROW()-2,"")</f>
        <v/>
      </c>
      <c r="B33" s="190" t="inlineStr">
        <is>
          <t>硬件</t>
        </is>
      </c>
      <c r="C33" s="191" t="inlineStr">
        <is>
          <t>N30199000335</t>
        </is>
      </c>
      <c r="D33" s="169" t="inlineStr">
        <is>
          <t>片式电阻 1/10W,1.5KΩ,1%,0603(编带)(RoHS)(互换件)</t>
        </is>
      </c>
      <c r="E33" s="192" t="n">
        <v>1</v>
      </c>
      <c r="F33" s="193" t="n">
        <v>0.0018</v>
      </c>
      <c r="G33" s="194" t="n"/>
      <c r="H33" s="195">
        <f>IF(I33="是",0,IF(OR(E33="",F33=""),0,E33*F33*(1+IF(G33="",0,G33))))</f>
        <v/>
      </c>
      <c r="I33" s="190" t="inlineStr">
        <is>
          <t>否</t>
        </is>
      </c>
      <c r="J33" s="169" t="inlineStr">
        <is>
          <t>厦门美赫电子有限公司</t>
        </is>
      </c>
    </row>
    <row r="34" ht="13.5" customHeight="1" s="144">
      <c r="A34" s="196">
        <f>IF(C34&lt;&gt;"",ROW()-2,"")</f>
        <v/>
      </c>
      <c r="B34" s="197" t="inlineStr">
        <is>
          <t>硬件</t>
        </is>
      </c>
      <c r="C34" s="198" t="inlineStr">
        <is>
          <t>N30199000342</t>
        </is>
      </c>
      <c r="D34" s="199" t="inlineStr">
        <is>
          <t>片式电阻 1/10W,51KΩ,1%,0603(编带)(RoHS)(互换件)</t>
        </is>
      </c>
      <c r="E34" s="200" t="n">
        <v>2</v>
      </c>
      <c r="F34" s="201" t="n">
        <v>0.0018</v>
      </c>
      <c r="G34" s="202" t="n"/>
      <c r="H34" s="203">
        <f>IF(I34="是",0,IF(OR(E34="",F34=""),0,E34*F34*(1+IF(G34="",0,G34))))</f>
        <v/>
      </c>
      <c r="I34" s="197" t="inlineStr">
        <is>
          <t>否</t>
        </is>
      </c>
      <c r="J34" s="199" t="inlineStr">
        <is>
          <t>厦门美赫电子有限公司</t>
        </is>
      </c>
    </row>
    <row r="35" ht="13.5" customHeight="1" s="144">
      <c r="A35" s="168">
        <f>IF(C35&lt;&gt;"",ROW()-2,"")</f>
        <v/>
      </c>
      <c r="B35" s="190" t="inlineStr">
        <is>
          <t>硬件</t>
        </is>
      </c>
      <c r="C35" s="191" t="inlineStr">
        <is>
          <t>N30199000397</t>
        </is>
      </c>
      <c r="D35" s="169" t="inlineStr">
        <is>
          <t>片式电阻 1/4W,20KΩ,1%,1206(编带)(RoHS)(互换件)</t>
        </is>
      </c>
      <c r="E35" s="192" t="n">
        <v>1</v>
      </c>
      <c r="F35" s="193" t="n">
        <v>0.0058</v>
      </c>
      <c r="G35" s="194" t="n"/>
      <c r="H35" s="195">
        <f>IF(I35="是",0,IF(OR(E35="",F35=""),0,E35*F35*(1+IF(G35="",0,G35))))</f>
        <v/>
      </c>
      <c r="I35" s="190" t="inlineStr">
        <is>
          <t>否</t>
        </is>
      </c>
      <c r="J35" s="169" t="inlineStr">
        <is>
          <t>厚声国际贸易（昆山）有限公司</t>
        </is>
      </c>
    </row>
    <row r="36" ht="13.5" customHeight="1" s="144">
      <c r="A36" s="196">
        <f>IF(C36&lt;&gt;"",ROW()-2,"")</f>
        <v/>
      </c>
      <c r="B36" s="197" t="inlineStr">
        <is>
          <t>硬件</t>
        </is>
      </c>
      <c r="C36" s="198" t="inlineStr">
        <is>
          <t>N30199000444</t>
        </is>
      </c>
      <c r="D36" s="199" t="inlineStr">
        <is>
          <t>片式电阻 1/10W,6.2KΩ,1%,0603(编带)(RoHS)(互换件)</t>
        </is>
      </c>
      <c r="E36" s="200" t="n">
        <v>1</v>
      </c>
      <c r="F36" s="201" t="n">
        <v>0.0018</v>
      </c>
      <c r="G36" s="202" t="n"/>
      <c r="H36" s="203">
        <f>IF(I36="是",0,IF(OR(E36="",F36=""),0,E36*F36*(1+IF(G36="",0,G36))))</f>
        <v/>
      </c>
      <c r="I36" s="197" t="inlineStr">
        <is>
          <t>否</t>
        </is>
      </c>
      <c r="J36" s="199" t="inlineStr">
        <is>
          <t>厚声国际贸易（昆山）有限公司</t>
        </is>
      </c>
    </row>
    <row r="37" ht="13.5" customHeight="1" s="144">
      <c r="A37" s="168">
        <f>IF(C37&lt;&gt;"",ROW()-2,"")</f>
        <v/>
      </c>
      <c r="B37" s="190" t="inlineStr">
        <is>
          <t>硬件</t>
        </is>
      </c>
      <c r="C37" s="191" t="inlineStr">
        <is>
          <t>N30199000493</t>
        </is>
      </c>
      <c r="D37" s="169" t="inlineStr">
        <is>
          <t>片式电阻 1/4W,120Ω,5%,1206(编带)(RoHS)(互换件)</t>
        </is>
      </c>
      <c r="E37" s="192" t="n">
        <v>2</v>
      </c>
      <c r="F37" s="193" t="n">
        <v>0.0043</v>
      </c>
      <c r="G37" s="194" t="n"/>
      <c r="H37" s="195">
        <f>IF(I37="是",0,IF(OR(E37="",F37=""),0,E37*F37*(1+IF(G37="",0,G37))))</f>
        <v/>
      </c>
      <c r="I37" s="190" t="inlineStr">
        <is>
          <t>否</t>
        </is>
      </c>
      <c r="J37" s="169" t="inlineStr">
        <is>
          <t>厦门美赫电子有限公司</t>
        </is>
      </c>
    </row>
    <row r="38" ht="13.5" customHeight="1" s="144">
      <c r="A38" s="196">
        <f>IF(C38&lt;&gt;"",ROW()-2,"")</f>
        <v/>
      </c>
      <c r="B38" s="197" t="inlineStr">
        <is>
          <t>硬件</t>
        </is>
      </c>
      <c r="C38" s="198" t="inlineStr">
        <is>
          <t>N30199000523</t>
        </is>
      </c>
      <c r="D38" s="199" t="inlineStr">
        <is>
          <t>片式电阻 1/4W,1KΩ,1%,1206(编带)(RoHS)(互换件)</t>
        </is>
      </c>
      <c r="E38" s="200" t="n">
        <v>4</v>
      </c>
      <c r="F38" s="201" t="n">
        <v>0.0057</v>
      </c>
      <c r="G38" s="202" t="n"/>
      <c r="H38" s="203">
        <f>IF(I38="是",0,IF(OR(E38="",F38=""),0,E38*F38*(1+IF(G38="",0,G38))))</f>
        <v/>
      </c>
      <c r="I38" s="197" t="inlineStr">
        <is>
          <t>否</t>
        </is>
      </c>
      <c r="J38" s="199" t="inlineStr">
        <is>
          <t>厦门美赫电子有限公司</t>
        </is>
      </c>
    </row>
    <row r="39" ht="13.5" customHeight="1" s="144">
      <c r="A39" s="168">
        <f>IF(C39&lt;&gt;"",ROW()-2,"")</f>
        <v/>
      </c>
      <c r="B39" s="190" t="inlineStr">
        <is>
          <t>硬件</t>
        </is>
      </c>
      <c r="C39" s="191" t="inlineStr">
        <is>
          <t>N30199000561</t>
        </is>
      </c>
      <c r="D39" s="169" t="inlineStr">
        <is>
          <t>片式电阻 1/4W,47Ω,1%,1206(编带)(RoHS)(互换件)</t>
        </is>
      </c>
      <c r="E39" s="192" t="n">
        <v>10</v>
      </c>
      <c r="F39" s="193" t="n">
        <v>0.0058</v>
      </c>
      <c r="G39" s="194" t="n"/>
      <c r="H39" s="195">
        <f>IF(I39="是",0,IF(OR(E39="",F39=""),0,E39*F39*(1+IF(G39="",0,G39))))</f>
        <v/>
      </c>
      <c r="I39" s="190" t="inlineStr">
        <is>
          <t>否</t>
        </is>
      </c>
      <c r="J39" s="169" t="inlineStr">
        <is>
          <t>厚声国际贸易（昆山）有限公司</t>
        </is>
      </c>
    </row>
    <row r="40" ht="13.5" customHeight="1" s="144">
      <c r="A40" s="196">
        <f>IF(C40&lt;&gt;"",ROW()-2,"")</f>
        <v/>
      </c>
      <c r="B40" s="197" t="inlineStr">
        <is>
          <t>硬件</t>
        </is>
      </c>
      <c r="C40" s="198" t="inlineStr">
        <is>
          <t>N30199000577</t>
        </is>
      </c>
      <c r="D40" s="199" t="inlineStr">
        <is>
          <t>片式电阻 1/4W,300KΩ,1%,1206(编带)(RoHS)(互换件)</t>
        </is>
      </c>
      <c r="E40" s="200" t="n">
        <v>9</v>
      </c>
      <c r="F40" s="201" t="n">
        <v>0.0058</v>
      </c>
      <c r="G40" s="202" t="n"/>
      <c r="H40" s="203">
        <f>IF(I40="是",0,IF(OR(E40="",F40=""),0,E40*F40*(1+IF(G40="",0,G40))))</f>
        <v/>
      </c>
      <c r="I40" s="197" t="inlineStr">
        <is>
          <t>否</t>
        </is>
      </c>
      <c r="J40" s="199" t="inlineStr">
        <is>
          <t>厚声国际贸易（昆山）有限公司</t>
        </is>
      </c>
    </row>
    <row r="41" ht="13.5" customHeight="1" s="144">
      <c r="A41" s="168">
        <f>IF(C41&lt;&gt;"",ROW()-2,"")</f>
        <v/>
      </c>
      <c r="B41" s="190" t="inlineStr">
        <is>
          <t>硬件</t>
        </is>
      </c>
      <c r="C41" s="191" t="inlineStr">
        <is>
          <t>N30199000605</t>
        </is>
      </c>
      <c r="D41" s="169" t="inlineStr">
        <is>
          <t>片式电阻 1/4W,10Ω,1%,1206(编带)(RoHS)(互换件)</t>
        </is>
      </c>
      <c r="E41" s="192" t="n">
        <v>6</v>
      </c>
      <c r="F41" s="193" t="n">
        <v>0.0058</v>
      </c>
      <c r="G41" s="194" t="n"/>
      <c r="H41" s="195">
        <f>IF(I41="是",0,IF(OR(E41="",F41=""),0,E41*F41*(1+IF(G41="",0,G41))))</f>
        <v/>
      </c>
      <c r="I41" s="190" t="inlineStr">
        <is>
          <t>否</t>
        </is>
      </c>
      <c r="J41" s="169" t="inlineStr">
        <is>
          <t>厚声国际贸易（昆山）有限公司</t>
        </is>
      </c>
    </row>
    <row r="42" ht="13.5" customHeight="1" s="144">
      <c r="A42" s="196">
        <f>IF(C42&lt;&gt;"",ROW()-2,"")</f>
        <v/>
      </c>
      <c r="B42" s="197" t="inlineStr">
        <is>
          <t>硬件</t>
        </is>
      </c>
      <c r="C42" s="198" t="inlineStr">
        <is>
          <t>N30199000614</t>
        </is>
      </c>
      <c r="D42" s="199" t="inlineStr">
        <is>
          <t>片式电阻 1/10W,7.5KΩ,1%,0603(编带)(RoHS)(互换件)</t>
        </is>
      </c>
      <c r="E42" s="200" t="n">
        <v>13</v>
      </c>
      <c r="F42" s="201" t="n">
        <v>0.0018</v>
      </c>
      <c r="G42" s="202" t="n"/>
      <c r="H42" s="203">
        <f>IF(I42="是",0,IF(OR(E42="",F42=""),0,E42*F42*(1+IF(G42="",0,G42))))</f>
        <v/>
      </c>
      <c r="I42" s="197" t="inlineStr">
        <is>
          <t>否</t>
        </is>
      </c>
      <c r="J42" s="199" t="inlineStr">
        <is>
          <t>厚声国际贸易（昆山）有限公司</t>
        </is>
      </c>
    </row>
    <row r="43" ht="13.5" customHeight="1" s="144">
      <c r="A43" s="168">
        <f>IF(C43&lt;&gt;"",ROW()-2,"")</f>
        <v/>
      </c>
      <c r="B43" s="190" t="inlineStr">
        <is>
          <t>硬件</t>
        </is>
      </c>
      <c r="C43" s="191" t="inlineStr">
        <is>
          <t>N30199000619</t>
        </is>
      </c>
      <c r="D43" s="169" t="inlineStr">
        <is>
          <t>片式电阻 1/10W,10.5KΩ,1%,0603(编带)(RoHS)(互换件)</t>
        </is>
      </c>
      <c r="E43" s="192" t="n">
        <v>1</v>
      </c>
      <c r="F43" s="193" t="n">
        <v>0.0018</v>
      </c>
      <c r="G43" s="194" t="n"/>
      <c r="H43" s="195">
        <f>IF(I43="是",0,IF(OR(E43="",F43=""),0,E43*F43*(1+IF(G43="",0,G43))))</f>
        <v/>
      </c>
      <c r="I43" s="190" t="inlineStr">
        <is>
          <t>否</t>
        </is>
      </c>
      <c r="J43" s="169" t="inlineStr">
        <is>
          <t>厚声国际贸易（昆山）有限公司</t>
        </is>
      </c>
    </row>
    <row r="44" ht="13.5" customHeight="1" s="144">
      <c r="A44" s="196">
        <f>IF(C44&lt;&gt;"",ROW()-2,"")</f>
        <v/>
      </c>
      <c r="B44" s="197" t="inlineStr">
        <is>
          <t>硬件</t>
        </is>
      </c>
      <c r="C44" s="198" t="inlineStr">
        <is>
          <t>N30199000620</t>
        </is>
      </c>
      <c r="D44" s="199" t="inlineStr">
        <is>
          <t>片式电阻 1/10W,1.2KΩ,1%,0603(编带)(RoHS)(互换件)</t>
        </is>
      </c>
      <c r="E44" s="200" t="n">
        <v>2</v>
      </c>
      <c r="F44" s="201" t="n">
        <v>0.0018</v>
      </c>
      <c r="G44" s="202" t="n"/>
      <c r="H44" s="203">
        <f>IF(I44="是",0,IF(OR(E44="",F44=""),0,E44*F44*(1+IF(G44="",0,G44))))</f>
        <v/>
      </c>
      <c r="I44" s="197" t="inlineStr">
        <is>
          <t>否</t>
        </is>
      </c>
      <c r="J44" s="199" t="inlineStr">
        <is>
          <t>厚声国际贸易（昆山）有限公司</t>
        </is>
      </c>
    </row>
    <row r="45" ht="13.5" customHeight="1" s="144">
      <c r="A45" s="168">
        <f>IF(C45&lt;&gt;"",ROW()-2,"")</f>
        <v/>
      </c>
      <c r="B45" s="190" t="inlineStr">
        <is>
          <t>硬件</t>
        </is>
      </c>
      <c r="C45" s="191" t="inlineStr">
        <is>
          <t>N30199000693</t>
        </is>
      </c>
      <c r="D45" s="169" t="inlineStr">
        <is>
          <t>片式电阻 1/10W,0Ω,1%,0603(编带)(RoHS)(互换件)</t>
        </is>
      </c>
      <c r="E45" s="192" t="n">
        <v>3</v>
      </c>
      <c r="F45" s="193" t="n">
        <v>0.0018</v>
      </c>
      <c r="G45" s="194" t="n"/>
      <c r="H45" s="195">
        <f>IF(I45="是",0,IF(OR(E45="",F45=""),0,E45*F45*(1+IF(G45="",0,G45))))</f>
        <v/>
      </c>
      <c r="I45" s="190" t="inlineStr">
        <is>
          <t>否</t>
        </is>
      </c>
      <c r="J45" s="169" t="inlineStr">
        <is>
          <t>厦门美赫电子有限公司</t>
        </is>
      </c>
    </row>
    <row r="46" ht="13.5" customHeight="1" s="144">
      <c r="A46" s="196">
        <f>IF(C46&lt;&gt;"",ROW()-2,"")</f>
        <v/>
      </c>
      <c r="B46" s="197" t="inlineStr">
        <is>
          <t>硬件</t>
        </is>
      </c>
      <c r="C46" s="198" t="inlineStr">
        <is>
          <t>N30199000804</t>
        </is>
      </c>
      <c r="D46" s="199" t="inlineStr">
        <is>
          <t>片式电阻 1/4W,30Ω,1%,1206(编带)(RoHS)(互换件)</t>
        </is>
      </c>
      <c r="E46" s="200" t="n">
        <v>3</v>
      </c>
      <c r="F46" s="201" t="n">
        <v>0.0065</v>
      </c>
      <c r="G46" s="202" t="n"/>
      <c r="H46" s="203">
        <f>IF(I46="是",0,IF(OR(E46="",F46=""),0,E46*F46*(1+IF(G46="",0,G46))))</f>
        <v/>
      </c>
      <c r="I46" s="197" t="inlineStr">
        <is>
          <t>否</t>
        </is>
      </c>
      <c r="J46" s="199" t="inlineStr">
        <is>
          <t>厚声国际贸易（昆山）有限公司</t>
        </is>
      </c>
    </row>
    <row r="47" ht="13.5" customHeight="1" s="144">
      <c r="A47" s="168">
        <f>IF(C47&lt;&gt;"",ROW()-2,"")</f>
        <v/>
      </c>
      <c r="B47" s="190" t="inlineStr">
        <is>
          <t>硬件</t>
        </is>
      </c>
      <c r="C47" s="191" t="inlineStr">
        <is>
          <t>N30199000819</t>
        </is>
      </c>
      <c r="D47" s="169" t="inlineStr">
        <is>
          <t>片式电阻 1/10W,910Ω,1%,0603(编带)(RoHS)(互换件)</t>
        </is>
      </c>
      <c r="E47" s="192" t="n">
        <v>2</v>
      </c>
      <c r="F47" s="193" t="n">
        <v>0.002</v>
      </c>
      <c r="G47" s="194" t="n"/>
      <c r="H47" s="195">
        <f>IF(I47="是",0,IF(OR(E47="",F47=""),0,E47*F47*(1+IF(G47="",0,G47))))</f>
        <v/>
      </c>
      <c r="I47" s="190" t="inlineStr">
        <is>
          <t>否</t>
        </is>
      </c>
      <c r="J47" s="169" t="inlineStr">
        <is>
          <t>厚声国际贸易（昆山）有限公司</t>
        </is>
      </c>
    </row>
    <row r="48" ht="13.5" customHeight="1" s="144">
      <c r="A48" s="196">
        <f>IF(C48&lt;&gt;"",ROW()-2,"")</f>
        <v/>
      </c>
      <c r="B48" s="197" t="inlineStr">
        <is>
          <t>硬件</t>
        </is>
      </c>
      <c r="C48" s="198" t="inlineStr">
        <is>
          <t>N30301000078</t>
        </is>
      </c>
      <c r="D48" s="199" t="inlineStr">
        <is>
          <t>压敏电阻 561KD14 (君耀)(RoHS)</t>
        </is>
      </c>
      <c r="E48" s="200" t="n">
        <v>2</v>
      </c>
      <c r="F48" s="201" t="n">
        <v>0.286</v>
      </c>
      <c r="G48" s="202" t="n"/>
      <c r="H48" s="203">
        <f>IF(I48="是",0,IF(OR(E48="",F48=""),0,E48*F48*(1+IF(G48="",0,G48))))</f>
        <v/>
      </c>
      <c r="I48" s="197" t="inlineStr">
        <is>
          <t>否</t>
        </is>
      </c>
      <c r="J48" s="199" t="inlineStr">
        <is>
          <t>深圳市超利维实业有限公司</t>
        </is>
      </c>
    </row>
    <row r="49" ht="13.5" customHeight="1" s="144">
      <c r="A49" s="168">
        <f>IF(C49&lt;&gt;"",ROW()-2,"")</f>
        <v/>
      </c>
      <c r="B49" s="190" t="inlineStr">
        <is>
          <t>硬件</t>
        </is>
      </c>
      <c r="C49" s="191" t="inlineStr">
        <is>
          <t>N30301000122</t>
        </is>
      </c>
      <c r="D49" s="169" t="inlineStr">
        <is>
          <t>压敏电阻 911KD14-TR 550Vac,10%,P=7.5,Φ14(175J)(君耀)(编带)(RoHS)</t>
        </is>
      </c>
      <c r="E49" s="192" t="n">
        <v>3</v>
      </c>
      <c r="F49" s="193" t="n">
        <v>0.4425</v>
      </c>
      <c r="G49" s="194" t="n"/>
      <c r="H49" s="195">
        <f>IF(I49="是",0,IF(OR(E49="",F49=""),0,E49*F49*(1+IF(G49="",0,G49))))</f>
        <v/>
      </c>
      <c r="I49" s="190" t="inlineStr">
        <is>
          <t>否</t>
        </is>
      </c>
      <c r="J49" s="169" t="inlineStr">
        <is>
          <t>深圳市超利维实业有限公司</t>
        </is>
      </c>
    </row>
    <row r="50" ht="13.5" customHeight="1" s="144">
      <c r="A50" s="196">
        <f>IF(C50&lt;&gt;"",ROW()-2,"")</f>
        <v/>
      </c>
      <c r="B50" s="197" t="inlineStr">
        <is>
          <t>硬件</t>
        </is>
      </c>
      <c r="C50" s="198" t="inlineStr">
        <is>
          <t>N30303000192</t>
        </is>
      </c>
      <c r="D50" s="204" t="inlineStr">
        <is>
          <t>PTC热敏电阻 MZ32-47RHAGD03-C 280Vac,7A,47Ω,25%,P=8.5(安培龙)(RoHS)</t>
        </is>
      </c>
      <c r="E50" s="200" t="n">
        <v>1</v>
      </c>
      <c r="F50" s="201" t="n">
        <v>1.0619</v>
      </c>
      <c r="G50" s="202" t="n"/>
      <c r="H50" s="203">
        <f>IF(I50="是",0,IF(OR(E50="",F50=""),0,E50*F50*(1+IF(G50="",0,G50))))</f>
        <v/>
      </c>
      <c r="I50" s="197" t="inlineStr">
        <is>
          <t>否</t>
        </is>
      </c>
      <c r="J50" s="199" t="inlineStr">
        <is>
          <t>深圳安培龙科技股份有限公司</t>
        </is>
      </c>
    </row>
    <row r="51" ht="13.5" customHeight="1" s="144">
      <c r="A51" s="168">
        <f>IF(C51&lt;&gt;"",ROW()-2,"")</f>
        <v/>
      </c>
      <c r="B51" s="190" t="inlineStr">
        <is>
          <t>硬件</t>
        </is>
      </c>
      <c r="C51" s="191" t="inlineStr">
        <is>
          <t>N30303000193</t>
        </is>
      </c>
      <c r="D51" s="205" t="inlineStr">
        <is>
          <t>PTC热敏电阻 MZ32-68RNAGD01-C 440Vac,27A,68Ω,30%,P=8.5(安培龙)(RoHS)</t>
        </is>
      </c>
      <c r="E51" s="192" t="n">
        <v>1</v>
      </c>
      <c r="F51" s="193" t="n">
        <v>2.1239</v>
      </c>
      <c r="G51" s="194" t="n"/>
      <c r="H51" s="195">
        <f>IF(I51="是",0,IF(OR(E51="",F51=""),0,E51*F51*(1+IF(G51="",0,G51))))</f>
        <v/>
      </c>
      <c r="I51" s="190" t="inlineStr">
        <is>
          <t>否</t>
        </is>
      </c>
      <c r="J51" s="169" t="inlineStr">
        <is>
          <t>深圳安培龙科技股份有限公司</t>
        </is>
      </c>
    </row>
    <row r="52" ht="13.5" customHeight="1" s="144">
      <c r="A52" s="196">
        <f>IF(C52&lt;&gt;"",ROW()-2,"")</f>
        <v/>
      </c>
      <c r="B52" s="197" t="inlineStr">
        <is>
          <t>硬件</t>
        </is>
      </c>
      <c r="C52" s="198" t="inlineStr">
        <is>
          <t>N30309000009</t>
        </is>
      </c>
      <c r="D52" s="199" t="inlineStr">
        <is>
          <t>电流传感器 STK-50PL (希磁)(JCI 专用)(RoHS)</t>
        </is>
      </c>
      <c r="E52" s="200" t="n">
        <v>1</v>
      </c>
      <c r="F52" s="201" t="n">
        <v>9.199999999999999</v>
      </c>
      <c r="G52" s="202" t="n"/>
      <c r="H52" s="203">
        <f>IF(I52="是",0,IF(OR(E52="",F52=""),0,E52*F52*(1+IF(G52="",0,G52))))</f>
        <v/>
      </c>
      <c r="I52" s="197" t="inlineStr">
        <is>
          <t>否</t>
        </is>
      </c>
      <c r="J52" s="199" t="inlineStr">
        <is>
          <t>安徽希磁科技股份有限公司（特采)</t>
        </is>
      </c>
    </row>
    <row r="53" ht="13.5" customHeight="1" s="144">
      <c r="A53" s="168">
        <f>IF(C53&lt;&gt;"",ROW()-2,"")</f>
        <v/>
      </c>
      <c r="B53" s="190" t="inlineStr">
        <is>
          <t>硬件</t>
        </is>
      </c>
      <c r="C53" s="191" t="inlineStr">
        <is>
          <t>N30501000394</t>
        </is>
      </c>
      <c r="D53" s="169" t="inlineStr">
        <is>
          <t>安规薄膜电容 (X2) HQX225K0275NAYCCL15S 2.2uF,10%,275Vac,26.5X13X23,P=22.5(昱电)(RoHS)</t>
        </is>
      </c>
      <c r="E53" s="192" t="n">
        <v>3</v>
      </c>
      <c r="F53" s="193" t="n">
        <v>1.2</v>
      </c>
      <c r="G53" s="194" t="n"/>
      <c r="H53" s="195">
        <f>IF(I53="是",0,IF(OR(E53="",F53=""),0,E53*F53*(1+IF(G53="",0,G53))))</f>
        <v/>
      </c>
      <c r="I53" s="190" t="inlineStr">
        <is>
          <t>否</t>
        </is>
      </c>
      <c r="J53" s="169" t="inlineStr">
        <is>
          <t>厦门大毅电子有限公司</t>
        </is>
      </c>
    </row>
    <row r="54" ht="13.5" customHeight="1" s="144">
      <c r="A54" s="196">
        <f>IF(C54&lt;&gt;"",ROW()-2,"")</f>
        <v/>
      </c>
      <c r="B54" s="197" t="inlineStr">
        <is>
          <t>硬件</t>
        </is>
      </c>
      <c r="C54" s="198" t="inlineStr">
        <is>
          <t>N30503000105</t>
        </is>
      </c>
      <c r="D54" s="199" t="inlineStr">
        <is>
          <t>聚丙烯膜电容 C372J105J6SC000 1uF,5%,630V,P=15(法拉)(RoHS)</t>
        </is>
      </c>
      <c r="E54" s="200" t="n">
        <v>3</v>
      </c>
      <c r="F54" s="201" t="n">
        <v>0.65</v>
      </c>
      <c r="G54" s="202" t="n"/>
      <c r="H54" s="203">
        <f>IF(I54="是",0,IF(OR(E54="",F54=""),0,E54*F54*(1+IF(G54="",0,G54))))</f>
        <v/>
      </c>
      <c r="I54" s="197" t="inlineStr">
        <is>
          <t>否</t>
        </is>
      </c>
      <c r="J54" s="199" t="inlineStr">
        <is>
          <t>厦门法拉电子股份有限公司</t>
        </is>
      </c>
    </row>
    <row r="55" ht="13.5" customHeight="1" s="144">
      <c r="A55" s="168">
        <f>IF(C55&lt;&gt;"",ROW()-2,"")</f>
        <v/>
      </c>
      <c r="B55" s="190" t="inlineStr">
        <is>
          <t>硬件</t>
        </is>
      </c>
      <c r="C55" s="191" t="inlineStr">
        <is>
          <t>N30503000217</t>
        </is>
      </c>
      <c r="D55" s="169" t="inlineStr">
        <is>
          <t>聚丙烯膜电容 C322J222J30A301 2.2nF,5%,630Vdc,P=7.5(法拉)(编带)(RoHS)</t>
        </is>
      </c>
      <c r="E55" s="192" t="n">
        <v>1</v>
      </c>
      <c r="F55" s="193" t="n">
        <v>0.18</v>
      </c>
      <c r="G55" s="194" t="n"/>
      <c r="H55" s="195">
        <f>IF(I55="是",0,IF(OR(E55="",F55=""),0,E55*F55*(1+IF(G55="",0,G55))))</f>
        <v/>
      </c>
      <c r="I55" s="190" t="inlineStr">
        <is>
          <t>否</t>
        </is>
      </c>
      <c r="J55" s="169" t="inlineStr">
        <is>
          <t>厦门法拉电子股份有限公司</t>
        </is>
      </c>
    </row>
    <row r="56" ht="13.5" customHeight="1" s="144">
      <c r="A56" s="196">
        <f>IF(C56&lt;&gt;"",ROW()-2,"")</f>
        <v/>
      </c>
      <c r="B56" s="197" t="inlineStr">
        <is>
          <t>硬件</t>
        </is>
      </c>
      <c r="C56" s="198" t="inlineStr">
        <is>
          <t>N30503000218</t>
        </is>
      </c>
      <c r="D56" s="199" t="inlineStr">
        <is>
          <t>聚丙烯膜电容 C822J102J30A301 1nF,5%,630Vdc,P=7.5(法拉)(编带)(RoHS)</t>
        </is>
      </c>
      <c r="E56" s="200" t="n">
        <v>1</v>
      </c>
      <c r="F56" s="201" t="n">
        <v>0.22</v>
      </c>
      <c r="G56" s="202" t="n"/>
      <c r="H56" s="203">
        <f>IF(I56="是",0,IF(OR(E56="",F56=""),0,E56*F56*(1+IF(G56="",0,G56))))</f>
        <v/>
      </c>
      <c r="I56" s="197" t="inlineStr">
        <is>
          <t>否</t>
        </is>
      </c>
      <c r="J56" s="199" t="inlineStr">
        <is>
          <t>厦门法拉电子股份有限公司</t>
        </is>
      </c>
    </row>
    <row r="57" ht="13.5" customHeight="1" s="144">
      <c r="A57" s="168">
        <f>IF(C57&lt;&gt;"",ROW()-2,"")</f>
        <v/>
      </c>
      <c r="B57" s="190" t="inlineStr">
        <is>
          <t>硬件</t>
        </is>
      </c>
      <c r="C57" s="191" t="inlineStr">
        <is>
          <t>N30503000219</t>
        </is>
      </c>
      <c r="D57" s="169" t="inlineStr">
        <is>
          <t>聚丙烯膜电容 MKP21-1000V474K 470nF,10%,1KVdc,P=22.5(NJTJ专用)(华裕)(RoHS)</t>
        </is>
      </c>
      <c r="E57" s="192" t="n">
        <v>1</v>
      </c>
      <c r="F57" s="193" t="n">
        <v>0.335</v>
      </c>
      <c r="G57" s="194" t="n"/>
      <c r="H57" s="195">
        <f>IF(I57="是",0,IF(OR(E57="",F57=""),0,E57*F57*(1+IF(G57="",0,G57))))</f>
        <v/>
      </c>
      <c r="I57" s="190" t="inlineStr">
        <is>
          <t>否</t>
        </is>
      </c>
      <c r="J57" s="169" t="inlineStr">
        <is>
          <t>深圳市黑快能科技发展有限公司</t>
        </is>
      </c>
    </row>
    <row r="58" ht="13.5" customHeight="1" s="144">
      <c r="A58" s="196">
        <f>IF(C58&lt;&gt;"",ROW()-2,"")</f>
        <v/>
      </c>
      <c r="B58" s="197" t="inlineStr">
        <is>
          <t>硬件</t>
        </is>
      </c>
      <c r="C58" s="198" t="inlineStr">
        <is>
          <t>N30503000244</t>
        </is>
      </c>
      <c r="D58" s="199" t="inlineStr">
        <is>
          <t>聚丙烯膜电容 EZPV1B406MTC 40uF,10%,1.1KVdc,57.5X56X35,P=52.5(国创提供)(符合AEC-Q200)(Panasonic)(RoHS)</t>
        </is>
      </c>
      <c r="E58" s="200" t="n">
        <v>3</v>
      </c>
      <c r="F58" s="201" t="n">
        <v>0</v>
      </c>
      <c r="G58" s="202" t="n"/>
      <c r="H58" s="203">
        <f>IF(I58="是",0,IF(OR(E58="",F58=""),0,E58*F58*(1+IF(G58="",0,G58))))</f>
        <v/>
      </c>
      <c r="I58" s="197" t="inlineStr">
        <is>
          <t>是</t>
        </is>
      </c>
      <c r="J58" s="199" t="inlineStr">
        <is>
          <t>客供料(源BOM单价0，不计入成本)；20251014业务邮件通知客供料</t>
        </is>
      </c>
    </row>
    <row r="59" ht="13.5" customHeight="1" s="144">
      <c r="A59" s="168">
        <f>IF(C59&lt;&gt;"",ROW()-2,"")</f>
        <v/>
      </c>
      <c r="B59" s="190" t="inlineStr">
        <is>
          <t>硬件</t>
        </is>
      </c>
      <c r="C59" s="191" t="inlineStr">
        <is>
          <t>N30506000898</t>
        </is>
      </c>
      <c r="D59" s="169" t="inlineStr">
        <is>
          <t>铝电解电容 YXJ 16YXJ220MT16.3X11 220uF,20%,16V,105℃,6.3X11,P=2.5(Rubycon)(编带)(RoHS)</t>
        </is>
      </c>
      <c r="E59" s="192" t="n">
        <v>2</v>
      </c>
      <c r="F59" s="193" t="n">
        <v>0.145</v>
      </c>
      <c r="G59" s="194" t="n"/>
      <c r="H59" s="195">
        <f>IF(I59="是",0,IF(OR(E59="",F59=""),0,E59*F59*(1+IF(G59="",0,G59))))</f>
        <v/>
      </c>
      <c r="I59" s="190" t="inlineStr">
        <is>
          <t>否</t>
        </is>
      </c>
      <c r="J59" s="169" t="inlineStr">
        <is>
          <t>厦门埃尔华进出口有限公司</t>
        </is>
      </c>
    </row>
    <row r="60" ht="13.5" customHeight="1" s="144">
      <c r="A60" s="196">
        <f>IF(C60&lt;&gt;"",ROW()-2,"")</f>
        <v/>
      </c>
      <c r="B60" s="197" t="inlineStr">
        <is>
          <t>硬件</t>
        </is>
      </c>
      <c r="C60" s="198" t="inlineStr">
        <is>
          <t>N30506001051</t>
        </is>
      </c>
      <c r="D60" s="199" t="inlineStr">
        <is>
          <t>铝电解电容 35YXJ100MT16.3X11 100uF,20%,35V,105℃,6.3X11,P=2.5(Rubycon)(编带)(RoHS)</t>
        </is>
      </c>
      <c r="E60" s="200" t="n">
        <v>2</v>
      </c>
      <c r="F60" s="201" t="n">
        <v>0.1513</v>
      </c>
      <c r="G60" s="202" t="n"/>
      <c r="H60" s="203">
        <f>IF(I60="是",0,IF(OR(E60="",F60=""),0,E60*F60*(1+IF(G60="",0,G60))))</f>
        <v/>
      </c>
      <c r="I60" s="197" t="inlineStr">
        <is>
          <t>否</t>
        </is>
      </c>
      <c r="J60" s="199" t="inlineStr">
        <is>
          <t>厦门埃尔华进出口有限公司</t>
        </is>
      </c>
    </row>
    <row r="61" ht="13.5" customHeight="1" s="144">
      <c r="A61" s="168">
        <f>IF(C61&lt;&gt;"",ROW()-2,"")</f>
        <v/>
      </c>
      <c r="B61" s="190" t="inlineStr">
        <is>
          <t>硬件</t>
        </is>
      </c>
      <c r="C61" s="191" t="inlineStr">
        <is>
          <t>N30506001064</t>
        </is>
      </c>
      <c r="D61" s="169" t="inlineStr">
        <is>
          <t>铝电解电容 35YXJ470MT810X16 470uF,20%,35V,105℃,10X16,P=5(Rubycon)(编带)(RoHS)</t>
        </is>
      </c>
      <c r="E61" s="192" t="n">
        <v>4</v>
      </c>
      <c r="F61" s="193" t="n">
        <v>0.3969</v>
      </c>
      <c r="G61" s="194" t="n"/>
      <c r="H61" s="195">
        <f>IF(I61="是",0,IF(OR(E61="",F61=""),0,E61*F61*(1+IF(G61="",0,G61))))</f>
        <v/>
      </c>
      <c r="I61" s="190" t="inlineStr">
        <is>
          <t>否</t>
        </is>
      </c>
      <c r="J61" s="169" t="inlineStr">
        <is>
          <t>厦门埃尔华进出口有限公司</t>
        </is>
      </c>
    </row>
    <row r="62" ht="13.5" customHeight="1" s="144">
      <c r="A62" s="196">
        <f>IF(C62&lt;&gt;"",ROW()-2,"")</f>
        <v/>
      </c>
      <c r="B62" s="197" t="inlineStr">
        <is>
          <t>硬件</t>
        </is>
      </c>
      <c r="C62" s="198" t="inlineStr">
        <is>
          <t>N30506001069</t>
        </is>
      </c>
      <c r="D62" s="199" t="inlineStr">
        <is>
          <t>铝电解电容 50YXF47MT16.3X11 47uF,20%,50V,105℃,6.3X11,P=2.5(Rubycon)(编带)(RoHS)</t>
        </is>
      </c>
      <c r="E62" s="200" t="n">
        <v>2</v>
      </c>
      <c r="F62" s="201" t="n">
        <v>0.1401</v>
      </c>
      <c r="G62" s="202" t="n"/>
      <c r="H62" s="203">
        <f>IF(I62="是",0,IF(OR(E62="",F62=""),0,E62*F62*(1+IF(G62="",0,G62))))</f>
        <v/>
      </c>
      <c r="I62" s="197" t="inlineStr">
        <is>
          <t>否</t>
        </is>
      </c>
      <c r="J62" s="199" t="inlineStr">
        <is>
          <t>厦门埃尔华进出口有限公司</t>
        </is>
      </c>
    </row>
    <row r="63" ht="13.5" customHeight="1" s="144">
      <c r="A63" s="168">
        <f>IF(C63&lt;&gt;"",ROW()-2,"")</f>
        <v/>
      </c>
      <c r="B63" s="190" t="inlineStr">
        <is>
          <t>硬件</t>
        </is>
      </c>
      <c r="C63" s="191" t="inlineStr">
        <is>
          <t>N30506002046</t>
        </is>
      </c>
      <c r="D63" s="169" t="inlineStr">
        <is>
          <t>铝电解电容 LB1E471MF160B35CE0 470uF,20%,25V,105℃,8X16,P=3.5,6000h(华威)(编带)(RoHS)</t>
        </is>
      </c>
      <c r="E63" s="192" t="n">
        <v>1</v>
      </c>
      <c r="F63" s="193" t="n">
        <v>0.18</v>
      </c>
      <c r="G63" s="194" t="n"/>
      <c r="H63" s="195">
        <f>IF(I63="是",0,IF(OR(E63="",F63=""),0,E63*F63*(1+IF(G63="",0,G63))))</f>
        <v/>
      </c>
      <c r="I63" s="190" t="inlineStr">
        <is>
          <t>否</t>
        </is>
      </c>
      <c r="J63" s="169" t="inlineStr">
        <is>
          <t>常州华威电子有限公司</t>
        </is>
      </c>
    </row>
    <row r="64" ht="13.5" customHeight="1" s="144">
      <c r="A64" s="196">
        <f>IF(C64&lt;&gt;"",ROW()-2,"")</f>
        <v/>
      </c>
      <c r="B64" s="197" t="inlineStr">
        <is>
          <t>硬件</t>
        </is>
      </c>
      <c r="C64" s="198" t="inlineStr">
        <is>
          <t>N30506002166</t>
        </is>
      </c>
      <c r="D64" s="199" t="inlineStr">
        <is>
          <t>铝电解电容 ELT2WM152Y80LTSP 1500uF,20%,450V,105℃,40X80,P=14.2,5000h(艾华)(RoHS)</t>
        </is>
      </c>
      <c r="E64" s="200" t="n">
        <v>1</v>
      </c>
      <c r="F64" s="201" t="n">
        <v>39.2</v>
      </c>
      <c r="G64" s="202" t="n"/>
      <c r="H64" s="203">
        <f>IF(I64="是",0,IF(OR(E64="",F64=""),0,E64*F64*(1+IF(G64="",0,G64))))</f>
        <v/>
      </c>
      <c r="I64" s="197" t="inlineStr">
        <is>
          <t>否</t>
        </is>
      </c>
      <c r="J64" s="199" t="inlineStr">
        <is>
          <t>湖南艾华集团股份有限公司</t>
        </is>
      </c>
    </row>
    <row r="65" ht="13.5" customHeight="1" s="144">
      <c r="A65" s="168">
        <f>IF(C65&lt;&gt;"",ROW()-2,"")</f>
        <v/>
      </c>
      <c r="B65" s="190" t="inlineStr">
        <is>
          <t>硬件</t>
        </is>
      </c>
      <c r="C65" s="191" t="inlineStr">
        <is>
          <t>N30508000060</t>
        </is>
      </c>
      <c r="D65" s="169" t="inlineStr">
        <is>
          <t>安规陶瓷电容 (X1Y1) CD45-E2GA222M-VKA 2.2nF,20%,(X1)440Vac,(Y1)400Vac,P=10(TDK)(编带)(RoHS)</t>
        </is>
      </c>
      <c r="E65" s="192" t="n">
        <v>2</v>
      </c>
      <c r="F65" s="193" t="n">
        <v>0.1647</v>
      </c>
      <c r="G65" s="194" t="n"/>
      <c r="H65" s="195">
        <f>IF(I65="是",0,IF(OR(E65="",F65=""),0,E65*F65*(1+IF(G65="",0,G65))))</f>
        <v/>
      </c>
      <c r="I65" s="190" t="inlineStr">
        <is>
          <t>否</t>
        </is>
      </c>
      <c r="J65" s="169" t="inlineStr">
        <is>
          <t>瑞瑜国际贸易（上海）有限公司</t>
        </is>
      </c>
    </row>
    <row r="66" ht="13.5" customHeight="1" s="144">
      <c r="A66" s="196">
        <f>IF(C66&lt;&gt;"",ROW()-2,"")</f>
        <v/>
      </c>
      <c r="B66" s="197" t="inlineStr">
        <is>
          <t>硬件</t>
        </is>
      </c>
      <c r="C66" s="198" t="inlineStr">
        <is>
          <t>N30515002473</t>
        </is>
      </c>
      <c r="D66" s="199" t="inlineStr">
        <is>
          <t>片式瓷介电容 0805B475K500NT X7R,4.7uF,10%,50V,0805(风华)(编带)(RoHS)</t>
        </is>
      </c>
      <c r="E66" s="200" t="n">
        <v>2</v>
      </c>
      <c r="F66" s="201" t="n">
        <v>0.1</v>
      </c>
      <c r="G66" s="202" t="n"/>
      <c r="H66" s="203">
        <f>IF(I66="是",0,IF(OR(E66="",F66=""),0,E66*F66*(1+IF(G66="",0,G66))))</f>
        <v/>
      </c>
      <c r="I66" s="197" t="inlineStr">
        <is>
          <t>否</t>
        </is>
      </c>
      <c r="J66" s="199" t="inlineStr">
        <is>
          <t>厦门美赫电子有限公司</t>
        </is>
      </c>
    </row>
    <row r="67" ht="13.5" customHeight="1" s="144">
      <c r="A67" s="168">
        <f>IF(C67&lt;&gt;"",ROW()-2,"")</f>
        <v/>
      </c>
      <c r="B67" s="190" t="inlineStr">
        <is>
          <t>硬件</t>
        </is>
      </c>
      <c r="C67" s="191" t="inlineStr">
        <is>
          <t>N30599000004</t>
        </is>
      </c>
      <c r="D67" s="169" t="inlineStr">
        <is>
          <t>片式瓷介电容 X7R,100nF,10%,50V,0603(编带)(RoHS)(互换件)</t>
        </is>
      </c>
      <c r="E67" s="192" t="n">
        <v>45</v>
      </c>
      <c r="F67" s="193" t="n">
        <v>0.0051</v>
      </c>
      <c r="G67" s="194" t="n"/>
      <c r="H67" s="195">
        <f>IF(I67="是",0,IF(OR(E67="",F67=""),0,E67*F67*(1+IF(G67="",0,G67))))</f>
        <v/>
      </c>
      <c r="I67" s="190" t="inlineStr">
        <is>
          <t>否</t>
        </is>
      </c>
      <c r="J67" s="169" t="inlineStr">
        <is>
          <t>厦门美赫电子有限公司</t>
        </is>
      </c>
    </row>
    <row r="68" ht="13.5" customHeight="1" s="144">
      <c r="A68" s="196">
        <f>IF(C68&lt;&gt;"",ROW()-2,"")</f>
        <v/>
      </c>
      <c r="B68" s="197" t="inlineStr">
        <is>
          <t>硬件</t>
        </is>
      </c>
      <c r="C68" s="198" t="inlineStr">
        <is>
          <t>N30599000010</t>
        </is>
      </c>
      <c r="D68" s="199" t="inlineStr">
        <is>
          <t>片式瓷介电容 NP0,100pF,5%,50V,0603(编带)(RoHS)(互换件)</t>
        </is>
      </c>
      <c r="E68" s="200" t="n">
        <v>31</v>
      </c>
      <c r="F68" s="201" t="n">
        <v>0.005</v>
      </c>
      <c r="G68" s="202" t="n"/>
      <c r="H68" s="203">
        <f>IF(I68="是",0,IF(OR(E68="",F68=""),0,E68*F68*(1+IF(G68="",0,G68))))</f>
        <v/>
      </c>
      <c r="I68" s="197" t="inlineStr">
        <is>
          <t>否</t>
        </is>
      </c>
      <c r="J68" s="199" t="inlineStr">
        <is>
          <t>厦门美赫电子有限公司</t>
        </is>
      </c>
    </row>
    <row r="69" ht="13.5" customHeight="1" s="144">
      <c r="A69" s="168">
        <f>IF(C69&lt;&gt;"",ROW()-2,"")</f>
        <v/>
      </c>
      <c r="B69" s="190" t="inlineStr">
        <is>
          <t>硬件</t>
        </is>
      </c>
      <c r="C69" s="191" t="inlineStr">
        <is>
          <t>N30599000011</t>
        </is>
      </c>
      <c r="D69" s="169" t="inlineStr">
        <is>
          <t>片式瓷介电容 X7R,1nF,10%,50V,0603(编带)(RoHS)(互换件)</t>
        </is>
      </c>
      <c r="E69" s="192" t="n">
        <v>10</v>
      </c>
      <c r="F69" s="193" t="n">
        <v>0.0048</v>
      </c>
      <c r="G69" s="194" t="n"/>
      <c r="H69" s="195">
        <f>IF(I69="是",0,IF(OR(E69="",F69=""),0,E69*F69*(1+IF(G69="",0,G69))))</f>
        <v/>
      </c>
      <c r="I69" s="190" t="inlineStr">
        <is>
          <t>否</t>
        </is>
      </c>
      <c r="J69" s="169" t="inlineStr">
        <is>
          <t>厦门美赫电子有限公司</t>
        </is>
      </c>
    </row>
    <row r="70" ht="13.5" customHeight="1" s="144">
      <c r="A70" s="196">
        <f>IF(C70&lt;&gt;"",ROW()-2,"")</f>
        <v/>
      </c>
      <c r="B70" s="197" t="inlineStr">
        <is>
          <t>硬件</t>
        </is>
      </c>
      <c r="C70" s="198" t="inlineStr">
        <is>
          <t>N30599000014</t>
        </is>
      </c>
      <c r="D70" s="199" t="inlineStr">
        <is>
          <t>片式瓷介电容 X7R,10nF,10%,50V,0603(编带)(RoHS)(互换件)</t>
        </is>
      </c>
      <c r="E70" s="200" t="n">
        <v>7</v>
      </c>
      <c r="F70" s="201" t="n">
        <v>0.0048</v>
      </c>
      <c r="G70" s="202" t="n"/>
      <c r="H70" s="203">
        <f>IF(I70="是",0,IF(OR(E70="",F70=""),0,E70*F70*(1+IF(G70="",0,G70))))</f>
        <v/>
      </c>
      <c r="I70" s="197" t="inlineStr">
        <is>
          <t>否</t>
        </is>
      </c>
      <c r="J70" s="199" t="inlineStr">
        <is>
          <t>厦门美赫电子有限公司</t>
        </is>
      </c>
    </row>
    <row r="71" ht="13.5" customHeight="1" s="144">
      <c r="A71" s="168">
        <f>IF(C71&lt;&gt;"",ROW()-2,"")</f>
        <v/>
      </c>
      <c r="B71" s="190" t="inlineStr">
        <is>
          <t>硬件</t>
        </is>
      </c>
      <c r="C71" s="191" t="inlineStr">
        <is>
          <t>N30599000017</t>
        </is>
      </c>
      <c r="D71" s="169" t="inlineStr">
        <is>
          <t>片式瓷介电容 X7R,100nF,10%,50V,1206(编带)(RoHS)(互换件)</t>
        </is>
      </c>
      <c r="E71" s="192" t="n">
        <v>1</v>
      </c>
      <c r="F71" s="193" t="n">
        <v>0.0217</v>
      </c>
      <c r="G71" s="194" t="n"/>
      <c r="H71" s="195">
        <f>IF(I71="是",0,IF(OR(E71="",F71=""),0,E71*F71*(1+IF(G71="",0,G71))))</f>
        <v/>
      </c>
      <c r="I71" s="190" t="inlineStr">
        <is>
          <t>否</t>
        </is>
      </c>
      <c r="J71" s="169" t="inlineStr">
        <is>
          <t>厦门美赫电子有限公司</t>
        </is>
      </c>
    </row>
    <row r="72" ht="13.5" customHeight="1" s="144">
      <c r="A72" s="196">
        <f>IF(C72&lt;&gt;"",ROW()-2,"")</f>
        <v/>
      </c>
      <c r="B72" s="197" t="inlineStr">
        <is>
          <t>硬件</t>
        </is>
      </c>
      <c r="C72" s="198" t="inlineStr">
        <is>
          <t>N30599000047</t>
        </is>
      </c>
      <c r="D72" s="199" t="inlineStr">
        <is>
          <t>片式瓷介电容 X7R,3.3nF,10%,50V,0603(编带)(RoHS)(互换件)</t>
        </is>
      </c>
      <c r="E72" s="200" t="n">
        <v>2</v>
      </c>
      <c r="F72" s="201" t="n">
        <v>0.0052</v>
      </c>
      <c r="G72" s="202" t="n"/>
      <c r="H72" s="203">
        <f>IF(I72="是",0,IF(OR(E72="",F72=""),0,E72*F72*(1+IF(G72="",0,G72))))</f>
        <v/>
      </c>
      <c r="I72" s="197" t="inlineStr">
        <is>
          <t>否</t>
        </is>
      </c>
      <c r="J72" s="199" t="inlineStr">
        <is>
          <t>厦门美赫电子有限公司</t>
        </is>
      </c>
    </row>
    <row r="73" ht="13.5" customHeight="1" s="144">
      <c r="A73" s="168">
        <f>IF(C73&lt;&gt;"",ROW()-2,"")</f>
        <v/>
      </c>
      <c r="B73" s="190" t="inlineStr">
        <is>
          <t>硬件</t>
        </is>
      </c>
      <c r="C73" s="191" t="inlineStr">
        <is>
          <t>N30599000063</t>
        </is>
      </c>
      <c r="D73" s="169" t="inlineStr">
        <is>
          <t>片式瓷介电容 X7R,220nF,10%,50V,0603(编带)(RoHS)(互换件)</t>
        </is>
      </c>
      <c r="E73" s="192" t="n">
        <v>2</v>
      </c>
      <c r="F73" s="193" t="n">
        <v>0.0165</v>
      </c>
      <c r="G73" s="194" t="n"/>
      <c r="H73" s="195">
        <f>IF(I73="是",0,IF(OR(E73="",F73=""),0,E73*F73*(1+IF(G73="",0,G73))))</f>
        <v/>
      </c>
      <c r="I73" s="190" t="inlineStr">
        <is>
          <t>否</t>
        </is>
      </c>
      <c r="J73" s="169" t="inlineStr">
        <is>
          <t>深圳市集财实业有限公司（ZZ）</t>
        </is>
      </c>
    </row>
    <row r="74" ht="13.5" customHeight="1" s="144">
      <c r="A74" s="196">
        <f>IF(C74&lt;&gt;"",ROW()-2,"")</f>
        <v/>
      </c>
      <c r="B74" s="197" t="inlineStr">
        <is>
          <t>硬件</t>
        </is>
      </c>
      <c r="C74" s="198" t="inlineStr">
        <is>
          <t>N30599000084</t>
        </is>
      </c>
      <c r="D74" s="199" t="inlineStr">
        <is>
          <t>片式瓷介电容 X7R,470pF,10%,250V,1206(编带)(RoHS)(互换件)</t>
        </is>
      </c>
      <c r="E74" s="200" t="n">
        <v>2</v>
      </c>
      <c r="F74" s="201" t="n">
        <v>0.0313</v>
      </c>
      <c r="G74" s="202" t="n"/>
      <c r="H74" s="203">
        <f>IF(I74="是",0,IF(OR(E74="",F74=""),0,E74*F74*(1+IF(G74="",0,G74))))</f>
        <v/>
      </c>
      <c r="I74" s="197" t="inlineStr">
        <is>
          <t>否</t>
        </is>
      </c>
      <c r="J74" s="199" t="inlineStr">
        <is>
          <t>厦门翔烨云供应链科技有限公司</t>
        </is>
      </c>
    </row>
    <row r="75" ht="13.5" customHeight="1" s="144">
      <c r="A75" s="168">
        <f>IF(C75&lt;&gt;"",ROW()-2,"")</f>
        <v/>
      </c>
      <c r="B75" s="190" t="inlineStr">
        <is>
          <t>硬件</t>
        </is>
      </c>
      <c r="C75" s="191" t="inlineStr">
        <is>
          <t>N30599000125</t>
        </is>
      </c>
      <c r="D75" s="169" t="inlineStr">
        <is>
          <t>片式瓷介电容 X7R,1uF,10%,50V,0603(编带)(RoHS)(互换件)</t>
        </is>
      </c>
      <c r="E75" s="192" t="n">
        <v>8</v>
      </c>
      <c r="F75" s="193" t="n">
        <v>0.0168</v>
      </c>
      <c r="G75" s="194" t="n"/>
      <c r="H75" s="195">
        <f>IF(I75="是",0,IF(OR(E75="",F75=""),0,E75*F75*(1+IF(G75="",0,G75))))</f>
        <v/>
      </c>
      <c r="I75" s="190" t="inlineStr">
        <is>
          <t>否</t>
        </is>
      </c>
      <c r="J75" s="169" t="inlineStr">
        <is>
          <t>北天星电子(深圳)有限公司</t>
        </is>
      </c>
    </row>
    <row r="76" ht="13.5" customHeight="1" s="144">
      <c r="A76" s="196">
        <f>IF(C76&lt;&gt;"",ROW()-2,"")</f>
        <v/>
      </c>
      <c r="B76" s="197" t="inlineStr">
        <is>
          <t>硬件</t>
        </is>
      </c>
      <c r="C76" s="198" t="inlineStr">
        <is>
          <t>N30599000312</t>
        </is>
      </c>
      <c r="D76" s="199" t="inlineStr">
        <is>
          <t>片式瓷介电容 X7R,470pF,10%,50V,0603(编带)(RoHS)(互换件)</t>
        </is>
      </c>
      <c r="E76" s="200" t="n">
        <v>1</v>
      </c>
      <c r="F76" s="201" t="n">
        <v>0.0054</v>
      </c>
      <c r="G76" s="202" t="n"/>
      <c r="H76" s="203">
        <f>IF(I76="是",0,IF(OR(E76="",F76=""),0,E76*F76*(1+IF(G76="",0,G76))))</f>
        <v/>
      </c>
      <c r="I76" s="197" t="inlineStr">
        <is>
          <t>否</t>
        </is>
      </c>
      <c r="J76" s="199" t="inlineStr">
        <is>
          <t>深圳市超利维实业有限公司</t>
        </is>
      </c>
    </row>
    <row r="77" ht="13.5" customHeight="1" s="144">
      <c r="A77" s="168">
        <f>IF(C77&lt;&gt;"",ROW()-2,"")</f>
        <v/>
      </c>
      <c r="B77" s="190" t="inlineStr">
        <is>
          <t>硬件</t>
        </is>
      </c>
      <c r="C77" s="191" t="inlineStr">
        <is>
          <t>N30599000342</t>
        </is>
      </c>
      <c r="D77" s="169" t="inlineStr">
        <is>
          <t>片式瓷介电容 X6S,10uF,10%,35V,0805(编带)(RoHS)(互换件)</t>
        </is>
      </c>
      <c r="E77" s="192" t="n">
        <v>28</v>
      </c>
      <c r="F77" s="193" t="n">
        <v>0.1689</v>
      </c>
      <c r="G77" s="194" t="n"/>
      <c r="H77" s="195">
        <f>IF(I77="是",0,IF(OR(E77="",F77=""),0,E77*F77*(1+IF(G77="",0,G77))))</f>
        <v/>
      </c>
      <c r="I77" s="190" t="inlineStr">
        <is>
          <t>否</t>
        </is>
      </c>
      <c r="J77" s="169" t="inlineStr">
        <is>
          <t>苏州巨宏达电工科技有限公司</t>
        </is>
      </c>
    </row>
    <row r="78" ht="13.5" customHeight="1" s="144">
      <c r="A78" s="196">
        <f>IF(C78&lt;&gt;"",ROW()-2,"")</f>
        <v/>
      </c>
      <c r="B78" s="197" t="inlineStr">
        <is>
          <t>硬件</t>
        </is>
      </c>
      <c r="C78" s="198" t="inlineStr">
        <is>
          <t>N31301000176</t>
        </is>
      </c>
      <c r="D78" s="199" t="inlineStr">
        <is>
          <t>光耦 PC817X3NIP SOP4(RankC)(Sharp)(编带)(RoHS)</t>
        </is>
      </c>
      <c r="E78" s="200" t="n">
        <v>2</v>
      </c>
      <c r="F78" s="201" t="n">
        <v>0.4178</v>
      </c>
      <c r="G78" s="202" t="n"/>
      <c r="H78" s="203">
        <f>IF(I78="是",0,IF(OR(E78="",F78=""),0,E78*F78*(1+IF(G78="",0,G78))))</f>
        <v/>
      </c>
      <c r="I78" s="197" t="inlineStr">
        <is>
          <t>否</t>
        </is>
      </c>
      <c r="J78" s="199" t="inlineStr">
        <is>
          <t>厦门翔烨云供应链科技有限公司</t>
        </is>
      </c>
    </row>
    <row r="79" ht="13.5" customHeight="1" s="144">
      <c r="A79" s="168">
        <f>IF(C79&lt;&gt;"",ROW()-2,"")</f>
        <v/>
      </c>
      <c r="B79" s="190" t="inlineStr">
        <is>
          <t>硬件</t>
        </is>
      </c>
      <c r="C79" s="191" t="inlineStr">
        <is>
          <t>N31306000294</t>
        </is>
      </c>
      <c r="D79" s="169" t="inlineStr">
        <is>
          <t>发光二极管 LTST-C191KRKT-EL 红色,0603(亮度:M,N,波长:630nm,电压:ALL)(光宝)(编带)(RoHS)</t>
        </is>
      </c>
      <c r="E79" s="192" t="n">
        <v>2</v>
      </c>
      <c r="F79" s="193" t="n">
        <v>0.0355</v>
      </c>
      <c r="G79" s="194" t="n"/>
      <c r="H79" s="195">
        <f>IF(I79="是",0,IF(OR(E79="",F79=""),0,E79*F79*(1+IF(G79="",0,G79))))</f>
        <v/>
      </c>
      <c r="I79" s="190" t="inlineStr">
        <is>
          <t>否</t>
        </is>
      </c>
      <c r="J79" s="169" t="inlineStr">
        <is>
          <t>深圳市超利维实业有限公司</t>
        </is>
      </c>
    </row>
    <row r="80" ht="13.5" customHeight="1" s="144">
      <c r="A80" s="196">
        <f>IF(C80&lt;&gt;"",ROW()-2,"")</f>
        <v/>
      </c>
      <c r="B80" s="197" t="inlineStr">
        <is>
          <t>硬件</t>
        </is>
      </c>
      <c r="C80" s="198" t="inlineStr">
        <is>
          <t>N31306000469</t>
        </is>
      </c>
      <c r="D80" s="199" t="inlineStr">
        <is>
          <t>发光二极管 LTST-C191TBKT-5A 蓝色,0603(亮度:M1/M2,波长:ALL,电压:ALL)(光宝)(编带)(RoHS)</t>
        </is>
      </c>
      <c r="E80" s="200" t="n">
        <v>4</v>
      </c>
      <c r="F80" s="201" t="n">
        <v>0.06288299999999999</v>
      </c>
      <c r="G80" s="202" t="n"/>
      <c r="H80" s="203">
        <f>IF(I80="是",0,IF(OR(E80="",F80=""),0,E80*F80*(1+IF(G80="",0,G80))))</f>
        <v/>
      </c>
      <c r="I80" s="197" t="inlineStr">
        <is>
          <t>否</t>
        </is>
      </c>
      <c r="J80" s="204" t="inlineStr">
        <is>
          <t>PAN Elektron (Hong-Kong) Co., Limited</t>
        </is>
      </c>
    </row>
    <row r="81" ht="13.5" customHeight="1" s="144">
      <c r="A81" s="168">
        <f>IF(C81&lt;&gt;"",ROW()-2,"")</f>
        <v/>
      </c>
      <c r="B81" s="190" t="inlineStr">
        <is>
          <t>硬件</t>
        </is>
      </c>
      <c r="C81" s="191" t="inlineStr">
        <is>
          <t>N31306000791</t>
        </is>
      </c>
      <c r="D81" s="169" t="inlineStr">
        <is>
          <t>发光二极管 RF-GNB191TS-CF 翠绿色,0603(亮度:430-1000mcd,波长:520-526nm,电压:2.7-3.3V)(瑞丰)(编带)(RoHS)</t>
        </is>
      </c>
      <c r="E81" s="192" t="n">
        <v>2</v>
      </c>
      <c r="F81" s="193" t="n">
        <v>0.0417</v>
      </c>
      <c r="G81" s="194" t="n"/>
      <c r="H81" s="195">
        <f>IF(I81="是",0,IF(OR(E81="",F81=""),0,E81*F81*(1+IF(G81="",0,G81))))</f>
        <v/>
      </c>
      <c r="I81" s="190" t="inlineStr">
        <is>
          <t>否</t>
        </is>
      </c>
      <c r="J81" s="169" t="inlineStr">
        <is>
          <t>深圳市瑞丰光电子股份有限公司（ZZ）</t>
        </is>
      </c>
    </row>
    <row r="82" ht="13.5" customHeight="1" s="144">
      <c r="A82" s="196">
        <f>IF(C82&lt;&gt;"",ROW()-2,"")</f>
        <v/>
      </c>
      <c r="B82" s="197" t="inlineStr">
        <is>
          <t>硬件</t>
        </is>
      </c>
      <c r="C82" s="198" t="inlineStr">
        <is>
          <t>N31501000361</t>
        </is>
      </c>
      <c r="D82" s="199" t="inlineStr">
        <is>
          <t>超快恢复二极管 US1D 1A,200V,SMA(强茂)(编带)(RoHS)</t>
        </is>
      </c>
      <c r="E82" s="200" t="n">
        <v>9</v>
      </c>
      <c r="F82" s="201" t="n">
        <v>0.094</v>
      </c>
      <c r="G82" s="202" t="n"/>
      <c r="H82" s="203">
        <f>IF(I82="是",0,IF(OR(E82="",F82=""),0,E82*F82*(1+IF(G82="",0,G82))))</f>
        <v/>
      </c>
      <c r="I82" s="197" t="inlineStr">
        <is>
          <t>否</t>
        </is>
      </c>
      <c r="J82" s="199" t="inlineStr">
        <is>
          <t>广州市洲光源电子有限公司（ZZ）</t>
        </is>
      </c>
    </row>
    <row r="83" ht="13.5" customHeight="1" s="144">
      <c r="A83" s="168">
        <f>IF(C83&lt;&gt;"",ROW()-2,"")</f>
        <v/>
      </c>
      <c r="B83" s="190" t="inlineStr">
        <is>
          <t>硬件</t>
        </is>
      </c>
      <c r="C83" s="191" t="inlineStr">
        <is>
          <t>N31503000090</t>
        </is>
      </c>
      <c r="D83" s="169" t="inlineStr">
        <is>
          <t>整流桥 GBJ25M 25A,1KV(固锝)(RoHS)</t>
        </is>
      </c>
      <c r="E83" s="192" t="n">
        <v>1</v>
      </c>
      <c r="F83" s="193" t="n">
        <v>1.8</v>
      </c>
      <c r="G83" s="194" t="n"/>
      <c r="H83" s="195">
        <f>IF(I83="是",0,IF(OR(E83="",F83=""),0,E83*F83*(1+IF(G83="",0,G83))))</f>
        <v/>
      </c>
      <c r="I83" s="190" t="inlineStr">
        <is>
          <t>否</t>
        </is>
      </c>
      <c r="J83" s="169" t="inlineStr">
        <is>
          <t>厦门立锝电子有限公司</t>
        </is>
      </c>
    </row>
    <row r="84" ht="13.5" customHeight="1" s="144">
      <c r="A84" s="196">
        <f>IF(C84&lt;&gt;"",ROW()-2,"")</f>
        <v/>
      </c>
      <c r="B84" s="197" t="inlineStr">
        <is>
          <t>硬件</t>
        </is>
      </c>
      <c r="C84" s="198" t="inlineStr">
        <is>
          <t>N31504000059</t>
        </is>
      </c>
      <c r="D84" s="199" t="inlineStr">
        <is>
          <t>开关二极管 1N4148WX-TP 150mA,100V,SOD323(MCC)(编带)(RoHS)</t>
        </is>
      </c>
      <c r="E84" s="200" t="n">
        <v>6</v>
      </c>
      <c r="F84" s="201" t="n">
        <v>0.02</v>
      </c>
      <c r="G84" s="202" t="n"/>
      <c r="H84" s="203">
        <f>IF(I84="是",0,IF(OR(E84="",F84=""),0,E84*F84*(1+IF(G84="",0,G84))))</f>
        <v/>
      </c>
      <c r="I84" s="197" t="inlineStr">
        <is>
          <t>否</t>
        </is>
      </c>
      <c r="J84" s="199" t="inlineStr">
        <is>
          <t>厦门科力通电子科技有公司（ZZ）</t>
        </is>
      </c>
    </row>
    <row r="85" ht="13.5" customHeight="1" s="144">
      <c r="A85" s="168">
        <f>IF(C85&lt;&gt;"",ROW()-2,"")</f>
        <v/>
      </c>
      <c r="B85" s="190" t="inlineStr">
        <is>
          <t>硬件</t>
        </is>
      </c>
      <c r="C85" s="191" t="inlineStr">
        <is>
          <t>N31504000155</t>
        </is>
      </c>
      <c r="D85" s="169" t="inlineStr">
        <is>
          <t>开关二极管 BAV99 200mA,70V,SOT23(晶导微)(编带)(RoHS)</t>
        </is>
      </c>
      <c r="E85" s="192" t="n">
        <v>9</v>
      </c>
      <c r="F85" s="193" t="n">
        <v>0.02</v>
      </c>
      <c r="G85" s="194" t="n"/>
      <c r="H85" s="195">
        <f>IF(I85="是",0,IF(OR(E85="",F85=""),0,E85*F85*(1+IF(G85="",0,G85))))</f>
        <v/>
      </c>
      <c r="I85" s="190" t="inlineStr">
        <is>
          <t>否</t>
        </is>
      </c>
      <c r="J85" s="169" t="inlineStr">
        <is>
          <t>厦门镁富莱工贸有限公司</t>
        </is>
      </c>
    </row>
    <row r="86" ht="13.5" customHeight="1" s="144">
      <c r="A86" s="196">
        <f>IF(C86&lt;&gt;"",ROW()-2,"")</f>
        <v/>
      </c>
      <c r="B86" s="197" t="inlineStr">
        <is>
          <t>硬件</t>
        </is>
      </c>
      <c r="C86" s="198" t="inlineStr">
        <is>
          <t>N31507000185</t>
        </is>
      </c>
      <c r="D86" s="204" t="inlineStr">
        <is>
          <t>TVS SMBJ20A-13 600W,20V,SMB(Diodes)(编带)(RoHS)</t>
        </is>
      </c>
      <c r="E86" s="200" t="n">
        <v>3</v>
      </c>
      <c r="F86" s="201" t="n">
        <v>0.133</v>
      </c>
      <c r="G86" s="202" t="n"/>
      <c r="H86" s="203">
        <f>IF(I86="是",0,IF(OR(E86="",F86=""),0,E86*F86*(1+IF(G86="",0,G86))))</f>
        <v/>
      </c>
      <c r="I86" s="197" t="inlineStr">
        <is>
          <t>否</t>
        </is>
      </c>
      <c r="J86" s="199" t="inlineStr">
        <is>
          <t>厦门格亚电子科技有限公司</t>
        </is>
      </c>
    </row>
    <row r="87" ht="13.5" customHeight="1" s="144">
      <c r="A87" s="168">
        <f>IF(C87&lt;&gt;"",ROW()-2,"")</f>
        <v/>
      </c>
      <c r="B87" s="190" t="inlineStr">
        <is>
          <t>硬件</t>
        </is>
      </c>
      <c r="C87" s="191" t="inlineStr">
        <is>
          <t>N31507000282</t>
        </is>
      </c>
      <c r="D87" s="205" t="inlineStr">
        <is>
          <t>TVS P6SMB200A 600W,171V,SMB(固锝)(编带)(RoHS)</t>
        </is>
      </c>
      <c r="E87" s="192" t="n">
        <v>1</v>
      </c>
      <c r="F87" s="193" t="n">
        <v>0.2</v>
      </c>
      <c r="G87" s="194" t="n"/>
      <c r="H87" s="195">
        <f>IF(I87="是",0,IF(OR(E87="",F87=""),0,E87*F87*(1+IF(G87="",0,G87))))</f>
        <v/>
      </c>
      <c r="I87" s="190" t="inlineStr">
        <is>
          <t>否</t>
        </is>
      </c>
      <c r="J87" s="169" t="inlineStr">
        <is>
          <t>深圳市威斯创电子有限公司（ZZ）</t>
        </is>
      </c>
    </row>
    <row r="88" ht="13.5" customHeight="1" s="144">
      <c r="A88" s="196">
        <f>IF(C88&lt;&gt;"",ROW()-2,"")</f>
        <v/>
      </c>
      <c r="B88" s="197" t="inlineStr">
        <is>
          <t>硬件</t>
        </is>
      </c>
      <c r="C88" s="198" t="inlineStr">
        <is>
          <t>N31507000686</t>
        </is>
      </c>
      <c r="D88" s="204" t="inlineStr">
        <is>
          <t>TVS SMF20CA 200W,20V,SOD123FL(扬杰)(编带)(RoHS)</t>
        </is>
      </c>
      <c r="E88" s="200" t="n">
        <v>6</v>
      </c>
      <c r="F88" s="201" t="n">
        <v>0.0929</v>
      </c>
      <c r="G88" s="202" t="n"/>
      <c r="H88" s="203">
        <f>IF(I88="是",0,IF(OR(E88="",F88=""),0,E88*F88*(1+IF(G88="",0,G88))))</f>
        <v/>
      </c>
      <c r="I88" s="197" t="inlineStr">
        <is>
          <t>否</t>
        </is>
      </c>
      <c r="J88" s="199" t="inlineStr">
        <is>
          <t>厦门美赫电子有限公司</t>
        </is>
      </c>
    </row>
    <row r="89" ht="13.5" customHeight="1" s="144">
      <c r="A89" s="168">
        <f>IF(C89&lt;&gt;"",ROW()-2,"")</f>
        <v/>
      </c>
      <c r="B89" s="190" t="inlineStr">
        <is>
          <t>硬件</t>
        </is>
      </c>
      <c r="C89" s="191" t="inlineStr">
        <is>
          <t>N31511000054</t>
        </is>
      </c>
      <c r="D89" s="169" t="inlineStr">
        <is>
          <t>超快恢复二极管 US1Q-TP 1A,1.2KV,SMA(MCC)(编带)(RoHS)</t>
        </is>
      </c>
      <c r="E89" s="192" t="n">
        <v>6</v>
      </c>
      <c r="F89" s="193" t="n">
        <v>0.0885</v>
      </c>
      <c r="G89" s="194" t="n"/>
      <c r="H89" s="195">
        <f>IF(I89="是",0,IF(OR(E89="",F89=""),0,E89*F89*(1+IF(G89="",0,G89))))</f>
        <v/>
      </c>
      <c r="I89" s="190" t="inlineStr">
        <is>
          <t>否</t>
        </is>
      </c>
      <c r="J89" s="169" t="inlineStr">
        <is>
          <t>北天星电子(深圳)有限公司</t>
        </is>
      </c>
    </row>
    <row r="90" ht="13.5" customHeight="1" s="144">
      <c r="A90" s="196">
        <f>IF(C90&lt;&gt;"",ROW()-2,"")</f>
        <v/>
      </c>
      <c r="B90" s="197" t="inlineStr">
        <is>
          <t>硬件</t>
        </is>
      </c>
      <c r="C90" s="198" t="inlineStr">
        <is>
          <t>N31513000020</t>
        </is>
      </c>
      <c r="D90" s="204" t="inlineStr">
        <is>
          <t>ESD保护二极管 ASM712H 12V,SOT23(扬杰)(编带)(RoHS)</t>
        </is>
      </c>
      <c r="E90" s="200" t="n">
        <v>2</v>
      </c>
      <c r="F90" s="201" t="n">
        <v>0.3325</v>
      </c>
      <c r="G90" s="202" t="n"/>
      <c r="H90" s="203">
        <f>IF(I90="是",0,IF(OR(E90="",F90=""),0,E90*F90*(1+IF(G90="",0,G90))))</f>
        <v/>
      </c>
      <c r="I90" s="197" t="inlineStr">
        <is>
          <t>否</t>
        </is>
      </c>
      <c r="J90" s="199" t="inlineStr">
        <is>
          <t>厦门美赫电子有限公司</t>
        </is>
      </c>
    </row>
    <row r="91" ht="13.5" customHeight="1" s="144">
      <c r="A91" s="168">
        <f>IF(C91&lt;&gt;"",ROW()-2,"")</f>
        <v/>
      </c>
      <c r="B91" s="190" t="inlineStr">
        <is>
          <t>硬件</t>
        </is>
      </c>
      <c r="C91" s="191" t="inlineStr">
        <is>
          <t>N31599000074</t>
        </is>
      </c>
      <c r="D91" s="169" t="inlineStr">
        <is>
          <t>超快恢复二极管 ES2D 2A,200V,SMB(编带)(RoHS)(互换件)</t>
        </is>
      </c>
      <c r="E91" s="192" t="n">
        <v>2</v>
      </c>
      <c r="F91" s="193" t="n">
        <v>0.079</v>
      </c>
      <c r="G91" s="194" t="n"/>
      <c r="H91" s="195">
        <f>IF(I91="是",0,IF(OR(E91="",F91=""),0,E91*F91*(1+IF(G91="",0,G91))))</f>
        <v/>
      </c>
      <c r="I91" s="190" t="inlineStr">
        <is>
          <t>否</t>
        </is>
      </c>
      <c r="J91" s="169" t="inlineStr">
        <is>
          <t>厦门美赫电子有限公司</t>
        </is>
      </c>
    </row>
    <row r="92" ht="13.5" customHeight="1" s="144">
      <c r="A92" s="196">
        <f>IF(C92&lt;&gt;"",ROW()-2,"")</f>
        <v/>
      </c>
      <c r="B92" s="197" t="inlineStr">
        <is>
          <t>硬件</t>
        </is>
      </c>
      <c r="C92" s="198" t="inlineStr">
        <is>
          <t>N31701000323</t>
        </is>
      </c>
      <c r="D92" s="199" t="inlineStr">
        <is>
          <t>三极管 DTC143ECA-TP SOT23,NPN(内置电阻4.7K)(MCC)(编带)(RoHS)</t>
        </is>
      </c>
      <c r="E92" s="200" t="n">
        <v>1</v>
      </c>
      <c r="F92" s="201" t="n">
        <v>0.048</v>
      </c>
      <c r="G92" s="202" t="n"/>
      <c r="H92" s="203">
        <f>IF(I92="是",0,IF(OR(E92="",F92=""),0,E92*F92*(1+IF(G92="",0,G92))))</f>
        <v/>
      </c>
      <c r="I92" s="197" t="inlineStr">
        <is>
          <t>否</t>
        </is>
      </c>
      <c r="J92" s="199" t="inlineStr">
        <is>
          <t>厦门科力通电子科技有限公司</t>
        </is>
      </c>
    </row>
    <row r="93" ht="13.5" customHeight="1" s="144">
      <c r="A93" s="168">
        <f>IF(C93&lt;&gt;"",ROW()-2,"")</f>
        <v/>
      </c>
      <c r="B93" s="190" t="inlineStr">
        <is>
          <t>硬件</t>
        </is>
      </c>
      <c r="C93" s="191" t="inlineStr">
        <is>
          <t>N31701000756</t>
        </is>
      </c>
      <c r="D93" s="169" t="inlineStr">
        <is>
          <t>三极管 SS8050-H NPN,25V,HFE=200-350,1.5A,SOT23(晶导微)(编带)(RoHS)</t>
        </is>
      </c>
      <c r="E93" s="192" t="n">
        <v>3</v>
      </c>
      <c r="F93" s="193" t="n">
        <v>0.0246</v>
      </c>
      <c r="G93" s="194" t="n"/>
      <c r="H93" s="195">
        <f>IF(I93="是",0,IF(OR(E93="",F93=""),0,E93*F93*(1+IF(G93="",0,G93))))</f>
        <v/>
      </c>
      <c r="I93" s="190" t="inlineStr">
        <is>
          <t>否</t>
        </is>
      </c>
      <c r="J93" s="169" t="inlineStr">
        <is>
          <t>厦门翔烨云供应链科技有限公司</t>
        </is>
      </c>
    </row>
    <row r="94" ht="13.5" customHeight="1" s="144">
      <c r="A94" s="196">
        <f>IF(C94&lt;&gt;"",ROW()-2,"")</f>
        <v/>
      </c>
      <c r="B94" s="197" t="inlineStr">
        <is>
          <t>硬件</t>
        </is>
      </c>
      <c r="C94" s="198" t="inlineStr">
        <is>
          <t>N31800000736</t>
        </is>
      </c>
      <c r="D94" s="199" t="inlineStr">
        <is>
          <t>通信电路 ISO3082DWR SOIC16(TI)(编带)(RoHS)</t>
        </is>
      </c>
      <c r="E94" s="200" t="n">
        <v>2</v>
      </c>
      <c r="F94" s="201" t="n">
        <v>5.9486</v>
      </c>
      <c r="G94" s="202" t="n"/>
      <c r="H94" s="203">
        <f>IF(I94="是",0,IF(OR(E94="",F94=""),0,E94*F94*(1+IF(G94="",0,G94))))</f>
        <v/>
      </c>
      <c r="I94" s="197" t="inlineStr">
        <is>
          <t>否</t>
        </is>
      </c>
      <c r="J94" s="199" t="inlineStr">
        <is>
          <t>厦门翔烨云供应链科技有限公司</t>
        </is>
      </c>
    </row>
    <row r="95" ht="13.5" customHeight="1" s="144">
      <c r="A95" s="168">
        <f>IF(C95&lt;&gt;"",ROW()-2,"")</f>
        <v/>
      </c>
      <c r="B95" s="190" t="inlineStr">
        <is>
          <t>硬件</t>
        </is>
      </c>
      <c r="C95" s="191" t="inlineStr">
        <is>
          <t>N31801001593</t>
        </is>
      </c>
      <c r="D95" s="169" t="inlineStr">
        <is>
          <t>微处理器 R5F526T8ADFM LFQFP64(国创提供)(Renesas)(盘式)(RoHS)</t>
        </is>
      </c>
      <c r="E95" s="192" t="n">
        <v>2</v>
      </c>
      <c r="F95" s="193" t="n">
        <v>0</v>
      </c>
      <c r="G95" s="194" t="n"/>
      <c r="H95" s="195">
        <f>IF(I95="是",0,IF(OR(E95="",F95=""),0,E95*F95*(1+IF(G95="",0,G95))))</f>
        <v/>
      </c>
      <c r="I95" s="190" t="inlineStr">
        <is>
          <t>是</t>
        </is>
      </c>
      <c r="J95" s="169" t="inlineStr">
        <is>
          <t>客供料(源BOM单价0，不计入成本)；20251014业务邮件通知客供料</t>
        </is>
      </c>
    </row>
    <row r="96" ht="13.5" customHeight="1" s="144">
      <c r="A96" s="196">
        <f>IF(C96&lt;&gt;"",ROW()-2,"")</f>
        <v/>
      </c>
      <c r="B96" s="197" t="inlineStr">
        <is>
          <t>硬件</t>
        </is>
      </c>
      <c r="C96" s="198" t="inlineStr">
        <is>
          <t>N31805000269</t>
        </is>
      </c>
      <c r="D96" s="199" t="inlineStr">
        <is>
          <t>存贮器 M24C08-RMN6TP SO8(ST)(编带)(RoHS)</t>
        </is>
      </c>
      <c r="E96" s="200" t="n">
        <v>1</v>
      </c>
      <c r="F96" s="201" t="n">
        <v>0.241526</v>
      </c>
      <c r="G96" s="202" t="n"/>
      <c r="H96" s="203">
        <f>IF(I96="是",0,IF(OR(E96="",F96=""),0,E96*F96*(1+IF(G96="",0,G96))))</f>
        <v/>
      </c>
      <c r="I96" s="197" t="inlineStr">
        <is>
          <t>否</t>
        </is>
      </c>
      <c r="J96" s="204" t="inlineStr">
        <is>
          <t>WT MICROELECTRONICS SINGAPORE PTE. LTD.</t>
        </is>
      </c>
    </row>
    <row r="97" ht="13.5" customHeight="1" s="144">
      <c r="A97" s="168">
        <f>IF(C97&lt;&gt;"",ROW()-2,"")</f>
        <v/>
      </c>
      <c r="B97" s="190" t="inlineStr">
        <is>
          <t>硬件</t>
        </is>
      </c>
      <c r="C97" s="191" t="inlineStr">
        <is>
          <t>N31805000274</t>
        </is>
      </c>
      <c r="D97" s="169" t="inlineStr">
        <is>
          <t>存贮器 M24C16-RMN6TP SO8(ST)(编带)(RoHS)</t>
        </is>
      </c>
      <c r="E97" s="192" t="n">
        <v>1</v>
      </c>
      <c r="F97" s="193" t="n">
        <v>0.267</v>
      </c>
      <c r="G97" s="194" t="n"/>
      <c r="H97" s="195">
        <f>IF(I97="是",0,IF(OR(E97="",F97=""),0,E97*F97*(1+IF(G97="",0,G97))))</f>
        <v/>
      </c>
      <c r="I97" s="190" t="inlineStr">
        <is>
          <t>否</t>
        </is>
      </c>
      <c r="J97" s="169" t="inlineStr">
        <is>
          <t>北天星电子(深圳)有限公司</t>
        </is>
      </c>
    </row>
    <row r="98" ht="13.5" customHeight="1" s="144">
      <c r="A98" s="196">
        <f>IF(C98&lt;&gt;"",ROW()-2,"")</f>
        <v/>
      </c>
      <c r="B98" s="197" t="inlineStr">
        <is>
          <t>硬件</t>
        </is>
      </c>
      <c r="C98" s="198" t="inlineStr">
        <is>
          <t>N31806000081</t>
        </is>
      </c>
      <c r="D98" s="199" t="inlineStr">
        <is>
          <t>稳压器 L78M05ABDT-TR DPAK(ST)(RoHS)</t>
        </is>
      </c>
      <c r="E98" s="200" t="n">
        <v>2</v>
      </c>
      <c r="F98" s="201" t="n">
        <v>0.6039</v>
      </c>
      <c r="G98" s="202" t="n"/>
      <c r="H98" s="203">
        <f>IF(I98="是",0,IF(OR(E98="",F98=""),0,E98*F98*(1+IF(G98="",0,G98))))</f>
        <v/>
      </c>
      <c r="I98" s="197" t="inlineStr">
        <is>
          <t>否</t>
        </is>
      </c>
      <c r="J98" s="199" t="inlineStr">
        <is>
          <t>厦门翔烨云供应链科技有限公司</t>
        </is>
      </c>
    </row>
    <row r="99" ht="13.5" customHeight="1" s="144">
      <c r="A99" s="168">
        <f>IF(C99&lt;&gt;"",ROW()-2,"")</f>
        <v/>
      </c>
      <c r="B99" s="190" t="inlineStr">
        <is>
          <t>硬件</t>
        </is>
      </c>
      <c r="C99" s="191" t="inlineStr">
        <is>
          <t>N31806000148</t>
        </is>
      </c>
      <c r="D99" s="169" t="inlineStr">
        <is>
          <t>稳压器 L78M15ABDT DPAK(ST)(RoHS)</t>
        </is>
      </c>
      <c r="E99" s="192" t="n">
        <v>1</v>
      </c>
      <c r="F99" s="193" t="n">
        <v>0.6788459999999999</v>
      </c>
      <c r="G99" s="194" t="n"/>
      <c r="H99" s="195">
        <f>IF(I99="是",0,IF(OR(E99="",F99=""),0,E99*F99*(1+IF(G99="",0,G99))))</f>
        <v/>
      </c>
      <c r="I99" s="190" t="inlineStr">
        <is>
          <t>否</t>
        </is>
      </c>
      <c r="J99" s="205" t="inlineStr">
        <is>
          <t>WT MICROELECTRONICS SINGAPORE PTE. LTD.</t>
        </is>
      </c>
    </row>
    <row r="100" ht="13.5" customHeight="1" s="144">
      <c r="A100" s="196">
        <f>IF(C100&lt;&gt;"",ROW()-2,"")</f>
        <v/>
      </c>
      <c r="B100" s="197" t="inlineStr">
        <is>
          <t>硬件</t>
        </is>
      </c>
      <c r="C100" s="198" t="inlineStr">
        <is>
          <t>N31806000726</t>
        </is>
      </c>
      <c r="D100" s="199" t="inlineStr">
        <is>
          <t>稳压器 TL432AIDBZR SOT23-3(TI)(编带)(RoHS)</t>
        </is>
      </c>
      <c r="E100" s="200" t="n">
        <v>1</v>
      </c>
      <c r="F100" s="201" t="n">
        <v>0.5188</v>
      </c>
      <c r="G100" s="202" t="n"/>
      <c r="H100" s="203">
        <f>IF(I100="是",0,IF(OR(E100="",F100=""),0,E100*F100*(1+IF(G100="",0,G100))))</f>
        <v/>
      </c>
      <c r="I100" s="197" t="inlineStr">
        <is>
          <t>否</t>
        </is>
      </c>
      <c r="J100" s="199" t="inlineStr">
        <is>
          <t>华联国际投资有限公司-艾睿电子中国有限公司（特采）</t>
        </is>
      </c>
    </row>
    <row r="101" ht="13.5" customHeight="1" s="144">
      <c r="A101" s="168">
        <f>IF(C101&lt;&gt;"",ROW()-2,"")</f>
        <v/>
      </c>
      <c r="B101" s="190" t="inlineStr">
        <is>
          <t>硬件</t>
        </is>
      </c>
      <c r="C101" s="191" t="inlineStr">
        <is>
          <t>N31807000929</t>
        </is>
      </c>
      <c r="D101" s="169" t="inlineStr">
        <is>
          <t>电源管理电路 TOP264KG-TL eSOP-12(国创提供)(PI)(编带)(RoHS)</t>
        </is>
      </c>
      <c r="E101" s="192" t="n">
        <v>1</v>
      </c>
      <c r="F101" s="193" t="n">
        <v>0</v>
      </c>
      <c r="G101" s="194" t="n"/>
      <c r="H101" s="195">
        <f>IF(I101="是",0,IF(OR(E101="",F101=""),0,E101*F101*(1+IF(G101="",0,G101))))</f>
        <v/>
      </c>
      <c r="I101" s="190" t="inlineStr">
        <is>
          <t>是</t>
        </is>
      </c>
      <c r="J101" s="169" t="inlineStr">
        <is>
          <t>客供料(源BOM单价0，不计入成本)；20251014业务邮件通知客供料</t>
        </is>
      </c>
    </row>
    <row r="102" ht="13.5" customHeight="1" s="144">
      <c r="A102" s="196">
        <f>IF(C102&lt;&gt;"",ROW()-2,"")</f>
        <v/>
      </c>
      <c r="B102" s="197" t="inlineStr">
        <is>
          <t>硬件</t>
        </is>
      </c>
      <c r="C102" s="198" t="inlineStr">
        <is>
          <t>N31808000384</t>
        </is>
      </c>
      <c r="D102" s="199" t="inlineStr">
        <is>
          <t>逻辑电路 74LVC1G74DP,125 TSSOP8(Nexperia)(编带)(RoHS)</t>
        </is>
      </c>
      <c r="E102" s="200" t="n">
        <v>1</v>
      </c>
      <c r="F102" s="201" t="n">
        <v>0.781</v>
      </c>
      <c r="G102" s="202" t="n"/>
      <c r="H102" s="203">
        <f>IF(I102="是",0,IF(OR(E102="",F102=""),0,E102*F102*(1+IF(G102="",0,G102))))</f>
        <v/>
      </c>
      <c r="I102" s="197" t="inlineStr">
        <is>
          <t>否</t>
        </is>
      </c>
      <c r="J102" s="199" t="inlineStr">
        <is>
          <t>深圳法本电子股份有限公司</t>
        </is>
      </c>
    </row>
    <row r="103" ht="13.5" customHeight="1" s="144">
      <c r="A103" s="168">
        <f>IF(C103&lt;&gt;"",ROW()-2,"")</f>
        <v/>
      </c>
      <c r="B103" s="190" t="inlineStr">
        <is>
          <t>硬件</t>
        </is>
      </c>
      <c r="C103" s="191" t="inlineStr">
        <is>
          <t>N31808000385</t>
        </is>
      </c>
      <c r="D103" s="169" t="inlineStr">
        <is>
          <t>逻辑电路 74LVC1G17GV,125 SC74A(Nexperia)(编带)(RoHS)</t>
        </is>
      </c>
      <c r="E103" s="192" t="n">
        <v>1</v>
      </c>
      <c r="F103" s="193" t="n">
        <v>0.1567</v>
      </c>
      <c r="G103" s="194" t="n"/>
      <c r="H103" s="195">
        <f>IF(I103="是",0,IF(OR(E103="",F103=""),0,E103*F103*(1+IF(G103="",0,G103))))</f>
        <v/>
      </c>
      <c r="I103" s="190" t="inlineStr">
        <is>
          <t>否</t>
        </is>
      </c>
      <c r="J103" s="169" t="inlineStr">
        <is>
          <t>深圳法本电子股份有限公司</t>
        </is>
      </c>
    </row>
    <row r="104" ht="13.5" customHeight="1" s="144">
      <c r="A104" s="196">
        <f>IF(C104&lt;&gt;"",ROW()-2,"")</f>
        <v/>
      </c>
      <c r="B104" s="197" t="inlineStr">
        <is>
          <t>硬件</t>
        </is>
      </c>
      <c r="C104" s="198" t="inlineStr">
        <is>
          <t>N31809000044</t>
        </is>
      </c>
      <c r="D104" s="199" t="inlineStr">
        <is>
          <t>运放电路 TLV2772IDR SOIC8(TI)(编带)(RoHS)</t>
        </is>
      </c>
      <c r="E104" s="200" t="n">
        <v>3</v>
      </c>
      <c r="F104" s="201" t="n">
        <v>2.965487</v>
      </c>
      <c r="G104" s="202" t="n"/>
      <c r="H104" s="203">
        <f>IF(I104="是",0,IF(OR(E104="",F104=""),0,E104*F104*(1+IF(G104="",0,G104))))</f>
        <v/>
      </c>
      <c r="I104" s="197" t="inlineStr">
        <is>
          <t>否</t>
        </is>
      </c>
      <c r="J104" s="204" t="inlineStr">
        <is>
          <t>Arrow Electronics China Ltd</t>
        </is>
      </c>
    </row>
    <row r="105" ht="13.5" customHeight="1" s="144">
      <c r="A105" s="168">
        <f>IF(C105&lt;&gt;"",ROW()-2,"")</f>
        <v/>
      </c>
      <c r="B105" s="190" t="inlineStr">
        <is>
          <t>硬件</t>
        </is>
      </c>
      <c r="C105" s="191" t="inlineStr">
        <is>
          <t>N31813000522</t>
        </is>
      </c>
      <c r="D105" s="169" t="inlineStr">
        <is>
          <t>驱动电路 1EDI20I12MF DSO8(国创提供)(Infineon)(编带)(RoHS)</t>
        </is>
      </c>
      <c r="E105" s="192" t="n">
        <v>6</v>
      </c>
      <c r="F105" s="193" t="n">
        <v>0</v>
      </c>
      <c r="G105" s="194" t="n"/>
      <c r="H105" s="195">
        <f>IF(I105="是",0,IF(OR(E105="",F105=""),0,E105*F105*(1+IF(G105="",0,G105))))</f>
        <v/>
      </c>
      <c r="I105" s="190" t="inlineStr">
        <is>
          <t>是</t>
        </is>
      </c>
      <c r="J105" s="169" t="inlineStr">
        <is>
          <t>客供料(源BOM单价0，不计入成本)；20251014业务邮件通知客供料</t>
        </is>
      </c>
    </row>
    <row r="106" ht="13.5" customHeight="1" s="144">
      <c r="A106" s="196">
        <f>IF(C106&lt;&gt;"",ROW()-2,"")</f>
        <v/>
      </c>
      <c r="B106" s="197" t="inlineStr">
        <is>
          <t>硬件</t>
        </is>
      </c>
      <c r="C106" s="198" t="inlineStr">
        <is>
          <t>N31814000162</t>
        </is>
      </c>
      <c r="D106" s="199" t="inlineStr">
        <is>
          <t>运放电路 LM393BIDR SOIC8(TI)(编带)(RoHS)</t>
        </is>
      </c>
      <c r="E106" s="200" t="n">
        <v>1</v>
      </c>
      <c r="F106" s="201" t="n">
        <v>0.36229</v>
      </c>
      <c r="G106" s="202" t="n"/>
      <c r="H106" s="203">
        <f>IF(I106="是",0,IF(OR(E106="",F106=""),0,E106*F106*(1+IF(G106="",0,G106))))</f>
        <v/>
      </c>
      <c r="I106" s="197" t="inlineStr">
        <is>
          <t>否</t>
        </is>
      </c>
      <c r="J106" s="204" t="inlineStr">
        <is>
          <t>Arrow Electronics China Ltd</t>
        </is>
      </c>
    </row>
    <row r="107" ht="13.5" customHeight="1" s="144">
      <c r="A107" s="168">
        <f>IF(C107&lt;&gt;"",ROW()-2,"")</f>
        <v/>
      </c>
      <c r="B107" s="190" t="inlineStr">
        <is>
          <t>硬件</t>
        </is>
      </c>
      <c r="C107" s="191" t="inlineStr">
        <is>
          <t>N32202000746</t>
        </is>
      </c>
      <c r="D107" s="169" t="inlineStr">
        <is>
          <t>开关变压器 XZM-E22296 (1.2mH)(赛特勒)(RoHS)</t>
        </is>
      </c>
      <c r="E107" s="192" t="n">
        <v>1</v>
      </c>
      <c r="F107" s="193" t="n">
        <v>2.53</v>
      </c>
      <c r="G107" s="194" t="n"/>
      <c r="H107" s="195">
        <f>IF(I107="是",0,IF(OR(E107="",F107=""),0,E107*F107*(1+IF(G107="",0,G107))))</f>
        <v/>
      </c>
      <c r="I107" s="190" t="inlineStr">
        <is>
          <t>否</t>
        </is>
      </c>
      <c r="J107" s="169" t="inlineStr">
        <is>
          <t>厦门赛特勒磁电有限公司</t>
        </is>
      </c>
    </row>
    <row r="108" ht="13.5" customHeight="1" s="144">
      <c r="A108" s="196">
        <f>IF(C108&lt;&gt;"",ROW()-2,"")</f>
        <v/>
      </c>
      <c r="B108" s="197" t="inlineStr">
        <is>
          <t>硬件</t>
        </is>
      </c>
      <c r="C108" s="198" t="inlineStr">
        <is>
          <t>N32303000311</t>
        </is>
      </c>
      <c r="D108" s="199" t="inlineStr">
        <is>
          <t>工字型电感 XZM-B0810250-BD 10uH,1A,10X14,P=5(24h盐雾)(赛特勒)(编带)(RoHS)</t>
        </is>
      </c>
      <c r="E108" s="200" t="n">
        <v>1</v>
      </c>
      <c r="F108" s="201" t="n">
        <v>0.33</v>
      </c>
      <c r="G108" s="202" t="n"/>
      <c r="H108" s="203">
        <f>IF(I108="是",0,IF(OR(E108="",F108=""),0,E108*F108*(1+IF(G108="",0,G108))))</f>
        <v/>
      </c>
      <c r="I108" s="197" t="inlineStr">
        <is>
          <t>否</t>
        </is>
      </c>
      <c r="J108" s="199" t="inlineStr">
        <is>
          <t>厦门赛特勒磁电有限公司</t>
        </is>
      </c>
    </row>
    <row r="109" ht="13.5" customHeight="1" s="144">
      <c r="A109" s="168">
        <f>IF(C109&lt;&gt;"",ROW()-2,"")</f>
        <v/>
      </c>
      <c r="B109" s="190" t="inlineStr">
        <is>
          <t>硬件</t>
        </is>
      </c>
      <c r="C109" s="191" t="inlineStr">
        <is>
          <t>N32316000110</t>
        </is>
      </c>
      <c r="D109" s="169" t="inlineStr">
        <is>
          <t>共模滤波器 CM10100ZJ-1 15mH,15mΩ,10A(国创提供)(菲尔泰科)(RoHS)</t>
        </is>
      </c>
      <c r="E109" s="192" t="n">
        <v>1</v>
      </c>
      <c r="F109" s="193" t="n">
        <v>0</v>
      </c>
      <c r="G109" s="194" t="n"/>
      <c r="H109" s="195">
        <f>IF(I109="是",0,IF(OR(E109="",F109=""),0,E109*F109*(1+IF(G109="",0,G109))))</f>
        <v/>
      </c>
      <c r="I109" s="190" t="inlineStr">
        <is>
          <t>是</t>
        </is>
      </c>
      <c r="J109" s="169" t="inlineStr">
        <is>
          <t>客供料(源BOM单价0，不计入成本)；20251014业务邮件通知客供料</t>
        </is>
      </c>
    </row>
    <row r="110" ht="13.5" customHeight="1" s="144">
      <c r="A110" s="196">
        <f>IF(C110&lt;&gt;"",ROW()-2,"")</f>
        <v/>
      </c>
      <c r="B110" s="197" t="inlineStr">
        <is>
          <t>硬件</t>
        </is>
      </c>
      <c r="C110" s="198" t="inlineStr">
        <is>
          <t>N32401000632</t>
        </is>
      </c>
      <c r="D110" s="199" t="inlineStr">
        <is>
          <t>功率继电器 HF115FK/12-HS1PT 12V(防爆)(宏发)(RoHS)</t>
        </is>
      </c>
      <c r="E110" s="200" t="n">
        <v>3</v>
      </c>
      <c r="F110" s="201" t="n">
        <v>1.85</v>
      </c>
      <c r="G110" s="202" t="n"/>
      <c r="H110" s="203">
        <f>IF(I110="是",0,IF(OR(E110="",F110=""),0,E110*F110*(1+IF(G110="",0,G110))))</f>
        <v/>
      </c>
      <c r="I110" s="197" t="inlineStr">
        <is>
          <t>否</t>
        </is>
      </c>
      <c r="J110" s="199" t="inlineStr">
        <is>
          <t>厦门宏发电声销售有限公司</t>
        </is>
      </c>
    </row>
    <row r="111" ht="13.5" customHeight="1" s="144">
      <c r="A111" s="168">
        <f>IF(C111&lt;&gt;"",ROW()-2,"")</f>
        <v/>
      </c>
      <c r="B111" s="190" t="inlineStr">
        <is>
          <t>硬件</t>
        </is>
      </c>
      <c r="C111" s="191" t="inlineStr">
        <is>
          <t>N32401000645</t>
        </is>
      </c>
      <c r="D111" s="169" t="inlineStr">
        <is>
          <t>功率继电器 HF167F/12-HTF 12V(宏发)(RoHS)</t>
        </is>
      </c>
      <c r="E111" s="192" t="n">
        <v>1</v>
      </c>
      <c r="F111" s="193" t="n">
        <v>28.3186</v>
      </c>
      <c r="G111" s="194" t="n"/>
      <c r="H111" s="195">
        <f>IF(I111="是",0,IF(OR(E111="",F111=""),0,E111*F111*(1+IF(G111="",0,G111))))</f>
        <v/>
      </c>
      <c r="I111" s="190" t="inlineStr">
        <is>
          <t>否</t>
        </is>
      </c>
      <c r="J111" s="169" t="inlineStr">
        <is>
          <t>厦门宏发电声销售有限公司</t>
        </is>
      </c>
    </row>
    <row r="112" ht="13.5" customHeight="1" s="144">
      <c r="A112" s="196">
        <f>IF(C112&lt;&gt;"",ROW()-2,"")</f>
        <v/>
      </c>
      <c r="B112" s="197" t="inlineStr">
        <is>
          <t>硬件</t>
        </is>
      </c>
      <c r="C112" s="198" t="inlineStr">
        <is>
          <t>N32503000070</t>
        </is>
      </c>
      <c r="D112" s="199" t="inlineStr">
        <is>
          <t>拨码开关 DM-01-V-T/R (圜达)(编带)(RoHS)</t>
        </is>
      </c>
      <c r="E112" s="200" t="n">
        <v>1</v>
      </c>
      <c r="F112" s="201" t="n">
        <v>1.4047</v>
      </c>
      <c r="G112" s="202" t="n"/>
      <c r="H112" s="203">
        <f>IF(I112="是",0,IF(OR(E112="",F112=""),0,E112*F112*(1+IF(G112="",0,G112))))</f>
        <v/>
      </c>
      <c r="I112" s="197" t="inlineStr">
        <is>
          <t>否</t>
        </is>
      </c>
      <c r="J112" s="199" t="inlineStr">
        <is>
          <t>深圳市安捷诚电子有限公司</t>
        </is>
      </c>
    </row>
    <row r="113" ht="13.5" customHeight="1" s="144">
      <c r="A113" s="168">
        <f>IF(C113&lt;&gt;"",ROW()-2,"")</f>
        <v/>
      </c>
      <c r="B113" s="190" t="inlineStr">
        <is>
          <t>硬件</t>
        </is>
      </c>
      <c r="C113" s="191" t="inlineStr">
        <is>
          <t>N60103000205</t>
        </is>
      </c>
      <c r="D113" s="169" t="inlineStr">
        <is>
          <t>延时熔断器 TSCT20AH250V/T20A 20A,250V(引线型)(华德)(RoHS)</t>
        </is>
      </c>
      <c r="E113" s="192" t="n">
        <v>1</v>
      </c>
      <c r="F113" s="193" t="n">
        <v>0.29</v>
      </c>
      <c r="G113" s="194" t="n"/>
      <c r="H113" s="195">
        <f>IF(I113="是",0,IF(OR(E113="",F113=""),0,E113*F113*(1+IF(G113="",0,G113))))</f>
        <v/>
      </c>
      <c r="I113" s="190" t="inlineStr">
        <is>
          <t>否</t>
        </is>
      </c>
      <c r="J113" s="169" t="inlineStr">
        <is>
          <t>帕太国际贸易（上海）有限公司</t>
        </is>
      </c>
    </row>
    <row r="114" ht="13.5" customHeight="1" s="144">
      <c r="A114" s="196">
        <f>IF(C114&lt;&gt;"",ROW()-2,"")</f>
        <v/>
      </c>
      <c r="B114" s="197" t="inlineStr">
        <is>
          <t>硬件</t>
        </is>
      </c>
      <c r="C114" s="198" t="inlineStr">
        <is>
          <t>N60203001214</t>
        </is>
      </c>
      <c r="D114" s="199" t="inlineStr">
        <is>
          <t>强电接插件 JCQ01-10-184 (红色)(爱瑞克)(RoHS)</t>
        </is>
      </c>
      <c r="E114" s="200" t="n">
        <v>1</v>
      </c>
      <c r="F114" s="201" t="n">
        <v>0.3832</v>
      </c>
      <c r="G114" s="202" t="n"/>
      <c r="H114" s="203">
        <f>IF(I114="是",0,IF(OR(E114="",F114=""),0,E114*F114*(1+IF(G114="",0,G114))))</f>
        <v/>
      </c>
      <c r="I114" s="197" t="inlineStr">
        <is>
          <t>否</t>
        </is>
      </c>
      <c r="J114" s="199" t="inlineStr">
        <is>
          <t>厦门爱瑞克电子有限公司</t>
        </is>
      </c>
    </row>
    <row r="115" ht="13.5" customHeight="1" s="144">
      <c r="A115" s="168">
        <f>IF(C115&lt;&gt;"",ROW()-2,"")</f>
        <v/>
      </c>
      <c r="B115" s="190" t="inlineStr">
        <is>
          <t>硬件</t>
        </is>
      </c>
      <c r="C115" s="191" t="inlineStr">
        <is>
          <t>N60601000984</t>
        </is>
      </c>
      <c r="D115" s="169" t="inlineStr">
        <is>
          <t>端子 XH-2A (48h盐雾)(FAF)(RoHS)</t>
        </is>
      </c>
      <c r="E115" s="192" t="n">
        <v>1</v>
      </c>
      <c r="F115" s="193" t="n">
        <v>0.0184</v>
      </c>
      <c r="G115" s="194" t="n"/>
      <c r="H115" s="195">
        <f>IF(I115="是",0,IF(OR(E115="",F115=""),0,E115*F115*(1+IF(G115="",0,G115))))</f>
        <v/>
      </c>
      <c r="I115" s="190" t="inlineStr">
        <is>
          <t>否</t>
        </is>
      </c>
      <c r="J115" s="169" t="inlineStr">
        <is>
          <t>乐清市嘉得电子有限公司</t>
        </is>
      </c>
    </row>
    <row r="116" ht="13.5" customHeight="1" s="144">
      <c r="A116" s="196">
        <f>IF(C116&lt;&gt;"",ROW()-2,"")</f>
        <v/>
      </c>
      <c r="B116" s="197" t="inlineStr">
        <is>
          <t>硬件</t>
        </is>
      </c>
      <c r="C116" s="198" t="inlineStr">
        <is>
          <t>N60601000993</t>
        </is>
      </c>
      <c r="D116" s="199" t="inlineStr">
        <is>
          <t>端子 XH-4A (48h盐雾)(FAF)(RoHS)</t>
        </is>
      </c>
      <c r="E116" s="200" t="n">
        <v>2</v>
      </c>
      <c r="F116" s="201" t="n">
        <v>0.0443</v>
      </c>
      <c r="G116" s="202" t="n"/>
      <c r="H116" s="203">
        <f>IF(I116="是",0,IF(OR(E116="",F116=""),0,E116*F116*(1+IF(G116="",0,G116))))</f>
        <v/>
      </c>
      <c r="I116" s="197" t="inlineStr">
        <is>
          <t>否</t>
        </is>
      </c>
      <c r="J116" s="199" t="inlineStr">
        <is>
          <t>乐清市嘉得电子有限公司</t>
        </is>
      </c>
    </row>
    <row r="117" ht="13.5" customHeight="1" s="144">
      <c r="A117" s="168">
        <f>IF(C117&lt;&gt;"",ROW()-2,"")</f>
        <v/>
      </c>
      <c r="B117" s="190" t="inlineStr">
        <is>
          <t>硬件</t>
        </is>
      </c>
      <c r="C117" s="191" t="inlineStr">
        <is>
          <t>N60601000994</t>
        </is>
      </c>
      <c r="D117" s="169" t="inlineStr">
        <is>
          <t>端子 XH-4A 红色(48h盐雾)(FAF)(RoHS)</t>
        </is>
      </c>
      <c r="E117" s="192" t="n">
        <v>2</v>
      </c>
      <c r="F117" s="193" t="n">
        <v>0.046</v>
      </c>
      <c r="G117" s="194" t="n"/>
      <c r="H117" s="195">
        <f>IF(I117="是",0,IF(OR(E117="",F117=""),0,E117*F117*(1+IF(G117="",0,G117))))</f>
        <v/>
      </c>
      <c r="I117" s="190" t="inlineStr">
        <is>
          <t>否</t>
        </is>
      </c>
      <c r="J117" s="169" t="inlineStr">
        <is>
          <t>乐清市嘉得电子有限公司</t>
        </is>
      </c>
    </row>
    <row r="118" ht="13.5" customHeight="1" s="144">
      <c r="A118" s="196">
        <f>IF(C118&lt;&gt;"",ROW()-2,"")</f>
        <v/>
      </c>
      <c r="B118" s="197" t="inlineStr">
        <is>
          <t>硬件</t>
        </is>
      </c>
      <c r="C118" s="198" t="inlineStr">
        <is>
          <t>N60601000998</t>
        </is>
      </c>
      <c r="D118" s="199" t="inlineStr">
        <is>
          <t>端子 XH-5A (48h盐雾)(FAF)(RoHS)</t>
        </is>
      </c>
      <c r="E118" s="200" t="n">
        <v>2</v>
      </c>
      <c r="F118" s="201" t="n">
        <v>0.0537</v>
      </c>
      <c r="G118" s="202" t="n"/>
      <c r="H118" s="203">
        <f>IF(I118="是",0,IF(OR(E118="",F118=""),0,E118*F118*(1+IF(G118="",0,G118))))</f>
        <v/>
      </c>
      <c r="I118" s="197" t="inlineStr">
        <is>
          <t>否</t>
        </is>
      </c>
      <c r="J118" s="199" t="inlineStr">
        <is>
          <t>乐清市嘉得电子有限公司</t>
        </is>
      </c>
    </row>
    <row r="119" ht="13.5" customHeight="1" s="144">
      <c r="A119" s="168">
        <f>IF(C119&lt;&gt;"",ROW()-2,"")</f>
        <v/>
      </c>
      <c r="B119" s="190" t="inlineStr">
        <is>
          <t>硬件</t>
        </is>
      </c>
      <c r="C119" s="191" t="inlineStr">
        <is>
          <t>N60601005279</t>
        </is>
      </c>
      <c r="D119" s="169" t="inlineStr">
        <is>
          <t>端子 AT561415-LS (6.0X3PX2)(合璧)(RoHS)</t>
        </is>
      </c>
      <c r="E119" s="192" t="n">
        <v>6</v>
      </c>
      <c r="F119" s="193" t="n">
        <v>1.2</v>
      </c>
      <c r="G119" s="194" t="n"/>
      <c r="H119" s="195">
        <f>IF(I119="是",0,IF(OR(E119="",F119=""),0,E119*F119*(1+IF(G119="",0,G119))))</f>
        <v/>
      </c>
      <c r="I119" s="190" t="inlineStr">
        <is>
          <t>否</t>
        </is>
      </c>
      <c r="J119" s="169" t="inlineStr">
        <is>
          <t>上海合璧电子元件有限公司</t>
        </is>
      </c>
    </row>
    <row r="120" ht="13.5" customHeight="1" s="144">
      <c r="A120" s="196">
        <f>IF(C120&lt;&gt;"",ROW()-2,"")</f>
        <v/>
      </c>
      <c r="B120" s="197" t="inlineStr">
        <is>
          <t>硬件</t>
        </is>
      </c>
      <c r="C120" s="198" t="inlineStr">
        <is>
          <t>N60601005308</t>
        </is>
      </c>
      <c r="D120" s="199" t="inlineStr">
        <is>
          <t>端子 PR9-455 (6.0X2PX2)(72h盐雾)(合璧)(RoHS)</t>
        </is>
      </c>
      <c r="E120" s="200" t="n">
        <v>1</v>
      </c>
      <c r="F120" s="201" t="n">
        <v>0.71</v>
      </c>
      <c r="G120" s="202" t="n"/>
      <c r="H120" s="203">
        <f>IF(I120="是",0,IF(OR(E120="",F120=""),0,E120*F120*(1+IF(G120="",0,G120))))</f>
        <v/>
      </c>
      <c r="I120" s="197" t="inlineStr">
        <is>
          <t>否</t>
        </is>
      </c>
      <c r="J120" s="199" t="inlineStr">
        <is>
          <t>上海合璧电子元件有限公司</t>
        </is>
      </c>
    </row>
    <row r="121" ht="13.5" customHeight="1" s="144">
      <c r="A121" s="168">
        <f>IF(C121&lt;&gt;"",ROW()-2,"")</f>
        <v/>
      </c>
      <c r="B121" s="190" t="inlineStr">
        <is>
          <t>硬件</t>
        </is>
      </c>
      <c r="C121" s="191" t="inlineStr">
        <is>
          <t>N60812000142</t>
        </is>
      </c>
      <c r="D121" s="169" t="inlineStr">
        <is>
          <t>功率模块 FP100R12N2T7 (1.2KV,100A)(PIM模块)(国创提供)(Infineon)(RoHS)</t>
        </is>
      </c>
      <c r="E121" s="192" t="n">
        <v>1</v>
      </c>
      <c r="F121" s="193" t="n">
        <v>0</v>
      </c>
      <c r="G121" s="194" t="n"/>
      <c r="H121" s="195">
        <f>IF(I121="是",0,IF(OR(E121="",F121=""),0,E121*F121*(1+IF(G121="",0,G121))))</f>
        <v/>
      </c>
      <c r="I121" s="190" t="inlineStr">
        <is>
          <t>是</t>
        </is>
      </c>
      <c r="J121" s="169" t="inlineStr">
        <is>
          <t>客供料(源BOM单价0，不计入成本)；20251014业务邮件通知客供料</t>
        </is>
      </c>
    </row>
    <row r="122" ht="13.5" customHeight="1" s="144">
      <c r="A122" s="196">
        <f>IF(C122&lt;&gt;"",ROW()-2,"")</f>
        <v/>
      </c>
      <c r="B122" s="197" t="inlineStr">
        <is>
          <t>硬件</t>
        </is>
      </c>
      <c r="C122" s="198" t="inlineStr">
        <is>
          <t>N60812000144</t>
        </is>
      </c>
      <c r="D122" s="199" t="inlineStr">
        <is>
          <t>功率模块 RCI20C60D6U (20A,600V)(IPM模块)(国创提供)(银河边缘)(条管)(RoHS)</t>
        </is>
      </c>
      <c r="E122" s="200" t="n">
        <v>2</v>
      </c>
      <c r="F122" s="201" t="n">
        <v>0</v>
      </c>
      <c r="G122" s="202" t="n"/>
      <c r="H122" s="203">
        <f>IF(I122="是",0,IF(OR(E122="",F122=""),0,E122*F122*(1+IF(G122="",0,G122))))</f>
        <v/>
      </c>
      <c r="I122" s="197" t="inlineStr">
        <is>
          <t>是</t>
        </is>
      </c>
      <c r="J122" s="199" t="inlineStr">
        <is>
          <t>客供料(源BOM单价0，不计入成本)；20251014业务邮件通知客供料</t>
        </is>
      </c>
    </row>
    <row r="123" ht="13.5" customHeight="1" s="144">
      <c r="A123" s="168">
        <f>IF(C123&lt;&gt;"",ROW()-2,"")</f>
        <v/>
      </c>
      <c r="B123" s="190" t="inlineStr">
        <is>
          <t>硬件</t>
        </is>
      </c>
      <c r="C123" s="191" t="inlineStr">
        <is>
          <t>N70901000291</t>
        </is>
      </c>
      <c r="D123" s="169" t="inlineStr">
        <is>
          <t>螺丝组件 4X8PM 304不锈钢(带平垫、弹垫)(72h盐雾)(新沪厦)(RoHS)</t>
        </is>
      </c>
      <c r="E123" s="192" t="n">
        <v>1</v>
      </c>
      <c r="F123" s="193" t="n">
        <v>0.118</v>
      </c>
      <c r="G123" s="194" t="n"/>
      <c r="H123" s="195">
        <f>IF(I123="是",0,IF(OR(E123="",F123=""),0,E123*F123*(1+IF(G123="",0,G123))))</f>
        <v/>
      </c>
      <c r="I123" s="190" t="inlineStr">
        <is>
          <t>否</t>
        </is>
      </c>
      <c r="J123" s="169" t="inlineStr">
        <is>
          <t>厦门新沪厦五金工贸有限公司</t>
        </is>
      </c>
    </row>
    <row r="124" ht="13.5" customHeight="1" s="144">
      <c r="A124" s="196">
        <f>IF(C124&lt;&gt;"",ROW()-2,"")</f>
        <v/>
      </c>
      <c r="B124" s="197" t="inlineStr">
        <is>
          <t>硬件</t>
        </is>
      </c>
      <c r="C124" s="198" t="inlineStr">
        <is>
          <t>N70901000512</t>
        </is>
      </c>
      <c r="D124" s="199" t="inlineStr">
        <is>
          <t>螺丝 5X10PM 不锈钢(带平垫、弹垫)(磊峰)(RoHS)</t>
        </is>
      </c>
      <c r="E124" s="200" t="n">
        <v>6</v>
      </c>
      <c r="F124" s="201" t="n">
        <v>0.24</v>
      </c>
      <c r="G124" s="202" t="n"/>
      <c r="H124" s="203">
        <f>IF(I124="是",0,IF(OR(E124="",F124=""),0,E124*F124*(1+IF(G124="",0,G124))))</f>
        <v/>
      </c>
      <c r="I124" s="197" t="inlineStr">
        <is>
          <t>否</t>
        </is>
      </c>
      <c r="J124" s="199" t="inlineStr">
        <is>
          <t>厦门磊峰五金弹簧有限公司</t>
        </is>
      </c>
    </row>
    <row r="125" ht="13.5" customHeight="1" s="144">
      <c r="A125" s="168">
        <f>IF(C125&lt;&gt;"",ROW()-2,"")</f>
        <v/>
      </c>
      <c r="B125" s="190" t="inlineStr">
        <is>
          <t>硬件</t>
        </is>
      </c>
      <c r="C125" s="191" t="inlineStr">
        <is>
          <t>N70906000473</t>
        </is>
      </c>
      <c r="D125" s="169" t="inlineStr">
        <is>
          <t>散热片 SR6.5X5X1 (48h盐雾)(斯泰普)(RoHS)</t>
        </is>
      </c>
      <c r="E125" s="192" t="n">
        <v>133</v>
      </c>
      <c r="F125" s="193" t="n">
        <v>0.2178</v>
      </c>
      <c r="G125" s="194" t="n"/>
      <c r="H125" s="195">
        <f>IF(I125="是",0,IF(OR(E125="",F125=""),0,E125*F125*(1+IF(G125="",0,G125))))</f>
        <v/>
      </c>
      <c r="I125" s="190" t="inlineStr">
        <is>
          <t>否</t>
        </is>
      </c>
      <c r="J125" s="169" t="inlineStr">
        <is>
          <t>深圳市日升达电子有限公司</t>
        </is>
      </c>
    </row>
    <row r="126" ht="13.5" customHeight="1" s="144">
      <c r="A126" s="196">
        <f>IF(C126&lt;&gt;"",ROW()-2,"")</f>
        <v/>
      </c>
      <c r="B126" s="197" t="inlineStr">
        <is>
          <t>硬件</t>
        </is>
      </c>
      <c r="C126" s="198" t="inlineStr">
        <is>
          <t>N71002000023</t>
        </is>
      </c>
      <c r="D126" s="199" t="inlineStr">
        <is>
          <t>元件护套 D14(压敏电阻套) (符合REACH)(中田)(RoHS)</t>
        </is>
      </c>
      <c r="E126" s="200" t="n">
        <v>5</v>
      </c>
      <c r="F126" s="201" t="n">
        <v>0.0373</v>
      </c>
      <c r="G126" s="202" t="n"/>
      <c r="H126" s="203">
        <f>IF(I126="是",0,IF(OR(E126="",F126=""),0,E126*F126*(1+IF(G126="",0,G126))))</f>
        <v/>
      </c>
      <c r="I126" s="197" t="inlineStr">
        <is>
          <t>否</t>
        </is>
      </c>
      <c r="J126" s="199" t="inlineStr">
        <is>
          <t>浙江中田电子护套有限公司（特采L）</t>
        </is>
      </c>
    </row>
    <row r="127" ht="13.5" customHeight="1" s="144">
      <c r="A127" s="168">
        <f>IF(C127&lt;&gt;"",ROW()-2,"")</f>
        <v/>
      </c>
      <c r="B127" s="190" t="inlineStr">
        <is>
          <t>硬件</t>
        </is>
      </c>
      <c r="C127" s="191" t="inlineStr">
        <is>
          <t>N71104006877</t>
        </is>
      </c>
      <c r="D127" s="205" t="inlineStr">
        <is>
          <t>FR4印制板 GC-ACIB005 双层,喷锡,350X220X2,1拼板(RoHS)</t>
        </is>
      </c>
      <c r="E127" s="192" t="n">
        <v>1</v>
      </c>
      <c r="F127" s="193" t="n">
        <v>38.2785</v>
      </c>
      <c r="G127" s="194" t="n"/>
      <c r="H127" s="195">
        <f>IF(I127="是",0,IF(OR(E127="",F127=""),0,E127*F127*(1+IF(G127="",0,G127))))</f>
        <v/>
      </c>
      <c r="I127" s="190" t="inlineStr">
        <is>
          <t>否</t>
        </is>
      </c>
      <c r="J127" s="169" t="inlineStr">
        <is>
          <t>惠州市永隆电路有限公司</t>
        </is>
      </c>
    </row>
    <row r="128" ht="13.5" customHeight="1" s="144">
      <c r="A128" s="196">
        <f>IF(C128&lt;&gt;"",ROW()-2,"")</f>
        <v/>
      </c>
      <c r="B128" s="197" t="inlineStr">
        <is>
          <t>硬件</t>
        </is>
      </c>
      <c r="C128" s="198" t="inlineStr">
        <is>
          <t>N30103000520</t>
        </is>
      </c>
      <c r="D128" s="199" t="inlineStr">
        <is>
          <t>金属膜电阻 MF02SJJ0364A10 2WS,360KΩ,5%(厚声)(HF;RoHS)</t>
        </is>
      </c>
      <c r="E128" s="200" t="n">
        <v>3</v>
      </c>
      <c r="F128" s="201" t="n">
        <v>0.065</v>
      </c>
      <c r="G128" s="202" t="n"/>
      <c r="H128" s="203">
        <f>IF(I128="是",0,IF(OR(E128="",F128=""),0,E128*F128*(1+IF(G128="",0,G128))))</f>
        <v/>
      </c>
      <c r="I128" s="197" t="inlineStr">
        <is>
          <t>否</t>
        </is>
      </c>
      <c r="J128" s="199" t="inlineStr">
        <is>
          <t>厚声国际贸易（昆山）有限公司</t>
        </is>
      </c>
    </row>
    <row r="129" ht="13.5" customHeight="1" s="144">
      <c r="A129" s="168">
        <f>IF(C129&lt;&gt;"",ROW()-2,"")</f>
        <v/>
      </c>
      <c r="B129" s="190" t="inlineStr">
        <is>
          <t>硬件</t>
        </is>
      </c>
      <c r="C129" s="191" t="inlineStr">
        <is>
          <t>N30301000078</t>
        </is>
      </c>
      <c r="D129" s="169" t="inlineStr">
        <is>
          <t>压敏电阻 561KD14 (君耀)(RoHS)</t>
        </is>
      </c>
      <c r="E129" s="192" t="n">
        <v>4</v>
      </c>
      <c r="F129" s="193" t="n">
        <v>0.286</v>
      </c>
      <c r="G129" s="194" t="n"/>
      <c r="H129" s="195">
        <f>IF(I129="是",0,IF(OR(E129="",F129=""),0,E129*F129*(1+IF(G129="",0,G129))))</f>
        <v/>
      </c>
      <c r="I129" s="190" t="inlineStr">
        <is>
          <t>否</t>
        </is>
      </c>
      <c r="J129" s="169" t="inlineStr">
        <is>
          <t>深圳市超利维实业有限公司</t>
        </is>
      </c>
    </row>
    <row r="130" ht="13.5" customHeight="1" s="144">
      <c r="A130" s="196">
        <f>IF(C130&lt;&gt;"",ROW()-2,"")</f>
        <v/>
      </c>
      <c r="B130" s="197" t="inlineStr">
        <is>
          <t>硬件</t>
        </is>
      </c>
      <c r="C130" s="198" t="inlineStr">
        <is>
          <t>N30501000394</t>
        </is>
      </c>
      <c r="D130" s="199" t="inlineStr">
        <is>
          <t>安规薄膜电容 (X2) HQX225K0275NAYCCL15S 2.2uF,10%,275Vac,26.5X13X23,P=22.5(昱电)(RoHS)</t>
        </is>
      </c>
      <c r="E130" s="200" t="n">
        <v>6</v>
      </c>
      <c r="F130" s="201" t="n">
        <v>1.2</v>
      </c>
      <c r="G130" s="202" t="n"/>
      <c r="H130" s="203">
        <f>IF(I130="是",0,IF(OR(E130="",F130=""),0,E130*F130*(1+IF(G130="",0,G130))))</f>
        <v/>
      </c>
      <c r="I130" s="197" t="inlineStr">
        <is>
          <t>否</t>
        </is>
      </c>
      <c r="J130" s="199" t="inlineStr">
        <is>
          <t>厦门大毅电子有限公司</t>
        </is>
      </c>
    </row>
    <row r="131" ht="13.5" customHeight="1" s="144">
      <c r="A131" s="168">
        <f>IF(C131&lt;&gt;"",ROW()-2,"")</f>
        <v/>
      </c>
      <c r="B131" s="190" t="inlineStr">
        <is>
          <t>硬件</t>
        </is>
      </c>
      <c r="C131" s="191" t="inlineStr">
        <is>
          <t>N30508000119</t>
        </is>
      </c>
      <c r="D131" s="169" t="inlineStr">
        <is>
          <t>安规陶瓷电容 (X1Y1) CD45-E2GA472M-NKA 4.7nF,20%,400Vac,P=10(TDK)(RoHS)</t>
        </is>
      </c>
      <c r="E131" s="192" t="n">
        <v>6</v>
      </c>
      <c r="F131" s="193" t="n">
        <v>0.2488</v>
      </c>
      <c r="G131" s="194" t="n"/>
      <c r="H131" s="195">
        <f>IF(I131="是",0,IF(OR(E131="",F131=""),0,E131*F131*(1+IF(G131="",0,G131))))</f>
        <v/>
      </c>
      <c r="I131" s="190" t="inlineStr">
        <is>
          <t>否</t>
        </is>
      </c>
      <c r="J131" s="169" t="inlineStr">
        <is>
          <t>瑞瑜国际贸易（上海）有限公司</t>
        </is>
      </c>
    </row>
    <row r="132" ht="13.5" customHeight="1" s="144">
      <c r="A132" s="196">
        <f>IF(C132&lt;&gt;"",ROW()-2,"")</f>
        <v/>
      </c>
      <c r="B132" s="197" t="inlineStr">
        <is>
          <t>硬件</t>
        </is>
      </c>
      <c r="C132" s="198" t="inlineStr">
        <is>
          <t>N31509000045</t>
        </is>
      </c>
      <c r="D132" s="199" t="inlineStr">
        <is>
          <t>气体放电管 2RK3600L-5 (3.6KV,3KA)(君耀)(编带)(RoHS)</t>
        </is>
      </c>
      <c r="E132" s="200" t="n">
        <v>1</v>
      </c>
      <c r="F132" s="201" t="n">
        <v>0.72</v>
      </c>
      <c r="G132" s="202" t="n"/>
      <c r="H132" s="203">
        <f>IF(I132="是",0,IF(OR(E132="",F132=""),0,E132*F132*(1+IF(G132="",0,G132))))</f>
        <v/>
      </c>
      <c r="I132" s="197" t="inlineStr">
        <is>
          <t>否</t>
        </is>
      </c>
      <c r="J132" s="199" t="inlineStr">
        <is>
          <t>南京商络电子股份有限公司</t>
        </is>
      </c>
    </row>
    <row r="133" ht="13.5" customHeight="1" s="144">
      <c r="A133" s="168">
        <f>IF(C133&lt;&gt;"",ROW()-2,"")</f>
        <v/>
      </c>
      <c r="B133" s="190" t="inlineStr">
        <is>
          <t>硬件</t>
        </is>
      </c>
      <c r="C133" s="191" t="inlineStr">
        <is>
          <t>N32316000109</t>
        </is>
      </c>
      <c r="D133" s="169" t="inlineStr">
        <is>
          <t>共模滤波器 CMF50F04GC 4mH,5mΩ,50A(国创提供)(菲尔泰科)(RoHS)</t>
        </is>
      </c>
      <c r="E133" s="192" t="n">
        <v>2</v>
      </c>
      <c r="F133" s="193" t="n">
        <v>0</v>
      </c>
      <c r="G133" s="194" t="n"/>
      <c r="H133" s="195">
        <f>IF(I133="是",0,IF(OR(E133="",F133=""),0,E133*F133*(1+IF(G133="",0,G133))))</f>
        <v/>
      </c>
      <c r="I133" s="190" t="inlineStr">
        <is>
          <t>是</t>
        </is>
      </c>
      <c r="J133" s="169" t="inlineStr">
        <is>
          <t>客供料(源BOM单价0，不计入成本)；20251014业务邮件通知客供料</t>
        </is>
      </c>
    </row>
    <row r="134" ht="13.5" customHeight="1" s="144">
      <c r="A134" s="196">
        <f>IF(C134&lt;&gt;"",ROW()-2,"")</f>
        <v/>
      </c>
      <c r="B134" s="197" t="inlineStr">
        <is>
          <t>硬件</t>
        </is>
      </c>
      <c r="C134" s="198" t="inlineStr">
        <is>
          <t>N60203001201</t>
        </is>
      </c>
      <c r="D134" s="199" t="inlineStr">
        <is>
          <t>强电接插件 JCQ01-60-055 (黄绿)(爱瑞克)(RoHS)</t>
        </is>
      </c>
      <c r="E134" s="200" t="n">
        <v>1</v>
      </c>
      <c r="F134" s="201" t="n">
        <v>3</v>
      </c>
      <c r="G134" s="202" t="n"/>
      <c r="H134" s="203">
        <f>IF(I134="是",0,IF(OR(E134="",F134=""),0,E134*F134*(1+IF(G134="",0,G134))))</f>
        <v/>
      </c>
      <c r="I134" s="197" t="inlineStr">
        <is>
          <t>否</t>
        </is>
      </c>
      <c r="J134" s="199" t="inlineStr">
        <is>
          <t>厦门爱瑞克电子有限公司</t>
        </is>
      </c>
    </row>
    <row r="135" ht="13.5" customHeight="1" s="144">
      <c r="A135" s="168">
        <f>IF(C135&lt;&gt;"",ROW()-2,"")</f>
        <v/>
      </c>
      <c r="B135" s="190" t="inlineStr">
        <is>
          <t>硬件</t>
        </is>
      </c>
      <c r="C135" s="191" t="inlineStr">
        <is>
          <t>N60601005279</t>
        </is>
      </c>
      <c r="D135" s="169" t="inlineStr">
        <is>
          <t>端子 AT561415-LS (6.0X3PX2)(合璧)(RoHS)</t>
        </is>
      </c>
      <c r="E135" s="192" t="n">
        <v>8</v>
      </c>
      <c r="F135" s="193" t="n">
        <v>1.2</v>
      </c>
      <c r="G135" s="194" t="n"/>
      <c r="H135" s="195">
        <f>IF(I135="是",0,IF(OR(E135="",F135=""),0,E135*F135*(1+IF(G135="",0,G135))))</f>
        <v/>
      </c>
      <c r="I135" s="190" t="inlineStr">
        <is>
          <t>否</t>
        </is>
      </c>
      <c r="J135" s="169" t="inlineStr">
        <is>
          <t>上海合璧电子元件有限公司</t>
        </is>
      </c>
    </row>
    <row r="136" ht="13.5" customHeight="1" s="144">
      <c r="A136" s="196">
        <f>IF(C136&lt;&gt;"",ROW()-2,"")</f>
        <v/>
      </c>
      <c r="B136" s="197" t="inlineStr">
        <is>
          <t>硬件</t>
        </is>
      </c>
      <c r="C136" s="198" t="inlineStr">
        <is>
          <t>N60603000051</t>
        </is>
      </c>
      <c r="D136" s="199" t="inlineStr">
        <is>
          <t>插片 63824-5 (250,10.2X0.8)(TE)(编带)(RoHS)</t>
        </is>
      </c>
      <c r="E136" s="200" t="n">
        <v>14</v>
      </c>
      <c r="F136" s="201" t="n">
        <v>0.07820000000000001</v>
      </c>
      <c r="G136" s="202" t="n"/>
      <c r="H136" s="203">
        <f>IF(I136="是",0,IF(OR(E136="",F136=""),0,E136*F136*(1+IF(G136="",0,G136))))</f>
        <v/>
      </c>
      <c r="I136" s="197" t="inlineStr">
        <is>
          <t>否</t>
        </is>
      </c>
      <c r="J136" s="199" t="inlineStr">
        <is>
          <t>上海史安微电子有限公司</t>
        </is>
      </c>
    </row>
    <row r="137" ht="13.5" customHeight="1" s="144">
      <c r="A137" s="168">
        <f>IF(C137&lt;&gt;"",ROW()-2,"")</f>
        <v/>
      </c>
      <c r="B137" s="190" t="inlineStr">
        <is>
          <t>硬件</t>
        </is>
      </c>
      <c r="C137" s="191" t="inlineStr">
        <is>
          <t>N70901000512</t>
        </is>
      </c>
      <c r="D137" s="169" t="inlineStr">
        <is>
          <t>螺丝 5X10PM 不锈钢(带平垫、弹垫)(磊峰)(RoHS)</t>
        </is>
      </c>
      <c r="E137" s="192" t="n">
        <v>8</v>
      </c>
      <c r="F137" s="193" t="n">
        <v>0.24</v>
      </c>
      <c r="G137" s="194" t="n"/>
      <c r="H137" s="195">
        <f>IF(I137="是",0,IF(OR(E137="",F137=""),0,E137*F137*(1+IF(G137="",0,G137))))</f>
        <v/>
      </c>
      <c r="I137" s="190" t="inlineStr">
        <is>
          <t>否</t>
        </is>
      </c>
      <c r="J137" s="169" t="inlineStr">
        <is>
          <t>厦门磊峰五金弹簧有限公司</t>
        </is>
      </c>
    </row>
    <row r="138" ht="13.5" customHeight="1" s="144">
      <c r="A138" s="196">
        <f>IF(C138&lt;&gt;"",ROW()-2,"")</f>
        <v/>
      </c>
      <c r="B138" s="197" t="inlineStr">
        <is>
          <t>硬件</t>
        </is>
      </c>
      <c r="C138" s="198" t="inlineStr">
        <is>
          <t>N71002000023</t>
        </is>
      </c>
      <c r="D138" s="199" t="inlineStr">
        <is>
          <t>元件护套 D14(压敏电阻套) (符合REACH)(中田)(RoHS)</t>
        </is>
      </c>
      <c r="E138" s="200" t="n">
        <v>4</v>
      </c>
      <c r="F138" s="201" t="n">
        <v>0.0373</v>
      </c>
      <c r="G138" s="202" t="n"/>
      <c r="H138" s="203">
        <f>IF(I138="是",0,IF(OR(E138="",F138=""),0,E138*F138*(1+IF(G138="",0,G138))))</f>
        <v/>
      </c>
      <c r="I138" s="197" t="inlineStr">
        <is>
          <t>否</t>
        </is>
      </c>
      <c r="J138" s="199" t="inlineStr">
        <is>
          <t>浙江中田电子护套有限公司（特采L）</t>
        </is>
      </c>
    </row>
    <row r="139" ht="13.5" customHeight="1" s="144">
      <c r="A139" s="168">
        <f>IF(C139&lt;&gt;"",ROW()-2,"")</f>
        <v/>
      </c>
      <c r="B139" s="190" t="inlineStr">
        <is>
          <t>硬件</t>
        </is>
      </c>
      <c r="C139" s="191" t="inlineStr">
        <is>
          <t>N71104006878</t>
        </is>
      </c>
      <c r="D139" s="205" t="inlineStr">
        <is>
          <t>FR4印制板 GC-ACFB001 双层,喷锡,180.1X120X2,2拼板(RoHS)</t>
        </is>
      </c>
      <c r="E139" s="192" t="n">
        <v>1</v>
      </c>
      <c r="F139" s="193" t="n">
        <v>10.5675</v>
      </c>
      <c r="G139" s="194" t="n"/>
      <c r="H139" s="195">
        <f>IF(I139="是",0,IF(OR(E139="",F139=""),0,E139*F139*(1+IF(G139="",0,G139))))</f>
        <v/>
      </c>
      <c r="I139" s="190" t="inlineStr">
        <is>
          <t>否</t>
        </is>
      </c>
      <c r="J139" s="169" t="inlineStr">
        <is>
          <t>惠州市永隆电路有限公司</t>
        </is>
      </c>
    </row>
    <row r="140" ht="13.5" customHeight="1" s="144">
      <c r="A140" s="196">
        <f>IF(C140&lt;&gt;"",ROW()-2,"")</f>
        <v/>
      </c>
      <c r="B140" s="197" t="inlineStr">
        <is>
          <t>硬件</t>
        </is>
      </c>
      <c r="C140" s="198" t="inlineStr">
        <is>
          <t>301H000A85</t>
        </is>
      </c>
      <c r="D140" s="199" t="inlineStr">
        <is>
          <t>片式电阻 RC1206JR-070RL/1206W4J0000T5E 1/4W,0Ω,5%,1206(国巨/厚声)(编带)(RoHS)</t>
        </is>
      </c>
      <c r="E140" s="200" t="n">
        <v>2</v>
      </c>
      <c r="F140" s="201" t="n">
        <v>0.0042</v>
      </c>
      <c r="G140" s="202" t="n"/>
      <c r="H140" s="203">
        <f>IF(I140="是",0,IF(OR(E140="",F140=""),0,E140*F140*(1+IF(G140="",0,G140))))</f>
        <v/>
      </c>
      <c r="I140" s="197" t="inlineStr">
        <is>
          <t>否</t>
        </is>
      </c>
      <c r="J140" s="199" t="inlineStr">
        <is>
          <t>厚声国际贸易（昆山）有限公司</t>
        </is>
      </c>
    </row>
    <row r="141" ht="13.5" customHeight="1" s="144">
      <c r="A141" s="168">
        <f>IF(C141&lt;&gt;"",ROW()-2,"")</f>
        <v/>
      </c>
      <c r="B141" s="190" t="inlineStr">
        <is>
          <t>硬件</t>
        </is>
      </c>
      <c r="C141" s="191" t="inlineStr">
        <is>
          <t>301H036085</t>
        </is>
      </c>
      <c r="D141" s="169" t="inlineStr">
        <is>
          <t>片式电阻 RC1206JR-0736RL/1206W4J0360T5E 1/4W,36Ω,5%,1206(国巨/厚声)(编带)(RoHS)</t>
        </is>
      </c>
      <c r="E141" s="192" t="n">
        <v>1</v>
      </c>
      <c r="F141" s="193" t="n">
        <v>0.0045</v>
      </c>
      <c r="G141" s="194" t="n"/>
      <c r="H141" s="195">
        <f>IF(I141="是",0,IF(OR(E141="",F141=""),0,E141*F141*(1+IF(G141="",0,G141))))</f>
        <v/>
      </c>
      <c r="I141" s="190" t="inlineStr">
        <is>
          <t>否</t>
        </is>
      </c>
      <c r="J141" s="169" t="inlineStr">
        <is>
          <t>厚声国际贸易（昆山）有限公司</t>
        </is>
      </c>
    </row>
    <row r="142" ht="13.5" customHeight="1" s="144">
      <c r="A142" s="196">
        <f>IF(C142&lt;&gt;"",ROW()-2,"")</f>
        <v/>
      </c>
      <c r="B142" s="197" t="inlineStr">
        <is>
          <t>硬件</t>
        </is>
      </c>
      <c r="C142" s="198" t="inlineStr">
        <is>
          <t>3033056102</t>
        </is>
      </c>
      <c r="D142" s="199" t="inlineStr">
        <is>
          <t>压敏电阻 JVR10N561K87PAY 350VAC,P=7.5(直脚)(久尹)(编带)(RoHS)</t>
        </is>
      </c>
      <c r="E142" s="200" t="n">
        <v>1</v>
      </c>
      <c r="F142" s="201" t="n">
        <v>0.1842</v>
      </c>
      <c r="G142" s="202" t="n"/>
      <c r="H142" s="203">
        <f>IF(I142="是",0,IF(OR(E142="",F142=""),0,E142*F142*(1+IF(G142="",0,G142))))</f>
        <v/>
      </c>
      <c r="I142" s="197" t="inlineStr">
        <is>
          <t>否</t>
        </is>
      </c>
      <c r="J142" s="199" t="inlineStr">
        <is>
          <t>厦门正顺达电子有限公司</t>
        </is>
      </c>
    </row>
    <row r="143" ht="13.5" customHeight="1" s="144">
      <c r="A143" s="168">
        <f>IF(C143&lt;&gt;"",ROW()-2,"")</f>
        <v/>
      </c>
      <c r="B143" s="190" t="inlineStr">
        <is>
          <t>硬件</t>
        </is>
      </c>
      <c r="C143" s="191" t="inlineStr">
        <is>
          <t>3052104B6-3</t>
        </is>
      </c>
      <c r="D143" s="169" t="inlineStr">
        <is>
          <t>安规薄膜电容 MCY104KLD2YX20 100nF,10%,275Vac,P=15(暄泰)(RoHS)</t>
        </is>
      </c>
      <c r="E143" s="192" t="n">
        <v>1</v>
      </c>
      <c r="F143" s="193" t="n">
        <v>0.108</v>
      </c>
      <c r="G143" s="194" t="n"/>
      <c r="H143" s="195">
        <f>IF(I143="是",0,IF(OR(E143="",F143=""),0,E143*F143*(1+IF(G143="",0,G143))))</f>
        <v/>
      </c>
      <c r="I143" s="190" t="inlineStr">
        <is>
          <t>否</t>
        </is>
      </c>
      <c r="J143" s="169" t="inlineStr">
        <is>
          <t>厦门美赫电子有限公司</t>
        </is>
      </c>
    </row>
    <row r="144" ht="13.5" customHeight="1" s="144">
      <c r="A144" s="196">
        <f>IF(C144&lt;&gt;"",ROW()-2,"")</f>
        <v/>
      </c>
      <c r="B144" s="197" t="inlineStr">
        <is>
          <t>硬件</t>
        </is>
      </c>
      <c r="C144" s="198" t="inlineStr">
        <is>
          <t>3062102K9003</t>
        </is>
      </c>
      <c r="D144" s="199" t="inlineStr">
        <is>
          <t>高压陶瓷电容 CK45-B3AD102KYVNA 1nF,10%,1KV,P=5(TDK)(编带)(RoHS)</t>
        </is>
      </c>
      <c r="E144" s="200" t="n">
        <v>1</v>
      </c>
      <c r="F144" s="201" t="n">
        <v>0.068</v>
      </c>
      <c r="G144" s="202" t="n"/>
      <c r="H144" s="203">
        <f>IF(I144="是",0,IF(OR(E144="",F144=""),0,E144*F144*(1+IF(G144="",0,G144))))</f>
        <v/>
      </c>
      <c r="I144" s="197" t="inlineStr">
        <is>
          <t>否</t>
        </is>
      </c>
      <c r="J144" s="199" t="inlineStr">
        <is>
          <t>南京商络电子股份有限公司</t>
        </is>
      </c>
    </row>
    <row r="145" ht="13.5" customHeight="1" s="144">
      <c r="A145" s="168">
        <f>IF(C145&lt;&gt;"",ROW()-2,"")</f>
        <v/>
      </c>
      <c r="B145" s="190" t="inlineStr">
        <is>
          <t>硬件</t>
        </is>
      </c>
      <c r="C145" s="191" t="inlineStr">
        <is>
          <t>3152SD106</t>
        </is>
      </c>
      <c r="D145" s="169" t="inlineStr">
        <is>
          <t>整流桥 SDB106 800V,SDB-1(MCC)(编带)(RoHS)</t>
        </is>
      </c>
      <c r="E145" s="192" t="n">
        <v>1</v>
      </c>
      <c r="F145" s="193" t="n">
        <v>0.2806</v>
      </c>
      <c r="G145" s="194" t="n"/>
      <c r="H145" s="195">
        <f>IF(I145="是",0,IF(OR(E145="",F145=""),0,E145*F145*(1+IF(G145="",0,G145))))</f>
        <v/>
      </c>
      <c r="I145" s="190" t="inlineStr">
        <is>
          <t>否</t>
        </is>
      </c>
      <c r="J145" s="169" t="inlineStr">
        <is>
          <t>厦门科力通电子科技有公司（ZZ）</t>
        </is>
      </c>
    </row>
    <row r="146" ht="13.5" customHeight="1" s="144">
      <c r="A146" s="196">
        <f>IF(C146&lt;&gt;"",ROW()-2,"")</f>
        <v/>
      </c>
      <c r="B146" s="197" t="inlineStr">
        <is>
          <t>硬件</t>
        </is>
      </c>
      <c r="C146" s="198" t="inlineStr">
        <is>
          <t>3252JTP1230A</t>
        </is>
      </c>
      <c r="D146" s="199" t="inlineStr">
        <is>
          <t>轻触开关 JTP1230A/JT1230A (6X6X5)(Namae)(RoHS)</t>
        </is>
      </c>
      <c r="E146" s="200" t="n">
        <v>5</v>
      </c>
      <c r="F146" s="201" t="n">
        <v>0.08</v>
      </c>
      <c r="G146" s="202" t="n"/>
      <c r="H146" s="203">
        <f>IF(I146="是",0,IF(OR(E146="",F146=""),0,E146*F146*(1+IF(G146="",0,G146))))</f>
        <v/>
      </c>
      <c r="I146" s="197" t="inlineStr">
        <is>
          <t>否</t>
        </is>
      </c>
      <c r="J146" s="199" t="inlineStr">
        <is>
          <t>青岛朗正电子科技有限公司</t>
        </is>
      </c>
    </row>
    <row r="147" ht="13.5" customHeight="1" s="144">
      <c r="A147" s="168">
        <f>IF(C147&lt;&gt;"",ROW()-2,"")</f>
        <v/>
      </c>
      <c r="B147" s="190" t="inlineStr">
        <is>
          <t>硬件</t>
        </is>
      </c>
      <c r="C147" s="191" t="inlineStr">
        <is>
          <t>4015001R</t>
        </is>
      </c>
      <c r="D147" s="169" t="inlineStr">
        <is>
          <t>元件护套 D10 (压敏电阻套)(RoHS)</t>
        </is>
      </c>
      <c r="E147" s="192" t="n">
        <v>1</v>
      </c>
      <c r="F147" s="193" t="n">
        <v>0.0367</v>
      </c>
      <c r="G147" s="194" t="n"/>
      <c r="H147" s="195">
        <f>IF(I147="是",0,IF(OR(E147="",F147=""),0,E147*F147*(1+IF(G147="",0,G147))))</f>
        <v/>
      </c>
      <c r="I147" s="190" t="inlineStr">
        <is>
          <t>否</t>
        </is>
      </c>
      <c r="J147" s="169" t="inlineStr">
        <is>
          <t>厦门联胜鑫电子有限公司</t>
        </is>
      </c>
    </row>
    <row r="148" ht="13.5" customHeight="1" s="144">
      <c r="A148" s="196">
        <f>IF(C148&lt;&gt;"",ROW()-2,"")</f>
        <v/>
      </c>
      <c r="B148" s="197" t="inlineStr">
        <is>
          <t>硬件</t>
        </is>
      </c>
      <c r="C148" s="198" t="inlineStr">
        <is>
          <t>604B02Z3906</t>
        </is>
      </c>
      <c r="D148" s="199" t="inlineStr">
        <is>
          <t>端子 VH-2A (48h盐雾)(CWB)(RoHS)</t>
        </is>
      </c>
      <c r="E148" s="200" t="n">
        <v>2</v>
      </c>
      <c r="F148" s="201" t="n">
        <v>0.058</v>
      </c>
      <c r="G148" s="202" t="n"/>
      <c r="H148" s="203">
        <f>IF(I148="是",0,IF(OR(E148="",F148=""),0,E148*F148*(1+IF(G148="",0,G148))))</f>
        <v/>
      </c>
      <c r="I148" s="197" t="inlineStr">
        <is>
          <t>否</t>
        </is>
      </c>
      <c r="J148" s="199" t="inlineStr">
        <is>
          <t>厦门联胜鑫电子有限公司</t>
        </is>
      </c>
    </row>
    <row r="149" ht="13.5" customHeight="1" s="144">
      <c r="A149" s="168">
        <f>IF(C149&lt;&gt;"",ROW()-2,"")</f>
        <v/>
      </c>
      <c r="B149" s="190" t="inlineStr">
        <is>
          <t>硬件</t>
        </is>
      </c>
      <c r="C149" s="191" t="inlineStr">
        <is>
          <t>604B03Z3206</t>
        </is>
      </c>
      <c r="D149" s="169" t="inlineStr">
        <is>
          <t>端子 VH-3A 红色(去第2针)(48h盐雾)(CWB)(RoHS)</t>
        </is>
      </c>
      <c r="E149" s="192" t="n">
        <v>1</v>
      </c>
      <c r="F149" s="193" t="n">
        <v>0.0895</v>
      </c>
      <c r="G149" s="194" t="n"/>
      <c r="H149" s="195">
        <f>IF(I149="是",0,IF(OR(E149="",F149=""),0,E149*F149*(1+IF(G149="",0,G149))))</f>
        <v/>
      </c>
      <c r="I149" s="190" t="inlineStr">
        <is>
          <t>否</t>
        </is>
      </c>
      <c r="J149" s="169" t="inlineStr">
        <is>
          <t>乐清市合润电子科技有限公司</t>
        </is>
      </c>
    </row>
    <row r="150" ht="13.5" customHeight="1" s="144">
      <c r="A150" s="196">
        <f>IF(C150&lt;&gt;"",ROW()-2,"")</f>
        <v/>
      </c>
      <c r="B150" s="197" t="inlineStr">
        <is>
          <t>硬件</t>
        </is>
      </c>
      <c r="C150" s="198" t="inlineStr">
        <is>
          <t>604B03Z3606R</t>
        </is>
      </c>
      <c r="D150" s="199" t="inlineStr">
        <is>
          <t>端子 VH-3A 蓝色(去第2针)(48h盐雾)(CWB)(RoHS)</t>
        </is>
      </c>
      <c r="E150" s="200" t="n">
        <v>2</v>
      </c>
      <c r="F150" s="201" t="n">
        <v>0.0895</v>
      </c>
      <c r="G150" s="202" t="n"/>
      <c r="H150" s="203">
        <f>IF(I150="是",0,IF(OR(E150="",F150=""),0,E150*F150*(1+IF(G150="",0,G150))))</f>
        <v/>
      </c>
      <c r="I150" s="197" t="inlineStr">
        <is>
          <t>否</t>
        </is>
      </c>
      <c r="J150" s="199" t="inlineStr">
        <is>
          <t>乐清市合润电子科技有限公司</t>
        </is>
      </c>
    </row>
    <row r="151" ht="13.5" customHeight="1" s="144">
      <c r="A151" s="168">
        <f>IF(C151&lt;&gt;"",ROW()-2,"")</f>
        <v/>
      </c>
      <c r="B151" s="190" t="inlineStr">
        <is>
          <t>硬件</t>
        </is>
      </c>
      <c r="C151" s="191" t="inlineStr">
        <is>
          <t>604B07Z3906A</t>
        </is>
      </c>
      <c r="D151" s="169" t="inlineStr">
        <is>
          <t>端子 VH-7A-4 (CWB)(RoHS)</t>
        </is>
      </c>
      <c r="E151" s="192" t="n">
        <v>1</v>
      </c>
      <c r="F151" s="193" t="n">
        <v>0.2031</v>
      </c>
      <c r="G151" s="194" t="n"/>
      <c r="H151" s="195">
        <f>IF(I151="是",0,IF(OR(E151="",F151=""),0,E151*F151*(1+IF(G151="",0,G151))))</f>
        <v/>
      </c>
      <c r="I151" s="190" t="inlineStr">
        <is>
          <t>否</t>
        </is>
      </c>
      <c r="J151" s="169" t="inlineStr">
        <is>
          <t>乐清市合润电子科技有限公司</t>
        </is>
      </c>
    </row>
    <row r="152" ht="13.5" customHeight="1" s="144">
      <c r="A152" s="196">
        <f>IF(C152&lt;&gt;"",ROW()-2,"")</f>
        <v/>
      </c>
      <c r="B152" s="197" t="inlineStr">
        <is>
          <t>硬件</t>
        </is>
      </c>
      <c r="C152" s="198" t="inlineStr">
        <is>
          <t>708101525R</t>
        </is>
      </c>
      <c r="D152" s="199" t="inlineStr">
        <is>
          <t>散热片 10X15X25 (永荣生)(RoHS)</t>
        </is>
      </c>
      <c r="E152" s="200" t="n">
        <v>1</v>
      </c>
      <c r="F152" s="201" t="n">
        <v>0.3135</v>
      </c>
      <c r="G152" s="202" t="n"/>
      <c r="H152" s="203">
        <f>IF(I152="是",0,IF(OR(E152="",F152=""),0,E152*F152*(1+IF(G152="",0,G152))))</f>
        <v/>
      </c>
      <c r="I152" s="197" t="inlineStr">
        <is>
          <t>否</t>
        </is>
      </c>
      <c r="J152" s="199" t="inlineStr">
        <is>
          <t>厦门市永荣生工贸有限公司</t>
        </is>
      </c>
    </row>
    <row r="153" ht="13.5" customHeight="1" s="144">
      <c r="A153" s="168">
        <f>IF(C153&lt;&gt;"",ROW()-2,"")</f>
        <v/>
      </c>
      <c r="B153" s="190" t="inlineStr">
        <is>
          <t>硬件</t>
        </is>
      </c>
      <c r="C153" s="191" t="inlineStr">
        <is>
          <t>N30101001433</t>
        </is>
      </c>
      <c r="D153" s="169" t="inlineStr">
        <is>
          <t>片式电阻 RC0402FR-0751RL/0402WGF510JTCE 1/16W,51Ω,1%,0402(国巨/厚声)(编带)(RoHS)</t>
        </is>
      </c>
      <c r="E153" s="192" t="n">
        <v>1</v>
      </c>
      <c r="F153" s="193" t="n">
        <v>0.001</v>
      </c>
      <c r="G153" s="194" t="n"/>
      <c r="H153" s="195">
        <f>IF(I153="是",0,IF(OR(E153="",F153=""),0,E153*F153*(1+IF(G153="",0,G153))))</f>
        <v/>
      </c>
      <c r="I153" s="190" t="inlineStr">
        <is>
          <t>否</t>
        </is>
      </c>
      <c r="J153" s="169" t="inlineStr">
        <is>
          <t>厚声国际贸易（昆山）有限公司</t>
        </is>
      </c>
    </row>
    <row r="154" ht="13.5" customHeight="1" s="144">
      <c r="A154" s="196">
        <f>IF(C154&lt;&gt;"",ROW()-2,"")</f>
        <v/>
      </c>
      <c r="B154" s="197" t="inlineStr">
        <is>
          <t>硬件</t>
        </is>
      </c>
      <c r="C154" s="198" t="inlineStr">
        <is>
          <t>N30101001525</t>
        </is>
      </c>
      <c r="D154" s="199" t="inlineStr">
        <is>
          <t>片式电阻 RC0402FR-0720KL/0402WGF2002TCE 1/16W,20KΩ,1%,0402(国巨/厚声)(编带)(RoHS)</t>
        </is>
      </c>
      <c r="E154" s="200" t="n">
        <v>11</v>
      </c>
      <c r="F154" s="201" t="n">
        <v>0.001</v>
      </c>
      <c r="G154" s="202" t="n"/>
      <c r="H154" s="203">
        <f>IF(I154="是",0,IF(OR(E154="",F154=""),0,E154*F154*(1+IF(G154="",0,G154))))</f>
        <v/>
      </c>
      <c r="I154" s="197" t="inlineStr">
        <is>
          <t>否</t>
        </is>
      </c>
      <c r="J154" s="199" t="inlineStr">
        <is>
          <t>厚声国际贸易（昆山）有限公司</t>
        </is>
      </c>
    </row>
    <row r="155" ht="13.5" customHeight="1" s="144">
      <c r="A155" s="168">
        <f>IF(C155&lt;&gt;"",ROW()-2,"")</f>
        <v/>
      </c>
      <c r="B155" s="190" t="inlineStr">
        <is>
          <t>硬件</t>
        </is>
      </c>
      <c r="C155" s="191" t="inlineStr">
        <is>
          <t>N30101002081</t>
        </is>
      </c>
      <c r="D155" s="169" t="inlineStr">
        <is>
          <t>片式电阻 RC0402JR-07510RL/0402WGJ0511TCE 1/16W,510Ω,5%,0402(国巨/厚声)(编带)(RoHS)</t>
        </is>
      </c>
      <c r="E155" s="192" t="n">
        <v>5</v>
      </c>
      <c r="F155" s="193" t="n">
        <v>0.0008</v>
      </c>
      <c r="G155" s="194" t="n"/>
      <c r="H155" s="195">
        <f>IF(I155="是",0,IF(OR(E155="",F155=""),0,E155*F155*(1+IF(G155="",0,G155))))</f>
        <v/>
      </c>
      <c r="I155" s="190" t="inlineStr">
        <is>
          <t>否</t>
        </is>
      </c>
      <c r="J155" s="169" t="inlineStr">
        <is>
          <t>厚声国际贸易（昆山）有限公司</t>
        </is>
      </c>
    </row>
    <row r="156" ht="13.5" customHeight="1" s="144">
      <c r="A156" s="196">
        <f>IF(C156&lt;&gt;"",ROW()-2,"")</f>
        <v/>
      </c>
      <c r="B156" s="197" t="inlineStr">
        <is>
          <t>硬件</t>
        </is>
      </c>
      <c r="C156" s="198" t="inlineStr">
        <is>
          <t>N30101002248</t>
        </is>
      </c>
      <c r="D156" s="199" t="inlineStr">
        <is>
          <t>片式电阻 RC0402FR-073K4L/0402WGF3401TCE 1/16W,3.4KΩ,1%,0402(国巨/厚声)(编带)(RoHS)</t>
        </is>
      </c>
      <c r="E156" s="200" t="n">
        <v>4</v>
      </c>
      <c r="F156" s="201" t="n">
        <v>0.001</v>
      </c>
      <c r="G156" s="202" t="n"/>
      <c r="H156" s="203">
        <f>IF(I156="是",0,IF(OR(E156="",F156=""),0,E156*F156*(1+IF(G156="",0,G156))))</f>
        <v/>
      </c>
      <c r="I156" s="197" t="inlineStr">
        <is>
          <t>否</t>
        </is>
      </c>
      <c r="J156" s="199" t="inlineStr">
        <is>
          <t>厚声国际贸易（昆山）有限公司</t>
        </is>
      </c>
    </row>
    <row r="157" ht="13.5" customHeight="1" s="144">
      <c r="A157" s="168">
        <f>IF(C157&lt;&gt;"",ROW()-2,"")</f>
        <v/>
      </c>
      <c r="B157" s="190" t="inlineStr">
        <is>
          <t>硬件</t>
        </is>
      </c>
      <c r="C157" s="191" t="inlineStr">
        <is>
          <t>N30104000124</t>
        </is>
      </c>
      <c r="D157" s="169" t="inlineStr">
        <is>
          <t>金属氧化膜电阻 MOR02SJ0683A10 2W,68KΩ,5%(厚声)(编带)(RoHS)</t>
        </is>
      </c>
      <c r="E157" s="192" t="n">
        <v>1</v>
      </c>
      <c r="F157" s="193" t="n">
        <v>0.063</v>
      </c>
      <c r="G157" s="194" t="n"/>
      <c r="H157" s="195">
        <f>IF(I157="是",0,IF(OR(E157="",F157=""),0,E157*F157*(1+IF(G157="",0,G157))))</f>
        <v/>
      </c>
      <c r="I157" s="190" t="inlineStr">
        <is>
          <t>否</t>
        </is>
      </c>
      <c r="J157" s="169" t="inlineStr">
        <is>
          <t>厚声国际贸易（昆山）有限公司</t>
        </is>
      </c>
    </row>
    <row r="158" ht="13.5" customHeight="1" s="144">
      <c r="A158" s="196">
        <f>IF(C158&lt;&gt;"",ROW()-2,"")</f>
        <v/>
      </c>
      <c r="B158" s="197" t="inlineStr">
        <is>
          <t>硬件</t>
        </is>
      </c>
      <c r="C158" s="198" t="inlineStr">
        <is>
          <t>N30199000018</t>
        </is>
      </c>
      <c r="D158" s="199" t="inlineStr">
        <is>
          <t>片式电阻 1/8W,1KΩ,5%,0805(编带)(RoHS)(互换件)</t>
        </is>
      </c>
      <c r="E158" s="200" t="n">
        <v>1</v>
      </c>
      <c r="F158" s="201" t="n">
        <v>0.0025</v>
      </c>
      <c r="G158" s="202" t="n"/>
      <c r="H158" s="203">
        <f>IF(I158="是",0,IF(OR(E158="",F158=""),0,E158*F158*(1+IF(G158="",0,G158))))</f>
        <v/>
      </c>
      <c r="I158" s="197" t="inlineStr">
        <is>
          <t>否</t>
        </is>
      </c>
      <c r="J158" s="199" t="inlineStr">
        <is>
          <t>厦门美赫电子有限公司</t>
        </is>
      </c>
    </row>
    <row r="159" ht="13.5" customHeight="1" s="144">
      <c r="A159" s="168">
        <f>IF(C159&lt;&gt;"",ROW()-2,"")</f>
        <v/>
      </c>
      <c r="B159" s="190" t="inlineStr">
        <is>
          <t>硬件</t>
        </is>
      </c>
      <c r="C159" s="191" t="inlineStr">
        <is>
          <t>N30199000019</t>
        </is>
      </c>
      <c r="D159" s="169" t="inlineStr">
        <is>
          <t>片式电阻 1/8W,10KΩ,5%,0805(编带)(RoHS)(互换件)</t>
        </is>
      </c>
      <c r="E159" s="192" t="n">
        <v>1</v>
      </c>
      <c r="F159" s="193" t="n">
        <v>0.0025</v>
      </c>
      <c r="G159" s="194" t="n"/>
      <c r="H159" s="195">
        <f>IF(I159="是",0,IF(OR(E159="",F159=""),0,E159*F159*(1+IF(G159="",0,G159))))</f>
        <v/>
      </c>
      <c r="I159" s="190" t="inlineStr">
        <is>
          <t>否</t>
        </is>
      </c>
      <c r="J159" s="169" t="inlineStr">
        <is>
          <t>厦门美赫电子有限公司</t>
        </is>
      </c>
    </row>
    <row r="160" ht="13.5" customHeight="1" s="144">
      <c r="A160" s="196">
        <f>IF(C160&lt;&gt;"",ROW()-2,"")</f>
        <v/>
      </c>
      <c r="B160" s="197" t="inlineStr">
        <is>
          <t>硬件</t>
        </is>
      </c>
      <c r="C160" s="198" t="inlineStr">
        <is>
          <t>N30199000020</t>
        </is>
      </c>
      <c r="D160" s="199" t="inlineStr">
        <is>
          <t>片式电阻 1/10W,10KΩ,5%,0603(编带)(RoHS)(互换件)</t>
        </is>
      </c>
      <c r="E160" s="200" t="n">
        <v>1</v>
      </c>
      <c r="F160" s="201" t="n">
        <v>0.0015</v>
      </c>
      <c r="G160" s="202" t="n"/>
      <c r="H160" s="203">
        <f>IF(I160="是",0,IF(OR(E160="",F160=""),0,E160*F160*(1+IF(G160="",0,G160))))</f>
        <v/>
      </c>
      <c r="I160" s="197" t="inlineStr">
        <is>
          <t>否</t>
        </is>
      </c>
      <c r="J160" s="199" t="inlineStr">
        <is>
          <t>厦门美赫电子有限公司</t>
        </is>
      </c>
    </row>
    <row r="161" ht="13.5" customHeight="1" s="144">
      <c r="A161" s="168">
        <f>IF(C161&lt;&gt;"",ROW()-2,"")</f>
        <v/>
      </c>
      <c r="B161" s="190" t="inlineStr">
        <is>
          <t>硬件</t>
        </is>
      </c>
      <c r="C161" s="191" t="inlineStr">
        <is>
          <t>N30199000026</t>
        </is>
      </c>
      <c r="D161" s="169" t="inlineStr">
        <is>
          <t>片式电阻 1/10W,1KΩ,5%,0603(编带)(RoHS)(互换件)</t>
        </is>
      </c>
      <c r="E161" s="192" t="n">
        <v>1</v>
      </c>
      <c r="F161" s="193" t="n">
        <v>0.0015</v>
      </c>
      <c r="G161" s="194" t="n"/>
      <c r="H161" s="195">
        <f>IF(I161="是",0,IF(OR(E161="",F161=""),0,E161*F161*(1+IF(G161="",0,G161))))</f>
        <v/>
      </c>
      <c r="I161" s="190" t="inlineStr">
        <is>
          <t>否</t>
        </is>
      </c>
      <c r="J161" s="169" t="inlineStr">
        <is>
          <t>厚声国际贸易（昆山）有限公司</t>
        </is>
      </c>
    </row>
    <row r="162" ht="13.5" customHeight="1" s="144">
      <c r="A162" s="196">
        <f>IF(C162&lt;&gt;"",ROW()-2,"")</f>
        <v/>
      </c>
      <c r="B162" s="197" t="inlineStr">
        <is>
          <t>硬件</t>
        </is>
      </c>
      <c r="C162" s="198" t="inlineStr">
        <is>
          <t>N30199000027</t>
        </is>
      </c>
      <c r="D162" s="199" t="inlineStr">
        <is>
          <t>片式电阻 1/4W,10KΩ,5%,1206(编带)(RoHS)(互换件)</t>
        </is>
      </c>
      <c r="E162" s="200" t="n">
        <v>4</v>
      </c>
      <c r="F162" s="201" t="n">
        <v>0.0042</v>
      </c>
      <c r="G162" s="202" t="n"/>
      <c r="H162" s="203">
        <f>IF(I162="是",0,IF(OR(E162="",F162=""),0,E162*F162*(1+IF(G162="",0,G162))))</f>
        <v/>
      </c>
      <c r="I162" s="197" t="inlineStr">
        <is>
          <t>否</t>
        </is>
      </c>
      <c r="J162" s="199" t="inlineStr">
        <is>
          <t>厦门美赫电子有限公司</t>
        </is>
      </c>
    </row>
    <row r="163" ht="13.5" customHeight="1" s="144">
      <c r="A163" s="168">
        <f>IF(C163&lt;&gt;"",ROW()-2,"")</f>
        <v/>
      </c>
      <c r="B163" s="190" t="inlineStr">
        <is>
          <t>硬件</t>
        </is>
      </c>
      <c r="C163" s="191" t="inlineStr">
        <is>
          <t>N30199000032</t>
        </is>
      </c>
      <c r="D163" s="169" t="inlineStr">
        <is>
          <t>片式电阻 1/16W,10KΩ,5%,0402(编带)(RoHS)(互换件)</t>
        </is>
      </c>
      <c r="E163" s="192" t="n">
        <v>36</v>
      </c>
      <c r="F163" s="193" t="n">
        <v>0.0008</v>
      </c>
      <c r="G163" s="194" t="n"/>
      <c r="H163" s="195">
        <f>IF(I163="是",0,IF(OR(E163="",F163=""),0,E163*F163*(1+IF(G163="",0,G163))))</f>
        <v/>
      </c>
      <c r="I163" s="190" t="inlineStr">
        <is>
          <t>否</t>
        </is>
      </c>
      <c r="J163" s="169" t="inlineStr">
        <is>
          <t>厦门美赫电子有限公司</t>
        </is>
      </c>
    </row>
    <row r="164" ht="13.5" customHeight="1" s="144">
      <c r="A164" s="196">
        <f>IF(C164&lt;&gt;"",ROW()-2,"")</f>
        <v/>
      </c>
      <c r="B164" s="197" t="inlineStr">
        <is>
          <t>硬件</t>
        </is>
      </c>
      <c r="C164" s="198" t="inlineStr">
        <is>
          <t>N30199000034</t>
        </is>
      </c>
      <c r="D164" s="199" t="inlineStr">
        <is>
          <t>片式电阻 1/16W,4.7KΩ,5%,0402(编带)(RoHS)(互换件)</t>
        </is>
      </c>
      <c r="E164" s="200" t="n">
        <v>2</v>
      </c>
      <c r="F164" s="201" t="n">
        <v>0.0008</v>
      </c>
      <c r="G164" s="202" t="n"/>
      <c r="H164" s="203">
        <f>IF(I164="是",0,IF(OR(E164="",F164=""),0,E164*F164*(1+IF(G164="",0,G164))))</f>
        <v/>
      </c>
      <c r="I164" s="197" t="inlineStr">
        <is>
          <t>否</t>
        </is>
      </c>
      <c r="J164" s="199" t="inlineStr">
        <is>
          <t>厦门美赫电子有限公司</t>
        </is>
      </c>
    </row>
    <row r="165" ht="13.5" customHeight="1" s="144">
      <c r="A165" s="168">
        <f>IF(C165&lt;&gt;"",ROW()-2,"")</f>
        <v/>
      </c>
      <c r="B165" s="190" t="inlineStr">
        <is>
          <t>硬件</t>
        </is>
      </c>
      <c r="C165" s="191" t="inlineStr">
        <is>
          <t>N30199000047</t>
        </is>
      </c>
      <c r="D165" s="169" t="inlineStr">
        <is>
          <t>片式电阻 1/10W,1KΩ,1%,0603(编带)(RoHS)(互换件)</t>
        </is>
      </c>
      <c r="E165" s="192" t="n">
        <v>1</v>
      </c>
      <c r="F165" s="193" t="n">
        <v>0.0018</v>
      </c>
      <c r="G165" s="194" t="n"/>
      <c r="H165" s="195">
        <f>IF(I165="是",0,IF(OR(E165="",F165=""),0,E165*F165*(1+IF(G165="",0,G165))))</f>
        <v/>
      </c>
      <c r="I165" s="190" t="inlineStr">
        <is>
          <t>否</t>
        </is>
      </c>
      <c r="J165" s="169" t="inlineStr">
        <is>
          <t>厦门美赫电子有限公司</t>
        </is>
      </c>
    </row>
    <row r="166" ht="13.5" customHeight="1" s="144">
      <c r="A166" s="196">
        <f>IF(C166&lt;&gt;"",ROW()-2,"")</f>
        <v/>
      </c>
      <c r="B166" s="197" t="inlineStr">
        <is>
          <t>硬件</t>
        </is>
      </c>
      <c r="C166" s="198" t="inlineStr">
        <is>
          <t>N30199000051</t>
        </is>
      </c>
      <c r="D166" s="199" t="inlineStr">
        <is>
          <t>片式电阻 1/16W,1KΩ,5%,0402(编带)(RoHS)(互换件)</t>
        </is>
      </c>
      <c r="E166" s="200" t="n">
        <v>26</v>
      </c>
      <c r="F166" s="201" t="n">
        <v>0.0008</v>
      </c>
      <c r="G166" s="202" t="n"/>
      <c r="H166" s="203">
        <f>IF(I166="是",0,IF(OR(E166="",F166=""),0,E166*F166*(1+IF(G166="",0,G166))))</f>
        <v/>
      </c>
      <c r="I166" s="197" t="inlineStr">
        <is>
          <t>否</t>
        </is>
      </c>
      <c r="J166" s="199" t="inlineStr">
        <is>
          <t>厦门美赫电子有限公司</t>
        </is>
      </c>
    </row>
    <row r="167" ht="13.5" customHeight="1" s="144">
      <c r="A167" s="168">
        <f>IF(C167&lt;&gt;"",ROW()-2,"")</f>
        <v/>
      </c>
      <c r="B167" s="190" t="inlineStr">
        <is>
          <t>硬件</t>
        </is>
      </c>
      <c r="C167" s="191" t="inlineStr">
        <is>
          <t>N30199000058</t>
        </is>
      </c>
      <c r="D167" s="169" t="inlineStr">
        <is>
          <t>片式电阻 1/10W,100KΩ,5%,0603(编带)(RoHS)(互换件)</t>
        </is>
      </c>
      <c r="E167" s="192" t="n">
        <v>1</v>
      </c>
      <c r="F167" s="193" t="n">
        <v>0.0015</v>
      </c>
      <c r="G167" s="194" t="n"/>
      <c r="H167" s="195">
        <f>IF(I167="是",0,IF(OR(E167="",F167=""),0,E167*F167*(1+IF(G167="",0,G167))))</f>
        <v/>
      </c>
      <c r="I167" s="190" t="inlineStr">
        <is>
          <t>否</t>
        </is>
      </c>
      <c r="J167" s="169" t="inlineStr">
        <is>
          <t>厦门美赫电子有限公司</t>
        </is>
      </c>
    </row>
    <row r="168" ht="13.5" customHeight="1" s="144">
      <c r="A168" s="196">
        <f>IF(C168&lt;&gt;"",ROW()-2,"")</f>
        <v/>
      </c>
      <c r="B168" s="197" t="inlineStr">
        <is>
          <t>硬件</t>
        </is>
      </c>
      <c r="C168" s="198" t="inlineStr">
        <is>
          <t>N30199000065</t>
        </is>
      </c>
      <c r="D168" s="199" t="inlineStr">
        <is>
          <t>片式电阻 1/8W,1.5KΩ,5%,0805(编带)(RoHS)(互换件)</t>
        </is>
      </c>
      <c r="E168" s="200" t="n">
        <v>3</v>
      </c>
      <c r="F168" s="201" t="n">
        <v>0.0025</v>
      </c>
      <c r="G168" s="202" t="n"/>
      <c r="H168" s="203">
        <f>IF(I168="是",0,IF(OR(E168="",F168=""),0,E168*F168*(1+IF(G168="",0,G168))))</f>
        <v/>
      </c>
      <c r="I168" s="197" t="inlineStr">
        <is>
          <t>否</t>
        </is>
      </c>
      <c r="J168" s="199" t="inlineStr">
        <is>
          <t>厦门美赫电子有限公司</t>
        </is>
      </c>
    </row>
    <row r="169" ht="13.5" customHeight="1" s="144">
      <c r="A169" s="168">
        <f>IF(C169&lt;&gt;"",ROW()-2,"")</f>
        <v/>
      </c>
      <c r="B169" s="190" t="inlineStr">
        <is>
          <t>硬件</t>
        </is>
      </c>
      <c r="C169" s="191" t="inlineStr">
        <is>
          <t>N30199000069</t>
        </is>
      </c>
      <c r="D169" s="169" t="inlineStr">
        <is>
          <t>片式电阻 1/16W,100Ω,5%,0402(编带)(RoHS)(互换件)</t>
        </is>
      </c>
      <c r="E169" s="192" t="n">
        <v>1</v>
      </c>
      <c r="F169" s="193" t="n">
        <v>0.0008</v>
      </c>
      <c r="G169" s="194" t="n"/>
      <c r="H169" s="195">
        <f>IF(I169="是",0,IF(OR(E169="",F169=""),0,E169*F169*(1+IF(G169="",0,G169))))</f>
        <v/>
      </c>
      <c r="I169" s="190" t="inlineStr">
        <is>
          <t>否</t>
        </is>
      </c>
      <c r="J169" s="169" t="inlineStr">
        <is>
          <t>厦门美赫电子有限公司</t>
        </is>
      </c>
    </row>
    <row r="170" ht="13.5" customHeight="1" s="144">
      <c r="A170" s="196">
        <f>IF(C170&lt;&gt;"",ROW()-2,"")</f>
        <v/>
      </c>
      <c r="B170" s="197" t="inlineStr">
        <is>
          <t>硬件</t>
        </is>
      </c>
      <c r="C170" s="198" t="inlineStr">
        <is>
          <t>N30199000075</t>
        </is>
      </c>
      <c r="D170" s="199" t="inlineStr">
        <is>
          <t>片式电阻 1/10W,4.7KΩ,1%,0603(编带)(RoHS)(互换件)</t>
        </is>
      </c>
      <c r="E170" s="200" t="n">
        <v>1</v>
      </c>
      <c r="F170" s="201" t="n">
        <v>0.0018</v>
      </c>
      <c r="G170" s="202" t="n"/>
      <c r="H170" s="203">
        <f>IF(I170="是",0,IF(OR(E170="",F170=""),0,E170*F170*(1+IF(G170="",0,G170))))</f>
        <v/>
      </c>
      <c r="I170" s="197" t="inlineStr">
        <is>
          <t>否</t>
        </is>
      </c>
      <c r="J170" s="199" t="inlineStr">
        <is>
          <t>厦门美赫电子有限公司</t>
        </is>
      </c>
    </row>
    <row r="171" ht="13.5" customHeight="1" s="144">
      <c r="A171" s="168">
        <f>IF(C171&lt;&gt;"",ROW()-2,"")</f>
        <v/>
      </c>
      <c r="B171" s="190" t="inlineStr">
        <is>
          <t>硬件</t>
        </is>
      </c>
      <c r="C171" s="191" t="inlineStr">
        <is>
          <t>N30199000076</t>
        </is>
      </c>
      <c r="D171" s="169" t="inlineStr">
        <is>
          <t>片式电阻 1/4W,510KΩ,5%,1206(编带)(RoHS)(互换件)</t>
        </is>
      </c>
      <c r="E171" s="192" t="n">
        <v>2</v>
      </c>
      <c r="F171" s="193" t="n">
        <v>0.0042</v>
      </c>
      <c r="G171" s="194" t="n"/>
      <c r="H171" s="195">
        <f>IF(I171="是",0,IF(OR(E171="",F171=""),0,E171*F171*(1+IF(G171="",0,G171))))</f>
        <v/>
      </c>
      <c r="I171" s="190" t="inlineStr">
        <is>
          <t>否</t>
        </is>
      </c>
      <c r="J171" s="169" t="inlineStr">
        <is>
          <t>厦门美赫电子有限公司</t>
        </is>
      </c>
    </row>
    <row r="172" ht="13.5" customHeight="1" s="144">
      <c r="A172" s="196">
        <f>IF(C172&lt;&gt;"",ROW()-2,"")</f>
        <v/>
      </c>
      <c r="B172" s="197" t="inlineStr">
        <is>
          <t>硬件</t>
        </is>
      </c>
      <c r="C172" s="198" t="inlineStr">
        <is>
          <t>N30199000084</t>
        </is>
      </c>
      <c r="D172" s="199" t="inlineStr">
        <is>
          <t>片式电阻 1/8W,100Ω,5%,0805(编带)(RoHS)(互换件)</t>
        </is>
      </c>
      <c r="E172" s="200" t="n">
        <v>1</v>
      </c>
      <c r="F172" s="201" t="n">
        <v>0.0025</v>
      </c>
      <c r="G172" s="202" t="n"/>
      <c r="H172" s="203">
        <f>IF(I172="是",0,IF(OR(E172="",F172=""),0,E172*F172*(1+IF(G172="",0,G172))))</f>
        <v/>
      </c>
      <c r="I172" s="197" t="inlineStr">
        <is>
          <t>否</t>
        </is>
      </c>
      <c r="J172" s="199" t="inlineStr">
        <is>
          <t>厦门美赫电子有限公司</t>
        </is>
      </c>
    </row>
    <row r="173" ht="13.5" customHeight="1" s="144">
      <c r="A173" s="168">
        <f>IF(C173&lt;&gt;"",ROW()-2,"")</f>
        <v/>
      </c>
      <c r="B173" s="190" t="inlineStr">
        <is>
          <t>硬件</t>
        </is>
      </c>
      <c r="C173" s="191" t="inlineStr">
        <is>
          <t>N30199000117</t>
        </is>
      </c>
      <c r="D173" s="169" t="inlineStr">
        <is>
          <t>片式电阻 1/4W,100Ω,5%,1206(编带)(RoHS)(互换件)</t>
        </is>
      </c>
      <c r="E173" s="192" t="n">
        <v>2</v>
      </c>
      <c r="F173" s="193" t="n">
        <v>0.0042</v>
      </c>
      <c r="G173" s="194" t="n"/>
      <c r="H173" s="195">
        <f>IF(I173="是",0,IF(OR(E173="",F173=""),0,E173*F173*(1+IF(G173="",0,G173))))</f>
        <v/>
      </c>
      <c r="I173" s="190" t="inlineStr">
        <is>
          <t>否</t>
        </is>
      </c>
      <c r="J173" s="169" t="inlineStr">
        <is>
          <t>厦门美赫电子有限公司</t>
        </is>
      </c>
    </row>
    <row r="174" ht="13.5" customHeight="1" s="144">
      <c r="A174" s="196">
        <f>IF(C174&lt;&gt;"",ROW()-2,"")</f>
        <v/>
      </c>
      <c r="B174" s="197" t="inlineStr">
        <is>
          <t>硬件</t>
        </is>
      </c>
      <c r="C174" s="198" t="inlineStr">
        <is>
          <t>N30199000126</t>
        </is>
      </c>
      <c r="D174" s="199" t="inlineStr">
        <is>
          <t>片式电阻 1/4W,20Ω,5%,1206(编带)(RoHS)(互换件)</t>
        </is>
      </c>
      <c r="E174" s="200" t="n">
        <v>6</v>
      </c>
      <c r="F174" s="201" t="n">
        <v>0.0043</v>
      </c>
      <c r="G174" s="202" t="n"/>
      <c r="H174" s="203">
        <f>IF(I174="是",0,IF(OR(E174="",F174=""),0,E174*F174*(1+IF(G174="",0,G174))))</f>
        <v/>
      </c>
      <c r="I174" s="197" t="inlineStr">
        <is>
          <t>否</t>
        </is>
      </c>
      <c r="J174" s="199" t="inlineStr">
        <is>
          <t>厚声国际贸易（昆山）有限公司</t>
        </is>
      </c>
    </row>
    <row r="175" ht="13.5" customHeight="1" s="144">
      <c r="A175" s="168">
        <f>IF(C175&lt;&gt;"",ROW()-2,"")</f>
        <v/>
      </c>
      <c r="B175" s="190" t="inlineStr">
        <is>
          <t>硬件</t>
        </is>
      </c>
      <c r="C175" s="191" t="inlineStr">
        <is>
          <t>N30199000134</t>
        </is>
      </c>
      <c r="D175" s="169" t="inlineStr">
        <is>
          <t>片式电阻 1/4W,150KΩ,5%,1206(编带)(RoHS)(互换件)</t>
        </is>
      </c>
      <c r="E175" s="192" t="n">
        <v>1</v>
      </c>
      <c r="F175" s="193" t="n">
        <v>0.0042</v>
      </c>
      <c r="G175" s="194" t="n"/>
      <c r="H175" s="195">
        <f>IF(I175="是",0,IF(OR(E175="",F175=""),0,E175*F175*(1+IF(G175="",0,G175))))</f>
        <v/>
      </c>
      <c r="I175" s="190" t="inlineStr">
        <is>
          <t>否</t>
        </is>
      </c>
      <c r="J175" s="169" t="inlineStr">
        <is>
          <t>厦门美赫电子有限公司</t>
        </is>
      </c>
    </row>
    <row r="176" ht="13.5" customHeight="1" s="144">
      <c r="A176" s="196">
        <f>IF(C176&lt;&gt;"",ROW()-2,"")</f>
        <v/>
      </c>
      <c r="B176" s="197" t="inlineStr">
        <is>
          <t>硬件</t>
        </is>
      </c>
      <c r="C176" s="198" t="inlineStr">
        <is>
          <t>N30199000163</t>
        </is>
      </c>
      <c r="D176" s="199" t="inlineStr">
        <is>
          <t>片式电阻 1/16W,470Ω,5%,0402(编带)(RoHS)(互换件)</t>
        </is>
      </c>
      <c r="E176" s="200" t="n">
        <v>2</v>
      </c>
      <c r="F176" s="201" t="n">
        <v>0.0008</v>
      </c>
      <c r="G176" s="202" t="n"/>
      <c r="H176" s="203">
        <f>IF(I176="是",0,IF(OR(E176="",F176=""),0,E176*F176*(1+IF(G176="",0,G176))))</f>
        <v/>
      </c>
      <c r="I176" s="197" t="inlineStr">
        <is>
          <t>否</t>
        </is>
      </c>
      <c r="J176" s="199" t="inlineStr">
        <is>
          <t>厦门美赫电子有限公司</t>
        </is>
      </c>
    </row>
    <row r="177" ht="13.5" customHeight="1" s="144">
      <c r="A177" s="168">
        <f>IF(C177&lt;&gt;"",ROW()-2,"")</f>
        <v/>
      </c>
      <c r="B177" s="190" t="inlineStr">
        <is>
          <t>硬件</t>
        </is>
      </c>
      <c r="C177" s="191" t="inlineStr">
        <is>
          <t>N30199000227</t>
        </is>
      </c>
      <c r="D177" s="169" t="inlineStr">
        <is>
          <t>片式电阻 1/4W,10Ω,5%,1206(编带)(RoHS)(互换件)</t>
        </is>
      </c>
      <c r="E177" s="192" t="n">
        <v>1</v>
      </c>
      <c r="F177" s="193" t="n">
        <v>0.0042</v>
      </c>
      <c r="G177" s="194" t="n"/>
      <c r="H177" s="195">
        <f>IF(I177="是",0,IF(OR(E177="",F177=""),0,E177*F177*(1+IF(G177="",0,G177))))</f>
        <v/>
      </c>
      <c r="I177" s="190" t="inlineStr">
        <is>
          <t>否</t>
        </is>
      </c>
      <c r="J177" s="169" t="inlineStr">
        <is>
          <t>厦门美赫电子有限公司</t>
        </is>
      </c>
    </row>
    <row r="178" ht="13.5" customHeight="1" s="144">
      <c r="A178" s="196">
        <f>IF(C178&lt;&gt;"",ROW()-2,"")</f>
        <v/>
      </c>
      <c r="B178" s="197" t="inlineStr">
        <is>
          <t>硬件</t>
        </is>
      </c>
      <c r="C178" s="198" t="inlineStr">
        <is>
          <t>N30199000245</t>
        </is>
      </c>
      <c r="D178" s="199" t="inlineStr">
        <is>
          <t>片式电阻 1/16W,10Ω,5%,0402(编带)(RoHS)(互换件)</t>
        </is>
      </c>
      <c r="E178" s="200" t="n">
        <v>2</v>
      </c>
      <c r="F178" s="201" t="n">
        <v>0.0008</v>
      </c>
      <c r="G178" s="202" t="n"/>
      <c r="H178" s="203">
        <f>IF(I178="是",0,IF(OR(E178="",F178=""),0,E178*F178*(1+IF(G178="",0,G178))))</f>
        <v/>
      </c>
      <c r="I178" s="197" t="inlineStr">
        <is>
          <t>否</t>
        </is>
      </c>
      <c r="J178" s="199" t="inlineStr">
        <is>
          <t>厦门美赫电子有限公司</t>
        </is>
      </c>
    </row>
    <row r="179" ht="13.5" customHeight="1" s="144">
      <c r="A179" s="168">
        <f>IF(C179&lt;&gt;"",ROW()-2,"")</f>
        <v/>
      </c>
      <c r="B179" s="190" t="inlineStr">
        <is>
          <t>硬件</t>
        </is>
      </c>
      <c r="C179" s="191" t="inlineStr">
        <is>
          <t>N30199000253</t>
        </is>
      </c>
      <c r="D179" s="169" t="inlineStr">
        <is>
          <t>片式电阻 1/16W,10KΩ,1%,0402(编带)(RoHS)(互换件)</t>
        </is>
      </c>
      <c r="E179" s="192" t="n">
        <v>5</v>
      </c>
      <c r="F179" s="193" t="n">
        <v>0.001</v>
      </c>
      <c r="G179" s="194" t="n"/>
      <c r="H179" s="195">
        <f>IF(I179="是",0,IF(OR(E179="",F179=""),0,E179*F179*(1+IF(G179="",0,G179))))</f>
        <v/>
      </c>
      <c r="I179" s="190" t="inlineStr">
        <is>
          <t>否</t>
        </is>
      </c>
      <c r="J179" s="169" t="inlineStr">
        <is>
          <t>厦门美赫电子有限公司</t>
        </is>
      </c>
    </row>
    <row r="180" ht="13.5" customHeight="1" s="144">
      <c r="A180" s="196">
        <f>IF(C180&lt;&gt;"",ROW()-2,"")</f>
        <v/>
      </c>
      <c r="B180" s="197" t="inlineStr">
        <is>
          <t>硬件</t>
        </is>
      </c>
      <c r="C180" s="198" t="inlineStr">
        <is>
          <t>N30199000254</t>
        </is>
      </c>
      <c r="D180" s="199" t="inlineStr">
        <is>
          <t>片式电阻 1/10W,40.2KΩ,1%,0603(编带)(RoHS)(互换件)</t>
        </is>
      </c>
      <c r="E180" s="200" t="n">
        <v>1</v>
      </c>
      <c r="F180" s="201" t="n">
        <v>0.0018</v>
      </c>
      <c r="G180" s="202" t="n"/>
      <c r="H180" s="203">
        <f>IF(I180="是",0,IF(OR(E180="",F180=""),0,E180*F180*(1+IF(G180="",0,G180))))</f>
        <v/>
      </c>
      <c r="I180" s="197" t="inlineStr">
        <is>
          <t>否</t>
        </is>
      </c>
      <c r="J180" s="199" t="inlineStr">
        <is>
          <t>厦门美赫电子有限公司</t>
        </is>
      </c>
    </row>
    <row r="181" ht="13.5" customHeight="1" s="144">
      <c r="A181" s="168">
        <f>IF(C181&lt;&gt;"",ROW()-2,"")</f>
        <v/>
      </c>
      <c r="B181" s="190" t="inlineStr">
        <is>
          <t>硬件</t>
        </is>
      </c>
      <c r="C181" s="191" t="inlineStr">
        <is>
          <t>N30199000325</t>
        </is>
      </c>
      <c r="D181" s="169" t="inlineStr">
        <is>
          <t>片式电阻 1/10W,30KΩ,5%,0603(编带)(RoHS)(互换件)</t>
        </is>
      </c>
      <c r="E181" s="192" t="n">
        <v>1</v>
      </c>
      <c r="F181" s="193" t="n">
        <v>0.0015</v>
      </c>
      <c r="G181" s="194" t="n"/>
      <c r="H181" s="195">
        <f>IF(I181="是",0,IF(OR(E181="",F181=""),0,E181*F181*(1+IF(G181="",0,G181))))</f>
        <v/>
      </c>
      <c r="I181" s="190" t="inlineStr">
        <is>
          <t>否</t>
        </is>
      </c>
      <c r="J181" s="169" t="inlineStr">
        <is>
          <t>厦门美赫电子有限公司</t>
        </is>
      </c>
    </row>
    <row r="182" ht="13.5" customHeight="1" s="144">
      <c r="A182" s="196">
        <f>IF(C182&lt;&gt;"",ROW()-2,"")</f>
        <v/>
      </c>
      <c r="B182" s="197" t="inlineStr">
        <is>
          <t>硬件</t>
        </is>
      </c>
      <c r="C182" s="198" t="inlineStr">
        <is>
          <t>N30199000344</t>
        </is>
      </c>
      <c r="D182" s="199" t="inlineStr">
        <is>
          <t>片式电阻 1/4W,1.5Ω,1%,1206(编带)(RoHS)(互换件)</t>
        </is>
      </c>
      <c r="E182" s="200" t="n">
        <v>3</v>
      </c>
      <c r="F182" s="201" t="n">
        <v>0.0058</v>
      </c>
      <c r="G182" s="202" t="n"/>
      <c r="H182" s="203">
        <f>IF(I182="是",0,IF(OR(E182="",F182=""),0,E182*F182*(1+IF(G182="",0,G182))))</f>
        <v/>
      </c>
      <c r="I182" s="197" t="inlineStr">
        <is>
          <t>否</t>
        </is>
      </c>
      <c r="J182" s="199" t="inlineStr">
        <is>
          <t>厚声国际贸易（昆山）有限公司</t>
        </is>
      </c>
    </row>
    <row r="183" ht="13.5" customHeight="1" s="144">
      <c r="A183" s="168">
        <f>IF(C183&lt;&gt;"",ROW()-2,"")</f>
        <v/>
      </c>
      <c r="B183" s="190" t="inlineStr">
        <is>
          <t>硬件</t>
        </is>
      </c>
      <c r="C183" s="191" t="inlineStr">
        <is>
          <t>N30199000347</t>
        </is>
      </c>
      <c r="D183" s="169" t="inlineStr">
        <is>
          <t>片式电阻 1/10W,39KΩ,5%,0603(编带)(RoHS)(互换件)</t>
        </is>
      </c>
      <c r="E183" s="192" t="n">
        <v>1</v>
      </c>
      <c r="F183" s="193" t="n">
        <v>0.0015</v>
      </c>
      <c r="G183" s="194" t="n"/>
      <c r="H183" s="195">
        <f>IF(I183="是",0,IF(OR(E183="",F183=""),0,E183*F183*(1+IF(G183="",0,G183))))</f>
        <v/>
      </c>
      <c r="I183" s="190" t="inlineStr">
        <is>
          <t>否</t>
        </is>
      </c>
      <c r="J183" s="169" t="inlineStr">
        <is>
          <t>厦门美赫电子有限公司</t>
        </is>
      </c>
    </row>
    <row r="184" ht="13.5" customHeight="1" s="144">
      <c r="A184" s="196">
        <f>IF(C184&lt;&gt;"",ROW()-2,"")</f>
        <v/>
      </c>
      <c r="B184" s="197" t="inlineStr">
        <is>
          <t>硬件</t>
        </is>
      </c>
      <c r="C184" s="198" t="inlineStr">
        <is>
          <t>N30199000369</t>
        </is>
      </c>
      <c r="D184" s="199" t="inlineStr">
        <is>
          <t>片式电阻 1/16W,680Ω,5%,0402(编带)(RoHS)(互换件)</t>
        </is>
      </c>
      <c r="E184" s="200" t="n">
        <v>12</v>
      </c>
      <c r="F184" s="201" t="n">
        <v>0.0008</v>
      </c>
      <c r="G184" s="202" t="n"/>
      <c r="H184" s="203">
        <f>IF(I184="是",0,IF(OR(E184="",F184=""),0,E184*F184*(1+IF(G184="",0,G184))))</f>
        <v/>
      </c>
      <c r="I184" s="197" t="inlineStr">
        <is>
          <t>否</t>
        </is>
      </c>
      <c r="J184" s="199" t="inlineStr">
        <is>
          <t>厦门美赫电子有限公司</t>
        </is>
      </c>
    </row>
    <row r="185" ht="13.5" customHeight="1" s="144">
      <c r="A185" s="168">
        <f>IF(C185&lt;&gt;"",ROW()-2,"")</f>
        <v/>
      </c>
      <c r="B185" s="190" t="inlineStr">
        <is>
          <t>硬件</t>
        </is>
      </c>
      <c r="C185" s="191" t="inlineStr">
        <is>
          <t>N30199000378</t>
        </is>
      </c>
      <c r="D185" s="169" t="inlineStr">
        <is>
          <t>片式电阻 1/10W,75KΩ,1%,0603(编带)(RoHS)(互换件)</t>
        </is>
      </c>
      <c r="E185" s="192" t="n">
        <v>1</v>
      </c>
      <c r="F185" s="193" t="n">
        <v>0.0018</v>
      </c>
      <c r="G185" s="194" t="n"/>
      <c r="H185" s="195">
        <f>IF(I185="是",0,IF(OR(E185="",F185=""),0,E185*F185*(1+IF(G185="",0,G185))))</f>
        <v/>
      </c>
      <c r="I185" s="190" t="inlineStr">
        <is>
          <t>否</t>
        </is>
      </c>
      <c r="J185" s="169" t="inlineStr">
        <is>
          <t>厦门美赫电子有限公司</t>
        </is>
      </c>
    </row>
    <row r="186" ht="13.5" customHeight="1" s="144">
      <c r="A186" s="196">
        <f>IF(C186&lt;&gt;"",ROW()-2,"")</f>
        <v/>
      </c>
      <c r="B186" s="197" t="inlineStr">
        <is>
          <t>硬件</t>
        </is>
      </c>
      <c r="C186" s="198" t="inlineStr">
        <is>
          <t>N30199000414</t>
        </is>
      </c>
      <c r="D186" s="199" t="inlineStr">
        <is>
          <t>片式电阻 1/10W,18KΩ,1%,0603(编带)(RoHS)(互换件)</t>
        </is>
      </c>
      <c r="E186" s="200" t="n">
        <v>1</v>
      </c>
      <c r="F186" s="201" t="n">
        <v>0.0018</v>
      </c>
      <c r="G186" s="202" t="n"/>
      <c r="H186" s="203">
        <f>IF(I186="是",0,IF(OR(E186="",F186=""),0,E186*F186*(1+IF(G186="",0,G186))))</f>
        <v/>
      </c>
      <c r="I186" s="197" t="inlineStr">
        <is>
          <t>否</t>
        </is>
      </c>
      <c r="J186" s="199" t="inlineStr">
        <is>
          <t>厦门美赫电子有限公司</t>
        </is>
      </c>
    </row>
    <row r="187" ht="13.5" customHeight="1" s="144">
      <c r="A187" s="168">
        <f>IF(C187&lt;&gt;"",ROW()-2,"")</f>
        <v/>
      </c>
      <c r="B187" s="190" t="inlineStr">
        <is>
          <t>硬件</t>
        </is>
      </c>
      <c r="C187" s="191" t="inlineStr">
        <is>
          <t>N30199000419</t>
        </is>
      </c>
      <c r="D187" s="169" t="inlineStr">
        <is>
          <t>片式电阻 1/16W,6.8KΩ,1%,0402(编带)(RoHS)(互换件)</t>
        </is>
      </c>
      <c r="E187" s="192" t="n">
        <v>4</v>
      </c>
      <c r="F187" s="193" t="n">
        <v>0.001</v>
      </c>
      <c r="G187" s="194" t="n"/>
      <c r="H187" s="195">
        <f>IF(I187="是",0,IF(OR(E187="",F187=""),0,E187*F187*(1+IF(G187="",0,G187))))</f>
        <v/>
      </c>
      <c r="I187" s="190" t="inlineStr">
        <is>
          <t>否</t>
        </is>
      </c>
      <c r="J187" s="169" t="inlineStr">
        <is>
          <t>厦门美赫电子有限公司</t>
        </is>
      </c>
    </row>
    <row r="188" ht="13.5" customHeight="1" s="144">
      <c r="A188" s="196">
        <f>IF(C188&lt;&gt;"",ROW()-2,"")</f>
        <v/>
      </c>
      <c r="B188" s="197" t="inlineStr">
        <is>
          <t>硬件</t>
        </is>
      </c>
      <c r="C188" s="198" t="inlineStr">
        <is>
          <t>N30199000473</t>
        </is>
      </c>
      <c r="D188" s="199" t="inlineStr">
        <is>
          <t>片式电阻 1/16W,2KΩ,5%,0402(编带)(RoHS)(互换件)</t>
        </is>
      </c>
      <c r="E188" s="200" t="n">
        <v>4</v>
      </c>
      <c r="F188" s="201" t="n">
        <v>0.0008</v>
      </c>
      <c r="G188" s="202" t="n"/>
      <c r="H188" s="203">
        <f>IF(I188="是",0,IF(OR(E188="",F188=""),0,E188*F188*(1+IF(G188="",0,G188))))</f>
        <v/>
      </c>
      <c r="I188" s="197" t="inlineStr">
        <is>
          <t>否</t>
        </is>
      </c>
      <c r="J188" s="199" t="inlineStr">
        <is>
          <t>厦门美赫电子有限公司</t>
        </is>
      </c>
    </row>
    <row r="189" ht="13.5" customHeight="1" s="144">
      <c r="A189" s="168">
        <f>IF(C189&lt;&gt;"",ROW()-2,"")</f>
        <v/>
      </c>
      <c r="B189" s="190" t="inlineStr">
        <is>
          <t>硬件</t>
        </is>
      </c>
      <c r="C189" s="191" t="inlineStr">
        <is>
          <t>N30199000478</t>
        </is>
      </c>
      <c r="D189" s="169" t="inlineStr">
        <is>
          <t>片式电阻 1/16W,3.3KΩ,5%,0402(编带)(RoHS)(互换件)</t>
        </is>
      </c>
      <c r="E189" s="192" t="n">
        <v>8</v>
      </c>
      <c r="F189" s="193" t="n">
        <v>0.0008</v>
      </c>
      <c r="G189" s="194" t="n"/>
      <c r="H189" s="195">
        <f>IF(I189="是",0,IF(OR(E189="",F189=""),0,E189*F189*(1+IF(G189="",0,G189))))</f>
        <v/>
      </c>
      <c r="I189" s="190" t="inlineStr">
        <is>
          <t>否</t>
        </is>
      </c>
      <c r="J189" s="169" t="inlineStr">
        <is>
          <t>厦门美赫电子有限公司</t>
        </is>
      </c>
    </row>
    <row r="190" ht="13.5" customHeight="1" s="144">
      <c r="A190" s="196">
        <f>IF(C190&lt;&gt;"",ROW()-2,"")</f>
        <v/>
      </c>
      <c r="B190" s="197" t="inlineStr">
        <is>
          <t>硬件</t>
        </is>
      </c>
      <c r="C190" s="198" t="inlineStr">
        <is>
          <t>N30199000483</t>
        </is>
      </c>
      <c r="D190" s="199" t="inlineStr">
        <is>
          <t>片式电阻 1/10W,13KΩ,1%,0603(编带)(RoHS)(互换件)</t>
        </is>
      </c>
      <c r="E190" s="200" t="n">
        <v>1</v>
      </c>
      <c r="F190" s="201" t="n">
        <v>0.0018</v>
      </c>
      <c r="G190" s="202" t="n"/>
      <c r="H190" s="203">
        <f>IF(I190="是",0,IF(OR(E190="",F190=""),0,E190*F190*(1+IF(G190="",0,G190))))</f>
        <v/>
      </c>
      <c r="I190" s="197" t="inlineStr">
        <is>
          <t>否</t>
        </is>
      </c>
      <c r="J190" s="199" t="inlineStr">
        <is>
          <t>厦门美赫电子有限公司</t>
        </is>
      </c>
    </row>
    <row r="191" ht="13.5" customHeight="1" s="144">
      <c r="A191" s="168">
        <f>IF(C191&lt;&gt;"",ROW()-2,"")</f>
        <v/>
      </c>
      <c r="B191" s="190" t="inlineStr">
        <is>
          <t>硬件</t>
        </is>
      </c>
      <c r="C191" s="191" t="inlineStr">
        <is>
          <t>N30199000518</t>
        </is>
      </c>
      <c r="D191" s="169" t="inlineStr">
        <is>
          <t>片式电阻 1/16W,5.1KΩ,5%,0402(编带)(RoHS)(互换件)</t>
        </is>
      </c>
      <c r="E191" s="192" t="n">
        <v>1</v>
      </c>
      <c r="F191" s="193" t="n">
        <v>0.0008</v>
      </c>
      <c r="G191" s="194" t="n"/>
      <c r="H191" s="195">
        <f>IF(I191="是",0,IF(OR(E191="",F191=""),0,E191*F191*(1+IF(G191="",0,G191))))</f>
        <v/>
      </c>
      <c r="I191" s="190" t="inlineStr">
        <is>
          <t>否</t>
        </is>
      </c>
      <c r="J191" s="169" t="inlineStr">
        <is>
          <t>厦门美赫电子有限公司</t>
        </is>
      </c>
    </row>
    <row r="192" ht="13.5" customHeight="1" s="144">
      <c r="A192" s="196">
        <f>IF(C192&lt;&gt;"",ROW()-2,"")</f>
        <v/>
      </c>
      <c r="B192" s="197" t="inlineStr">
        <is>
          <t>硬件</t>
        </is>
      </c>
      <c r="C192" s="198" t="inlineStr">
        <is>
          <t>N30199000586</t>
        </is>
      </c>
      <c r="D192" s="199" t="inlineStr">
        <is>
          <t>片式电阻 1/16W,15KΩ,5%,0402(编带)(RoHS)(互换件)</t>
        </is>
      </c>
      <c r="E192" s="200" t="n">
        <v>2</v>
      </c>
      <c r="F192" s="201" t="n">
        <v>0.0008</v>
      </c>
      <c r="G192" s="202" t="n"/>
      <c r="H192" s="203">
        <f>IF(I192="是",0,IF(OR(E192="",F192=""),0,E192*F192*(1+IF(G192="",0,G192))))</f>
        <v/>
      </c>
      <c r="I192" s="197" t="inlineStr">
        <is>
          <t>否</t>
        </is>
      </c>
      <c r="J192" s="199" t="inlineStr">
        <is>
          <t>厦门美赫电子有限公司</t>
        </is>
      </c>
    </row>
    <row r="193" ht="13.5" customHeight="1" s="144">
      <c r="A193" s="168">
        <f>IF(C193&lt;&gt;"",ROW()-2,"")</f>
        <v/>
      </c>
      <c r="B193" s="190" t="inlineStr">
        <is>
          <t>硬件</t>
        </is>
      </c>
      <c r="C193" s="191" t="inlineStr">
        <is>
          <t>N30199000618</t>
        </is>
      </c>
      <c r="D193" s="169" t="inlineStr">
        <is>
          <t>片式电阻 1/16W,200Ω,5%,0402(编带)(RoHS)(互换件)</t>
        </is>
      </c>
      <c r="E193" s="192" t="n">
        <v>4</v>
      </c>
      <c r="F193" s="193" t="n">
        <v>0.0008</v>
      </c>
      <c r="G193" s="194" t="n"/>
      <c r="H193" s="195">
        <f>IF(I193="是",0,IF(OR(E193="",F193=""),0,E193*F193*(1+IF(G193="",0,G193))))</f>
        <v/>
      </c>
      <c r="I193" s="190" t="inlineStr">
        <is>
          <t>否</t>
        </is>
      </c>
      <c r="J193" s="169" t="inlineStr">
        <is>
          <t>厚声国际贸易（昆山）有限公司</t>
        </is>
      </c>
    </row>
    <row r="194" ht="13.5" customHeight="1" s="144">
      <c r="A194" s="196">
        <f>IF(C194&lt;&gt;"",ROW()-2,"")</f>
        <v/>
      </c>
      <c r="B194" s="197" t="inlineStr">
        <is>
          <t>硬件</t>
        </is>
      </c>
      <c r="C194" s="198" t="inlineStr">
        <is>
          <t>N30199000666</t>
        </is>
      </c>
      <c r="D194" s="199" t="inlineStr">
        <is>
          <t>片式电阻 3/4W,68KΩ,5%,2010(编带)(RoHS)(互换件)</t>
        </is>
      </c>
      <c r="E194" s="200" t="n">
        <v>12</v>
      </c>
      <c r="F194" s="201" t="n">
        <v>0.0274</v>
      </c>
      <c r="G194" s="202" t="n"/>
      <c r="H194" s="203">
        <f>IF(I194="是",0,IF(OR(E194="",F194=""),0,E194*F194*(1+IF(G194="",0,G194))))</f>
        <v/>
      </c>
      <c r="I194" s="197" t="inlineStr">
        <is>
          <t>否</t>
        </is>
      </c>
      <c r="J194" s="199" t="inlineStr">
        <is>
          <t>厦门美赫电子有限公司</t>
        </is>
      </c>
    </row>
    <row r="195" ht="13.5" customHeight="1" s="144">
      <c r="A195" s="168">
        <f>IF(C195&lt;&gt;"",ROW()-2,"")</f>
        <v/>
      </c>
      <c r="B195" s="190" t="inlineStr">
        <is>
          <t>硬件</t>
        </is>
      </c>
      <c r="C195" s="191" t="inlineStr">
        <is>
          <t>N30302000104</t>
        </is>
      </c>
      <c r="D195" s="205" t="inlineStr">
        <is>
          <t>NTC热敏电阻 SCK08053MSY008 3A,R25=5Ω(20%,φ8)(兴勤)(编带)(HF;RoHS)</t>
        </is>
      </c>
      <c r="E195" s="192" t="n">
        <v>1</v>
      </c>
      <c r="F195" s="193" t="n">
        <v>0.2548</v>
      </c>
      <c r="G195" s="194" t="n"/>
      <c r="H195" s="195">
        <f>IF(I195="是",0,IF(OR(E195="",F195=""),0,E195*F195*(1+IF(G195="",0,G195))))</f>
        <v/>
      </c>
      <c r="I195" s="190" t="inlineStr">
        <is>
          <t>否</t>
        </is>
      </c>
      <c r="J195" s="169" t="inlineStr">
        <is>
          <t>东莞为勤电子有限公司</t>
        </is>
      </c>
    </row>
    <row r="196" ht="13.5" customHeight="1" s="144">
      <c r="A196" s="196">
        <f>IF(C196&lt;&gt;"",ROW()-2,"")</f>
        <v/>
      </c>
      <c r="B196" s="197" t="inlineStr">
        <is>
          <t>硬件</t>
        </is>
      </c>
      <c r="C196" s="198" t="inlineStr">
        <is>
          <t>N30503000098</t>
        </is>
      </c>
      <c r="D196" s="199" t="inlineStr">
        <is>
          <t>聚丙烯膜电容 C312J222K3SA31A 2.2nF,10%,630Vdc,P=7.5(法拉)(编带)(RoHS)</t>
        </is>
      </c>
      <c r="E196" s="200" t="n">
        <v>1</v>
      </c>
      <c r="F196" s="201" t="n">
        <v>0.102</v>
      </c>
      <c r="G196" s="202" t="n"/>
      <c r="H196" s="203">
        <f>IF(I196="是",0,IF(OR(E196="",F196=""),0,E196*F196*(1+IF(G196="",0,G196))))</f>
        <v/>
      </c>
      <c r="I196" s="197" t="inlineStr">
        <is>
          <t>否</t>
        </is>
      </c>
      <c r="J196" s="199" t="inlineStr">
        <is>
          <t>厦门法拉电子股份有限公司</t>
        </is>
      </c>
    </row>
    <row r="197" ht="13.5" customHeight="1" s="144">
      <c r="A197" s="168">
        <f>IF(C197&lt;&gt;"",ROW()-2,"")</f>
        <v/>
      </c>
      <c r="B197" s="190" t="inlineStr">
        <is>
          <t>硬件</t>
        </is>
      </c>
      <c r="C197" s="191" t="inlineStr">
        <is>
          <t>N30506000690</t>
        </is>
      </c>
      <c r="D197" s="169" t="inlineStr">
        <is>
          <t>铝电解电容 RGA330M2WBK-1620 33uF,20%,450V,105℃,16X20,P=7.5(立隆)(RoHS)</t>
        </is>
      </c>
      <c r="E197" s="192" t="n">
        <v>1</v>
      </c>
      <c r="F197" s="193" t="n">
        <v>0.88</v>
      </c>
      <c r="G197" s="194" t="n"/>
      <c r="H197" s="195">
        <f>IF(I197="是",0,IF(OR(E197="",F197=""),0,E197*F197*(1+IF(G197="",0,G197))))</f>
        <v/>
      </c>
      <c r="I197" s="190" t="inlineStr">
        <is>
          <t>否</t>
        </is>
      </c>
      <c r="J197" s="169" t="inlineStr">
        <is>
          <t>湖南艾华集团股份有限公司</t>
        </is>
      </c>
    </row>
    <row r="198" ht="13.5" customHeight="1" s="144">
      <c r="A198" s="196">
        <f>IF(C198&lt;&gt;"",ROW()-2,"")</f>
        <v/>
      </c>
      <c r="B198" s="197" t="inlineStr">
        <is>
          <t>硬件</t>
        </is>
      </c>
      <c r="C198" s="198" t="inlineStr">
        <is>
          <t>N30506000801</t>
        </is>
      </c>
      <c r="D198" s="199" t="inlineStr">
        <is>
          <t>铝电解电容 VEJ470M1HTR-0607 47uF,20%,50V,6.3X7.7,SMD(立隆)(RoHS)</t>
        </is>
      </c>
      <c r="E198" s="200" t="n">
        <v>1</v>
      </c>
      <c r="F198" s="201" t="n">
        <v>0.165</v>
      </c>
      <c r="G198" s="202" t="n"/>
      <c r="H198" s="203">
        <f>IF(I198="是",0,IF(OR(E198="",F198=""),0,E198*F198*(1+IF(G198="",0,G198))))</f>
        <v/>
      </c>
      <c r="I198" s="197" t="inlineStr">
        <is>
          <t>否</t>
        </is>
      </c>
      <c r="J198" s="199" t="inlineStr">
        <is>
          <t>厦门安瑞信电子科技有限公司</t>
        </is>
      </c>
    </row>
    <row r="199" ht="13.5" customHeight="1" s="144">
      <c r="A199" s="168">
        <f>IF(C199&lt;&gt;"",ROW()-2,"")</f>
        <v/>
      </c>
      <c r="B199" s="190" t="inlineStr">
        <is>
          <t>硬件</t>
        </is>
      </c>
      <c r="C199" s="191" t="inlineStr">
        <is>
          <t>N30506000937</t>
        </is>
      </c>
      <c r="D199" s="169" t="inlineStr">
        <is>
          <t>铝电解电容 VEJ101M1ETR-0607 100uF,20%,25V,105℃,6.3X7.7,SMT(立隆)(编带)(RoHS)</t>
        </is>
      </c>
      <c r="E199" s="192" t="n">
        <v>6</v>
      </c>
      <c r="F199" s="193" t="n">
        <v>0.15</v>
      </c>
      <c r="G199" s="194" t="n"/>
      <c r="H199" s="195">
        <f>IF(I199="是",0,IF(OR(E199="",F199=""),0,E199*F199*(1+IF(G199="",0,G199))))</f>
        <v/>
      </c>
      <c r="I199" s="190" t="inlineStr">
        <is>
          <t>否</t>
        </is>
      </c>
      <c r="J199" s="169" t="inlineStr">
        <is>
          <t>南京商络电子股份有限公司</t>
        </is>
      </c>
    </row>
    <row r="200" ht="13.5" customHeight="1" s="144">
      <c r="A200" s="196">
        <f>IF(C200&lt;&gt;"",ROW()-2,"")</f>
        <v/>
      </c>
      <c r="B200" s="197" t="inlineStr">
        <is>
          <t>硬件</t>
        </is>
      </c>
      <c r="C200" s="198" t="inlineStr">
        <is>
          <t>N30506000994</t>
        </is>
      </c>
      <c r="D200" s="199" t="inlineStr">
        <is>
          <t>铝电解电容 VEJ221M1CTR-0607 220uF,20%,16V,6.3X7.7,SMD(立隆)(RoHS)</t>
        </is>
      </c>
      <c r="E200" s="200" t="n">
        <v>6</v>
      </c>
      <c r="F200" s="201" t="n">
        <v>0.155</v>
      </c>
      <c r="G200" s="202" t="n"/>
      <c r="H200" s="203">
        <f>IF(I200="是",0,IF(OR(E200="",F200=""),0,E200*F200*(1+IF(G200="",0,G200))))</f>
        <v/>
      </c>
      <c r="I200" s="197" t="inlineStr">
        <is>
          <t>否</t>
        </is>
      </c>
      <c r="J200" s="199" t="inlineStr">
        <is>
          <t>南京商络电子股份有限公司</t>
        </is>
      </c>
    </row>
    <row r="201" ht="13.5" customHeight="1" s="144">
      <c r="A201" s="168">
        <f>IF(C201&lt;&gt;"",ROW()-2,"")</f>
        <v/>
      </c>
      <c r="B201" s="190" t="inlineStr">
        <is>
          <t>硬件</t>
        </is>
      </c>
      <c r="C201" s="191" t="inlineStr">
        <is>
          <t>N30506001223</t>
        </is>
      </c>
      <c r="D201" s="169" t="inlineStr">
        <is>
          <t>铝电解电容 ERJ1EM102G20B50T 1000uF,20%,25V,105℃,10X20,P=5,10000h(艾华)(编带)(RoHS)</t>
        </is>
      </c>
      <c r="E201" s="192" t="n">
        <v>2</v>
      </c>
      <c r="F201" s="193" t="n">
        <v>0.45</v>
      </c>
      <c r="G201" s="194" t="n"/>
      <c r="H201" s="195">
        <f>IF(I201="是",0,IF(OR(E201="",F201=""),0,E201*F201*(1+IF(G201="",0,G201))))</f>
        <v/>
      </c>
      <c r="I201" s="190" t="inlineStr">
        <is>
          <t>否</t>
        </is>
      </c>
      <c r="J201" s="169" t="inlineStr">
        <is>
          <t>湖南艾华集团股份有限公司</t>
        </is>
      </c>
    </row>
    <row r="202" ht="13.5" customHeight="1" s="144">
      <c r="A202" s="196">
        <f>IF(C202&lt;&gt;"",ROW()-2,"")</f>
        <v/>
      </c>
      <c r="B202" s="197" t="inlineStr">
        <is>
          <t>硬件</t>
        </is>
      </c>
      <c r="C202" s="198" t="inlineStr">
        <is>
          <t>N30506001238</t>
        </is>
      </c>
      <c r="D202" s="199" t="inlineStr">
        <is>
          <t>铝电解电容 VEJ100M1CTR-0405 10uF,20%,16V,105℃,4X5.3,SMD(立隆)(编带)(RoHS)</t>
        </is>
      </c>
      <c r="E202" s="200" t="n">
        <v>1</v>
      </c>
      <c r="F202" s="201" t="n">
        <v>0.112</v>
      </c>
      <c r="G202" s="202" t="n"/>
      <c r="H202" s="203">
        <f>IF(I202="是",0,IF(OR(E202="",F202=""),0,E202*F202*(1+IF(G202="",0,G202))))</f>
        <v/>
      </c>
      <c r="I202" s="197" t="inlineStr">
        <is>
          <t>否</t>
        </is>
      </c>
      <c r="J202" s="199" t="inlineStr">
        <is>
          <t>南京商络电子股份有限公司</t>
        </is>
      </c>
    </row>
    <row r="203" ht="13.5" customHeight="1" s="144">
      <c r="A203" s="168">
        <f>IF(C203&lt;&gt;"",ROW()-2,"")</f>
        <v/>
      </c>
      <c r="B203" s="190" t="inlineStr">
        <is>
          <t>硬件</t>
        </is>
      </c>
      <c r="C203" s="191" t="inlineStr">
        <is>
          <t>N30508000057</t>
        </is>
      </c>
      <c r="D203" s="169" t="inlineStr">
        <is>
          <t>安规陶瓷电容 DE1E3KX222MN4AN01F 2.2nF,20%,250Vac,P=10(Murata)(编带)(RoHS)</t>
        </is>
      </c>
      <c r="E203" s="192" t="n">
        <v>1</v>
      </c>
      <c r="F203" s="193" t="n">
        <v>0.15</v>
      </c>
      <c r="G203" s="194" t="n"/>
      <c r="H203" s="195">
        <f>IF(I203="是",0,IF(OR(E203="",F203=""),0,E203*F203*(1+IF(G203="",0,G203))))</f>
        <v/>
      </c>
      <c r="I203" s="190" t="inlineStr">
        <is>
          <t>否</t>
        </is>
      </c>
      <c r="J203" s="169" t="inlineStr">
        <is>
          <t>深圳市仁天芯科技有限公司</t>
        </is>
      </c>
    </row>
    <row r="204" ht="13.5" customHeight="1" s="144">
      <c r="A204" s="196">
        <f>IF(C204&lt;&gt;"",ROW()-2,"")</f>
        <v/>
      </c>
      <c r="B204" s="197" t="inlineStr">
        <is>
          <t>硬件</t>
        </is>
      </c>
      <c r="C204" s="198" t="inlineStr">
        <is>
          <t>N30515002148</t>
        </is>
      </c>
      <c r="D204" s="199" t="inlineStr">
        <is>
          <t>片式瓷介电容 CC0402KRNPO9BN150 NP0,15pF,10%,50V,0402(国巨)(编带)(RoHS)</t>
        </is>
      </c>
      <c r="E204" s="200" t="n">
        <v>2</v>
      </c>
      <c r="F204" s="201" t="n">
        <v>0.0025</v>
      </c>
      <c r="G204" s="202" t="n"/>
      <c r="H204" s="203">
        <f>IF(I204="是",0,IF(OR(E204="",F204=""),0,E204*F204*(1+IF(G204="",0,G204))))</f>
        <v/>
      </c>
      <c r="I204" s="197" t="inlineStr">
        <is>
          <t>否</t>
        </is>
      </c>
      <c r="J204" s="199" t="inlineStr">
        <is>
          <t>南京商络电子股份有限公司</t>
        </is>
      </c>
    </row>
    <row r="205" ht="13.5" customHeight="1" s="144">
      <c r="A205" s="168">
        <f>IF(C205&lt;&gt;"",ROW()-2,"")</f>
        <v/>
      </c>
      <c r="B205" s="190" t="inlineStr">
        <is>
          <t>硬件</t>
        </is>
      </c>
      <c r="C205" s="191" t="inlineStr">
        <is>
          <t>N30599000004</t>
        </is>
      </c>
      <c r="D205" s="169" t="inlineStr">
        <is>
          <t>片式瓷介电容 X7R,100nF,10%,50V,0603(编带)(RoHS)(互换件)</t>
        </is>
      </c>
      <c r="E205" s="192" t="n">
        <v>3</v>
      </c>
      <c r="F205" s="193" t="n">
        <v>0.0051</v>
      </c>
      <c r="G205" s="194" t="n"/>
      <c r="H205" s="195">
        <f>IF(I205="是",0,IF(OR(E205="",F205=""),0,E205*F205*(1+IF(G205="",0,G205))))</f>
        <v/>
      </c>
      <c r="I205" s="190" t="inlineStr">
        <is>
          <t>否</t>
        </is>
      </c>
      <c r="J205" s="169" t="inlineStr">
        <is>
          <t>厦门美赫电子有限公司</t>
        </is>
      </c>
    </row>
    <row r="206" ht="13.5" customHeight="1" s="144">
      <c r="A206" s="196">
        <f>IF(C206&lt;&gt;"",ROW()-2,"")</f>
        <v/>
      </c>
      <c r="B206" s="197" t="inlineStr">
        <is>
          <t>硬件</t>
        </is>
      </c>
      <c r="C206" s="198" t="inlineStr">
        <is>
          <t>N30599000005</t>
        </is>
      </c>
      <c r="D206" s="199" t="inlineStr">
        <is>
          <t>片式瓷介电容 X7R,100nF,10%,50V,0805(编带)(RoHS)(互换件)</t>
        </is>
      </c>
      <c r="E206" s="200" t="n">
        <v>4</v>
      </c>
      <c r="F206" s="201" t="n">
        <v>0.0086</v>
      </c>
      <c r="G206" s="202" t="n"/>
      <c r="H206" s="203">
        <f>IF(I206="是",0,IF(OR(E206="",F206=""),0,E206*F206*(1+IF(G206="",0,G206))))</f>
        <v/>
      </c>
      <c r="I206" s="197" t="inlineStr">
        <is>
          <t>否</t>
        </is>
      </c>
      <c r="J206" s="199" t="inlineStr">
        <is>
          <t>厦门美赫电子有限公司</t>
        </is>
      </c>
    </row>
    <row r="207" ht="13.5" customHeight="1" s="144">
      <c r="A207" s="168">
        <f>IF(C207&lt;&gt;"",ROW()-2,"")</f>
        <v/>
      </c>
      <c r="B207" s="190" t="inlineStr">
        <is>
          <t>硬件</t>
        </is>
      </c>
      <c r="C207" s="191" t="inlineStr">
        <is>
          <t>N30599000006</t>
        </is>
      </c>
      <c r="D207" s="169" t="inlineStr">
        <is>
          <t>片式瓷介电容 X7R,100nF,10%,25V,0402(编带)(RoHS)(互换件)</t>
        </is>
      </c>
      <c r="E207" s="192" t="n">
        <v>87</v>
      </c>
      <c r="F207" s="193" t="n">
        <v>0.0024</v>
      </c>
      <c r="G207" s="194" t="n"/>
      <c r="H207" s="195">
        <f>IF(I207="是",0,IF(OR(E207="",F207=""),0,E207*F207*(1+IF(G207="",0,G207))))</f>
        <v/>
      </c>
      <c r="I207" s="190" t="inlineStr">
        <is>
          <t>否</t>
        </is>
      </c>
      <c r="J207" s="169" t="inlineStr">
        <is>
          <t>厦门美赫电子有限公司</t>
        </is>
      </c>
    </row>
    <row r="208" ht="13.5" customHeight="1" s="144">
      <c r="A208" s="196">
        <f>IF(C208&lt;&gt;"",ROW()-2,"")</f>
        <v/>
      </c>
      <c r="B208" s="197" t="inlineStr">
        <is>
          <t>硬件</t>
        </is>
      </c>
      <c r="C208" s="198" t="inlineStr">
        <is>
          <t>N30599000012</t>
        </is>
      </c>
      <c r="D208" s="199" t="inlineStr">
        <is>
          <t>片式瓷介电容 X7R,1nF,10%,50V,0402(编带)(RoHS)(互换件)</t>
        </is>
      </c>
      <c r="E208" s="200" t="n">
        <v>12</v>
      </c>
      <c r="F208" s="201" t="n">
        <v>0.0018</v>
      </c>
      <c r="G208" s="202" t="n"/>
      <c r="H208" s="203">
        <f>IF(I208="是",0,IF(OR(E208="",F208=""),0,E208*F208*(1+IF(G208="",0,G208))))</f>
        <v/>
      </c>
      <c r="I208" s="197" t="inlineStr">
        <is>
          <t>否</t>
        </is>
      </c>
      <c r="J208" s="199" t="inlineStr">
        <is>
          <t>厦门美赫电子有限公司</t>
        </is>
      </c>
    </row>
    <row r="209" ht="13.5" customHeight="1" s="144">
      <c r="A209" s="168">
        <f>IF(C209&lt;&gt;"",ROW()-2,"")</f>
        <v/>
      </c>
      <c r="B209" s="190" t="inlineStr">
        <is>
          <t>硬件</t>
        </is>
      </c>
      <c r="C209" s="191" t="inlineStr">
        <is>
          <t>N30599000031</t>
        </is>
      </c>
      <c r="D209" s="169" t="inlineStr">
        <is>
          <t>片式瓷介电容 X7R,220nF,10%,25V,0603(编带)(RoHS)(互换件)</t>
        </is>
      </c>
      <c r="E209" s="192" t="n">
        <v>2</v>
      </c>
      <c r="F209" s="193" t="n">
        <v>0.0112</v>
      </c>
      <c r="G209" s="194" t="n"/>
      <c r="H209" s="195">
        <f>IF(I209="是",0,IF(OR(E209="",F209=""),0,E209*F209*(1+IF(G209="",0,G209))))</f>
        <v/>
      </c>
      <c r="I209" s="190" t="inlineStr">
        <is>
          <t>否</t>
        </is>
      </c>
      <c r="J209" s="169" t="inlineStr">
        <is>
          <t>深圳市集财实业有限公司（ZZ）</t>
        </is>
      </c>
    </row>
    <row r="210" ht="13.5" customHeight="1" s="144">
      <c r="A210" s="196">
        <f>IF(C210&lt;&gt;"",ROW()-2,"")</f>
        <v/>
      </c>
      <c r="B210" s="197" t="inlineStr">
        <is>
          <t>硬件</t>
        </is>
      </c>
      <c r="C210" s="198" t="inlineStr">
        <is>
          <t>N30599000047</t>
        </is>
      </c>
      <c r="D210" s="199" t="inlineStr">
        <is>
          <t>片式瓷介电容 X7R,3.3nF,10%,50V,0603(编带)(RoHS)(互换件)</t>
        </is>
      </c>
      <c r="E210" s="200" t="n">
        <v>1</v>
      </c>
      <c r="F210" s="201" t="n">
        <v>0.0052</v>
      </c>
      <c r="G210" s="202" t="n"/>
      <c r="H210" s="203">
        <f>IF(I210="是",0,IF(OR(E210="",F210=""),0,E210*F210*(1+IF(G210="",0,G210))))</f>
        <v/>
      </c>
      <c r="I210" s="197" t="inlineStr">
        <is>
          <t>否</t>
        </is>
      </c>
      <c r="J210" s="199" t="inlineStr">
        <is>
          <t>厦门美赫电子有限公司</t>
        </is>
      </c>
    </row>
    <row r="211" ht="13.5" customHeight="1" s="144">
      <c r="A211" s="168">
        <f>IF(C211&lt;&gt;"",ROW()-2,"")</f>
        <v/>
      </c>
      <c r="B211" s="190" t="inlineStr">
        <is>
          <t>硬件</t>
        </is>
      </c>
      <c r="C211" s="191" t="inlineStr">
        <is>
          <t>N30599000207</t>
        </is>
      </c>
      <c r="D211" s="169" t="inlineStr">
        <is>
          <t>片式瓷介电容 X5R,1uF,10%,50V,0603(编带)(RoHS)(互换件)</t>
        </is>
      </c>
      <c r="E211" s="192" t="n">
        <v>21</v>
      </c>
      <c r="F211" s="193" t="n">
        <v>0.0108</v>
      </c>
      <c r="G211" s="194" t="n"/>
      <c r="H211" s="195">
        <f>IF(I211="是",0,IF(OR(E211="",F211=""),0,E211*F211*(1+IF(G211="",0,G211))))</f>
        <v/>
      </c>
      <c r="I211" s="190" t="inlineStr">
        <is>
          <t>否</t>
        </is>
      </c>
      <c r="J211" s="169" t="inlineStr">
        <is>
          <t>深圳市集财实业有限公司（ZZ）</t>
        </is>
      </c>
    </row>
    <row r="212" ht="13.5" customHeight="1" s="144">
      <c r="A212" s="196">
        <f>IF(C212&lt;&gt;"",ROW()-2,"")</f>
        <v/>
      </c>
      <c r="B212" s="197" t="inlineStr">
        <is>
          <t>硬件</t>
        </is>
      </c>
      <c r="C212" s="198" t="inlineStr">
        <is>
          <t>N30599000240</t>
        </is>
      </c>
      <c r="D212" s="199" t="inlineStr">
        <is>
          <t>片式瓷介电容 X7R,1uF,10%,16V,0805(编带)(RoHS)(互换件)</t>
        </is>
      </c>
      <c r="E212" s="200" t="n">
        <v>1</v>
      </c>
      <c r="F212" s="201" t="n">
        <v>0.0167</v>
      </c>
      <c r="G212" s="202" t="n"/>
      <c r="H212" s="203">
        <f>IF(I212="是",0,IF(OR(E212="",F212=""),0,E212*F212*(1+IF(G212="",0,G212))))</f>
        <v/>
      </c>
      <c r="I212" s="197" t="inlineStr">
        <is>
          <t>否</t>
        </is>
      </c>
      <c r="J212" s="199" t="inlineStr">
        <is>
          <t>厦门美赫电子有限公司</t>
        </is>
      </c>
    </row>
    <row r="213" ht="13.5" customHeight="1" s="144">
      <c r="A213" s="168">
        <f>IF(C213&lt;&gt;"",ROW()-2,"")</f>
        <v/>
      </c>
      <c r="B213" s="190" t="inlineStr">
        <is>
          <t>硬件</t>
        </is>
      </c>
      <c r="C213" s="191" t="inlineStr">
        <is>
          <t>N30599000250</t>
        </is>
      </c>
      <c r="D213" s="169" t="inlineStr">
        <is>
          <t>片式瓷介电容 X7R,10uF,10%,25V,1206(编带)(RoHS)(互换件)</t>
        </is>
      </c>
      <c r="E213" s="192" t="n">
        <v>2</v>
      </c>
      <c r="F213" s="193" t="n">
        <v>0.0485</v>
      </c>
      <c r="G213" s="194" t="n"/>
      <c r="H213" s="195">
        <f>IF(I213="是",0,IF(OR(E213="",F213=""),0,E213*F213*(1+IF(G213="",0,G213))))</f>
        <v/>
      </c>
      <c r="I213" s="190" t="inlineStr">
        <is>
          <t>否</t>
        </is>
      </c>
      <c r="J213" s="169" t="inlineStr">
        <is>
          <t>厦门美赫电子有限公司</t>
        </is>
      </c>
    </row>
    <row r="214" ht="13.5" customHeight="1" s="144">
      <c r="A214" s="196">
        <f>IF(C214&lt;&gt;"",ROW()-2,"")</f>
        <v/>
      </c>
      <c r="B214" s="197" t="inlineStr">
        <is>
          <t>硬件</t>
        </is>
      </c>
      <c r="C214" s="198" t="inlineStr">
        <is>
          <t>N31301000157</t>
        </is>
      </c>
      <c r="D214" s="199" t="inlineStr">
        <is>
          <t>光耦 LTV-816S-TA1-D-Cu SOP4(CTR=300-600)(光宝)(编带)(RoHS)</t>
        </is>
      </c>
      <c r="E214" s="200" t="n">
        <v>4</v>
      </c>
      <c r="F214" s="201" t="n">
        <v>0.1665</v>
      </c>
      <c r="G214" s="202" t="n"/>
      <c r="H214" s="203">
        <f>IF(I214="是",0,IF(OR(E214="",F214=""),0,E214*F214*(1+IF(G214="",0,G214))))</f>
        <v/>
      </c>
      <c r="I214" s="197" t="inlineStr">
        <is>
          <t>否</t>
        </is>
      </c>
      <c r="J214" s="199" t="inlineStr">
        <is>
          <t>上海潘亚电子有限公司</t>
        </is>
      </c>
    </row>
    <row r="215" ht="13.5" customHeight="1" s="144">
      <c r="A215" s="168">
        <f>IF(C215&lt;&gt;"",ROW()-2,"")</f>
        <v/>
      </c>
      <c r="B215" s="190" t="inlineStr">
        <is>
          <t>硬件</t>
        </is>
      </c>
      <c r="C215" s="191" t="inlineStr">
        <is>
          <t>N31306000294</t>
        </is>
      </c>
      <c r="D215" s="169" t="inlineStr">
        <is>
          <t>发光二极管 LTST-C191KRKT-EL 红色,0603(亮度:M,N,波长:630nm,电压:ALL)(光宝)(编带)(RoHS)</t>
        </is>
      </c>
      <c r="E215" s="192" t="n">
        <v>1</v>
      </c>
      <c r="F215" s="193" t="n">
        <v>0.0355</v>
      </c>
      <c r="G215" s="194" t="n"/>
      <c r="H215" s="195">
        <f>IF(I215="是",0,IF(OR(E215="",F215=""),0,E215*F215*(1+IF(G215="",0,G215))))</f>
        <v/>
      </c>
      <c r="I215" s="190" t="inlineStr">
        <is>
          <t>否</t>
        </is>
      </c>
      <c r="J215" s="169" t="inlineStr">
        <is>
          <t>深圳市超利维实业有限公司</t>
        </is>
      </c>
    </row>
    <row r="216" ht="13.5" customHeight="1" s="144">
      <c r="A216" s="196">
        <f>IF(C216&lt;&gt;"",ROW()-2,"")</f>
        <v/>
      </c>
      <c r="B216" s="197" t="inlineStr">
        <is>
          <t>硬件</t>
        </is>
      </c>
      <c r="C216" s="198" t="inlineStr">
        <is>
          <t>N31306000307</t>
        </is>
      </c>
      <c r="D216" s="199" t="inlineStr">
        <is>
          <t>发光二极管 LTST-C190GKT-EL 绿色,0603(亮度:ALL,波长:570nm,电压:2.1V)(光宝)(编带)(RoHS)</t>
        </is>
      </c>
      <c r="E216" s="200" t="n">
        <v>4</v>
      </c>
      <c r="F216" s="201" t="n">
        <v>0.039302</v>
      </c>
      <c r="G216" s="202" t="n"/>
      <c r="H216" s="203">
        <f>IF(I216="是",0,IF(OR(E216="",F216=""),0,E216*F216*(1+IF(G216="",0,G216))))</f>
        <v/>
      </c>
      <c r="I216" s="197" t="inlineStr">
        <is>
          <t>否</t>
        </is>
      </c>
      <c r="J216" s="204" t="inlineStr">
        <is>
          <t>PAN Elektron (Hong-Kong) Co., Limited</t>
        </is>
      </c>
    </row>
    <row r="217" ht="13.5" customHeight="1" s="144">
      <c r="A217" s="168">
        <f>IF(C217&lt;&gt;"",ROW()-2,"")</f>
        <v/>
      </c>
      <c r="B217" s="190" t="inlineStr">
        <is>
          <t>硬件</t>
        </is>
      </c>
      <c r="C217" s="191" t="inlineStr">
        <is>
          <t>N31502000138</t>
        </is>
      </c>
      <c r="D217" s="169" t="inlineStr">
        <is>
          <t>肖特基二极管 MBR10200FCT 10A,200V,ITO-220AB(MCC)(RoHS)</t>
        </is>
      </c>
      <c r="E217" s="192" t="n">
        <v>1</v>
      </c>
      <c r="F217" s="193" t="n">
        <v>0.7</v>
      </c>
      <c r="G217" s="194" t="n"/>
      <c r="H217" s="195">
        <f>IF(I217="是",0,IF(OR(E217="",F217=""),0,E217*F217*(1+IF(G217="",0,G217))))</f>
        <v/>
      </c>
      <c r="I217" s="190" t="inlineStr">
        <is>
          <t>否</t>
        </is>
      </c>
      <c r="J217" s="169" t="inlineStr">
        <is>
          <t>广州市洲光源电子有限公司（ZZ）</t>
        </is>
      </c>
    </row>
    <row r="218" ht="13.5" customHeight="1" s="144">
      <c r="A218" s="196">
        <f>IF(C218&lt;&gt;"",ROW()-2,"")</f>
        <v/>
      </c>
      <c r="B218" s="197" t="inlineStr">
        <is>
          <t>硬件</t>
        </is>
      </c>
      <c r="C218" s="198" t="inlineStr">
        <is>
          <t>N31504000110</t>
        </is>
      </c>
      <c r="D218" s="199" t="inlineStr">
        <is>
          <t>开关二极管 1SS181 100mA,80V,SOT23(MCC)(编带)(RoHS)</t>
        </is>
      </c>
      <c r="E218" s="200" t="n">
        <v>10</v>
      </c>
      <c r="F218" s="201" t="n">
        <v>0.075</v>
      </c>
      <c r="G218" s="202" t="n"/>
      <c r="H218" s="203">
        <f>IF(I218="是",0,IF(OR(E218="",F218=""),0,E218*F218*(1+IF(G218="",0,G218))))</f>
        <v/>
      </c>
      <c r="I218" s="197" t="inlineStr">
        <is>
          <t>否</t>
        </is>
      </c>
      <c r="J218" s="199" t="inlineStr">
        <is>
          <t>厦门科力通电子科技有公司（ZZ）</t>
        </is>
      </c>
    </row>
    <row r="219" ht="13.5" customHeight="1" s="144">
      <c r="A219" s="168">
        <f>IF(C219&lt;&gt;"",ROW()-2,"")</f>
        <v/>
      </c>
      <c r="B219" s="190" t="inlineStr">
        <is>
          <t>硬件</t>
        </is>
      </c>
      <c r="C219" s="191" t="inlineStr">
        <is>
          <t>N31507000109</t>
        </is>
      </c>
      <c r="D219" s="205" t="inlineStr">
        <is>
          <t>TVS UDD32C05L01 350W,5V,SOD323(君耀)(RoHS)</t>
        </is>
      </c>
      <c r="E219" s="192" t="n">
        <v>2</v>
      </c>
      <c r="F219" s="193" t="n">
        <v>0.097</v>
      </c>
      <c r="G219" s="194" t="n"/>
      <c r="H219" s="195">
        <f>IF(I219="是",0,IF(OR(E219="",F219=""),0,E219*F219*(1+IF(G219="",0,G219))))</f>
        <v/>
      </c>
      <c r="I219" s="190" t="inlineStr">
        <is>
          <t>否</t>
        </is>
      </c>
      <c r="J219" s="169" t="inlineStr">
        <is>
          <t>深圳市超利维实业有限公司</t>
        </is>
      </c>
    </row>
    <row r="220" ht="13.5" customHeight="1" s="144">
      <c r="A220" s="196">
        <f>IF(C220&lt;&gt;"",ROW()-2,"")</f>
        <v/>
      </c>
      <c r="B220" s="197" t="inlineStr">
        <is>
          <t>硬件</t>
        </is>
      </c>
      <c r="C220" s="198" t="inlineStr">
        <is>
          <t>N31507000425</t>
        </is>
      </c>
      <c r="D220" s="204" t="inlineStr">
        <is>
          <t>TVS P6SMB6.8CA 600W,6.8V,SMB(君耀)(编带)(RoHS)</t>
        </is>
      </c>
      <c r="E220" s="200" t="n">
        <v>12</v>
      </c>
      <c r="F220" s="201" t="n">
        <v>0.15</v>
      </c>
      <c r="G220" s="202" t="n"/>
      <c r="H220" s="203">
        <f>IF(I220="是",0,IF(OR(E220="",F220=""),0,E220*F220*(1+IF(G220="",0,G220))))</f>
        <v/>
      </c>
      <c r="I220" s="197" t="inlineStr">
        <is>
          <t>否</t>
        </is>
      </c>
      <c r="J220" s="199" t="inlineStr">
        <is>
          <t>厦门美赫电子有限公司</t>
        </is>
      </c>
    </row>
    <row r="221" ht="13.5" customHeight="1" s="144">
      <c r="A221" s="168">
        <f>IF(C221&lt;&gt;"",ROW()-2,"")</f>
        <v/>
      </c>
      <c r="B221" s="190" t="inlineStr">
        <is>
          <t>硬件</t>
        </is>
      </c>
      <c r="C221" s="191" t="inlineStr">
        <is>
          <t>N31599000008</t>
        </is>
      </c>
      <c r="D221" s="169" t="inlineStr">
        <is>
          <t>整流管 M7 1A,1KV,SMA(编带)(RoHS)(互换件)</t>
        </is>
      </c>
      <c r="E221" s="192" t="n">
        <v>4</v>
      </c>
      <c r="F221" s="193" t="n">
        <v>0.0169</v>
      </c>
      <c r="G221" s="194" t="n"/>
      <c r="H221" s="195">
        <f>IF(I221="是",0,IF(OR(E221="",F221=""),0,E221*F221*(1+IF(G221="",0,G221))))</f>
        <v/>
      </c>
      <c r="I221" s="190" t="inlineStr">
        <is>
          <t>否</t>
        </is>
      </c>
      <c r="J221" s="169" t="inlineStr">
        <is>
          <t>厦门镁富莱工贸有限公司</t>
        </is>
      </c>
    </row>
    <row r="222" ht="13.5" customHeight="1" s="144">
      <c r="A222" s="196">
        <f>IF(C222&lt;&gt;"",ROW()-2,"")</f>
        <v/>
      </c>
      <c r="B222" s="197" t="inlineStr">
        <is>
          <t>硬件</t>
        </is>
      </c>
      <c r="C222" s="198" t="inlineStr">
        <is>
          <t>N31599000010</t>
        </is>
      </c>
      <c r="D222" s="199" t="inlineStr">
        <is>
          <t>开关二极管 BAV99 SOT23(编带)(RoHS)(互换件)</t>
        </is>
      </c>
      <c r="E222" s="200" t="n">
        <v>4</v>
      </c>
      <c r="F222" s="201" t="n">
        <v>0.02</v>
      </c>
      <c r="G222" s="202" t="n"/>
      <c r="H222" s="203">
        <f>IF(I222="是",0,IF(OR(E222="",F222=""),0,E222*F222*(1+IF(G222="",0,G222))))</f>
        <v/>
      </c>
      <c r="I222" s="197" t="inlineStr">
        <is>
          <t>否</t>
        </is>
      </c>
      <c r="J222" s="199" t="inlineStr">
        <is>
          <t>厦门镁富莱工贸有限公司</t>
        </is>
      </c>
    </row>
    <row r="223" ht="13.5" customHeight="1" s="144">
      <c r="A223" s="168">
        <f>IF(C223&lt;&gt;"",ROW()-2,"")</f>
        <v/>
      </c>
      <c r="B223" s="190" t="inlineStr">
        <is>
          <t>硬件</t>
        </is>
      </c>
      <c r="C223" s="191" t="inlineStr">
        <is>
          <t>N31599000011</t>
        </is>
      </c>
      <c r="D223" s="169" t="inlineStr">
        <is>
          <t>超快恢复二极管 US1M 1A,1KV,SMA(编带)(RoHS)(互换件)</t>
        </is>
      </c>
      <c r="E223" s="192" t="n">
        <v>2</v>
      </c>
      <c r="F223" s="193" t="n">
        <v>0.0274</v>
      </c>
      <c r="G223" s="194" t="n"/>
      <c r="H223" s="195">
        <f>IF(I223="是",0,IF(OR(E223="",F223=""),0,E223*F223*(1+IF(G223="",0,G223))))</f>
        <v/>
      </c>
      <c r="I223" s="190" t="inlineStr">
        <is>
          <t>否</t>
        </is>
      </c>
      <c r="J223" s="169" t="inlineStr">
        <is>
          <t>厦门镁富莱工贸有限公司</t>
        </is>
      </c>
    </row>
    <row r="224" ht="13.5" customHeight="1" s="144">
      <c r="A224" s="196">
        <f>IF(C224&lt;&gt;"",ROW()-2,"")</f>
        <v/>
      </c>
      <c r="B224" s="197" t="inlineStr">
        <is>
          <t>硬件</t>
        </is>
      </c>
      <c r="C224" s="198" t="inlineStr">
        <is>
          <t>N31599000026</t>
        </is>
      </c>
      <c r="D224" s="199" t="inlineStr">
        <is>
          <t>开关二极管 1N4148W 150mA,100V,SOD123(编带)(RoHS)(互换件)</t>
        </is>
      </c>
      <c r="E224" s="200" t="n">
        <v>4</v>
      </c>
      <c r="F224" s="201" t="n">
        <v>0.0138</v>
      </c>
      <c r="G224" s="202" t="n"/>
      <c r="H224" s="203">
        <f>IF(I224="是",0,IF(OR(E224="",F224=""),0,E224*F224*(1+IF(G224="",0,G224))))</f>
        <v/>
      </c>
      <c r="I224" s="197" t="inlineStr">
        <is>
          <t>否</t>
        </is>
      </c>
      <c r="J224" s="199" t="inlineStr">
        <is>
          <t>厦门翔烨云供应链科技有限公司</t>
        </is>
      </c>
    </row>
    <row r="225" ht="13.5" customHeight="1" s="144">
      <c r="A225" s="168">
        <f>IF(C225&lt;&gt;"",ROW()-2,"")</f>
        <v/>
      </c>
      <c r="B225" s="190" t="inlineStr">
        <is>
          <t>硬件</t>
        </is>
      </c>
      <c r="C225" s="191" t="inlineStr">
        <is>
          <t>N31601000170</t>
        </is>
      </c>
      <c r="D225" s="169" t="inlineStr">
        <is>
          <t>数码管 BSR0941YBK 红色(共阴极,4位)(48h盐雾)(倍司特)(RoHS)</t>
        </is>
      </c>
      <c r="E225" s="192" t="n">
        <v>1</v>
      </c>
      <c r="F225" s="193" t="n">
        <v>1.7608</v>
      </c>
      <c r="G225" s="194" t="n"/>
      <c r="H225" s="195">
        <f>IF(I225="是",0,IF(OR(E225="",F225=""),0,E225*F225*(1+IF(G225="",0,G225))))</f>
        <v/>
      </c>
      <c r="I225" s="190" t="inlineStr">
        <is>
          <t>否</t>
        </is>
      </c>
      <c r="J225" s="169" t="inlineStr">
        <is>
          <t>厦门倍司特电子有限公司</t>
        </is>
      </c>
    </row>
    <row r="226" ht="13.5" customHeight="1" s="144">
      <c r="A226" s="196">
        <f>IF(C226&lt;&gt;"",ROW()-2,"")</f>
        <v/>
      </c>
      <c r="B226" s="197" t="inlineStr">
        <is>
          <t>硬件</t>
        </is>
      </c>
      <c r="C226" s="198" t="inlineStr">
        <is>
          <t>N31701000313</t>
        </is>
      </c>
      <c r="D226" s="199" t="inlineStr">
        <is>
          <t>三极管 S9013-H NPN,25V,HFE=200-350,500mA,SOT23(长电)(RoHS)</t>
        </is>
      </c>
      <c r="E226" s="200" t="n">
        <v>3</v>
      </c>
      <c r="F226" s="201" t="n">
        <v>0.0268</v>
      </c>
      <c r="G226" s="202" t="n"/>
      <c r="H226" s="203">
        <f>IF(I226="是",0,IF(OR(E226="",F226=""),0,E226*F226*(1+IF(G226="",0,G226))))</f>
        <v/>
      </c>
      <c r="I226" s="197" t="inlineStr">
        <is>
          <t>否</t>
        </is>
      </c>
      <c r="J226" s="199" t="inlineStr">
        <is>
          <t>厦门博天晟电子科技有限公司（ZZ）</t>
        </is>
      </c>
    </row>
    <row r="227" ht="13.5" customHeight="1" s="144">
      <c r="A227" s="168">
        <f>IF(C227&lt;&gt;"",ROW()-2,"")</f>
        <v/>
      </c>
      <c r="B227" s="190" t="inlineStr">
        <is>
          <t>硬件</t>
        </is>
      </c>
      <c r="C227" s="191" t="inlineStr">
        <is>
          <t>N31800000311</t>
        </is>
      </c>
      <c r="D227" s="169" t="inlineStr">
        <is>
          <t>驱动电路 ULN2003G-S16-R SOP16(30V,500mA)(UTC)(RoHS)</t>
        </is>
      </c>
      <c r="E227" s="192" t="n">
        <v>3</v>
      </c>
      <c r="F227" s="193" t="n">
        <v>0.3176</v>
      </c>
      <c r="G227" s="194" t="n"/>
      <c r="H227" s="195">
        <f>IF(I227="是",0,IF(OR(E227="",F227=""),0,E227*F227*(1+IF(G227="",0,G227))))</f>
        <v/>
      </c>
      <c r="I227" s="190" t="inlineStr">
        <is>
          <t>否</t>
        </is>
      </c>
      <c r="J227" s="169" t="inlineStr">
        <is>
          <t>厦门翔烨云供应链科技有限公司</t>
        </is>
      </c>
    </row>
    <row r="228" ht="13.5" customHeight="1" s="144">
      <c r="A228" s="196">
        <f>IF(C228&lt;&gt;"",ROW()-2,"")</f>
        <v/>
      </c>
      <c r="B228" s="197" t="inlineStr">
        <is>
          <t>硬件</t>
        </is>
      </c>
      <c r="C228" s="198" t="inlineStr">
        <is>
          <t>N31800000332</t>
        </is>
      </c>
      <c r="D228" s="199" t="inlineStr">
        <is>
          <t>集成电路 MAX13085EESA SO8(Maxim)(RoHS)</t>
        </is>
      </c>
      <c r="E228" s="200" t="n">
        <v>4</v>
      </c>
      <c r="F228" s="201" t="n">
        <v>2.3562</v>
      </c>
      <c r="G228" s="202" t="n"/>
      <c r="H228" s="203">
        <f>IF(I228="是",0,IF(OR(E228="",F228=""),0,E228*F228*(1+IF(G228="",0,G228))))</f>
        <v/>
      </c>
      <c r="I228" s="197" t="inlineStr">
        <is>
          <t>否</t>
        </is>
      </c>
      <c r="J228" s="199" t="inlineStr">
        <is>
          <t>厦门翔烨云供应链科技有限公司</t>
        </is>
      </c>
    </row>
    <row r="229" ht="13.5" customHeight="1" s="144">
      <c r="A229" s="168">
        <f>IF(C229&lt;&gt;"",ROW()-2,"")</f>
        <v/>
      </c>
      <c r="B229" s="190" t="inlineStr">
        <is>
          <t>硬件</t>
        </is>
      </c>
      <c r="C229" s="191" t="inlineStr">
        <is>
          <t>N31801000628</t>
        </is>
      </c>
      <c r="D229" s="169" t="inlineStr">
        <is>
          <t>微处理器 STM32F407ZGT6 LQFP144(ST)(RoHS)</t>
        </is>
      </c>
      <c r="E229" s="192" t="n">
        <v>1</v>
      </c>
      <c r="F229" s="193" t="n">
        <v>18.581</v>
      </c>
      <c r="G229" s="194" t="n"/>
      <c r="H229" s="195">
        <f>IF(I229="是",0,IF(OR(E229="",F229=""),0,E229*F229*(1+IF(G229="",0,G229))))</f>
        <v/>
      </c>
      <c r="I229" s="190" t="inlineStr">
        <is>
          <t>否</t>
        </is>
      </c>
      <c r="J229" s="169" t="inlineStr">
        <is>
          <t>厦门翔烨云供应链科技有限公司</t>
        </is>
      </c>
    </row>
    <row r="230" ht="13.5" customHeight="1" s="144">
      <c r="A230" s="196">
        <f>IF(C230&lt;&gt;"",ROW()-2,"")</f>
        <v/>
      </c>
      <c r="B230" s="197" t="inlineStr">
        <is>
          <t>硬件</t>
        </is>
      </c>
      <c r="C230" s="198" t="inlineStr">
        <is>
          <t>N31805000073</t>
        </is>
      </c>
      <c r="D230" s="199" t="inlineStr">
        <is>
          <t>存贮器 BR24G02FJ-3GTE2 SOP-J8(Rohm)(编带)(RoHS)</t>
        </is>
      </c>
      <c r="E230" s="200" t="n">
        <v>1</v>
      </c>
      <c r="F230" s="201" t="n">
        <v>0.3355</v>
      </c>
      <c r="G230" s="202" t="n"/>
      <c r="H230" s="203">
        <f>IF(I230="是",0,IF(OR(E230="",F230=""),0,E230*F230*(1+IF(G230="",0,G230))))</f>
        <v/>
      </c>
      <c r="I230" s="197" t="inlineStr">
        <is>
          <t>否</t>
        </is>
      </c>
      <c r="J230" s="199" t="inlineStr">
        <is>
          <t>帕太国际贸易（上海）有限公司</t>
        </is>
      </c>
    </row>
    <row r="231" ht="13.5" customHeight="1" s="144">
      <c r="A231" s="168">
        <f>IF(C231&lt;&gt;"",ROW()-2,"")</f>
        <v/>
      </c>
      <c r="B231" s="190" t="inlineStr">
        <is>
          <t>硬件</t>
        </is>
      </c>
      <c r="C231" s="191" t="inlineStr">
        <is>
          <t>N31806000199</t>
        </is>
      </c>
      <c r="D231" s="169" t="inlineStr">
        <is>
          <t>稳压器 KIA7805AF-RTF/P(H) DPAK(KEC)(编带)(RoHS)</t>
        </is>
      </c>
      <c r="E231" s="192" t="n">
        <v>1</v>
      </c>
      <c r="F231" s="193" t="n">
        <v>0.5204</v>
      </c>
      <c r="G231" s="194" t="n"/>
      <c r="H231" s="195">
        <f>IF(I231="是",0,IF(OR(E231="",F231=""),0,E231*F231*(1+IF(G231="",0,G231))))</f>
        <v/>
      </c>
      <c r="I231" s="190" t="inlineStr">
        <is>
          <t>否</t>
        </is>
      </c>
      <c r="J231" s="169" t="inlineStr">
        <is>
          <t>深圳市怡海能达有限公司</t>
        </is>
      </c>
    </row>
    <row r="232" ht="13.5" customHeight="1" s="144">
      <c r="A232" s="196">
        <f>IF(C232&lt;&gt;"",ROW()-2,"")</f>
        <v/>
      </c>
      <c r="B232" s="197" t="inlineStr">
        <is>
          <t>硬件</t>
        </is>
      </c>
      <c r="C232" s="198" t="inlineStr">
        <is>
          <t>N31806000208</t>
        </is>
      </c>
      <c r="D232" s="199" t="inlineStr">
        <is>
          <t>稳压器 LD1117S50CTR SOT223(ST)(RoHS)</t>
        </is>
      </c>
      <c r="E232" s="200" t="n">
        <v>1</v>
      </c>
      <c r="F232" s="201" t="n">
        <v>0.1726</v>
      </c>
      <c r="G232" s="202" t="n"/>
      <c r="H232" s="203">
        <f>IF(I232="是",0,IF(OR(E232="",F232=""),0,E232*F232*(1+IF(G232="",0,G232))))</f>
        <v/>
      </c>
      <c r="I232" s="197" t="inlineStr">
        <is>
          <t>否</t>
        </is>
      </c>
      <c r="J232" s="199" t="inlineStr">
        <is>
          <t>厦门元顺微电子技术有限公司</t>
        </is>
      </c>
    </row>
    <row r="233" ht="13.5" customHeight="1" s="144">
      <c r="A233" s="168">
        <f>IF(C233&lt;&gt;"",ROW()-2,"")</f>
        <v/>
      </c>
      <c r="B233" s="190" t="inlineStr">
        <is>
          <t>硬件</t>
        </is>
      </c>
      <c r="C233" s="191" t="inlineStr">
        <is>
          <t>N31806000341</t>
        </is>
      </c>
      <c r="D233" s="169" t="inlineStr">
        <is>
          <t>稳压器 TL431NSG-AE2-R SOT23-3(2.5V,0.5%,脚位:C-R-A)(UTC)(编带)(HF;RoHS)</t>
        </is>
      </c>
      <c r="E233" s="192" t="n">
        <v>1</v>
      </c>
      <c r="F233" s="193" t="n">
        <v>0.0885</v>
      </c>
      <c r="G233" s="194" t="n"/>
      <c r="H233" s="195">
        <f>IF(I233="是",0,IF(OR(E233="",F233=""),0,E233*F233*(1+IF(G233="",0,G233))))</f>
        <v/>
      </c>
      <c r="I233" s="190" t="inlineStr">
        <is>
          <t>否</t>
        </is>
      </c>
      <c r="J233" s="169" t="inlineStr">
        <is>
          <t>厦门元顺微电子技术有限公司</t>
        </is>
      </c>
    </row>
    <row r="234" ht="13.5" customHeight="1" s="144">
      <c r="A234" s="196">
        <f>IF(C234&lt;&gt;"",ROW()-2,"")</f>
        <v/>
      </c>
      <c r="B234" s="197" t="inlineStr">
        <is>
          <t>硬件</t>
        </is>
      </c>
      <c r="C234" s="198" t="inlineStr">
        <is>
          <t>N31807000094</t>
        </is>
      </c>
      <c r="D234" s="199" t="inlineStr">
        <is>
          <t>电源管理电路 MP1470GJ-Z TSOT23-6(MPS)(编带)(RoHS)</t>
        </is>
      </c>
      <c r="E234" s="200" t="n">
        <v>1</v>
      </c>
      <c r="F234" s="201" t="n">
        <v>0.544506</v>
      </c>
      <c r="G234" s="202" t="n"/>
      <c r="H234" s="203">
        <f>IF(I234="是",0,IF(OR(E234="",F234=""),0,E234*F234*(1+IF(G234="",0,G234))))</f>
        <v/>
      </c>
      <c r="I234" s="197" t="inlineStr">
        <is>
          <t>否</t>
        </is>
      </c>
      <c r="J234" s="204" t="inlineStr">
        <is>
          <t>Eastern International (HK) Limited</t>
        </is>
      </c>
    </row>
    <row r="235" ht="13.5" customHeight="1" s="144">
      <c r="A235" s="168">
        <f>IF(C235&lt;&gt;"",ROW()-2,"")</f>
        <v/>
      </c>
      <c r="B235" s="190" t="inlineStr">
        <is>
          <t>硬件</t>
        </is>
      </c>
      <c r="C235" s="191" t="inlineStr">
        <is>
          <t>N31807000377</t>
        </is>
      </c>
      <c r="D235" s="169" t="inlineStr">
        <is>
          <t>电源管理电路 OB2365TAP-H DIP8(铱科专用)(昂宝)(HF;RoHS)</t>
        </is>
      </c>
      <c r="E235" s="192" t="n">
        <v>1</v>
      </c>
      <c r="F235" s="193" t="n">
        <v>1.6815</v>
      </c>
      <c r="G235" s="194" t="n"/>
      <c r="H235" s="195">
        <f>IF(I235="是",0,IF(OR(E235="",F235=""),0,E235*F235*(1+IF(G235="",0,G235))))</f>
        <v/>
      </c>
      <c r="I235" s="190" t="inlineStr">
        <is>
          <t>否</t>
        </is>
      </c>
      <c r="J235" s="169" t="inlineStr">
        <is>
          <t>厦门亿思达电子有限公司</t>
        </is>
      </c>
    </row>
    <row r="236" ht="13.5" customHeight="1" s="144">
      <c r="A236" s="196">
        <f>IF(C236&lt;&gt;"",ROW()-2,"")</f>
        <v/>
      </c>
      <c r="B236" s="197" t="inlineStr">
        <is>
          <t>硬件</t>
        </is>
      </c>
      <c r="C236" s="198" t="inlineStr">
        <is>
          <t>N31813000096</t>
        </is>
      </c>
      <c r="D236" s="199" t="inlineStr">
        <is>
          <t>驱动电路 TBD62003APG DIP16(Toshiba)(RoHS)</t>
        </is>
      </c>
      <c r="E236" s="200" t="n">
        <v>2</v>
      </c>
      <c r="F236" s="201" t="n">
        <v>0.6788459999999999</v>
      </c>
      <c r="G236" s="202" t="n"/>
      <c r="H236" s="203">
        <f>IF(I236="是",0,IF(OR(E236="",F236=""),0,E236*F236*(1+IF(G236="",0,G236))))</f>
        <v/>
      </c>
      <c r="I236" s="197" t="inlineStr">
        <is>
          <t>否</t>
        </is>
      </c>
      <c r="J236" s="204" t="inlineStr">
        <is>
          <t>AVNET SUNRISE LTD</t>
        </is>
      </c>
    </row>
    <row r="237" ht="13.5" customHeight="1" s="144">
      <c r="A237" s="168">
        <f>IF(C237&lt;&gt;"",ROW()-2,"")</f>
        <v/>
      </c>
      <c r="B237" s="190" t="inlineStr">
        <is>
          <t>硬件</t>
        </is>
      </c>
      <c r="C237" s="191" t="inlineStr">
        <is>
          <t>N31813000155</t>
        </is>
      </c>
      <c r="D237" s="169" t="inlineStr">
        <is>
          <t>驱动电路 TM1650 SOP16(天微)(天加专用)(编带)(RoHS)</t>
        </is>
      </c>
      <c r="E237" s="192" t="n">
        <v>1</v>
      </c>
      <c r="F237" s="193" t="n">
        <v>0.4059</v>
      </c>
      <c r="G237" s="194" t="n"/>
      <c r="H237" s="195">
        <f>IF(I237="是",0,IF(OR(E237="",F237=""),0,E237*F237*(1+IF(G237="",0,G237))))</f>
        <v/>
      </c>
      <c r="I237" s="190" t="inlineStr">
        <is>
          <t>否</t>
        </is>
      </c>
      <c r="J237" s="169" t="inlineStr">
        <is>
          <t>厦门翔烨云供应链科技有限公司</t>
        </is>
      </c>
    </row>
    <row r="238" ht="13.5" customHeight="1" s="144">
      <c r="A238" s="196">
        <f>IF(C238&lt;&gt;"",ROW()-2,"")</f>
        <v/>
      </c>
      <c r="B238" s="197" t="inlineStr">
        <is>
          <t>硬件</t>
        </is>
      </c>
      <c r="C238" s="198" t="inlineStr">
        <is>
          <t>N32002000072</t>
        </is>
      </c>
      <c r="D238" s="199" t="inlineStr">
        <is>
          <t>晶体谐振器 SZJF-4.000-9S/SM-20-1-10-P-T&amp;R 4MHz,10ppm,20pF,SMD(晶峰)(编带)(RoHS)</t>
        </is>
      </c>
      <c r="E238" s="200" t="n">
        <v>1</v>
      </c>
      <c r="F238" s="201" t="n">
        <v>0.28</v>
      </c>
      <c r="G238" s="202" t="n"/>
      <c r="H238" s="203">
        <f>IF(I238="是",0,IF(OR(E238="",F238=""),0,E238*F238*(1+IF(G238="",0,G238))))</f>
        <v/>
      </c>
      <c r="I238" s="197" t="inlineStr">
        <is>
          <t>否</t>
        </is>
      </c>
      <c r="J238" s="199" t="inlineStr">
        <is>
          <t>深圳市晶峰晶体科技有限公司</t>
        </is>
      </c>
    </row>
    <row r="239" ht="13.5" customHeight="1" s="144">
      <c r="A239" s="168">
        <f>IF(C239&lt;&gt;"",ROW()-2,"")</f>
        <v/>
      </c>
      <c r="B239" s="190" t="inlineStr">
        <is>
          <t>硬件</t>
        </is>
      </c>
      <c r="C239" s="191" t="inlineStr">
        <is>
          <t>N32202000441</t>
        </is>
      </c>
      <c r="D239" s="169" t="inlineStr">
        <is>
          <t>开关变压器 EE28-66-6V (华联科技)(RoHS)</t>
        </is>
      </c>
      <c r="E239" s="192" t="n">
        <v>1</v>
      </c>
      <c r="F239" s="193" t="n">
        <v>4.3844</v>
      </c>
      <c r="G239" s="194" t="n"/>
      <c r="H239" s="195">
        <f>IF(I239="是",0,IF(OR(E239="",F239=""),0,E239*F239*(1+IF(G239="",0,G239))))</f>
        <v/>
      </c>
      <c r="I239" s="190" t="inlineStr">
        <is>
          <t>否</t>
        </is>
      </c>
      <c r="J239" s="169" t="inlineStr">
        <is>
          <t>厦门华联电子科技有限公司</t>
        </is>
      </c>
    </row>
    <row r="240" ht="13.5" customHeight="1" s="144">
      <c r="A240" s="196">
        <f>IF(C240&lt;&gt;"",ROW()-2,"")</f>
        <v/>
      </c>
      <c r="B240" s="197" t="inlineStr">
        <is>
          <t>硬件</t>
        </is>
      </c>
      <c r="C240" s="198" t="inlineStr">
        <is>
          <t>N32304000139</t>
        </is>
      </c>
      <c r="D240" s="199" t="inlineStr">
        <is>
          <t>片式线绕电感 VLS252012HBX-6R8M-1 (TDK)(RoHS)</t>
        </is>
      </c>
      <c r="E240" s="200" t="n">
        <v>1</v>
      </c>
      <c r="F240" s="201" t="n">
        <v>0.155</v>
      </c>
      <c r="G240" s="202" t="n"/>
      <c r="H240" s="203">
        <f>IF(I240="是",0,IF(OR(E240="",F240=""),0,E240*F240*(1+IF(G240="",0,G240))))</f>
        <v/>
      </c>
      <c r="I240" s="197" t="inlineStr">
        <is>
          <t>否</t>
        </is>
      </c>
      <c r="J240" s="199" t="inlineStr">
        <is>
          <t>南京商络电子股份有限公司</t>
        </is>
      </c>
    </row>
    <row r="241" ht="13.5" customHeight="1" s="144">
      <c r="A241" s="168">
        <f>IF(C241&lt;&gt;"",ROW()-2,"")</f>
        <v/>
      </c>
      <c r="B241" s="190" t="inlineStr">
        <is>
          <t>硬件</t>
        </is>
      </c>
      <c r="C241" s="191" t="inlineStr">
        <is>
          <t>N32304000313</t>
        </is>
      </c>
      <c r="D241" s="169" t="inlineStr">
        <is>
          <t>片式线绕电感 SWPA8040S330MT 33uH,2.4A(顺络)(编带)(RoHS)</t>
        </is>
      </c>
      <c r="E241" s="192" t="n">
        <v>1</v>
      </c>
      <c r="F241" s="193" t="n">
        <v>0.2794</v>
      </c>
      <c r="G241" s="194" t="n"/>
      <c r="H241" s="195">
        <f>IF(I241="是",0,IF(OR(E241="",F241=""),0,E241*F241*(1+IF(G241="",0,G241))))</f>
        <v/>
      </c>
      <c r="I241" s="190" t="inlineStr">
        <is>
          <t>否</t>
        </is>
      </c>
      <c r="J241" s="169" t="inlineStr">
        <is>
          <t>厦门翔烨云供应链科技有限公司</t>
        </is>
      </c>
    </row>
    <row r="242" ht="13.5" customHeight="1" s="144">
      <c r="A242" s="196">
        <f>IF(C242&lt;&gt;"",ROW()-2,"")</f>
        <v/>
      </c>
      <c r="B242" s="197" t="inlineStr">
        <is>
          <t>硬件</t>
        </is>
      </c>
      <c r="C242" s="198" t="inlineStr">
        <is>
          <t>N32306000044</t>
        </is>
      </c>
      <c r="D242" s="199" t="inlineStr">
        <is>
          <t>带骨架电感 LB20ET-03 22mH,1A(扼流圈)(新纪元)(RoHS)</t>
        </is>
      </c>
      <c r="E242" s="200" t="n">
        <v>1</v>
      </c>
      <c r="F242" s="201" t="n">
        <v>1.6451</v>
      </c>
      <c r="G242" s="202" t="n"/>
      <c r="H242" s="203">
        <f>IF(I242="是",0,IF(OR(E242="",F242=""),0,E242*F242*(1+IF(G242="",0,G242))))</f>
        <v/>
      </c>
      <c r="I242" s="197" t="inlineStr">
        <is>
          <t>否</t>
        </is>
      </c>
      <c r="J242" s="199" t="inlineStr">
        <is>
          <t>厦门华联电子科技有限公司</t>
        </is>
      </c>
    </row>
    <row r="243" ht="13.5" customHeight="1" s="144">
      <c r="A243" s="168">
        <f>IF(C243&lt;&gt;"",ROW()-2,"")</f>
        <v/>
      </c>
      <c r="B243" s="190" t="inlineStr">
        <is>
          <t>硬件</t>
        </is>
      </c>
      <c r="C243" s="191" t="inlineStr">
        <is>
          <t>N32401000217</t>
        </is>
      </c>
      <c r="D243" s="169" t="inlineStr">
        <is>
          <t>功率继电器 HF46F/12-HS1 (宏发)(RoHS)</t>
        </is>
      </c>
      <c r="E243" s="192" t="n">
        <v>10</v>
      </c>
      <c r="F243" s="193" t="n">
        <v>0.9</v>
      </c>
      <c r="G243" s="194" t="n"/>
      <c r="H243" s="195">
        <f>IF(I243="是",0,IF(OR(E243="",F243=""),0,E243*F243*(1+IF(G243="",0,G243))))</f>
        <v/>
      </c>
      <c r="I243" s="190" t="inlineStr">
        <is>
          <t>否</t>
        </is>
      </c>
      <c r="J243" s="169" t="inlineStr">
        <is>
          <t>厦门宏发电声销售有限公司</t>
        </is>
      </c>
    </row>
    <row r="244" ht="13.5" customHeight="1" s="144">
      <c r="A244" s="196">
        <f>IF(C244&lt;&gt;"",ROW()-2,"")</f>
        <v/>
      </c>
      <c r="B244" s="197" t="inlineStr">
        <is>
          <t>硬件</t>
        </is>
      </c>
      <c r="C244" s="198" t="inlineStr">
        <is>
          <t>N32503000117</t>
        </is>
      </c>
      <c r="D244" s="199" t="inlineStr">
        <is>
          <t>拨码开关 YAD-08HR-2 (72h盐雾)(优高)(编带)(RoHS)</t>
        </is>
      </c>
      <c r="E244" s="200" t="n">
        <v>1</v>
      </c>
      <c r="F244" s="201" t="n">
        <v>1.395</v>
      </c>
      <c r="G244" s="202" t="n"/>
      <c r="H244" s="203">
        <f>IF(I244="是",0,IF(OR(E244="",F244=""),0,E244*F244*(1+IF(G244="",0,G244))))</f>
        <v/>
      </c>
      <c r="I244" s="197" t="inlineStr">
        <is>
          <t>否</t>
        </is>
      </c>
      <c r="J244" s="199" t="inlineStr">
        <is>
          <t>深圳市安捷诚电子有限公司</t>
        </is>
      </c>
    </row>
    <row r="245" ht="13.5" customHeight="1" s="144">
      <c r="A245" s="168">
        <f>IF(C245&lt;&gt;"",ROW()-2,"")</f>
        <v/>
      </c>
      <c r="B245" s="190" t="inlineStr">
        <is>
          <t>硬件</t>
        </is>
      </c>
      <c r="C245" s="191" t="inlineStr">
        <is>
          <t>N32503000118</t>
        </is>
      </c>
      <c r="D245" s="169" t="inlineStr">
        <is>
          <t>拨码开关 YAD-06HR-2 (72h盐雾)(优高)(编带)(RoHS)</t>
        </is>
      </c>
      <c r="E245" s="192" t="n">
        <v>2</v>
      </c>
      <c r="F245" s="193" t="n">
        <v>1.4159</v>
      </c>
      <c r="G245" s="194" t="n"/>
      <c r="H245" s="195">
        <f>IF(I245="是",0,IF(OR(E245="",F245=""),0,E245*F245*(1+IF(G245="",0,G245))))</f>
        <v/>
      </c>
      <c r="I245" s="190" t="inlineStr">
        <is>
          <t>否</t>
        </is>
      </c>
      <c r="J245" s="169" t="inlineStr">
        <is>
          <t>深圳优高电子有限公司（ZZ）</t>
        </is>
      </c>
    </row>
    <row r="246" ht="13.5" customHeight="1" s="144">
      <c r="A246" s="196">
        <f>IF(C246&lt;&gt;"",ROW()-2,"")</f>
        <v/>
      </c>
      <c r="B246" s="197" t="inlineStr">
        <is>
          <t>硬件</t>
        </is>
      </c>
      <c r="C246" s="198" t="inlineStr">
        <is>
          <t>N60103000079</t>
        </is>
      </c>
      <c r="D246" s="199" t="inlineStr">
        <is>
          <t>延时熔断器 50CT050H 5A,250V,Φ5.2X20(陶瓷管无引线)(好利)(RoHS)</t>
        </is>
      </c>
      <c r="E246" s="200" t="n">
        <v>1</v>
      </c>
      <c r="F246" s="201" t="n">
        <v>0.2632</v>
      </c>
      <c r="G246" s="202" t="n"/>
      <c r="H246" s="203">
        <f>IF(I246="是",0,IF(OR(E246="",F246=""),0,E246*F246*(1+IF(G246="",0,G246))))</f>
        <v/>
      </c>
      <c r="I246" s="197" t="inlineStr">
        <is>
          <t>否</t>
        </is>
      </c>
      <c r="J246" s="199" t="inlineStr">
        <is>
          <t>好利来（厦门）电路保护科技有限公司</t>
        </is>
      </c>
    </row>
    <row r="247" ht="13.5" customHeight="1" s="144">
      <c r="A247" s="168">
        <f>IF(C247&lt;&gt;"",ROW()-2,"")</f>
        <v/>
      </c>
      <c r="B247" s="190" t="inlineStr">
        <is>
          <t>硬件</t>
        </is>
      </c>
      <c r="C247" s="191" t="inlineStr">
        <is>
          <t>N60601001310</t>
        </is>
      </c>
      <c r="D247" s="169" t="inlineStr">
        <is>
          <t>端子 TJC2508-5A 黑色(CWB)(RoHS)</t>
        </is>
      </c>
      <c r="E247" s="192" t="n">
        <v>2</v>
      </c>
      <c r="F247" s="193" t="n">
        <v>0.077</v>
      </c>
      <c r="G247" s="194" t="n"/>
      <c r="H247" s="195">
        <f>IF(I247="是",0,IF(OR(E247="",F247=""),0,E247*F247*(1+IF(G247="",0,G247))))</f>
        <v/>
      </c>
      <c r="I247" s="190" t="inlineStr">
        <is>
          <t>否</t>
        </is>
      </c>
      <c r="J247" s="169" t="inlineStr">
        <is>
          <t>厦门联胜鑫电子有限公司</t>
        </is>
      </c>
    </row>
    <row r="248" ht="13.5" customHeight="1" s="144">
      <c r="A248" s="196">
        <f>IF(C248&lt;&gt;"",ROW()-2,"")</f>
        <v/>
      </c>
      <c r="B248" s="197" t="inlineStr">
        <is>
          <t>硬件</t>
        </is>
      </c>
      <c r="C248" s="198" t="inlineStr">
        <is>
          <t>N60601001317</t>
        </is>
      </c>
      <c r="D248" s="199" t="inlineStr">
        <is>
          <t>端子 TJC2508-5A (CWB)(RoHS)</t>
        </is>
      </c>
      <c r="E248" s="200" t="n">
        <v>1</v>
      </c>
      <c r="F248" s="201" t="n">
        <v>0.0692</v>
      </c>
      <c r="G248" s="202" t="n"/>
      <c r="H248" s="203">
        <f>IF(I248="是",0,IF(OR(E248="",F248=""),0,E248*F248*(1+IF(G248="",0,G248))))</f>
        <v/>
      </c>
      <c r="I248" s="197" t="inlineStr">
        <is>
          <t>否</t>
        </is>
      </c>
      <c r="J248" s="199" t="inlineStr">
        <is>
          <t>厦门联胜鑫电子有限公司</t>
        </is>
      </c>
    </row>
    <row r="249" ht="13.5" customHeight="1" s="144">
      <c r="A249" s="168">
        <f>IF(C249&lt;&gt;"",ROW()-2,"")</f>
        <v/>
      </c>
      <c r="B249" s="190" t="inlineStr">
        <is>
          <t>硬件</t>
        </is>
      </c>
      <c r="C249" s="191" t="inlineStr">
        <is>
          <t>N60601001318</t>
        </is>
      </c>
      <c r="D249" s="169" t="inlineStr">
        <is>
          <t>端子 TJC2508-5A 蓝色(2.5X5P)(CWB)(RoHS)</t>
        </is>
      </c>
      <c r="E249" s="192" t="n">
        <v>1</v>
      </c>
      <c r="F249" s="193" t="n">
        <v>0.1</v>
      </c>
      <c r="G249" s="194" t="n"/>
      <c r="H249" s="195">
        <f>IF(I249="是",0,IF(OR(E249="",F249=""),0,E249*F249*(1+IF(G249="",0,G249))))</f>
        <v/>
      </c>
      <c r="I249" s="190" t="inlineStr">
        <is>
          <t>否</t>
        </is>
      </c>
      <c r="J249" s="169" t="inlineStr">
        <is>
          <t>乐清市合润电子科技有限公司</t>
        </is>
      </c>
    </row>
    <row r="250" ht="13.5" customHeight="1" s="144">
      <c r="A250" s="196">
        <f>IF(C250&lt;&gt;"",ROW()-2,"")</f>
        <v/>
      </c>
      <c r="B250" s="197" t="inlineStr">
        <is>
          <t>硬件</t>
        </is>
      </c>
      <c r="C250" s="198" t="inlineStr">
        <is>
          <t>N60601001375</t>
        </is>
      </c>
      <c r="D250" s="199" t="inlineStr">
        <is>
          <t>端子 TJC2508-4A (CWB)(RoHS)</t>
        </is>
      </c>
      <c r="E250" s="200" t="n">
        <v>1</v>
      </c>
      <c r="F250" s="201" t="n">
        <v>0.0554</v>
      </c>
      <c r="G250" s="202" t="n"/>
      <c r="H250" s="203">
        <f>IF(I250="是",0,IF(OR(E250="",F250=""),0,E250*F250*(1+IF(G250="",0,G250))))</f>
        <v/>
      </c>
      <c r="I250" s="197" t="inlineStr">
        <is>
          <t>否</t>
        </is>
      </c>
      <c r="J250" s="199" t="inlineStr">
        <is>
          <t>乐清市合润电子科技有限公司</t>
        </is>
      </c>
    </row>
    <row r="251" ht="13.5" customHeight="1" s="144">
      <c r="A251" s="168">
        <f>IF(C251&lt;&gt;"",ROW()-2,"")</f>
        <v/>
      </c>
      <c r="B251" s="190" t="inlineStr">
        <is>
          <t>硬件</t>
        </is>
      </c>
      <c r="C251" s="191" t="inlineStr">
        <is>
          <t>N60601001389</t>
        </is>
      </c>
      <c r="D251" s="169" t="inlineStr">
        <is>
          <t>端子 VH-3A 红色(48h盐雾)(CWB)(RoHS)</t>
        </is>
      </c>
      <c r="E251" s="192" t="n">
        <v>1</v>
      </c>
      <c r="F251" s="193" t="n">
        <v>0.0895</v>
      </c>
      <c r="G251" s="194" t="n"/>
      <c r="H251" s="195">
        <f>IF(I251="是",0,IF(OR(E251="",F251=""),0,E251*F251*(1+IF(G251="",0,G251))))</f>
        <v/>
      </c>
      <c r="I251" s="190" t="inlineStr">
        <is>
          <t>否</t>
        </is>
      </c>
      <c r="J251" s="169" t="inlineStr">
        <is>
          <t>厦门联胜鑫电子有限公司</t>
        </is>
      </c>
    </row>
    <row r="252" ht="13.5" customHeight="1" s="144">
      <c r="A252" s="196">
        <f>IF(C252&lt;&gt;"",ROW()-2,"")</f>
        <v/>
      </c>
      <c r="B252" s="197" t="inlineStr">
        <is>
          <t>硬件</t>
        </is>
      </c>
      <c r="C252" s="198" t="inlineStr">
        <is>
          <t>N60601001390</t>
        </is>
      </c>
      <c r="D252" s="199" t="inlineStr">
        <is>
          <t>端子 VH-3A 蓝色(48h盐雾)(CWB)(RoHS)</t>
        </is>
      </c>
      <c r="E252" s="200" t="n">
        <v>1</v>
      </c>
      <c r="F252" s="201" t="n">
        <v>0.0895</v>
      </c>
      <c r="G252" s="202" t="n"/>
      <c r="H252" s="203">
        <f>IF(I252="是",0,IF(OR(E252="",F252=""),0,E252*F252*(1+IF(G252="",0,G252))))</f>
        <v/>
      </c>
      <c r="I252" s="197" t="inlineStr">
        <is>
          <t>否</t>
        </is>
      </c>
      <c r="J252" s="199" t="inlineStr">
        <is>
          <t>乐清市合润电子科技有限公司</t>
        </is>
      </c>
    </row>
    <row r="253" ht="13.5" customHeight="1" s="144">
      <c r="A253" s="168">
        <f>IF(C253&lt;&gt;"",ROW()-2,"")</f>
        <v/>
      </c>
      <c r="B253" s="190" t="inlineStr">
        <is>
          <t>硬件</t>
        </is>
      </c>
      <c r="C253" s="191" t="inlineStr">
        <is>
          <t>N60601001438</t>
        </is>
      </c>
      <c r="D253" s="169" t="inlineStr">
        <is>
          <t>端子 B04B-XARK-1 红(JST)(RoHS)</t>
        </is>
      </c>
      <c r="E253" s="192" t="n">
        <v>1</v>
      </c>
      <c r="F253" s="193" t="n">
        <v>0.16</v>
      </c>
      <c r="G253" s="194" t="n"/>
      <c r="H253" s="195">
        <f>IF(I253="是",0,IF(OR(E253="",F253=""),0,E253*F253*(1+IF(G253="",0,G253))))</f>
        <v/>
      </c>
      <c r="I253" s="190" t="inlineStr">
        <is>
          <t>否</t>
        </is>
      </c>
      <c r="J253" s="169" t="inlineStr">
        <is>
          <t>乐清市合润电子科技有限公司</t>
        </is>
      </c>
    </row>
    <row r="254" ht="13.5" customHeight="1" s="144">
      <c r="A254" s="196">
        <f>IF(C254&lt;&gt;"",ROW()-2,"")</f>
        <v/>
      </c>
      <c r="B254" s="197" t="inlineStr">
        <is>
          <t>硬件</t>
        </is>
      </c>
      <c r="C254" s="198" t="inlineStr">
        <is>
          <t>N60601001586</t>
        </is>
      </c>
      <c r="D254" s="199" t="inlineStr">
        <is>
          <t>端子 TJC2509-2A (CWB)(RoHS)</t>
        </is>
      </c>
      <c r="E254" s="200" t="n">
        <v>1</v>
      </c>
      <c r="F254" s="201" t="n">
        <v>0.0449</v>
      </c>
      <c r="G254" s="202" t="n"/>
      <c r="H254" s="203">
        <f>IF(I254="是",0,IF(OR(E254="",F254=""),0,E254*F254*(1+IF(G254="",0,G254))))</f>
        <v/>
      </c>
      <c r="I254" s="197" t="inlineStr">
        <is>
          <t>否</t>
        </is>
      </c>
      <c r="J254" s="199" t="inlineStr">
        <is>
          <t>乐清市嘉得电子有限公司</t>
        </is>
      </c>
    </row>
    <row r="255" ht="13.5" customHeight="1" s="144">
      <c r="A255" s="168">
        <f>IF(C255&lt;&gt;"",ROW()-2,"")</f>
        <v/>
      </c>
      <c r="B255" s="190" t="inlineStr">
        <is>
          <t>硬件</t>
        </is>
      </c>
      <c r="C255" s="191" t="inlineStr">
        <is>
          <t>N60601001588</t>
        </is>
      </c>
      <c r="D255" s="169" t="inlineStr">
        <is>
          <t>端子 TJC2509-4A (CWB)(RoHS)</t>
        </is>
      </c>
      <c r="E255" s="192" t="n">
        <v>1</v>
      </c>
      <c r="F255" s="193" t="n">
        <v>0.0785</v>
      </c>
      <c r="G255" s="194" t="n"/>
      <c r="H255" s="195">
        <f>IF(I255="是",0,IF(OR(E255="",F255=""),0,E255*F255*(1+IF(G255="",0,G255))))</f>
        <v/>
      </c>
      <c r="I255" s="190" t="inlineStr">
        <is>
          <t>否</t>
        </is>
      </c>
      <c r="J255" s="169" t="inlineStr">
        <is>
          <t>乐清市嘉得电子有限公司</t>
        </is>
      </c>
    </row>
    <row r="256" ht="13.5" customHeight="1" s="144">
      <c r="A256" s="196">
        <f>IF(C256&lt;&gt;"",ROW()-2,"")</f>
        <v/>
      </c>
      <c r="B256" s="197" t="inlineStr">
        <is>
          <t>硬件</t>
        </is>
      </c>
      <c r="C256" s="198" t="inlineStr">
        <is>
          <t>N60601001590</t>
        </is>
      </c>
      <c r="D256" s="199" t="inlineStr">
        <is>
          <t>端子 TJC2509-6A (CWB)(RoHS)</t>
        </is>
      </c>
      <c r="E256" s="200" t="n">
        <v>1</v>
      </c>
      <c r="F256" s="201" t="n">
        <v>0.1176</v>
      </c>
      <c r="G256" s="202" t="n"/>
      <c r="H256" s="203">
        <f>IF(I256="是",0,IF(OR(E256="",F256=""),0,E256*F256*(1+IF(G256="",0,G256))))</f>
        <v/>
      </c>
      <c r="I256" s="197" t="inlineStr">
        <is>
          <t>否</t>
        </is>
      </c>
      <c r="J256" s="199" t="inlineStr">
        <is>
          <t>乐清市嘉得电子有限公司</t>
        </is>
      </c>
    </row>
    <row r="257" ht="13.5" customHeight="1" s="144">
      <c r="A257" s="168">
        <f>IF(C257&lt;&gt;"",ROW()-2,"")</f>
        <v/>
      </c>
      <c r="B257" s="190" t="inlineStr">
        <is>
          <t>硬件</t>
        </is>
      </c>
      <c r="C257" s="191" t="inlineStr">
        <is>
          <t>N60601001592</t>
        </is>
      </c>
      <c r="D257" s="169" t="inlineStr">
        <is>
          <t>端子 TJC2509-8A (CWB)(RoHS)</t>
        </is>
      </c>
      <c r="E257" s="192" t="n">
        <v>1</v>
      </c>
      <c r="F257" s="193" t="n">
        <v>0.168</v>
      </c>
      <c r="G257" s="194" t="n"/>
      <c r="H257" s="195">
        <f>IF(I257="是",0,IF(OR(E257="",F257=""),0,E257*F257*(1+IF(G257="",0,G257))))</f>
        <v/>
      </c>
      <c r="I257" s="190" t="inlineStr">
        <is>
          <t>否</t>
        </is>
      </c>
      <c r="J257" s="169" t="inlineStr">
        <is>
          <t>乐清市合润电子科技有限公司</t>
        </is>
      </c>
    </row>
    <row r="258" ht="13.5" customHeight="1" s="144">
      <c r="A258" s="196">
        <f>IF(C258&lt;&gt;"",ROW()-2,"")</f>
        <v/>
      </c>
      <c r="B258" s="197" t="inlineStr">
        <is>
          <t>硬件</t>
        </is>
      </c>
      <c r="C258" s="198" t="inlineStr">
        <is>
          <t>N60601001594</t>
        </is>
      </c>
      <c r="D258" s="199" t="inlineStr">
        <is>
          <t>端子 TJC2509-10A (CWB)(RoHS)</t>
        </is>
      </c>
      <c r="E258" s="200" t="n">
        <v>1</v>
      </c>
      <c r="F258" s="201" t="n">
        <v>0.1961</v>
      </c>
      <c r="G258" s="202" t="n"/>
      <c r="H258" s="203">
        <f>IF(I258="是",0,IF(OR(E258="",F258=""),0,E258*F258*(1+IF(G258="",0,G258))))</f>
        <v/>
      </c>
      <c r="I258" s="197" t="inlineStr">
        <is>
          <t>否</t>
        </is>
      </c>
      <c r="J258" s="199" t="inlineStr">
        <is>
          <t>乐清市嘉得电子有限公司</t>
        </is>
      </c>
    </row>
    <row r="259" ht="13.5" customHeight="1" s="144">
      <c r="A259" s="168">
        <f>IF(C259&lt;&gt;"",ROW()-2,"")</f>
        <v/>
      </c>
      <c r="B259" s="190" t="inlineStr">
        <is>
          <t>硬件</t>
        </is>
      </c>
      <c r="C259" s="191" t="inlineStr">
        <is>
          <t>N60601001619</t>
        </is>
      </c>
      <c r="D259" s="169" t="inlineStr">
        <is>
          <t>端子 VH-3A(去第2针) (48h盐雾)(CWB)(RoHS)</t>
        </is>
      </c>
      <c r="E259" s="192" t="n">
        <v>1</v>
      </c>
      <c r="F259" s="193" t="n">
        <v>0.082</v>
      </c>
      <c r="G259" s="194" t="n"/>
      <c r="H259" s="195">
        <f>IF(I259="是",0,IF(OR(E259="",F259=""),0,E259*F259*(1+IF(G259="",0,G259))))</f>
        <v/>
      </c>
      <c r="I259" s="190" t="inlineStr">
        <is>
          <t>否</t>
        </is>
      </c>
      <c r="J259" s="169" t="inlineStr">
        <is>
          <t>厦门联胜鑫电子有限公司</t>
        </is>
      </c>
    </row>
    <row r="260" ht="13.5" customHeight="1" s="144">
      <c r="A260" s="196">
        <f>IF(C260&lt;&gt;"",ROW()-2,"")</f>
        <v/>
      </c>
      <c r="B260" s="197" t="inlineStr">
        <is>
          <t>硬件</t>
        </is>
      </c>
      <c r="C260" s="198" t="inlineStr">
        <is>
          <t>N60601001620</t>
        </is>
      </c>
      <c r="D260" s="199" t="inlineStr">
        <is>
          <t>端子 VH-3A(去第2针) 黑色(48h盐雾)(CWB)(RoHS)</t>
        </is>
      </c>
      <c r="E260" s="200" t="n">
        <v>2</v>
      </c>
      <c r="F260" s="201" t="n">
        <v>0.092</v>
      </c>
      <c r="G260" s="202" t="n"/>
      <c r="H260" s="203">
        <f>IF(I260="是",0,IF(OR(E260="",F260=""),0,E260*F260*(1+IF(G260="",0,G260))))</f>
        <v/>
      </c>
      <c r="I260" s="197" t="inlineStr">
        <is>
          <t>否</t>
        </is>
      </c>
      <c r="J260" s="199" t="inlineStr">
        <is>
          <t>乐清市合润电子科技有限公司</t>
        </is>
      </c>
    </row>
    <row r="261" ht="13.5" customHeight="1" s="144">
      <c r="A261" s="168">
        <f>IF(C261&lt;&gt;"",ROW()-2,"")</f>
        <v/>
      </c>
      <c r="B261" s="190" t="inlineStr">
        <is>
          <t>硬件</t>
        </is>
      </c>
      <c r="C261" s="191" t="inlineStr">
        <is>
          <t>N60601001672</t>
        </is>
      </c>
      <c r="D261" s="169" t="inlineStr">
        <is>
          <t>端子 VH-3A 黄色(去第2针)(48h盐雾)(CWB)(RoHS)</t>
        </is>
      </c>
      <c r="E261" s="192" t="n">
        <v>1</v>
      </c>
      <c r="F261" s="193" t="n">
        <v>0.0895</v>
      </c>
      <c r="G261" s="194" t="n"/>
      <c r="H261" s="195">
        <f>IF(I261="是",0,IF(OR(E261="",F261=""),0,E261*F261*(1+IF(G261="",0,G261))))</f>
        <v/>
      </c>
      <c r="I261" s="190" t="inlineStr">
        <is>
          <t>否</t>
        </is>
      </c>
      <c r="J261" s="169" t="inlineStr">
        <is>
          <t>乐清市合润电子科技有限公司</t>
        </is>
      </c>
    </row>
    <row r="262" ht="13.5" customHeight="1" s="144">
      <c r="A262" s="196">
        <f>IF(C262&lt;&gt;"",ROW()-2,"")</f>
        <v/>
      </c>
      <c r="B262" s="197" t="inlineStr">
        <is>
          <t>硬件</t>
        </is>
      </c>
      <c r="C262" s="198" t="inlineStr">
        <is>
          <t>N60601001775</t>
        </is>
      </c>
      <c r="D262" s="199" t="inlineStr">
        <is>
          <t>端子 TJC2508-5A 红色(CWB)(RoHS)</t>
        </is>
      </c>
      <c r="E262" s="200" t="n">
        <v>1</v>
      </c>
      <c r="F262" s="201" t="n">
        <v>0.0796</v>
      </c>
      <c r="G262" s="202" t="n"/>
      <c r="H262" s="203">
        <f>IF(I262="是",0,IF(OR(E262="",F262=""),0,E262*F262*(1+IF(G262="",0,G262))))</f>
        <v/>
      </c>
      <c r="I262" s="197" t="inlineStr">
        <is>
          <t>否</t>
        </is>
      </c>
      <c r="J262" s="199" t="inlineStr">
        <is>
          <t>乐清市合润电子科技有限公司</t>
        </is>
      </c>
    </row>
    <row r="263" ht="13.5" customHeight="1" s="144">
      <c r="A263" s="168">
        <f>IF(C263&lt;&gt;"",ROW()-2,"")</f>
        <v/>
      </c>
      <c r="B263" s="190" t="inlineStr">
        <is>
          <t>硬件</t>
        </is>
      </c>
      <c r="C263" s="191" t="inlineStr">
        <is>
          <t>N60601002095</t>
        </is>
      </c>
      <c r="D263" s="169" t="inlineStr">
        <is>
          <t>端子 VH-3A 绿色(去第2针)(CWB)(RoHS)</t>
        </is>
      </c>
      <c r="E263" s="192" t="n">
        <v>1</v>
      </c>
      <c r="F263" s="193" t="n">
        <v>0.092</v>
      </c>
      <c r="G263" s="194" t="n"/>
      <c r="H263" s="195">
        <f>IF(I263="是",0,IF(OR(E263="",F263=""),0,E263*F263*(1+IF(G263="",0,G263))))</f>
        <v/>
      </c>
      <c r="I263" s="190" t="inlineStr">
        <is>
          <t>否</t>
        </is>
      </c>
      <c r="J263" s="169" t="inlineStr">
        <is>
          <t>乐清市合润电子科技有限公司</t>
        </is>
      </c>
    </row>
    <row r="264" ht="13.5" customHeight="1" s="144">
      <c r="A264" s="196">
        <f>IF(C264&lt;&gt;"",ROW()-2,"")</f>
        <v/>
      </c>
      <c r="B264" s="197" t="inlineStr">
        <is>
          <t>硬件</t>
        </is>
      </c>
      <c r="C264" s="198" t="inlineStr">
        <is>
          <t>N60601002533</t>
        </is>
      </c>
      <c r="D264" s="199" t="inlineStr">
        <is>
          <t>端子 VH-2A 绿色(CWB)(RoHS)</t>
        </is>
      </c>
      <c r="E264" s="200" t="n">
        <v>1</v>
      </c>
      <c r="F264" s="201" t="n">
        <v>0.058</v>
      </c>
      <c r="G264" s="202" t="n"/>
      <c r="H264" s="203">
        <f>IF(I264="是",0,IF(OR(E264="",F264=""),0,E264*F264*(1+IF(G264="",0,G264))))</f>
        <v/>
      </c>
      <c r="I264" s="197" t="inlineStr">
        <is>
          <t>否</t>
        </is>
      </c>
      <c r="J264" s="199" t="inlineStr">
        <is>
          <t>厦门联胜鑫电子有限公司</t>
        </is>
      </c>
    </row>
    <row r="265" ht="13.5" customHeight="1" s="144">
      <c r="A265" s="168">
        <f>IF(C265&lt;&gt;"",ROW()-2,"")</f>
        <v/>
      </c>
      <c r="B265" s="190" t="inlineStr">
        <is>
          <t>硬件</t>
        </is>
      </c>
      <c r="C265" s="191" t="inlineStr">
        <is>
          <t>N60601002724</t>
        </is>
      </c>
      <c r="D265" s="169" t="inlineStr">
        <is>
          <t>端子 TJC2509-2A 红色(CWB)(RoHS)</t>
        </is>
      </c>
      <c r="E265" s="192" t="n">
        <v>1</v>
      </c>
      <c r="F265" s="193" t="n">
        <v>0.0467</v>
      </c>
      <c r="G265" s="194" t="n"/>
      <c r="H265" s="195">
        <f>IF(I265="是",0,IF(OR(E265="",F265=""),0,E265*F265*(1+IF(G265="",0,G265))))</f>
        <v/>
      </c>
      <c r="I265" s="190" t="inlineStr">
        <is>
          <t>否</t>
        </is>
      </c>
      <c r="J265" s="169" t="inlineStr">
        <is>
          <t>乐清市嘉得电子有限公司</t>
        </is>
      </c>
    </row>
    <row r="266" ht="13.5" customHeight="1" s="144">
      <c r="A266" s="196">
        <f>IF(C266&lt;&gt;"",ROW()-2,"")</f>
        <v/>
      </c>
      <c r="B266" s="197" t="inlineStr">
        <is>
          <t>硬件</t>
        </is>
      </c>
      <c r="C266" s="198" t="inlineStr">
        <is>
          <t>N60601003395</t>
        </is>
      </c>
      <c r="D266" s="199" t="inlineStr">
        <is>
          <t>端子 TJC2508-4A 红色(2.5X4P)(CWB)(RoHS)</t>
        </is>
      </c>
      <c r="E266" s="200" t="n">
        <v>1</v>
      </c>
      <c r="F266" s="201" t="n">
        <v>0.062</v>
      </c>
      <c r="G266" s="202" t="n"/>
      <c r="H266" s="203">
        <f>IF(I266="是",0,IF(OR(E266="",F266=""),0,E266*F266*(1+IF(G266="",0,G266))))</f>
        <v/>
      </c>
      <c r="I266" s="197" t="inlineStr">
        <is>
          <t>否</t>
        </is>
      </c>
      <c r="J266" s="199" t="inlineStr">
        <is>
          <t>乐清市合润电子科技有限公司</t>
        </is>
      </c>
    </row>
    <row r="267" ht="13.5" customHeight="1" s="144">
      <c r="A267" s="168">
        <f>IF(C267&lt;&gt;"",ROW()-2,"")</f>
        <v/>
      </c>
      <c r="B267" s="190" t="inlineStr">
        <is>
          <t>硬件</t>
        </is>
      </c>
      <c r="C267" s="191" t="inlineStr">
        <is>
          <t>N60601003512</t>
        </is>
      </c>
      <c r="D267" s="169" t="inlineStr">
        <is>
          <t>端子 VH-3A 橙色(去第2针)(CWB)(RoHS)</t>
        </is>
      </c>
      <c r="E267" s="192" t="n">
        <v>2</v>
      </c>
      <c r="F267" s="193" t="n">
        <v>0.0895</v>
      </c>
      <c r="G267" s="194" t="n"/>
      <c r="H267" s="195">
        <f>IF(I267="是",0,IF(OR(E267="",F267=""),0,E267*F267*(1+IF(G267="",0,G267))))</f>
        <v/>
      </c>
      <c r="I267" s="190" t="inlineStr">
        <is>
          <t>否</t>
        </is>
      </c>
      <c r="J267" s="169" t="inlineStr">
        <is>
          <t>乐清市合润电子科技有限公司</t>
        </is>
      </c>
    </row>
    <row r="268" ht="13.5" customHeight="1" s="144">
      <c r="A268" s="196">
        <f>IF(C268&lt;&gt;"",ROW()-2,"")</f>
        <v/>
      </c>
      <c r="B268" s="197" t="inlineStr">
        <is>
          <t>硬件</t>
        </is>
      </c>
      <c r="C268" s="198" t="inlineStr">
        <is>
          <t>N60602000254</t>
        </is>
      </c>
      <c r="D268" s="199" t="inlineStr">
        <is>
          <t>接线排 YK3030903002G (Anytek)(RoHS)</t>
        </is>
      </c>
      <c r="E268" s="200" t="n">
        <v>1</v>
      </c>
      <c r="F268" s="201" t="n">
        <v>6.2975</v>
      </c>
      <c r="G268" s="202" t="n"/>
      <c r="H268" s="203">
        <f>IF(I268="是",0,IF(OR(E268="",F268=""),0,E268*F268*(1+IF(G268="",0,G268))))</f>
        <v/>
      </c>
      <c r="I268" s="197" t="inlineStr">
        <is>
          <t>否</t>
        </is>
      </c>
      <c r="J268" s="199" t="inlineStr">
        <is>
          <t>厦门市向荣发电子有限公司</t>
        </is>
      </c>
    </row>
    <row r="269" ht="13.5" customHeight="1" s="144">
      <c r="A269" s="168">
        <f>IF(C269&lt;&gt;"",ROW()-2,"")</f>
        <v/>
      </c>
      <c r="B269" s="190" t="inlineStr">
        <is>
          <t>硬件</t>
        </is>
      </c>
      <c r="C269" s="191" t="inlineStr">
        <is>
          <t>N60604000340</t>
        </is>
      </c>
      <c r="D269" s="169" t="inlineStr">
        <is>
          <t>插座 1734366-2 (USB座,立式)(TE)(RoHS)</t>
        </is>
      </c>
      <c r="E269" s="192" t="n">
        <v>1</v>
      </c>
      <c r="F269" s="193" t="n">
        <v>1.9</v>
      </c>
      <c r="G269" s="194" t="n"/>
      <c r="H269" s="195">
        <f>IF(I269="是",0,IF(OR(E269="",F269=""),0,E269*F269*(1+IF(G269="",0,G269))))</f>
        <v/>
      </c>
      <c r="I269" s="190" t="inlineStr">
        <is>
          <t>否</t>
        </is>
      </c>
      <c r="J269" s="169" t="inlineStr">
        <is>
          <t>上海史安微电子有限公司</t>
        </is>
      </c>
    </row>
    <row r="270" ht="13.5" customHeight="1" s="144">
      <c r="A270" s="196">
        <f>IF(C270&lt;&gt;"",ROW()-2,"")</f>
        <v/>
      </c>
      <c r="B270" s="197" t="inlineStr">
        <is>
          <t>硬件</t>
        </is>
      </c>
      <c r="C270" s="198" t="inlineStr">
        <is>
          <t>N60606000043</t>
        </is>
      </c>
      <c r="D270" s="199" t="inlineStr">
        <is>
          <t>卡座 KH172-A,P＝6.5 (保险丝卡座D5X20)(磊峰)(RoHS)</t>
        </is>
      </c>
      <c r="E270" s="200" t="n">
        <v>2</v>
      </c>
      <c r="F270" s="201" t="n">
        <v>0.11</v>
      </c>
      <c r="G270" s="202" t="n"/>
      <c r="H270" s="203">
        <f>IF(I270="是",0,IF(OR(E270="",F270=""),0,E270*F270*(1+IF(G270="",0,G270))))</f>
        <v/>
      </c>
      <c r="I270" s="197" t="inlineStr">
        <is>
          <t>否</t>
        </is>
      </c>
      <c r="J270" s="199" t="inlineStr">
        <is>
          <t>厦门磊峰五金弹簧有限公司</t>
        </is>
      </c>
    </row>
    <row r="271" ht="13.5" customHeight="1" s="144">
      <c r="A271" s="168">
        <f>IF(C271&lt;&gt;"",ROW()-2,"")</f>
        <v/>
      </c>
      <c r="B271" s="190" t="inlineStr">
        <is>
          <t>硬件</t>
        </is>
      </c>
      <c r="C271" s="191" t="inlineStr">
        <is>
          <t>N70901000288</t>
        </is>
      </c>
      <c r="D271" s="169" t="inlineStr">
        <is>
          <t>螺丝组件 3X8PM 304不锈钢(带平垫、弹垫)(72h盐雾)(新沪厦)(RoHS)</t>
        </is>
      </c>
      <c r="E271" s="192" t="n">
        <v>1</v>
      </c>
      <c r="F271" s="193" t="n">
        <v>0.0822</v>
      </c>
      <c r="G271" s="194" t="n"/>
      <c r="H271" s="195">
        <f>IF(I271="是",0,IF(OR(E271="",F271=""),0,E271*F271*(1+IF(G271="",0,G271))))</f>
        <v/>
      </c>
      <c r="I271" s="190" t="inlineStr">
        <is>
          <t>否</t>
        </is>
      </c>
      <c r="J271" s="169" t="inlineStr">
        <is>
          <t>厦门新沪厦五金工贸有限公司</t>
        </is>
      </c>
    </row>
    <row r="272" ht="13.5" customHeight="1" s="144">
      <c r="A272" s="196">
        <f>IF(C272&lt;&gt;"",ROW()-2,"")</f>
        <v/>
      </c>
      <c r="B272" s="197" t="inlineStr">
        <is>
          <t>硬件</t>
        </is>
      </c>
      <c r="C272" s="198" t="inlineStr">
        <is>
          <t>N71002000022</t>
        </is>
      </c>
      <c r="D272" s="199" t="inlineStr">
        <is>
          <t>元件护套 D5X20(保险丝套管) (符合REACH)(中田)(RoHS)</t>
        </is>
      </c>
      <c r="E272" s="200" t="n">
        <v>1</v>
      </c>
      <c r="F272" s="201" t="n">
        <v>0.0348</v>
      </c>
      <c r="G272" s="202" t="n"/>
      <c r="H272" s="203">
        <f>IF(I272="是",0,IF(OR(E272="",F272=""),0,E272*F272*(1+IF(G272="",0,G272))))</f>
        <v/>
      </c>
      <c r="I272" s="197" t="inlineStr">
        <is>
          <t>否</t>
        </is>
      </c>
      <c r="J272" s="199" t="inlineStr">
        <is>
          <t>浙江中田电子护套有限公司（特采L）</t>
        </is>
      </c>
    </row>
    <row r="273" ht="13.5" customHeight="1" s="144">
      <c r="A273" s="168">
        <f>IF(C273&lt;&gt;"",ROW()-2,"")</f>
        <v/>
      </c>
      <c r="B273" s="190" t="inlineStr">
        <is>
          <t>硬件</t>
        </is>
      </c>
      <c r="C273" s="191" t="inlineStr">
        <is>
          <t>N71104006605</t>
        </is>
      </c>
      <c r="D273" s="205" t="inlineStr">
        <is>
          <t>FR4印制板 TE1003 双层,喷锡,200X200X1.6,1拼板(永隆)(RoHS)</t>
        </is>
      </c>
      <c r="E273" s="192" t="n">
        <v>1</v>
      </c>
      <c r="F273" s="193" t="n">
        <v>12.5782</v>
      </c>
      <c r="G273" s="194" t="n"/>
      <c r="H273" s="195">
        <f>IF(I273="是",0,IF(OR(E273="",F273=""),0,E273*F273*(1+IF(G273="",0,G273))))</f>
        <v/>
      </c>
      <c r="I273" s="190" t="inlineStr">
        <is>
          <t>否</t>
        </is>
      </c>
      <c r="J273" s="169" t="inlineStr">
        <is>
          <t>惠州市永隆电路有限公司</t>
        </is>
      </c>
    </row>
    <row r="274" ht="13.5" customHeight="1" s="144">
      <c r="A274" s="196">
        <f>IF(C274&lt;&gt;"",ROW()-2,"")</f>
        <v/>
      </c>
      <c r="B274" s="197" t="inlineStr">
        <is>
          <t>硬件</t>
        </is>
      </c>
      <c r="C274" s="198" t="inlineStr">
        <is>
          <t>N60703001638</t>
        </is>
      </c>
      <c r="D274" s="199" t="inlineStr">
        <is>
          <t>标签 BQ300200W002-NJTJ (26P电气原理图)(D5A13H500001)(背胶)(RoHS)</t>
        </is>
      </c>
      <c r="E274" s="200" t="n">
        <v>1</v>
      </c>
      <c r="F274" s="201" t="n">
        <v>2.035</v>
      </c>
      <c r="G274" s="202" t="n"/>
      <c r="H274" s="203">
        <f>IF(I274="是",0,IF(OR(E274="",F274=""),0,E274*F274*(1+IF(G274="",0,G274))))</f>
        <v/>
      </c>
      <c r="I274" s="197" t="inlineStr">
        <is>
          <t>否</t>
        </is>
      </c>
      <c r="J274" s="199" t="inlineStr">
        <is>
          <t>厦门亿华辉工贸有限公司</t>
        </is>
      </c>
    </row>
    <row r="275" ht="13.5" customHeight="1" s="144">
      <c r="A275" s="168">
        <f>IF(C275&lt;&gt;"",ROW()-2,"")</f>
        <v/>
      </c>
      <c r="B275" s="190" t="inlineStr">
        <is>
          <t>结构件</t>
        </is>
      </c>
      <c r="C275" s="191" t="inlineStr">
        <is>
          <t>4013430R</t>
        </is>
      </c>
      <c r="D275" s="169" t="inlineStr">
        <is>
          <t>塑胶线夹 3.6X300 (尼龙扣)(正顺达)(RoHS)</t>
        </is>
      </c>
      <c r="E275" s="192" t="n">
        <v>6</v>
      </c>
      <c r="F275" s="193" t="n">
        <v>0.099</v>
      </c>
      <c r="G275" s="194" t="n"/>
      <c r="H275" s="195">
        <f>IF(I275="是",0,IF(OR(E275="",F275=""),0,E275*F275*(1+IF(G275="",0,G275))))</f>
        <v/>
      </c>
      <c r="I275" s="190" t="inlineStr">
        <is>
          <t>否</t>
        </is>
      </c>
      <c r="J275" s="169" t="inlineStr">
        <is>
          <t>厦门正顺达电子有限公司</t>
        </is>
      </c>
    </row>
    <row r="276" ht="13.5" customHeight="1" s="144">
      <c r="A276" s="196">
        <f>IF(C276&lt;&gt;"",ROW()-2,"")</f>
        <v/>
      </c>
      <c r="B276" s="197" t="inlineStr">
        <is>
          <t>结构件</t>
        </is>
      </c>
      <c r="C276" s="198" t="inlineStr">
        <is>
          <t>N31805000286</t>
        </is>
      </c>
      <c r="D276" s="199" t="inlineStr">
        <is>
          <t>存贮器 SX770 (U盘)(32G)(联想)(RoHS)</t>
        </is>
      </c>
      <c r="E276" s="200" t="n">
        <v>1</v>
      </c>
      <c r="F276" s="201" t="n">
        <v>28</v>
      </c>
      <c r="G276" s="202" t="n"/>
      <c r="H276" s="203">
        <f>IF(I276="是",0,IF(OR(E276="",F276=""),0,E276*F276*(1+IF(G276="",0,G276))))</f>
        <v/>
      </c>
      <c r="I276" s="197" t="inlineStr">
        <is>
          <t>否</t>
        </is>
      </c>
      <c r="J276" s="199" t="inlineStr">
        <is>
          <t>增利(上海)电子科技有限公司</t>
        </is>
      </c>
    </row>
    <row r="277" ht="13.5" customHeight="1" s="144">
      <c r="A277" s="168">
        <f>IF(C277&lt;&gt;"",ROW()-2,"")</f>
        <v/>
      </c>
      <c r="B277" s="190" t="inlineStr">
        <is>
          <t>结构件</t>
        </is>
      </c>
      <c r="C277" s="191" t="inlineStr">
        <is>
          <t>N60202002907</t>
        </is>
      </c>
      <c r="D277" s="169" t="inlineStr">
        <is>
          <t>弱电接插件 JCR04-70-036 (朝宏)(RoHS)</t>
        </is>
      </c>
      <c r="E277" s="192" t="n">
        <v>1</v>
      </c>
      <c r="F277" s="193" t="n">
        <v>2.17</v>
      </c>
      <c r="G277" s="194" t="n"/>
      <c r="H277" s="195">
        <f>IF(I277="是",0,IF(OR(E277="",F277=""),0,E277*F277*(1+IF(G277="",0,G277))))</f>
        <v/>
      </c>
      <c r="I277" s="190" t="inlineStr">
        <is>
          <t>否</t>
        </is>
      </c>
      <c r="J277" s="169" t="inlineStr">
        <is>
          <t>厦门市朝宏电子科技有限公司</t>
        </is>
      </c>
    </row>
    <row r="278" ht="13.5" customHeight="1" s="144">
      <c r="A278" s="196">
        <f>IF(C278&lt;&gt;"",ROW()-2,"")</f>
        <v/>
      </c>
      <c r="B278" s="197" t="inlineStr">
        <is>
          <t>结构件</t>
        </is>
      </c>
      <c r="C278" s="198" t="inlineStr">
        <is>
          <t>N60202002908</t>
        </is>
      </c>
      <c r="D278" s="199" t="inlineStr">
        <is>
          <t>弱电接插件 JCR02-10-131 (朝宏)(RoHS)</t>
        </is>
      </c>
      <c r="E278" s="200" t="n">
        <v>1</v>
      </c>
      <c r="F278" s="201" t="n">
        <v>1.37</v>
      </c>
      <c r="G278" s="202" t="n"/>
      <c r="H278" s="203">
        <f>IF(I278="是",0,IF(OR(E278="",F278=""),0,E278*F278*(1+IF(G278="",0,G278))))</f>
        <v/>
      </c>
      <c r="I278" s="197" t="inlineStr">
        <is>
          <t>否</t>
        </is>
      </c>
      <c r="J278" s="199" t="inlineStr">
        <is>
          <t>厦门市朝宏电子科技有限公司</t>
        </is>
      </c>
    </row>
    <row r="279" ht="13.5" customHeight="1" s="144">
      <c r="A279" s="168">
        <f>IF(C279&lt;&gt;"",ROW()-2,"")</f>
        <v/>
      </c>
      <c r="B279" s="190" t="inlineStr">
        <is>
          <t>结构件</t>
        </is>
      </c>
      <c r="C279" s="191" t="inlineStr">
        <is>
          <t>N60202002909</t>
        </is>
      </c>
      <c r="D279" s="169" t="inlineStr">
        <is>
          <t>弱电接插件 JCR01-150-004 (朝宏)(RoHS)</t>
        </is>
      </c>
      <c r="E279" s="192" t="n">
        <v>1</v>
      </c>
      <c r="F279" s="193" t="n">
        <v>38.3</v>
      </c>
      <c r="G279" s="194" t="n"/>
      <c r="H279" s="195">
        <f>IF(I279="是",0,IF(OR(E279="",F279=""),0,E279*F279*(1+IF(G279="",0,G279))))</f>
        <v/>
      </c>
      <c r="I279" s="190" t="inlineStr">
        <is>
          <t>否</t>
        </is>
      </c>
      <c r="J279" s="169" t="inlineStr">
        <is>
          <t>厦门市朝宏电子科技有限公司</t>
        </is>
      </c>
    </row>
    <row r="280" ht="13.5" customHeight="1" s="144">
      <c r="A280" s="196">
        <f>IF(C280&lt;&gt;"",ROW()-2,"")</f>
        <v/>
      </c>
      <c r="B280" s="197" t="inlineStr">
        <is>
          <t>结构件</t>
        </is>
      </c>
      <c r="C280" s="198" t="inlineStr">
        <is>
          <t>N60203001231</t>
        </is>
      </c>
      <c r="D280" s="199" t="inlineStr">
        <is>
          <t>强电接插件 JCQ04-70-006 (朝宏)(RoHS)</t>
        </is>
      </c>
      <c r="E280" s="200" t="n">
        <v>1</v>
      </c>
      <c r="F280" s="201" t="n">
        <v>4.58</v>
      </c>
      <c r="G280" s="202" t="n"/>
      <c r="H280" s="203">
        <f>IF(I280="是",0,IF(OR(E280="",F280=""),0,E280*F280*(1+IF(G280="",0,G280))))</f>
        <v/>
      </c>
      <c r="I280" s="197" t="inlineStr">
        <is>
          <t>否</t>
        </is>
      </c>
      <c r="J280" s="199" t="inlineStr">
        <is>
          <t>厦门市朝宏电子科技有限公司</t>
        </is>
      </c>
    </row>
    <row r="281" ht="13.5" customHeight="1" s="144">
      <c r="A281" s="168">
        <f>IF(C281&lt;&gt;"",ROW()-2,"")</f>
        <v/>
      </c>
      <c r="B281" s="190" t="inlineStr">
        <is>
          <t>结构件</t>
        </is>
      </c>
      <c r="C281" s="191" t="inlineStr">
        <is>
          <t>N60203001232</t>
        </is>
      </c>
      <c r="D281" s="169" t="inlineStr">
        <is>
          <t>强电接插件 JCQ03-180-001 (朝宏)(RoHS)</t>
        </is>
      </c>
      <c r="E281" s="192" t="n">
        <v>1</v>
      </c>
      <c r="F281" s="193" t="n">
        <v>128.72</v>
      </c>
      <c r="G281" s="194" t="n"/>
      <c r="H281" s="195">
        <f>IF(I281="是",0,IF(OR(E281="",F281=""),0,E281*F281*(1+IF(G281="",0,G281))))</f>
        <v/>
      </c>
      <c r="I281" s="190" t="inlineStr">
        <is>
          <t>否</t>
        </is>
      </c>
      <c r="J281" s="169" t="inlineStr">
        <is>
          <t>厦门市朝宏电子科技有限公司</t>
        </is>
      </c>
    </row>
    <row r="282" ht="13.5" customHeight="1" s="144">
      <c r="A282" s="196">
        <f>IF(C282&lt;&gt;"",ROW()-2,"")</f>
        <v/>
      </c>
      <c r="B282" s="197" t="inlineStr">
        <is>
          <t>结构件</t>
        </is>
      </c>
      <c r="C282" s="198" t="inlineStr">
        <is>
          <t>N60203001257</t>
        </is>
      </c>
      <c r="D282" s="199" t="inlineStr">
        <is>
          <t>强电接插件 JCQ01-60-058 (20P电源线)(驱动接滤波)(N)(RoHS)</t>
        </is>
      </c>
      <c r="E282" s="200" t="n">
        <v>1</v>
      </c>
      <c r="F282" s="201" t="n">
        <v>3.51</v>
      </c>
      <c r="G282" s="202" t="n"/>
      <c r="H282" s="203">
        <f>IF(I282="是",0,IF(OR(E282="",F282=""),0,E282*F282*(1+IF(G282="",0,G282))))</f>
        <v/>
      </c>
      <c r="I282" s="197" t="inlineStr">
        <is>
          <t>否</t>
        </is>
      </c>
      <c r="J282" s="199" t="inlineStr">
        <is>
          <t>厦门市朝宏电子科技有限公司</t>
        </is>
      </c>
    </row>
    <row r="283" ht="13.5" customHeight="1" s="144">
      <c r="A283" s="168">
        <f>IF(C283&lt;&gt;"",ROW()-2,"")</f>
        <v/>
      </c>
      <c r="B283" s="190" t="inlineStr">
        <is>
          <t>结构件</t>
        </is>
      </c>
      <c r="C283" s="191" t="inlineStr">
        <is>
          <t>N60203001261</t>
        </is>
      </c>
      <c r="D283" s="169" t="inlineStr">
        <is>
          <t>强电接插件 JCQ01-20-334 (20P电源线)(滤波接线排)(N)(RoHS)</t>
        </is>
      </c>
      <c r="E283" s="192" t="n">
        <v>1</v>
      </c>
      <c r="F283" s="193" t="n">
        <v>2.1</v>
      </c>
      <c r="G283" s="194" t="n"/>
      <c r="H283" s="195">
        <f>IF(I283="是",0,IF(OR(E283="",F283=""),0,E283*F283*(1+IF(G283="",0,G283))))</f>
        <v/>
      </c>
      <c r="I283" s="190" t="inlineStr">
        <is>
          <t>否</t>
        </is>
      </c>
      <c r="J283" s="169" t="inlineStr">
        <is>
          <t>厦门市朝宏电子科技有限公司</t>
        </is>
      </c>
    </row>
    <row r="284" ht="13.5" customHeight="1" s="144">
      <c r="A284" s="196">
        <f>IF(C284&lt;&gt;"",ROW()-2,"")</f>
        <v/>
      </c>
      <c r="B284" s="197" t="inlineStr">
        <is>
          <t>结构件</t>
        </is>
      </c>
      <c r="C284" s="198" t="inlineStr">
        <is>
          <t>N60203001262</t>
        </is>
      </c>
      <c r="D284" s="199" t="inlineStr">
        <is>
          <t>强电接插件 JCQ01-60-059 (26P电源线)(驱动接滤波)(R)(RoHS)</t>
        </is>
      </c>
      <c r="E284" s="200" t="n">
        <v>1</v>
      </c>
      <c r="F284" s="201" t="n">
        <v>17.42</v>
      </c>
      <c r="G284" s="202" t="n"/>
      <c r="H284" s="203">
        <f>IF(I284="是",0,IF(OR(E284="",F284=""),0,E284*F284*(1+IF(G284="",0,G284))))</f>
        <v/>
      </c>
      <c r="I284" s="197" t="inlineStr">
        <is>
          <t>否</t>
        </is>
      </c>
      <c r="J284" s="199" t="inlineStr">
        <is>
          <t>厦门市朝宏电子科技有限公司</t>
        </is>
      </c>
    </row>
    <row r="285" ht="13.5" customHeight="1" s="144">
      <c r="A285" s="168">
        <f>IF(C285&lt;&gt;"",ROW()-2,"")</f>
        <v/>
      </c>
      <c r="B285" s="190" t="inlineStr">
        <is>
          <t>结构件</t>
        </is>
      </c>
      <c r="C285" s="191" t="inlineStr">
        <is>
          <t>N60203001263</t>
        </is>
      </c>
      <c r="D285" s="169" t="inlineStr">
        <is>
          <t>强电接插件 JCQ01-60-060 (26P电源线)(驱动接滤波)(S)(RoHS)</t>
        </is>
      </c>
      <c r="E285" s="192" t="n">
        <v>1</v>
      </c>
      <c r="F285" s="193" t="n">
        <v>17.11</v>
      </c>
      <c r="G285" s="194" t="n"/>
      <c r="H285" s="195">
        <f>IF(I285="是",0,IF(OR(E285="",F285=""),0,E285*F285*(1+IF(G285="",0,G285))))</f>
        <v/>
      </c>
      <c r="I285" s="190" t="inlineStr">
        <is>
          <t>否</t>
        </is>
      </c>
      <c r="J285" s="169" t="inlineStr">
        <is>
          <t>厦门市朝宏电子科技有限公司</t>
        </is>
      </c>
    </row>
    <row r="286" ht="13.5" customHeight="1" s="144">
      <c r="A286" s="196">
        <f>IF(C286&lt;&gt;"",ROW()-2,"")</f>
        <v/>
      </c>
      <c r="B286" s="197" t="inlineStr">
        <is>
          <t>结构件</t>
        </is>
      </c>
      <c r="C286" s="198" t="inlineStr">
        <is>
          <t>N60203001264</t>
        </is>
      </c>
      <c r="D286" s="199" t="inlineStr">
        <is>
          <t>强电接插件 JCQ01-60-061 (26P电源线)(驱动接滤波)(T)(RoHS)</t>
        </is>
      </c>
      <c r="E286" s="200" t="n">
        <v>1</v>
      </c>
      <c r="F286" s="201" t="n">
        <v>16.85</v>
      </c>
      <c r="G286" s="202" t="n"/>
      <c r="H286" s="203">
        <f>IF(I286="是",0,IF(OR(E286="",F286=""),0,E286*F286*(1+IF(G286="",0,G286))))</f>
        <v/>
      </c>
      <c r="I286" s="197" t="inlineStr">
        <is>
          <t>否</t>
        </is>
      </c>
      <c r="J286" s="199" t="inlineStr">
        <is>
          <t>厦门市朝宏电子科技有限公司</t>
        </is>
      </c>
    </row>
    <row r="287" ht="13.5" customHeight="1" s="144">
      <c r="A287" s="168">
        <f>IF(C287&lt;&gt;"",ROW()-2,"")</f>
        <v/>
      </c>
      <c r="B287" s="190" t="inlineStr">
        <is>
          <t>结构件</t>
        </is>
      </c>
      <c r="C287" s="191" t="inlineStr">
        <is>
          <t>N60203001266</t>
        </is>
      </c>
      <c r="D287" s="169" t="inlineStr">
        <is>
          <t>强电接插件 JCQ01-10-190 (26P电源线)(滤波接线排)(R)(RoHS)</t>
        </is>
      </c>
      <c r="E287" s="192" t="n">
        <v>1</v>
      </c>
      <c r="F287" s="193" t="n">
        <v>5.88</v>
      </c>
      <c r="G287" s="194" t="n"/>
      <c r="H287" s="195">
        <f>IF(I287="是",0,IF(OR(E287="",F287=""),0,E287*F287*(1+IF(G287="",0,G287))))</f>
        <v/>
      </c>
      <c r="I287" s="190" t="inlineStr">
        <is>
          <t>否</t>
        </is>
      </c>
      <c r="J287" s="169" t="inlineStr">
        <is>
          <t>厦门市朝宏电子科技有限公司</t>
        </is>
      </c>
    </row>
    <row r="288" ht="13.5" customHeight="1" s="144">
      <c r="A288" s="196">
        <f>IF(C288&lt;&gt;"",ROW()-2,"")</f>
        <v/>
      </c>
      <c r="B288" s="197" t="inlineStr">
        <is>
          <t>结构件</t>
        </is>
      </c>
      <c r="C288" s="198" t="inlineStr">
        <is>
          <t>N60203001267</t>
        </is>
      </c>
      <c r="D288" s="199" t="inlineStr">
        <is>
          <t>强电接插件 JCQ01-10-191 (26P电源线)(滤波接线排)(S)(RoHS)</t>
        </is>
      </c>
      <c r="E288" s="200" t="n">
        <v>1</v>
      </c>
      <c r="F288" s="201" t="n">
        <v>5.88</v>
      </c>
      <c r="G288" s="202" t="n"/>
      <c r="H288" s="203">
        <f>IF(I288="是",0,IF(OR(E288="",F288=""),0,E288*F288*(1+IF(G288="",0,G288))))</f>
        <v/>
      </c>
      <c r="I288" s="197" t="inlineStr">
        <is>
          <t>否</t>
        </is>
      </c>
      <c r="J288" s="199" t="inlineStr">
        <is>
          <t>厦门市朝宏电子科技有限公司</t>
        </is>
      </c>
    </row>
    <row r="289" ht="13.5" customHeight="1" s="144">
      <c r="A289" s="168">
        <f>IF(C289&lt;&gt;"",ROW()-2,"")</f>
        <v/>
      </c>
      <c r="B289" s="190" t="inlineStr">
        <is>
          <t>结构件</t>
        </is>
      </c>
      <c r="C289" s="191" t="inlineStr">
        <is>
          <t>N60203001268</t>
        </is>
      </c>
      <c r="D289" s="169" t="inlineStr">
        <is>
          <t>强电接插件 JCQ01-10-192 (26P电源线)(滤波接线排)(T)(RoHS)</t>
        </is>
      </c>
      <c r="E289" s="192" t="n">
        <v>1</v>
      </c>
      <c r="F289" s="193" t="n">
        <v>6.05</v>
      </c>
      <c r="G289" s="194" t="n"/>
      <c r="H289" s="195">
        <f>IF(I289="是",0,IF(OR(E289="",F289=""),0,E289*F289*(1+IF(G289="",0,G289))))</f>
        <v/>
      </c>
      <c r="I289" s="190" t="inlineStr">
        <is>
          <t>否</t>
        </is>
      </c>
      <c r="J289" s="169" t="inlineStr">
        <is>
          <t>厦门市朝宏电子科技有限公司</t>
        </is>
      </c>
    </row>
    <row r="290" ht="13.5" customHeight="1" s="144">
      <c r="A290" s="196">
        <f>IF(C290&lt;&gt;"",ROW()-2,"")</f>
        <v/>
      </c>
      <c r="B290" s="197" t="inlineStr">
        <is>
          <t>结构件</t>
        </is>
      </c>
      <c r="C290" s="198" t="inlineStr">
        <is>
          <t>N60602000345</t>
        </is>
      </c>
      <c r="D290" s="199" t="inlineStr">
        <is>
          <t>接线排 T1601-2 (28.8X4P)(B00000004772)(天加专用))(黄中电器)(RoHS)</t>
        </is>
      </c>
      <c r="E290" s="200" t="n">
        <v>1</v>
      </c>
      <c r="F290" s="201" t="n">
        <v>16.1</v>
      </c>
      <c r="G290" s="202" t="n"/>
      <c r="H290" s="203">
        <f>IF(I290="是",0,IF(OR(E290="",F290=""),0,E290*F290*(1+IF(G290="",0,G290))))</f>
        <v/>
      </c>
      <c r="I290" s="197" t="inlineStr">
        <is>
          <t>否</t>
        </is>
      </c>
      <c r="J290" s="199" t="inlineStr">
        <is>
          <t>厦门市向荣发电子有限公司</t>
        </is>
      </c>
    </row>
    <row r="291" ht="13.5" customHeight="1" s="144">
      <c r="A291" s="168">
        <f>IF(C291&lt;&gt;"",ROW()-2,"")</f>
        <v/>
      </c>
      <c r="B291" s="190" t="inlineStr">
        <is>
          <t>结构件</t>
        </is>
      </c>
      <c r="C291" s="191" t="inlineStr">
        <is>
          <t>N60703001632</t>
        </is>
      </c>
      <c r="D291" s="169" t="inlineStr">
        <is>
          <t>标签 BQ5525Y001-NJTJ (警告标识)(B21101QZ)(背胶)(RoHS)</t>
        </is>
      </c>
      <c r="E291" s="192" t="n">
        <v>1</v>
      </c>
      <c r="F291" s="193" t="n">
        <v>0.053</v>
      </c>
      <c r="G291" s="194" t="n"/>
      <c r="H291" s="195">
        <f>IF(I291="是",0,IF(OR(E291="",F291=""),0,E291*F291*(1+IF(G291="",0,G291))))</f>
        <v/>
      </c>
      <c r="I291" s="190" t="inlineStr">
        <is>
          <t>否</t>
        </is>
      </c>
      <c r="J291" s="169" t="inlineStr">
        <is>
          <t>厦门亿华辉工贸有限公司</t>
        </is>
      </c>
    </row>
    <row r="292" ht="13.5" customHeight="1" s="144">
      <c r="A292" s="196">
        <f>IF(C292&lt;&gt;"",ROW()-2,"")</f>
        <v/>
      </c>
      <c r="B292" s="197" t="inlineStr">
        <is>
          <t>结构件</t>
        </is>
      </c>
      <c r="C292" s="198" t="inlineStr">
        <is>
          <t>N60703001633</t>
        </is>
      </c>
      <c r="D292" s="199" t="inlineStr">
        <is>
          <t>标签 BQ297210W001-NJTJ (参数查询标识)(B2110213)(背胶)(RoHS)</t>
        </is>
      </c>
      <c r="E292" s="200" t="n">
        <v>1</v>
      </c>
      <c r="F292" s="201" t="n">
        <v>1.389</v>
      </c>
      <c r="G292" s="202" t="n"/>
      <c r="H292" s="203">
        <f>IF(I292="是",0,IF(OR(E292="",F292=""),0,E292*F292*(1+IF(G292="",0,G292))))</f>
        <v/>
      </c>
      <c r="I292" s="197" t="inlineStr">
        <is>
          <t>否</t>
        </is>
      </c>
      <c r="J292" s="199" t="inlineStr">
        <is>
          <t>厦门亿华辉工贸有限公司</t>
        </is>
      </c>
    </row>
    <row r="293" ht="13.5" customHeight="1" s="144">
      <c r="A293" s="168">
        <f>IF(C293&lt;&gt;"",ROW()-2,"")</f>
        <v/>
      </c>
      <c r="B293" s="190" t="inlineStr">
        <is>
          <t>结构件</t>
        </is>
      </c>
      <c r="C293" s="191" t="inlineStr">
        <is>
          <t>N70901000291</t>
        </is>
      </c>
      <c r="D293" s="169" t="inlineStr">
        <is>
          <t>螺丝组件 4X8PM 304不锈钢(带平垫、弹垫)(72h盐雾)(新沪厦)(RoHS)</t>
        </is>
      </c>
      <c r="E293" s="192" t="n">
        <v>4</v>
      </c>
      <c r="F293" s="193" t="n">
        <v>0.118</v>
      </c>
      <c r="G293" s="194" t="n"/>
      <c r="H293" s="195">
        <f>IF(I293="是",0,IF(OR(E293="",F293=""),0,E293*F293*(1+IF(G293="",0,G293))))</f>
        <v/>
      </c>
      <c r="I293" s="190" t="inlineStr">
        <is>
          <t>否</t>
        </is>
      </c>
      <c r="J293" s="169" t="inlineStr">
        <is>
          <t>厦门新沪厦五金工贸有限公司</t>
        </is>
      </c>
    </row>
    <row r="294" ht="13.5" customHeight="1" s="144">
      <c r="A294" s="196">
        <f>IF(C294&lt;&gt;"",ROW()-2,"")</f>
        <v/>
      </c>
      <c r="B294" s="197" t="inlineStr">
        <is>
          <t>结构件</t>
        </is>
      </c>
      <c r="C294" s="198" t="inlineStr">
        <is>
          <t>N70901000396</t>
        </is>
      </c>
      <c r="D294" s="199" t="inlineStr">
        <is>
          <t>螺丝组件 4X12PM 304不锈钢(带平垫、弹垫)(72h盐雾)(新沪厦/磊峰)(RoHS)</t>
        </is>
      </c>
      <c r="E294" s="200" t="n">
        <v>14</v>
      </c>
      <c r="F294" s="201" t="n">
        <v>0.13</v>
      </c>
      <c r="G294" s="202" t="n"/>
      <c r="H294" s="203">
        <f>IF(I294="是",0,IF(OR(E294="",F294=""),0,E294*F294*(1+IF(G294="",0,G294))))</f>
        <v/>
      </c>
      <c r="I294" s="197" t="inlineStr">
        <is>
          <t>否</t>
        </is>
      </c>
      <c r="J294" s="199" t="inlineStr">
        <is>
          <t>厦门磊峰五金弹簧有限公司</t>
        </is>
      </c>
    </row>
    <row r="295" ht="13.5" customHeight="1" s="144">
      <c r="A295" s="168">
        <f>IF(C295&lt;&gt;"",ROW()-2,"")</f>
        <v/>
      </c>
      <c r="B295" s="190" t="inlineStr">
        <is>
          <t>结构件</t>
        </is>
      </c>
      <c r="C295" s="191" t="inlineStr">
        <is>
          <t>N70901000683</t>
        </is>
      </c>
      <c r="D295" s="169" t="inlineStr">
        <is>
          <t>螺丝 4X25PA SUS304(72h盐雾)(新沪厦)(RoHS)</t>
        </is>
      </c>
      <c r="E295" s="192" t="n">
        <v>4</v>
      </c>
      <c r="F295" s="193" t="n">
        <v>0.08500000000000001</v>
      </c>
      <c r="G295" s="194" t="n"/>
      <c r="H295" s="195">
        <f>IF(I295="是",0,IF(OR(E295="",F295=""),0,E295*F295*(1+IF(G295="",0,G295))))</f>
        <v/>
      </c>
      <c r="I295" s="190" t="inlineStr">
        <is>
          <t>否</t>
        </is>
      </c>
      <c r="J295" s="169" t="inlineStr">
        <is>
          <t>厦门新沪厦五金工贸有限公司</t>
        </is>
      </c>
    </row>
    <row r="296" ht="13.5" customHeight="1" s="144">
      <c r="A296" s="196">
        <f>IF(C296&lt;&gt;"",ROW()-2,"")</f>
        <v/>
      </c>
      <c r="B296" s="197" t="inlineStr">
        <is>
          <t>结构件</t>
        </is>
      </c>
      <c r="C296" s="198" t="inlineStr">
        <is>
          <t>N70901000686</t>
        </is>
      </c>
      <c r="D296" s="199" t="inlineStr">
        <is>
          <t>螺丝 4X30PM SUS304(72h盐雾)(新沪厦)(RoHS)</t>
        </is>
      </c>
      <c r="E296" s="200" t="n">
        <v>3</v>
      </c>
      <c r="F296" s="201" t="n">
        <v>0.14</v>
      </c>
      <c r="G296" s="202" t="n"/>
      <c r="H296" s="203">
        <f>IF(I296="是",0,IF(OR(E296="",F296=""),0,E296*F296*(1+IF(G296="",0,G296))))</f>
        <v/>
      </c>
      <c r="I296" s="197" t="inlineStr">
        <is>
          <t>否</t>
        </is>
      </c>
      <c r="J296" s="199" t="inlineStr">
        <is>
          <t>厦门新沪厦五金工贸有限公司</t>
        </is>
      </c>
    </row>
    <row r="297" ht="13.5" customHeight="1" s="144">
      <c r="A297" s="168">
        <f>IF(C297&lt;&gt;"",ROW()-2,"")</f>
        <v/>
      </c>
      <c r="B297" s="190" t="inlineStr">
        <is>
          <t>结构件</t>
        </is>
      </c>
      <c r="C297" s="191" t="inlineStr">
        <is>
          <t>N70901000687</t>
        </is>
      </c>
      <c r="D297" s="169" t="inlineStr">
        <is>
          <t>螺丝组件 PM5X10-D10 H65黄铜(4.8,100HV)(黄铜平垫)(新沪厦)(RoHS)</t>
        </is>
      </c>
      <c r="E297" s="192" t="n">
        <v>3</v>
      </c>
      <c r="F297" s="193" t="n">
        <v>1.2</v>
      </c>
      <c r="G297" s="194" t="n"/>
      <c r="H297" s="195">
        <f>IF(I297="是",0,IF(OR(E297="",F297=""),0,E297*F297*(1+IF(G297="",0,G297))))</f>
        <v/>
      </c>
      <c r="I297" s="190" t="inlineStr">
        <is>
          <t>否</t>
        </is>
      </c>
      <c r="J297" s="169" t="inlineStr">
        <is>
          <t>厦门新沪厦五金工贸有限公司</t>
        </is>
      </c>
    </row>
    <row r="298" ht="13.5" customHeight="1" s="144">
      <c r="A298" s="196">
        <f>IF(C298&lt;&gt;"",ROW()-2,"")</f>
        <v/>
      </c>
      <c r="B298" s="197" t="inlineStr">
        <is>
          <t>结构件</t>
        </is>
      </c>
      <c r="C298" s="198" t="inlineStr">
        <is>
          <t>N70917000057</t>
        </is>
      </c>
      <c r="D298" s="199" t="inlineStr">
        <is>
          <t>金属架 NJTJ (20P)(电控驱动安装板组件)(P7B2D6300008)(广汇田)(RoHS)</t>
        </is>
      </c>
      <c r="E298" s="200" t="n">
        <v>1</v>
      </c>
      <c r="F298" s="201" t="n">
        <v>60</v>
      </c>
      <c r="G298" s="202" t="n"/>
      <c r="H298" s="203">
        <f>IF(I298="是",0,IF(OR(E298="",F298=""),0,E298*F298*(1+IF(G298="",0,G298))))</f>
        <v/>
      </c>
      <c r="I298" s="197" t="inlineStr">
        <is>
          <t>否</t>
        </is>
      </c>
      <c r="J298" s="199" t="inlineStr">
        <is>
          <t>厦门旺永机械有限公司</t>
        </is>
      </c>
    </row>
    <row r="299" ht="13.5" customHeight="1" s="144">
      <c r="A299" s="168">
        <f>IF(C299&lt;&gt;"",ROW()-2,"")</f>
        <v/>
      </c>
      <c r="B299" s="190" t="inlineStr">
        <is>
          <t>结构件</t>
        </is>
      </c>
      <c r="C299" s="191" t="inlineStr">
        <is>
          <t>N70917000058</t>
        </is>
      </c>
      <c r="D299" s="169" t="inlineStr">
        <is>
          <t>金属架 NJTJ (20P)(电控主控安装板组件)(P7B2D6300010)(广汇田)(RoHS)</t>
        </is>
      </c>
      <c r="E299" s="192" t="n">
        <v>1</v>
      </c>
      <c r="F299" s="193" t="n">
        <v>33</v>
      </c>
      <c r="G299" s="194" t="n"/>
      <c r="H299" s="195">
        <f>IF(I299="是",0,IF(OR(E299="",F299=""),0,E299*F299*(1+IF(G299="",0,G299))))</f>
        <v/>
      </c>
      <c r="I299" s="190" t="inlineStr">
        <is>
          <t>否</t>
        </is>
      </c>
      <c r="J299" s="169" t="inlineStr">
        <is>
          <t>厦门旺永机械有限公司</t>
        </is>
      </c>
    </row>
    <row r="300" ht="13.5" customHeight="1" s="144">
      <c r="A300" s="196">
        <f>IF(C300&lt;&gt;"",ROW()-2,"")</f>
        <v/>
      </c>
      <c r="B300" s="197" t="inlineStr">
        <is>
          <t>结构件</t>
        </is>
      </c>
      <c r="C300" s="198" t="inlineStr">
        <is>
          <t>N70917000070</t>
        </is>
      </c>
      <c r="D300" s="199" t="inlineStr">
        <is>
          <t>金属架 NJTJ (散热器固定架)(RoHS)</t>
        </is>
      </c>
      <c r="E300" s="200" t="n">
        <v>1</v>
      </c>
      <c r="F300" s="201" t="n">
        <v>1.9</v>
      </c>
      <c r="G300" s="202" t="n"/>
      <c r="H300" s="203">
        <f>IF(I300="是",0,IF(OR(E300="",F300=""),0,E300*F300*(1+IF(G300="",0,G300))))</f>
        <v/>
      </c>
      <c r="I300" s="197" t="inlineStr">
        <is>
          <t>否</t>
        </is>
      </c>
      <c r="J300" s="199" t="inlineStr">
        <is>
          <t>厦门旺永机械有限公司</t>
        </is>
      </c>
    </row>
    <row r="301" ht="13.5" customHeight="1" s="144">
      <c r="A301" s="168">
        <f>IF(C301&lt;&gt;"",ROW()-2,"")</f>
        <v/>
      </c>
      <c r="B301" s="190" t="inlineStr">
        <is>
          <t>结构件</t>
        </is>
      </c>
      <c r="C301" s="191" t="inlineStr">
        <is>
          <t>N71010002861</t>
        </is>
      </c>
      <c r="D301" s="169" t="inlineStr">
        <is>
          <t>塑胶壳 N302D5200001-NJTJ (主控制板底托)(天加专用)(依友)(RoHS)</t>
        </is>
      </c>
      <c r="E301" s="192" t="n">
        <v>1</v>
      </c>
      <c r="F301" s="193" t="n">
        <v>7.9204</v>
      </c>
      <c r="G301" s="194" t="n"/>
      <c r="H301" s="195">
        <f>IF(I301="是",0,IF(OR(E301="",F301=""),0,E301*F301*(1+IF(G301="",0,G301))))</f>
        <v/>
      </c>
      <c r="I301" s="190" t="inlineStr">
        <is>
          <t>否</t>
        </is>
      </c>
      <c r="J301" s="169" t="inlineStr">
        <is>
          <t>南京依友空调配件有限公司</t>
        </is>
      </c>
    </row>
    <row r="302" ht="13.5" customHeight="1" s="144">
      <c r="A302" s="196">
        <f>IF(C302&lt;&gt;"",ROW()-2,"")</f>
        <v/>
      </c>
      <c r="B302" s="197" t="inlineStr">
        <is>
          <t>结构件</t>
        </is>
      </c>
      <c r="C302" s="198" t="inlineStr">
        <is>
          <t>N71010002954</t>
        </is>
      </c>
      <c r="D302" s="199" t="inlineStr">
        <is>
          <t>塑胶壳 P70046200009-NJTJ (下压线扣)(天加专用)(依友)(RoHS)</t>
        </is>
      </c>
      <c r="E302" s="200" t="n">
        <v>1</v>
      </c>
      <c r="F302" s="201" t="n">
        <v>4.1327</v>
      </c>
      <c r="G302" s="202" t="n"/>
      <c r="H302" s="203">
        <f>IF(I302="是",0,IF(OR(E302="",F302=""),0,E302*F302*(1+IF(G302="",0,G302))))</f>
        <v/>
      </c>
      <c r="I302" s="197" t="inlineStr">
        <is>
          <t>否</t>
        </is>
      </c>
      <c r="J302" s="199" t="inlineStr">
        <is>
          <t>南京依友空调配件有限公司</t>
        </is>
      </c>
    </row>
    <row r="303" ht="13.5" customHeight="1" s="144">
      <c r="A303" s="168">
        <f>IF(C303&lt;&gt;"",ROW()-2,"")</f>
        <v/>
      </c>
      <c r="B303" s="190" t="inlineStr">
        <is>
          <t>结构件</t>
        </is>
      </c>
      <c r="C303" s="191" t="inlineStr">
        <is>
          <t>N71010002955</t>
        </is>
      </c>
      <c r="D303" s="169" t="inlineStr">
        <is>
          <t>塑胶壳 P70046200010-NJTJ (上压线扣)(天加专用)(依友)(RoHS)</t>
        </is>
      </c>
      <c r="E303" s="192" t="n">
        <v>1</v>
      </c>
      <c r="F303" s="193" t="n">
        <v>4.1327</v>
      </c>
      <c r="G303" s="194" t="n"/>
      <c r="H303" s="195">
        <f>IF(I303="是",0,IF(OR(E303="",F303=""),0,E303*F303*(1+IF(G303="",0,G303))))</f>
        <v/>
      </c>
      <c r="I303" s="190" t="inlineStr">
        <is>
          <t>否</t>
        </is>
      </c>
      <c r="J303" s="169" t="inlineStr">
        <is>
          <t>南京依友空调配件有限公司</t>
        </is>
      </c>
    </row>
    <row r="304" ht="13.5" customHeight="1" s="144">
      <c r="A304" s="196">
        <f>IF(C304&lt;&gt;"",ROW()-2,"")</f>
        <v/>
      </c>
      <c r="B304" s="197" t="inlineStr">
        <is>
          <t>结构件</t>
        </is>
      </c>
      <c r="C304" s="198" t="inlineStr">
        <is>
          <t>N71012000335</t>
        </is>
      </c>
      <c r="D304" s="199" t="inlineStr">
        <is>
          <t>塑胶座 U型线卡 (P71468600001)(天加专用)(RoHS)</t>
        </is>
      </c>
      <c r="E304" s="200" t="n">
        <v>3</v>
      </c>
      <c r="F304" s="201" t="n">
        <v>0.6820000000000001</v>
      </c>
      <c r="G304" s="202" t="n"/>
      <c r="H304" s="203">
        <f>IF(I304="是",0,IF(OR(E304="",F304=""),0,E304*F304*(1+IF(G304="",0,G304))))</f>
        <v/>
      </c>
      <c r="I304" s="197" t="inlineStr">
        <is>
          <t>否</t>
        </is>
      </c>
      <c r="J304" s="199" t="inlineStr">
        <is>
          <t>厦门罗克科技有限公司</t>
        </is>
      </c>
    </row>
    <row r="305" ht="13.5" customHeight="1" s="144">
      <c r="A305" s="168">
        <f>IF(C305&lt;&gt;"",ROW()-2,"")</f>
        <v/>
      </c>
      <c r="B305" s="190" t="inlineStr">
        <is>
          <t>结构件</t>
        </is>
      </c>
      <c r="C305" s="191" t="inlineStr">
        <is>
          <t>N71014000079</t>
        </is>
      </c>
      <c r="D305" s="169" t="inlineStr">
        <is>
          <t>塑胶线夹 5X150 (插销自锁式)(孔径5)(广汇田)(RoHS)</t>
        </is>
      </c>
      <c r="E305" s="192" t="n">
        <v>2</v>
      </c>
      <c r="F305" s="193" t="n">
        <v>0.25</v>
      </c>
      <c r="G305" s="194" t="n"/>
      <c r="H305" s="195">
        <f>IF(I305="是",0,IF(OR(E305="",F305=""),0,E305*F305*(1+IF(G305="",0,G305))))</f>
        <v/>
      </c>
      <c r="I305" s="190" t="inlineStr">
        <is>
          <t>否</t>
        </is>
      </c>
      <c r="J305" s="169" t="inlineStr">
        <is>
          <t>厦门广汇田电子设备有限公司</t>
        </is>
      </c>
    </row>
    <row r="306" ht="13.5" customHeight="1" s="144">
      <c r="A306" s="196">
        <f>IF(C306&lt;&gt;"",ROW()-2,"")</f>
        <v/>
      </c>
      <c r="B306" s="197" t="inlineStr">
        <is>
          <t>结构件</t>
        </is>
      </c>
      <c r="C306" s="198" t="inlineStr">
        <is>
          <t>N71014000080</t>
        </is>
      </c>
      <c r="D306" s="199" t="inlineStr">
        <is>
          <t>塑胶线夹 CHA-5 白色(插销式线夹)(罗克)(RoHS)</t>
        </is>
      </c>
      <c r="E306" s="200" t="n">
        <v>1</v>
      </c>
      <c r="F306" s="201" t="n">
        <v>0.12</v>
      </c>
      <c r="G306" s="202" t="n"/>
      <c r="H306" s="203">
        <f>IF(I306="是",0,IF(OR(E306="",F306=""),0,E306*F306*(1+IF(G306="",0,G306))))</f>
        <v/>
      </c>
      <c r="I306" s="197" t="inlineStr">
        <is>
          <t>否</t>
        </is>
      </c>
      <c r="J306" s="199" t="inlineStr">
        <is>
          <t>厦门罗克科技有限公司</t>
        </is>
      </c>
    </row>
    <row r="307" ht="13.5" customHeight="1" s="144">
      <c r="A307" s="168">
        <f>IF(C307&lt;&gt;"",ROW()-2,"")</f>
        <v/>
      </c>
      <c r="B307" s="190" t="inlineStr">
        <is>
          <t>散热器</t>
        </is>
      </c>
      <c r="C307" s="191" t="inlineStr">
        <is>
          <t>HS-DRV26P</t>
        </is>
      </c>
      <c r="D307" s="169" t="inlineStr">
        <is>
          <t>散热器（商空大功率驱动板，单独采购，未税）</t>
        </is>
      </c>
      <c r="E307" s="192" t="n">
        <v>1</v>
      </c>
      <c r="F307" s="206">
        <f>参数!$B$49</f>
        <v/>
      </c>
      <c r="G307" s="194" t="n"/>
      <c r="H307" s="195">
        <f>IF(I307="是",0,IF(OR(E307="",F307=""),0,E307*F307*(1+IF(G307="",0,G307))))</f>
        <v/>
      </c>
      <c r="I307" s="190" t="inlineStr">
        <is>
          <t>否</t>
        </is>
      </c>
      <c r="J307" s="169" t="inlineStr">
        <is>
          <t>源表未含，按68元未税单列</t>
        </is>
      </c>
    </row>
    <row r="308" ht="13.5" customHeight="1" s="144">
      <c r="A308" s="196">
        <f>IF(C308&lt;&gt;"",ROW()-2,"")</f>
        <v/>
      </c>
      <c r="B308" s="197" t="inlineStr">
        <is>
          <t>包装材料</t>
        </is>
      </c>
      <c r="C308" s="198" t="inlineStr">
        <is>
          <t>4013430R</t>
        </is>
      </c>
      <c r="D308" s="199" t="inlineStr">
        <is>
          <t>塑胶线夹 3.6X300 (尼龙扣)(正顺达)(RoHS)</t>
        </is>
      </c>
      <c r="E308" s="200" t="n">
        <v>2</v>
      </c>
      <c r="F308" s="201" t="n">
        <v>0.099</v>
      </c>
      <c r="G308" s="202" t="n"/>
      <c r="H308" s="203">
        <f>IF(I308="是",0,IF(OR(E308="",F308=""),0,E308*F308*(1+IF(G308="",0,G308))))</f>
        <v/>
      </c>
      <c r="I308" s="197" t="inlineStr">
        <is>
          <t>否</t>
        </is>
      </c>
      <c r="J308" s="199" t="inlineStr">
        <is>
          <t>厦门正顺达电子有限公司</t>
        </is>
      </c>
    </row>
    <row r="309" ht="13.5" customHeight="1" s="144">
      <c r="A309" s="168">
        <f>IF(C309&lt;&gt;"",ROW()-2,"")</f>
        <v/>
      </c>
      <c r="B309" s="190" t="inlineStr">
        <is>
          <t>包装材料</t>
        </is>
      </c>
      <c r="C309" s="191" t="inlineStr">
        <is>
          <t>N40501000405</t>
        </is>
      </c>
      <c r="D309" s="169" t="inlineStr">
        <is>
          <t>纸箱 665X393X405 (RoHS)</t>
        </is>
      </c>
      <c r="E309" s="192" t="n">
        <v>1</v>
      </c>
      <c r="F309" s="193" t="n">
        <v>10.98</v>
      </c>
      <c r="G309" s="194" t="n"/>
      <c r="H309" s="195">
        <f>IF(I309="是",0,IF(OR(E309="",F309=""),0,E309*F309*(1+IF(G309="",0,G309))))</f>
        <v/>
      </c>
      <c r="I309" s="190" t="inlineStr">
        <is>
          <t>否</t>
        </is>
      </c>
      <c r="J309" s="169" t="inlineStr">
        <is>
          <t>厦门比瑞特包装科技有限公司</t>
        </is>
      </c>
    </row>
    <row r="310" ht="13.5" customHeight="1" s="144">
      <c r="A310" s="196">
        <f>IF(C310&lt;&gt;"",ROW()-2,"")</f>
        <v/>
      </c>
      <c r="B310" s="197" t="inlineStr">
        <is>
          <t>包装材料</t>
        </is>
      </c>
      <c r="C310" s="198" t="inlineStr">
        <is>
          <t>N40505000136</t>
        </is>
      </c>
      <c r="D310" s="199" t="inlineStr">
        <is>
          <t>塑料袋 355X245 (凹凸)(RoHS)</t>
        </is>
      </c>
      <c r="E310" s="200" t="n">
        <v>1</v>
      </c>
      <c r="F310" s="201" t="n">
        <v>0.25</v>
      </c>
      <c r="G310" s="202" t="n"/>
      <c r="H310" s="203">
        <f>IF(I310="是",0,IF(OR(E310="",F310=""),0,E310*F310*(1+IF(G310="",0,G310))))</f>
        <v/>
      </c>
      <c r="I310" s="197" t="inlineStr">
        <is>
          <t>否</t>
        </is>
      </c>
      <c r="J310" s="199" t="inlineStr">
        <is>
          <t>厦门比瑞特包装科技有限公司</t>
        </is>
      </c>
    </row>
    <row r="311" ht="13.5" customHeight="1" s="144">
      <c r="A311" s="168">
        <f>IF(C311&lt;&gt;"",ROW()-2,"")</f>
        <v/>
      </c>
      <c r="B311" s="190" t="inlineStr">
        <is>
          <t>包装材料</t>
        </is>
      </c>
      <c r="C311" s="191" t="inlineStr">
        <is>
          <t>N40505000140</t>
        </is>
      </c>
      <c r="D311" s="169" t="inlineStr">
        <is>
          <t>塑料袋 372X322X700 (防静电,厚度0.1mm)(RoHS)</t>
        </is>
      </c>
      <c r="E311" s="192" t="n">
        <v>1</v>
      </c>
      <c r="F311" s="193" t="n">
        <v>3.39</v>
      </c>
      <c r="G311" s="194" t="n"/>
      <c r="H311" s="195">
        <f>IF(I311="是",0,IF(OR(E311="",F311=""),0,E311*F311*(1+IF(G311="",0,G311))))</f>
        <v/>
      </c>
      <c r="I311" s="190" t="inlineStr">
        <is>
          <t>否</t>
        </is>
      </c>
      <c r="J311" s="169" t="inlineStr">
        <is>
          <t>厦门比瑞特包装科技有限公司</t>
        </is>
      </c>
    </row>
    <row r="312" ht="13.5" customHeight="1" s="144">
      <c r="A312" s="196">
        <f>IF(C312&lt;&gt;"",ROW()-2,"")</f>
        <v/>
      </c>
      <c r="B312" s="197" t="inlineStr">
        <is>
          <t>包装材料</t>
        </is>
      </c>
      <c r="C312" s="198" t="inlineStr">
        <is>
          <t>N40511000095</t>
        </is>
      </c>
      <c r="D312" s="199" t="inlineStr">
        <is>
          <t>泡沫 660×399×115 (EPS料,右侧，DRV-20P,26P包装用)(RoHS)</t>
        </is>
      </c>
      <c r="E312" s="200" t="n">
        <v>1</v>
      </c>
      <c r="F312" s="201" t="n">
        <v>22.1</v>
      </c>
      <c r="G312" s="202" t="n"/>
      <c r="H312" s="203">
        <f>IF(I312="是",0,IF(OR(E312="",F312=""),0,E312*F312*(1+IF(G312="",0,G312))))</f>
        <v/>
      </c>
      <c r="I312" s="197" t="inlineStr">
        <is>
          <t>否</t>
        </is>
      </c>
      <c r="J312" s="199" t="inlineStr">
        <is>
          <t>厦门鹏源鑫工贸有限公司；含EPS泡沫模具(见一次性费用)</t>
        </is>
      </c>
    </row>
    <row r="313" ht="13.5" customHeight="1" s="144">
      <c r="A313" s="168">
        <f>IF(C313&lt;&gt;"",ROW()-2,"")</f>
        <v/>
      </c>
      <c r="B313" s="190" t="inlineStr">
        <is>
          <t>包装材料</t>
        </is>
      </c>
      <c r="C313" s="191" t="inlineStr">
        <is>
          <t>N40511000096</t>
        </is>
      </c>
      <c r="D313" s="169" t="inlineStr">
        <is>
          <t>泡沫 660×399×146 (EPS料,左侧，DRV-20P,26P包装用)(RoHS)</t>
        </is>
      </c>
      <c r="E313" s="192" t="n">
        <v>1</v>
      </c>
      <c r="F313" s="193" t="n">
        <v>24.7</v>
      </c>
      <c r="G313" s="194" t="n"/>
      <c r="H313" s="195">
        <f>IF(I313="是",0,IF(OR(E313="",F313=""),0,E313*F313*(1+IF(G313="",0,G313))))</f>
        <v/>
      </c>
      <c r="I313" s="190" t="inlineStr">
        <is>
          <t>否</t>
        </is>
      </c>
      <c r="J313" s="169" t="inlineStr">
        <is>
          <t>厦门鹏源鑫工贸有限公司；含EPS泡沫模具(见一次性费用)</t>
        </is>
      </c>
    </row>
    <row r="314" ht="13.5" customHeight="1" s="144">
      <c r="A314" s="196">
        <f>IF(C314&lt;&gt;"",ROW()-2,"")</f>
        <v/>
      </c>
      <c r="B314" s="197" t="inlineStr">
        <is>
          <t>包装材料</t>
        </is>
      </c>
      <c r="C314" s="198" t="inlineStr">
        <is>
          <t>N40512000282</t>
        </is>
      </c>
      <c r="D314" s="199" t="inlineStr">
        <is>
          <t>泡沫棉 40X20X199 (右侧EVA棉块2)(高密度)(防静电)(RoHS)</t>
        </is>
      </c>
      <c r="E314" s="200" t="n">
        <v>2</v>
      </c>
      <c r="F314" s="201" t="n">
        <v>1.0619</v>
      </c>
      <c r="G314" s="202" t="n"/>
      <c r="H314" s="203">
        <f>IF(I314="是",0,IF(OR(E314="",F314=""),0,E314*F314*(1+IF(G314="",0,G314))))</f>
        <v/>
      </c>
      <c r="I314" s="197" t="inlineStr">
        <is>
          <t>否</t>
        </is>
      </c>
      <c r="J314" s="199" t="inlineStr">
        <is>
          <t>厦门市达唯工贸有限公司</t>
        </is>
      </c>
    </row>
    <row r="315" ht="13.5" customHeight="1" s="144">
      <c r="A315" s="168">
        <f>IF(C315&lt;&gt;"",ROW()-2,"")</f>
        <v/>
      </c>
      <c r="B315" s="190" t="inlineStr">
        <is>
          <t>包装材料</t>
        </is>
      </c>
      <c r="C315" s="191" t="inlineStr">
        <is>
          <t>N60703001395</t>
        </is>
      </c>
      <c r="D315" s="169" t="inlineStr">
        <is>
          <t>标签 BQ12080W001-HL (格式标签)(1寸卷芯,外径83mm)(RoHS)</t>
        </is>
      </c>
      <c r="E315" s="192" t="n">
        <v>1</v>
      </c>
      <c r="F315" s="193" t="n">
        <v>0.0347</v>
      </c>
      <c r="G315" s="194" t="n"/>
      <c r="H315" s="195">
        <f>IF(I315="是",0,IF(OR(E315="",F315=""),0,E315*F315*(1+IF(G315="",0,G315))))</f>
        <v/>
      </c>
      <c r="I315" s="190" t="inlineStr">
        <is>
          <t>否</t>
        </is>
      </c>
      <c r="J315" s="169" t="inlineStr">
        <is>
          <t>厦门亿华辉工贸有限公司（ZZ）</t>
        </is>
      </c>
    </row>
    <row r="316" ht="13.5" customHeight="1" s="144">
      <c r="A316" s="196">
        <f>IF(C316&lt;&gt;"",ROW()-2,"")</f>
        <v/>
      </c>
      <c r="B316" s="197" t="inlineStr">
        <is>
          <t>辅助材料</t>
        </is>
      </c>
      <c r="C316" s="198" t="inlineStr">
        <is>
          <t>N40716000018</t>
        </is>
      </c>
      <c r="D316" s="199" t="inlineStr">
        <is>
          <t>锡丝 BSD620-W Sn0.3Ag0.7Cu(φ3.0)(博士达)(RoHS)</t>
        </is>
      </c>
      <c r="E316" s="200" t="n">
        <v>0.001723778</v>
      </c>
      <c r="F316" s="201" t="n">
        <v>309.2832</v>
      </c>
      <c r="G316" s="202" t="n"/>
      <c r="H316" s="203">
        <f>IF(I316="是",0,IF(OR(E316="",F316=""),0,E316*F316*(1+IF(G316="",0,G316))))</f>
        <v/>
      </c>
      <c r="I316" s="197" t="inlineStr">
        <is>
          <t>否</t>
        </is>
      </c>
      <c r="J316" s="204" t="inlineStr">
        <is>
          <t>KG</t>
        </is>
      </c>
    </row>
    <row r="317" ht="13.5" customHeight="1" s="144">
      <c r="A317" s="168">
        <f>IF(C317&lt;&gt;"",ROW()-2,"")</f>
        <v/>
      </c>
      <c r="B317" s="190" t="inlineStr">
        <is>
          <t>辅助材料</t>
        </is>
      </c>
      <c r="C317" s="191" t="inlineStr">
        <is>
          <t>N40716000015</t>
        </is>
      </c>
      <c r="D317" s="169" t="inlineStr">
        <is>
          <t>锡丝 YTW101 Sn0.7Cu,Flux2.4％(φ0.8)(亚通)(RoHS)</t>
        </is>
      </c>
      <c r="E317" s="192" t="n">
        <v>0.099898221</v>
      </c>
      <c r="F317" s="193" t="n">
        <v>265.4779</v>
      </c>
      <c r="G317" s="194" t="n"/>
      <c r="H317" s="195">
        <f>IF(I317="是",0,IF(OR(E317="",F317=""),0,E317*F317*(1+IF(G317="",0,G317))))</f>
        <v/>
      </c>
      <c r="I317" s="190" t="inlineStr">
        <is>
          <t>否</t>
        </is>
      </c>
      <c r="J317" s="205" t="inlineStr">
        <is>
          <t>KG 按V3.0计算用量</t>
        </is>
      </c>
    </row>
    <row r="318" ht="13.5" customHeight="1" s="144">
      <c r="A318" s="196">
        <f>IF(C318&lt;&gt;"",ROW()-2,"")</f>
        <v/>
      </c>
      <c r="B318" s="197" t="inlineStr">
        <is>
          <t>辅助材料</t>
        </is>
      </c>
      <c r="C318" s="198" t="inlineStr">
        <is>
          <t>458F007</t>
        </is>
      </c>
      <c r="D318" s="199" t="inlineStr">
        <is>
          <t>助焊剂 TF-328 (深圳同方)(RoHS)</t>
        </is>
      </c>
      <c r="E318" s="200" t="n">
        <v>0.005</v>
      </c>
      <c r="F318" s="201" t="n">
        <v>15.8828</v>
      </c>
      <c r="G318" s="202" t="n"/>
      <c r="H318" s="203">
        <f>IF(I318="是",0,IF(OR(E318="",F318=""),0,E318*F318*(1+IF(G318="",0,G318))))</f>
        <v/>
      </c>
      <c r="I318" s="197" t="inlineStr">
        <is>
          <t>否</t>
        </is>
      </c>
      <c r="J318" s="204" t="inlineStr">
        <is>
          <t>L</t>
        </is>
      </c>
    </row>
    <row r="319" ht="13.5" customHeight="1" s="144">
      <c r="A319" s="168">
        <f>IF(C319&lt;&gt;"",ROW()-2,"")</f>
        <v/>
      </c>
      <c r="B319" s="190" t="inlineStr">
        <is>
          <t>辅助材料</t>
        </is>
      </c>
      <c r="C319" s="191" t="inlineStr">
        <is>
          <t>409012</t>
        </is>
      </c>
      <c r="D319" s="169" t="inlineStr">
        <is>
          <t>导热硅脂 HZ-KS101 (百合花)(RoHS)</t>
        </is>
      </c>
      <c r="E319" s="192" t="n">
        <v>0.0049</v>
      </c>
      <c r="F319" s="193" t="n">
        <v>6.1538</v>
      </c>
      <c r="G319" s="194" t="n"/>
      <c r="H319" s="195">
        <f>IF(I319="是",0,IF(OR(E319="",F319=""),0,E319*F319*(1+IF(G319="",0,G319))))</f>
        <v/>
      </c>
      <c r="I319" s="190" t="inlineStr">
        <is>
          <t>否</t>
        </is>
      </c>
      <c r="J319" s="205" t="inlineStr">
        <is>
          <t>BOT</t>
        </is>
      </c>
    </row>
    <row r="320" ht="13.5" customHeight="1" s="144">
      <c r="A320" s="196">
        <f>IF(C320&lt;&gt;"",ROW()-2,"")</f>
        <v/>
      </c>
      <c r="B320" s="197" t="inlineStr">
        <is>
          <t>辅助材料</t>
        </is>
      </c>
      <c r="C320" s="198" t="inlineStr">
        <is>
          <t>N40719000013</t>
        </is>
      </c>
      <c r="D320" s="199" t="inlineStr">
        <is>
          <t>锡膏 TF-2600(DN代码:9YC89C1) (Sn96.5Ag3.0Cu0.5)(RoHS)</t>
        </is>
      </c>
      <c r="E320" s="200" t="n">
        <v>0.000816375</v>
      </c>
      <c r="F320" s="201" t="n">
        <v>681.8053</v>
      </c>
      <c r="G320" s="202" t="n"/>
      <c r="H320" s="203">
        <f>IF(I320="是",0,IF(OR(E320="",F320=""),0,E320*F320*(1+IF(G320="",0,G320))))</f>
        <v/>
      </c>
      <c r="I320" s="197" t="inlineStr">
        <is>
          <t>否</t>
        </is>
      </c>
      <c r="J320" s="204" t="inlineStr">
        <is>
          <t>KG</t>
        </is>
      </c>
    </row>
    <row r="321" ht="13.5" customHeight="1" s="144">
      <c r="A321" s="168">
        <f>IF(C321&lt;&gt;"",ROW()-2,"")</f>
        <v/>
      </c>
      <c r="B321" s="190" t="inlineStr">
        <is>
          <t>辅助材料</t>
        </is>
      </c>
      <c r="C321" s="191" t="inlineStr">
        <is>
          <t>N40703000010</t>
        </is>
      </c>
      <c r="D321" s="169" t="inlineStr">
        <is>
          <t>硅胶 SB4568W (瞬利)(RoHS)</t>
        </is>
      </c>
      <c r="E321" s="192" t="n">
        <v>0.212</v>
      </c>
      <c r="F321" s="193" t="n">
        <v>0.1044</v>
      </c>
      <c r="G321" s="194" t="n"/>
      <c r="H321" s="195">
        <f>IF(I321="是",0,IF(OR(E321="",F321=""),0,E321*F321*(1+IF(G321="",0,G321))))</f>
        <v/>
      </c>
      <c r="I321" s="190" t="inlineStr">
        <is>
          <t>否</t>
        </is>
      </c>
      <c r="J321" s="205" t="inlineStr">
        <is>
          <t>G</t>
        </is>
      </c>
    </row>
    <row r="322" ht="13.5" customHeight="1" s="144">
      <c r="A322" s="196">
        <f>IF(C322&lt;&gt;"",ROW()-2,"")</f>
        <v/>
      </c>
      <c r="B322" s="197" t="inlineStr">
        <is>
          <t>辅助材料</t>
        </is>
      </c>
      <c r="C322" s="198" t="inlineStr">
        <is>
          <t>N40701000019</t>
        </is>
      </c>
      <c r="D322" s="199" t="inlineStr">
        <is>
          <t>绝缘漆 EA9187LH (道康宁)(RoHS)</t>
        </is>
      </c>
      <c r="E322" s="200" t="n">
        <v>9.742268041000001</v>
      </c>
      <c r="F322" s="201" t="n">
        <v>0.3</v>
      </c>
      <c r="G322" s="202" t="n"/>
      <c r="H322" s="203">
        <f>IF(I322="是",0,IF(OR(E322="",F322=""),0,E322*F322*(1+IF(G322="",0,G322))))</f>
        <v/>
      </c>
      <c r="I322" s="197" t="inlineStr">
        <is>
          <t>否</t>
        </is>
      </c>
      <c r="J322" s="204" t="inlineStr">
        <is>
          <t>G</t>
        </is>
      </c>
    </row>
    <row r="323" ht="13.5" customHeight="1" s="144">
      <c r="A323" s="168">
        <f>IF(C323&lt;&gt;"",ROW()-2,"")</f>
        <v/>
      </c>
      <c r="B323" s="190" t="inlineStr">
        <is>
          <t>辅助材料</t>
        </is>
      </c>
      <c r="C323" s="191" t="inlineStr">
        <is>
          <t>N40719000013</t>
        </is>
      </c>
      <c r="D323" s="169" t="inlineStr">
        <is>
          <t>锡膏 TF-2600(DN代码:9YC89C1) (Sn96.5Ag3.0Cu0.5)(RoHS)</t>
        </is>
      </c>
      <c r="E323" s="192" t="n">
        <v>0.00147525</v>
      </c>
      <c r="F323" s="193" t="n">
        <v>681.8053</v>
      </c>
      <c r="G323" s="194" t="n"/>
      <c r="H323" s="195">
        <f>IF(I323="是",0,IF(OR(E323="",F323=""),0,E323*F323*(1+IF(G323="",0,G323))))</f>
        <v/>
      </c>
      <c r="I323" s="190" t="inlineStr">
        <is>
          <t>否</t>
        </is>
      </c>
      <c r="J323" s="205" t="inlineStr">
        <is>
          <t>KG</t>
        </is>
      </c>
    </row>
    <row r="324" ht="13.5" customHeight="1" s="144">
      <c r="A324" s="196">
        <f>IF(C324&lt;&gt;"",ROW()-2,"")</f>
        <v/>
      </c>
      <c r="B324" s="197" t="inlineStr">
        <is>
          <t>辅助材料</t>
        </is>
      </c>
      <c r="C324" s="198" t="inlineStr">
        <is>
          <t>N40703000010</t>
        </is>
      </c>
      <c r="D324" s="199" t="inlineStr">
        <is>
          <t>硅胶 SB4568W (瞬利)(RoHS)</t>
        </is>
      </c>
      <c r="E324" s="200" t="n">
        <v>0.66</v>
      </c>
      <c r="F324" s="201" t="n">
        <v>0.1044</v>
      </c>
      <c r="G324" s="202" t="n"/>
      <c r="H324" s="203">
        <f>IF(I324="是",0,IF(OR(E324="",F324=""),0,E324*F324*(1+IF(G324="",0,G324))))</f>
        <v/>
      </c>
      <c r="I324" s="197" t="inlineStr">
        <is>
          <t>否</t>
        </is>
      </c>
      <c r="J324" s="204" t="inlineStr">
        <is>
          <t>G</t>
        </is>
      </c>
    </row>
    <row r="325" ht="13.5" customHeight="1" s="144">
      <c r="A325" s="168">
        <f>IF(C325&lt;&gt;"",ROW()-2,"")</f>
        <v/>
      </c>
      <c r="B325" s="190" t="inlineStr">
        <is>
          <t>辅助材料</t>
        </is>
      </c>
      <c r="C325" s="191" t="inlineStr">
        <is>
          <t>N40716000018</t>
        </is>
      </c>
      <c r="D325" s="169" t="inlineStr">
        <is>
          <t>锡丝 BSD620-W Sn0.3Ag0.7Cu(φ3.0)(博士达)(RoHS)</t>
        </is>
      </c>
      <c r="E325" s="192" t="n">
        <v>0.0048079826</v>
      </c>
      <c r="F325" s="193" t="n">
        <v>309.2832</v>
      </c>
      <c r="G325" s="194" t="n"/>
      <c r="H325" s="195">
        <f>IF(I325="是",0,IF(OR(E325="",F325=""),0,E325*F325*(1+IF(G325="",0,G325))))</f>
        <v/>
      </c>
      <c r="I325" s="190" t="inlineStr">
        <is>
          <t>否</t>
        </is>
      </c>
      <c r="J325" s="205" t="inlineStr">
        <is>
          <t>KG 已按V3.0更新用量</t>
        </is>
      </c>
    </row>
    <row r="326" ht="13.5" customHeight="1" s="144">
      <c r="A326" s="196">
        <f>IF(C326&lt;&gt;"",ROW()-2,"")</f>
        <v/>
      </c>
      <c r="B326" s="197" t="inlineStr">
        <is>
          <t>辅助材料</t>
        </is>
      </c>
      <c r="C326" s="198" t="inlineStr">
        <is>
          <t>458F007</t>
        </is>
      </c>
      <c r="D326" s="199" t="inlineStr">
        <is>
          <t>助焊剂 TF-328 (深圳同方)(RoHS)</t>
        </is>
      </c>
      <c r="E326" s="200" t="n">
        <v>0.0034571429</v>
      </c>
      <c r="F326" s="201" t="n">
        <v>15.8828</v>
      </c>
      <c r="G326" s="202" t="n"/>
      <c r="H326" s="203">
        <f>IF(I326="是",0,IF(OR(E326="",F326=""),0,E326*F326*(1+IF(G326="",0,G326))))</f>
        <v/>
      </c>
      <c r="I326" s="197" t="inlineStr">
        <is>
          <t>否</t>
        </is>
      </c>
      <c r="J326" s="204" t="inlineStr">
        <is>
          <t>L</t>
        </is>
      </c>
    </row>
    <row r="327" ht="13.5" customHeight="1" s="144">
      <c r="A327" s="168">
        <f>IF(C327&lt;&gt;"",ROW()-2,"")</f>
        <v/>
      </c>
      <c r="B327" s="190" t="inlineStr">
        <is>
          <t>辅助材料</t>
        </is>
      </c>
      <c r="C327" s="191" t="inlineStr">
        <is>
          <t>N40701000020</t>
        </is>
      </c>
      <c r="D327" s="169" t="inlineStr">
        <is>
          <t>绝缘漆 EA9187LUV (道康宁)(RoHS)</t>
        </is>
      </c>
      <c r="E327" s="192" t="n">
        <v>6.088917526</v>
      </c>
      <c r="F327" s="193" t="n">
        <v>0.545</v>
      </c>
      <c r="G327" s="194" t="n"/>
      <c r="H327" s="195">
        <f>IF(I327="是",0,IF(OR(E327="",F327=""),0,E327*F327*(1+IF(G327="",0,G327))))</f>
        <v/>
      </c>
      <c r="I327" s="190" t="inlineStr">
        <is>
          <t>否</t>
        </is>
      </c>
      <c r="J327" s="205" t="inlineStr">
        <is>
          <t>G</t>
        </is>
      </c>
    </row>
    <row r="328" ht="13.5" customHeight="1" s="144">
      <c r="A328" s="196">
        <f>IF(C328&lt;&gt;"",ROW()-2,"")</f>
        <v/>
      </c>
      <c r="B328" s="197" t="inlineStr">
        <is>
          <t>辅助材料</t>
        </is>
      </c>
      <c r="C328" s="198" t="inlineStr">
        <is>
          <t>N40703000010</t>
        </is>
      </c>
      <c r="D328" s="199" t="inlineStr">
        <is>
          <t>硅胶 SB4568W (瞬利)(RoHS)</t>
        </is>
      </c>
      <c r="E328" s="200" t="n">
        <v>0.09</v>
      </c>
      <c r="F328" s="201" t="n">
        <v>0.1044</v>
      </c>
      <c r="G328" s="202" t="n"/>
      <c r="H328" s="203">
        <f>IF(I328="是",0,IF(OR(E328="",F328=""),0,E328*F328*(1+IF(G328="",0,G328))))</f>
        <v/>
      </c>
      <c r="I328" s="197" t="inlineStr">
        <is>
          <t>否</t>
        </is>
      </c>
      <c r="J328" s="204" t="inlineStr">
        <is>
          <t>G</t>
        </is>
      </c>
    </row>
    <row r="329" ht="13.5" customHeight="1" s="144">
      <c r="A329" s="168">
        <f>IF(C329&lt;&gt;"",ROW()-2,"")</f>
        <v/>
      </c>
      <c r="B329" s="190" t="inlineStr">
        <is>
          <t>辅助材料</t>
        </is>
      </c>
      <c r="C329" s="191" t="inlineStr">
        <is>
          <t>458F007</t>
        </is>
      </c>
      <c r="D329" s="169" t="inlineStr">
        <is>
          <t>助焊剂 TF-328 (深圳同方)(RoHS)</t>
        </is>
      </c>
      <c r="E329" s="192" t="n">
        <v>0.0006656</v>
      </c>
      <c r="F329" s="193" t="n">
        <v>15.8828</v>
      </c>
      <c r="G329" s="194" t="n"/>
      <c r="H329" s="195">
        <f>IF(I329="是",0,IF(OR(E329="",F329=""),0,E329*F329*(1+IF(G329="",0,G329))))</f>
        <v/>
      </c>
      <c r="I329" s="190" t="inlineStr">
        <is>
          <t>否</t>
        </is>
      </c>
      <c r="J329" s="205" t="inlineStr">
        <is>
          <t>L</t>
        </is>
      </c>
    </row>
    <row r="330" ht="13.5" customHeight="1" s="144">
      <c r="A330" s="196">
        <f>IF(C330&lt;&gt;"",ROW()-2,"")</f>
        <v/>
      </c>
      <c r="B330" s="197" t="inlineStr">
        <is>
          <t>辅助材料</t>
        </is>
      </c>
      <c r="C330" s="198" t="inlineStr">
        <is>
          <t>N40701000019</t>
        </is>
      </c>
      <c r="D330" s="199" t="inlineStr">
        <is>
          <t>绝缘漆 EA9187LH (道康宁)(RoHS)</t>
        </is>
      </c>
      <c r="E330" s="200" t="n">
        <v>1.753608247</v>
      </c>
      <c r="F330" s="201" t="n">
        <v>0.3</v>
      </c>
      <c r="G330" s="202" t="n"/>
      <c r="H330" s="203">
        <f>IF(I330="是",0,IF(OR(E330="",F330=""),0,E330*F330*(1+IF(G330="",0,G330))))</f>
        <v/>
      </c>
      <c r="I330" s="197" t="inlineStr">
        <is>
          <t>否</t>
        </is>
      </c>
      <c r="J330" s="204" t="inlineStr">
        <is>
          <t>G</t>
        </is>
      </c>
    </row>
    <row r="331" ht="13.5" customHeight="1" s="144">
      <c r="A331" s="168">
        <f>IF(C331&lt;&gt;"",ROW()-2,"")</f>
        <v/>
      </c>
      <c r="B331" s="190" t="inlineStr">
        <is>
          <t>辅助材料</t>
        </is>
      </c>
      <c r="C331" s="191" t="inlineStr">
        <is>
          <t>N40716000018</t>
        </is>
      </c>
      <c r="D331" s="169" t="inlineStr">
        <is>
          <t>锡丝 BSD620-W Sn0.3Ag0.7Cu(φ3.0)(博士达)(RoHS)</t>
        </is>
      </c>
      <c r="E331" s="192" t="n">
        <v>0.00257704</v>
      </c>
      <c r="F331" s="193" t="n">
        <v>309.2832</v>
      </c>
      <c r="G331" s="194" t="n"/>
      <c r="H331" s="195">
        <f>IF(I331="是",0,IF(OR(E331="",F331=""),0,E331*F331*(1+IF(G331="",0,G331))))</f>
        <v/>
      </c>
      <c r="I331" s="190" t="inlineStr">
        <is>
          <t>否</t>
        </is>
      </c>
      <c r="J331" s="205" t="inlineStr">
        <is>
          <t>KG 已按V3.0版本报价</t>
        </is>
      </c>
    </row>
    <row r="332" ht="13.5" customHeight="1" s="144">
      <c r="A332" s="196">
        <f>IF(C332&lt;&gt;"",ROW()-2,"")</f>
        <v/>
      </c>
      <c r="B332" s="197" t="inlineStr">
        <is>
          <t>客供料</t>
        </is>
      </c>
      <c r="C332" s="207" t="inlineStr">
        <is>
          <t>客供2</t>
        </is>
      </c>
      <c r="D332" s="199" t="inlineStr">
        <is>
          <t>薄膜电容 40μF/1100V/4Pin</t>
        </is>
      </c>
      <c r="E332" s="200" t="n">
        <v>3</v>
      </c>
      <c r="F332" s="201" t="n">
        <v>23.98</v>
      </c>
      <c r="G332" s="202" t="n"/>
      <c r="H332" s="203">
        <f>IF(I332="是",0,IF(OR(E332="",F332=""),0,E332*F332*(1+IF(G332="",0,G332))))</f>
        <v/>
      </c>
      <c r="I332" s="197" t="inlineStr">
        <is>
          <t>是</t>
        </is>
      </c>
      <c r="J332" s="199" t="inlineStr">
        <is>
          <t>客供不计入报价；松下 港德 4W</t>
        </is>
      </c>
    </row>
    <row r="333" ht="13.5" customHeight="1" s="144">
      <c r="A333" s="168">
        <f>IF(C333&lt;&gt;"",ROW()-2,"")</f>
        <v/>
      </c>
      <c r="B333" s="190" t="inlineStr">
        <is>
          <t>客供料</t>
        </is>
      </c>
      <c r="C333" s="208" t="inlineStr">
        <is>
          <t>客供3</t>
        </is>
      </c>
      <c r="D333" s="169" t="inlineStr">
        <is>
          <t>共模滤波器 CMF50F04QX1 4mH,50A(赛特勒)(RoHS)</t>
        </is>
      </c>
      <c r="E333" s="192" t="n">
        <v>2</v>
      </c>
      <c r="F333" s="193" t="n">
        <v>45.8</v>
      </c>
      <c r="G333" s="194" t="n"/>
      <c r="H333" s="195">
        <f>IF(I333="是",0,IF(OR(E333="",F333=""),0,E333*F333*(1+IF(G333="",0,G333))))</f>
        <v/>
      </c>
      <c r="I333" s="190" t="inlineStr">
        <is>
          <t>是</t>
        </is>
      </c>
      <c r="J333" s="169" t="inlineStr">
        <is>
          <t>客供不计入报价；菲尔泰科 菲尔泰科 3W</t>
        </is>
      </c>
    </row>
    <row r="334" ht="13.5" customHeight="1" s="144">
      <c r="A334" s="196">
        <f>IF(C334&lt;&gt;"",ROW()-2,"")</f>
        <v/>
      </c>
      <c r="B334" s="197" t="inlineStr">
        <is>
          <t>客供料</t>
        </is>
      </c>
      <c r="C334" s="207" t="inlineStr">
        <is>
          <t>客供4</t>
        </is>
      </c>
      <c r="D334" s="199" t="inlineStr">
        <is>
          <t>共模电感 CM10100ZJ-1/9A/15mH</t>
        </is>
      </c>
      <c r="E334" s="200" t="n">
        <v>1</v>
      </c>
      <c r="F334" s="201" t="n">
        <v>7</v>
      </c>
      <c r="G334" s="202" t="n"/>
      <c r="H334" s="203">
        <f>IF(I334="是",0,IF(OR(E334="",F334=""),0,E334*F334*(1+IF(G334="",0,G334))))</f>
        <v/>
      </c>
      <c r="I334" s="197" t="inlineStr">
        <is>
          <t>是</t>
        </is>
      </c>
      <c r="J334" s="199" t="inlineStr">
        <is>
          <t>客供不计入报价；菲尔泰科 菲尔泰科 2W</t>
        </is>
      </c>
    </row>
    <row r="335" ht="13.5" customHeight="1" s="144">
      <c r="A335" s="168">
        <f>IF(C335&lt;&gt;"",ROW()-2,"")</f>
        <v/>
      </c>
      <c r="B335" s="190" t="inlineStr">
        <is>
          <t>客供料</t>
        </is>
      </c>
      <c r="C335" s="208" t="inlineStr">
        <is>
          <t>客供5</t>
        </is>
      </c>
      <c r="D335" s="205" t="inlineStr">
        <is>
          <t>PIM 100A/1200V/FP100R12N2T7</t>
        </is>
      </c>
      <c r="E335" s="192" t="n">
        <v>1</v>
      </c>
      <c r="F335" s="193" t="n">
        <v>307.3</v>
      </c>
      <c r="G335" s="194" t="n"/>
      <c r="H335" s="195">
        <f>IF(I335="是",0,IF(OR(E335="",F335=""),0,E335*F335*(1+IF(G335="",0,G335))))</f>
        <v/>
      </c>
      <c r="I335" s="190" t="inlineStr">
        <is>
          <t>是</t>
        </is>
      </c>
      <c r="J335" s="169" t="inlineStr">
        <is>
          <t>客供不计入报价；英飞凌 晶川 4-6W</t>
        </is>
      </c>
    </row>
    <row r="336" ht="13.5" customHeight="1" s="144">
      <c r="A336" s="196">
        <f>IF(C336&lt;&gt;"",ROW()-2,"")</f>
        <v/>
      </c>
      <c r="B336" s="197" t="inlineStr">
        <is>
          <t>客供料</t>
        </is>
      </c>
      <c r="C336" s="207" t="inlineStr">
        <is>
          <t>客供6</t>
        </is>
      </c>
      <c r="D336" s="199" t="inlineStr">
        <is>
          <t>栅极驱动IC 1EDI20I12MF/SOP-8</t>
        </is>
      </c>
      <c r="E336" s="200" t="n">
        <v>6</v>
      </c>
      <c r="F336" s="201" t="n">
        <v>3.83</v>
      </c>
      <c r="G336" s="202" t="n"/>
      <c r="H336" s="203">
        <f>IF(I336="是",0,IF(OR(E336="",F336=""),0,E336*F336*(1+IF(G336="",0,G336))))</f>
        <v/>
      </c>
      <c r="I336" s="197" t="inlineStr">
        <is>
          <t>是</t>
        </is>
      </c>
      <c r="J336" s="199" t="inlineStr">
        <is>
          <t>客供不计入报价；英飞凌 晶川 4-6W</t>
        </is>
      </c>
    </row>
    <row r="337" ht="13.5" customHeight="1" s="144">
      <c r="A337" s="168">
        <f>IF(C337&lt;&gt;"",ROW()-2,"")</f>
        <v/>
      </c>
      <c r="B337" s="190" t="inlineStr">
        <is>
          <t>客供料</t>
        </is>
      </c>
      <c r="C337" s="208" t="inlineStr">
        <is>
          <t>客供7</t>
        </is>
      </c>
      <c r="D337" s="205" t="inlineStr">
        <is>
          <t>IPM 功率模块 RCI20C60D6U (20A,600V)(IPM模块)(NJTJ专用)(银河边缘)(RoHS)</t>
        </is>
      </c>
      <c r="E337" s="192" t="n">
        <v>2</v>
      </c>
      <c r="F337" s="193" t="n">
        <v>23</v>
      </c>
      <c r="G337" s="194" t="n"/>
      <c r="H337" s="195">
        <f>IF(I337="是",0,IF(OR(E337="",F337=""),0,E337*F337*(1+IF(G337="",0,G337))))</f>
        <v/>
      </c>
      <c r="I337" s="190" t="inlineStr">
        <is>
          <t>是</t>
        </is>
      </c>
      <c r="J337" s="169" t="inlineStr">
        <is>
          <t>客供不计入报价；国创 银河 4W</t>
        </is>
      </c>
    </row>
    <row r="338" ht="13.5" customHeight="1" s="144">
      <c r="A338" s="196">
        <f>IF(C338&lt;&gt;"",ROW()-2,"")</f>
        <v/>
      </c>
      <c r="B338" s="197" t="inlineStr">
        <is>
          <t>客供料</t>
        </is>
      </c>
      <c r="C338" s="207" t="inlineStr">
        <is>
          <t>客供8</t>
        </is>
      </c>
      <c r="D338" s="204" t="inlineStr">
        <is>
          <t>ACDC TOP264K/ESOP-12B</t>
        </is>
      </c>
      <c r="E338" s="200" t="n">
        <v>1</v>
      </c>
      <c r="F338" s="201" t="n">
        <v>2.818</v>
      </c>
      <c r="G338" s="202" t="n"/>
      <c r="H338" s="203">
        <f>IF(I338="是",0,IF(OR(E338="",F338=""),0,E338*F338*(1+IF(G338="",0,G338))))</f>
        <v/>
      </c>
      <c r="I338" s="197" t="inlineStr">
        <is>
          <t>是</t>
        </is>
      </c>
      <c r="J338" s="199" t="inlineStr">
        <is>
          <t>客供不计入报价；PI 北高智 4-6W</t>
        </is>
      </c>
    </row>
    <row r="339" ht="13.5" customHeight="1" s="144">
      <c r="A339" s="168">
        <f>IF(C339&lt;&gt;"",ROW()-2,"")</f>
        <v/>
      </c>
      <c r="B339" s="190" t="inlineStr">
        <is>
          <t>客供料</t>
        </is>
      </c>
      <c r="C339" s="208" t="inlineStr">
        <is>
          <t>客供9</t>
        </is>
      </c>
      <c r="D339" s="205" t="inlineStr">
        <is>
          <t>MCU R5F526T8ADFM/LQFP64</t>
        </is>
      </c>
      <c r="E339" s="192" t="n">
        <v>2</v>
      </c>
      <c r="F339" s="193" t="n">
        <v>7.75</v>
      </c>
      <c r="G339" s="194" t="n"/>
      <c r="H339" s="195">
        <f>IF(I339="是",0,IF(OR(E339="",F339=""),0,E339*F339*(1+IF(G339="",0,G339))))</f>
        <v/>
      </c>
      <c r="I339" s="190" t="inlineStr">
        <is>
          <t>是</t>
        </is>
      </c>
      <c r="J339" s="169" t="inlineStr">
        <is>
          <t>客供不计入报价；瑞萨 新晔 12W</t>
        </is>
      </c>
    </row>
    <row r="340" ht="13.5" customHeight="1" s="144">
      <c r="A340" s="143" t="n"/>
      <c r="B340" s="143" t="n"/>
      <c r="C340" s="143" t="n"/>
      <c r="D340" s="143" t="n"/>
      <c r="E340" s="143" t="n"/>
      <c r="F340" s="143" t="n"/>
      <c r="G340" s="143" t="n"/>
      <c r="H340" s="143" t="n"/>
      <c r="I340" s="143" t="n"/>
      <c r="J340" s="143" t="n"/>
    </row>
  </sheetData>
  <autoFilter ref="A2:J339"/>
  <mergeCells count="1">
    <mergeCell ref="A1:I1"/>
  </mergeCells>
  <dataValidations count="1">
    <dataValidation sqref="I3:I339" showDropDown="0" showInputMessage="0" showErrorMessage="0" allowBlank="1" type="list" errorStyle="stop" operator="between">
      <formula1>"否,是"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8" customWidth="1" style="143" min="1" max="1"/>
    <col width="14" customWidth="1" style="143" min="2" max="2"/>
    <col width="22" customWidth="1" style="143" min="3" max="3"/>
    <col width="13" customWidth="1" style="143" min="4" max="4"/>
    <col width="11" customWidth="1" style="143" min="5" max="6"/>
    <col width="13" customWidth="1" style="143" min="7" max="7"/>
    <col width="40" customWidth="1" style="143" min="8" max="8"/>
  </cols>
  <sheetData>
    <row r="1" ht="25.5" customHeight="1" s="144">
      <c r="A1" s="209" t="inlineStr">
        <is>
          <t>制费明细（工程报价表格式 P01~P07：自下而上工序估算工具）｜注：商空项目加工成本以「加工成本明细」综合表为准</t>
        </is>
      </c>
    </row>
    <row r="3" ht="15" customHeight="1" s="144">
      <c r="A3" s="210" t="inlineStr">
        <is>
          <t>客户</t>
        </is>
      </c>
      <c r="B3" s="211">
        <f>报价汇总!B6</f>
        <v/>
      </c>
      <c r="C3" s="210" t="inlineStr">
        <is>
          <t>机型</t>
        </is>
      </c>
      <c r="D3" s="211">
        <f>报价汇总!B4</f>
        <v/>
      </c>
      <c r="E3" s="210" t="inlineStr">
        <is>
          <t>预计订单(pcs)</t>
        </is>
      </c>
      <c r="F3" s="170" t="n"/>
      <c r="G3" s="212">
        <f>报价汇总!B8</f>
        <v/>
      </c>
      <c r="H3" s="213" t="inlineStr">
        <is>
          <t>联动报价汇总年需求量(B8)；夹具一次性费用分摊分母</t>
        </is>
      </c>
    </row>
    <row r="4" ht="15" customHeight="1" s="144">
      <c r="A4" s="210" t="inlineStr">
        <is>
          <t>人工费率(元/秒)</t>
        </is>
      </c>
      <c r="B4" s="214" t="n">
        <v>0.0089138889</v>
      </c>
      <c r="C4" s="215" t="inlineStr">
        <is>
          <t>32.09元/小时÷3600</t>
        </is>
      </c>
      <c r="D4" s="210" t="inlineStr">
        <is>
          <t>宽放系数</t>
        </is>
      </c>
      <c r="E4" s="216" t="n">
        <v>1.1</v>
      </c>
      <c r="F4" s="213" t="inlineStr">
        <is>
          <t>烧录/成型/组装共用</t>
        </is>
      </c>
      <c r="G4" s="213" t="inlineStr">
        <is>
          <t>费率来源：003/009参考报价反推（0.0588元÷6.6s），可按实际改</t>
        </is>
      </c>
    </row>
    <row r="6" ht="15" customHeight="1" s="144">
      <c r="A6" s="217" t="inlineStr">
        <is>
          <t>P01  SMT贴片（费用 = 工艺单价 × 元件个数）</t>
        </is>
      </c>
    </row>
    <row r="7" ht="15" customHeight="1" s="144">
      <c r="A7" s="165" t="inlineStr">
        <is>
          <t>项目</t>
        </is>
      </c>
      <c r="B7" s="165" t="inlineStr">
        <is>
          <t>工序名称</t>
        </is>
      </c>
      <c r="C7" s="165" t="inlineStr">
        <is>
          <t>元件类型</t>
        </is>
      </c>
      <c r="D7" s="165" t="inlineStr">
        <is>
          <t>工艺单价(元)</t>
        </is>
      </c>
      <c r="E7" s="165" t="inlineStr">
        <is>
          <t>元件个数</t>
        </is>
      </c>
      <c r="F7" s="165" t="inlineStr">
        <is>
          <t>备注</t>
        </is>
      </c>
      <c r="G7" s="165" t="inlineStr">
        <is>
          <t>费用(元)</t>
        </is>
      </c>
      <c r="H7" s="165" t="inlineStr">
        <is>
          <t>说明</t>
        </is>
      </c>
    </row>
    <row r="8" ht="15" customHeight="1" s="144">
      <c r="A8" s="218" t="inlineStr">
        <is>
          <t>P01</t>
        </is>
      </c>
      <c r="B8" s="218" t="inlineStr">
        <is>
          <t>SMT</t>
        </is>
      </c>
      <c r="C8" s="218" t="inlineStr">
        <is>
          <t>0603/0402</t>
        </is>
      </c>
      <c r="D8" s="214" t="n">
        <v>0.019</v>
      </c>
      <c r="E8" s="219" t="n">
        <v>56</v>
      </c>
      <c r="F8" s="220" t="n"/>
      <c r="G8" s="221">
        <f>IFERROR(D8*E8,0)</f>
        <v/>
      </c>
      <c r="H8" s="218" t="n"/>
    </row>
    <row r="9" ht="15" customHeight="1" s="144">
      <c r="A9" s="218" t="n"/>
      <c r="B9" s="218" t="n"/>
      <c r="C9" s="218" t="inlineStr">
        <is>
          <t>1206/0805</t>
        </is>
      </c>
      <c r="D9" s="214" t="n">
        <v>0.02</v>
      </c>
      <c r="E9" s="219" t="n">
        <v>4</v>
      </c>
      <c r="F9" s="220" t="n"/>
      <c r="G9" s="221">
        <f>IFERROR(D9*E9,0)</f>
        <v/>
      </c>
      <c r="H9" s="218" t="n"/>
    </row>
    <row r="10" ht="15" customHeight="1" s="144">
      <c r="A10" s="218" t="n"/>
      <c r="B10" s="218" t="n"/>
      <c r="C10" s="222" t="inlineStr">
        <is>
          <t>二/三极管</t>
        </is>
      </c>
      <c r="D10" s="214" t="n">
        <v>0.02</v>
      </c>
      <c r="E10" s="219" t="n">
        <v>0</v>
      </c>
      <c r="F10" s="220" t="n"/>
      <c r="G10" s="221">
        <f>IFERROR(D10*E10,0)</f>
        <v/>
      </c>
      <c r="H10" s="222" t="n"/>
    </row>
    <row r="11" ht="15" customHeight="1" s="144">
      <c r="A11" s="222" t="n"/>
      <c r="B11" s="222" t="n"/>
      <c r="C11" s="222" t="inlineStr">
        <is>
          <t>按键/插座</t>
        </is>
      </c>
      <c r="D11" s="214" t="n">
        <v>0.06</v>
      </c>
      <c r="E11" s="219" t="n">
        <v>4</v>
      </c>
      <c r="F11" s="220" t="n"/>
      <c r="G11" s="221">
        <f>IFERROR(D11*E11,0)</f>
        <v/>
      </c>
      <c r="H11" s="222" t="n"/>
    </row>
    <row r="12" ht="15" customHeight="1" s="144">
      <c r="A12" s="222" t="n"/>
      <c r="B12" s="222" t="n"/>
      <c r="C12" s="222" t="inlineStr">
        <is>
          <t>电感/MOS管/EC等</t>
        </is>
      </c>
      <c r="D12" s="214" t="n">
        <v>0.035</v>
      </c>
      <c r="E12" s="219" t="n">
        <v>1</v>
      </c>
      <c r="F12" s="220" t="n"/>
      <c r="G12" s="221">
        <f>IFERROR(D12*E12,0)</f>
        <v/>
      </c>
      <c r="H12" s="222" t="n"/>
    </row>
    <row r="13" ht="15" customHeight="1" s="144">
      <c r="A13" s="222" t="n"/>
      <c r="B13" s="222" t="n"/>
      <c r="C13" s="222" t="inlineStr">
        <is>
          <t>贴片IC</t>
        </is>
      </c>
      <c r="D13" s="214" t="n">
        <v>0.018</v>
      </c>
      <c r="E13" s="219" t="n">
        <v>9</v>
      </c>
      <c r="F13" s="169" t="inlineStr">
        <is>
          <t>每4个pin为1个元件</t>
        </is>
      </c>
      <c r="G13" s="221">
        <f>IFERROR(D13*E13,0)</f>
        <v/>
      </c>
      <c r="H13" s="222" t="n"/>
    </row>
    <row r="14" ht="15" customHeight="1" s="144">
      <c r="A14" s="222" t="n"/>
      <c r="B14" s="222" t="n"/>
      <c r="C14" s="222" t="inlineStr">
        <is>
          <t>模块</t>
        </is>
      </c>
      <c r="D14" s="214" t="n">
        <v>0.142</v>
      </c>
      <c r="E14" s="219" t="n">
        <v>0</v>
      </c>
      <c r="F14" s="169" t="n"/>
      <c r="G14" s="221">
        <f>IFERROR(D14*E14,0)</f>
        <v/>
      </c>
      <c r="H14" s="222" t="n"/>
    </row>
    <row r="15" ht="15" customHeight="1" s="144">
      <c r="C15" s="223" t="inlineStr">
        <is>
          <t>SMT成本(元)</t>
        </is>
      </c>
      <c r="G15" s="224">
        <f>SUM(G8:G14)</f>
        <v/>
      </c>
    </row>
    <row r="17" ht="15" customHeight="1" s="144">
      <c r="A17" s="217" t="inlineStr">
        <is>
          <t>P02  烧录（工序工时 = 工作时间 × 工序个数 × 宽放；成本 = 工时 × 人工费率）</t>
        </is>
      </c>
    </row>
    <row r="18" ht="15" customHeight="1" s="144">
      <c r="A18" s="165" t="inlineStr">
        <is>
          <t>项目</t>
        </is>
      </c>
      <c r="B18" s="165" t="inlineStr">
        <is>
          <t>工序名称</t>
        </is>
      </c>
      <c r="C18" s="165" t="inlineStr">
        <is>
          <t>工艺流程</t>
        </is>
      </c>
      <c r="D18" s="165" t="inlineStr">
        <is>
          <t>工作时间(s)</t>
        </is>
      </c>
      <c r="E18" s="165" t="inlineStr">
        <is>
          <t>工序个数</t>
        </is>
      </c>
      <c r="F18" s="165" t="inlineStr">
        <is>
          <t>宽放系数</t>
        </is>
      </c>
      <c r="G18" s="165" t="inlineStr">
        <is>
          <t>工序工时(s)</t>
        </is>
      </c>
      <c r="H18" s="165" t="inlineStr">
        <is>
          <t>费用(元)</t>
        </is>
      </c>
    </row>
    <row r="19" ht="15" customHeight="1" s="144">
      <c r="A19" s="218" t="inlineStr">
        <is>
          <t>P02</t>
        </is>
      </c>
      <c r="B19" s="218" t="inlineStr">
        <is>
          <t>SL</t>
        </is>
      </c>
      <c r="C19" s="222" t="inlineStr">
        <is>
          <t>离线烧录</t>
        </is>
      </c>
      <c r="D19" s="225" t="n">
        <v>6</v>
      </c>
      <c r="E19" s="219" t="n">
        <v>1</v>
      </c>
      <c r="F19" s="226">
        <f>$E$4</f>
        <v/>
      </c>
      <c r="G19" s="226">
        <f>D19*E19*F19</f>
        <v/>
      </c>
      <c r="H19" s="221">
        <f>G19*$B$4</f>
        <v/>
      </c>
    </row>
    <row r="20" ht="15" customHeight="1" s="144">
      <c r="A20" s="222" t="n"/>
      <c r="B20" s="222" t="n"/>
      <c r="C20" s="222" t="inlineStr">
        <is>
          <t>在线烧录</t>
        </is>
      </c>
      <c r="D20" s="225" t="n">
        <v>3</v>
      </c>
      <c r="E20" s="219" t="n">
        <v>0</v>
      </c>
      <c r="F20" s="226">
        <f>$E$4</f>
        <v/>
      </c>
      <c r="G20" s="226">
        <f>D20*E20*F20</f>
        <v/>
      </c>
      <c r="H20" s="221">
        <f>G20*$B$4</f>
        <v/>
      </c>
    </row>
    <row r="21" ht="15" customHeight="1" s="144">
      <c r="C21" s="210" t="inlineStr">
        <is>
          <t>烧录成本(元)</t>
        </is>
      </c>
      <c r="H21" s="224">
        <f>SUM(H19:H20)</f>
        <v/>
      </c>
    </row>
    <row r="23" ht="15" customHeight="1" s="144">
      <c r="A23" s="217" t="inlineStr">
        <is>
          <t>P03  AI/RI 机插（费用 = 单价 × 个数 × 宽放）</t>
        </is>
      </c>
    </row>
    <row r="24" ht="15" customHeight="1" s="144">
      <c r="A24" s="165" t="inlineStr">
        <is>
          <t>项目</t>
        </is>
      </c>
      <c r="B24" s="165" t="inlineStr">
        <is>
          <t>工序名称</t>
        </is>
      </c>
      <c r="C24" s="165" t="inlineStr">
        <is>
          <t>元件类型</t>
        </is>
      </c>
      <c r="D24" s="165" t="inlineStr">
        <is>
          <t>工艺单价(元)</t>
        </is>
      </c>
      <c r="E24" s="165" t="inlineStr">
        <is>
          <t>元件个数</t>
        </is>
      </c>
      <c r="F24" s="165" t="inlineStr">
        <is>
          <t>宽放系数</t>
        </is>
      </c>
      <c r="G24" s="165" t="inlineStr">
        <is>
          <t>费用(元)</t>
        </is>
      </c>
      <c r="H24" s="165" t="inlineStr">
        <is>
          <t>说明</t>
        </is>
      </c>
    </row>
    <row r="25" ht="15" customHeight="1" s="144">
      <c r="A25" s="218" t="inlineStr">
        <is>
          <t>P03</t>
        </is>
      </c>
      <c r="B25" s="218" t="inlineStr">
        <is>
          <t>AI/RI</t>
        </is>
      </c>
      <c r="C25" s="222" t="inlineStr">
        <is>
          <t>电阻/二极管</t>
        </is>
      </c>
      <c r="D25" s="214" t="n">
        <v>0.025</v>
      </c>
      <c r="E25" s="219" t="n">
        <v>0</v>
      </c>
      <c r="F25" s="226">
        <f>$E$4</f>
        <v/>
      </c>
      <c r="G25" s="221">
        <f>IFERROR(D25*E25*F25,0)</f>
        <v/>
      </c>
      <c r="H25" s="222" t="n"/>
    </row>
    <row r="26" ht="15" customHeight="1" s="144">
      <c r="A26" s="222" t="n"/>
      <c r="B26" s="222" t="n"/>
      <c r="C26" s="222" t="inlineStr">
        <is>
          <t>跳线</t>
        </is>
      </c>
      <c r="D26" s="214" t="n">
        <v>0.022</v>
      </c>
      <c r="E26" s="219" t="n">
        <v>0</v>
      </c>
      <c r="F26" s="226">
        <f>$E$4</f>
        <v/>
      </c>
      <c r="G26" s="221">
        <f>IFERROR(D26*E26*F26,0)</f>
        <v/>
      </c>
      <c r="H26" s="222" t="n"/>
    </row>
    <row r="27" ht="15" customHeight="1" s="144">
      <c r="A27" s="222" t="n"/>
      <c r="B27" s="222" t="n"/>
      <c r="C27" s="218" t="inlineStr">
        <is>
          <t>RI</t>
        </is>
      </c>
      <c r="D27" s="214" t="n">
        <v>0.025</v>
      </c>
      <c r="E27" s="219" t="n">
        <v>0</v>
      </c>
      <c r="F27" s="226">
        <f>$E$4</f>
        <v/>
      </c>
      <c r="G27" s="221">
        <f>IFERROR(D27*E27*F27,0)</f>
        <v/>
      </c>
      <c r="H27" s="222" t="n"/>
    </row>
    <row r="28" ht="15" customHeight="1" s="144">
      <c r="C28" s="223" t="inlineStr">
        <is>
          <t>AI成本(元)</t>
        </is>
      </c>
      <c r="G28" s="224">
        <f>SUM(G25:G27)</f>
        <v/>
      </c>
    </row>
    <row r="30" ht="15" customHeight="1" s="144">
      <c r="A30" s="217" t="inlineStr">
        <is>
          <t>P04  成型（工序工时 = 工作时间 × 元件数量 × 宽放；成本 = 工时 × 人工费率）</t>
        </is>
      </c>
    </row>
    <row r="31" ht="15" customHeight="1" s="144">
      <c r="A31" s="165" t="inlineStr">
        <is>
          <t>项目</t>
        </is>
      </c>
      <c r="B31" s="165" t="inlineStr">
        <is>
          <t>工序名称</t>
        </is>
      </c>
      <c r="C31" s="165" t="inlineStr">
        <is>
          <t>工艺流程</t>
        </is>
      </c>
      <c r="D31" s="165" t="inlineStr">
        <is>
          <t>工作时间(s)</t>
        </is>
      </c>
      <c r="E31" s="165" t="inlineStr">
        <is>
          <t>元件数量</t>
        </is>
      </c>
      <c r="F31" s="165" t="inlineStr">
        <is>
          <t>宽放系数</t>
        </is>
      </c>
      <c r="G31" s="165" t="inlineStr">
        <is>
          <t>工序工时(s)</t>
        </is>
      </c>
      <c r="H31" s="165" t="inlineStr">
        <is>
          <t>费用(元)</t>
        </is>
      </c>
    </row>
    <row r="32" ht="15" customHeight="1" s="144">
      <c r="A32" s="218" t="inlineStr">
        <is>
          <t>P04</t>
        </is>
      </c>
      <c r="B32" s="222" t="inlineStr">
        <is>
          <t>成型</t>
        </is>
      </c>
      <c r="C32" s="222" t="inlineStr">
        <is>
          <t>电解电容</t>
        </is>
      </c>
      <c r="D32" s="225" t="n">
        <v>1.2</v>
      </c>
      <c r="E32" s="219" t="n">
        <v>0</v>
      </c>
      <c r="F32" s="226">
        <f>$E$4</f>
        <v/>
      </c>
      <c r="G32" s="226">
        <f>D32*E32*F32</f>
        <v/>
      </c>
      <c r="H32" s="221">
        <f>G32*$B$4</f>
        <v/>
      </c>
    </row>
    <row r="33" ht="15" customHeight="1" s="144">
      <c r="A33" s="222" t="n"/>
      <c r="B33" s="222" t="n"/>
      <c r="C33" s="222" t="inlineStr">
        <is>
          <t>贴板成型</t>
        </is>
      </c>
      <c r="D33" s="225" t="n">
        <v>1.8</v>
      </c>
      <c r="E33" s="219" t="n">
        <v>0</v>
      </c>
      <c r="F33" s="226">
        <f>$E$4</f>
        <v/>
      </c>
      <c r="G33" s="226">
        <f>D33*E33*F33</f>
        <v/>
      </c>
      <c r="H33" s="221">
        <f>G33*$B$4</f>
        <v/>
      </c>
    </row>
    <row r="34" ht="15" customHeight="1" s="144">
      <c r="A34" s="222" t="n"/>
      <c r="B34" s="222" t="n"/>
      <c r="C34" s="222" t="inlineStr">
        <is>
          <t>自动成型</t>
        </is>
      </c>
      <c r="D34" s="225" t="n">
        <v>0.6</v>
      </c>
      <c r="E34" s="219" t="n">
        <v>0</v>
      </c>
      <c r="F34" s="226">
        <f>$E$4</f>
        <v/>
      </c>
      <c r="G34" s="226">
        <f>D34*E34*F34</f>
        <v/>
      </c>
      <c r="H34" s="221">
        <f>G34*$B$4</f>
        <v/>
      </c>
    </row>
    <row r="35" ht="15" customHeight="1" s="144">
      <c r="A35" s="222" t="n"/>
      <c r="B35" s="222" t="n"/>
      <c r="C35" s="222" t="inlineStr">
        <is>
          <t>晶闸管成型</t>
        </is>
      </c>
      <c r="D35" s="225" t="n">
        <v>6</v>
      </c>
      <c r="E35" s="219" t="n">
        <v>0</v>
      </c>
      <c r="F35" s="226">
        <f>$E$4</f>
        <v/>
      </c>
      <c r="G35" s="226">
        <f>D35*E35*F35</f>
        <v/>
      </c>
      <c r="H35" s="221">
        <f>G35*$B$4</f>
        <v/>
      </c>
    </row>
    <row r="36" ht="15" customHeight="1" s="144">
      <c r="A36" s="222" t="n"/>
      <c r="B36" s="222" t="n"/>
      <c r="C36" s="222" t="inlineStr">
        <is>
          <t>散热器组装</t>
        </is>
      </c>
      <c r="D36" s="225" t="n">
        <v>20</v>
      </c>
      <c r="E36" s="219" t="n">
        <v>0</v>
      </c>
      <c r="F36" s="226">
        <f>$E$4</f>
        <v/>
      </c>
      <c r="G36" s="226">
        <f>D36*E36*F36</f>
        <v/>
      </c>
      <c r="H36" s="221">
        <f>G36*$B$4</f>
        <v/>
      </c>
    </row>
    <row r="37" ht="15" customHeight="1" s="144">
      <c r="A37" s="222" t="n"/>
      <c r="B37" s="222" t="n"/>
      <c r="C37" s="222" t="inlineStr">
        <is>
          <t>光敏电阻成型</t>
        </is>
      </c>
      <c r="D37" s="225" t="n">
        <v>8</v>
      </c>
      <c r="E37" s="219" t="n">
        <v>0</v>
      </c>
      <c r="F37" s="226">
        <f>$E$4</f>
        <v/>
      </c>
      <c r="G37" s="226">
        <f>D37*E37*F37</f>
        <v/>
      </c>
      <c r="H37" s="221">
        <f>G37*$B$4</f>
        <v/>
      </c>
    </row>
    <row r="38" ht="15" customHeight="1" s="144">
      <c r="A38" s="222" t="n"/>
      <c r="B38" s="222" t="n"/>
      <c r="C38" s="222" t="inlineStr">
        <is>
          <t>铆钉</t>
        </is>
      </c>
      <c r="D38" s="225" t="n">
        <v>0.5</v>
      </c>
      <c r="E38" s="219" t="n">
        <v>0</v>
      </c>
      <c r="F38" s="226">
        <f>$E$4</f>
        <v/>
      </c>
      <c r="G38" s="226">
        <f>D38*E38*F38</f>
        <v/>
      </c>
      <c r="H38" s="221">
        <f>G38*$B$4</f>
        <v/>
      </c>
    </row>
    <row r="39" ht="15" customHeight="1" s="144">
      <c r="C39" s="210" t="inlineStr">
        <is>
          <t>成型成本(元)</t>
        </is>
      </c>
      <c r="H39" s="224">
        <f>SUM(H32:H38)</f>
        <v/>
      </c>
    </row>
    <row r="41" ht="15" customHeight="1" s="144">
      <c r="A41" s="217" t="inlineStr">
        <is>
          <t>P05  组装（18道工序：工序工时 = 工作节拍 × 工序个数 × 宽放；成本 = 工时 × 人工费率）</t>
        </is>
      </c>
    </row>
    <row r="42" ht="15" customHeight="1" s="144">
      <c r="A42" s="165" t="inlineStr">
        <is>
          <t>项目</t>
        </is>
      </c>
      <c r="B42" s="165" t="inlineStr">
        <is>
          <t>工序名称</t>
        </is>
      </c>
      <c r="C42" s="165" t="inlineStr">
        <is>
          <t>工艺流程</t>
        </is>
      </c>
      <c r="D42" s="165" t="inlineStr">
        <is>
          <t>工作节拍(s)</t>
        </is>
      </c>
      <c r="E42" s="165" t="inlineStr">
        <is>
          <t>工序个数</t>
        </is>
      </c>
      <c r="F42" s="165" t="inlineStr">
        <is>
          <t>宽放系数</t>
        </is>
      </c>
      <c r="G42" s="165" t="inlineStr">
        <is>
          <t>工序工时(s)</t>
        </is>
      </c>
      <c r="H42" s="165" t="inlineStr">
        <is>
          <t>费用(元)</t>
        </is>
      </c>
    </row>
    <row r="43" ht="15" customHeight="1" s="144">
      <c r="A43" s="218" t="inlineStr">
        <is>
          <t>P05</t>
        </is>
      </c>
      <c r="B43" s="222" t="inlineStr">
        <is>
          <t>组装</t>
        </is>
      </c>
      <c r="C43" s="222" t="inlineStr">
        <is>
          <t>安装过炉治具</t>
        </is>
      </c>
      <c r="D43" s="225" t="n">
        <v>3</v>
      </c>
      <c r="E43" s="219" t="n">
        <v>1</v>
      </c>
      <c r="F43" s="226">
        <f>$E$4</f>
        <v/>
      </c>
      <c r="G43" s="226">
        <f>D43*E43*F43</f>
        <v/>
      </c>
      <c r="H43" s="221">
        <f>G43*$B$4</f>
        <v/>
      </c>
    </row>
    <row r="44" ht="15" customHeight="1" s="144">
      <c r="A44" s="222" t="n"/>
      <c r="B44" s="222" t="n"/>
      <c r="C44" s="222" t="inlineStr">
        <is>
          <t>插件</t>
        </is>
      </c>
      <c r="D44" s="225" t="n">
        <v>3</v>
      </c>
      <c r="E44" s="219" t="n">
        <v>1</v>
      </c>
      <c r="F44" s="226">
        <f>$E$4</f>
        <v/>
      </c>
      <c r="G44" s="226">
        <f>D44*E44*F44</f>
        <v/>
      </c>
      <c r="H44" s="221">
        <f>G44*$B$4</f>
        <v/>
      </c>
    </row>
    <row r="45" ht="15" customHeight="1" s="144">
      <c r="A45" s="222" t="n"/>
      <c r="B45" s="222" t="n"/>
      <c r="C45" s="222" t="inlineStr">
        <is>
          <t>插件QC</t>
        </is>
      </c>
      <c r="D45" s="225" t="n">
        <v>3</v>
      </c>
      <c r="E45" s="219" t="n">
        <v>1</v>
      </c>
      <c r="F45" s="226">
        <f>$E$4</f>
        <v/>
      </c>
      <c r="G45" s="226">
        <f>D45*E45*F45</f>
        <v/>
      </c>
      <c r="H45" s="221">
        <f>G45*$B$4</f>
        <v/>
      </c>
    </row>
    <row r="46" ht="15" customHeight="1" s="144">
      <c r="A46" s="222" t="n"/>
      <c r="B46" s="222" t="n"/>
      <c r="C46" s="222" t="inlineStr">
        <is>
          <t>卸送治具/AVI检测</t>
        </is>
      </c>
      <c r="D46" s="225" t="n">
        <v>3</v>
      </c>
      <c r="E46" s="219" t="n">
        <v>2</v>
      </c>
      <c r="F46" s="226">
        <f>$E$4</f>
        <v/>
      </c>
      <c r="G46" s="226">
        <f>D46*E46*F46</f>
        <v/>
      </c>
      <c r="H46" s="221">
        <f>G46*$B$4</f>
        <v/>
      </c>
    </row>
    <row r="47" ht="15" customHeight="1" s="144">
      <c r="A47" s="222" t="n"/>
      <c r="B47" s="222" t="n"/>
      <c r="C47" s="222" t="inlineStr">
        <is>
          <t>压件/执锡</t>
        </is>
      </c>
      <c r="D47" s="225" t="n">
        <v>3</v>
      </c>
      <c r="E47" s="219" t="n">
        <v>2</v>
      </c>
      <c r="F47" s="226">
        <f>$E$4</f>
        <v/>
      </c>
      <c r="G47" s="226">
        <f>D47*E47*F47</f>
        <v/>
      </c>
      <c r="H47" s="221">
        <f>G47*$B$4</f>
        <v/>
      </c>
    </row>
    <row r="48" ht="15" customHeight="1" s="144">
      <c r="A48" s="222" t="n"/>
      <c r="B48" s="222" t="n"/>
      <c r="C48" s="222" t="inlineStr">
        <is>
          <t>炉后QC/洗板</t>
        </is>
      </c>
      <c r="D48" s="225" t="n">
        <v>3</v>
      </c>
      <c r="E48" s="219" t="n">
        <v>2</v>
      </c>
      <c r="F48" s="226">
        <f>$E$4</f>
        <v/>
      </c>
      <c r="G48" s="226">
        <f>D48*E48*F48</f>
        <v/>
      </c>
      <c r="H48" s="221">
        <f>G48*$B$4</f>
        <v/>
      </c>
    </row>
    <row r="49" ht="15" customHeight="1" s="144">
      <c r="A49" s="222" t="n"/>
      <c r="B49" s="222" t="n"/>
      <c r="C49" s="218" t="inlineStr">
        <is>
          <t>ICT</t>
        </is>
      </c>
      <c r="D49" s="225" t="n">
        <v>3</v>
      </c>
      <c r="E49" s="219" t="n">
        <v>1</v>
      </c>
      <c r="F49" s="226">
        <f>$E$4</f>
        <v/>
      </c>
      <c r="G49" s="226">
        <f>D49*E49*F49</f>
        <v/>
      </c>
      <c r="H49" s="221">
        <f>G49*$B$4</f>
        <v/>
      </c>
    </row>
    <row r="50" ht="15" customHeight="1" s="144">
      <c r="A50" s="222" t="n"/>
      <c r="B50" s="222" t="n"/>
      <c r="C50" s="222" t="inlineStr">
        <is>
          <t>分板</t>
        </is>
      </c>
      <c r="D50" s="225" t="n">
        <v>3</v>
      </c>
      <c r="E50" s="219" t="n">
        <v>1</v>
      </c>
      <c r="F50" s="226">
        <f>$E$4</f>
        <v/>
      </c>
      <c r="G50" s="226">
        <f>D50*E50*F50</f>
        <v/>
      </c>
      <c r="H50" s="221">
        <f>G50*$B$4</f>
        <v/>
      </c>
    </row>
    <row r="51" ht="15" customHeight="1" s="144">
      <c r="A51" s="222" t="n"/>
      <c r="B51" s="222" t="n"/>
      <c r="C51" s="218" t="inlineStr">
        <is>
          <t>FCT</t>
        </is>
      </c>
      <c r="D51" s="225" t="n">
        <v>3</v>
      </c>
      <c r="E51" s="219" t="n">
        <v>4</v>
      </c>
      <c r="F51" s="226">
        <f>$E$4</f>
        <v/>
      </c>
      <c r="G51" s="226">
        <f>D51*E51*F51</f>
        <v/>
      </c>
      <c r="H51" s="221">
        <f>G51*$B$4</f>
        <v/>
      </c>
    </row>
    <row r="52" ht="15" customHeight="1" s="144">
      <c r="A52" s="222" t="n"/>
      <c r="B52" s="222" t="n"/>
      <c r="C52" s="222" t="inlineStr">
        <is>
          <t>点胶</t>
        </is>
      </c>
      <c r="D52" s="225" t="n">
        <v>3</v>
      </c>
      <c r="E52" s="219" t="n">
        <v>0</v>
      </c>
      <c r="F52" s="226">
        <f>$E$4</f>
        <v/>
      </c>
      <c r="G52" s="226">
        <f>D52*E52*F52</f>
        <v/>
      </c>
      <c r="H52" s="221">
        <f>G52*$B$4</f>
        <v/>
      </c>
    </row>
    <row r="53" ht="15" customHeight="1" s="144">
      <c r="A53" s="222" t="n"/>
      <c r="B53" s="222" t="n"/>
      <c r="C53" s="222" t="inlineStr">
        <is>
          <t>打螺钉</t>
        </is>
      </c>
      <c r="D53" s="225" t="n">
        <v>3</v>
      </c>
      <c r="E53" s="219" t="n">
        <v>0</v>
      </c>
      <c r="F53" s="226">
        <f>$E$4</f>
        <v/>
      </c>
      <c r="G53" s="226">
        <f>D53*E53*F53</f>
        <v/>
      </c>
      <c r="H53" s="221">
        <f>G53*$B$4</f>
        <v/>
      </c>
    </row>
    <row r="54" ht="15" customHeight="1" s="144">
      <c r="A54" s="222" t="n"/>
      <c r="B54" s="222" t="n"/>
      <c r="C54" s="222" t="inlineStr">
        <is>
          <t>喷漆/收板/补胶</t>
        </is>
      </c>
      <c r="D54" s="225" t="n">
        <v>3</v>
      </c>
      <c r="E54" s="219" t="n">
        <v>4</v>
      </c>
      <c r="F54" s="226">
        <f>$E$4</f>
        <v/>
      </c>
      <c r="G54" s="226">
        <f>D54*E54*F54</f>
        <v/>
      </c>
      <c r="H54" s="221">
        <f>G54*$B$4</f>
        <v/>
      </c>
    </row>
    <row r="55" ht="15" customHeight="1" s="144">
      <c r="A55" s="222" t="n"/>
      <c r="B55" s="222" t="n"/>
      <c r="C55" s="222" t="inlineStr">
        <is>
          <t>喷漆检查</t>
        </is>
      </c>
      <c r="D55" s="225" t="n">
        <v>3</v>
      </c>
      <c r="E55" s="219" t="n">
        <v>1</v>
      </c>
      <c r="F55" s="226">
        <f>$E$4</f>
        <v/>
      </c>
      <c r="G55" s="226">
        <f>D55*E55*F55</f>
        <v/>
      </c>
      <c r="H55" s="221">
        <f>G55*$B$4</f>
        <v/>
      </c>
    </row>
    <row r="56" ht="15" customHeight="1" s="144">
      <c r="A56" s="222" t="n"/>
      <c r="B56" s="222" t="n"/>
      <c r="C56" s="222" t="inlineStr">
        <is>
          <t>贴标签</t>
        </is>
      </c>
      <c r="D56" s="225" t="n">
        <v>3</v>
      </c>
      <c r="E56" s="219" t="n">
        <v>1</v>
      </c>
      <c r="F56" s="226">
        <f>$E$4</f>
        <v/>
      </c>
      <c r="G56" s="226">
        <f>D56*E56*F56</f>
        <v/>
      </c>
      <c r="H56" s="221">
        <f>G56*$B$4</f>
        <v/>
      </c>
    </row>
    <row r="57" ht="15" customHeight="1" s="144">
      <c r="A57" s="222" t="n"/>
      <c r="B57" s="222" t="n"/>
      <c r="C57" s="222" t="inlineStr">
        <is>
          <t>组装</t>
        </is>
      </c>
      <c r="D57" s="225" t="n">
        <v>3</v>
      </c>
      <c r="E57" s="219" t="n">
        <v>0</v>
      </c>
      <c r="F57" s="226">
        <f>$E$4</f>
        <v/>
      </c>
      <c r="G57" s="226">
        <f>D57*E57*F57</f>
        <v/>
      </c>
      <c r="H57" s="221">
        <f>G57*$B$4</f>
        <v/>
      </c>
    </row>
    <row r="58" ht="15" customHeight="1" s="144">
      <c r="A58" s="222" t="n"/>
      <c r="B58" s="222" t="n"/>
      <c r="C58" s="218" t="inlineStr">
        <is>
          <t>FQC外观检查</t>
        </is>
      </c>
      <c r="D58" s="225" t="n">
        <v>3</v>
      </c>
      <c r="E58" s="219" t="n">
        <v>2</v>
      </c>
      <c r="F58" s="226">
        <f>$E$4</f>
        <v/>
      </c>
      <c r="G58" s="226">
        <f>D58*E58*F58</f>
        <v/>
      </c>
      <c r="H58" s="221">
        <f>G58*$B$4</f>
        <v/>
      </c>
    </row>
    <row r="59" ht="15" customHeight="1" s="144">
      <c r="A59" s="222" t="n"/>
      <c r="B59" s="222" t="n"/>
      <c r="C59" s="222" t="inlineStr">
        <is>
          <t>包装</t>
        </is>
      </c>
      <c r="D59" s="225" t="n">
        <v>3</v>
      </c>
      <c r="E59" s="219" t="n">
        <v>2</v>
      </c>
      <c r="F59" s="226">
        <f>$E$4</f>
        <v/>
      </c>
      <c r="G59" s="226">
        <f>D59*E59*F59</f>
        <v/>
      </c>
      <c r="H59" s="221">
        <f>G59*$B$4</f>
        <v/>
      </c>
    </row>
    <row r="60" ht="15" customHeight="1" s="144">
      <c r="A60" s="222" t="n"/>
      <c r="B60" s="222" t="n"/>
      <c r="C60" s="222" t="inlineStr">
        <is>
          <t>助拉</t>
        </is>
      </c>
      <c r="D60" s="225" t="n">
        <v>3</v>
      </c>
      <c r="E60" s="219" t="n">
        <v>1</v>
      </c>
      <c r="F60" s="226">
        <f>$E$4</f>
        <v/>
      </c>
      <c r="G60" s="226">
        <f>D60*E60*F60</f>
        <v/>
      </c>
      <c r="H60" s="221">
        <f>G60*$B$4</f>
        <v/>
      </c>
    </row>
    <row r="61" ht="15" customHeight="1" s="144">
      <c r="C61" s="210" t="inlineStr">
        <is>
          <t>组装成本(元)</t>
        </is>
      </c>
      <c r="H61" s="224">
        <f>SUM(H43:H60)</f>
        <v/>
      </c>
    </row>
    <row r="62" ht="15" customHeight="1" s="144">
      <c r="A62" s="227" t="inlineStr">
        <is>
          <t>加工费合计(元)</t>
        </is>
      </c>
      <c r="B62" s="228" t="n"/>
      <c r="C62" s="228" t="n"/>
      <c r="D62" s="228" t="n"/>
      <c r="E62" s="228" t="n"/>
      <c r="F62" s="170" t="n"/>
      <c r="G62" s="229" t="n"/>
      <c r="H62" s="230">
        <f>$G$15+$H$21+$G$28+$H$39+$H$61</f>
        <v/>
      </c>
    </row>
    <row r="64" ht="15" customHeight="1" s="144">
      <c r="A64" s="231" t="inlineStr">
        <is>
          <t>P06 辅料费｜注：商空项目辅料用量已置0，辅料已导入BOM「辅助材料」，此处避免与报价汇总重复计费</t>
        </is>
      </c>
    </row>
    <row r="65" ht="15" customHeight="1" s="144">
      <c r="A65" s="165" t="inlineStr">
        <is>
          <t>项目</t>
        </is>
      </c>
      <c r="B65" s="165" t="inlineStr">
        <is>
          <t>费用类型</t>
        </is>
      </c>
      <c r="C65" s="165" t="inlineStr">
        <is>
          <t>辅料类型</t>
        </is>
      </c>
      <c r="D65" s="165" t="inlineStr">
        <is>
          <t>单价(元/g)</t>
        </is>
      </c>
      <c r="E65" s="165" t="inlineStr">
        <is>
          <t>单片用量(g)</t>
        </is>
      </c>
      <c r="F65" s="165" t="inlineStr">
        <is>
          <t>宽放系数</t>
        </is>
      </c>
      <c r="G65" s="165" t="inlineStr">
        <is>
          <t>辅料费用(元)</t>
        </is>
      </c>
      <c r="H65" s="165" t="inlineStr">
        <is>
          <t>说明</t>
        </is>
      </c>
    </row>
    <row r="66" ht="15" customHeight="1" s="144">
      <c r="A66" s="218" t="inlineStr">
        <is>
          <t>P06</t>
        </is>
      </c>
      <c r="B66" s="222" t="inlineStr">
        <is>
          <t>辅料费用</t>
        </is>
      </c>
      <c r="C66" s="222" t="inlineStr">
        <is>
          <t>标签</t>
        </is>
      </c>
      <c r="D66" s="214" t="n">
        <v>0.04</v>
      </c>
      <c r="E66" s="232" t="n">
        <v>0</v>
      </c>
      <c r="F66" s="216" t="n">
        <v>1</v>
      </c>
      <c r="G66" s="221">
        <f>IFERROR(D66*E66*F66,0)</f>
        <v/>
      </c>
      <c r="H66" s="169" t="inlineStr">
        <is>
          <t>元/个</t>
        </is>
      </c>
    </row>
    <row r="67" ht="15" customHeight="1" s="144">
      <c r="A67" s="222" t="n"/>
      <c r="B67" s="222" t="n"/>
      <c r="C67" s="222" t="inlineStr">
        <is>
          <t>助焊剂</t>
        </is>
      </c>
      <c r="D67" s="214" t="n">
        <v>0.019</v>
      </c>
      <c r="E67" s="232" t="n">
        <v>0</v>
      </c>
      <c r="F67" s="216" t="n">
        <v>1.2</v>
      </c>
      <c r="G67" s="221">
        <f>IFERROR(D67*E67*F67,0)</f>
        <v/>
      </c>
      <c r="H67" s="169" t="n"/>
    </row>
    <row r="68" ht="15" customHeight="1" s="144">
      <c r="A68" s="222" t="n"/>
      <c r="B68" s="222" t="n"/>
      <c r="C68" s="222" t="inlineStr">
        <is>
          <t>锡条(g)</t>
        </is>
      </c>
      <c r="D68" s="214" t="n">
        <v>0.279</v>
      </c>
      <c r="E68" s="232" t="n">
        <v>0</v>
      </c>
      <c r="F68" s="216" t="n">
        <v>1.1</v>
      </c>
      <c r="G68" s="221">
        <f>IFERROR(D68*E68*F68,0)</f>
        <v/>
      </c>
      <c r="H68" s="169" t="n"/>
    </row>
    <row r="69" ht="15" customHeight="1" s="144">
      <c r="A69" s="222" t="n"/>
      <c r="B69" s="222" t="n"/>
      <c r="C69" s="222" t="inlineStr">
        <is>
          <t>锡丝(g)</t>
        </is>
      </c>
      <c r="D69" s="214" t="n">
        <v>0.196</v>
      </c>
      <c r="E69" s="232" t="n">
        <v>0</v>
      </c>
      <c r="F69" s="216" t="n">
        <v>1.2</v>
      </c>
      <c r="G69" s="221">
        <f>IFERROR(D69*E69*F69,0)</f>
        <v/>
      </c>
      <c r="H69" s="169" t="n"/>
    </row>
    <row r="70" ht="15" customHeight="1" s="144">
      <c r="A70" s="222" t="n"/>
      <c r="B70" s="222" t="n"/>
      <c r="C70" s="222" t="inlineStr">
        <is>
          <t>胶类(g)</t>
        </is>
      </c>
      <c r="D70" s="214" t="n">
        <v>0.04</v>
      </c>
      <c r="E70" s="232" t="n">
        <v>0</v>
      </c>
      <c r="F70" s="216" t="n">
        <v>1.1</v>
      </c>
      <c r="G70" s="221">
        <f>IFERROR(D70*E70*F70,0)</f>
        <v/>
      </c>
      <c r="H70" s="169" t="n"/>
    </row>
    <row r="71" ht="15" customHeight="1" s="144">
      <c r="A71" s="222" t="n"/>
      <c r="B71" s="222" t="n"/>
      <c r="C71" s="222" t="inlineStr">
        <is>
          <t>漆(g)</t>
        </is>
      </c>
      <c r="D71" s="214" t="n">
        <v>0.21</v>
      </c>
      <c r="E71" s="232" t="n">
        <v>0</v>
      </c>
      <c r="F71" s="216" t="n">
        <v>1.2</v>
      </c>
      <c r="G71" s="221">
        <f>IFERROR(D71*E71*F71,0)</f>
        <v/>
      </c>
      <c r="H71" s="169" t="inlineStr">
        <is>
          <t>三防漆</t>
        </is>
      </c>
    </row>
    <row r="72" ht="15" customHeight="1" s="144">
      <c r="A72" s="222" t="n"/>
      <c r="B72" s="222" t="n"/>
      <c r="C72" s="218" t="inlineStr">
        <is>
          <t>A/B胶(g)</t>
        </is>
      </c>
      <c r="D72" s="214" t="n">
        <v>0.024</v>
      </c>
      <c r="E72" s="232" t="n">
        <v>0</v>
      </c>
      <c r="F72" s="216" t="n">
        <v>1.2</v>
      </c>
      <c r="G72" s="221">
        <f>IFERROR(D72*E72*F72,0)</f>
        <v/>
      </c>
      <c r="H72" s="169" t="n"/>
    </row>
    <row r="73" ht="15" customHeight="1" s="144">
      <c r="C73" s="210" t="inlineStr">
        <is>
          <t>辅料成本(元)</t>
        </is>
      </c>
      <c r="G73" s="224">
        <f>SUM(G66:G72)</f>
        <v/>
      </c>
    </row>
    <row r="75" ht="15" customHeight="1" s="144">
      <c r="A75" s="231" t="inlineStr">
        <is>
          <t>P07 治具/夹具费｜注：商空项目夹具张数已置0，工装48700元直接向客户收取，见报价汇总「六、一次性费用」，不计入单台成本</t>
        </is>
      </c>
    </row>
    <row r="76" ht="15" customHeight="1" s="144">
      <c r="A76" s="165" t="inlineStr">
        <is>
          <t>项目</t>
        </is>
      </c>
      <c r="B76" s="165" t="inlineStr">
        <is>
          <t>费用类型</t>
        </is>
      </c>
      <c r="C76" s="165" t="inlineStr">
        <is>
          <t>夹具类型</t>
        </is>
      </c>
      <c r="D76" s="165" t="inlineStr">
        <is>
          <t>单价(元)</t>
        </is>
      </c>
      <c r="E76" s="165" t="inlineStr">
        <is>
          <t>个/张数</t>
        </is>
      </c>
      <c r="F76" s="165" t="inlineStr">
        <is>
          <t>备注</t>
        </is>
      </c>
      <c r="G76" s="165" t="inlineStr">
        <is>
          <t>夹具费用(元)</t>
        </is>
      </c>
      <c r="H76" s="165" t="inlineStr">
        <is>
          <t>说明</t>
        </is>
      </c>
    </row>
    <row r="77" ht="15" customHeight="1" s="144">
      <c r="A77" s="218" t="inlineStr">
        <is>
          <t>P07</t>
        </is>
      </c>
      <c r="B77" s="222" t="inlineStr">
        <is>
          <t>夹具费用</t>
        </is>
      </c>
      <c r="C77" s="222" t="inlineStr">
        <is>
          <t>钢网</t>
        </is>
      </c>
      <c r="D77" s="219" t="n">
        <v>265</v>
      </c>
      <c r="E77" s="219" t="n">
        <v>0</v>
      </c>
      <c r="F77" s="222" t="n"/>
      <c r="G77" s="233">
        <f>IFERROR(D77*E77,0)</f>
        <v/>
      </c>
      <c r="H77" s="222" t="n"/>
    </row>
    <row r="78" ht="15" customHeight="1" s="144">
      <c r="A78" s="222" t="n"/>
      <c r="B78" s="222" t="n"/>
      <c r="C78" s="222" t="inlineStr">
        <is>
          <t>印刷辅助治具</t>
        </is>
      </c>
      <c r="D78" s="219" t="n">
        <v>1000</v>
      </c>
      <c r="E78" s="219" t="n">
        <v>0</v>
      </c>
      <c r="F78" s="222" t="n"/>
      <c r="G78" s="233">
        <f>IFERROR(D78*E78,0)</f>
        <v/>
      </c>
      <c r="H78" s="222" t="n"/>
    </row>
    <row r="79" ht="15" customHeight="1" s="144">
      <c r="A79" s="222" t="n"/>
      <c r="B79" s="222" t="n"/>
      <c r="C79" s="222" t="inlineStr">
        <is>
          <t>过锡炉治具</t>
        </is>
      </c>
      <c r="D79" s="219" t="n">
        <v>350</v>
      </c>
      <c r="E79" s="219" t="n">
        <v>0</v>
      </c>
      <c r="F79" s="222" t="n"/>
      <c r="G79" s="233">
        <f>IFERROR(D79*E79,0)</f>
        <v/>
      </c>
      <c r="H79" s="222" t="n"/>
    </row>
    <row r="80" ht="15" customHeight="1" s="144">
      <c r="A80" s="222" t="n"/>
      <c r="B80" s="222" t="n"/>
      <c r="C80" s="222" t="inlineStr">
        <is>
          <t>焊接治具</t>
        </is>
      </c>
      <c r="D80" s="219" t="n">
        <v>1500</v>
      </c>
      <c r="E80" s="219" t="n">
        <v>0</v>
      </c>
      <c r="F80" s="222" t="n"/>
      <c r="G80" s="233">
        <f>IFERROR(D80*E80,0)</f>
        <v/>
      </c>
      <c r="H80" s="222" t="n"/>
    </row>
    <row r="81" ht="15" customHeight="1" s="144">
      <c r="A81" s="222" t="n"/>
      <c r="B81" s="222" t="n"/>
      <c r="C81" s="222" t="inlineStr">
        <is>
          <t>铆钉模具</t>
        </is>
      </c>
      <c r="D81" s="219" t="n">
        <v>20000</v>
      </c>
      <c r="E81" s="219" t="n">
        <v>0</v>
      </c>
      <c r="F81" s="222" t="n"/>
      <c r="G81" s="233">
        <f>IFERROR(D81*E81,0)</f>
        <v/>
      </c>
      <c r="H81" s="222" t="n"/>
    </row>
    <row r="82" ht="15" customHeight="1" s="144">
      <c r="A82" s="222" t="n"/>
      <c r="B82" s="222" t="n"/>
      <c r="C82" s="222" t="inlineStr">
        <is>
          <t>分板治具</t>
        </is>
      </c>
      <c r="D82" s="219" t="n">
        <v>800</v>
      </c>
      <c r="E82" s="219" t="n">
        <v>0</v>
      </c>
      <c r="F82" s="222" t="n"/>
      <c r="G82" s="233">
        <f>IFERROR(D82*E82,0)</f>
        <v/>
      </c>
      <c r="H82" s="222" t="n"/>
    </row>
    <row r="83" ht="15" customHeight="1" s="144">
      <c r="A83" s="222" t="n"/>
      <c r="B83" s="222" t="n"/>
      <c r="C83" s="218" t="inlineStr">
        <is>
          <t>ICT治具</t>
        </is>
      </c>
      <c r="D83" s="219" t="n">
        <v>8000</v>
      </c>
      <c r="E83" s="219" t="n">
        <v>0</v>
      </c>
      <c r="F83" s="222" t="n"/>
      <c r="G83" s="233">
        <f>IFERROR(D83*E83,0)</f>
        <v/>
      </c>
      <c r="H83" s="222" t="n"/>
    </row>
    <row r="84" ht="15" customHeight="1" s="144">
      <c r="A84" s="222" t="n"/>
      <c r="B84" s="222" t="n"/>
      <c r="C84" s="222" t="inlineStr">
        <is>
          <t>烧录工装</t>
        </is>
      </c>
      <c r="D84" s="219" t="n">
        <v>4000</v>
      </c>
      <c r="E84" s="219" t="n">
        <v>0</v>
      </c>
      <c r="F84" s="222" t="n"/>
      <c r="G84" s="233">
        <f>IFERROR(D84*E84,0)</f>
        <v/>
      </c>
      <c r="H84" s="222" t="n"/>
    </row>
    <row r="85" ht="15" customHeight="1" s="144">
      <c r="A85" s="222" t="n"/>
      <c r="B85" s="222" t="n"/>
      <c r="C85" s="218" t="inlineStr">
        <is>
          <t>FCT工装</t>
        </is>
      </c>
      <c r="D85" s="219" t="n">
        <v>8000</v>
      </c>
      <c r="E85" s="219" t="n">
        <v>0</v>
      </c>
      <c r="F85" s="222" t="n"/>
      <c r="G85" s="233">
        <f>IFERROR(D85*E85,0)</f>
        <v/>
      </c>
      <c r="H85" s="222" t="n"/>
    </row>
    <row r="86" ht="15" customHeight="1" s="144">
      <c r="A86" s="222" t="n"/>
      <c r="B86" s="222" t="n"/>
      <c r="C86" s="218" t="inlineStr">
        <is>
          <t>OQC检验工装</t>
        </is>
      </c>
      <c r="D86" s="219" t="n">
        <v>4000</v>
      </c>
      <c r="E86" s="219" t="n">
        <v>0</v>
      </c>
      <c r="F86" s="222" t="n"/>
      <c r="G86" s="233">
        <f>IFERROR(D86*E86,0)</f>
        <v/>
      </c>
      <c r="H86" s="222" t="n"/>
    </row>
    <row r="87" ht="15" customHeight="1" s="144">
      <c r="A87" s="222" t="n"/>
      <c r="B87" s="222" t="n"/>
      <c r="C87" s="222" t="inlineStr">
        <is>
          <t>喷漆治具</t>
        </is>
      </c>
      <c r="D87" s="219" t="n">
        <v>800</v>
      </c>
      <c r="E87" s="219" t="n">
        <v>0</v>
      </c>
      <c r="F87" s="222" t="n"/>
      <c r="G87" s="233">
        <f>IFERROR(D87*E87,0)</f>
        <v/>
      </c>
      <c r="H87" s="222" t="n"/>
    </row>
    <row r="88" ht="15" customHeight="1" s="144">
      <c r="A88" s="222" t="n"/>
      <c r="B88" s="222" t="n"/>
      <c r="C88" s="222" t="inlineStr">
        <is>
          <t>灌胶治具</t>
        </is>
      </c>
      <c r="D88" s="219" t="n">
        <v>300</v>
      </c>
      <c r="E88" s="219" t="n">
        <v>0</v>
      </c>
      <c r="F88" s="222" t="n"/>
      <c r="G88" s="233">
        <f>IFERROR(D88*E88,0)</f>
        <v/>
      </c>
      <c r="H88" s="222" t="n"/>
    </row>
    <row r="89" ht="15" customHeight="1" s="144">
      <c r="C89" s="210" t="inlineStr">
        <is>
          <t>夹具一次性总费用(元)</t>
        </is>
      </c>
      <c r="G89" s="234">
        <f>SUM(G77:G88)</f>
        <v/>
      </c>
    </row>
    <row r="90" ht="15" customHeight="1" s="144">
      <c r="C90" s="210" t="inlineStr">
        <is>
          <t>夹具单片分担费用(元)</t>
        </is>
      </c>
      <c r="G90" s="224">
        <f>IFERROR($G$89/$G$3,0)</f>
        <v/>
      </c>
      <c r="H90" s="169" t="inlineStr">
        <is>
          <t>单片分担=一次性总费用÷预计订单数(G3)</t>
        </is>
      </c>
    </row>
    <row r="91" ht="15" customHeight="1" s="144">
      <c r="A91" s="227" t="inlineStr">
        <is>
          <t>单片制造成本合计(元)</t>
        </is>
      </c>
      <c r="B91" s="228" t="n"/>
      <c r="C91" s="228" t="n"/>
      <c r="D91" s="228" t="n"/>
      <c r="E91" s="228" t="n"/>
      <c r="F91" s="228" t="n"/>
      <c r="G91" s="170" t="n"/>
      <c r="H91" s="230">
        <f>$H$62+$G$73+$G$90</f>
        <v/>
      </c>
    </row>
    <row r="93" ht="42.75" customHeight="1" s="144">
      <c r="A93" s="235" t="inlineStr">
        <is>
          <t>制作：             审核：             核准：             批准日期：</t>
        </is>
      </c>
    </row>
  </sheetData>
  <mergeCells count="12">
    <mergeCell ref="G4:H4"/>
    <mergeCell ref="A6:H6"/>
    <mergeCell ref="A30:H30"/>
    <mergeCell ref="A23:H23"/>
    <mergeCell ref="A91:G91"/>
    <mergeCell ref="A64:H64"/>
    <mergeCell ref="A41:H41"/>
    <mergeCell ref="A1:H1"/>
    <mergeCell ref="A75:H75"/>
    <mergeCell ref="A62:F62"/>
    <mergeCell ref="E3:F3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8" customWidth="1" style="143" min="1" max="1"/>
    <col width="26" customWidth="1" style="143" min="2" max="2"/>
    <col width="16" customWidth="1" style="143" min="3" max="3"/>
    <col width="14" customWidth="1" style="143" min="4" max="5"/>
    <col width="40" customWidth="1" style="143" min="6" max="6"/>
  </cols>
  <sheetData>
    <row r="1" ht="25.5" customHeight="1" s="144">
      <c r="A1" s="209" t="inlineStr">
        <is>
          <t>加工成本明细（商空大功率驱动板·综合加工成本构成）</t>
        </is>
      </c>
    </row>
    <row r="3" ht="15" customHeight="1" s="144">
      <c r="A3" s="236" t="inlineStr">
        <is>
          <t>一、加工成本构成（元/台，综合口径：人工+制费+SMT/机插）</t>
        </is>
      </c>
    </row>
    <row r="4" ht="15" customHeight="1" s="144">
      <c r="A4" s="165" t="inlineStr">
        <is>
          <t>序号</t>
        </is>
      </c>
      <c r="B4" s="165" t="inlineStr">
        <is>
          <t>成本组成</t>
        </is>
      </c>
      <c r="C4" s="165" t="inlineStr">
        <is>
          <t>金额(元/台)</t>
        </is>
      </c>
      <c r="D4" s="228" t="n"/>
      <c r="E4" s="170" t="n"/>
      <c r="F4" s="165" t="inlineStr">
        <is>
          <t>说明</t>
        </is>
      </c>
    </row>
    <row r="5" ht="15" customHeight="1" s="144">
      <c r="A5" s="168" t="n">
        <v>1</v>
      </c>
      <c r="B5" s="222" t="inlineStr">
        <is>
          <t>贴片加工成本</t>
        </is>
      </c>
      <c r="C5" s="237" t="n">
        <v>6.1656</v>
      </c>
      <c r="D5" s="228" t="n"/>
      <c r="E5" s="170" t="n"/>
      <c r="F5" s="205" t="inlineStr">
        <is>
          <t>SMT贴片 1101.001点×0.0056</t>
        </is>
      </c>
    </row>
    <row r="6" ht="15" customHeight="1" s="144">
      <c r="A6" s="168" t="n">
        <v>2</v>
      </c>
      <c r="B6" s="222" t="inlineStr">
        <is>
          <t>机插加工成本</t>
        </is>
      </c>
      <c r="C6" s="237" t="n">
        <v>0.2394</v>
      </c>
      <c r="D6" s="228" t="n"/>
      <c r="E6" s="170" t="n"/>
      <c r="F6" s="205" t="inlineStr">
        <is>
          <t>AI机插 14点×0.0171</t>
        </is>
      </c>
    </row>
    <row r="7" ht="15" customHeight="1" s="144">
      <c r="A7" s="168" t="n">
        <v>3</v>
      </c>
      <c r="B7" s="222" t="inlineStr">
        <is>
          <t>预烧写加工成本</t>
        </is>
      </c>
      <c r="C7" s="237" t="n">
        <v>0</v>
      </c>
      <c r="D7" s="228" t="n"/>
      <c r="E7" s="170" t="n"/>
      <c r="F7" s="169" t="inlineStr">
        <is>
          <t>本项目无</t>
        </is>
      </c>
    </row>
    <row r="8" ht="15" customHeight="1" s="144">
      <c r="A8" s="168" t="n">
        <v>4</v>
      </c>
      <c r="B8" s="222" t="inlineStr">
        <is>
          <t>人工成本</t>
        </is>
      </c>
      <c r="C8" s="237" t="n">
        <v>82.0882</v>
      </c>
      <c r="D8" s="228" t="n"/>
      <c r="E8" s="170" t="n"/>
      <c r="F8" s="169" t="inlineStr">
        <is>
          <t>插焊/测试/组装等直接人工（详见二）</t>
        </is>
      </c>
    </row>
    <row r="9" ht="15" customHeight="1" s="144">
      <c r="A9" s="168" t="n">
        <v>5</v>
      </c>
      <c r="B9" s="222" t="inlineStr">
        <is>
          <t>折旧（专用）</t>
        </is>
      </c>
      <c r="C9" s="237" t="n">
        <v>0.8424</v>
      </c>
      <c r="D9" s="228" t="n"/>
      <c r="E9" s="170" t="n"/>
      <c r="F9" s="169" t="inlineStr">
        <is>
          <t>专用设备折旧</t>
        </is>
      </c>
    </row>
    <row r="10" ht="15" customHeight="1" s="144">
      <c r="A10" s="168" t="n">
        <v>6</v>
      </c>
      <c r="B10" s="222" t="inlineStr">
        <is>
          <t>折旧（公共）</t>
        </is>
      </c>
      <c r="C10" s="237" t="n">
        <v>2.2</v>
      </c>
      <c r="D10" s="228" t="n"/>
      <c r="E10" s="170" t="n"/>
      <c r="F10" s="169" t="inlineStr">
        <is>
          <t>公共设备折旧分摊</t>
        </is>
      </c>
    </row>
    <row r="11" ht="15" customHeight="1" s="144">
      <c r="A11" s="168" t="n">
        <v>7</v>
      </c>
      <c r="B11" s="222" t="inlineStr">
        <is>
          <t>水电（专用）</t>
        </is>
      </c>
      <c r="C11" s="237" t="n">
        <v>1.4745</v>
      </c>
      <c r="D11" s="228" t="n"/>
      <c r="E11" s="170" t="n"/>
      <c r="F11" s="169" t="inlineStr">
        <is>
          <t>专用水电</t>
        </is>
      </c>
    </row>
    <row r="12" ht="15" customHeight="1" s="144">
      <c r="A12" s="168" t="n">
        <v>8</v>
      </c>
      <c r="B12" s="222" t="inlineStr">
        <is>
          <t>水电（公共）</t>
        </is>
      </c>
      <c r="C12" s="237" t="n">
        <v>1.4776</v>
      </c>
      <c r="D12" s="228" t="n"/>
      <c r="E12" s="170" t="n"/>
      <c r="F12" s="169" t="inlineStr">
        <is>
          <t>公共水电分摊</t>
        </is>
      </c>
    </row>
    <row r="13" ht="15" customHeight="1" s="144">
      <c r="A13" s="168" t="n">
        <v>9</v>
      </c>
      <c r="B13" s="222" t="inlineStr">
        <is>
          <t>工装</t>
        </is>
      </c>
      <c r="C13" s="237" t="n">
        <v>0</v>
      </c>
      <c r="D13" s="228" t="n"/>
      <c r="E13" s="170" t="n"/>
      <c r="F13" s="169" t="inlineStr">
        <is>
          <t>工装直接向客户收取（详见三），不计入单台</t>
        </is>
      </c>
    </row>
    <row r="14" ht="15" customHeight="1" s="144">
      <c r="A14" s="168" t="n">
        <v>10</v>
      </c>
      <c r="B14" s="222" t="inlineStr">
        <is>
          <t>低值易耗</t>
        </is>
      </c>
      <c r="C14" s="237" t="n">
        <v>4.5477</v>
      </c>
      <c r="D14" s="228" t="n"/>
      <c r="E14" s="170" t="n"/>
      <c r="F14" s="169" t="inlineStr">
        <is>
          <t>低值易耗品摊销</t>
        </is>
      </c>
    </row>
    <row r="15" ht="15" customHeight="1" s="144">
      <c r="A15" s="168" t="n">
        <v>11</v>
      </c>
      <c r="B15" s="222" t="inlineStr">
        <is>
          <t>管理人员工资</t>
        </is>
      </c>
      <c r="C15" s="237" t="n">
        <v>21.3676</v>
      </c>
      <c r="D15" s="228" t="n"/>
      <c r="E15" s="170" t="n"/>
      <c r="F15" s="169" t="inlineStr">
        <is>
          <t>制造管理费用分摊</t>
        </is>
      </c>
    </row>
    <row r="16" ht="15" customHeight="1" s="144">
      <c r="A16" s="168" t="n">
        <v>12</v>
      </c>
      <c r="B16" s="222" t="inlineStr">
        <is>
          <t>其他</t>
        </is>
      </c>
      <c r="C16" s="237" t="n">
        <v>6.0253</v>
      </c>
      <c r="D16" s="228" t="n"/>
      <c r="E16" s="170" t="n"/>
      <c r="F16" s="169" t="inlineStr">
        <is>
          <t>其他制造费用</t>
        </is>
      </c>
    </row>
    <row r="17" ht="15" customHeight="1" s="144">
      <c r="A17" s="168" t="n">
        <v>13</v>
      </c>
      <c r="B17" s="222" t="inlineStr">
        <is>
          <t>检验成本</t>
        </is>
      </c>
      <c r="C17" s="237" t="n">
        <v>0</v>
      </c>
      <c r="D17" s="228" t="n"/>
      <c r="E17" s="170" t="n"/>
      <c r="F17" s="169" t="inlineStr">
        <is>
          <t>本项目未单列</t>
        </is>
      </c>
    </row>
    <row r="18" ht="15" customHeight="1" s="144">
      <c r="A18" s="229" t="n"/>
      <c r="B18" s="227" t="inlineStr">
        <is>
          <t>加工成本合计(元/台)</t>
        </is>
      </c>
      <c r="C18" s="230">
        <f>SUM(C5:C17)</f>
        <v/>
      </c>
      <c r="D18" s="228" t="n"/>
      <c r="E18" s="170" t="n"/>
      <c r="F18" s="175" t="inlineStr">
        <is>
          <t>→ 报价汇总「四、成本构成」加工成本行</t>
        </is>
      </c>
    </row>
    <row r="20" ht="15" customHeight="1" s="144">
      <c r="A20" s="236" t="inlineStr">
        <is>
          <t>二、人工工时定额明细（源表未提供逐行人工成本，人工成本合计82.0882元见上）</t>
        </is>
      </c>
    </row>
    <row r="21" ht="15" customHeight="1" s="144">
      <c r="A21" s="165" t="inlineStr">
        <is>
          <t>序号</t>
        </is>
      </c>
      <c r="B21" s="165" t="inlineStr">
        <is>
          <t>生产分段</t>
        </is>
      </c>
      <c r="C21" s="165" t="inlineStr">
        <is>
          <t>工序类别</t>
        </is>
      </c>
      <c r="D21" s="165" t="inlineStr">
        <is>
          <t>生产定额</t>
        </is>
      </c>
      <c r="E21" s="165" t="inlineStr">
        <is>
          <t>人数</t>
        </is>
      </c>
      <c r="F21" s="165" t="inlineStr">
        <is>
          <t>备注</t>
        </is>
      </c>
    </row>
    <row r="22" ht="15" customHeight="1" s="144">
      <c r="A22" s="168" t="n">
        <v>1</v>
      </c>
      <c r="B22" s="238" t="inlineStr">
        <is>
          <t>装配段</t>
        </is>
      </c>
      <c r="C22" s="238" t="inlineStr">
        <is>
          <t>装配</t>
        </is>
      </c>
      <c r="D22" s="239" t="n">
        <v>12</v>
      </c>
      <c r="E22" s="239" t="n">
        <v>10</v>
      </c>
      <c r="F22" s="169" t="n"/>
    </row>
    <row r="23" ht="15" customHeight="1" s="144">
      <c r="A23" s="168" t="n">
        <v>2</v>
      </c>
      <c r="B23" s="238" t="inlineStr">
        <is>
          <t>装配段</t>
        </is>
      </c>
      <c r="C23" s="240" t="inlineStr">
        <is>
          <t>FCT</t>
        </is>
      </c>
      <c r="D23" s="239" t="n">
        <v>12</v>
      </c>
      <c r="E23" s="239" t="n">
        <v>2</v>
      </c>
      <c r="F23" s="169" t="n"/>
    </row>
    <row r="24" ht="15" customHeight="1" s="144">
      <c r="A24" s="168" t="n">
        <v>3</v>
      </c>
      <c r="B24" s="238" t="inlineStr">
        <is>
          <t>装配段</t>
        </is>
      </c>
      <c r="C24" s="238" t="inlineStr">
        <is>
          <t>外观检验</t>
        </is>
      </c>
      <c r="D24" s="239" t="n">
        <v>12</v>
      </c>
      <c r="E24" s="239" t="n">
        <v>2</v>
      </c>
      <c r="F24" s="169" t="n"/>
    </row>
    <row r="25" ht="15" customHeight="1" s="144">
      <c r="A25" s="168" t="n">
        <v>4</v>
      </c>
      <c r="B25" s="238" t="inlineStr">
        <is>
          <t>装配段</t>
        </is>
      </c>
      <c r="C25" s="240" t="inlineStr">
        <is>
          <t>OQC</t>
        </is>
      </c>
      <c r="D25" s="239" t="n">
        <v>12</v>
      </c>
      <c r="E25" s="239" t="n">
        <v>0.24</v>
      </c>
      <c r="F25" s="169" t="n"/>
    </row>
    <row r="26" ht="15" customHeight="1" s="144">
      <c r="A26" s="168" t="n">
        <v>5</v>
      </c>
      <c r="B26" s="238" t="inlineStr">
        <is>
          <t>装配段</t>
        </is>
      </c>
      <c r="C26" s="238" t="inlineStr">
        <is>
          <t>产前准备</t>
        </is>
      </c>
      <c r="D26" s="239" t="n">
        <v>12</v>
      </c>
      <c r="E26" s="239" t="n">
        <v>0.6</v>
      </c>
      <c r="F26" s="169" t="n"/>
    </row>
    <row r="27" ht="15" customHeight="1" s="144">
      <c r="A27" s="168" t="n">
        <v>6</v>
      </c>
      <c r="B27" s="238" t="inlineStr">
        <is>
          <t>装配段</t>
        </is>
      </c>
      <c r="C27" s="238" t="inlineStr">
        <is>
          <t>杂项设备</t>
        </is>
      </c>
      <c r="D27" s="239" t="n">
        <v>12</v>
      </c>
      <c r="E27" s="239" t="n">
        <v>0.6</v>
      </c>
      <c r="F27" s="169" t="n"/>
    </row>
    <row r="28" ht="15" customHeight="1" s="144">
      <c r="A28" s="168" t="n">
        <v>7</v>
      </c>
      <c r="B28" s="238" t="inlineStr">
        <is>
          <t>装配段</t>
        </is>
      </c>
      <c r="C28" s="238" t="inlineStr">
        <is>
          <t>维修清尾</t>
        </is>
      </c>
      <c r="D28" s="239" t="n">
        <v>12</v>
      </c>
      <c r="E28" s="239" t="n">
        <v>0.36</v>
      </c>
      <c r="F28" s="169" t="n"/>
    </row>
    <row r="29" ht="15" customHeight="1" s="144">
      <c r="A29" s="168" t="n">
        <v>8</v>
      </c>
      <c r="B29" s="238" t="inlineStr">
        <is>
          <t>装配段</t>
        </is>
      </c>
      <c r="C29" s="238" t="inlineStr">
        <is>
          <t>包装</t>
        </is>
      </c>
      <c r="D29" s="239" t="n">
        <v>12</v>
      </c>
      <c r="E29" s="239" t="n">
        <v>2</v>
      </c>
      <c r="F29" s="169" t="n"/>
    </row>
    <row r="30" ht="15" customHeight="1" s="144">
      <c r="A30" s="168" t="n">
        <v>9</v>
      </c>
      <c r="B30" s="238" t="inlineStr">
        <is>
          <t>插焊段</t>
        </is>
      </c>
      <c r="C30" s="238" t="inlineStr">
        <is>
          <t>焊接</t>
        </is>
      </c>
      <c r="D30" s="239" t="n">
        <v>80</v>
      </c>
      <c r="E30" s="239" t="n">
        <v>5</v>
      </c>
      <c r="F30" s="169" t="n"/>
    </row>
    <row r="31" ht="15" customHeight="1" s="144">
      <c r="A31" s="168" t="n">
        <v>10</v>
      </c>
      <c r="B31" s="238" t="inlineStr">
        <is>
          <t>插焊段</t>
        </is>
      </c>
      <c r="C31" s="238" t="inlineStr">
        <is>
          <t>插件</t>
        </is>
      </c>
      <c r="D31" s="239" t="n">
        <v>80</v>
      </c>
      <c r="E31" s="239" t="n">
        <v>9</v>
      </c>
      <c r="F31" s="169" t="n"/>
    </row>
    <row r="32" ht="15" customHeight="1" s="144">
      <c r="A32" s="168" t="n">
        <v>11</v>
      </c>
      <c r="B32" s="238" t="inlineStr">
        <is>
          <t>插焊段</t>
        </is>
      </c>
      <c r="C32" s="238" t="inlineStr">
        <is>
          <t>维修清尾</t>
        </is>
      </c>
      <c r="D32" s="239" t="n">
        <v>80</v>
      </c>
      <c r="E32" s="239" t="n">
        <v>0.5</v>
      </c>
      <c r="F32" s="169" t="n"/>
    </row>
    <row r="33" ht="15" customHeight="1" s="144">
      <c r="A33" s="168" t="n">
        <v>12</v>
      </c>
      <c r="B33" s="238" t="inlineStr">
        <is>
          <t>插焊段</t>
        </is>
      </c>
      <c r="C33" s="238" t="inlineStr">
        <is>
          <t>喷漆</t>
        </is>
      </c>
      <c r="D33" s="239" t="n">
        <v>80</v>
      </c>
      <c r="E33" s="239" t="n">
        <v>0.6</v>
      </c>
      <c r="F33" s="169" t="n"/>
    </row>
    <row r="34" ht="15" customHeight="1" s="144">
      <c r="A34" s="168" t="n">
        <v>13</v>
      </c>
      <c r="B34" s="238" t="inlineStr">
        <is>
          <t>插焊段</t>
        </is>
      </c>
      <c r="C34" s="238" t="inlineStr">
        <is>
          <t>杂项设备</t>
        </is>
      </c>
      <c r="D34" s="239" t="n">
        <v>80</v>
      </c>
      <c r="E34" s="239" t="n">
        <v>0.4</v>
      </c>
      <c r="F34" s="169" t="n"/>
    </row>
    <row r="35" ht="15" customHeight="1" s="144">
      <c r="A35" s="168" t="n">
        <v>14</v>
      </c>
      <c r="B35" s="238" t="inlineStr">
        <is>
          <t>插焊段</t>
        </is>
      </c>
      <c r="C35" s="238" t="inlineStr">
        <is>
          <t>波峰焊</t>
        </is>
      </c>
      <c r="D35" s="239" t="n">
        <v>80</v>
      </c>
      <c r="E35" s="239" t="n">
        <v>0.4</v>
      </c>
      <c r="F35" s="169" t="n"/>
    </row>
    <row r="36" ht="15" customHeight="1" s="144">
      <c r="A36" s="168" t="n">
        <v>15</v>
      </c>
      <c r="B36" s="238" t="inlineStr">
        <is>
          <t>插焊段</t>
        </is>
      </c>
      <c r="C36" s="238" t="inlineStr">
        <is>
          <t>产前准备</t>
        </is>
      </c>
      <c r="D36" s="239" t="n">
        <v>80</v>
      </c>
      <c r="E36" s="239" t="n">
        <v>0.5</v>
      </c>
      <c r="F36" s="169" t="n"/>
    </row>
    <row r="37" ht="15" customHeight="1" s="144">
      <c r="A37" s="168" t="n">
        <v>16</v>
      </c>
      <c r="B37" s="238" t="inlineStr">
        <is>
          <t>插焊段</t>
        </is>
      </c>
      <c r="C37" s="238" t="inlineStr">
        <is>
          <t>整形</t>
        </is>
      </c>
      <c r="D37" s="239" t="n">
        <v>80</v>
      </c>
      <c r="E37" s="239" t="n">
        <v>1</v>
      </c>
      <c r="F37" s="169" t="n"/>
    </row>
    <row r="38" ht="15" customHeight="1" s="144">
      <c r="A38" s="168" t="n">
        <v>17</v>
      </c>
      <c r="B38" s="238" t="inlineStr">
        <is>
          <t>插焊段</t>
        </is>
      </c>
      <c r="C38" s="238" t="inlineStr">
        <is>
          <t>外观检验</t>
        </is>
      </c>
      <c r="D38" s="239" t="n">
        <v>80</v>
      </c>
      <c r="E38" s="239" t="n">
        <v>1</v>
      </c>
      <c r="F38" s="169" t="n"/>
    </row>
    <row r="39" ht="15" customHeight="1" s="144">
      <c r="A39" s="168" t="n">
        <v>18</v>
      </c>
      <c r="B39" s="238" t="inlineStr">
        <is>
          <t>插焊段</t>
        </is>
      </c>
      <c r="C39" s="240" t="inlineStr">
        <is>
          <t>ICT</t>
        </is>
      </c>
      <c r="D39" s="239" t="n">
        <v>80</v>
      </c>
      <c r="E39" s="239" t="n">
        <v>1</v>
      </c>
      <c r="F39" s="169" t="n"/>
    </row>
    <row r="40" ht="15" customHeight="1" s="144">
      <c r="A40" s="168" t="n">
        <v>19</v>
      </c>
      <c r="B40" s="238" t="inlineStr">
        <is>
          <t>插焊段</t>
        </is>
      </c>
      <c r="C40" s="238" t="inlineStr">
        <is>
          <t>在线烧写</t>
        </is>
      </c>
      <c r="D40" s="239" t="n">
        <v>80</v>
      </c>
      <c r="E40" s="239" t="n">
        <v>1</v>
      </c>
      <c r="F40" s="169" t="n"/>
    </row>
    <row r="41" ht="15" customHeight="1" s="144">
      <c r="A41" s="168" t="n">
        <v>20</v>
      </c>
      <c r="B41" s="238" t="inlineStr">
        <is>
          <t>插焊段</t>
        </is>
      </c>
      <c r="C41" s="240" t="inlineStr">
        <is>
          <t>FCT</t>
        </is>
      </c>
      <c r="D41" s="239" t="n">
        <v>80</v>
      </c>
      <c r="E41" s="239" t="n">
        <v>2</v>
      </c>
      <c r="F41" s="169" t="n"/>
    </row>
    <row r="42" ht="15" customHeight="1" s="144">
      <c r="A42" s="168" t="n">
        <v>21</v>
      </c>
      <c r="B42" s="238" t="inlineStr">
        <is>
          <t>插焊段2</t>
        </is>
      </c>
      <c r="C42" s="238" t="inlineStr">
        <is>
          <t>外观检验</t>
        </is>
      </c>
      <c r="D42" s="239" t="n">
        <v>40</v>
      </c>
      <c r="E42" s="239" t="n">
        <v>1</v>
      </c>
      <c r="F42" s="169" t="n"/>
    </row>
    <row r="43" ht="15" customHeight="1" s="144">
      <c r="A43" s="168" t="n">
        <v>22</v>
      </c>
      <c r="B43" s="238" t="inlineStr">
        <is>
          <t>插焊段2</t>
        </is>
      </c>
      <c r="C43" s="240" t="inlineStr">
        <is>
          <t>FCT</t>
        </is>
      </c>
      <c r="D43" s="239" t="n">
        <v>40</v>
      </c>
      <c r="E43" s="239" t="n">
        <v>2</v>
      </c>
      <c r="F43" s="169" t="n"/>
    </row>
    <row r="44" ht="15" customHeight="1" s="144">
      <c r="A44" s="168" t="n">
        <v>23</v>
      </c>
      <c r="B44" s="238" t="inlineStr">
        <is>
          <t>插焊段2</t>
        </is>
      </c>
      <c r="C44" s="238" t="inlineStr">
        <is>
          <t>装配</t>
        </is>
      </c>
      <c r="D44" s="239" t="n">
        <v>40</v>
      </c>
      <c r="E44" s="239" t="n">
        <v>2</v>
      </c>
      <c r="F44" s="169" t="n"/>
    </row>
    <row r="45" ht="15" customHeight="1" s="144">
      <c r="A45" s="168" t="n">
        <v>24</v>
      </c>
      <c r="B45" s="238" t="inlineStr">
        <is>
          <t>插焊段2</t>
        </is>
      </c>
      <c r="C45" s="238" t="inlineStr">
        <is>
          <t>焊接</t>
        </is>
      </c>
      <c r="D45" s="239" t="n">
        <v>40</v>
      </c>
      <c r="E45" s="239" t="n">
        <v>6</v>
      </c>
      <c r="F45" s="169" t="n"/>
    </row>
    <row r="46" ht="15" customHeight="1" s="144">
      <c r="A46" s="168" t="n">
        <v>25</v>
      </c>
      <c r="B46" s="238" t="inlineStr">
        <is>
          <t>插焊段2</t>
        </is>
      </c>
      <c r="C46" s="238" t="inlineStr">
        <is>
          <t>维修清尾</t>
        </is>
      </c>
      <c r="D46" s="239" t="n">
        <v>40</v>
      </c>
      <c r="E46" s="239" t="n">
        <v>0.4</v>
      </c>
      <c r="F46" s="169" t="n"/>
    </row>
    <row r="47" ht="15" customHeight="1" s="144">
      <c r="A47" s="168" t="n">
        <v>26</v>
      </c>
      <c r="B47" s="238" t="inlineStr">
        <is>
          <t>插焊段2</t>
        </is>
      </c>
      <c r="C47" s="238" t="inlineStr">
        <is>
          <t>杂项设备</t>
        </is>
      </c>
      <c r="D47" s="239" t="n">
        <v>40</v>
      </c>
      <c r="E47" s="239" t="n">
        <v>0.3</v>
      </c>
      <c r="F47" s="169" t="n"/>
    </row>
    <row r="48" ht="15" customHeight="1" s="144">
      <c r="A48" s="168" t="n">
        <v>27</v>
      </c>
      <c r="B48" s="238" t="inlineStr">
        <is>
          <t>插焊段2</t>
        </is>
      </c>
      <c r="C48" s="238" t="inlineStr">
        <is>
          <t>产前准备</t>
        </is>
      </c>
      <c r="D48" s="239" t="n">
        <v>40</v>
      </c>
      <c r="E48" s="239" t="n">
        <v>0.6</v>
      </c>
      <c r="F48" s="169" t="n"/>
    </row>
    <row r="49" ht="15" customHeight="1" s="144">
      <c r="A49" s="168" t="n">
        <v>28</v>
      </c>
      <c r="B49" s="238" t="inlineStr">
        <is>
          <t>插焊段2</t>
        </is>
      </c>
      <c r="C49" s="240" t="inlineStr">
        <is>
          <t>OQC</t>
        </is>
      </c>
      <c r="D49" s="239" t="n">
        <v>40</v>
      </c>
      <c r="E49" s="239" t="n">
        <v>0.5</v>
      </c>
      <c r="F49" s="169" t="n"/>
    </row>
    <row r="50" ht="15" customHeight="1" s="144">
      <c r="A50" s="168" t="n">
        <v>29</v>
      </c>
      <c r="B50" s="238" t="inlineStr">
        <is>
          <t>插焊段</t>
        </is>
      </c>
      <c r="C50" s="238" t="inlineStr">
        <is>
          <t>焊接</t>
        </is>
      </c>
      <c r="D50" s="239" t="n">
        <v>110</v>
      </c>
      <c r="E50" s="239" t="n">
        <v>3</v>
      </c>
      <c r="F50" s="169" t="n"/>
    </row>
    <row r="51" ht="15" customHeight="1" s="144">
      <c r="A51" s="168" t="n">
        <v>30</v>
      </c>
      <c r="B51" s="238" t="inlineStr">
        <is>
          <t>插焊段</t>
        </is>
      </c>
      <c r="C51" s="240" t="inlineStr">
        <is>
          <t>ICT</t>
        </is>
      </c>
      <c r="D51" s="239" t="n">
        <v>110</v>
      </c>
      <c r="E51" s="239" t="n">
        <v>1</v>
      </c>
      <c r="F51" s="169" t="n"/>
    </row>
    <row r="52" ht="15" customHeight="1" s="144">
      <c r="A52" s="168" t="n">
        <v>31</v>
      </c>
      <c r="B52" s="238" t="inlineStr">
        <is>
          <t>插焊段</t>
        </is>
      </c>
      <c r="C52" s="238" t="inlineStr">
        <is>
          <t>在线烧写</t>
        </is>
      </c>
      <c r="D52" s="239" t="n">
        <v>110</v>
      </c>
      <c r="E52" s="239" t="n">
        <v>1</v>
      </c>
      <c r="F52" s="169" t="n"/>
    </row>
    <row r="53" ht="15" customHeight="1" s="144">
      <c r="A53" s="168" t="n">
        <v>32</v>
      </c>
      <c r="B53" s="238" t="inlineStr">
        <is>
          <t>插焊段</t>
        </is>
      </c>
      <c r="C53" s="240" t="inlineStr">
        <is>
          <t>FCT</t>
        </is>
      </c>
      <c r="D53" s="239" t="n">
        <v>110</v>
      </c>
      <c r="E53" s="239" t="n">
        <v>3</v>
      </c>
      <c r="F53" s="169" t="n"/>
    </row>
    <row r="54" ht="15" customHeight="1" s="144">
      <c r="A54" s="168" t="n">
        <v>33</v>
      </c>
      <c r="B54" s="238" t="inlineStr">
        <is>
          <t>插焊段</t>
        </is>
      </c>
      <c r="C54" s="238" t="inlineStr">
        <is>
          <t>外观检验</t>
        </is>
      </c>
      <c r="D54" s="239" t="n">
        <v>110</v>
      </c>
      <c r="E54" s="239" t="n">
        <v>2</v>
      </c>
      <c r="F54" s="169" t="n"/>
    </row>
    <row r="55" ht="15" customHeight="1" s="144">
      <c r="A55" s="168" t="n">
        <v>34</v>
      </c>
      <c r="B55" s="238" t="inlineStr">
        <is>
          <t>插焊段</t>
        </is>
      </c>
      <c r="C55" s="238" t="inlineStr">
        <is>
          <t>整形</t>
        </is>
      </c>
      <c r="D55" s="239" t="n">
        <v>110</v>
      </c>
      <c r="E55" s="239" t="n">
        <v>1</v>
      </c>
      <c r="F55" s="169" t="n"/>
    </row>
    <row r="56" ht="15" customHeight="1" s="144">
      <c r="A56" s="168" t="n">
        <v>35</v>
      </c>
      <c r="B56" s="238" t="inlineStr">
        <is>
          <t>插焊段</t>
        </is>
      </c>
      <c r="C56" s="240" t="inlineStr">
        <is>
          <t>OQC</t>
        </is>
      </c>
      <c r="D56" s="239" t="n">
        <v>110</v>
      </c>
      <c r="E56" s="239" t="n">
        <v>0.3</v>
      </c>
      <c r="F56" s="169" t="n"/>
    </row>
    <row r="57" ht="15" customHeight="1" s="144">
      <c r="A57" s="168" t="n">
        <v>36</v>
      </c>
      <c r="B57" s="238" t="inlineStr">
        <is>
          <t>插焊段</t>
        </is>
      </c>
      <c r="C57" s="238" t="inlineStr">
        <is>
          <t>波峰焊</t>
        </is>
      </c>
      <c r="D57" s="239" t="n">
        <v>110</v>
      </c>
      <c r="E57" s="239" t="n">
        <v>0.4</v>
      </c>
      <c r="F57" s="169" t="n"/>
    </row>
    <row r="58" ht="15" customHeight="1" s="144">
      <c r="A58" s="168" t="n">
        <v>37</v>
      </c>
      <c r="B58" s="238" t="inlineStr">
        <is>
          <t>插焊段</t>
        </is>
      </c>
      <c r="C58" s="238" t="inlineStr">
        <is>
          <t>插件</t>
        </is>
      </c>
      <c r="D58" s="239" t="n">
        <v>110</v>
      </c>
      <c r="E58" s="239" t="n">
        <v>9</v>
      </c>
      <c r="F58" s="169" t="n"/>
    </row>
    <row r="59" ht="15" customHeight="1" s="144">
      <c r="A59" s="168" t="n">
        <v>38</v>
      </c>
      <c r="B59" s="238" t="inlineStr">
        <is>
          <t>插焊段</t>
        </is>
      </c>
      <c r="C59" s="238" t="inlineStr">
        <is>
          <t>杂项设备</t>
        </is>
      </c>
      <c r="D59" s="239" t="n">
        <v>110</v>
      </c>
      <c r="E59" s="239" t="n">
        <v>0.3</v>
      </c>
      <c r="F59" s="169" t="n"/>
    </row>
    <row r="60" ht="15" customHeight="1" s="144">
      <c r="A60" s="168" t="n">
        <v>39</v>
      </c>
      <c r="B60" s="238" t="inlineStr">
        <is>
          <t>插焊段</t>
        </is>
      </c>
      <c r="C60" s="238" t="inlineStr">
        <is>
          <t>喷漆</t>
        </is>
      </c>
      <c r="D60" s="239" t="n">
        <v>110</v>
      </c>
      <c r="E60" s="239" t="n">
        <v>0.3</v>
      </c>
      <c r="F60" s="169" t="n"/>
    </row>
    <row r="61" ht="15" customHeight="1" s="144">
      <c r="A61" s="168" t="n">
        <v>40</v>
      </c>
      <c r="B61" s="238" t="inlineStr">
        <is>
          <t>插焊段</t>
        </is>
      </c>
      <c r="C61" s="238" t="inlineStr">
        <is>
          <t>维修清尾</t>
        </is>
      </c>
      <c r="D61" s="239" t="n">
        <v>110</v>
      </c>
      <c r="E61" s="239" t="n">
        <v>0.6</v>
      </c>
      <c r="F61" s="169" t="n"/>
    </row>
    <row r="62" ht="15" customHeight="1" s="144">
      <c r="A62" s="168" t="n">
        <v>41</v>
      </c>
      <c r="B62" s="238" t="inlineStr">
        <is>
          <t>插焊段</t>
        </is>
      </c>
      <c r="C62" s="238" t="inlineStr">
        <is>
          <t>产前准备</t>
        </is>
      </c>
      <c r="D62" s="239" t="n">
        <v>110</v>
      </c>
      <c r="E62" s="239" t="n">
        <v>0.5</v>
      </c>
      <c r="F62" s="169" t="n"/>
    </row>
    <row r="63" ht="15" customHeight="1" s="144">
      <c r="A63" s="168" t="n">
        <v>42</v>
      </c>
      <c r="B63" s="238" t="inlineStr">
        <is>
          <t>插焊段</t>
        </is>
      </c>
      <c r="C63" s="238" t="inlineStr">
        <is>
          <t>外观检验</t>
        </is>
      </c>
      <c r="D63" s="239" t="n">
        <v>240</v>
      </c>
      <c r="E63" s="239" t="n">
        <v>1</v>
      </c>
      <c r="F63" s="169" t="n"/>
    </row>
    <row r="64" ht="15" customHeight="1" s="144">
      <c r="A64" s="168" t="n">
        <v>43</v>
      </c>
      <c r="B64" s="238" t="inlineStr">
        <is>
          <t>插焊段</t>
        </is>
      </c>
      <c r="C64" s="238" t="inlineStr">
        <is>
          <t>插件</t>
        </is>
      </c>
      <c r="D64" s="239" t="n">
        <v>240</v>
      </c>
      <c r="E64" s="239" t="n">
        <v>6</v>
      </c>
      <c r="F64" s="169" t="n"/>
    </row>
    <row r="65" ht="15" customHeight="1" s="144">
      <c r="A65" s="168" t="n">
        <v>44</v>
      </c>
      <c r="B65" s="238" t="inlineStr">
        <is>
          <t>插焊段</t>
        </is>
      </c>
      <c r="C65" s="238" t="inlineStr">
        <is>
          <t>焊接</t>
        </is>
      </c>
      <c r="D65" s="239" t="n">
        <v>240</v>
      </c>
      <c r="E65" s="239" t="n">
        <v>7</v>
      </c>
      <c r="F65" s="169" t="n"/>
    </row>
    <row r="66" ht="15" customHeight="1" s="144">
      <c r="A66" s="168" t="n">
        <v>45</v>
      </c>
      <c r="B66" s="238" t="inlineStr">
        <is>
          <t>插焊段</t>
        </is>
      </c>
      <c r="C66" s="240" t="inlineStr">
        <is>
          <t>ICT</t>
        </is>
      </c>
      <c r="D66" s="239" t="n">
        <v>240</v>
      </c>
      <c r="E66" s="239" t="n">
        <v>1</v>
      </c>
      <c r="F66" s="169" t="n"/>
    </row>
    <row r="67" ht="15" customHeight="1" s="144">
      <c r="A67" s="168" t="n">
        <v>46</v>
      </c>
      <c r="B67" s="238" t="inlineStr">
        <is>
          <t>插焊段</t>
        </is>
      </c>
      <c r="C67" s="238" t="inlineStr">
        <is>
          <t>整形</t>
        </is>
      </c>
      <c r="D67" s="239" t="n">
        <v>240</v>
      </c>
      <c r="E67" s="239" t="n">
        <v>1</v>
      </c>
      <c r="F67" s="169" t="n"/>
    </row>
    <row r="68" ht="15" customHeight="1" s="144">
      <c r="A68" s="168" t="n">
        <v>47</v>
      </c>
      <c r="B68" s="238" t="inlineStr">
        <is>
          <t>插焊段</t>
        </is>
      </c>
      <c r="C68" s="240" t="inlineStr">
        <is>
          <t>OQC</t>
        </is>
      </c>
      <c r="D68" s="239" t="n">
        <v>240</v>
      </c>
      <c r="E68" s="239" t="n">
        <v>0.4</v>
      </c>
      <c r="F68" s="169" t="n"/>
    </row>
    <row r="69" ht="15" customHeight="1" s="144">
      <c r="A69" s="168" t="n">
        <v>48</v>
      </c>
      <c r="B69" s="238" t="inlineStr">
        <is>
          <t>插焊段</t>
        </is>
      </c>
      <c r="C69" s="238" t="inlineStr">
        <is>
          <t>波峰焊</t>
        </is>
      </c>
      <c r="D69" s="239" t="n">
        <v>240</v>
      </c>
      <c r="E69" s="239" t="n">
        <v>0.4</v>
      </c>
      <c r="F69" s="169" t="n"/>
    </row>
    <row r="70" ht="15" customHeight="1" s="144">
      <c r="A70" s="168" t="n">
        <v>49</v>
      </c>
      <c r="B70" s="238" t="inlineStr">
        <is>
          <t>插焊段</t>
        </is>
      </c>
      <c r="C70" s="238" t="inlineStr">
        <is>
          <t>杂项设备</t>
        </is>
      </c>
      <c r="D70" s="239" t="n">
        <v>240</v>
      </c>
      <c r="E70" s="239" t="n">
        <v>0.3</v>
      </c>
      <c r="F70" s="169" t="n"/>
    </row>
    <row r="71" ht="15" customHeight="1" s="144">
      <c r="A71" s="168" t="n">
        <v>50</v>
      </c>
      <c r="B71" s="238" t="inlineStr">
        <is>
          <t>插焊段</t>
        </is>
      </c>
      <c r="C71" s="238" t="inlineStr">
        <is>
          <t>喷漆</t>
        </is>
      </c>
      <c r="D71" s="239" t="n">
        <v>240</v>
      </c>
      <c r="E71" s="239" t="n">
        <v>0.5</v>
      </c>
      <c r="F71" s="169" t="n"/>
    </row>
    <row r="72" ht="15" customHeight="1" s="144">
      <c r="A72" s="168" t="n">
        <v>51</v>
      </c>
      <c r="B72" s="238" t="inlineStr">
        <is>
          <t>插焊段</t>
        </is>
      </c>
      <c r="C72" s="238" t="inlineStr">
        <is>
          <t>维修清尾</t>
        </is>
      </c>
      <c r="D72" s="239" t="n">
        <v>240</v>
      </c>
      <c r="E72" s="239" t="n">
        <v>0.6</v>
      </c>
      <c r="F72" s="169" t="n"/>
    </row>
    <row r="73" ht="15" customHeight="1" s="144">
      <c r="A73" s="168" t="n">
        <v>52</v>
      </c>
      <c r="B73" s="238" t="inlineStr">
        <is>
          <t>插焊段</t>
        </is>
      </c>
      <c r="C73" s="238" t="inlineStr">
        <is>
          <t>产前准备</t>
        </is>
      </c>
      <c r="D73" s="239" t="n">
        <v>240</v>
      </c>
      <c r="E73" s="239" t="n">
        <v>0.6</v>
      </c>
      <c r="F73" s="169" t="n"/>
    </row>
    <row r="74" ht="15" customHeight="1" s="144">
      <c r="A74" s="229" t="n"/>
      <c r="B74" s="229" t="n"/>
      <c r="C74" s="210" t="inlineStr">
        <is>
          <t>人工成本合计(元/台)</t>
        </is>
      </c>
      <c r="D74" s="241" t="n">
        <v>82.0882</v>
      </c>
      <c r="E74" s="170" t="n"/>
      <c r="F74" s="175" t="inlineStr">
        <is>
          <t>源表人工成本为汇总值，逐行成本不可拆分</t>
        </is>
      </c>
    </row>
    <row r="76" ht="15" customHeight="1" s="144">
      <c r="A76" s="236" t="inlineStr">
        <is>
          <t>三、工装治具明细（一次性，直接向客户收取，不计入单台成本）</t>
        </is>
      </c>
    </row>
    <row r="77" ht="15" customHeight="1" s="144">
      <c r="A77" s="165" t="inlineStr">
        <is>
          <t>序号</t>
        </is>
      </c>
      <c r="B77" s="165" t="inlineStr">
        <is>
          <t>工艺/名称</t>
        </is>
      </c>
      <c r="C77" s="165" t="inlineStr">
        <is>
          <t>数量</t>
        </is>
      </c>
      <c r="D77" s="165" t="inlineStr">
        <is>
          <t>单价(元)</t>
        </is>
      </c>
      <c r="E77" s="165" t="inlineStr">
        <is>
          <t>金额(元)</t>
        </is>
      </c>
      <c r="F77" s="165" t="inlineStr">
        <is>
          <t>年产能/单片分摊</t>
        </is>
      </c>
    </row>
    <row r="78" ht="15" customHeight="1" s="144">
      <c r="A78" s="168" t="n">
        <v>1</v>
      </c>
      <c r="B78" s="238" t="inlineStr">
        <is>
          <t>装配/装配工装</t>
        </is>
      </c>
      <c r="C78" s="242" t="n">
        <v>2</v>
      </c>
      <c r="D78" s="243" t="n">
        <v>2000</v>
      </c>
      <c r="E78" s="244" t="n">
        <v>4000</v>
      </c>
      <c r="F78" s="169" t="inlineStr">
        <is>
          <t>年5000/单片0.2667</t>
        </is>
      </c>
    </row>
    <row r="79" ht="15" customHeight="1" s="144">
      <c r="A79" s="168" t="n">
        <v>2</v>
      </c>
      <c r="B79" s="238" t="inlineStr">
        <is>
          <t>自动测试/测试工装</t>
        </is>
      </c>
      <c r="C79" s="242" t="n">
        <v>2</v>
      </c>
      <c r="D79" s="243" t="n">
        <v>4000</v>
      </c>
      <c r="E79" s="244" t="n">
        <v>8000</v>
      </c>
      <c r="F79" s="169" t="inlineStr">
        <is>
          <t>年5000/单片0.5333</t>
        </is>
      </c>
    </row>
    <row r="80" ht="15" customHeight="1" s="144">
      <c r="A80" s="168" t="n">
        <v>3</v>
      </c>
      <c r="B80" s="238" t="inlineStr">
        <is>
          <t>波峰焊/波峰焊托盘</t>
        </is>
      </c>
      <c r="C80" s="242" t="n">
        <v>15</v>
      </c>
      <c r="D80" s="243" t="n">
        <v>300</v>
      </c>
      <c r="E80" s="244" t="n">
        <v>4500</v>
      </c>
      <c r="F80" s="169" t="inlineStr">
        <is>
          <t>年5000/单片0.3</t>
        </is>
      </c>
    </row>
    <row r="81" ht="15" customHeight="1" s="144">
      <c r="A81" s="168" t="n">
        <v>4</v>
      </c>
      <c r="B81" s="238" t="inlineStr">
        <is>
          <t>双面喷漆/喷漆托盘</t>
        </is>
      </c>
      <c r="C81" s="242" t="n">
        <v>0</v>
      </c>
      <c r="D81" s="243" t="n">
        <v>0</v>
      </c>
      <c r="E81" s="244" t="n">
        <v>0</v>
      </c>
      <c r="F81" s="169" t="inlineStr">
        <is>
          <t>年5000/单片0</t>
        </is>
      </c>
    </row>
    <row r="82" ht="15" customHeight="1" s="144">
      <c r="A82" s="168" t="n">
        <v>5</v>
      </c>
      <c r="B82" s="238" t="inlineStr">
        <is>
          <t>自动测试/自动测试工装</t>
        </is>
      </c>
      <c r="C82" s="242" t="n">
        <v>2</v>
      </c>
      <c r="D82" s="243" t="n">
        <v>4000</v>
      </c>
      <c r="E82" s="244" t="n">
        <v>8000</v>
      </c>
      <c r="F82" s="169" t="inlineStr">
        <is>
          <t>年5000/单片0.5333</t>
        </is>
      </c>
    </row>
    <row r="83" ht="15" customHeight="1" s="144">
      <c r="A83" s="168" t="n">
        <v>6</v>
      </c>
      <c r="B83" s="240" t="inlineStr">
        <is>
          <t>ICT/ICT针床</t>
        </is>
      </c>
      <c r="C83" s="242" t="n">
        <v>1</v>
      </c>
      <c r="D83" s="243" t="n">
        <v>0</v>
      </c>
      <c r="E83" s="244" t="n">
        <v>0</v>
      </c>
      <c r="F83" s="169" t="inlineStr">
        <is>
          <t>年5000/单片0</t>
        </is>
      </c>
    </row>
    <row r="84" ht="15" customHeight="1" s="144">
      <c r="A84" s="168" t="n">
        <v>7</v>
      </c>
      <c r="B84" s="238" t="inlineStr">
        <is>
          <t>装配/装配工装</t>
        </is>
      </c>
      <c r="C84" s="242" t="n">
        <v>3</v>
      </c>
      <c r="D84" s="243" t="n">
        <v>0</v>
      </c>
      <c r="E84" s="244" t="n">
        <v>0</v>
      </c>
      <c r="F84" s="169" t="inlineStr">
        <is>
          <t>年5000/单片0</t>
        </is>
      </c>
    </row>
    <row r="85" ht="15" customHeight="1" s="144">
      <c r="A85" s="168" t="n">
        <v>8</v>
      </c>
      <c r="B85" s="238" t="inlineStr">
        <is>
          <t>自动焊锡机/自动焊接</t>
        </is>
      </c>
      <c r="C85" s="242" t="n">
        <v>3</v>
      </c>
      <c r="D85" s="243" t="n">
        <v>400</v>
      </c>
      <c r="E85" s="244" t="n">
        <v>1200</v>
      </c>
      <c r="F85" s="169" t="inlineStr">
        <is>
          <t>年5000/单片0.08</t>
        </is>
      </c>
    </row>
    <row r="86" ht="15" customHeight="1" s="144">
      <c r="A86" s="168" t="n">
        <v>9</v>
      </c>
      <c r="B86" s="238" t="inlineStr">
        <is>
          <t>双面喷漆/喷漆托盘</t>
        </is>
      </c>
      <c r="C86" s="242" t="n">
        <v>15</v>
      </c>
      <c r="D86" s="243" t="n">
        <v>0</v>
      </c>
      <c r="E86" s="244" t="n">
        <v>0</v>
      </c>
      <c r="F86" s="169" t="inlineStr">
        <is>
          <t>年5000/单片0</t>
        </is>
      </c>
    </row>
    <row r="87" ht="15" customHeight="1" s="144">
      <c r="A87" s="168" t="n">
        <v>10</v>
      </c>
      <c r="B87" s="240" t="inlineStr">
        <is>
          <t>ICT/ICT针床</t>
        </is>
      </c>
      <c r="C87" s="242" t="n">
        <v>1</v>
      </c>
      <c r="D87" s="243" t="n">
        <v>0</v>
      </c>
      <c r="E87" s="244" t="n">
        <v>0</v>
      </c>
      <c r="F87" s="169" t="inlineStr">
        <is>
          <t>年5000/单片0</t>
        </is>
      </c>
    </row>
    <row r="88" ht="15" customHeight="1" s="144">
      <c r="A88" s="168" t="n">
        <v>11</v>
      </c>
      <c r="B88" s="238" t="inlineStr">
        <is>
          <t>自动测试/自动测试</t>
        </is>
      </c>
      <c r="C88" s="242" t="n">
        <v>3</v>
      </c>
      <c r="D88" s="243" t="n">
        <v>0</v>
      </c>
      <c r="E88" s="244" t="n">
        <v>0</v>
      </c>
      <c r="F88" s="169" t="inlineStr">
        <is>
          <t>年5000/单片0</t>
        </is>
      </c>
    </row>
    <row r="89" ht="15" customHeight="1" s="144">
      <c r="A89" s="168" t="n">
        <v>12</v>
      </c>
      <c r="B89" s="238" t="inlineStr">
        <is>
          <t>波峰焊/波峰焊托盘</t>
        </is>
      </c>
      <c r="C89" s="242" t="n">
        <v>0</v>
      </c>
      <c r="D89" s="243" t="n">
        <v>0</v>
      </c>
      <c r="E89" s="244" t="n">
        <v>0</v>
      </c>
      <c r="F89" s="169" t="inlineStr">
        <is>
          <t>年0/单片0</t>
        </is>
      </c>
    </row>
    <row r="90" ht="15" customHeight="1" s="144">
      <c r="A90" s="168" t="n">
        <v>13</v>
      </c>
      <c r="B90" s="238" t="inlineStr">
        <is>
          <t>波峰焊/波峰焊托盘</t>
        </is>
      </c>
      <c r="C90" s="242" t="n">
        <v>25</v>
      </c>
      <c r="D90" s="243" t="n">
        <v>300</v>
      </c>
      <c r="E90" s="244" t="n">
        <v>7500</v>
      </c>
      <c r="F90" s="169" t="inlineStr">
        <is>
          <t>年5000/单片0.5</t>
        </is>
      </c>
    </row>
    <row r="91" ht="15" customHeight="1" s="144">
      <c r="A91" s="168" t="n">
        <v>14</v>
      </c>
      <c r="B91" s="238" t="inlineStr">
        <is>
          <t>单面喷漆/喷漆托盘</t>
        </is>
      </c>
      <c r="C91" s="242" t="n">
        <v>15</v>
      </c>
      <c r="D91" s="243" t="n">
        <v>0</v>
      </c>
      <c r="E91" s="244" t="n">
        <v>0</v>
      </c>
      <c r="F91" s="169" t="inlineStr">
        <is>
          <t>年5000/单片0</t>
        </is>
      </c>
    </row>
    <row r="92" ht="15" customHeight="1" s="144">
      <c r="A92" s="168" t="n">
        <v>15</v>
      </c>
      <c r="B92" s="238" t="inlineStr">
        <is>
          <t>自动测试/自动测试工装</t>
        </is>
      </c>
      <c r="C92" s="242" t="n">
        <v>3</v>
      </c>
      <c r="D92" s="243" t="n">
        <v>4000</v>
      </c>
      <c r="E92" s="244" t="n">
        <v>12000</v>
      </c>
      <c r="F92" s="169" t="inlineStr">
        <is>
          <t>年5000/单片0.8</t>
        </is>
      </c>
    </row>
    <row r="93" ht="15" customHeight="1" s="144">
      <c r="A93" s="168" t="n">
        <v>16</v>
      </c>
      <c r="B93" s="240" t="inlineStr">
        <is>
          <t>ICT/ICT针床</t>
        </is>
      </c>
      <c r="C93" s="242" t="n">
        <v>1</v>
      </c>
      <c r="D93" s="243" t="n">
        <v>3500</v>
      </c>
      <c r="E93" s="244" t="n">
        <v>3500</v>
      </c>
      <c r="F93" s="169" t="inlineStr">
        <is>
          <t>年5000/单片0.2333</t>
        </is>
      </c>
    </row>
    <row r="94" ht="15" customHeight="1" s="144">
      <c r="A94" s="229" t="n"/>
      <c r="B94" s="227" t="inlineStr">
        <is>
          <t>工装治具合计(元)</t>
        </is>
      </c>
      <c r="C94" s="229" t="n"/>
      <c r="D94" s="229" t="n"/>
      <c r="E94" s="245">
        <f>SUM(E78:E93)</f>
        <v/>
      </c>
      <c r="F94" s="175" t="inlineStr">
        <is>
          <t>直接向客户收取 → 报价汇总「六、一次性费用」</t>
        </is>
      </c>
    </row>
    <row r="95" ht="43.25" customHeight="1" s="144">
      <c r="A95" s="235" t="inlineStr">
        <is>
          <t>制作：             审核：             核准：             批准日期：</t>
        </is>
      </c>
    </row>
  </sheetData>
  <mergeCells count="20">
    <mergeCell ref="C16:E16"/>
    <mergeCell ref="C9:E9"/>
    <mergeCell ref="A3:F3"/>
    <mergeCell ref="C12:E12"/>
    <mergeCell ref="C11:E11"/>
    <mergeCell ref="A76:F76"/>
    <mergeCell ref="C8:E8"/>
    <mergeCell ref="C17:E17"/>
    <mergeCell ref="A20:F20"/>
    <mergeCell ref="C7:E7"/>
    <mergeCell ref="C13:E13"/>
    <mergeCell ref="C18:E18"/>
    <mergeCell ref="C15:E15"/>
    <mergeCell ref="C6:E6"/>
    <mergeCell ref="D74:E74"/>
    <mergeCell ref="C14:E14"/>
    <mergeCell ref="C5:E5"/>
    <mergeCell ref="A1:F1"/>
    <mergeCell ref="C4:E4"/>
    <mergeCell ref="C10:E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55"/>
  <sheetViews>
    <sheetView showFormulas="0" showGridLines="0" showRowColHeaders="1" showZeros="1" rightToLeft="0" tabSelected="0" showOutlineSymbols="1" defaultGridColor="1" view="normal" topLeftCell="A25" colorId="64" zoomScale="100" zoomScaleNormal="100" zoomScalePageLayoutView="100" workbookViewId="0">
      <selection pane="topLeft" activeCell="A1" activeCellId="0" sqref="A1"/>
    </sheetView>
  </sheetViews>
  <sheetFormatPr baseColWidth="8" defaultColWidth="8.55859375" defaultRowHeight="13.5" zeroHeight="0" outlineLevelRow="0"/>
  <cols>
    <col width="22" customWidth="1" style="143" min="1" max="1"/>
    <col width="12" customWidth="1" style="143" min="2" max="3"/>
    <col width="30" customWidth="1" style="143" min="4" max="4"/>
  </cols>
  <sheetData>
    <row r="1" ht="18" customHeight="1" s="144">
      <c r="A1" s="189" t="inlineStr">
        <is>
          <t>参数设置</t>
        </is>
      </c>
    </row>
    <row r="2" ht="13.5" customHeight="1" s="144">
      <c r="A2" s="246" t="inlineStr">
        <is>
          <t>参数项</t>
        </is>
      </c>
      <c r="B2" s="246" t="inlineStr">
        <is>
          <t>参数值</t>
        </is>
      </c>
      <c r="C2" s="246" t="inlineStr">
        <is>
          <t>说明</t>
        </is>
      </c>
    </row>
    <row r="3" ht="26.25" customHeight="1" s="144">
      <c r="A3" s="222" t="inlineStr">
        <is>
          <t>税率</t>
        </is>
      </c>
      <c r="B3" s="247" t="n">
        <v>0.13</v>
      </c>
      <c r="C3" s="222" t="inlineStr">
        <is>
          <t>增值税率，默认13%</t>
        </is>
      </c>
    </row>
    <row r="4" ht="26.25" customHeight="1" s="144">
      <c r="A4" s="248" t="inlineStr">
        <is>
          <t>目标毛利率</t>
        </is>
      </c>
      <c r="B4" s="247" t="n">
        <v>0.3</v>
      </c>
      <c r="C4" s="248" t="inlineStr">
        <is>
          <t>报价目标毛利率</t>
        </is>
      </c>
    </row>
    <row r="5" ht="26.25" customHeight="1" s="144">
      <c r="A5" s="222" t="inlineStr">
        <is>
          <t>默认损耗率</t>
        </is>
      </c>
      <c r="B5" s="247" t="n">
        <v>0.02</v>
      </c>
      <c r="C5" s="222" t="inlineStr">
        <is>
          <t>物料未填损耗率时使用</t>
        </is>
      </c>
    </row>
    <row r="6" ht="39" customHeight="1" s="144">
      <c r="A6" s="248" t="inlineStr">
        <is>
          <t>默认分摊数量</t>
        </is>
      </c>
      <c r="B6" s="247" t="n">
        <v>5000</v>
      </c>
      <c r="C6" s="248" t="inlineStr">
        <is>
          <t>工装治具费用默认分摊数量</t>
        </is>
      </c>
    </row>
    <row r="8" ht="15" customHeight="1" s="144">
      <c r="A8" s="150" t="inlineStr">
        <is>
          <t>二、包装与整托参数</t>
        </is>
      </c>
    </row>
    <row r="9" ht="15" customHeight="1" s="144">
      <c r="A9" s="249" t="inlineStr">
        <is>
          <t>参数项</t>
        </is>
      </c>
      <c r="B9" s="249" t="inlineStr">
        <is>
          <t>参数值</t>
        </is>
      </c>
      <c r="C9" s="249" t="inlineStr">
        <is>
          <t>单位</t>
        </is>
      </c>
      <c r="D9" s="249" t="inlineStr">
        <is>
          <t>说明</t>
        </is>
      </c>
    </row>
    <row r="10" ht="15" customHeight="1" s="144">
      <c r="A10" s="148" t="inlineStr">
        <is>
          <t>防静电气泡袋单价</t>
        </is>
      </c>
      <c r="B10" s="250" t="n">
        <v>2.5</v>
      </c>
      <c r="C10" s="148" t="inlineStr">
        <is>
          <t>元/㎡</t>
        </is>
      </c>
    </row>
    <row r="11" ht="15" customHeight="1" s="144">
      <c r="A11" s="148" t="inlineStr">
        <is>
          <t>气泡袋单边余量</t>
        </is>
      </c>
      <c r="B11" s="251" t="n">
        <v>30</v>
      </c>
      <c r="C11" s="155" t="inlineStr">
        <is>
          <t>mm</t>
        </is>
      </c>
    </row>
    <row r="12" ht="15" customHeight="1" s="144">
      <c r="A12" s="148" t="inlineStr">
        <is>
          <t>干燥剂单价</t>
        </is>
      </c>
      <c r="B12" s="252" t="n">
        <v>0.1</v>
      </c>
      <c r="C12" s="148" t="inlineStr">
        <is>
          <t>元/袋</t>
        </is>
      </c>
    </row>
    <row r="13" ht="15" customHeight="1" s="144">
      <c r="A13" s="148" t="inlineStr">
        <is>
          <t>湿度指示卡单价</t>
        </is>
      </c>
      <c r="B13" s="252" t="n">
        <v>0.3</v>
      </c>
      <c r="C13" s="148" t="inlineStr">
        <is>
          <t>元/张</t>
        </is>
      </c>
    </row>
    <row r="14" ht="15" customHeight="1" s="144">
      <c r="A14" s="155" t="inlineStr">
        <is>
          <t>EPE珍珠棉单价</t>
        </is>
      </c>
      <c r="B14" s="251" t="n">
        <v>1800</v>
      </c>
      <c r="C14" s="148" t="inlineStr">
        <is>
          <t>元/m³</t>
        </is>
      </c>
    </row>
    <row r="15" ht="15" customHeight="1" s="144">
      <c r="A15" s="155" t="inlineStr">
        <is>
          <t>EPE珍珠棉密度</t>
        </is>
      </c>
      <c r="B15" s="251" t="n">
        <v>22</v>
      </c>
      <c r="C15" s="155" t="inlineStr">
        <is>
          <t>kg/m³</t>
        </is>
      </c>
    </row>
    <row r="16" ht="15" customHeight="1" s="144">
      <c r="A16" s="148" t="inlineStr">
        <is>
          <t>单瓦楞3层纸板</t>
        </is>
      </c>
      <c r="B16" s="252" t="n">
        <v>2</v>
      </c>
      <c r="C16" s="148" t="inlineStr">
        <is>
          <t>元/㎡</t>
        </is>
      </c>
    </row>
    <row r="17" ht="15" customHeight="1" s="144">
      <c r="A17" s="148" t="inlineStr">
        <is>
          <t>双瓦楞5层纸板</t>
        </is>
      </c>
      <c r="B17" s="252" t="n">
        <v>3.2</v>
      </c>
      <c r="C17" s="148" t="inlineStr">
        <is>
          <t>元/㎡</t>
        </is>
      </c>
    </row>
    <row r="18" ht="15" customHeight="1" s="144">
      <c r="A18" s="148" t="inlineStr">
        <is>
          <t>重型7层纸板</t>
        </is>
      </c>
      <c r="B18" s="252" t="n">
        <v>5</v>
      </c>
      <c r="C18" s="148" t="inlineStr">
        <is>
          <t>元/㎡</t>
        </is>
      </c>
    </row>
    <row r="19" ht="15" customHeight="1" s="144">
      <c r="A19" s="148" t="inlineStr">
        <is>
          <t>双瓦楞纸板克重</t>
        </is>
      </c>
      <c r="B19" s="251" t="n">
        <v>700</v>
      </c>
      <c r="C19" s="155" t="inlineStr">
        <is>
          <t>g/㎡</t>
        </is>
      </c>
    </row>
    <row r="20" ht="15" customHeight="1" s="144">
      <c r="A20" s="148" t="inlineStr">
        <is>
          <t>纸箱制箱加工费</t>
        </is>
      </c>
      <c r="B20" s="252" t="n">
        <v>1.5</v>
      </c>
      <c r="C20" s="148" t="inlineStr">
        <is>
          <t>元/个</t>
        </is>
      </c>
    </row>
    <row r="21" ht="15" customHeight="1" s="144">
      <c r="A21" s="148" t="inlineStr">
        <is>
          <t>材料损耗率</t>
        </is>
      </c>
      <c r="B21" s="253" t="n">
        <v>0.05</v>
      </c>
      <c r="C21" s="148" t="inlineStr">
        <is>
          <t>比例</t>
        </is>
      </c>
    </row>
    <row r="22" ht="15" customHeight="1" s="144">
      <c r="A22" s="148" t="inlineStr">
        <is>
          <t>箱内装配间隙</t>
        </is>
      </c>
      <c r="B22" s="251" t="n">
        <v>10</v>
      </c>
      <c r="C22" s="155" t="inlineStr">
        <is>
          <t>mm</t>
        </is>
      </c>
    </row>
    <row r="23" ht="15" customHeight="1" s="144">
      <c r="A23" s="148" t="inlineStr">
        <is>
          <t>封箱胶带</t>
        </is>
      </c>
      <c r="B23" s="252" t="n">
        <v>0.3</v>
      </c>
      <c r="C23" s="148" t="inlineStr">
        <is>
          <t>元/箱</t>
        </is>
      </c>
    </row>
    <row r="24" ht="15" customHeight="1" s="144">
      <c r="A24" s="148" t="inlineStr">
        <is>
          <t>标签</t>
        </is>
      </c>
      <c r="B24" s="252" t="n">
        <v>0.05</v>
      </c>
      <c r="C24" s="148" t="inlineStr">
        <is>
          <t>元/张</t>
        </is>
      </c>
    </row>
    <row r="25" ht="15" customHeight="1" s="144">
      <c r="A25" s="148" t="inlineStr">
        <is>
          <t>托盘单价</t>
        </is>
      </c>
      <c r="B25" s="251" t="n">
        <v>80</v>
      </c>
      <c r="C25" s="148" t="inlineStr">
        <is>
          <t>元/托</t>
        </is>
      </c>
    </row>
    <row r="26" ht="15" customHeight="1" s="144">
      <c r="A26" s="148" t="inlineStr">
        <is>
          <t>托盘重复使用次数</t>
        </is>
      </c>
      <c r="B26" s="251" t="n">
        <v>5</v>
      </c>
      <c r="C26" s="148" t="inlineStr">
        <is>
          <t>次</t>
        </is>
      </c>
    </row>
    <row r="27" ht="15" customHeight="1" s="144">
      <c r="A27" s="148" t="inlineStr">
        <is>
          <t>缠绕膜单价</t>
        </is>
      </c>
      <c r="B27" s="251" t="n">
        <v>9</v>
      </c>
      <c r="C27" s="148" t="inlineStr">
        <is>
          <t>元/kg</t>
        </is>
      </c>
    </row>
    <row r="28" ht="15" customHeight="1" s="144">
      <c r="A28" s="148" t="inlineStr">
        <is>
          <t>缠绕膜用量</t>
        </is>
      </c>
      <c r="B28" s="252" t="n">
        <v>0.8</v>
      </c>
      <c r="C28" s="155" t="inlineStr">
        <is>
          <t>kg/托</t>
        </is>
      </c>
    </row>
    <row r="29" ht="15" customHeight="1" s="144">
      <c r="A29" s="148" t="inlineStr">
        <is>
          <t>护角</t>
        </is>
      </c>
      <c r="B29" s="251" t="n">
        <v>3</v>
      </c>
      <c r="C29" s="148" t="inlineStr">
        <is>
          <t>元/套</t>
        </is>
      </c>
    </row>
    <row r="30" ht="15" customHeight="1" s="144">
      <c r="A30" s="148" t="inlineStr">
        <is>
          <t>打包带</t>
        </is>
      </c>
      <c r="B30" s="251" t="n">
        <v>1</v>
      </c>
      <c r="C30" s="148" t="inlineStr">
        <is>
          <t>元/托</t>
        </is>
      </c>
    </row>
    <row r="31" ht="15" customHeight="1" s="144">
      <c r="A31" s="148" t="inlineStr">
        <is>
          <t>托盘有效面积</t>
        </is>
      </c>
      <c r="B31" s="252" t="n">
        <v>1.1</v>
      </c>
      <c r="C31" s="148" t="inlineStr">
        <is>
          <t>㎡</t>
        </is>
      </c>
    </row>
    <row r="32" ht="15" customHeight="1" s="144">
      <c r="A32" s="148" t="inlineStr">
        <is>
          <t>每托层数</t>
        </is>
      </c>
      <c r="B32" s="251" t="n">
        <v>4</v>
      </c>
      <c r="C32" s="148" t="inlineStr">
        <is>
          <t>层</t>
        </is>
      </c>
    </row>
    <row r="34" ht="15" customHeight="1" s="144">
      <c r="A34" s="150" t="inlineStr">
        <is>
          <t>三、物流参数</t>
        </is>
      </c>
    </row>
    <row r="35" ht="15" customHeight="1" s="144">
      <c r="A35" s="249" t="inlineStr">
        <is>
          <t>参数项</t>
        </is>
      </c>
      <c r="B35" s="249" t="inlineStr">
        <is>
          <t>参数值</t>
        </is>
      </c>
      <c r="C35" s="249" t="inlineStr">
        <is>
          <t>单位</t>
        </is>
      </c>
      <c r="D35" s="249" t="inlineStr">
        <is>
          <t>说明</t>
        </is>
      </c>
    </row>
    <row r="36" ht="15" customHeight="1" s="144">
      <c r="A36" s="148" t="inlineStr">
        <is>
          <t>体积重系数</t>
        </is>
      </c>
      <c r="B36" s="163" t="n">
        <v>6000</v>
      </c>
      <c r="C36" s="254" t="inlineStr">
        <is>
          <t>㎝³/kg</t>
        </is>
      </c>
    </row>
    <row r="37" ht="15" customHeight="1" s="144">
      <c r="A37" s="148" t="inlineStr">
        <is>
          <t>保费费率</t>
        </is>
      </c>
      <c r="B37" s="163" t="n">
        <v>0.004</v>
      </c>
      <c r="C37" s="254" t="inlineStr">
        <is>
          <t>‰即0.4%</t>
        </is>
      </c>
    </row>
    <row r="38" ht="15" customHeight="1" s="144">
      <c r="A38" s="148" t="inlineStr">
        <is>
          <t>保费最低收费</t>
        </is>
      </c>
      <c r="B38" s="163" t="n">
        <v>5</v>
      </c>
      <c r="C38" s="254" t="inlineStr">
        <is>
          <t>元/票</t>
        </is>
      </c>
    </row>
    <row r="39" ht="15" customHeight="1" s="144">
      <c r="A39" s="148" t="inlineStr">
        <is>
          <t>是否计保费</t>
        </is>
      </c>
      <c r="B39" s="156" t="inlineStr">
        <is>
          <t>否</t>
        </is>
      </c>
      <c r="C39" s="254" t="inlineStr">
        <is>
          <t>是/否</t>
        </is>
      </c>
    </row>
    <row r="41" ht="13.5" customHeight="1" s="144">
      <c r="A41" s="255" t="inlineStr">
        <is>
          <t>四、包装方案参数（小板/大板）</t>
        </is>
      </c>
    </row>
    <row r="42" ht="13.5" customHeight="1" s="144">
      <c r="A42" s="255" t="inlineStr">
        <is>
          <t>参数项</t>
        </is>
      </c>
      <c r="B42" s="255" t="inlineStr">
        <is>
          <t>参数值</t>
        </is>
      </c>
      <c r="C42" s="255" t="inlineStr">
        <is>
          <t>单位</t>
        </is>
      </c>
      <c r="D42" s="255" t="inlineStr">
        <is>
          <t>说明</t>
        </is>
      </c>
    </row>
    <row r="43" ht="13.5" customHeight="1" s="144">
      <c r="A43" s="148" t="inlineStr">
        <is>
          <t>防静电气泡袋克重</t>
        </is>
      </c>
      <c r="B43" s="250" t="n">
        <v>60</v>
      </c>
      <c r="C43" s="256" t="inlineStr">
        <is>
          <t>g/㎡</t>
        </is>
      </c>
      <c r="D43" s="148" t="inlineStr">
        <is>
          <t>气泡袋面密度</t>
        </is>
      </c>
    </row>
    <row r="44" ht="13.5" customHeight="1" s="144">
      <c r="A44" s="148" t="inlineStr">
        <is>
          <t>隔板单价</t>
        </is>
      </c>
      <c r="B44" s="257" t="n">
        <v>0.3</v>
      </c>
      <c r="C44" s="148" t="inlineStr">
        <is>
          <t>元/件</t>
        </is>
      </c>
      <c r="D44" s="148" t="inlineStr">
        <is>
          <t>小板每件隔板</t>
        </is>
      </c>
    </row>
    <row r="45" ht="13.5" customHeight="1" s="144">
      <c r="A45" s="148" t="inlineStr">
        <is>
          <t>隔板克重</t>
        </is>
      </c>
      <c r="B45" s="250" t="n">
        <v>20</v>
      </c>
      <c r="C45" s="256" t="inlineStr">
        <is>
          <t>g/件</t>
        </is>
      </c>
      <c r="D45" s="148" t="inlineStr">
        <is>
          <t>小板隔板重量</t>
        </is>
      </c>
    </row>
    <row r="46" ht="13.5" customHeight="1" s="144">
      <c r="A46" s="148" t="inlineStr">
        <is>
          <t>默认装配工时费</t>
        </is>
      </c>
      <c r="B46" s="257" t="n">
        <v>60</v>
      </c>
      <c r="C46" s="148" t="inlineStr">
        <is>
          <t>元/小时</t>
        </is>
      </c>
      <c r="D46" s="148" t="inlineStr">
        <is>
          <t>首页可按项目覆盖</t>
        </is>
      </c>
    </row>
    <row r="48" ht="13.5" customHeight="1" s="144">
      <c r="A48" s="255" t="inlineStr">
        <is>
          <t>五、商空大功率项目专用参数</t>
        </is>
      </c>
      <c r="B48" s="258" t="n"/>
    </row>
    <row r="49" ht="13.5" customHeight="1" s="144">
      <c r="A49" s="166" t="inlineStr">
        <is>
          <t>散热器单价(未税,元)</t>
        </is>
      </c>
      <c r="B49" s="259" t="n">
        <v>68</v>
      </c>
    </row>
    <row r="50" ht="13.5" customHeight="1" s="144">
      <c r="A50" s="166" t="inlineStr">
        <is>
          <t>成本差异率(制造损耗缓冲)</t>
        </is>
      </c>
      <c r="B50" s="260" t="n">
        <v>0.0135</v>
      </c>
    </row>
    <row r="51" ht="13.5" customHeight="1" s="144">
      <c r="A51" s="166" t="inlineStr">
        <is>
          <t>运费费率(跨越不覆盖时备用)</t>
        </is>
      </c>
      <c r="B51" s="260" t="n">
        <v>0.0116</v>
      </c>
    </row>
    <row r="52" ht="13.5" customHeight="1" s="144">
      <c r="A52" s="166" t="inlineStr">
        <is>
          <t>成本内利润加成率(商空默认0)</t>
        </is>
      </c>
      <c r="B52" s="260" t="n">
        <v>0</v>
      </c>
    </row>
    <row r="53" ht="13.5" customHeight="1" s="144">
      <c r="A53" s="185" t="inlineStr">
        <is>
          <t>EPS泡沫模具费(一次性,元)</t>
        </is>
      </c>
      <c r="B53" s="259" t="n">
        <v>29499.1150442478</v>
      </c>
    </row>
    <row r="54" ht="13.5" customHeight="1" s="144">
      <c r="A54" s="166" t="inlineStr">
        <is>
          <t>工装治具费(一次性,直接收取,元)</t>
        </is>
      </c>
      <c r="B54" s="259" t="n">
        <v>48700</v>
      </c>
    </row>
    <row r="55" ht="13.5" customHeight="1" s="144">
      <c r="A55" s="166" t="inlineStr">
        <is>
          <t>客供料合计(参考,不计入成本,元)</t>
        </is>
      </c>
      <c r="B55" s="261" t="n">
        <v>554.3197</v>
      </c>
    </row>
  </sheetData>
  <mergeCells count="4">
    <mergeCell ref="A1:C1"/>
    <mergeCell ref="A41:C41"/>
    <mergeCell ref="A8:C8"/>
    <mergeCell ref="A34:C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70"/>
  <sheetViews>
    <sheetView showFormulas="0" showGridLines="0" showRowColHeaders="1" showZeros="1" rightToLeft="0" tabSelected="0" showOutlineSymbols="1" defaultGridColor="1" view="normal" topLeftCell="A17" colorId="64" zoomScale="100" zoomScaleNormal="100" zoomScalePageLayoutView="100" workbookViewId="0">
      <selection pane="topLeft" activeCell="A1" activeCellId="0" sqref="A1"/>
    </sheetView>
  </sheetViews>
  <sheetFormatPr baseColWidth="8" defaultColWidth="8" defaultRowHeight="13.5" zeroHeight="0" outlineLevelRow="0"/>
  <cols>
    <col width="26" customWidth="1" style="143" min="1" max="1"/>
    <col width="16" customWidth="1" style="143" min="2" max="2"/>
    <col width="14" customWidth="1" style="143" min="3" max="4"/>
    <col width="10" customWidth="1" style="143" min="5" max="5"/>
  </cols>
  <sheetData>
    <row r="1" ht="17.25" customHeight="1" s="144">
      <c r="A1" s="262" t="inlineStr">
        <is>
          <t>包装费计算（自动，按包装方案清单）</t>
        </is>
      </c>
    </row>
    <row r="2" ht="13.5" customHeight="1" s="144">
      <c r="A2" s="263" t="n"/>
      <c r="B2" s="263" t="n"/>
      <c r="C2" s="263" t="n"/>
      <c r="D2" s="263" t="n"/>
      <c r="E2" s="263" t="n"/>
    </row>
    <row r="3" ht="15" customHeight="1" s="144">
      <c r="A3" s="255" t="inlineStr">
        <is>
          <t>一、输入（自动取自报价汇总）</t>
        </is>
      </c>
    </row>
    <row r="4" ht="15" customHeight="1" s="144">
      <c r="A4" s="148" t="inlineStr">
        <is>
          <t>成品长(mm)</t>
        </is>
      </c>
      <c r="B4" s="264">
        <f>报价汇总!B13</f>
        <v/>
      </c>
      <c r="C4" s="263" t="n"/>
      <c r="D4" s="263" t="n"/>
      <c r="E4" s="263" t="n"/>
    </row>
    <row r="5" ht="15" customHeight="1" s="144">
      <c r="A5" s="148" t="inlineStr">
        <is>
          <t>成品宽(mm)</t>
        </is>
      </c>
      <c r="B5" s="264">
        <f>报价汇总!B14</f>
        <v/>
      </c>
      <c r="C5" s="263" t="n"/>
      <c r="D5" s="263" t="n"/>
      <c r="E5" s="263" t="n"/>
    </row>
    <row r="6" ht="15" customHeight="1" s="144">
      <c r="A6" s="148" t="inlineStr">
        <is>
          <t>成品高(mm)</t>
        </is>
      </c>
      <c r="B6" s="264">
        <f>报价汇总!B15</f>
        <v/>
      </c>
      <c r="C6" s="263" t="n"/>
      <c r="D6" s="263" t="n"/>
      <c r="E6" s="263" t="n"/>
    </row>
    <row r="7" ht="15" customHeight="1" s="144">
      <c r="A7" s="148" t="inlineStr">
        <is>
          <t>每箱件数N</t>
        </is>
      </c>
      <c r="B7" s="264">
        <f>报价汇总!B17</f>
        <v/>
      </c>
      <c r="C7" s="263" t="n"/>
      <c r="D7" s="263" t="n"/>
      <c r="E7" s="263" t="n"/>
    </row>
    <row r="8" ht="15" customHeight="1" s="144">
      <c r="A8" s="148" t="inlineStr">
        <is>
          <t>是否含整托</t>
        </is>
      </c>
      <c r="B8" s="160">
        <f>报价汇总!B18</f>
        <v/>
      </c>
      <c r="C8" s="263" t="n"/>
      <c r="D8" s="263" t="n"/>
      <c r="E8" s="263" t="n"/>
    </row>
    <row r="9" ht="15" customHeight="1" s="144">
      <c r="A9" s="148" t="inlineStr">
        <is>
          <t>包装方案(自动)</t>
        </is>
      </c>
      <c r="B9" s="160">
        <f>IF(OR(报价汇总!B19="是",报价汇总!B20="是"),"大板","小板")</f>
        <v/>
      </c>
      <c r="C9" s="263" t="n"/>
      <c r="D9" s="263" t="n"/>
      <c r="E9" s="263" t="n"/>
    </row>
    <row r="10" ht="15" customHeight="1" s="144">
      <c r="A10" s="263" t="n"/>
      <c r="B10" s="263" t="n"/>
      <c r="C10" s="263" t="n"/>
      <c r="D10" s="263" t="n"/>
      <c r="E10" s="263" t="n"/>
    </row>
    <row r="11" ht="15" customHeight="1" s="144">
      <c r="A11" s="255" t="inlineStr">
        <is>
          <t>二、包装几何（自动）</t>
        </is>
      </c>
    </row>
    <row r="12" ht="15" customHeight="1" s="144">
      <c r="A12" s="148" t="inlineStr">
        <is>
          <t>成品最大边长(mm)</t>
        </is>
      </c>
      <c r="B12" s="264">
        <f>MAX(B4:B6)</f>
        <v/>
      </c>
      <c r="C12" s="263" t="n"/>
      <c r="D12" s="263" t="n"/>
      <c r="E12" s="263" t="n"/>
    </row>
    <row r="13" ht="15" customHeight="1" s="144">
      <c r="A13" s="148" t="inlineStr">
        <is>
          <t>缓冲厚度t(mm)</t>
        </is>
      </c>
      <c r="B13" s="264">
        <f>VLOOKUP($B$12,$A$58:$D$61,3,TRUE())</f>
        <v/>
      </c>
      <c r="C13" s="263" t="n"/>
      <c r="D13" s="263" t="n"/>
      <c r="E13" s="263" t="n"/>
    </row>
    <row r="14" ht="15" customHeight="1" s="144">
      <c r="A14" s="148" t="inlineStr">
        <is>
          <t>箱内长(mm)</t>
        </is>
      </c>
      <c r="B14" s="264">
        <f>B4+2*B13+参数!$B$22</f>
        <v/>
      </c>
      <c r="C14" s="263" t="n"/>
      <c r="D14" s="263" t="n"/>
      <c r="E14" s="263" t="n"/>
    </row>
    <row r="15" ht="15" customHeight="1" s="144">
      <c r="A15" s="148" t="inlineStr">
        <is>
          <t>箱内宽(mm)</t>
        </is>
      </c>
      <c r="B15" s="264">
        <f>B5+2*B13+参数!$B$22</f>
        <v/>
      </c>
      <c r="C15" s="263" t="n"/>
      <c r="D15" s="263" t="n"/>
      <c r="E15" s="263" t="n"/>
    </row>
    <row r="16" ht="15" customHeight="1" s="144">
      <c r="A16" s="148" t="inlineStr">
        <is>
          <t>箱内高(mm)</t>
        </is>
      </c>
      <c r="B16" s="264">
        <f>B7*(B6+2*B13)+参数!$B$22</f>
        <v/>
      </c>
      <c r="C16" s="263" t="n"/>
      <c r="D16" s="263" t="n"/>
      <c r="E16" s="263" t="n"/>
    </row>
    <row r="17" ht="15" customHeight="1" s="144">
      <c r="A17" s="148" t="inlineStr">
        <is>
          <t>单箱体积(㎝³)</t>
        </is>
      </c>
      <c r="B17" s="264">
        <f>B14*B15*B16/1000</f>
        <v/>
      </c>
      <c r="C17" s="263" t="n"/>
      <c r="D17" s="263" t="n"/>
      <c r="E17" s="263" t="n"/>
    </row>
    <row r="18" ht="15" customHeight="1" s="144">
      <c r="A18" s="263" t="n"/>
      <c r="B18" s="263" t="n"/>
      <c r="C18" s="263" t="n"/>
      <c r="D18" s="263" t="n"/>
      <c r="E18" s="263" t="n"/>
    </row>
    <row r="19" ht="15" customHeight="1" s="144">
      <c r="A19" s="255" t="inlineStr">
        <is>
          <t>三、内包装材料费（单件）</t>
        </is>
      </c>
    </row>
    <row r="20" ht="15" customHeight="1" s="144">
      <c r="A20" s="148" t="inlineStr">
        <is>
          <t>气泡袋长(mm)</t>
        </is>
      </c>
      <c r="B20" s="264">
        <f>B4+B6+2*参数!$B$11</f>
        <v/>
      </c>
      <c r="C20" s="263" t="n"/>
      <c r="D20" s="263" t="n"/>
      <c r="E20" s="263" t="n"/>
    </row>
    <row r="21" ht="15" customHeight="1" s="144">
      <c r="A21" s="148" t="inlineStr">
        <is>
          <t>气泡袋宽(mm)</t>
        </is>
      </c>
      <c r="B21" s="264">
        <f>B5+B6+2*参数!$B$11</f>
        <v/>
      </c>
      <c r="C21" s="263" t="n"/>
      <c r="D21" s="263" t="n"/>
      <c r="E21" s="263" t="n"/>
    </row>
    <row r="22" ht="15" customHeight="1" s="144">
      <c r="A22" s="148" t="inlineStr">
        <is>
          <t>气泡袋面积(㎡)</t>
        </is>
      </c>
      <c r="B22" s="265">
        <f>B20*B21/10^6</f>
        <v/>
      </c>
      <c r="C22" s="263" t="n"/>
      <c r="D22" s="263" t="n"/>
      <c r="E22" s="263" t="n"/>
    </row>
    <row r="23" ht="15" customHeight="1" s="144">
      <c r="A23" s="148" t="inlineStr">
        <is>
          <t>气泡袋费(元/件)</t>
        </is>
      </c>
      <c r="B23" s="265">
        <f>B22*参数!$B$10</f>
        <v/>
      </c>
      <c r="C23" s="263" t="n"/>
      <c r="D23" s="263" t="n"/>
      <c r="E23" s="263" t="n"/>
    </row>
    <row r="24" ht="15" customHeight="1" s="144">
      <c r="A24" s="148" t="inlineStr">
        <is>
          <t>隔板费(元/件)</t>
        </is>
      </c>
      <c r="B24" s="265">
        <f>IF($B$9="小板",IF(OR($B$7="",$B$7=0),0,参数!$B$44*MAX($B$7-1,0)/$B$7),0)</f>
        <v/>
      </c>
      <c r="C24" s="263" t="n"/>
      <c r="D24" s="263" t="n"/>
      <c r="E24" s="263" t="n"/>
    </row>
    <row r="25" ht="15" customHeight="1" s="144">
      <c r="A25" s="256" t="inlineStr">
        <is>
          <t>EPE体积(垫片+护角,㎥/件)</t>
        </is>
      </c>
      <c r="B25" s="265">
        <f>(2*B4*B5*B13+4*B13*B13*B6)/10^9</f>
        <v/>
      </c>
      <c r="C25" s="263" t="n"/>
      <c r="D25" s="263" t="n"/>
      <c r="E25" s="263" t="n"/>
    </row>
    <row r="26" ht="15" customHeight="1" s="144">
      <c r="A26" s="256" t="inlineStr">
        <is>
          <t>EPE费(元/件)</t>
        </is>
      </c>
      <c r="B26" s="265">
        <f>B25*参数!$B$14</f>
        <v/>
      </c>
      <c r="C26" s="263" t="n"/>
      <c r="D26" s="263" t="n"/>
      <c r="E26" s="263" t="n"/>
    </row>
    <row r="27" ht="15" customHeight="1" s="144">
      <c r="A27" s="148" t="inlineStr">
        <is>
          <t>内包材料费(元/件)</t>
        </is>
      </c>
      <c r="B27" s="265">
        <f>IF($B$9="小板",B23+B24,B26)</f>
        <v/>
      </c>
      <c r="C27" s="263" t="n"/>
      <c r="D27" s="263" t="n"/>
      <c r="E27" s="263" t="n"/>
    </row>
    <row r="28" ht="15" customHeight="1" s="144">
      <c r="A28" s="148" t="inlineStr">
        <is>
          <t>纸箱用纸面积(㎡)</t>
        </is>
      </c>
      <c r="B28" s="265">
        <f>(B14+B15)*2*(B15+2*B16)/10^6*(1+参数!$B$21)</f>
        <v/>
      </c>
      <c r="C28" s="263" t="n"/>
      <c r="D28" s="263" t="n"/>
      <c r="E28" s="263" t="n"/>
    </row>
    <row r="29" ht="15" customHeight="1" s="144">
      <c r="A29" s="148" t="inlineStr">
        <is>
          <t>瓦楞类型</t>
        </is>
      </c>
      <c r="B29" s="160">
        <f>VLOOKUP($B$12,$A$58:$D$61,4,TRUE())</f>
        <v/>
      </c>
      <c r="C29" s="263" t="n"/>
      <c r="D29" s="263" t="n"/>
      <c r="E29" s="263" t="n"/>
    </row>
    <row r="30" ht="15" customHeight="1" s="144">
      <c r="A30" s="148" t="inlineStr">
        <is>
          <t>纸板单价(元/㎡)</t>
        </is>
      </c>
      <c r="B30" s="266">
        <f>VLOOKUP(B29,$A$65:$B$67,2,FALSE())</f>
        <v/>
      </c>
      <c r="C30" s="263" t="n"/>
      <c r="D30" s="263" t="n"/>
      <c r="E30" s="263" t="n"/>
    </row>
    <row r="31" ht="13.5" customHeight="1" s="144">
      <c r="A31" s="148" t="inlineStr">
        <is>
          <t>纸箱费(元/箱)</t>
        </is>
      </c>
      <c r="B31" s="266">
        <f>B28*B30+参数!$B$20</f>
        <v/>
      </c>
      <c r="C31" s="263" t="n"/>
      <c r="D31" s="263" t="n"/>
      <c r="E31" s="263" t="n"/>
    </row>
    <row r="32" ht="15" customHeight="1" s="144">
      <c r="A32" s="267" t="inlineStr">
        <is>
          <t>纸箱费(元/件)</t>
        </is>
      </c>
      <c r="B32" s="268">
        <f>IF(OR(B7="",B7=0),0,B31/B7)</f>
        <v/>
      </c>
      <c r="C32" s="263" t="n"/>
      <c r="D32" s="263" t="n"/>
      <c r="E32" s="263" t="n"/>
    </row>
    <row r="33" ht="13.5" customHeight="1" s="144">
      <c r="A33" s="148" t="inlineStr">
        <is>
          <t>辅料费(元/件)</t>
        </is>
      </c>
      <c r="B33" s="265">
        <f>IF(OR(B7="",B7=0),0,(参数!$B$23+参数!$B$24)/B7)</f>
        <v/>
      </c>
      <c r="C33" s="263" t="n"/>
      <c r="D33" s="263" t="n"/>
      <c r="E33" s="263" t="n"/>
    </row>
    <row r="34" ht="15" customHeight="1" s="144">
      <c r="A34" s="269" t="inlineStr">
        <is>
          <t>内包装单件费(元)</t>
        </is>
      </c>
      <c r="B34" s="270">
        <f>B27+B32+B33</f>
        <v/>
      </c>
      <c r="C34" s="263" t="n"/>
      <c r="D34" s="263" t="n"/>
      <c r="E34" s="263" t="n"/>
    </row>
    <row r="35" ht="15" customHeight="1" s="144">
      <c r="A35" s="263" t="n"/>
      <c r="B35" s="263" t="n"/>
      <c r="C35" s="263" t="n"/>
      <c r="D35" s="263" t="n"/>
      <c r="E35" s="263" t="n"/>
    </row>
    <row r="36" ht="15" customHeight="1" s="144">
      <c r="A36" s="255" t="inlineStr">
        <is>
          <t>四、整托分摊（可选，勾选含整托生效）</t>
        </is>
      </c>
    </row>
    <row r="37" ht="15" customHeight="1" s="144">
      <c r="A37" s="148" t="inlineStr">
        <is>
          <t>每箱占地(㎡)</t>
        </is>
      </c>
      <c r="B37" s="265">
        <f>B14*B15/10^6</f>
        <v/>
      </c>
      <c r="C37" s="263" t="n"/>
      <c r="D37" s="263" t="n"/>
      <c r="E37" s="263" t="n"/>
    </row>
    <row r="38" ht="15" customHeight="1" s="144">
      <c r="A38" s="148" t="inlineStr">
        <is>
          <t>每托件数(件)</t>
        </is>
      </c>
      <c r="B38" s="264">
        <f>IF(OR(B37="",B37=0),0,ROUNDDOWN(参数!$B$31/B37,0)*参数!$B$32)</f>
        <v/>
      </c>
      <c r="C38" s="263" t="n"/>
      <c r="D38" s="263" t="n"/>
      <c r="E38" s="263" t="n"/>
    </row>
    <row r="39" ht="15" customHeight="1" s="144">
      <c r="A39" s="148" t="inlineStr">
        <is>
          <t>每托包装费(元/托)</t>
        </is>
      </c>
      <c r="B39" s="266">
        <f>参数!$B$29+参数!$B$25/参数!$B$26+参数!$B$27*参数!$B$28+IF($B$9="大板",参数!$B$30,0)</f>
        <v/>
      </c>
      <c r="C39" s="263" t="n"/>
      <c r="D39" s="263" t="n"/>
      <c r="E39" s="263" t="n"/>
    </row>
    <row r="40" ht="13.5" customHeight="1" s="144">
      <c r="A40" s="148" t="inlineStr">
        <is>
          <t>整托分摊(元/件)</t>
        </is>
      </c>
      <c r="B40" s="265">
        <f>IF(OR(B38="",B38=0),0,B39/B38)</f>
        <v/>
      </c>
      <c r="C40" s="263" t="n"/>
      <c r="D40" s="263" t="n"/>
      <c r="E40" s="263" t="n"/>
    </row>
    <row r="41" ht="13.5" customHeight="1" s="144">
      <c r="A41" s="148" t="inlineStr">
        <is>
          <t>包装增重(kg/件)</t>
        </is>
      </c>
      <c r="B41" s="271">
        <f>IF(OR(B7="",B7=0),0,IF($B$9="小板",B22*参数!$B$43/1000,B25*参数!$B$15)+B28*参数!$B$19/1000/B7+IF($B$9="小板",参数!$B$45/1000*MAX($B$7-1,0)/$B$7,0)+0.005)</f>
        <v/>
      </c>
      <c r="C41" s="263" t="n"/>
      <c r="D41" s="263" t="n"/>
      <c r="E41" s="263" t="n"/>
    </row>
    <row r="42" ht="15" customHeight="1" s="144">
      <c r="A42" s="263" t="n"/>
      <c r="B42" s="263" t="n"/>
      <c r="C42" s="263" t="n"/>
      <c r="D42" s="263" t="n"/>
      <c r="E42" s="263" t="n"/>
    </row>
    <row r="43" ht="15" customHeight="1" s="144">
      <c r="A43" s="269" t="inlineStr">
        <is>
          <t>包装费合计(元/件)</t>
        </is>
      </c>
      <c r="B43" s="270">
        <f>B34+IF($B$8="是",B40,0)</f>
        <v/>
      </c>
      <c r="C43" s="263" t="n"/>
      <c r="D43" s="263" t="n"/>
      <c r="E43" s="263" t="n"/>
    </row>
    <row r="44" ht="15" customHeight="1" s="144">
      <c r="A44" s="263" t="n"/>
      <c r="B44" s="263" t="n"/>
      <c r="C44" s="263" t="n"/>
      <c r="D44" s="263" t="n"/>
      <c r="E44" s="263" t="n"/>
    </row>
    <row r="45" ht="15" customHeight="1" s="144">
      <c r="A45" s="255" t="inlineStr">
        <is>
          <t>五、包装方案清单对照（√=该方案包含）</t>
        </is>
      </c>
    </row>
    <row r="46" ht="15" customHeight="1" s="144">
      <c r="A46" s="255" t="inlineStr">
        <is>
          <t>包装物料</t>
        </is>
      </c>
      <c r="B46" s="255" t="inlineStr">
        <is>
          <t>单位</t>
        </is>
      </c>
      <c r="C46" s="255" t="inlineStr">
        <is>
          <t>单价(元)</t>
        </is>
      </c>
      <c r="D46" s="255" t="inlineStr">
        <is>
          <t>小板</t>
        </is>
      </c>
      <c r="E46" s="255" t="inlineStr">
        <is>
          <t>大板</t>
        </is>
      </c>
    </row>
    <row r="47" ht="15" customHeight="1" s="144">
      <c r="A47" s="148" t="inlineStr">
        <is>
          <t>防静电气泡袋</t>
        </is>
      </c>
      <c r="B47" s="148" t="inlineStr">
        <is>
          <t>元/㎡</t>
        </is>
      </c>
      <c r="C47" s="266">
        <f>参数!$B$10</f>
        <v/>
      </c>
      <c r="D47" s="256" t="inlineStr">
        <is>
          <t>√</t>
        </is>
      </c>
      <c r="E47" s="256" t="inlineStr">
        <is>
          <t>—</t>
        </is>
      </c>
    </row>
    <row r="48" ht="13.5" customHeight="1" s="144">
      <c r="A48" s="148" t="inlineStr">
        <is>
          <t>隔板</t>
        </is>
      </c>
      <c r="B48" s="148" t="inlineStr">
        <is>
          <t>元/件</t>
        </is>
      </c>
      <c r="C48" s="266">
        <f>参数!$B$44</f>
        <v/>
      </c>
      <c r="D48" s="256" t="inlineStr">
        <is>
          <t>√</t>
        </is>
      </c>
      <c r="E48" s="256" t="inlineStr">
        <is>
          <t>—</t>
        </is>
      </c>
    </row>
    <row r="49" ht="15" customHeight="1" s="144">
      <c r="A49" s="256" t="inlineStr">
        <is>
          <t>EPE珍珠棉</t>
        </is>
      </c>
      <c r="B49" s="148" t="inlineStr">
        <is>
          <t>元/m³</t>
        </is>
      </c>
      <c r="C49" s="266">
        <f>参数!$B$14</f>
        <v/>
      </c>
      <c r="D49" s="256" t="inlineStr">
        <is>
          <t>—</t>
        </is>
      </c>
      <c r="E49" s="256" t="inlineStr">
        <is>
          <t>√</t>
        </is>
      </c>
    </row>
    <row r="50" ht="15" customHeight="1" s="144">
      <c r="A50" s="148" t="inlineStr">
        <is>
          <t>纸箱</t>
        </is>
      </c>
      <c r="B50" s="148" t="inlineStr">
        <is>
          <t>元/箱</t>
        </is>
      </c>
      <c r="C50" s="148" t="inlineStr">
        <is>
          <t>按面积×瓦楞</t>
        </is>
      </c>
      <c r="D50" s="256" t="inlineStr">
        <is>
          <t>√</t>
        </is>
      </c>
      <c r="E50" s="256" t="inlineStr">
        <is>
          <t>√</t>
        </is>
      </c>
    </row>
    <row r="51" ht="15" customHeight="1" s="144">
      <c r="A51" s="148" t="inlineStr">
        <is>
          <t>护角</t>
        </is>
      </c>
      <c r="B51" s="148" t="inlineStr">
        <is>
          <t>元/套</t>
        </is>
      </c>
      <c r="C51" s="266">
        <f>参数!$B$29</f>
        <v/>
      </c>
      <c r="D51" s="256" t="inlineStr">
        <is>
          <t>√</t>
        </is>
      </c>
      <c r="E51" s="256" t="inlineStr">
        <is>
          <t>√</t>
        </is>
      </c>
    </row>
    <row r="52" ht="15" customHeight="1" s="144">
      <c r="A52" s="148" t="inlineStr">
        <is>
          <t>托盘</t>
        </is>
      </c>
      <c r="B52" s="148" t="inlineStr">
        <is>
          <t>元/托</t>
        </is>
      </c>
      <c r="C52" s="266">
        <f>参数!$B$25/参数!$B$26</f>
        <v/>
      </c>
      <c r="D52" s="256" t="inlineStr">
        <is>
          <t>√</t>
        </is>
      </c>
      <c r="E52" s="256" t="inlineStr">
        <is>
          <t>√</t>
        </is>
      </c>
    </row>
    <row r="53" ht="15" customHeight="1" s="144">
      <c r="A53" s="148" t="inlineStr">
        <is>
          <t>缠绕膜</t>
        </is>
      </c>
      <c r="B53" s="148" t="inlineStr">
        <is>
          <t>元/托</t>
        </is>
      </c>
      <c r="C53" s="266">
        <f>参数!$B$27*参数!$B$28</f>
        <v/>
      </c>
      <c r="D53" s="256" t="inlineStr">
        <is>
          <t>√</t>
        </is>
      </c>
      <c r="E53" s="256" t="inlineStr">
        <is>
          <t>√</t>
        </is>
      </c>
    </row>
    <row r="54" ht="13.5" customHeight="1" s="144">
      <c r="A54" s="148" t="inlineStr">
        <is>
          <t>打包带</t>
        </is>
      </c>
      <c r="B54" s="148" t="inlineStr">
        <is>
          <t>元/托</t>
        </is>
      </c>
      <c r="C54" s="266">
        <f>参数!$B$30</f>
        <v/>
      </c>
      <c r="D54" s="256" t="inlineStr">
        <is>
          <t>—</t>
        </is>
      </c>
      <c r="E54" s="256" t="inlineStr">
        <is>
          <t>√</t>
        </is>
      </c>
    </row>
    <row r="55" ht="12" customHeight="1" s="144">
      <c r="A55" s="148" t="inlineStr">
        <is>
          <t>口径：气泡袋按袋面积×单价；隔板=(N-1)/N×单价；大板EPE=上下垫片(2×长×宽×t)+四角护角(4×t×t×高)体积×单价；纸箱按面积×单价÷N；护角/托盘/缠绕膜/打包带按整托费用÷每托件数。</t>
        </is>
      </c>
    </row>
    <row r="56" ht="12" customHeight="1" s="144">
      <c r="A56" s="255" t="inlineStr">
        <is>
          <t>六、成品最大边长档位表（自动匹配缓冲厚度/瓦楞）</t>
        </is>
      </c>
    </row>
    <row r="57" ht="13.5" customHeight="1" s="144">
      <c r="A57" s="255" t="inlineStr">
        <is>
          <t>下限mm</t>
        </is>
      </c>
      <c r="B57" s="255" t="inlineStr">
        <is>
          <t>上限mm</t>
        </is>
      </c>
      <c r="C57" s="255" t="inlineStr">
        <is>
          <t>缓冲厚度mm</t>
        </is>
      </c>
      <c r="D57" s="255" t="inlineStr">
        <is>
          <t>瓦楞</t>
        </is>
      </c>
      <c r="E57" s="263" t="n"/>
    </row>
    <row r="58" ht="13.5" customHeight="1" s="144">
      <c r="A58" s="148" t="n">
        <v>0</v>
      </c>
      <c r="B58" s="148" t="n">
        <v>200</v>
      </c>
      <c r="C58" s="148" t="n">
        <v>15</v>
      </c>
      <c r="D58" s="148" t="inlineStr">
        <is>
          <t>单瓦楞3层</t>
        </is>
      </c>
      <c r="E58" s="263" t="n"/>
    </row>
    <row r="59" ht="13.5" customHeight="1" s="144">
      <c r="A59" s="148" t="n">
        <v>200</v>
      </c>
      <c r="B59" s="148" t="n">
        <v>350</v>
      </c>
      <c r="C59" s="148" t="n">
        <v>20</v>
      </c>
      <c r="D59" s="148" t="inlineStr">
        <is>
          <t>双瓦楞5层</t>
        </is>
      </c>
      <c r="E59" s="263" t="n"/>
    </row>
    <row r="60" ht="13.5" customHeight="1" s="144">
      <c r="A60" s="148" t="n">
        <v>350</v>
      </c>
      <c r="B60" s="148" t="n">
        <v>550</v>
      </c>
      <c r="C60" s="148" t="n">
        <v>25</v>
      </c>
      <c r="D60" s="148" t="inlineStr">
        <is>
          <t>双瓦楞5层</t>
        </is>
      </c>
      <c r="E60" s="263" t="n"/>
    </row>
    <row r="61" ht="13.5" customHeight="1" s="144">
      <c r="A61" s="148" t="n">
        <v>550</v>
      </c>
      <c r="B61" s="148" t="n">
        <v>999999</v>
      </c>
      <c r="C61" s="148" t="n">
        <v>30</v>
      </c>
      <c r="D61" s="148" t="inlineStr">
        <is>
          <t>重型7层</t>
        </is>
      </c>
      <c r="E61" s="263" t="n"/>
    </row>
    <row r="62" ht="13.5" customHeight="1" s="144">
      <c r="A62" s="263" t="n"/>
      <c r="B62" s="263" t="n"/>
      <c r="C62" s="263" t="n"/>
      <c r="D62" s="263" t="n"/>
      <c r="E62" s="263" t="n"/>
    </row>
    <row r="63" ht="13.5" customHeight="1" s="144">
      <c r="A63" s="255" t="inlineStr">
        <is>
          <t>七、瓦楞单价映射</t>
        </is>
      </c>
    </row>
    <row r="64" ht="13.5" customHeight="1" s="144">
      <c r="A64" s="255" t="inlineStr">
        <is>
          <t>瓦楞类型</t>
        </is>
      </c>
      <c r="B64" s="255" t="inlineStr">
        <is>
          <t>纸板单价(元/㎡)</t>
        </is>
      </c>
      <c r="C64" s="263" t="n"/>
      <c r="D64" s="263" t="n"/>
      <c r="E64" s="263" t="n"/>
    </row>
    <row r="65" ht="13.5" customHeight="1" s="144">
      <c r="A65" s="148" t="inlineStr">
        <is>
          <t>单瓦楞3层</t>
        </is>
      </c>
      <c r="B65" s="266">
        <f>参数!$B$16</f>
        <v/>
      </c>
      <c r="C65" s="263" t="n"/>
      <c r="D65" s="263" t="n"/>
      <c r="E65" s="263" t="n"/>
    </row>
    <row r="66" ht="13.5" customHeight="1" s="144">
      <c r="A66" s="148" t="inlineStr">
        <is>
          <t>双瓦楞5层</t>
        </is>
      </c>
      <c r="B66" s="266">
        <f>参数!$B$17</f>
        <v/>
      </c>
      <c r="C66" s="263" t="n"/>
      <c r="D66" s="263" t="n"/>
      <c r="E66" s="263" t="n"/>
    </row>
    <row r="67" ht="13.5" customHeight="1" s="144">
      <c r="A67" s="148" t="inlineStr">
        <is>
          <t>重型7层</t>
        </is>
      </c>
      <c r="B67" s="266">
        <f>参数!$B$18</f>
        <v/>
      </c>
      <c r="C67" s="263" t="n"/>
      <c r="D67" s="263" t="n"/>
      <c r="E67" s="263" t="n"/>
    </row>
    <row r="68" ht="13.5" customHeight="1" s="144">
      <c r="A68" s="263" t="n"/>
      <c r="B68" s="263" t="n"/>
      <c r="C68" s="263" t="n"/>
      <c r="D68" s="263" t="n"/>
      <c r="E68" s="263" t="n"/>
    </row>
    <row r="69" ht="13.5" customHeight="1" s="144">
      <c r="A69" s="263" t="n"/>
      <c r="B69" s="263" t="n"/>
      <c r="C69" s="263" t="n"/>
      <c r="D69" s="263" t="n"/>
      <c r="E69" s="263" t="n"/>
    </row>
    <row r="70" ht="13.5" customHeight="1" s="144">
      <c r="A70" s="263" t="n"/>
      <c r="B70" s="263" t="n"/>
      <c r="C70" s="263" t="n"/>
      <c r="D70" s="263" t="n"/>
      <c r="E70" s="263" t="n"/>
    </row>
  </sheetData>
  <mergeCells count="9">
    <mergeCell ref="A55:E55"/>
    <mergeCell ref="A19:E19"/>
    <mergeCell ref="A11:E11"/>
    <mergeCell ref="A63:E63"/>
    <mergeCell ref="A1:E1"/>
    <mergeCell ref="A45:E45"/>
    <mergeCell ref="A36:E36"/>
    <mergeCell ref="A56:E56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1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0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" defaultRowHeight="13.5" zeroHeight="0" outlineLevelRow="0"/>
  <cols>
    <col width="10" customWidth="1" style="143" min="1" max="1"/>
    <col width="12" customWidth="1" style="143" min="2" max="2"/>
    <col width="30" customWidth="1" style="143" min="3" max="3"/>
    <col width="6" customWidth="1" style="143" min="6" max="6"/>
    <col width="7" customWidth="1" style="143" min="8" max="16"/>
    <col width="28" customWidth="1" style="143" min="17" max="17"/>
  </cols>
  <sheetData>
    <row r="1" ht="17.25" customHeight="1" s="144">
      <c r="A1" s="145" t="inlineStr">
        <is>
          <t>跨越VIP运费费率（源自青岛国创VIP报价表，可按需改价）</t>
        </is>
      </c>
    </row>
    <row r="3" ht="30.75" customHeight="1" s="144">
      <c r="A3" s="272" t="inlineStr">
        <is>
          <t>产品</t>
        </is>
      </c>
      <c r="B3" s="272" t="inlineStr">
        <is>
          <t>目的省份</t>
        </is>
      </c>
      <c r="C3" s="272" t="inlineStr">
        <is>
          <t>目的地</t>
        </is>
      </c>
      <c r="D3" s="272" t="inlineStr">
        <is>
          <t>首重重量</t>
        </is>
      </c>
      <c r="E3" s="272" t="inlineStr">
        <is>
          <t>首重价格</t>
        </is>
      </c>
      <c r="F3" s="272" t="inlineStr">
        <is>
          <t>起重</t>
        </is>
      </c>
      <c r="G3" s="272" t="inlineStr">
        <is>
          <t>最低收费</t>
        </is>
      </c>
      <c r="H3" s="272" t="inlineStr">
        <is>
          <t>段1单价</t>
        </is>
      </c>
      <c r="I3" s="272" t="inlineStr">
        <is>
          <t>段2单价</t>
        </is>
      </c>
      <c r="J3" s="272" t="inlineStr">
        <is>
          <t>段3单价</t>
        </is>
      </c>
      <c r="K3" s="272" t="inlineStr">
        <is>
          <t>段4单价</t>
        </is>
      </c>
      <c r="L3" s="272" t="inlineStr">
        <is>
          <t>段5单价</t>
        </is>
      </c>
      <c r="M3" s="272" t="inlineStr">
        <is>
          <t>段6单价</t>
        </is>
      </c>
      <c r="N3" s="272" t="inlineStr">
        <is>
          <t>段7单价</t>
        </is>
      </c>
      <c r="O3" s="272" t="inlineStr">
        <is>
          <t>段8单价</t>
        </is>
      </c>
      <c r="P3" s="272" t="inlineStr">
        <is>
          <t>段9单价</t>
        </is>
      </c>
      <c r="Q3" s="272" t="inlineStr">
        <is>
          <t>匹配键</t>
        </is>
      </c>
    </row>
    <row r="4" ht="15" customHeight="1" s="144">
      <c r="A4" s="273" t="inlineStr">
        <is>
          <t>次日达</t>
        </is>
      </c>
      <c r="B4" s="274" t="inlineStr">
        <is>
          <t>福建省</t>
        </is>
      </c>
      <c r="C4" s="274" t="inlineStr">
        <is>
          <t>福州市/厦门市/泉州市</t>
        </is>
      </c>
      <c r="D4" s="275" t="n">
        <v>1</v>
      </c>
      <c r="E4" s="276" t="n">
        <v>20</v>
      </c>
      <c r="F4" s="275" t="n">
        <v>30</v>
      </c>
      <c r="G4" s="276" t="n">
        <v>255</v>
      </c>
      <c r="H4" s="276" t="n">
        <v>8.1</v>
      </c>
      <c r="I4" s="276" t="n">
        <v>8.1</v>
      </c>
      <c r="J4" s="276" t="n">
        <v>8.1</v>
      </c>
      <c r="K4" s="276" t="n">
        <v>8.1</v>
      </c>
      <c r="L4" s="276" t="n">
        <v>7.2</v>
      </c>
      <c r="M4" s="276" t="n">
        <v>6.3</v>
      </c>
      <c r="N4" s="276" t="n">
        <v>6.3</v>
      </c>
      <c r="O4" s="276" t="n">
        <v>6.3</v>
      </c>
      <c r="P4" s="276" t="n">
        <v>6.3</v>
      </c>
      <c r="Q4" s="274" t="inlineStr">
        <is>
          <t>次日达|福州市/厦门市/泉州市</t>
        </is>
      </c>
    </row>
    <row r="5" ht="15" customHeight="1" s="144">
      <c r="A5" s="273" t="inlineStr">
        <is>
          <t>次日达</t>
        </is>
      </c>
      <c r="B5" s="274" t="n"/>
      <c r="C5" s="274" t="inlineStr">
        <is>
          <t>宁德市/莆田市/漳州市</t>
        </is>
      </c>
      <c r="D5" s="275" t="n">
        <v>1</v>
      </c>
      <c r="E5" s="276" t="n">
        <v>20</v>
      </c>
      <c r="F5" s="275" t="n">
        <v>30</v>
      </c>
      <c r="G5" s="276" t="n">
        <v>255</v>
      </c>
      <c r="H5" s="276" t="n">
        <v>8.1</v>
      </c>
      <c r="I5" s="276" t="n">
        <v>8.1</v>
      </c>
      <c r="J5" s="276" t="n">
        <v>8.1</v>
      </c>
      <c r="K5" s="276" t="n">
        <v>8.1</v>
      </c>
      <c r="L5" s="276" t="n">
        <v>7.2</v>
      </c>
      <c r="M5" s="276" t="n">
        <v>6.3</v>
      </c>
      <c r="N5" s="276" t="n">
        <v>6.3</v>
      </c>
      <c r="O5" s="276" t="n">
        <v>6.3</v>
      </c>
      <c r="P5" s="276" t="n">
        <v>6.3</v>
      </c>
      <c r="Q5" s="274" t="inlineStr">
        <is>
          <t>次日达|宁德市/莆田市/漳州市</t>
        </is>
      </c>
    </row>
    <row r="6" ht="15" customHeight="1" s="144">
      <c r="A6" s="273" t="inlineStr">
        <is>
          <t>次日达</t>
        </is>
      </c>
      <c r="B6" s="274" t="n"/>
      <c r="C6" s="274" t="inlineStr">
        <is>
          <t>龙岩市/三明市/南平市</t>
        </is>
      </c>
      <c r="D6" s="275" t="n">
        <v>1</v>
      </c>
      <c r="E6" s="276" t="n">
        <v>20</v>
      </c>
      <c r="F6" s="275" t="n">
        <v>30</v>
      </c>
      <c r="G6" s="276" t="n">
        <v>255</v>
      </c>
      <c r="H6" s="276" t="n">
        <v>8.1</v>
      </c>
      <c r="I6" s="276" t="n">
        <v>8.1</v>
      </c>
      <c r="J6" s="276" t="n">
        <v>8.1</v>
      </c>
      <c r="K6" s="276" t="n">
        <v>8.1</v>
      </c>
      <c r="L6" s="276" t="n">
        <v>7.2</v>
      </c>
      <c r="M6" s="276" t="n">
        <v>6.3</v>
      </c>
      <c r="N6" s="276" t="n">
        <v>6.3</v>
      </c>
      <c r="O6" s="276" t="n">
        <v>6.3</v>
      </c>
      <c r="P6" s="276" t="n">
        <v>6.3</v>
      </c>
      <c r="Q6" s="274" t="inlineStr">
        <is>
          <t>次日达|龙岩市/三明市/南平市</t>
        </is>
      </c>
    </row>
    <row r="7" ht="15" customHeight="1" s="144">
      <c r="A7" s="273" t="inlineStr">
        <is>
          <t>次日达</t>
        </is>
      </c>
      <c r="B7" s="274" t="inlineStr">
        <is>
          <t>西藏自治区</t>
        </is>
      </c>
      <c r="C7" s="274" t="inlineStr">
        <is>
          <t>拉萨市</t>
        </is>
      </c>
      <c r="D7" s="275" t="n">
        <v>1</v>
      </c>
      <c r="E7" s="276" t="n">
        <v>20</v>
      </c>
      <c r="F7" s="275" t="n">
        <v>30</v>
      </c>
      <c r="G7" s="276" t="n">
        <v>542</v>
      </c>
      <c r="H7" s="276" t="n">
        <v>18</v>
      </c>
      <c r="I7" s="276" t="n">
        <v>18</v>
      </c>
      <c r="J7" s="276" t="n">
        <v>18</v>
      </c>
      <c r="K7" s="276" t="n">
        <v>18</v>
      </c>
      <c r="L7" s="276" t="n">
        <v>18</v>
      </c>
      <c r="M7" s="276" t="n">
        <v>18</v>
      </c>
      <c r="N7" s="276" t="n">
        <v>18</v>
      </c>
      <c r="O7" s="276" t="n">
        <v>18</v>
      </c>
      <c r="P7" s="276" t="n">
        <v>18</v>
      </c>
      <c r="Q7" s="274" t="inlineStr">
        <is>
          <t>次日达|拉萨市</t>
        </is>
      </c>
    </row>
    <row r="8" ht="15" customHeight="1" s="144">
      <c r="A8" s="273" t="inlineStr">
        <is>
          <t>次日达</t>
        </is>
      </c>
      <c r="B8" s="274" t="n"/>
      <c r="C8" s="274" t="inlineStr">
        <is>
          <t>日喀则市/山南市/林芝市/昌都市/那曲市/阿里地区</t>
        </is>
      </c>
      <c r="D8" s="275" t="n">
        <v>1</v>
      </c>
      <c r="E8" s="276" t="n">
        <v>25</v>
      </c>
      <c r="F8" s="275" t="n">
        <v>30</v>
      </c>
      <c r="G8" s="276" t="n">
        <v>678</v>
      </c>
      <c r="H8" s="276" t="n">
        <v>22.5</v>
      </c>
      <c r="I8" s="276" t="n">
        <v>22.5</v>
      </c>
      <c r="J8" s="276" t="n">
        <v>22.5</v>
      </c>
      <c r="K8" s="276" t="n">
        <v>22.5</v>
      </c>
      <c r="L8" s="276" t="n">
        <v>22.5</v>
      </c>
      <c r="M8" s="276" t="n">
        <v>22.5</v>
      </c>
      <c r="N8" s="276" t="n">
        <v>22.5</v>
      </c>
      <c r="O8" s="276" t="n">
        <v>22.5</v>
      </c>
      <c r="P8" s="276" t="n">
        <v>22.5</v>
      </c>
      <c r="Q8" s="274" t="inlineStr">
        <is>
          <t>次日达|日喀则市/山南市/林芝市/昌都市/那曲市/阿里地区</t>
        </is>
      </c>
    </row>
    <row r="9" ht="15" customHeight="1" s="144">
      <c r="A9" s="273" t="inlineStr">
        <is>
          <t>次日达</t>
        </is>
      </c>
      <c r="B9" s="274" t="inlineStr">
        <is>
          <t>贵州省</t>
        </is>
      </c>
      <c r="C9" s="274" t="inlineStr">
        <is>
          <t>贵阳市/遵义市/安顺市</t>
        </is>
      </c>
      <c r="D9" s="275" t="n">
        <v>1</v>
      </c>
      <c r="E9" s="276" t="n">
        <v>20</v>
      </c>
      <c r="F9" s="275" t="n">
        <v>30</v>
      </c>
      <c r="G9" s="276" t="n">
        <v>307</v>
      </c>
      <c r="H9" s="276" t="n">
        <v>9.9</v>
      </c>
      <c r="I9" s="276" t="n">
        <v>9.9</v>
      </c>
      <c r="J9" s="276" t="n">
        <v>9.9</v>
      </c>
      <c r="K9" s="276" t="n">
        <v>9</v>
      </c>
      <c r="L9" s="276" t="n">
        <v>9</v>
      </c>
      <c r="M9" s="276" t="n">
        <v>8.1</v>
      </c>
      <c r="N9" s="276" t="n">
        <v>8.1</v>
      </c>
      <c r="O9" s="276" t="n">
        <v>8.1</v>
      </c>
      <c r="P9" s="276" t="n">
        <v>8.1</v>
      </c>
      <c r="Q9" s="274" t="inlineStr">
        <is>
          <t>次日达|贵阳市/遵义市/安顺市</t>
        </is>
      </c>
    </row>
    <row r="10" ht="15" customHeight="1" s="144">
      <c r="A10" s="273" t="inlineStr">
        <is>
          <t>次日达</t>
        </is>
      </c>
      <c r="B10" s="274" t="n"/>
      <c r="C10" s="274" t="inlineStr">
        <is>
          <t>黔南布依族苗族自治州/黔东南苗族侗族自治州/铜仁市/毕节市/六盘水市/黔西南布依族苗族自治州</t>
        </is>
      </c>
      <c r="D10" s="275" t="n">
        <v>1</v>
      </c>
      <c r="E10" s="276" t="n">
        <v>20</v>
      </c>
      <c r="F10" s="275" t="n">
        <v>30</v>
      </c>
      <c r="G10" s="276" t="n">
        <v>307</v>
      </c>
      <c r="H10" s="276" t="n">
        <v>9.9</v>
      </c>
      <c r="I10" s="276" t="n">
        <v>9.9</v>
      </c>
      <c r="J10" s="276" t="n">
        <v>9.9</v>
      </c>
      <c r="K10" s="276" t="n">
        <v>9</v>
      </c>
      <c r="L10" s="276" t="n">
        <v>9</v>
      </c>
      <c r="M10" s="276" t="n">
        <v>8.1</v>
      </c>
      <c r="N10" s="276" t="n">
        <v>8.1</v>
      </c>
      <c r="O10" s="276" t="n">
        <v>8.1</v>
      </c>
      <c r="P10" s="276" t="n">
        <v>8.1</v>
      </c>
      <c r="Q10" s="274" t="inlineStr">
        <is>
          <t>次日达|黔南布依族苗族自治州/黔东南苗族侗族自治州/铜仁市/毕节市/六盘水市/黔西南布依族苗族自治州</t>
        </is>
      </c>
    </row>
    <row r="11" ht="15" customHeight="1" s="144">
      <c r="A11" s="273" t="inlineStr">
        <is>
          <t>次日达</t>
        </is>
      </c>
      <c r="B11" s="274" t="inlineStr">
        <is>
          <t>广东省</t>
        </is>
      </c>
      <c r="C11" s="274" t="inlineStr">
        <is>
          <t>广州市/深圳市/珠海市/中山市/东莞市</t>
        </is>
      </c>
      <c r="D11" s="275" t="n">
        <v>1</v>
      </c>
      <c r="E11" s="276" t="n">
        <v>20</v>
      </c>
      <c r="F11" s="275" t="n">
        <v>15</v>
      </c>
      <c r="G11" s="276" t="n">
        <v>171</v>
      </c>
      <c r="H11" s="276" t="n">
        <v>10.8</v>
      </c>
      <c r="I11" s="276" t="n">
        <v>10.8</v>
      </c>
      <c r="J11" s="276" t="n">
        <v>10.8</v>
      </c>
      <c r="K11" s="276" t="n">
        <v>9.9</v>
      </c>
      <c r="L11" s="276" t="n">
        <v>9</v>
      </c>
      <c r="M11" s="276" t="n">
        <v>8.1</v>
      </c>
      <c r="N11" s="276" t="n">
        <v>8.1</v>
      </c>
      <c r="O11" s="276" t="n">
        <v>8.1</v>
      </c>
      <c r="P11" s="276" t="n">
        <v>8.1</v>
      </c>
      <c r="Q11" s="274" t="inlineStr">
        <is>
          <t>次日达|广州市/深圳市/珠海市/中山市/东莞市</t>
        </is>
      </c>
    </row>
    <row r="12" ht="15" customHeight="1" s="144">
      <c r="A12" s="273" t="inlineStr">
        <is>
          <t>次日达</t>
        </is>
      </c>
      <c r="B12" s="274" t="n"/>
      <c r="C12" s="274" t="inlineStr">
        <is>
          <t>江门市/惠州市/佛山市/肇庆市</t>
        </is>
      </c>
      <c r="D12" s="275" t="n">
        <v>1</v>
      </c>
      <c r="E12" s="276" t="n">
        <v>20</v>
      </c>
      <c r="F12" s="275" t="n">
        <v>15</v>
      </c>
      <c r="G12" s="276" t="n">
        <v>171</v>
      </c>
      <c r="H12" s="276" t="n">
        <v>10.8</v>
      </c>
      <c r="I12" s="276" t="n">
        <v>10.8</v>
      </c>
      <c r="J12" s="276" t="n">
        <v>10.8</v>
      </c>
      <c r="K12" s="276" t="n">
        <v>9.9</v>
      </c>
      <c r="L12" s="276" t="n">
        <v>9</v>
      </c>
      <c r="M12" s="276" t="n">
        <v>8.1</v>
      </c>
      <c r="N12" s="276" t="n">
        <v>8.1</v>
      </c>
      <c r="O12" s="276" t="n">
        <v>8.1</v>
      </c>
      <c r="P12" s="276" t="n">
        <v>8.1</v>
      </c>
      <c r="Q12" s="274" t="inlineStr">
        <is>
          <t>次日达|江门市/惠州市/佛山市/肇庆市</t>
        </is>
      </c>
    </row>
    <row r="13" ht="15" customHeight="1" s="144">
      <c r="A13" s="273" t="inlineStr">
        <is>
          <t>次日达</t>
        </is>
      </c>
      <c r="B13" s="274" t="n"/>
      <c r="C13" s="274" t="inlineStr">
        <is>
          <t>汕尾市/阳江市/揭阳市/茂名市/韶关市/梅州市/汕头市/湛江市/河源市/清远市/云浮市/潮州市</t>
        </is>
      </c>
      <c r="D13" s="275" t="n">
        <v>1</v>
      </c>
      <c r="E13" s="276" t="n">
        <v>20</v>
      </c>
      <c r="F13" s="275" t="n">
        <v>15</v>
      </c>
      <c r="G13" s="276" t="n">
        <v>171</v>
      </c>
      <c r="H13" s="276" t="n">
        <v>10.8</v>
      </c>
      <c r="I13" s="276" t="n">
        <v>10.8</v>
      </c>
      <c r="J13" s="276" t="n">
        <v>10.8</v>
      </c>
      <c r="K13" s="276" t="n">
        <v>9.9</v>
      </c>
      <c r="L13" s="276" t="n">
        <v>9</v>
      </c>
      <c r="M13" s="276" t="n">
        <v>8.1</v>
      </c>
      <c r="N13" s="276" t="n">
        <v>8.1</v>
      </c>
      <c r="O13" s="276" t="n">
        <v>8.1</v>
      </c>
      <c r="P13" s="276" t="n">
        <v>8.1</v>
      </c>
      <c r="Q13" s="274" t="inlineStr">
        <is>
          <t>次日达|汕尾市/阳江市/揭阳市/茂名市/韶关市/梅州市/汕头市/湛江市/河源市/清远市/云浮市/潮州市</t>
        </is>
      </c>
    </row>
    <row r="14" ht="15" customHeight="1" s="144">
      <c r="A14" s="273" t="inlineStr">
        <is>
          <t>次日达</t>
        </is>
      </c>
      <c r="B14" s="274" t="inlineStr">
        <is>
          <t>湖北省</t>
        </is>
      </c>
      <c r="C14" s="274" t="inlineStr">
        <is>
          <t>武汉市/鄂州市</t>
        </is>
      </c>
      <c r="D14" s="275" t="n">
        <v>1</v>
      </c>
      <c r="E14" s="276" t="n">
        <v>20</v>
      </c>
      <c r="F14" s="275" t="n">
        <v>30</v>
      </c>
      <c r="G14" s="276" t="n">
        <v>255</v>
      </c>
      <c r="H14" s="276" t="n">
        <v>8.1</v>
      </c>
      <c r="I14" s="276" t="n">
        <v>8.1</v>
      </c>
      <c r="J14" s="276" t="n">
        <v>8.1</v>
      </c>
      <c r="K14" s="276" t="n">
        <v>8.1</v>
      </c>
      <c r="L14" s="276" t="n">
        <v>7.2</v>
      </c>
      <c r="M14" s="276" t="n">
        <v>6.3</v>
      </c>
      <c r="N14" s="276" t="n">
        <v>6.3</v>
      </c>
      <c r="O14" s="276" t="n">
        <v>6.3</v>
      </c>
      <c r="P14" s="276" t="n">
        <v>6.3</v>
      </c>
      <c r="Q14" s="274" t="inlineStr">
        <is>
          <t>次日达|武汉市/鄂州市</t>
        </is>
      </c>
    </row>
    <row r="15" ht="15" customHeight="1" s="144">
      <c r="A15" s="273" t="inlineStr">
        <is>
          <t>次日达</t>
        </is>
      </c>
      <c r="B15" s="274" t="n"/>
      <c r="C15" s="274" t="inlineStr">
        <is>
          <t>襄阳市/孝感市/黄石市/荆州市/宜昌市/神农架林区/十堰市/随州市/荆门市</t>
        </is>
      </c>
      <c r="D15" s="275" t="n">
        <v>1</v>
      </c>
      <c r="E15" s="276" t="n">
        <v>20</v>
      </c>
      <c r="F15" s="275" t="n">
        <v>30</v>
      </c>
      <c r="G15" s="276" t="n">
        <v>255</v>
      </c>
      <c r="H15" s="276" t="n">
        <v>8.1</v>
      </c>
      <c r="I15" s="276" t="n">
        <v>8.1</v>
      </c>
      <c r="J15" s="276" t="n">
        <v>8.1</v>
      </c>
      <c r="K15" s="276" t="n">
        <v>8.1</v>
      </c>
      <c r="L15" s="276" t="n">
        <v>7.2</v>
      </c>
      <c r="M15" s="276" t="n">
        <v>6.3</v>
      </c>
      <c r="N15" s="276" t="n">
        <v>6.3</v>
      </c>
      <c r="O15" s="276" t="n">
        <v>6.3</v>
      </c>
      <c r="P15" s="276" t="n">
        <v>6.3</v>
      </c>
      <c r="Q15" s="274" t="inlineStr">
        <is>
          <t>次日达|襄阳市/孝感市/黄石市/荆州市/宜昌市/神农架林区/十堰市/随州市/荆门市</t>
        </is>
      </c>
    </row>
    <row r="16" ht="15" customHeight="1" s="144">
      <c r="A16" s="273" t="inlineStr">
        <is>
          <t>次日达</t>
        </is>
      </c>
      <c r="B16" s="274" t="n"/>
      <c r="C16" s="274" t="inlineStr">
        <is>
          <t>黄冈市/咸宁市/恩施土家族苗族自治州/潜江市/仙桃市/天门市</t>
        </is>
      </c>
      <c r="D16" s="275" t="n">
        <v>1</v>
      </c>
      <c r="E16" s="276" t="n">
        <v>20</v>
      </c>
      <c r="F16" s="275" t="n">
        <v>30</v>
      </c>
      <c r="G16" s="276" t="n">
        <v>307</v>
      </c>
      <c r="H16" s="276" t="n">
        <v>9.9</v>
      </c>
      <c r="I16" s="276" t="n">
        <v>9.9</v>
      </c>
      <c r="J16" s="276" t="n">
        <v>9.9</v>
      </c>
      <c r="K16" s="276" t="n">
        <v>9.9</v>
      </c>
      <c r="L16" s="276" t="n">
        <v>9</v>
      </c>
      <c r="M16" s="276" t="n">
        <v>8.1</v>
      </c>
      <c r="N16" s="276" t="n">
        <v>8.1</v>
      </c>
      <c r="O16" s="276" t="n">
        <v>8.1</v>
      </c>
      <c r="P16" s="276" t="n">
        <v>8.1</v>
      </c>
      <c r="Q16" s="274" t="inlineStr">
        <is>
          <t>次日达|黄冈市/咸宁市/恩施土家族苗族自治州/潜江市/仙桃市/天门市</t>
        </is>
      </c>
    </row>
    <row r="17" ht="15" customHeight="1" s="144">
      <c r="A17" s="273" t="inlineStr">
        <is>
          <t>次日达</t>
        </is>
      </c>
      <c r="B17" s="274" t="inlineStr">
        <is>
          <t>湖南省</t>
        </is>
      </c>
      <c r="C17" s="274" t="inlineStr">
        <is>
          <t>株洲市/长沙市/湘潭市</t>
        </is>
      </c>
      <c r="D17" s="275" t="n">
        <v>1</v>
      </c>
      <c r="E17" s="276" t="n">
        <v>20</v>
      </c>
      <c r="F17" s="275" t="n">
        <v>30</v>
      </c>
      <c r="G17" s="276" t="n">
        <v>255</v>
      </c>
      <c r="H17" s="276" t="n">
        <v>8.1</v>
      </c>
      <c r="I17" s="276" t="n">
        <v>8.1</v>
      </c>
      <c r="J17" s="276" t="n">
        <v>8.1</v>
      </c>
      <c r="K17" s="276" t="n">
        <v>8.1</v>
      </c>
      <c r="L17" s="276" t="n">
        <v>7.2</v>
      </c>
      <c r="M17" s="276" t="n">
        <v>6.3</v>
      </c>
      <c r="N17" s="276" t="n">
        <v>6.3</v>
      </c>
      <c r="O17" s="276" t="n">
        <v>6.3</v>
      </c>
      <c r="P17" s="276" t="n">
        <v>6.3</v>
      </c>
      <c r="Q17" s="274" t="inlineStr">
        <is>
          <t>次日达|株洲市/长沙市/湘潭市</t>
        </is>
      </c>
    </row>
    <row r="18" ht="15" customHeight="1" s="144">
      <c r="A18" s="273" t="inlineStr">
        <is>
          <t>次日达</t>
        </is>
      </c>
      <c r="B18" s="274" t="n"/>
      <c r="C18" s="274" t="inlineStr">
        <is>
          <t>益阳市</t>
        </is>
      </c>
      <c r="D18" s="275" t="n">
        <v>1</v>
      </c>
      <c r="E18" s="276" t="n">
        <v>20</v>
      </c>
      <c r="F18" s="275" t="n">
        <v>30</v>
      </c>
      <c r="G18" s="276" t="n">
        <v>255</v>
      </c>
      <c r="H18" s="276" t="n">
        <v>8.1</v>
      </c>
      <c r="I18" s="276" t="n">
        <v>8.1</v>
      </c>
      <c r="J18" s="276" t="n">
        <v>8.1</v>
      </c>
      <c r="K18" s="276" t="n">
        <v>8.1</v>
      </c>
      <c r="L18" s="276" t="n">
        <v>7.2</v>
      </c>
      <c r="M18" s="276" t="n">
        <v>6.3</v>
      </c>
      <c r="N18" s="276" t="n">
        <v>6.3</v>
      </c>
      <c r="O18" s="276" t="n">
        <v>6.3</v>
      </c>
      <c r="P18" s="276" t="n">
        <v>6.3</v>
      </c>
      <c r="Q18" s="274" t="inlineStr">
        <is>
          <t>次日达|益阳市</t>
        </is>
      </c>
    </row>
    <row r="19" ht="15" customHeight="1" s="144">
      <c r="A19" s="273" t="inlineStr">
        <is>
          <t>次日达</t>
        </is>
      </c>
      <c r="B19" s="274" t="n"/>
      <c r="C19" s="274" t="inlineStr">
        <is>
          <t>岳阳市/衡阳市/郴州市/常德市/娄底市/邵阳市/湘西土家族苗族自治州/张家界市/怀化市/永州市</t>
        </is>
      </c>
      <c r="D19" s="275" t="n">
        <v>1</v>
      </c>
      <c r="E19" s="276" t="n">
        <v>20</v>
      </c>
      <c r="F19" s="275" t="n">
        <v>30</v>
      </c>
      <c r="G19" s="276" t="n">
        <v>307</v>
      </c>
      <c r="H19" s="276" t="n">
        <v>9.9</v>
      </c>
      <c r="I19" s="276" t="n">
        <v>9.9</v>
      </c>
      <c r="J19" s="276" t="n">
        <v>9.9</v>
      </c>
      <c r="K19" s="276" t="n">
        <v>9.9</v>
      </c>
      <c r="L19" s="276" t="n">
        <v>9</v>
      </c>
      <c r="M19" s="276" t="n">
        <v>8.1</v>
      </c>
      <c r="N19" s="276" t="n">
        <v>8.1</v>
      </c>
      <c r="O19" s="276" t="n">
        <v>8.1</v>
      </c>
      <c r="P19" s="276" t="n">
        <v>8.1</v>
      </c>
      <c r="Q19" s="274" t="inlineStr">
        <is>
          <t>次日达|岳阳市/衡阳市/郴州市/常德市/娄底市/邵阳市/湘西土家族苗族自治州/张家界市/怀化市/永州市</t>
        </is>
      </c>
    </row>
    <row r="20" ht="15" customHeight="1" s="144">
      <c r="A20" s="273" t="inlineStr">
        <is>
          <t>次日达</t>
        </is>
      </c>
      <c r="B20" s="274" t="inlineStr">
        <is>
          <t>重庆</t>
        </is>
      </c>
      <c r="C20" s="274" t="inlineStr">
        <is>
          <t>重庆市</t>
        </is>
      </c>
      <c r="D20" s="275" t="n">
        <v>1</v>
      </c>
      <c r="E20" s="276" t="n">
        <v>20</v>
      </c>
      <c r="F20" s="275" t="n">
        <v>30</v>
      </c>
      <c r="G20" s="276" t="n">
        <v>255</v>
      </c>
      <c r="H20" s="276" t="n">
        <v>8.1</v>
      </c>
      <c r="I20" s="276" t="n">
        <v>8.1</v>
      </c>
      <c r="J20" s="276" t="n">
        <v>8.1</v>
      </c>
      <c r="K20" s="276" t="n">
        <v>8.1</v>
      </c>
      <c r="L20" s="276" t="n">
        <v>7.2</v>
      </c>
      <c r="M20" s="276" t="n">
        <v>7.2</v>
      </c>
      <c r="N20" s="276" t="n">
        <v>7.2</v>
      </c>
      <c r="O20" s="276" t="n">
        <v>7.2</v>
      </c>
      <c r="P20" s="276" t="n">
        <v>7.2</v>
      </c>
      <c r="Q20" s="274" t="inlineStr">
        <is>
          <t>次日达|重庆市</t>
        </is>
      </c>
    </row>
    <row r="21" ht="15" customHeight="1" s="144">
      <c r="A21" s="273" t="inlineStr">
        <is>
          <t>次日达</t>
        </is>
      </c>
      <c r="B21" s="274" t="inlineStr">
        <is>
          <t>四川省</t>
        </is>
      </c>
      <c r="C21" s="274" t="inlineStr">
        <is>
          <t>成都市/资阳市/眉山市</t>
        </is>
      </c>
      <c r="D21" s="275" t="n">
        <v>1</v>
      </c>
      <c r="E21" s="276" t="n">
        <v>20</v>
      </c>
      <c r="F21" s="275" t="n">
        <v>30</v>
      </c>
      <c r="G21" s="276" t="n">
        <v>255</v>
      </c>
      <c r="H21" s="276" t="n">
        <v>8.1</v>
      </c>
      <c r="I21" s="276" t="n">
        <v>8.1</v>
      </c>
      <c r="J21" s="276" t="n">
        <v>8.1</v>
      </c>
      <c r="K21" s="276" t="n">
        <v>8.1</v>
      </c>
      <c r="L21" s="276" t="n">
        <v>7.2</v>
      </c>
      <c r="M21" s="276" t="n">
        <v>7.2</v>
      </c>
      <c r="N21" s="276" t="n">
        <v>7.2</v>
      </c>
      <c r="O21" s="276" t="n">
        <v>7.2</v>
      </c>
      <c r="P21" s="276" t="n">
        <v>7.2</v>
      </c>
      <c r="Q21" s="274" t="inlineStr">
        <is>
          <t>次日达|成都市/资阳市/眉山市</t>
        </is>
      </c>
    </row>
    <row r="22" ht="15" customHeight="1" s="144">
      <c r="A22" s="273" t="inlineStr">
        <is>
          <t>次日达</t>
        </is>
      </c>
      <c r="B22" s="274" t="n"/>
      <c r="C22" s="274" t="inlineStr">
        <is>
          <t>绵阳市</t>
        </is>
      </c>
      <c r="D22" s="275" t="n">
        <v>1</v>
      </c>
      <c r="E22" s="276" t="n">
        <v>20</v>
      </c>
      <c r="F22" s="275" t="n">
        <v>30</v>
      </c>
      <c r="G22" s="276" t="n">
        <v>255</v>
      </c>
      <c r="H22" s="276" t="n">
        <v>8.1</v>
      </c>
      <c r="I22" s="276" t="n">
        <v>8.1</v>
      </c>
      <c r="J22" s="276" t="n">
        <v>8.1</v>
      </c>
      <c r="K22" s="276" t="n">
        <v>8.1</v>
      </c>
      <c r="L22" s="276" t="n">
        <v>7.2</v>
      </c>
      <c r="M22" s="276" t="n">
        <v>7.2</v>
      </c>
      <c r="N22" s="276" t="n">
        <v>7.2</v>
      </c>
      <c r="O22" s="276" t="n">
        <v>7.2</v>
      </c>
      <c r="P22" s="276" t="n">
        <v>7.2</v>
      </c>
      <c r="Q22" s="274" t="inlineStr">
        <is>
          <t>次日达|绵阳市</t>
        </is>
      </c>
    </row>
    <row r="23" ht="15" customHeight="1" s="144">
      <c r="A23" s="273" t="inlineStr">
        <is>
          <t>次日达</t>
        </is>
      </c>
      <c r="B23" s="274" t="n"/>
      <c r="C23" s="274" t="inlineStr">
        <is>
          <t>自贡市/南充市/达州市/遂宁市/广安市/巴中市/泸州市/宜宾市/内江市/乐山市/雅安市/德阳市/广元市</t>
        </is>
      </c>
      <c r="D23" s="275" t="n">
        <v>1</v>
      </c>
      <c r="E23" s="276" t="n">
        <v>20</v>
      </c>
      <c r="F23" s="275" t="n">
        <v>30</v>
      </c>
      <c r="G23" s="276" t="n">
        <v>307</v>
      </c>
      <c r="H23" s="276" t="n">
        <v>9.9</v>
      </c>
      <c r="I23" s="276" t="n">
        <v>9.9</v>
      </c>
      <c r="J23" s="276" t="n">
        <v>9.9</v>
      </c>
      <c r="K23" s="276" t="n">
        <v>9.9</v>
      </c>
      <c r="L23" s="276" t="n">
        <v>9</v>
      </c>
      <c r="M23" s="276" t="n">
        <v>9</v>
      </c>
      <c r="N23" s="276" t="n">
        <v>9</v>
      </c>
      <c r="O23" s="276" t="n">
        <v>9</v>
      </c>
      <c r="P23" s="276" t="n">
        <v>9</v>
      </c>
      <c r="Q23" s="274" t="inlineStr">
        <is>
          <t>次日达|自贡市/南充市/达州市/遂宁市/广安市/巴中市/泸州市/宜宾市/内江市/乐山市/雅安市/德阳市/广元市</t>
        </is>
      </c>
    </row>
    <row r="24" ht="15" customHeight="1" s="144">
      <c r="A24" s="273" t="inlineStr">
        <is>
          <t>次日达</t>
        </is>
      </c>
      <c r="B24" s="274" t="n"/>
      <c r="C24" s="274" t="inlineStr">
        <is>
          <t>攀枝花市/凉山彝族自治州/甘孜藏族自治州/阿坝藏族羌族自治州</t>
        </is>
      </c>
      <c r="D24" s="275" t="n">
        <v>1</v>
      </c>
      <c r="E24" s="276" t="n">
        <v>20</v>
      </c>
      <c r="F24" s="275" t="n">
        <v>30</v>
      </c>
      <c r="G24" s="276" t="n">
        <v>385</v>
      </c>
      <c r="H24" s="276" t="n">
        <v>12.6</v>
      </c>
      <c r="I24" s="276" t="n">
        <v>12.6</v>
      </c>
      <c r="J24" s="276" t="n">
        <v>12.6</v>
      </c>
      <c r="K24" s="276" t="n">
        <v>12.6</v>
      </c>
      <c r="L24" s="276" t="n">
        <v>11.7</v>
      </c>
      <c r="M24" s="276" t="n">
        <v>11.7</v>
      </c>
      <c r="N24" s="276" t="n">
        <v>11.7</v>
      </c>
      <c r="O24" s="276" t="n">
        <v>11.7</v>
      </c>
      <c r="P24" s="276" t="n">
        <v>11.7</v>
      </c>
      <c r="Q24" s="274" t="inlineStr">
        <is>
          <t>次日达|攀枝花市/凉山彝族自治州/甘孜藏族自治州/阿坝藏族羌族自治州</t>
        </is>
      </c>
    </row>
    <row r="25" ht="15" customHeight="1" s="144">
      <c r="A25" s="273" t="inlineStr">
        <is>
          <t>次日达</t>
        </is>
      </c>
      <c r="B25" s="274" t="inlineStr">
        <is>
          <t>安徽省</t>
        </is>
      </c>
      <c r="C25" s="274" t="inlineStr">
        <is>
          <t>合肥市/芜湖市/马鞍山市</t>
        </is>
      </c>
      <c r="D25" s="275" t="n">
        <v>1</v>
      </c>
      <c r="E25" s="276" t="n">
        <v>20</v>
      </c>
      <c r="F25" s="275" t="n">
        <v>30</v>
      </c>
      <c r="G25" s="276" t="n">
        <v>255</v>
      </c>
      <c r="H25" s="276" t="n">
        <v>8.1</v>
      </c>
      <c r="I25" s="276" t="n">
        <v>8.1</v>
      </c>
      <c r="J25" s="276" t="n">
        <v>8.1</v>
      </c>
      <c r="K25" s="276" t="n">
        <v>8.1</v>
      </c>
      <c r="L25" s="276" t="n">
        <v>7.2</v>
      </c>
      <c r="M25" s="276" t="n">
        <v>6.3</v>
      </c>
      <c r="N25" s="276" t="n">
        <v>6.3</v>
      </c>
      <c r="O25" s="276" t="n">
        <v>6.3</v>
      </c>
      <c r="P25" s="276" t="n">
        <v>6.3</v>
      </c>
      <c r="Q25" s="274" t="inlineStr">
        <is>
          <t>次日达|合肥市/芜湖市/马鞍山市</t>
        </is>
      </c>
    </row>
    <row r="26" ht="15" customHeight="1" s="144">
      <c r="A26" s="273" t="inlineStr">
        <is>
          <t>次日达</t>
        </is>
      </c>
      <c r="B26" s="274" t="n"/>
      <c r="C26" s="274" t="inlineStr">
        <is>
          <t>滁州市/蚌埠市/六安市</t>
        </is>
      </c>
      <c r="D26" s="275" t="n">
        <v>1</v>
      </c>
      <c r="E26" s="276" t="n">
        <v>20</v>
      </c>
      <c r="F26" s="275" t="n">
        <v>30</v>
      </c>
      <c r="G26" s="276" t="n">
        <v>281</v>
      </c>
      <c r="H26" s="276" t="n">
        <v>9</v>
      </c>
      <c r="I26" s="276" t="n">
        <v>9</v>
      </c>
      <c r="J26" s="276" t="n">
        <v>9</v>
      </c>
      <c r="K26" s="276" t="n">
        <v>9</v>
      </c>
      <c r="L26" s="276" t="n">
        <v>8.1</v>
      </c>
      <c r="M26" s="276" t="n">
        <v>7.2</v>
      </c>
      <c r="N26" s="276" t="n">
        <v>7.2</v>
      </c>
      <c r="O26" s="276" t="n">
        <v>7.2</v>
      </c>
      <c r="P26" s="276" t="n">
        <v>7.2</v>
      </c>
      <c r="Q26" s="274" t="inlineStr">
        <is>
          <t>次日达|滁州市/蚌埠市/六安市</t>
        </is>
      </c>
    </row>
    <row r="27" ht="15" customHeight="1" s="144">
      <c r="A27" s="273" t="inlineStr">
        <is>
          <t>次日达</t>
        </is>
      </c>
      <c r="B27" s="274" t="n"/>
      <c r="C27" s="274" t="inlineStr">
        <is>
          <t>淮南市/安庆市/宿州市/亳州市/阜阳市/黄山市/淮北市/铜陵市/宣城市/池州市</t>
        </is>
      </c>
      <c r="D27" s="275" t="n">
        <v>1</v>
      </c>
      <c r="E27" s="276" t="n">
        <v>20</v>
      </c>
      <c r="F27" s="275" t="n">
        <v>30</v>
      </c>
      <c r="G27" s="276" t="n">
        <v>307</v>
      </c>
      <c r="H27" s="276" t="n">
        <v>9.9</v>
      </c>
      <c r="I27" s="276" t="n">
        <v>9.9</v>
      </c>
      <c r="J27" s="276" t="n">
        <v>9.9</v>
      </c>
      <c r="K27" s="276" t="n">
        <v>9.9</v>
      </c>
      <c r="L27" s="276" t="n">
        <v>9</v>
      </c>
      <c r="M27" s="276" t="n">
        <v>8.1</v>
      </c>
      <c r="N27" s="276" t="n">
        <v>8.1</v>
      </c>
      <c r="O27" s="276" t="n">
        <v>8.1</v>
      </c>
      <c r="P27" s="276" t="n">
        <v>8.1</v>
      </c>
      <c r="Q27" s="274" t="inlineStr">
        <is>
          <t>次日达|淮南市/安庆市/宿州市/亳州市/阜阳市/黄山市/淮北市/铜陵市/宣城市/池州市</t>
        </is>
      </c>
    </row>
    <row r="28" ht="15" customHeight="1" s="144">
      <c r="A28" s="273" t="inlineStr">
        <is>
          <t>次日达</t>
        </is>
      </c>
      <c r="B28" s="274" t="inlineStr">
        <is>
          <t>新疆维吾尔自治区</t>
        </is>
      </c>
      <c r="C28" s="274" t="inlineStr">
        <is>
          <t>乌鲁木齐市</t>
        </is>
      </c>
      <c r="D28" s="275" t="n">
        <v>1</v>
      </c>
      <c r="E28" s="276" t="n">
        <v>20</v>
      </c>
      <c r="F28" s="275" t="n">
        <v>30</v>
      </c>
      <c r="G28" s="276" t="n">
        <v>542</v>
      </c>
      <c r="H28" s="276" t="n">
        <v>18</v>
      </c>
      <c r="I28" s="276" t="n">
        <v>18</v>
      </c>
      <c r="J28" s="276" t="n">
        <v>18</v>
      </c>
      <c r="K28" s="276" t="n">
        <v>18</v>
      </c>
      <c r="L28" s="276" t="n">
        <v>18</v>
      </c>
      <c r="M28" s="276" t="n">
        <v>18</v>
      </c>
      <c r="N28" s="276" t="n">
        <v>18</v>
      </c>
      <c r="O28" s="276" t="n">
        <v>18</v>
      </c>
      <c r="P28" s="276" t="n">
        <v>18</v>
      </c>
      <c r="Q28" s="274" t="inlineStr">
        <is>
          <t>次日达|乌鲁木齐市</t>
        </is>
      </c>
    </row>
    <row r="29" ht="15" customHeight="1" s="144">
      <c r="A29" s="273" t="inlineStr">
        <is>
          <t>次日达</t>
        </is>
      </c>
      <c r="B29" s="274" t="n"/>
      <c r="C29" s="274" t="inlineStr">
        <is>
          <t>塔城地区/白杨市/新星市/哈密市/昆玉市/和田地区/北屯市/阿勒泰地区/克孜勒苏柯尔克孜自治州/双河市/博尔塔拉蒙古自治州/克拉玛依市/胡杨河市/石河子市/五家渠市/昌吉回族自治州/吐鲁番市/巴音郭楞蒙古自治州/铁门关市/阿克苏地区/阿拉尔市/图木舒克市/喀什地区/伊犁哈萨克自治州/可克达拉市</t>
        </is>
      </c>
      <c r="D29" s="275" t="n">
        <v>1</v>
      </c>
      <c r="E29" s="276" t="n">
        <v>25</v>
      </c>
      <c r="F29" s="275" t="n">
        <v>30</v>
      </c>
      <c r="G29" s="276" t="n">
        <v>678</v>
      </c>
      <c r="H29" s="276" t="n">
        <v>22.5</v>
      </c>
      <c r="I29" s="276" t="n">
        <v>22.5</v>
      </c>
      <c r="J29" s="276" t="n">
        <v>22.5</v>
      </c>
      <c r="K29" s="276" t="n">
        <v>22.5</v>
      </c>
      <c r="L29" s="276" t="n">
        <v>22.5</v>
      </c>
      <c r="M29" s="276" t="n">
        <v>22.5</v>
      </c>
      <c r="N29" s="276" t="n">
        <v>22.5</v>
      </c>
      <c r="O29" s="276" t="n">
        <v>22.5</v>
      </c>
      <c r="P29" s="276" t="n">
        <v>22.5</v>
      </c>
      <c r="Q29" s="274" t="inlineStr">
        <is>
          <t>次日达|塔城地区/白杨市/新星市/哈密市/昆玉市/和田地区/北屯市/阿勒泰地区/克孜勒苏柯尔克孜自治州/双河市/博尔塔拉蒙古自治州/克拉玛依市/胡杨河市/石河子市/五家渠市/昌吉回族自治州/吐鲁番市/巴音郭楞蒙古自治州/铁门关市/阿克苏地区/阿拉尔市/图木舒克市/喀什地区/伊犁哈萨克自治州/可克达拉市</t>
        </is>
      </c>
    </row>
    <row r="30" ht="15" customHeight="1" s="144">
      <c r="A30" s="273" t="inlineStr">
        <is>
          <t>次日达</t>
        </is>
      </c>
      <c r="B30" s="274" t="inlineStr">
        <is>
          <t>江苏省</t>
        </is>
      </c>
      <c r="C30" s="274" t="inlineStr">
        <is>
          <t>南京市/无锡市/苏州市/常州市</t>
        </is>
      </c>
      <c r="D30" s="275" t="n">
        <v>1</v>
      </c>
      <c r="E30" s="276" t="n">
        <v>20</v>
      </c>
      <c r="F30" s="275" t="n">
        <v>15</v>
      </c>
      <c r="G30" s="276" t="n">
        <v>133</v>
      </c>
      <c r="H30" s="276" t="n">
        <v>8.1</v>
      </c>
      <c r="I30" s="276" t="n">
        <v>8.1</v>
      </c>
      <c r="J30" s="276" t="n">
        <v>8.1</v>
      </c>
      <c r="K30" s="276" t="n">
        <v>7.2</v>
      </c>
      <c r="L30" s="276" t="n">
        <v>6.3</v>
      </c>
      <c r="M30" s="276" t="n">
        <v>6.3</v>
      </c>
      <c r="N30" s="276" t="n">
        <v>6.3</v>
      </c>
      <c r="O30" s="276" t="n">
        <v>6.3</v>
      </c>
      <c r="P30" s="276" t="n">
        <v>6.3</v>
      </c>
      <c r="Q30" s="274" t="inlineStr">
        <is>
          <t>次日达|南京市/无锡市/苏州市/常州市</t>
        </is>
      </c>
    </row>
    <row r="31" ht="15" customHeight="1" s="144">
      <c r="A31" s="273" t="inlineStr">
        <is>
          <t>次日达</t>
        </is>
      </c>
      <c r="B31" s="274" t="n"/>
      <c r="C31" s="274" t="inlineStr">
        <is>
          <t>镇江市/南通市/扬州市</t>
        </is>
      </c>
      <c r="D31" s="275" t="n">
        <v>1</v>
      </c>
      <c r="E31" s="276" t="n">
        <v>20</v>
      </c>
      <c r="F31" s="275" t="n">
        <v>15</v>
      </c>
      <c r="G31" s="276" t="n">
        <v>133</v>
      </c>
      <c r="H31" s="276" t="n">
        <v>8.1</v>
      </c>
      <c r="I31" s="276" t="n">
        <v>8.1</v>
      </c>
      <c r="J31" s="276" t="n">
        <v>8.1</v>
      </c>
      <c r="K31" s="276" t="n">
        <v>7.2</v>
      </c>
      <c r="L31" s="276" t="n">
        <v>6.3</v>
      </c>
      <c r="M31" s="276" t="n">
        <v>6.3</v>
      </c>
      <c r="N31" s="276" t="n">
        <v>6.3</v>
      </c>
      <c r="O31" s="276" t="n">
        <v>6.3</v>
      </c>
      <c r="P31" s="276" t="n">
        <v>6.3</v>
      </c>
      <c r="Q31" s="274" t="inlineStr">
        <is>
          <t>次日达|镇江市/南通市/扬州市</t>
        </is>
      </c>
    </row>
    <row r="32" ht="15" customHeight="1" s="144">
      <c r="A32" s="273" t="inlineStr">
        <is>
          <t>次日达</t>
        </is>
      </c>
      <c r="B32" s="274" t="n"/>
      <c r="C32" s="274" t="inlineStr">
        <is>
          <t>盐城市/徐州市/淮安市/连云港市/泰州市/宿迁市</t>
        </is>
      </c>
      <c r="D32" s="275" t="n">
        <v>1</v>
      </c>
      <c r="E32" s="276" t="n">
        <v>20</v>
      </c>
      <c r="F32" s="275" t="n">
        <v>15</v>
      </c>
      <c r="G32" s="276" t="n">
        <v>133</v>
      </c>
      <c r="H32" s="276" t="n">
        <v>8.1</v>
      </c>
      <c r="I32" s="276" t="n">
        <v>8.1</v>
      </c>
      <c r="J32" s="276" t="n">
        <v>8.1</v>
      </c>
      <c r="K32" s="276" t="n">
        <v>7.2</v>
      </c>
      <c r="L32" s="276" t="n">
        <v>6.3</v>
      </c>
      <c r="M32" s="276" t="n">
        <v>6.3</v>
      </c>
      <c r="N32" s="276" t="n">
        <v>6.3</v>
      </c>
      <c r="O32" s="276" t="n">
        <v>6.3</v>
      </c>
      <c r="P32" s="276" t="n">
        <v>6.3</v>
      </c>
      <c r="Q32" s="274" t="inlineStr">
        <is>
          <t>次日达|盐城市/徐州市/淮安市/连云港市/泰州市/宿迁市</t>
        </is>
      </c>
    </row>
    <row r="33" ht="15" customHeight="1" s="144">
      <c r="A33" s="273" t="inlineStr">
        <is>
          <t>次日达</t>
        </is>
      </c>
      <c r="B33" s="274" t="inlineStr">
        <is>
          <t>天津</t>
        </is>
      </c>
      <c r="C33" s="274" t="inlineStr">
        <is>
          <t>天津市</t>
        </is>
      </c>
      <c r="D33" s="275" t="n">
        <v>1</v>
      </c>
      <c r="E33" s="276" t="n">
        <v>20</v>
      </c>
      <c r="F33" s="275" t="n">
        <v>20</v>
      </c>
      <c r="G33" s="276" t="n">
        <v>157</v>
      </c>
      <c r="H33" s="276" t="n">
        <v>7.2</v>
      </c>
      <c r="I33" s="276" t="n">
        <v>7.2</v>
      </c>
      <c r="J33" s="276" t="n">
        <v>7.2</v>
      </c>
      <c r="K33" s="276" t="n">
        <v>7.2</v>
      </c>
      <c r="L33" s="276" t="n">
        <v>6.3</v>
      </c>
      <c r="M33" s="276" t="n">
        <v>6.3</v>
      </c>
      <c r="N33" s="276" t="n">
        <v>6.3</v>
      </c>
      <c r="O33" s="276" t="n">
        <v>6.3</v>
      </c>
      <c r="P33" s="276" t="n">
        <v>6.3</v>
      </c>
      <c r="Q33" s="274" t="inlineStr">
        <is>
          <t>次日达|天津市</t>
        </is>
      </c>
    </row>
    <row r="34" ht="15" customHeight="1" s="144">
      <c r="A34" s="273" t="inlineStr">
        <is>
          <t>次日达</t>
        </is>
      </c>
      <c r="B34" s="274" t="inlineStr">
        <is>
          <t>吉林省</t>
        </is>
      </c>
      <c r="C34" s="274" t="inlineStr">
        <is>
          <t>长春市</t>
        </is>
      </c>
      <c r="D34" s="275" t="n">
        <v>1</v>
      </c>
      <c r="E34" s="276" t="n">
        <v>20</v>
      </c>
      <c r="F34" s="275" t="n">
        <v>30</v>
      </c>
      <c r="G34" s="276" t="n">
        <v>333</v>
      </c>
      <c r="H34" s="276" t="n">
        <v>10.8</v>
      </c>
      <c r="I34" s="276" t="n">
        <v>10.8</v>
      </c>
      <c r="J34" s="276" t="n">
        <v>10.8</v>
      </c>
      <c r="K34" s="276" t="n">
        <v>9.9</v>
      </c>
      <c r="L34" s="276" t="n">
        <v>9.9</v>
      </c>
      <c r="M34" s="276" t="n">
        <v>9</v>
      </c>
      <c r="N34" s="276" t="n">
        <v>9</v>
      </c>
      <c r="O34" s="276" t="n">
        <v>9</v>
      </c>
      <c r="P34" s="276" t="n">
        <v>9</v>
      </c>
      <c r="Q34" s="274" t="inlineStr">
        <is>
          <t>次日达|长春市</t>
        </is>
      </c>
    </row>
    <row r="35" ht="15" customHeight="1" s="144">
      <c r="A35" s="273" t="inlineStr">
        <is>
          <t>次日达</t>
        </is>
      </c>
      <c r="B35" s="274" t="n"/>
      <c r="C35" s="274" t="inlineStr">
        <is>
          <t>吉林市</t>
        </is>
      </c>
      <c r="D35" s="275" t="n">
        <v>1</v>
      </c>
      <c r="E35" s="276" t="n">
        <v>20</v>
      </c>
      <c r="F35" s="275" t="n">
        <v>30</v>
      </c>
      <c r="G35" s="276" t="n">
        <v>359</v>
      </c>
      <c r="H35" s="276" t="n">
        <v>11.7</v>
      </c>
      <c r="I35" s="276" t="n">
        <v>11.7</v>
      </c>
      <c r="J35" s="276" t="n">
        <v>11.7</v>
      </c>
      <c r="K35" s="276" t="n">
        <v>10.8</v>
      </c>
      <c r="L35" s="276" t="n">
        <v>10.8</v>
      </c>
      <c r="M35" s="276" t="n">
        <v>9.9</v>
      </c>
      <c r="N35" s="276" t="n">
        <v>9.9</v>
      </c>
      <c r="O35" s="276" t="n">
        <v>9.9</v>
      </c>
      <c r="P35" s="276" t="n">
        <v>9.9</v>
      </c>
      <c r="Q35" s="274" t="inlineStr">
        <is>
          <t>次日达|吉林市</t>
        </is>
      </c>
    </row>
    <row r="36" ht="15" customHeight="1" s="144">
      <c r="A36" s="273" t="inlineStr">
        <is>
          <t>次日达</t>
        </is>
      </c>
      <c r="B36" s="274" t="n"/>
      <c r="C36" s="274" t="inlineStr">
        <is>
          <t>延边朝鲜族自治州/四平市/通化市/白城市/辽源市/松原市/白山市</t>
        </is>
      </c>
      <c r="D36" s="275" t="n">
        <v>1</v>
      </c>
      <c r="E36" s="276" t="n">
        <v>20</v>
      </c>
      <c r="F36" s="275" t="n">
        <v>30</v>
      </c>
      <c r="G36" s="276" t="n">
        <v>412</v>
      </c>
      <c r="H36" s="276" t="n">
        <v>13.5</v>
      </c>
      <c r="I36" s="276" t="n">
        <v>13.5</v>
      </c>
      <c r="J36" s="276" t="n">
        <v>13.5</v>
      </c>
      <c r="K36" s="276" t="n">
        <v>12.6</v>
      </c>
      <c r="L36" s="276" t="n">
        <v>12.6</v>
      </c>
      <c r="M36" s="276" t="n">
        <v>11.7</v>
      </c>
      <c r="N36" s="276" t="n">
        <v>11.7</v>
      </c>
      <c r="O36" s="276" t="n">
        <v>11.7</v>
      </c>
      <c r="P36" s="276" t="n">
        <v>11.7</v>
      </c>
      <c r="Q36" s="274" t="inlineStr">
        <is>
          <t>次日达|延边朝鲜族自治州/四平市/通化市/白城市/辽源市/松原市/白山市</t>
        </is>
      </c>
    </row>
    <row r="37" ht="15" customHeight="1" s="144">
      <c r="A37" s="273" t="inlineStr">
        <is>
          <t>次日达</t>
        </is>
      </c>
      <c r="B37" s="274" t="inlineStr">
        <is>
          <t>宁夏回族自治区</t>
        </is>
      </c>
      <c r="C37" s="274" t="inlineStr">
        <is>
          <t>银川市</t>
        </is>
      </c>
      <c r="D37" s="275" t="n">
        <v>1</v>
      </c>
      <c r="E37" s="276" t="n">
        <v>20</v>
      </c>
      <c r="F37" s="275" t="n">
        <v>30</v>
      </c>
      <c r="G37" s="276" t="n">
        <v>490</v>
      </c>
      <c r="H37" s="276" t="n">
        <v>16.2</v>
      </c>
      <c r="I37" s="276" t="n">
        <v>16.2</v>
      </c>
      <c r="J37" s="276" t="n">
        <v>16.2</v>
      </c>
      <c r="K37" s="276" t="n">
        <v>14.4</v>
      </c>
      <c r="L37" s="276" t="n">
        <v>14.4</v>
      </c>
      <c r="M37" s="276" t="n">
        <v>14.4</v>
      </c>
      <c r="N37" s="276" t="n">
        <v>13.5</v>
      </c>
      <c r="O37" s="276" t="n">
        <v>13.5</v>
      </c>
      <c r="P37" s="276" t="n">
        <v>13.5</v>
      </c>
      <c r="Q37" s="274" t="inlineStr">
        <is>
          <t>次日达|银川市</t>
        </is>
      </c>
    </row>
    <row r="38" ht="15" customHeight="1" s="144">
      <c r="A38" s="273" t="inlineStr">
        <is>
          <t>次日达</t>
        </is>
      </c>
      <c r="B38" s="274" t="n"/>
      <c r="C38" s="274" t="inlineStr">
        <is>
          <t>石嘴山市/吴忠市/固原市/中卫市</t>
        </is>
      </c>
      <c r="D38" s="275" t="n">
        <v>1</v>
      </c>
      <c r="E38" s="276" t="n">
        <v>20</v>
      </c>
      <c r="F38" s="275" t="n">
        <v>30</v>
      </c>
      <c r="G38" s="276" t="n">
        <v>542</v>
      </c>
      <c r="H38" s="276" t="n">
        <v>18</v>
      </c>
      <c r="I38" s="276" t="n">
        <v>18</v>
      </c>
      <c r="J38" s="276" t="n">
        <v>18</v>
      </c>
      <c r="K38" s="276" t="n">
        <v>16.2</v>
      </c>
      <c r="L38" s="276" t="n">
        <v>16.2</v>
      </c>
      <c r="M38" s="276" t="n">
        <v>16.2</v>
      </c>
      <c r="N38" s="276" t="n">
        <v>15.3</v>
      </c>
      <c r="O38" s="276" t="n">
        <v>15.3</v>
      </c>
      <c r="P38" s="276" t="n">
        <v>15.3</v>
      </c>
      <c r="Q38" s="274" t="inlineStr">
        <is>
          <t>次日达|石嘴山市/吴忠市/固原市/中卫市</t>
        </is>
      </c>
    </row>
    <row r="39" ht="15" customHeight="1" s="144">
      <c r="A39" s="273" t="inlineStr">
        <is>
          <t>次日达</t>
        </is>
      </c>
      <c r="B39" s="274" t="inlineStr">
        <is>
          <t>河北省</t>
        </is>
      </c>
      <c r="C39" s="274" t="inlineStr">
        <is>
          <t>石家庄市/廊坊市</t>
        </is>
      </c>
      <c r="D39" s="275" t="n">
        <v>1</v>
      </c>
      <c r="E39" s="276" t="n">
        <v>20</v>
      </c>
      <c r="F39" s="275" t="n">
        <v>30</v>
      </c>
      <c r="G39" s="276" t="n">
        <v>229</v>
      </c>
      <c r="H39" s="276" t="n">
        <v>7.2</v>
      </c>
      <c r="I39" s="276" t="n">
        <v>7.2</v>
      </c>
      <c r="J39" s="276" t="n">
        <v>7.2</v>
      </c>
      <c r="K39" s="276" t="n">
        <v>7.2</v>
      </c>
      <c r="L39" s="276" t="n">
        <v>7.2</v>
      </c>
      <c r="M39" s="276" t="n">
        <v>6.3</v>
      </c>
      <c r="N39" s="276" t="n">
        <v>6.3</v>
      </c>
      <c r="O39" s="276" t="n">
        <v>6.3</v>
      </c>
      <c r="P39" s="276" t="n">
        <v>6.3</v>
      </c>
      <c r="Q39" s="274" t="inlineStr">
        <is>
          <t>次日达|石家庄市/廊坊市</t>
        </is>
      </c>
    </row>
    <row r="40" ht="15" customHeight="1" s="144">
      <c r="A40" s="273" t="inlineStr">
        <is>
          <t>次日达</t>
        </is>
      </c>
      <c r="B40" s="274" t="n"/>
      <c r="C40" s="274" t="inlineStr">
        <is>
          <t>邯郸市/保定市/雄安新区/唐山市/沧州市/秦皇岛市</t>
        </is>
      </c>
      <c r="D40" s="275" t="n">
        <v>1</v>
      </c>
      <c r="E40" s="276" t="n">
        <v>20</v>
      </c>
      <c r="F40" s="275" t="n">
        <v>30</v>
      </c>
      <c r="G40" s="276" t="n">
        <v>255</v>
      </c>
      <c r="H40" s="276" t="n">
        <v>8.1</v>
      </c>
      <c r="I40" s="276" t="n">
        <v>8.1</v>
      </c>
      <c r="J40" s="276" t="n">
        <v>8.1</v>
      </c>
      <c r="K40" s="276" t="n">
        <v>8.1</v>
      </c>
      <c r="L40" s="276" t="n">
        <v>8.1</v>
      </c>
      <c r="M40" s="276" t="n">
        <v>7.2</v>
      </c>
      <c r="N40" s="276" t="n">
        <v>7.2</v>
      </c>
      <c r="O40" s="276" t="n">
        <v>7.2</v>
      </c>
      <c r="P40" s="276" t="n">
        <v>7.2</v>
      </c>
      <c r="Q40" s="274" t="inlineStr">
        <is>
          <t>次日达|邯郸市/保定市/雄安新区/唐山市/沧州市/秦皇岛市</t>
        </is>
      </c>
    </row>
    <row r="41" ht="15" customHeight="1" s="144">
      <c r="A41" s="273" t="inlineStr">
        <is>
          <t>次日达</t>
        </is>
      </c>
      <c r="B41" s="274" t="n"/>
      <c r="C41" s="274" t="inlineStr">
        <is>
          <t>张家口市/承德市/衡水市/邢台市</t>
        </is>
      </c>
      <c r="D41" s="275" t="n">
        <v>1</v>
      </c>
      <c r="E41" s="276" t="n">
        <v>20</v>
      </c>
      <c r="F41" s="275" t="n">
        <v>30</v>
      </c>
      <c r="G41" s="276" t="n">
        <v>281</v>
      </c>
      <c r="H41" s="276" t="n">
        <v>9</v>
      </c>
      <c r="I41" s="276" t="n">
        <v>9</v>
      </c>
      <c r="J41" s="276" t="n">
        <v>9</v>
      </c>
      <c r="K41" s="276" t="n">
        <v>9</v>
      </c>
      <c r="L41" s="276" t="n">
        <v>9</v>
      </c>
      <c r="M41" s="276" t="n">
        <v>8.1</v>
      </c>
      <c r="N41" s="276" t="n">
        <v>8.1</v>
      </c>
      <c r="O41" s="276" t="n">
        <v>8.1</v>
      </c>
      <c r="P41" s="276" t="n">
        <v>8.1</v>
      </c>
      <c r="Q41" s="274" t="inlineStr">
        <is>
          <t>次日达|张家口市/承德市/衡水市/邢台市</t>
        </is>
      </c>
    </row>
    <row r="42" ht="15" customHeight="1" s="144">
      <c r="A42" s="273" t="inlineStr">
        <is>
          <t>次日达</t>
        </is>
      </c>
      <c r="B42" s="274" t="inlineStr">
        <is>
          <t>河南省</t>
        </is>
      </c>
      <c r="C42" s="274" t="inlineStr">
        <is>
          <t>开封市/郑州市</t>
        </is>
      </c>
      <c r="D42" s="275" t="n">
        <v>1</v>
      </c>
      <c r="E42" s="276" t="n">
        <v>20</v>
      </c>
      <c r="F42" s="275" t="n">
        <v>30</v>
      </c>
      <c r="G42" s="276" t="n">
        <v>229</v>
      </c>
      <c r="H42" s="276" t="n">
        <v>7.2</v>
      </c>
      <c r="I42" s="276" t="n">
        <v>7.2</v>
      </c>
      <c r="J42" s="276" t="n">
        <v>7.2</v>
      </c>
      <c r="K42" s="276" t="n">
        <v>7.2</v>
      </c>
      <c r="L42" s="276" t="n">
        <v>7.2</v>
      </c>
      <c r="M42" s="276" t="n">
        <v>6.3</v>
      </c>
      <c r="N42" s="276" t="n">
        <v>6.3</v>
      </c>
      <c r="O42" s="276" t="n">
        <v>6.3</v>
      </c>
      <c r="P42" s="276" t="n">
        <v>6.3</v>
      </c>
      <c r="Q42" s="274" t="inlineStr">
        <is>
          <t>次日达|开封市/郑州市</t>
        </is>
      </c>
    </row>
    <row r="43" ht="15" customHeight="1" s="144">
      <c r="A43" s="273" t="inlineStr">
        <is>
          <t>次日达</t>
        </is>
      </c>
      <c r="B43" s="274" t="n"/>
      <c r="C43" s="274" t="inlineStr">
        <is>
          <t>新乡市/许昌市/信阳市/洛阳市/鹤壁市</t>
        </is>
      </c>
      <c r="D43" s="275" t="n">
        <v>1</v>
      </c>
      <c r="E43" s="276" t="n">
        <v>20</v>
      </c>
      <c r="F43" s="275" t="n">
        <v>30</v>
      </c>
      <c r="G43" s="276" t="n">
        <v>255</v>
      </c>
      <c r="H43" s="276" t="n">
        <v>8.1</v>
      </c>
      <c r="I43" s="276" t="n">
        <v>8.1</v>
      </c>
      <c r="J43" s="276" t="n">
        <v>8.1</v>
      </c>
      <c r="K43" s="276" t="n">
        <v>8.1</v>
      </c>
      <c r="L43" s="276" t="n">
        <v>8.1</v>
      </c>
      <c r="M43" s="276" t="n">
        <v>7.2</v>
      </c>
      <c r="N43" s="276" t="n">
        <v>7.2</v>
      </c>
      <c r="O43" s="276" t="n">
        <v>7.2</v>
      </c>
      <c r="P43" s="276" t="n">
        <v>7.2</v>
      </c>
      <c r="Q43" s="274" t="inlineStr">
        <is>
          <t>次日达|新乡市/许昌市/信阳市/洛阳市/鹤壁市</t>
        </is>
      </c>
    </row>
    <row r="44" ht="15" customHeight="1" s="144">
      <c r="A44" s="273" t="inlineStr">
        <is>
          <t>次日达</t>
        </is>
      </c>
      <c r="B44" s="274" t="n"/>
      <c r="C44" s="274" t="inlineStr">
        <is>
          <t>商丘市/安阳市/平顶山市/南阳市/焦作市/济源市/濮阳市/周口市/漯河市/驻马店市/三门峡市</t>
        </is>
      </c>
      <c r="D44" s="275" t="n">
        <v>1</v>
      </c>
      <c r="E44" s="276" t="n">
        <v>20</v>
      </c>
      <c r="F44" s="275" t="n">
        <v>30</v>
      </c>
      <c r="G44" s="276" t="n">
        <v>281</v>
      </c>
      <c r="H44" s="276" t="n">
        <v>9</v>
      </c>
      <c r="I44" s="276" t="n">
        <v>9</v>
      </c>
      <c r="J44" s="276" t="n">
        <v>9</v>
      </c>
      <c r="K44" s="276" t="n">
        <v>9</v>
      </c>
      <c r="L44" s="276" t="n">
        <v>9</v>
      </c>
      <c r="M44" s="276" t="n">
        <v>8.1</v>
      </c>
      <c r="N44" s="276" t="n">
        <v>8.1</v>
      </c>
      <c r="O44" s="276" t="n">
        <v>8.1</v>
      </c>
      <c r="P44" s="276" t="n">
        <v>8.1</v>
      </c>
      <c r="Q44" s="274" t="inlineStr">
        <is>
          <t>次日达|商丘市/安阳市/平顶山市/南阳市/焦作市/济源市/濮阳市/周口市/漯河市/驻马店市/三门峡市</t>
        </is>
      </c>
    </row>
    <row r="45" ht="15" customHeight="1" s="144">
      <c r="A45" s="273" t="inlineStr">
        <is>
          <t>次日达</t>
        </is>
      </c>
      <c r="B45" s="274" t="inlineStr">
        <is>
          <t>广西壮族自治区</t>
        </is>
      </c>
      <c r="C45" s="274" t="inlineStr">
        <is>
          <t>崇左市/南宁市</t>
        </is>
      </c>
      <c r="D45" s="275" t="n">
        <v>1</v>
      </c>
      <c r="E45" s="276" t="n">
        <v>20</v>
      </c>
      <c r="F45" s="275" t="n">
        <v>30</v>
      </c>
      <c r="G45" s="276" t="n">
        <v>307</v>
      </c>
      <c r="H45" s="276" t="n">
        <v>9.9</v>
      </c>
      <c r="I45" s="276" t="n">
        <v>9.9</v>
      </c>
      <c r="J45" s="276" t="n">
        <v>9.9</v>
      </c>
      <c r="K45" s="276" t="n">
        <v>9</v>
      </c>
      <c r="L45" s="276" t="n">
        <v>9</v>
      </c>
      <c r="M45" s="276" t="n">
        <v>8.1</v>
      </c>
      <c r="N45" s="276" t="n">
        <v>8.1</v>
      </c>
      <c r="O45" s="276" t="n">
        <v>8.1</v>
      </c>
      <c r="P45" s="276" t="n">
        <v>8.1</v>
      </c>
      <c r="Q45" s="274" t="inlineStr">
        <is>
          <t>次日达|崇左市/南宁市</t>
        </is>
      </c>
    </row>
    <row r="46" ht="15" customHeight="1" s="144">
      <c r="A46" s="273" t="inlineStr">
        <is>
          <t>次日达</t>
        </is>
      </c>
      <c r="B46" s="274" t="n"/>
      <c r="C46" s="274" t="inlineStr">
        <is>
          <t>柳州市/来宾市/桂林市</t>
        </is>
      </c>
      <c r="D46" s="275" t="n">
        <v>1</v>
      </c>
      <c r="E46" s="276" t="n">
        <v>20</v>
      </c>
      <c r="F46" s="275" t="n">
        <v>30</v>
      </c>
      <c r="G46" s="276" t="n">
        <v>333</v>
      </c>
      <c r="H46" s="276" t="n">
        <v>10.8</v>
      </c>
      <c r="I46" s="276" t="n">
        <v>10.8</v>
      </c>
      <c r="J46" s="276" t="n">
        <v>10.8</v>
      </c>
      <c r="K46" s="276" t="n">
        <v>9.9</v>
      </c>
      <c r="L46" s="276" t="n">
        <v>9.9</v>
      </c>
      <c r="M46" s="276" t="n">
        <v>9</v>
      </c>
      <c r="N46" s="276" t="n">
        <v>9</v>
      </c>
      <c r="O46" s="276" t="n">
        <v>9</v>
      </c>
      <c r="P46" s="276" t="n">
        <v>9</v>
      </c>
      <c r="Q46" s="274" t="inlineStr">
        <is>
          <t>次日达|柳州市/来宾市/桂林市</t>
        </is>
      </c>
    </row>
    <row r="47" ht="15" customHeight="1" s="144">
      <c r="A47" s="273" t="inlineStr">
        <is>
          <t>次日达</t>
        </is>
      </c>
      <c r="B47" s="274" t="n"/>
      <c r="C47" s="274" t="inlineStr">
        <is>
          <t>防城港市/梧州市/贺州市/贵港市/玉林市/百色市/钦州市/河池市/北海市</t>
        </is>
      </c>
      <c r="D47" s="275" t="n">
        <v>1</v>
      </c>
      <c r="E47" s="276" t="n">
        <v>20</v>
      </c>
      <c r="F47" s="275" t="n">
        <v>30</v>
      </c>
      <c r="G47" s="276" t="n">
        <v>385</v>
      </c>
      <c r="H47" s="276" t="n">
        <v>12.6</v>
      </c>
      <c r="I47" s="276" t="n">
        <v>12.6</v>
      </c>
      <c r="J47" s="276" t="n">
        <v>12.6</v>
      </c>
      <c r="K47" s="276" t="n">
        <v>11.7</v>
      </c>
      <c r="L47" s="276" t="n">
        <v>11.7</v>
      </c>
      <c r="M47" s="276" t="n">
        <v>10.8</v>
      </c>
      <c r="N47" s="276" t="n">
        <v>10.8</v>
      </c>
      <c r="O47" s="276" t="n">
        <v>10.8</v>
      </c>
      <c r="P47" s="276" t="n">
        <v>10.8</v>
      </c>
      <c r="Q47" s="274" t="inlineStr">
        <is>
          <t>次日达|防城港市/梧州市/贺州市/贵港市/玉林市/百色市/钦州市/河池市/北海市</t>
        </is>
      </c>
    </row>
    <row r="48" ht="15" customHeight="1" s="144">
      <c r="A48" s="273" t="inlineStr">
        <is>
          <t>次日达</t>
        </is>
      </c>
      <c r="B48" s="274" t="inlineStr">
        <is>
          <t>海南省</t>
        </is>
      </c>
      <c r="C48" s="274" t="inlineStr">
        <is>
          <t>屯昌县/五指山市/白沙黎族自治县/东方市/保亭黎族苗族自治县/琼中黎族苗族自治县/定安县/临高县/陵水黎族自治县/文昌市/海口市/万宁市/乐东黎族自治县/琼海市/澄迈县/昌江黎族自治县/儋州市/三亚市/三沙市</t>
        </is>
      </c>
      <c r="D48" s="275" t="n">
        <v>1</v>
      </c>
      <c r="E48" s="276" t="n">
        <v>20</v>
      </c>
      <c r="F48" s="275" t="n">
        <v>30</v>
      </c>
      <c r="G48" s="276" t="n">
        <v>281</v>
      </c>
      <c r="H48" s="276" t="n">
        <v>9</v>
      </c>
      <c r="I48" s="276" t="n">
        <v>9</v>
      </c>
      <c r="J48" s="276" t="n">
        <v>9</v>
      </c>
      <c r="K48" s="276" t="n">
        <v>8.1</v>
      </c>
      <c r="L48" s="276" t="n">
        <v>7.2</v>
      </c>
      <c r="M48" s="276" t="n">
        <v>7.2</v>
      </c>
      <c r="N48" s="276" t="n">
        <v>7.2</v>
      </c>
      <c r="O48" s="276" t="n">
        <v>7.2</v>
      </c>
      <c r="P48" s="276" t="n">
        <v>7.2</v>
      </c>
      <c r="Q48" s="274" t="inlineStr">
        <is>
          <t>次日达|屯昌县/五指山市/白沙黎族自治县/东方市/保亭黎族苗族自治县/琼中黎族苗族自治县/定安县/临高县/陵水黎族自治县/文昌市/海口市/万宁市/乐东黎族自治县/琼海市/澄迈县/昌江黎族自治县/儋州市/三亚市/三沙市</t>
        </is>
      </c>
    </row>
    <row r="49" ht="15" customHeight="1" s="144">
      <c r="A49" s="273" t="inlineStr">
        <is>
          <t>次日达</t>
        </is>
      </c>
      <c r="B49" s="274" t="inlineStr">
        <is>
          <t>上海</t>
        </is>
      </c>
      <c r="C49" s="274" t="inlineStr">
        <is>
          <t>上海市</t>
        </is>
      </c>
      <c r="D49" s="275" t="n">
        <v>1</v>
      </c>
      <c r="E49" s="276" t="n">
        <v>20</v>
      </c>
      <c r="F49" s="275" t="n">
        <v>15</v>
      </c>
      <c r="G49" s="276" t="n">
        <v>133</v>
      </c>
      <c r="H49" s="276" t="n">
        <v>8.1</v>
      </c>
      <c r="I49" s="276" t="n">
        <v>8.1</v>
      </c>
      <c r="J49" s="276" t="n">
        <v>8.1</v>
      </c>
      <c r="K49" s="276" t="n">
        <v>7.2</v>
      </c>
      <c r="L49" s="276" t="n">
        <v>6.3</v>
      </c>
      <c r="M49" s="276" t="n">
        <v>6.3</v>
      </c>
      <c r="N49" s="276" t="n">
        <v>6.3</v>
      </c>
      <c r="O49" s="276" t="n">
        <v>6.3</v>
      </c>
      <c r="P49" s="276" t="n">
        <v>6.3</v>
      </c>
      <c r="Q49" s="274" t="inlineStr">
        <is>
          <t>次日达|上海市</t>
        </is>
      </c>
    </row>
    <row r="50" ht="15" customHeight="1" s="144">
      <c r="A50" s="273" t="inlineStr">
        <is>
          <t>次日达</t>
        </is>
      </c>
      <c r="B50" s="274" t="inlineStr">
        <is>
          <t>江西省</t>
        </is>
      </c>
      <c r="C50" s="274" t="inlineStr">
        <is>
          <t>南昌市</t>
        </is>
      </c>
      <c r="D50" s="275" t="n">
        <v>1</v>
      </c>
      <c r="E50" s="276" t="n">
        <v>20</v>
      </c>
      <c r="F50" s="275" t="n">
        <v>30</v>
      </c>
      <c r="G50" s="276" t="n">
        <v>255</v>
      </c>
      <c r="H50" s="276" t="n">
        <v>8.1</v>
      </c>
      <c r="I50" s="276" t="n">
        <v>8.1</v>
      </c>
      <c r="J50" s="276" t="n">
        <v>8.1</v>
      </c>
      <c r="K50" s="276" t="n">
        <v>8.1</v>
      </c>
      <c r="L50" s="276" t="n">
        <v>7.2</v>
      </c>
      <c r="M50" s="276" t="n">
        <v>6.3</v>
      </c>
      <c r="N50" s="276" t="n">
        <v>6.3</v>
      </c>
      <c r="O50" s="276" t="n">
        <v>6.3</v>
      </c>
      <c r="P50" s="276" t="n">
        <v>6.3</v>
      </c>
      <c r="Q50" s="274" t="inlineStr">
        <is>
          <t>次日达|南昌市</t>
        </is>
      </c>
    </row>
    <row r="51" ht="15" customHeight="1" s="144">
      <c r="A51" s="273" t="inlineStr">
        <is>
          <t>次日达</t>
        </is>
      </c>
      <c r="B51" s="274" t="n"/>
      <c r="C51" s="274" t="inlineStr">
        <is>
          <t>九江市/吉安市/赣州市</t>
        </is>
      </c>
      <c r="D51" s="275" t="n">
        <v>1</v>
      </c>
      <c r="E51" s="276" t="n">
        <v>20</v>
      </c>
      <c r="F51" s="275" t="n">
        <v>30</v>
      </c>
      <c r="G51" s="276" t="n">
        <v>255</v>
      </c>
      <c r="H51" s="276" t="n">
        <v>8.1</v>
      </c>
      <c r="I51" s="276" t="n">
        <v>8.1</v>
      </c>
      <c r="J51" s="276" t="n">
        <v>8.1</v>
      </c>
      <c r="K51" s="276" t="n">
        <v>8.1</v>
      </c>
      <c r="L51" s="276" t="n">
        <v>7.2</v>
      </c>
      <c r="M51" s="276" t="n">
        <v>6.3</v>
      </c>
      <c r="N51" s="276" t="n">
        <v>6.3</v>
      </c>
      <c r="O51" s="276" t="n">
        <v>6.3</v>
      </c>
      <c r="P51" s="276" t="n">
        <v>6.3</v>
      </c>
      <c r="Q51" s="274" t="inlineStr">
        <is>
          <t>次日达|九江市/吉安市/赣州市</t>
        </is>
      </c>
    </row>
    <row r="52" ht="15" customHeight="1" s="144">
      <c r="A52" s="273" t="inlineStr">
        <is>
          <t>次日达</t>
        </is>
      </c>
      <c r="B52" s="274" t="n"/>
      <c r="C52" s="274" t="inlineStr">
        <is>
          <t>鹰潭市/新余市/上饶市/抚州市/宜春市/景德镇市/萍乡市</t>
        </is>
      </c>
      <c r="D52" s="275" t="n">
        <v>1</v>
      </c>
      <c r="E52" s="276" t="n">
        <v>20</v>
      </c>
      <c r="F52" s="275" t="n">
        <v>30</v>
      </c>
      <c r="G52" s="276" t="n">
        <v>307</v>
      </c>
      <c r="H52" s="276" t="n">
        <v>9.9</v>
      </c>
      <c r="I52" s="276" t="n">
        <v>9.9</v>
      </c>
      <c r="J52" s="276" t="n">
        <v>9.9</v>
      </c>
      <c r="K52" s="276" t="n">
        <v>9.9</v>
      </c>
      <c r="L52" s="276" t="n">
        <v>9</v>
      </c>
      <c r="M52" s="276" t="n">
        <v>8.1</v>
      </c>
      <c r="N52" s="276" t="n">
        <v>8.1</v>
      </c>
      <c r="O52" s="276" t="n">
        <v>8.1</v>
      </c>
      <c r="P52" s="276" t="n">
        <v>8.1</v>
      </c>
      <c r="Q52" s="274" t="inlineStr">
        <is>
          <t>次日达|鹰潭市/新余市/上饶市/抚州市/宜春市/景德镇市/萍乡市</t>
        </is>
      </c>
    </row>
    <row r="53" ht="15" customHeight="1" s="144">
      <c r="A53" s="273" t="inlineStr">
        <is>
          <t>次日达</t>
        </is>
      </c>
      <c r="B53" s="274" t="inlineStr">
        <is>
          <t>云南省</t>
        </is>
      </c>
      <c r="C53" s="274" t="inlineStr">
        <is>
          <t>昆明市</t>
        </is>
      </c>
      <c r="D53" s="275" t="n">
        <v>1</v>
      </c>
      <c r="E53" s="276" t="n">
        <v>20</v>
      </c>
      <c r="F53" s="275" t="n">
        <v>30</v>
      </c>
      <c r="G53" s="276" t="n">
        <v>307</v>
      </c>
      <c r="H53" s="276" t="n">
        <v>9.9</v>
      </c>
      <c r="I53" s="276" t="n">
        <v>9.9</v>
      </c>
      <c r="J53" s="276" t="n">
        <v>9.9</v>
      </c>
      <c r="K53" s="276" t="n">
        <v>9</v>
      </c>
      <c r="L53" s="276" t="n">
        <v>9</v>
      </c>
      <c r="M53" s="276" t="n">
        <v>8.1</v>
      </c>
      <c r="N53" s="276" t="n">
        <v>8.1</v>
      </c>
      <c r="O53" s="276" t="n">
        <v>8.1</v>
      </c>
      <c r="P53" s="276" t="n">
        <v>8.1</v>
      </c>
      <c r="Q53" s="274" t="inlineStr">
        <is>
          <t>次日达|昆明市</t>
        </is>
      </c>
    </row>
    <row r="54" ht="15" customHeight="1" s="144">
      <c r="A54" s="273" t="inlineStr">
        <is>
          <t>次日达</t>
        </is>
      </c>
      <c r="B54" s="274" t="n"/>
      <c r="C54" s="274" t="inlineStr">
        <is>
          <t>大理白族自治州/曲靖市/玉溪市/楚雄彝族自治州</t>
        </is>
      </c>
      <c r="D54" s="275" t="n">
        <v>1</v>
      </c>
      <c r="E54" s="276" t="n">
        <v>20</v>
      </c>
      <c r="F54" s="275" t="n">
        <v>30</v>
      </c>
      <c r="G54" s="276" t="n">
        <v>307</v>
      </c>
      <c r="H54" s="276" t="n">
        <v>9.9</v>
      </c>
      <c r="I54" s="276" t="n">
        <v>9.9</v>
      </c>
      <c r="J54" s="276" t="n">
        <v>9.9</v>
      </c>
      <c r="K54" s="276" t="n">
        <v>9</v>
      </c>
      <c r="L54" s="276" t="n">
        <v>9</v>
      </c>
      <c r="M54" s="276" t="n">
        <v>8.1</v>
      </c>
      <c r="N54" s="276" t="n">
        <v>8.1</v>
      </c>
      <c r="O54" s="276" t="n">
        <v>8.1</v>
      </c>
      <c r="P54" s="276" t="n">
        <v>8.1</v>
      </c>
      <c r="Q54" s="274" t="inlineStr">
        <is>
          <t>次日达|大理白族自治州/曲靖市/玉溪市/楚雄彝族自治州</t>
        </is>
      </c>
    </row>
    <row r="55" ht="15" customHeight="1" s="144">
      <c r="A55" s="273" t="inlineStr">
        <is>
          <t>次日达</t>
        </is>
      </c>
      <c r="B55" s="274" t="n"/>
      <c r="C55" s="274" t="inlineStr">
        <is>
          <t>西双版纳傣族自治州/德宏傣族景颇族自治州/昭通市/红河哈尼族彝族自治州/保山市/文山壮族苗族自治州/普洱市/临沧市/怒江傈僳族自治州/迪庆藏族自治州/丽江市</t>
        </is>
      </c>
      <c r="D55" s="275" t="n">
        <v>1</v>
      </c>
      <c r="E55" s="276" t="n">
        <v>20</v>
      </c>
      <c r="F55" s="275" t="n">
        <v>30</v>
      </c>
      <c r="G55" s="276" t="n">
        <v>307</v>
      </c>
      <c r="H55" s="276" t="n">
        <v>9.9</v>
      </c>
      <c r="I55" s="276" t="n">
        <v>9.9</v>
      </c>
      <c r="J55" s="276" t="n">
        <v>9.9</v>
      </c>
      <c r="K55" s="276" t="n">
        <v>9</v>
      </c>
      <c r="L55" s="276" t="n">
        <v>9</v>
      </c>
      <c r="M55" s="276" t="n">
        <v>8.1</v>
      </c>
      <c r="N55" s="276" t="n">
        <v>8.1</v>
      </c>
      <c r="O55" s="276" t="n">
        <v>8.1</v>
      </c>
      <c r="P55" s="276" t="n">
        <v>8.1</v>
      </c>
      <c r="Q55" s="274" t="inlineStr">
        <is>
          <t>次日达|西双版纳傣族自治州/德宏傣族景颇族自治州/昭通市/红河哈尼族彝族自治州/保山市/文山壮族苗族自治州/普洱市/临沧市/怒江傈僳族自治州/迪庆藏族自治州/丽江市</t>
        </is>
      </c>
    </row>
    <row r="56" ht="15" customHeight="1" s="144">
      <c r="A56" s="273" t="inlineStr">
        <is>
          <t>次日达</t>
        </is>
      </c>
      <c r="B56" s="274" t="inlineStr">
        <is>
          <t>甘肃省</t>
        </is>
      </c>
      <c r="C56" s="274" t="inlineStr">
        <is>
          <t>兰州市</t>
        </is>
      </c>
      <c r="D56" s="275" t="n">
        <v>1</v>
      </c>
      <c r="E56" s="276" t="n">
        <v>20</v>
      </c>
      <c r="F56" s="275" t="n">
        <v>30</v>
      </c>
      <c r="G56" s="276" t="n">
        <v>490</v>
      </c>
      <c r="H56" s="276" t="n">
        <v>16.2</v>
      </c>
      <c r="I56" s="276" t="n">
        <v>16.2</v>
      </c>
      <c r="J56" s="276" t="n">
        <v>16.2</v>
      </c>
      <c r="K56" s="276" t="n">
        <v>16.2</v>
      </c>
      <c r="L56" s="276" t="n">
        <v>16.2</v>
      </c>
      <c r="M56" s="276" t="n">
        <v>15.3</v>
      </c>
      <c r="N56" s="276" t="n">
        <v>14.4</v>
      </c>
      <c r="O56" s="276" t="n">
        <v>14.4</v>
      </c>
      <c r="P56" s="276" t="n">
        <v>14.4</v>
      </c>
      <c r="Q56" s="274" t="inlineStr">
        <is>
          <t>次日达|兰州市</t>
        </is>
      </c>
    </row>
    <row r="57" ht="15" customHeight="1" s="144">
      <c r="A57" s="273" t="inlineStr">
        <is>
          <t>次日达</t>
        </is>
      </c>
      <c r="B57" s="274" t="n"/>
      <c r="C57" s="274" t="inlineStr">
        <is>
          <t>临夏回族自治州/定西市/平凉市/庆阳市/金昌市/武威市/张掖市/嘉峪关市/酒泉市/天水市/陇南市/甘南藏族自治州/白银市</t>
        </is>
      </c>
      <c r="D57" s="275" t="n">
        <v>1</v>
      </c>
      <c r="E57" s="276" t="n">
        <v>20</v>
      </c>
      <c r="F57" s="275" t="n">
        <v>30</v>
      </c>
      <c r="G57" s="276" t="n">
        <v>542</v>
      </c>
      <c r="H57" s="276" t="n">
        <v>18</v>
      </c>
      <c r="I57" s="276" t="n">
        <v>18</v>
      </c>
      <c r="J57" s="276" t="n">
        <v>18</v>
      </c>
      <c r="K57" s="276" t="n">
        <v>18</v>
      </c>
      <c r="L57" s="276" t="n">
        <v>17.1</v>
      </c>
      <c r="M57" s="276" t="n">
        <v>17.1</v>
      </c>
      <c r="N57" s="276" t="n">
        <v>16.2</v>
      </c>
      <c r="O57" s="276" t="n">
        <v>16.2</v>
      </c>
      <c r="P57" s="276" t="n">
        <v>16.2</v>
      </c>
      <c r="Q57" s="274" t="inlineStr">
        <is>
          <t>次日达|临夏回族自治州/定西市/平凉市/庆阳市/金昌市/武威市/张掖市/嘉峪关市/酒泉市/天水市/陇南市/甘南藏族自治州/白银市</t>
        </is>
      </c>
    </row>
    <row r="58" ht="15" customHeight="1" s="144">
      <c r="A58" s="273" t="inlineStr">
        <is>
          <t>次日达</t>
        </is>
      </c>
      <c r="B58" s="274" t="inlineStr">
        <is>
          <t>陕西省</t>
        </is>
      </c>
      <c r="C58" s="274" t="inlineStr">
        <is>
          <t>西安市/咸阳市</t>
        </is>
      </c>
      <c r="D58" s="275" t="n">
        <v>1</v>
      </c>
      <c r="E58" s="276" t="n">
        <v>20</v>
      </c>
      <c r="F58" s="275" t="n">
        <v>30</v>
      </c>
      <c r="G58" s="276" t="n">
        <v>255</v>
      </c>
      <c r="H58" s="276" t="n">
        <v>8.1</v>
      </c>
      <c r="I58" s="276" t="n">
        <v>8.1</v>
      </c>
      <c r="J58" s="276" t="n">
        <v>8.1</v>
      </c>
      <c r="K58" s="276" t="n">
        <v>8.1</v>
      </c>
      <c r="L58" s="276" t="n">
        <v>7.2</v>
      </c>
      <c r="M58" s="276" t="n">
        <v>7.2</v>
      </c>
      <c r="N58" s="276" t="n">
        <v>7.2</v>
      </c>
      <c r="O58" s="276" t="n">
        <v>7.2</v>
      </c>
      <c r="P58" s="276" t="n">
        <v>7.2</v>
      </c>
      <c r="Q58" s="274" t="inlineStr">
        <is>
          <t>次日达|西安市/咸阳市</t>
        </is>
      </c>
    </row>
    <row r="59" ht="15" customHeight="1" s="144">
      <c r="A59" s="273" t="inlineStr">
        <is>
          <t>次日达</t>
        </is>
      </c>
      <c r="B59" s="274" t="n"/>
      <c r="C59" s="274" t="inlineStr">
        <is>
          <t>宝鸡市/铜川市</t>
        </is>
      </c>
      <c r="D59" s="275" t="n">
        <v>1</v>
      </c>
      <c r="E59" s="276" t="n">
        <v>20</v>
      </c>
      <c r="F59" s="275" t="n">
        <v>30</v>
      </c>
      <c r="G59" s="276" t="n">
        <v>281</v>
      </c>
      <c r="H59" s="276" t="n">
        <v>9</v>
      </c>
      <c r="I59" s="276" t="n">
        <v>9</v>
      </c>
      <c r="J59" s="276" t="n">
        <v>9</v>
      </c>
      <c r="K59" s="276" t="n">
        <v>9</v>
      </c>
      <c r="L59" s="276" t="n">
        <v>8.1</v>
      </c>
      <c r="M59" s="276" t="n">
        <v>8.1</v>
      </c>
      <c r="N59" s="276" t="n">
        <v>8.1</v>
      </c>
      <c r="O59" s="276" t="n">
        <v>8.1</v>
      </c>
      <c r="P59" s="276" t="n">
        <v>8.1</v>
      </c>
      <c r="Q59" s="274" t="inlineStr">
        <is>
          <t>次日达|宝鸡市/铜川市</t>
        </is>
      </c>
    </row>
    <row r="60" ht="15" customHeight="1" s="144">
      <c r="A60" s="273" t="inlineStr">
        <is>
          <t>次日达</t>
        </is>
      </c>
      <c r="B60" s="274" t="n"/>
      <c r="C60" s="274" t="inlineStr">
        <is>
          <t>延安市/榆林市/渭南市/商洛市/安康市/汉中市</t>
        </is>
      </c>
      <c r="D60" s="275" t="n">
        <v>1</v>
      </c>
      <c r="E60" s="276" t="n">
        <v>20</v>
      </c>
      <c r="F60" s="275" t="n">
        <v>30</v>
      </c>
      <c r="G60" s="276" t="n">
        <v>307</v>
      </c>
      <c r="H60" s="276" t="n">
        <v>9.9</v>
      </c>
      <c r="I60" s="276" t="n">
        <v>9.9</v>
      </c>
      <c r="J60" s="276" t="n">
        <v>9.9</v>
      </c>
      <c r="K60" s="276" t="n">
        <v>9.9</v>
      </c>
      <c r="L60" s="276" t="n">
        <v>9</v>
      </c>
      <c r="M60" s="276" t="n">
        <v>9</v>
      </c>
      <c r="N60" s="276" t="n">
        <v>9</v>
      </c>
      <c r="O60" s="276" t="n">
        <v>9</v>
      </c>
      <c r="P60" s="276" t="n">
        <v>9</v>
      </c>
      <c r="Q60" s="274" t="inlineStr">
        <is>
          <t>次日达|延安市/榆林市/渭南市/商洛市/安康市/汉中市</t>
        </is>
      </c>
    </row>
    <row r="61" ht="15" customHeight="1" s="144">
      <c r="A61" s="273" t="inlineStr">
        <is>
          <t>次日达</t>
        </is>
      </c>
      <c r="B61" s="274" t="inlineStr">
        <is>
          <t>浙江省</t>
        </is>
      </c>
      <c r="C61" s="274" t="inlineStr">
        <is>
          <t>杭州市/嘉兴市/宁波市</t>
        </is>
      </c>
      <c r="D61" s="275" t="n">
        <v>1</v>
      </c>
      <c r="E61" s="276" t="n">
        <v>20</v>
      </c>
      <c r="F61" s="275" t="n">
        <v>15</v>
      </c>
      <c r="G61" s="276" t="n">
        <v>133</v>
      </c>
      <c r="H61" s="276" t="n">
        <v>8.1</v>
      </c>
      <c r="I61" s="276" t="n">
        <v>8.1</v>
      </c>
      <c r="J61" s="276" t="n">
        <v>8.1</v>
      </c>
      <c r="K61" s="276" t="n">
        <v>7.2</v>
      </c>
      <c r="L61" s="276" t="n">
        <v>6.3</v>
      </c>
      <c r="M61" s="276" t="n">
        <v>6.3</v>
      </c>
      <c r="N61" s="276" t="n">
        <v>6.3</v>
      </c>
      <c r="O61" s="276" t="n">
        <v>6.3</v>
      </c>
      <c r="P61" s="276" t="n">
        <v>6.3</v>
      </c>
      <c r="Q61" s="274" t="inlineStr">
        <is>
          <t>次日达|杭州市/嘉兴市/宁波市</t>
        </is>
      </c>
    </row>
    <row r="62" ht="15" customHeight="1" s="144">
      <c r="A62" s="273" t="inlineStr">
        <is>
          <t>次日达</t>
        </is>
      </c>
      <c r="B62" s="274" t="n"/>
      <c r="C62" s="274" t="inlineStr">
        <is>
          <t>湖州市/绍兴市/金华市</t>
        </is>
      </c>
      <c r="D62" s="275" t="n">
        <v>1</v>
      </c>
      <c r="E62" s="276" t="n">
        <v>20</v>
      </c>
      <c r="F62" s="275" t="n">
        <v>15</v>
      </c>
      <c r="G62" s="276" t="n">
        <v>133</v>
      </c>
      <c r="H62" s="276" t="n">
        <v>8.1</v>
      </c>
      <c r="I62" s="276" t="n">
        <v>8.1</v>
      </c>
      <c r="J62" s="276" t="n">
        <v>8.1</v>
      </c>
      <c r="K62" s="276" t="n">
        <v>7.2</v>
      </c>
      <c r="L62" s="276" t="n">
        <v>6.3</v>
      </c>
      <c r="M62" s="276" t="n">
        <v>6.3</v>
      </c>
      <c r="N62" s="276" t="n">
        <v>6.3</v>
      </c>
      <c r="O62" s="276" t="n">
        <v>6.3</v>
      </c>
      <c r="P62" s="276" t="n">
        <v>6.3</v>
      </c>
      <c r="Q62" s="274" t="inlineStr">
        <is>
          <t>次日达|湖州市/绍兴市/金华市</t>
        </is>
      </c>
    </row>
    <row r="63" ht="15" customHeight="1" s="144">
      <c r="A63" s="273" t="inlineStr">
        <is>
          <t>次日达</t>
        </is>
      </c>
      <c r="B63" s="274" t="n"/>
      <c r="C63" s="274" t="inlineStr">
        <is>
          <t>台州市/温州市</t>
        </is>
      </c>
      <c r="D63" s="275" t="n">
        <v>1</v>
      </c>
      <c r="E63" s="276" t="n">
        <v>20</v>
      </c>
      <c r="F63" s="275" t="n">
        <v>15</v>
      </c>
      <c r="G63" s="276" t="n">
        <v>159</v>
      </c>
      <c r="H63" s="276" t="n">
        <v>9.9</v>
      </c>
      <c r="I63" s="276" t="n">
        <v>9.9</v>
      </c>
      <c r="J63" s="276" t="n">
        <v>9.9</v>
      </c>
      <c r="K63" s="276" t="n">
        <v>9</v>
      </c>
      <c r="L63" s="276" t="n">
        <v>8.1</v>
      </c>
      <c r="M63" s="276" t="n">
        <v>8.1</v>
      </c>
      <c r="N63" s="276" t="n">
        <v>8.1</v>
      </c>
      <c r="O63" s="276" t="n">
        <v>8.1</v>
      </c>
      <c r="P63" s="276" t="n">
        <v>8.1</v>
      </c>
      <c r="Q63" s="274" t="inlineStr">
        <is>
          <t>次日达|台州市/温州市</t>
        </is>
      </c>
    </row>
    <row r="64" ht="15" customHeight="1" s="144">
      <c r="A64" s="273" t="inlineStr">
        <is>
          <t>次日达</t>
        </is>
      </c>
      <c r="B64" s="274" t="n"/>
      <c r="C64" s="274" t="inlineStr">
        <is>
          <t>衢州市/丽水市/舟山市</t>
        </is>
      </c>
      <c r="D64" s="275" t="n">
        <v>1</v>
      </c>
      <c r="E64" s="276" t="n">
        <v>20</v>
      </c>
      <c r="F64" s="275" t="n">
        <v>30</v>
      </c>
      <c r="G64" s="276" t="n">
        <v>281</v>
      </c>
      <c r="H64" s="276" t="n">
        <v>9</v>
      </c>
      <c r="I64" s="276" t="n">
        <v>9</v>
      </c>
      <c r="J64" s="276" t="n">
        <v>9</v>
      </c>
      <c r="K64" s="276" t="n">
        <v>8.1</v>
      </c>
      <c r="L64" s="276" t="n">
        <v>7.2</v>
      </c>
      <c r="M64" s="276" t="n">
        <v>6.3</v>
      </c>
      <c r="N64" s="276" t="n">
        <v>6.3</v>
      </c>
      <c r="O64" s="276" t="n">
        <v>6.3</v>
      </c>
      <c r="P64" s="276" t="n">
        <v>6.3</v>
      </c>
      <c r="Q64" s="274" t="inlineStr">
        <is>
          <t>次日达|衢州市/丽水市/舟山市</t>
        </is>
      </c>
    </row>
    <row r="65" ht="15" customHeight="1" s="144">
      <c r="A65" s="273" t="inlineStr">
        <is>
          <t>次日达</t>
        </is>
      </c>
      <c r="B65" s="274" t="inlineStr">
        <is>
          <t>内蒙古自治区</t>
        </is>
      </c>
      <c r="C65" s="274" t="inlineStr">
        <is>
          <t>呼和浩特市</t>
        </is>
      </c>
      <c r="D65" s="275" t="n">
        <v>1</v>
      </c>
      <c r="E65" s="276" t="n">
        <v>20</v>
      </c>
      <c r="F65" s="275" t="n">
        <v>30</v>
      </c>
      <c r="G65" s="276" t="n">
        <v>438</v>
      </c>
      <c r="H65" s="276" t="n">
        <v>14.4</v>
      </c>
      <c r="I65" s="276" t="n">
        <v>14.4</v>
      </c>
      <c r="J65" s="276" t="n">
        <v>14.4</v>
      </c>
      <c r="K65" s="276" t="n">
        <v>12.6</v>
      </c>
      <c r="L65" s="276" t="n">
        <v>12.6</v>
      </c>
      <c r="M65" s="276" t="n">
        <v>12.6</v>
      </c>
      <c r="N65" s="276" t="n">
        <v>12.6</v>
      </c>
      <c r="O65" s="276" t="n">
        <v>11.7</v>
      </c>
      <c r="P65" s="276" t="n">
        <v>11.7</v>
      </c>
      <c r="Q65" s="274" t="inlineStr">
        <is>
          <t>次日达|呼和浩特市</t>
        </is>
      </c>
    </row>
    <row r="66" ht="15" customHeight="1" s="144">
      <c r="A66" s="273" t="inlineStr">
        <is>
          <t>次日达</t>
        </is>
      </c>
      <c r="B66" s="274" t="n"/>
      <c r="C66" s="274" t="inlineStr">
        <is>
          <t>包头市</t>
        </is>
      </c>
      <c r="D66" s="275" t="n">
        <v>1</v>
      </c>
      <c r="E66" s="276" t="n">
        <v>20</v>
      </c>
      <c r="F66" s="275" t="n">
        <v>30</v>
      </c>
      <c r="G66" s="276" t="n">
        <v>438</v>
      </c>
      <c r="H66" s="276" t="n">
        <v>14.4</v>
      </c>
      <c r="I66" s="276" t="n">
        <v>14.4</v>
      </c>
      <c r="J66" s="276" t="n">
        <v>14.4</v>
      </c>
      <c r="K66" s="276" t="n">
        <v>12.6</v>
      </c>
      <c r="L66" s="276" t="n">
        <v>12.6</v>
      </c>
      <c r="M66" s="276" t="n">
        <v>12.6</v>
      </c>
      <c r="N66" s="276" t="n">
        <v>12.6</v>
      </c>
      <c r="O66" s="276" t="n">
        <v>11.7</v>
      </c>
      <c r="P66" s="276" t="n">
        <v>11.7</v>
      </c>
      <c r="Q66" s="274" t="inlineStr">
        <is>
          <t>次日达|包头市</t>
        </is>
      </c>
    </row>
    <row r="67" ht="15" customHeight="1" s="144">
      <c r="A67" s="273" t="inlineStr">
        <is>
          <t>次日达</t>
        </is>
      </c>
      <c r="B67" s="274" t="n"/>
      <c r="C67" s="274" t="inlineStr">
        <is>
          <t>呼伦贝尔市/乌海市/乌兰察布市/通辽市/赤峰市/鄂尔多斯市/巴彦淖尔市/锡林郭勒盟/兴安盟/阿拉善盟</t>
        </is>
      </c>
      <c r="D67" s="275" t="n">
        <v>1</v>
      </c>
      <c r="E67" s="276" t="n">
        <v>20</v>
      </c>
      <c r="F67" s="275" t="n">
        <v>30</v>
      </c>
      <c r="G67" s="276" t="n">
        <v>516</v>
      </c>
      <c r="H67" s="276" t="n">
        <v>17.1</v>
      </c>
      <c r="I67" s="276" t="n">
        <v>17.1</v>
      </c>
      <c r="J67" s="276" t="n">
        <v>17.1</v>
      </c>
      <c r="K67" s="276" t="n">
        <v>15.3</v>
      </c>
      <c r="L67" s="276" t="n">
        <v>15.3</v>
      </c>
      <c r="M67" s="276" t="n">
        <v>15.3</v>
      </c>
      <c r="N67" s="276" t="n">
        <v>15.3</v>
      </c>
      <c r="O67" s="276" t="n">
        <v>14.4</v>
      </c>
      <c r="P67" s="276" t="n">
        <v>14.4</v>
      </c>
      <c r="Q67" s="274" t="inlineStr">
        <is>
          <t>次日达|呼伦贝尔市/乌海市/乌兰察布市/通辽市/赤峰市/鄂尔多斯市/巴彦淖尔市/锡林郭勒盟/兴安盟/阿拉善盟</t>
        </is>
      </c>
    </row>
    <row r="68" ht="15" customHeight="1" s="144">
      <c r="A68" s="273" t="inlineStr">
        <is>
          <t>次日达</t>
        </is>
      </c>
      <c r="B68" s="274" t="inlineStr">
        <is>
          <t>青海省</t>
        </is>
      </c>
      <c r="C68" s="274" t="inlineStr">
        <is>
          <t>西宁市</t>
        </is>
      </c>
      <c r="D68" s="275" t="n">
        <v>1</v>
      </c>
      <c r="E68" s="276" t="n">
        <v>20</v>
      </c>
      <c r="F68" s="275" t="n">
        <v>30</v>
      </c>
      <c r="G68" s="276" t="n">
        <v>490</v>
      </c>
      <c r="H68" s="276" t="n">
        <v>16.2</v>
      </c>
      <c r="I68" s="276" t="n">
        <v>16.2</v>
      </c>
      <c r="J68" s="276" t="n">
        <v>16.2</v>
      </c>
      <c r="K68" s="276" t="n">
        <v>14.4</v>
      </c>
      <c r="L68" s="276" t="n">
        <v>14.4</v>
      </c>
      <c r="M68" s="276" t="n">
        <v>14.4</v>
      </c>
      <c r="N68" s="276" t="n">
        <v>13.5</v>
      </c>
      <c r="O68" s="276" t="n">
        <v>13.5</v>
      </c>
      <c r="P68" s="276" t="n">
        <v>13.5</v>
      </c>
      <c r="Q68" s="274" t="inlineStr">
        <is>
          <t>次日达|西宁市</t>
        </is>
      </c>
    </row>
    <row r="69" ht="15" customHeight="1" s="144">
      <c r="A69" s="273" t="inlineStr">
        <is>
          <t>次日达</t>
        </is>
      </c>
      <c r="B69" s="274" t="n"/>
      <c r="C69" s="274" t="inlineStr">
        <is>
          <t>海北藏族自治州/海东市/黄南藏族自治州/海南藏族自治州/果洛藏族自治州/玉树藏族自治州/海西蒙古族藏族自治州</t>
        </is>
      </c>
      <c r="D69" s="275" t="n">
        <v>1</v>
      </c>
      <c r="E69" s="276" t="n">
        <v>20</v>
      </c>
      <c r="F69" s="275" t="n">
        <v>30</v>
      </c>
      <c r="G69" s="276" t="n">
        <v>542</v>
      </c>
      <c r="H69" s="276" t="n">
        <v>18</v>
      </c>
      <c r="I69" s="276" t="n">
        <v>18</v>
      </c>
      <c r="J69" s="276" t="n">
        <v>18</v>
      </c>
      <c r="K69" s="276" t="n">
        <v>16.2</v>
      </c>
      <c r="L69" s="276" t="n">
        <v>16.2</v>
      </c>
      <c r="M69" s="276" t="n">
        <v>16.2</v>
      </c>
      <c r="N69" s="276" t="n">
        <v>15.3</v>
      </c>
      <c r="O69" s="276" t="n">
        <v>15.3</v>
      </c>
      <c r="P69" s="276" t="n">
        <v>15.3</v>
      </c>
      <c r="Q69" s="274" t="inlineStr">
        <is>
          <t>次日达|海北藏族自治州/海东市/黄南藏族自治州/海南藏族自治州/果洛藏族自治州/玉树藏族自治州/海西蒙古族藏族自治州</t>
        </is>
      </c>
    </row>
    <row r="70" ht="15" customHeight="1" s="144">
      <c r="A70" s="273" t="inlineStr">
        <is>
          <t>次日达</t>
        </is>
      </c>
      <c r="B70" s="274" t="inlineStr">
        <is>
          <t>辽宁省</t>
        </is>
      </c>
      <c r="C70" s="274" t="inlineStr">
        <is>
          <t>抚顺市/本溪市/铁岭市/沈阳市/大连市</t>
        </is>
      </c>
      <c r="D70" s="275" t="n">
        <v>1</v>
      </c>
      <c r="E70" s="276" t="n">
        <v>20</v>
      </c>
      <c r="F70" s="275" t="n">
        <v>30</v>
      </c>
      <c r="G70" s="276" t="n">
        <v>255</v>
      </c>
      <c r="H70" s="276" t="n">
        <v>8.1</v>
      </c>
      <c r="I70" s="276" t="n">
        <v>8.1</v>
      </c>
      <c r="J70" s="276" t="n">
        <v>8.1</v>
      </c>
      <c r="K70" s="276" t="n">
        <v>8.1</v>
      </c>
      <c r="L70" s="276" t="n">
        <v>8.1</v>
      </c>
      <c r="M70" s="276" t="n">
        <v>8.1</v>
      </c>
      <c r="N70" s="276" t="n">
        <v>8.1</v>
      </c>
      <c r="O70" s="276" t="n">
        <v>8.1</v>
      </c>
      <c r="P70" s="276" t="n">
        <v>8.1</v>
      </c>
      <c r="Q70" s="274" t="inlineStr">
        <is>
          <t>次日达|抚顺市/本溪市/铁岭市/沈阳市/大连市</t>
        </is>
      </c>
    </row>
    <row r="71" ht="15" customHeight="1" s="144">
      <c r="A71" s="273" t="inlineStr">
        <is>
          <t>次日达</t>
        </is>
      </c>
      <c r="B71" s="274" t="n"/>
      <c r="C71" s="274" t="inlineStr">
        <is>
          <t>鞍山市</t>
        </is>
      </c>
      <c r="D71" s="275" t="n">
        <v>1</v>
      </c>
      <c r="E71" s="276" t="n">
        <v>20</v>
      </c>
      <c r="F71" s="275" t="n">
        <v>30</v>
      </c>
      <c r="G71" s="276" t="n">
        <v>263</v>
      </c>
      <c r="H71" s="276" t="n">
        <v>9</v>
      </c>
      <c r="I71" s="276" t="n">
        <v>8.1</v>
      </c>
      <c r="J71" s="276" t="n">
        <v>8.1</v>
      </c>
      <c r="K71" s="276" t="n">
        <v>8.1</v>
      </c>
      <c r="L71" s="276" t="n">
        <v>7.2</v>
      </c>
      <c r="M71" s="276" t="n">
        <v>7.2</v>
      </c>
      <c r="N71" s="276" t="n">
        <v>7.2</v>
      </c>
      <c r="O71" s="276" t="n">
        <v>7.2</v>
      </c>
      <c r="P71" s="276" t="n">
        <v>7.2</v>
      </c>
      <c r="Q71" s="274" t="inlineStr">
        <is>
          <t>次日达|鞍山市</t>
        </is>
      </c>
    </row>
    <row r="72" ht="15" customHeight="1" s="144">
      <c r="A72" s="273" t="inlineStr">
        <is>
          <t>次日达</t>
        </is>
      </c>
      <c r="B72" s="274" t="n"/>
      <c r="C72" s="274" t="inlineStr">
        <is>
          <t>丹东市/锦州市/营口市/阜新市/辽阳市/朝阳市/盘锦市/葫芦岛市</t>
        </is>
      </c>
      <c r="D72" s="275" t="n">
        <v>1</v>
      </c>
      <c r="E72" s="276" t="n">
        <v>20</v>
      </c>
      <c r="F72" s="275" t="n">
        <v>30</v>
      </c>
      <c r="G72" s="276" t="n">
        <v>307</v>
      </c>
      <c r="H72" s="276" t="n">
        <v>9.9</v>
      </c>
      <c r="I72" s="276" t="n">
        <v>9.9</v>
      </c>
      <c r="J72" s="276" t="n">
        <v>9.9</v>
      </c>
      <c r="K72" s="276" t="n">
        <v>9.9</v>
      </c>
      <c r="L72" s="276" t="n">
        <v>9.9</v>
      </c>
      <c r="M72" s="276" t="n">
        <v>9.9</v>
      </c>
      <c r="N72" s="276" t="n">
        <v>9.9</v>
      </c>
      <c r="O72" s="276" t="n">
        <v>9.9</v>
      </c>
      <c r="P72" s="276" t="n">
        <v>9.9</v>
      </c>
      <c r="Q72" s="274" t="inlineStr">
        <is>
          <t>次日达|丹东市/锦州市/营口市/阜新市/辽阳市/朝阳市/盘锦市/葫芦岛市</t>
        </is>
      </c>
    </row>
    <row r="73" ht="15" customHeight="1" s="144">
      <c r="A73" s="273" t="inlineStr">
        <is>
          <t>次日达</t>
        </is>
      </c>
      <c r="B73" s="274" t="inlineStr">
        <is>
          <t>黑龙江省</t>
        </is>
      </c>
      <c r="C73" s="274" t="inlineStr">
        <is>
          <t>哈尔滨市</t>
        </is>
      </c>
      <c r="D73" s="275" t="n">
        <v>1</v>
      </c>
      <c r="E73" s="276" t="n">
        <v>20</v>
      </c>
      <c r="F73" s="275" t="n">
        <v>30</v>
      </c>
      <c r="G73" s="276" t="n">
        <v>333</v>
      </c>
      <c r="H73" s="276" t="n">
        <v>10.8</v>
      </c>
      <c r="I73" s="276" t="n">
        <v>10.8</v>
      </c>
      <c r="J73" s="276" t="n">
        <v>10.8</v>
      </c>
      <c r="K73" s="276" t="n">
        <v>9.9</v>
      </c>
      <c r="L73" s="276" t="n">
        <v>9.9</v>
      </c>
      <c r="M73" s="276" t="n">
        <v>9</v>
      </c>
      <c r="N73" s="276" t="n">
        <v>9</v>
      </c>
      <c r="O73" s="276" t="n">
        <v>9</v>
      </c>
      <c r="P73" s="276" t="n">
        <v>9</v>
      </c>
      <c r="Q73" s="274" t="inlineStr">
        <is>
          <t>次日达|哈尔滨市</t>
        </is>
      </c>
    </row>
    <row r="74" ht="15" customHeight="1" s="144">
      <c r="A74" s="273" t="inlineStr">
        <is>
          <t>次日达</t>
        </is>
      </c>
      <c r="B74" s="274" t="n"/>
      <c r="C74" s="274" t="inlineStr">
        <is>
          <t>齐齐哈尔市/牡丹江市/佳木斯市/绥化市/黑河市/大兴安岭地区/伊春市/大庆市/七台河市/鸡西市/鹤岗市/双鸭山市</t>
        </is>
      </c>
      <c r="D74" s="275" t="n">
        <v>1</v>
      </c>
      <c r="E74" s="276" t="n">
        <v>20</v>
      </c>
      <c r="F74" s="275" t="n">
        <v>30</v>
      </c>
      <c r="G74" s="276" t="n">
        <v>385</v>
      </c>
      <c r="H74" s="276" t="n">
        <v>12.6</v>
      </c>
      <c r="I74" s="276" t="n">
        <v>12.6</v>
      </c>
      <c r="J74" s="276" t="n">
        <v>12.6</v>
      </c>
      <c r="K74" s="276" t="n">
        <v>11.7</v>
      </c>
      <c r="L74" s="276" t="n">
        <v>11.7</v>
      </c>
      <c r="M74" s="276" t="n">
        <v>10.8</v>
      </c>
      <c r="N74" s="276" t="n">
        <v>10.8</v>
      </c>
      <c r="O74" s="276" t="n">
        <v>10.8</v>
      </c>
      <c r="P74" s="276" t="n">
        <v>10.8</v>
      </c>
      <c r="Q74" s="274" t="inlineStr">
        <is>
          <t>次日达|齐齐哈尔市/牡丹江市/佳木斯市/绥化市/黑河市/大兴安岭地区/伊春市/大庆市/七台河市/鸡西市/鹤岗市/双鸭山市</t>
        </is>
      </c>
    </row>
    <row r="75" ht="15" customHeight="1" s="144">
      <c r="A75" s="273" t="inlineStr">
        <is>
          <t>次日达</t>
        </is>
      </c>
      <c r="B75" s="274" t="inlineStr">
        <is>
          <t>北京</t>
        </is>
      </c>
      <c r="C75" s="274" t="inlineStr">
        <is>
          <t>北京市</t>
        </is>
      </c>
      <c r="D75" s="275" t="n">
        <v>1</v>
      </c>
      <c r="E75" s="276" t="n">
        <v>20</v>
      </c>
      <c r="F75" s="275" t="n">
        <v>20</v>
      </c>
      <c r="G75" s="276" t="n">
        <v>157</v>
      </c>
      <c r="H75" s="276" t="n">
        <v>7.2</v>
      </c>
      <c r="I75" s="276" t="n">
        <v>7.2</v>
      </c>
      <c r="J75" s="276" t="n">
        <v>7.2</v>
      </c>
      <c r="K75" s="276" t="n">
        <v>7.2</v>
      </c>
      <c r="L75" s="276" t="n">
        <v>6.3</v>
      </c>
      <c r="M75" s="276" t="n">
        <v>6.3</v>
      </c>
      <c r="N75" s="276" t="n">
        <v>6.3</v>
      </c>
      <c r="O75" s="276" t="n">
        <v>6.3</v>
      </c>
      <c r="P75" s="276" t="n">
        <v>6.3</v>
      </c>
      <c r="Q75" s="274" t="inlineStr">
        <is>
          <t>次日达|北京市</t>
        </is>
      </c>
    </row>
    <row r="76" ht="15" customHeight="1" s="144">
      <c r="A76" s="273" t="inlineStr">
        <is>
          <t>次日达</t>
        </is>
      </c>
      <c r="B76" s="274" t="inlineStr">
        <is>
          <t>山西省</t>
        </is>
      </c>
      <c r="C76" s="274" t="inlineStr">
        <is>
          <t>太原市/晋中市</t>
        </is>
      </c>
      <c r="D76" s="275" t="n">
        <v>1</v>
      </c>
      <c r="E76" s="276" t="n">
        <v>20</v>
      </c>
      <c r="F76" s="275" t="n">
        <v>30</v>
      </c>
      <c r="G76" s="276" t="n">
        <v>307</v>
      </c>
      <c r="H76" s="276" t="n">
        <v>9.9</v>
      </c>
      <c r="I76" s="276" t="n">
        <v>9.9</v>
      </c>
      <c r="J76" s="276" t="n">
        <v>9.9</v>
      </c>
      <c r="K76" s="276" t="n">
        <v>9</v>
      </c>
      <c r="L76" s="276" t="n">
        <v>9</v>
      </c>
      <c r="M76" s="276" t="n">
        <v>9</v>
      </c>
      <c r="N76" s="276" t="n">
        <v>9</v>
      </c>
      <c r="O76" s="276" t="n">
        <v>9</v>
      </c>
      <c r="P76" s="276" t="n">
        <v>9</v>
      </c>
      <c r="Q76" s="274" t="inlineStr">
        <is>
          <t>次日达|太原市/晋中市</t>
        </is>
      </c>
    </row>
    <row r="77" ht="15" customHeight="1" s="144">
      <c r="A77" s="273" t="inlineStr">
        <is>
          <t>次日达</t>
        </is>
      </c>
      <c r="B77" s="274" t="n"/>
      <c r="C77" s="274" t="inlineStr">
        <is>
          <t>朔州市/忻州市/大同市/阳泉市/长治市/晋城市/临汾市/吕梁市/运城市</t>
        </is>
      </c>
      <c r="D77" s="275" t="n">
        <v>1</v>
      </c>
      <c r="E77" s="276" t="n">
        <v>20</v>
      </c>
      <c r="F77" s="275" t="n">
        <v>30</v>
      </c>
      <c r="G77" s="276" t="n">
        <v>359</v>
      </c>
      <c r="H77" s="276" t="n">
        <v>11.7</v>
      </c>
      <c r="I77" s="276" t="n">
        <v>11.7</v>
      </c>
      <c r="J77" s="276" t="n">
        <v>11.7</v>
      </c>
      <c r="K77" s="276" t="n">
        <v>10.8</v>
      </c>
      <c r="L77" s="276" t="n">
        <v>10.8</v>
      </c>
      <c r="M77" s="276" t="n">
        <v>10.8</v>
      </c>
      <c r="N77" s="276" t="n">
        <v>10.8</v>
      </c>
      <c r="O77" s="276" t="n">
        <v>10.8</v>
      </c>
      <c r="P77" s="276" t="n">
        <v>10.8</v>
      </c>
      <c r="Q77" s="274" t="inlineStr">
        <is>
          <t>次日达|朔州市/忻州市/大同市/阳泉市/长治市/晋城市/临汾市/吕梁市/运城市</t>
        </is>
      </c>
    </row>
    <row r="78" ht="15" customHeight="1" s="144">
      <c r="A78" s="273" t="inlineStr">
        <is>
          <t>特惠普运</t>
        </is>
      </c>
      <c r="B78" s="274" t="inlineStr">
        <is>
          <t>广西壮族自治区</t>
        </is>
      </c>
      <c r="C78" s="274" t="inlineStr">
        <is>
          <t>崇左市/南宁市</t>
        </is>
      </c>
      <c r="D78" s="275" t="n">
        <v>1</v>
      </c>
      <c r="E78" s="276" t="n">
        <v>10</v>
      </c>
      <c r="F78" s="275" t="n">
        <v>50</v>
      </c>
      <c r="G78" s="276" t="n">
        <v>108</v>
      </c>
      <c r="H78" s="276" t="n">
        <v>2</v>
      </c>
      <c r="I78" s="276" t="n">
        <v>2</v>
      </c>
      <c r="J78" s="276" t="n">
        <v>1.9</v>
      </c>
      <c r="K78" s="276" t="n">
        <v>1.9</v>
      </c>
      <c r="L78" s="276" t="n">
        <v>1.8</v>
      </c>
      <c r="M78" s="276" t="n">
        <v>1.7</v>
      </c>
      <c r="N78" s="276" t="n">
        <v>1.6</v>
      </c>
      <c r="O78" s="276" t="n">
        <v>1.5</v>
      </c>
      <c r="P78" s="276" t="n">
        <v>0</v>
      </c>
      <c r="Q78" s="274" t="inlineStr">
        <is>
          <t>特惠普运|崇左市/南宁市</t>
        </is>
      </c>
    </row>
    <row r="79" ht="15" customHeight="1" s="144">
      <c r="A79" s="273" t="inlineStr">
        <is>
          <t>特惠普运</t>
        </is>
      </c>
      <c r="B79" s="274" t="n"/>
      <c r="C79" s="274" t="inlineStr">
        <is>
          <t>防城港市/桂林市/贵港市/玉林市/钦州市/北海市</t>
        </is>
      </c>
      <c r="D79" s="275" t="n">
        <v>1</v>
      </c>
      <c r="E79" s="276" t="n">
        <v>10</v>
      </c>
      <c r="F79" s="275" t="n">
        <v>50</v>
      </c>
      <c r="G79" s="276" t="n">
        <v>113</v>
      </c>
      <c r="H79" s="276" t="n">
        <v>2.1</v>
      </c>
      <c r="I79" s="276" t="n">
        <v>2.1</v>
      </c>
      <c r="J79" s="276" t="n">
        <v>2</v>
      </c>
      <c r="K79" s="276" t="n">
        <v>2</v>
      </c>
      <c r="L79" s="276" t="n">
        <v>1.9</v>
      </c>
      <c r="M79" s="276" t="n">
        <v>1.8</v>
      </c>
      <c r="N79" s="276" t="n">
        <v>1.7</v>
      </c>
      <c r="O79" s="276" t="n">
        <v>1.6</v>
      </c>
      <c r="P79" s="276" t="n">
        <v>0</v>
      </c>
      <c r="Q79" s="274" t="inlineStr">
        <is>
          <t>特惠普运|防城港市/桂林市/贵港市/玉林市/钦州市/北海市</t>
        </is>
      </c>
    </row>
    <row r="80" ht="15" customHeight="1" s="144">
      <c r="A80" s="273" t="inlineStr">
        <is>
          <t>特惠普运</t>
        </is>
      </c>
      <c r="B80" s="274" t="inlineStr">
        <is>
          <t>福建省</t>
        </is>
      </c>
      <c r="C80" s="274" t="inlineStr">
        <is>
          <t>厦门市</t>
        </is>
      </c>
      <c r="D80" s="275" t="n">
        <v>1</v>
      </c>
      <c r="E80" s="276" t="n">
        <v>10</v>
      </c>
      <c r="F80" s="275" t="n">
        <v>50</v>
      </c>
      <c r="G80" s="276" t="n">
        <v>98</v>
      </c>
      <c r="H80" s="276" t="n">
        <v>1.8</v>
      </c>
      <c r="I80" s="276" t="n">
        <v>1.8</v>
      </c>
      <c r="J80" s="276" t="n">
        <v>1.6</v>
      </c>
      <c r="K80" s="276" t="n">
        <v>1.6</v>
      </c>
      <c r="L80" s="276" t="n">
        <v>1.5</v>
      </c>
      <c r="M80" s="276" t="n">
        <v>1.45</v>
      </c>
      <c r="N80" s="276" t="n">
        <v>1.35</v>
      </c>
      <c r="O80" s="276" t="n">
        <v>1.25</v>
      </c>
      <c r="P80" s="276" t="n">
        <v>0</v>
      </c>
      <c r="Q80" s="274" t="inlineStr">
        <is>
          <t>特惠普运|厦门市</t>
        </is>
      </c>
    </row>
    <row r="81" ht="15" customHeight="1" s="144">
      <c r="A81" s="273" t="inlineStr">
        <is>
          <t>特惠普运</t>
        </is>
      </c>
      <c r="B81" s="274" t="n"/>
      <c r="C81" s="274" t="inlineStr">
        <is>
          <t>莆田市/泉州市/漳州市/龙岩市</t>
        </is>
      </c>
      <c r="D81" s="275" t="n">
        <v>1</v>
      </c>
      <c r="E81" s="276" t="n">
        <v>10</v>
      </c>
      <c r="F81" s="275" t="n">
        <v>50</v>
      </c>
      <c r="G81" s="276" t="n">
        <v>98</v>
      </c>
      <c r="H81" s="276" t="n">
        <v>1.8</v>
      </c>
      <c r="I81" s="276" t="n">
        <v>1.8</v>
      </c>
      <c r="J81" s="276" t="n">
        <v>1.7</v>
      </c>
      <c r="K81" s="276" t="n">
        <v>1.7</v>
      </c>
      <c r="L81" s="276" t="n">
        <v>1.6</v>
      </c>
      <c r="M81" s="276" t="n">
        <v>1.5</v>
      </c>
      <c r="N81" s="276" t="n">
        <v>1.4</v>
      </c>
      <c r="O81" s="276" t="n">
        <v>1.4</v>
      </c>
      <c r="P81" s="276" t="n">
        <v>0</v>
      </c>
      <c r="Q81" s="274" t="inlineStr">
        <is>
          <t>特惠普运|莆田市/泉州市/漳州市/龙岩市</t>
        </is>
      </c>
    </row>
    <row r="82" ht="15" customHeight="1" s="144">
      <c r="A82" s="273" t="inlineStr">
        <is>
          <t>特惠普运</t>
        </is>
      </c>
      <c r="B82" s="274" t="n"/>
      <c r="C82" s="274" t="inlineStr">
        <is>
          <t>福州市</t>
        </is>
      </c>
      <c r="D82" s="275" t="n">
        <v>1</v>
      </c>
      <c r="E82" s="276" t="n">
        <v>10</v>
      </c>
      <c r="F82" s="275" t="n">
        <v>50</v>
      </c>
      <c r="G82" s="276" t="n">
        <v>101</v>
      </c>
      <c r="H82" s="276" t="n">
        <v>1.85</v>
      </c>
      <c r="I82" s="276" t="n">
        <v>1.85</v>
      </c>
      <c r="J82" s="276" t="n">
        <v>1.7</v>
      </c>
      <c r="K82" s="276" t="n">
        <v>1.7</v>
      </c>
      <c r="L82" s="276" t="n">
        <v>1.6</v>
      </c>
      <c r="M82" s="276" t="n">
        <v>1.5</v>
      </c>
      <c r="N82" s="276" t="n">
        <v>1.4</v>
      </c>
      <c r="O82" s="276" t="n">
        <v>1.3</v>
      </c>
      <c r="P82" s="276" t="n">
        <v>0</v>
      </c>
      <c r="Q82" s="274" t="inlineStr">
        <is>
          <t>特惠普运|福州市</t>
        </is>
      </c>
    </row>
    <row r="83" ht="15" customHeight="1" s="144">
      <c r="A83" s="273" t="inlineStr">
        <is>
          <t>特惠普运</t>
        </is>
      </c>
      <c r="B83" s="274" t="n"/>
      <c r="C83" s="274" t="inlineStr">
        <is>
          <t>宁德市/三明市/南平市</t>
        </is>
      </c>
      <c r="D83" s="275" t="n">
        <v>1</v>
      </c>
      <c r="E83" s="276" t="n">
        <v>10</v>
      </c>
      <c r="F83" s="275" t="n">
        <v>50</v>
      </c>
      <c r="G83" s="276" t="n">
        <v>106</v>
      </c>
      <c r="H83" s="276" t="n">
        <v>1.95</v>
      </c>
      <c r="I83" s="276" t="n">
        <v>1.95</v>
      </c>
      <c r="J83" s="276" t="n">
        <v>1.75</v>
      </c>
      <c r="K83" s="276" t="n">
        <v>1.75</v>
      </c>
      <c r="L83" s="276" t="n">
        <v>1.65</v>
      </c>
      <c r="M83" s="276" t="n">
        <v>1.6</v>
      </c>
      <c r="N83" s="276" t="n">
        <v>1.5</v>
      </c>
      <c r="O83" s="276" t="n">
        <v>1.4</v>
      </c>
      <c r="P83" s="276" t="n">
        <v>0</v>
      </c>
      <c r="Q83" s="274" t="inlineStr">
        <is>
          <t>特惠普运|宁德市/三明市/南平市</t>
        </is>
      </c>
    </row>
    <row r="84" ht="15" customHeight="1" s="144">
      <c r="A84" s="273" t="inlineStr">
        <is>
          <t>特惠普运</t>
        </is>
      </c>
      <c r="B84" s="274" t="inlineStr">
        <is>
          <t>山西省/河北省</t>
        </is>
      </c>
      <c r="C84" s="274" t="inlineStr">
        <is>
          <t>邯郸市/保定市/雄安新区/衡水市/邢台市/阳泉市</t>
        </is>
      </c>
      <c r="D84" s="275" t="n">
        <v>1</v>
      </c>
      <c r="E84" s="276" t="n">
        <v>10</v>
      </c>
      <c r="F84" s="275" t="n">
        <v>50</v>
      </c>
      <c r="G84" s="276" t="n">
        <v>88</v>
      </c>
      <c r="H84" s="276" t="n">
        <v>1.6</v>
      </c>
      <c r="I84" s="276" t="n">
        <v>1.6</v>
      </c>
      <c r="J84" s="276" t="n">
        <v>1.5</v>
      </c>
      <c r="K84" s="276" t="n">
        <v>1.5</v>
      </c>
      <c r="L84" s="276" t="n">
        <v>1.3</v>
      </c>
      <c r="M84" s="276" t="n">
        <v>1.2</v>
      </c>
      <c r="N84" s="276" t="n">
        <v>1.1</v>
      </c>
      <c r="O84" s="276" t="n">
        <v>1</v>
      </c>
      <c r="P84" s="276" t="n">
        <v>0</v>
      </c>
      <c r="Q84" s="274" t="inlineStr">
        <is>
          <t>特惠普运|邯郸市/保定市/雄安新区/衡水市/邢台市/阳泉市</t>
        </is>
      </c>
    </row>
    <row r="85" ht="15" customHeight="1" s="144">
      <c r="A85" s="273" t="inlineStr">
        <is>
          <t>特惠普运</t>
        </is>
      </c>
      <c r="B85" s="274" t="inlineStr">
        <is>
          <t>湖南省/贵州省</t>
        </is>
      </c>
      <c r="C85" s="274" t="inlineStr">
        <is>
          <t>郴州市/张家界市/怀化市/永州市/铜仁市</t>
        </is>
      </c>
      <c r="D85" s="275" t="n">
        <v>1</v>
      </c>
      <c r="E85" s="276" t="n">
        <v>10</v>
      </c>
      <c r="F85" s="275" t="n">
        <v>50</v>
      </c>
      <c r="G85" s="276" t="n">
        <v>103</v>
      </c>
      <c r="H85" s="276" t="n">
        <v>1.9</v>
      </c>
      <c r="I85" s="276" t="n">
        <v>1.9</v>
      </c>
      <c r="J85" s="276" t="n">
        <v>1.7</v>
      </c>
      <c r="K85" s="276" t="n">
        <v>1.7</v>
      </c>
      <c r="L85" s="276" t="n">
        <v>1.6</v>
      </c>
      <c r="M85" s="276" t="n">
        <v>1.5</v>
      </c>
      <c r="N85" s="276" t="n">
        <v>1.4</v>
      </c>
      <c r="O85" s="276" t="n">
        <v>1.3</v>
      </c>
      <c r="P85" s="276" t="n">
        <v>0</v>
      </c>
      <c r="Q85" s="274" t="inlineStr">
        <is>
          <t>特惠普运|郴州市/张家界市/怀化市/永州市/铜仁市</t>
        </is>
      </c>
    </row>
    <row r="86" ht="15" customHeight="1" s="144">
      <c r="A86" s="273" t="inlineStr">
        <is>
          <t>特惠普运</t>
        </is>
      </c>
      <c r="B86" s="274" t="inlineStr">
        <is>
          <t>贵州省</t>
        </is>
      </c>
      <c r="C86" s="274" t="inlineStr">
        <is>
          <t>贵阳市</t>
        </is>
      </c>
      <c r="D86" s="275" t="n">
        <v>1</v>
      </c>
      <c r="E86" s="276" t="n">
        <v>10</v>
      </c>
      <c r="F86" s="275" t="n">
        <v>50</v>
      </c>
      <c r="G86" s="276" t="n">
        <v>118</v>
      </c>
      <c r="H86" s="276" t="n">
        <v>2.2</v>
      </c>
      <c r="I86" s="276" t="n">
        <v>2.2</v>
      </c>
      <c r="J86" s="276" t="n">
        <v>2</v>
      </c>
      <c r="K86" s="276" t="n">
        <v>2</v>
      </c>
      <c r="L86" s="276" t="n">
        <v>1.9</v>
      </c>
      <c r="M86" s="276" t="n">
        <v>1.8</v>
      </c>
      <c r="N86" s="276" t="n">
        <v>1.7</v>
      </c>
      <c r="O86" s="276" t="n">
        <v>1.7</v>
      </c>
      <c r="P86" s="276" t="n">
        <v>0</v>
      </c>
      <c r="Q86" s="274" t="inlineStr">
        <is>
          <t>特惠普运|贵阳市</t>
        </is>
      </c>
    </row>
    <row r="87" ht="15" customHeight="1" s="144">
      <c r="A87" s="273" t="inlineStr">
        <is>
          <t>特惠普运</t>
        </is>
      </c>
      <c r="B87" s="274" t="n"/>
      <c r="C87" s="274" t="inlineStr">
        <is>
          <t>遵义市/安顺市</t>
        </is>
      </c>
      <c r="D87" s="275" t="n">
        <v>1</v>
      </c>
      <c r="E87" s="276" t="n">
        <v>10</v>
      </c>
      <c r="F87" s="275" t="n">
        <v>50</v>
      </c>
      <c r="G87" s="276" t="n">
        <v>123</v>
      </c>
      <c r="H87" s="276" t="n">
        <v>2.3</v>
      </c>
      <c r="I87" s="276" t="n">
        <v>2.3</v>
      </c>
      <c r="J87" s="276" t="n">
        <v>2.1</v>
      </c>
      <c r="K87" s="276" t="n">
        <v>2.1</v>
      </c>
      <c r="L87" s="276" t="n">
        <v>2</v>
      </c>
      <c r="M87" s="276" t="n">
        <v>1.9</v>
      </c>
      <c r="N87" s="276" t="n">
        <v>1.8</v>
      </c>
      <c r="O87" s="276" t="n">
        <v>1.8</v>
      </c>
      <c r="P87" s="276" t="n">
        <v>0</v>
      </c>
      <c r="Q87" s="274" t="inlineStr">
        <is>
          <t>特惠普运|遵义市/安顺市</t>
        </is>
      </c>
    </row>
    <row r="88" ht="15" customHeight="1" s="144">
      <c r="A88" s="273" t="inlineStr">
        <is>
          <t>特惠普运</t>
        </is>
      </c>
      <c r="B88" s="274" t="inlineStr">
        <is>
          <t>江西省</t>
        </is>
      </c>
      <c r="C88" s="274" t="inlineStr">
        <is>
          <t>南昌市</t>
        </is>
      </c>
      <c r="D88" s="275" t="n">
        <v>1</v>
      </c>
      <c r="E88" s="276" t="n">
        <v>10</v>
      </c>
      <c r="F88" s="275" t="n">
        <v>50</v>
      </c>
      <c r="G88" s="276" t="n">
        <v>93</v>
      </c>
      <c r="H88" s="276" t="n">
        <v>1.7</v>
      </c>
      <c r="I88" s="276" t="n">
        <v>1.7</v>
      </c>
      <c r="J88" s="276" t="n">
        <v>1.5</v>
      </c>
      <c r="K88" s="276" t="n">
        <v>1.5</v>
      </c>
      <c r="L88" s="276" t="n">
        <v>1.4</v>
      </c>
      <c r="M88" s="276" t="n">
        <v>1.3</v>
      </c>
      <c r="N88" s="276" t="n">
        <v>1.2</v>
      </c>
      <c r="O88" s="276" t="n">
        <v>1.1</v>
      </c>
      <c r="P88" s="276" t="n">
        <v>0</v>
      </c>
      <c r="Q88" s="274" t="inlineStr">
        <is>
          <t>特惠普运|南昌市</t>
        </is>
      </c>
    </row>
    <row r="89" ht="15" customHeight="1" s="144">
      <c r="A89" s="273" t="inlineStr">
        <is>
          <t>特惠普运</t>
        </is>
      </c>
      <c r="B89" s="274" t="n"/>
      <c r="C89" s="274" t="inlineStr">
        <is>
          <t>鹰潭市/新余市/九江市/上饶市/抚州市/吉安市/赣州市/景德镇市</t>
        </is>
      </c>
      <c r="D89" s="275" t="n">
        <v>1</v>
      </c>
      <c r="E89" s="276" t="n">
        <v>10</v>
      </c>
      <c r="F89" s="275" t="n">
        <v>50</v>
      </c>
      <c r="G89" s="276" t="n">
        <v>93</v>
      </c>
      <c r="H89" s="276" t="n">
        <v>1.7</v>
      </c>
      <c r="I89" s="276" t="n">
        <v>1.7</v>
      </c>
      <c r="J89" s="276" t="n">
        <v>1.6</v>
      </c>
      <c r="K89" s="276" t="n">
        <v>1.6</v>
      </c>
      <c r="L89" s="276" t="n">
        <v>1.5</v>
      </c>
      <c r="M89" s="276" t="n">
        <v>1.4</v>
      </c>
      <c r="N89" s="276" t="n">
        <v>1.3</v>
      </c>
      <c r="O89" s="276" t="n">
        <v>1.2</v>
      </c>
      <c r="P89" s="276" t="n">
        <v>0</v>
      </c>
      <c r="Q89" s="274" t="inlineStr">
        <is>
          <t>特惠普运|鹰潭市/新余市/九江市/上饶市/抚州市/吉安市/赣州市/景德镇市</t>
        </is>
      </c>
    </row>
    <row r="90" ht="15" customHeight="1" s="144">
      <c r="A90" s="273" t="inlineStr">
        <is>
          <t>特惠普运</t>
        </is>
      </c>
      <c r="B90" s="274" t="inlineStr">
        <is>
          <t>湖北省</t>
        </is>
      </c>
      <c r="C90" s="274" t="inlineStr">
        <is>
          <t>武汉市</t>
        </is>
      </c>
      <c r="D90" s="275" t="n">
        <v>1</v>
      </c>
      <c r="E90" s="276" t="n">
        <v>10</v>
      </c>
      <c r="F90" s="275" t="n">
        <v>50</v>
      </c>
      <c r="G90" s="276" t="n">
        <v>84</v>
      </c>
      <c r="H90" s="276" t="n">
        <v>1.5</v>
      </c>
      <c r="I90" s="276" t="n">
        <v>1.5</v>
      </c>
      <c r="J90" s="276" t="n">
        <v>1.4</v>
      </c>
      <c r="K90" s="276" t="n">
        <v>1.4</v>
      </c>
      <c r="L90" s="276" t="n">
        <v>1.3</v>
      </c>
      <c r="M90" s="276" t="n">
        <v>1.2</v>
      </c>
      <c r="N90" s="276" t="n">
        <v>1.1</v>
      </c>
      <c r="O90" s="276" t="n">
        <v>1</v>
      </c>
      <c r="P90" s="276" t="n">
        <v>0</v>
      </c>
      <c r="Q90" s="274" t="inlineStr">
        <is>
          <t>特惠普运|武汉市</t>
        </is>
      </c>
    </row>
    <row r="91" ht="15" customHeight="1" s="144">
      <c r="A91" s="273" t="inlineStr">
        <is>
          <t>特惠普运</t>
        </is>
      </c>
      <c r="B91" s="274" t="n"/>
      <c r="C91" s="274" t="inlineStr">
        <is>
          <t>襄阳市/荆州市/宜昌市/恩施土家族苗族自治州/神农架林区/十堰市/荆门市</t>
        </is>
      </c>
      <c r="D91" s="275" t="n">
        <v>1</v>
      </c>
      <c r="E91" s="276" t="n">
        <v>10</v>
      </c>
      <c r="F91" s="275" t="n">
        <v>50</v>
      </c>
      <c r="G91" s="276" t="n">
        <v>93</v>
      </c>
      <c r="H91" s="276" t="n">
        <v>1.7</v>
      </c>
      <c r="I91" s="276" t="n">
        <v>1.7</v>
      </c>
      <c r="J91" s="276" t="n">
        <v>1.5</v>
      </c>
      <c r="K91" s="276" t="n">
        <v>1.5</v>
      </c>
      <c r="L91" s="276" t="n">
        <v>1.4</v>
      </c>
      <c r="M91" s="276" t="n">
        <v>1.3</v>
      </c>
      <c r="N91" s="276" t="n">
        <v>1.2</v>
      </c>
      <c r="O91" s="276" t="n">
        <v>1.1</v>
      </c>
      <c r="P91" s="276" t="n">
        <v>0</v>
      </c>
      <c r="Q91" s="274" t="inlineStr">
        <is>
          <t>特惠普运|襄阳市/荆州市/宜昌市/恩施土家族苗族自治州/神农架林区/十堰市/荆门市</t>
        </is>
      </c>
    </row>
    <row r="92" ht="15" customHeight="1" s="144">
      <c r="A92" s="273" t="inlineStr">
        <is>
          <t>特惠普运</t>
        </is>
      </c>
      <c r="B92" s="274" t="inlineStr">
        <is>
          <t>湖南省</t>
        </is>
      </c>
      <c r="C92" s="274" t="inlineStr">
        <is>
          <t>株洲市/长沙市/湘潭市</t>
        </is>
      </c>
      <c r="D92" s="275" t="n">
        <v>1</v>
      </c>
      <c r="E92" s="276" t="n">
        <v>10</v>
      </c>
      <c r="F92" s="275" t="n">
        <v>50</v>
      </c>
      <c r="G92" s="276" t="n">
        <v>91</v>
      </c>
      <c r="H92" s="276" t="n">
        <v>1.65</v>
      </c>
      <c r="I92" s="276" t="n">
        <v>1.65</v>
      </c>
      <c r="J92" s="276" t="n">
        <v>1.45</v>
      </c>
      <c r="K92" s="276" t="n">
        <v>1.45</v>
      </c>
      <c r="L92" s="276" t="n">
        <v>1.35</v>
      </c>
      <c r="M92" s="276" t="n">
        <v>1.3</v>
      </c>
      <c r="N92" s="276" t="n">
        <v>1.2</v>
      </c>
      <c r="O92" s="276" t="n">
        <v>1.1</v>
      </c>
      <c r="P92" s="276" t="n">
        <v>0</v>
      </c>
      <c r="Q92" s="274" t="inlineStr">
        <is>
          <t>特惠普运|株洲市/长沙市/湘潭市</t>
        </is>
      </c>
    </row>
    <row r="93" ht="15" customHeight="1" s="144">
      <c r="A93" s="273" t="inlineStr">
        <is>
          <t>特惠普运</t>
        </is>
      </c>
      <c r="B93" s="274" t="inlineStr">
        <is>
          <t>河南省/湖北省</t>
        </is>
      </c>
      <c r="C93" s="274" t="inlineStr">
        <is>
          <t>信阳市/鄂州市/孝感市/黄冈市/黄石市/咸宁市/随州市/潜江市/仙桃市/天门市</t>
        </is>
      </c>
      <c r="D93" s="275" t="n">
        <v>1</v>
      </c>
      <c r="E93" s="276" t="n">
        <v>10</v>
      </c>
      <c r="F93" s="275" t="n">
        <v>50</v>
      </c>
      <c r="G93" s="276" t="n">
        <v>88</v>
      </c>
      <c r="H93" s="276" t="n">
        <v>1.6</v>
      </c>
      <c r="I93" s="276" t="n">
        <v>1.6</v>
      </c>
      <c r="J93" s="276" t="n">
        <v>1.45</v>
      </c>
      <c r="K93" s="276" t="n">
        <v>1.45</v>
      </c>
      <c r="L93" s="276" t="n">
        <v>1.35</v>
      </c>
      <c r="M93" s="276" t="n">
        <v>1.25</v>
      </c>
      <c r="N93" s="276" t="n">
        <v>1.15</v>
      </c>
      <c r="O93" s="276" t="n">
        <v>1.05</v>
      </c>
      <c r="P93" s="276" t="n">
        <v>0</v>
      </c>
      <c r="Q93" s="274" t="inlineStr">
        <is>
          <t>特惠普运|信阳市/鄂州市/孝感市/黄冈市/黄石市/咸宁市/随州市/潜江市/仙桃市/天门市</t>
        </is>
      </c>
    </row>
    <row r="94" ht="15" customHeight="1" s="144">
      <c r="A94" s="273" t="inlineStr">
        <is>
          <t>特惠普运</t>
        </is>
      </c>
      <c r="B94" s="274" t="inlineStr">
        <is>
          <t>重庆</t>
        </is>
      </c>
      <c r="C94" s="274" t="inlineStr">
        <is>
          <t>重庆市</t>
        </is>
      </c>
      <c r="D94" s="275" t="n">
        <v>1</v>
      </c>
      <c r="E94" s="276" t="n">
        <v>10</v>
      </c>
      <c r="F94" s="275" t="n">
        <v>50</v>
      </c>
      <c r="G94" s="276" t="n">
        <v>96</v>
      </c>
      <c r="H94" s="276" t="n">
        <v>1.75</v>
      </c>
      <c r="I94" s="276" t="n">
        <v>1.75</v>
      </c>
      <c r="J94" s="276" t="n">
        <v>1.65</v>
      </c>
      <c r="K94" s="276" t="n">
        <v>1.6</v>
      </c>
      <c r="L94" s="276" t="n">
        <v>1.5</v>
      </c>
      <c r="M94" s="276" t="n">
        <v>1.4</v>
      </c>
      <c r="N94" s="276" t="n">
        <v>1.35</v>
      </c>
      <c r="O94" s="276" t="n">
        <v>1.25</v>
      </c>
      <c r="P94" s="276" t="n">
        <v>0</v>
      </c>
      <c r="Q94" s="274" t="inlineStr">
        <is>
          <t>特惠普运|重庆市</t>
        </is>
      </c>
    </row>
    <row r="95" ht="15" customHeight="1" s="144">
      <c r="A95" s="273" t="inlineStr">
        <is>
          <t>特惠普运</t>
        </is>
      </c>
      <c r="B95" s="274" t="inlineStr">
        <is>
          <t>安徽省</t>
        </is>
      </c>
      <c r="C95" s="274" t="inlineStr">
        <is>
          <t>滁州市</t>
        </is>
      </c>
      <c r="D95" s="275" t="n">
        <v>1</v>
      </c>
      <c r="E95" s="276" t="n">
        <v>10</v>
      </c>
      <c r="F95" s="275" t="n">
        <v>50</v>
      </c>
      <c r="G95" s="276" t="n">
        <v>84</v>
      </c>
      <c r="H95" s="276" t="n">
        <v>1.5</v>
      </c>
      <c r="I95" s="276" t="n">
        <v>1.5</v>
      </c>
      <c r="J95" s="276" t="n">
        <v>1.35</v>
      </c>
      <c r="K95" s="276" t="n">
        <v>1.35</v>
      </c>
      <c r="L95" s="276" t="n">
        <v>1.25</v>
      </c>
      <c r="M95" s="276" t="n">
        <v>1.15</v>
      </c>
      <c r="N95" s="276" t="n">
        <v>1.05</v>
      </c>
      <c r="O95" s="276" t="n">
        <v>0.95</v>
      </c>
      <c r="P95" s="276" t="n">
        <v>0</v>
      </c>
      <c r="Q95" s="274" t="inlineStr">
        <is>
          <t>特惠普运|滁州市</t>
        </is>
      </c>
    </row>
    <row r="96" ht="15" customHeight="1" s="144">
      <c r="A96" s="273" t="inlineStr">
        <is>
          <t>特惠普运</t>
        </is>
      </c>
      <c r="B96" s="274" t="inlineStr">
        <is>
          <t>四川省</t>
        </is>
      </c>
      <c r="C96" s="274" t="inlineStr">
        <is>
          <t>绵阳市/乐山市/雅安市/德阳市/广元市</t>
        </is>
      </c>
      <c r="D96" s="275" t="n">
        <v>1</v>
      </c>
      <c r="E96" s="276" t="n">
        <v>10</v>
      </c>
      <c r="F96" s="275" t="n">
        <v>50</v>
      </c>
      <c r="G96" s="276" t="n">
        <v>101</v>
      </c>
      <c r="H96" s="276" t="n">
        <v>1.85</v>
      </c>
      <c r="I96" s="276" t="n">
        <v>1.85</v>
      </c>
      <c r="J96" s="276" t="n">
        <v>1.75</v>
      </c>
      <c r="K96" s="276" t="n">
        <v>1.7</v>
      </c>
      <c r="L96" s="276" t="n">
        <v>1.65</v>
      </c>
      <c r="M96" s="276" t="n">
        <v>1.55</v>
      </c>
      <c r="N96" s="276" t="n">
        <v>1.45</v>
      </c>
      <c r="O96" s="276" t="n">
        <v>1.35</v>
      </c>
      <c r="P96" s="276" t="n">
        <v>0</v>
      </c>
      <c r="Q96" s="274" t="inlineStr">
        <is>
          <t>特惠普运|绵阳市/乐山市/雅安市/德阳市/广元市</t>
        </is>
      </c>
    </row>
    <row r="97" ht="15" customHeight="1" s="144">
      <c r="A97" s="273" t="inlineStr">
        <is>
          <t>特惠普运</t>
        </is>
      </c>
      <c r="B97" s="274" t="n"/>
      <c r="C97" s="274" t="inlineStr">
        <is>
          <t>自贡市/南充市/达州市/遂宁市/广安市/巴中市/泸州市/宜宾市/内江市</t>
        </is>
      </c>
      <c r="D97" s="275" t="n">
        <v>1</v>
      </c>
      <c r="E97" s="276" t="n">
        <v>10</v>
      </c>
      <c r="F97" s="275" t="n">
        <v>50</v>
      </c>
      <c r="G97" s="276" t="n">
        <v>101</v>
      </c>
      <c r="H97" s="276" t="n">
        <v>1.85</v>
      </c>
      <c r="I97" s="276" t="n">
        <v>1.85</v>
      </c>
      <c r="J97" s="276" t="n">
        <v>1.75</v>
      </c>
      <c r="K97" s="276" t="n">
        <v>1.7</v>
      </c>
      <c r="L97" s="276" t="n">
        <v>1.6</v>
      </c>
      <c r="M97" s="276" t="n">
        <v>1.5</v>
      </c>
      <c r="N97" s="276" t="n">
        <v>1.45</v>
      </c>
      <c r="O97" s="276" t="n">
        <v>1.35</v>
      </c>
      <c r="P97" s="276" t="n">
        <v>0</v>
      </c>
      <c r="Q97" s="274" t="inlineStr">
        <is>
          <t>特惠普运|自贡市/南充市/达州市/遂宁市/广安市/巴中市/泸州市/宜宾市/内江市</t>
        </is>
      </c>
    </row>
    <row r="98" ht="15" customHeight="1" s="144">
      <c r="A98" s="273" t="inlineStr">
        <is>
          <t>特惠普运</t>
        </is>
      </c>
      <c r="B98" s="274" t="n"/>
      <c r="C98" s="274" t="inlineStr">
        <is>
          <t>成都市/资阳市/眉山市</t>
        </is>
      </c>
      <c r="D98" s="275" t="n">
        <v>1</v>
      </c>
      <c r="E98" s="276" t="n">
        <v>10</v>
      </c>
      <c r="F98" s="275" t="n">
        <v>50</v>
      </c>
      <c r="G98" s="276" t="n">
        <v>96</v>
      </c>
      <c r="H98" s="276" t="n">
        <v>1.75</v>
      </c>
      <c r="I98" s="276" t="n">
        <v>1.75</v>
      </c>
      <c r="J98" s="276" t="n">
        <v>1.65</v>
      </c>
      <c r="K98" s="276" t="n">
        <v>1.6</v>
      </c>
      <c r="L98" s="276" t="n">
        <v>1.55</v>
      </c>
      <c r="M98" s="276" t="n">
        <v>1.45</v>
      </c>
      <c r="N98" s="276" t="n">
        <v>1.4</v>
      </c>
      <c r="O98" s="276" t="n">
        <v>1.3</v>
      </c>
      <c r="P98" s="276" t="n">
        <v>0</v>
      </c>
      <c r="Q98" s="274" t="inlineStr">
        <is>
          <t>特惠普运|成都市/资阳市/眉山市</t>
        </is>
      </c>
    </row>
    <row r="99" ht="15" customHeight="1" s="144">
      <c r="A99" s="273" t="inlineStr">
        <is>
          <t>特惠普运</t>
        </is>
      </c>
      <c r="B99" s="274" t="inlineStr">
        <is>
          <t>陕西省</t>
        </is>
      </c>
      <c r="C99" s="274" t="inlineStr">
        <is>
          <t>西安市/咸阳市</t>
        </is>
      </c>
      <c r="D99" s="275" t="n">
        <v>1</v>
      </c>
      <c r="E99" s="276" t="n">
        <v>10</v>
      </c>
      <c r="F99" s="275" t="n">
        <v>50</v>
      </c>
      <c r="G99" s="276" t="n">
        <v>86</v>
      </c>
      <c r="H99" s="276" t="n">
        <v>1.55</v>
      </c>
      <c r="I99" s="276" t="n">
        <v>1.55</v>
      </c>
      <c r="J99" s="276" t="n">
        <v>1.45</v>
      </c>
      <c r="K99" s="276" t="n">
        <v>1.45</v>
      </c>
      <c r="L99" s="276" t="n">
        <v>1.35</v>
      </c>
      <c r="M99" s="276" t="n">
        <v>1.3</v>
      </c>
      <c r="N99" s="276" t="n">
        <v>1.2</v>
      </c>
      <c r="O99" s="276" t="n">
        <v>1.1</v>
      </c>
      <c r="P99" s="276" t="n">
        <v>0</v>
      </c>
      <c r="Q99" s="274" t="inlineStr">
        <is>
          <t>特惠普运|西安市/咸阳市</t>
        </is>
      </c>
    </row>
    <row r="100" ht="15" customHeight="1" s="144">
      <c r="A100" s="273" t="inlineStr">
        <is>
          <t>特惠普运</t>
        </is>
      </c>
      <c r="B100" s="274" t="inlineStr">
        <is>
          <t>江苏省</t>
        </is>
      </c>
      <c r="C100" s="274" t="inlineStr">
        <is>
          <t>盐城市</t>
        </is>
      </c>
      <c r="D100" s="275" t="n">
        <v>1</v>
      </c>
      <c r="E100" s="276" t="n">
        <v>10</v>
      </c>
      <c r="F100" s="275" t="n">
        <v>50</v>
      </c>
      <c r="G100" s="276" t="n">
        <v>79</v>
      </c>
      <c r="H100" s="276" t="n">
        <v>1.4</v>
      </c>
      <c r="I100" s="276" t="n">
        <v>1.4</v>
      </c>
      <c r="J100" s="276" t="n">
        <v>1.3</v>
      </c>
      <c r="K100" s="276" t="n">
        <v>1.3</v>
      </c>
      <c r="L100" s="276" t="n">
        <v>1.2</v>
      </c>
      <c r="M100" s="276" t="n">
        <v>1.1</v>
      </c>
      <c r="N100" s="276" t="n">
        <v>1</v>
      </c>
      <c r="O100" s="276" t="n">
        <v>0.9</v>
      </c>
      <c r="P100" s="276" t="n">
        <v>0</v>
      </c>
      <c r="Q100" s="274" t="inlineStr">
        <is>
          <t>特惠普运|盐城市</t>
        </is>
      </c>
    </row>
    <row r="101" ht="15" customHeight="1" s="144">
      <c r="A101" s="273" t="inlineStr">
        <is>
          <t>特惠普运</t>
        </is>
      </c>
      <c r="B101" s="274" t="n"/>
      <c r="C101" s="274" t="inlineStr">
        <is>
          <t>无锡市</t>
        </is>
      </c>
      <c r="D101" s="275" t="n">
        <v>1</v>
      </c>
      <c r="E101" s="276" t="n">
        <v>10</v>
      </c>
      <c r="F101" s="275" t="n">
        <v>50</v>
      </c>
      <c r="G101" s="276" t="n">
        <v>86</v>
      </c>
      <c r="H101" s="276" t="n">
        <v>1.55</v>
      </c>
      <c r="I101" s="276" t="n">
        <v>1.55</v>
      </c>
      <c r="J101" s="276" t="n">
        <v>1.35</v>
      </c>
      <c r="K101" s="276" t="n">
        <v>1.35</v>
      </c>
      <c r="L101" s="276" t="n">
        <v>1.25</v>
      </c>
      <c r="M101" s="276" t="n">
        <v>1.15</v>
      </c>
      <c r="N101" s="276" t="n">
        <v>1.05</v>
      </c>
      <c r="O101" s="276" t="n">
        <v>0.95</v>
      </c>
      <c r="P101" s="276" t="n">
        <v>0</v>
      </c>
      <c r="Q101" s="274" t="inlineStr">
        <is>
          <t>特惠普运|无锡市</t>
        </is>
      </c>
    </row>
    <row r="102" ht="15" customHeight="1" s="144">
      <c r="A102" s="273" t="inlineStr">
        <is>
          <t>特惠普运</t>
        </is>
      </c>
      <c r="B102" s="274" t="n"/>
      <c r="C102" s="274" t="inlineStr">
        <is>
          <t>南京市</t>
        </is>
      </c>
      <c r="D102" s="275" t="n">
        <v>1</v>
      </c>
      <c r="E102" s="276" t="n">
        <v>10</v>
      </c>
      <c r="F102" s="275" t="n">
        <v>50</v>
      </c>
      <c r="G102" s="276" t="n">
        <v>79</v>
      </c>
      <c r="H102" s="276" t="n">
        <v>1.4</v>
      </c>
      <c r="I102" s="276" t="n">
        <v>1.4</v>
      </c>
      <c r="J102" s="276" t="n">
        <v>1.3</v>
      </c>
      <c r="K102" s="276" t="n">
        <v>1.3</v>
      </c>
      <c r="L102" s="276" t="n">
        <v>1.2</v>
      </c>
      <c r="M102" s="276" t="n">
        <v>1.1</v>
      </c>
      <c r="N102" s="276" t="n">
        <v>1</v>
      </c>
      <c r="O102" s="276" t="n">
        <v>0.9</v>
      </c>
      <c r="P102" s="276" t="n">
        <v>0</v>
      </c>
      <c r="Q102" s="274" t="inlineStr">
        <is>
          <t>特惠普运|南京市</t>
        </is>
      </c>
    </row>
    <row r="103" ht="15" customHeight="1" s="144">
      <c r="A103" s="273" t="inlineStr">
        <is>
          <t>特惠普运</t>
        </is>
      </c>
      <c r="B103" s="274" t="n"/>
      <c r="C103" s="274" t="inlineStr">
        <is>
          <t>淮安市</t>
        </is>
      </c>
      <c r="D103" s="275" t="n">
        <v>1</v>
      </c>
      <c r="E103" s="276" t="n">
        <v>10</v>
      </c>
      <c r="F103" s="275" t="n">
        <v>50</v>
      </c>
      <c r="G103" s="276" t="n">
        <v>74</v>
      </c>
      <c r="H103" s="276" t="n">
        <v>1.3</v>
      </c>
      <c r="I103" s="276" t="n">
        <v>1.3</v>
      </c>
      <c r="J103" s="276" t="n">
        <v>1.2</v>
      </c>
      <c r="K103" s="276" t="n">
        <v>1.2</v>
      </c>
      <c r="L103" s="276" t="n">
        <v>1.1</v>
      </c>
      <c r="M103" s="276" t="n">
        <v>1</v>
      </c>
      <c r="N103" s="276" t="n">
        <v>0.9</v>
      </c>
      <c r="O103" s="276" t="n">
        <v>0.9</v>
      </c>
      <c r="P103" s="276" t="n">
        <v>0</v>
      </c>
      <c r="Q103" s="274" t="inlineStr">
        <is>
          <t>特惠普运|淮安市</t>
        </is>
      </c>
    </row>
    <row r="104" ht="15" customHeight="1" s="144">
      <c r="A104" s="273" t="inlineStr">
        <is>
          <t>特惠普运</t>
        </is>
      </c>
      <c r="B104" s="274" t="n"/>
      <c r="C104" s="274" t="inlineStr">
        <is>
          <t>徐州市/连云港市/宿迁市</t>
        </is>
      </c>
      <c r="D104" s="275" t="n">
        <v>1</v>
      </c>
      <c r="E104" s="276" t="n">
        <v>10</v>
      </c>
      <c r="F104" s="275" t="n">
        <v>50</v>
      </c>
      <c r="G104" s="276" t="n">
        <v>84</v>
      </c>
      <c r="H104" s="276" t="n">
        <v>1.5</v>
      </c>
      <c r="I104" s="276" t="n">
        <v>1.5</v>
      </c>
      <c r="J104" s="276" t="n">
        <v>1.3</v>
      </c>
      <c r="K104" s="276" t="n">
        <v>1.3</v>
      </c>
      <c r="L104" s="276" t="n">
        <v>1.2</v>
      </c>
      <c r="M104" s="276" t="n">
        <v>1.15</v>
      </c>
      <c r="N104" s="276" t="n">
        <v>1.05</v>
      </c>
      <c r="O104" s="276" t="n">
        <v>0.95</v>
      </c>
      <c r="P104" s="276" t="n">
        <v>0</v>
      </c>
      <c r="Q104" s="274" t="inlineStr">
        <is>
          <t>特惠普运|徐州市/连云港市/宿迁市</t>
        </is>
      </c>
    </row>
    <row r="105" ht="15" customHeight="1" s="144">
      <c r="A105" s="273" t="inlineStr">
        <is>
          <t>特惠普运</t>
        </is>
      </c>
      <c r="B105" s="274" t="n"/>
      <c r="C105" s="274" t="inlineStr">
        <is>
          <t>南通市</t>
        </is>
      </c>
      <c r="D105" s="275" t="n">
        <v>1</v>
      </c>
      <c r="E105" s="276" t="n">
        <v>10</v>
      </c>
      <c r="F105" s="275" t="n">
        <v>50</v>
      </c>
      <c r="G105" s="276" t="n">
        <v>79</v>
      </c>
      <c r="H105" s="276" t="n">
        <v>1.4</v>
      </c>
      <c r="I105" s="276" t="n">
        <v>1.4</v>
      </c>
      <c r="J105" s="276" t="n">
        <v>1.3</v>
      </c>
      <c r="K105" s="276" t="n">
        <v>1.3</v>
      </c>
      <c r="L105" s="276" t="n">
        <v>1.2</v>
      </c>
      <c r="M105" s="276" t="n">
        <v>1.1</v>
      </c>
      <c r="N105" s="276" t="n">
        <v>1</v>
      </c>
      <c r="O105" s="276" t="n">
        <v>0.9</v>
      </c>
      <c r="P105" s="276" t="n">
        <v>0</v>
      </c>
      <c r="Q105" s="274" t="inlineStr">
        <is>
          <t>特惠普运|南通市</t>
        </is>
      </c>
    </row>
    <row r="106" ht="15" customHeight="1" s="144">
      <c r="A106" s="273" t="inlineStr">
        <is>
          <t>特惠普运</t>
        </is>
      </c>
      <c r="B106" s="274" t="inlineStr">
        <is>
          <t>辽宁省</t>
        </is>
      </c>
      <c r="C106" s="274" t="inlineStr">
        <is>
          <t>抚顺市/本溪市/铁岭市</t>
        </is>
      </c>
      <c r="D106" s="275" t="n">
        <v>1</v>
      </c>
      <c r="E106" s="276" t="n">
        <v>10</v>
      </c>
      <c r="F106" s="275" t="n">
        <v>50</v>
      </c>
      <c r="G106" s="276" t="n">
        <v>98</v>
      </c>
      <c r="H106" s="276" t="n">
        <v>1.8</v>
      </c>
      <c r="I106" s="276" t="n">
        <v>1.8</v>
      </c>
      <c r="J106" s="276" t="n">
        <v>1.7</v>
      </c>
      <c r="K106" s="276" t="n">
        <v>1.7</v>
      </c>
      <c r="L106" s="276" t="n">
        <v>1.6</v>
      </c>
      <c r="M106" s="276" t="n">
        <v>1.5</v>
      </c>
      <c r="N106" s="276" t="n">
        <v>1.4</v>
      </c>
      <c r="O106" s="276" t="n">
        <v>1.3</v>
      </c>
      <c r="P106" s="276" t="n">
        <v>0</v>
      </c>
      <c r="Q106" s="274" t="inlineStr">
        <is>
          <t>特惠普运|抚顺市/本溪市/铁岭市</t>
        </is>
      </c>
    </row>
    <row r="107" ht="15" customHeight="1" s="144">
      <c r="A107" s="273" t="inlineStr">
        <is>
          <t>特惠普运</t>
        </is>
      </c>
      <c r="B107" s="274" t="n"/>
      <c r="C107" s="274" t="inlineStr">
        <is>
          <t>沈阳市</t>
        </is>
      </c>
      <c r="D107" s="275" t="n">
        <v>1</v>
      </c>
      <c r="E107" s="276" t="n">
        <v>10</v>
      </c>
      <c r="F107" s="275" t="n">
        <v>50</v>
      </c>
      <c r="G107" s="276" t="n">
        <v>93</v>
      </c>
      <c r="H107" s="276" t="n">
        <v>1.7</v>
      </c>
      <c r="I107" s="276" t="n">
        <v>1.7</v>
      </c>
      <c r="J107" s="276" t="n">
        <v>1.55</v>
      </c>
      <c r="K107" s="276" t="n">
        <v>1.55</v>
      </c>
      <c r="L107" s="276" t="n">
        <v>1.45</v>
      </c>
      <c r="M107" s="276" t="n">
        <v>1.35</v>
      </c>
      <c r="N107" s="276" t="n">
        <v>1.25</v>
      </c>
      <c r="O107" s="276" t="n">
        <v>1.15</v>
      </c>
      <c r="P107" s="276" t="n">
        <v>0</v>
      </c>
      <c r="Q107" s="274" t="inlineStr">
        <is>
          <t>特惠普运|沈阳市</t>
        </is>
      </c>
    </row>
    <row r="108" ht="15" customHeight="1" s="144">
      <c r="A108" s="273" t="inlineStr">
        <is>
          <t>特惠普运</t>
        </is>
      </c>
      <c r="B108" s="274" t="n"/>
      <c r="C108" s="274" t="inlineStr">
        <is>
          <t>鞍山市/丹东市/营口市/辽阳市/朝阳市/盘锦市</t>
        </is>
      </c>
      <c r="D108" s="275" t="n">
        <v>1</v>
      </c>
      <c r="E108" s="276" t="n">
        <v>10</v>
      </c>
      <c r="F108" s="275" t="n">
        <v>50</v>
      </c>
      <c r="G108" s="276" t="n">
        <v>98</v>
      </c>
      <c r="H108" s="276" t="n">
        <v>1.8</v>
      </c>
      <c r="I108" s="276" t="n">
        <v>1.8</v>
      </c>
      <c r="J108" s="276" t="n">
        <v>1.6</v>
      </c>
      <c r="K108" s="276" t="n">
        <v>1.6</v>
      </c>
      <c r="L108" s="276" t="n">
        <v>1.55</v>
      </c>
      <c r="M108" s="276" t="n">
        <v>1.45</v>
      </c>
      <c r="N108" s="276" t="n">
        <v>1.35</v>
      </c>
      <c r="O108" s="276" t="n">
        <v>1.25</v>
      </c>
      <c r="P108" s="276" t="n">
        <v>0</v>
      </c>
      <c r="Q108" s="274" t="inlineStr">
        <is>
          <t>特惠普运|鞍山市/丹东市/营口市/辽阳市/朝阳市/盘锦市</t>
        </is>
      </c>
    </row>
    <row r="109" ht="15" customHeight="1" s="144">
      <c r="A109" s="273" t="inlineStr">
        <is>
          <t>特惠普运</t>
        </is>
      </c>
      <c r="B109" s="274" t="n"/>
      <c r="C109" s="274" t="inlineStr">
        <is>
          <t>大连市</t>
        </is>
      </c>
      <c r="D109" s="275" t="n">
        <v>1</v>
      </c>
      <c r="E109" s="276" t="n">
        <v>10</v>
      </c>
      <c r="F109" s="275" t="n">
        <v>50</v>
      </c>
      <c r="G109" s="276" t="n">
        <v>98</v>
      </c>
      <c r="H109" s="276" t="n">
        <v>1.8</v>
      </c>
      <c r="I109" s="276" t="n">
        <v>1.8</v>
      </c>
      <c r="J109" s="276" t="n">
        <v>1.7</v>
      </c>
      <c r="K109" s="276" t="n">
        <v>1.7</v>
      </c>
      <c r="L109" s="276" t="n">
        <v>1.6</v>
      </c>
      <c r="M109" s="276" t="n">
        <v>1.5</v>
      </c>
      <c r="N109" s="276" t="n">
        <v>1.4</v>
      </c>
      <c r="O109" s="276" t="n">
        <v>1.3</v>
      </c>
      <c r="P109" s="276" t="n">
        <v>0</v>
      </c>
      <c r="Q109" s="274" t="inlineStr">
        <is>
          <t>特惠普运|大连市</t>
        </is>
      </c>
    </row>
    <row r="110" ht="15" customHeight="1" s="144">
      <c r="A110" s="273" t="inlineStr">
        <is>
          <t>特惠普运</t>
        </is>
      </c>
      <c r="B110" s="274" t="inlineStr">
        <is>
          <t>山西省/甘肃省/陕西省</t>
        </is>
      </c>
      <c r="C110" s="274" t="inlineStr">
        <is>
          <t>运城市/延安市/渭南市/商洛市/安康市/汉中市/宝鸡市/铜川市/天水市</t>
        </is>
      </c>
      <c r="D110" s="275" t="n">
        <v>1</v>
      </c>
      <c r="E110" s="276" t="n">
        <v>10</v>
      </c>
      <c r="F110" s="275" t="n">
        <v>50</v>
      </c>
      <c r="G110" s="276" t="n">
        <v>93</v>
      </c>
      <c r="H110" s="276" t="n">
        <v>1.7</v>
      </c>
      <c r="I110" s="276" t="n">
        <v>1.7</v>
      </c>
      <c r="J110" s="276" t="n">
        <v>1.6</v>
      </c>
      <c r="K110" s="276" t="n">
        <v>1.6</v>
      </c>
      <c r="L110" s="276" t="n">
        <v>1.5</v>
      </c>
      <c r="M110" s="276" t="n">
        <v>1.4</v>
      </c>
      <c r="N110" s="276" t="n">
        <v>1.35</v>
      </c>
      <c r="O110" s="276" t="n">
        <v>1.3</v>
      </c>
      <c r="P110" s="276" t="n">
        <v>0</v>
      </c>
      <c r="Q110" s="274" t="inlineStr">
        <is>
          <t>特惠普运|运城市/延安市/渭南市/商洛市/安康市/汉中市/宝鸡市/铜川市/天水市</t>
        </is>
      </c>
    </row>
    <row r="111" ht="15" customHeight="1" s="144">
      <c r="A111" s="273" t="inlineStr">
        <is>
          <t>特惠普运</t>
        </is>
      </c>
      <c r="B111" s="274" t="inlineStr">
        <is>
          <t>吉林省</t>
        </is>
      </c>
      <c r="C111" s="274" t="inlineStr">
        <is>
          <t>长春市</t>
        </is>
      </c>
      <c r="D111" s="275" t="n">
        <v>1</v>
      </c>
      <c r="E111" s="276" t="n">
        <v>10</v>
      </c>
      <c r="F111" s="275" t="n">
        <v>50</v>
      </c>
      <c r="G111" s="276" t="n">
        <v>98</v>
      </c>
      <c r="H111" s="276" t="n">
        <v>1.8</v>
      </c>
      <c r="I111" s="276" t="n">
        <v>1.8</v>
      </c>
      <c r="J111" s="276" t="n">
        <v>1.7</v>
      </c>
      <c r="K111" s="276" t="n">
        <v>1.7</v>
      </c>
      <c r="L111" s="276" t="n">
        <v>1.6</v>
      </c>
      <c r="M111" s="276" t="n">
        <v>1.5</v>
      </c>
      <c r="N111" s="276" t="n">
        <v>1.4</v>
      </c>
      <c r="O111" s="276" t="n">
        <v>1.3</v>
      </c>
      <c r="P111" s="276" t="n">
        <v>0</v>
      </c>
      <c r="Q111" s="274" t="inlineStr">
        <is>
          <t>特惠普运|长春市</t>
        </is>
      </c>
    </row>
    <row r="112" ht="15" customHeight="1" s="144">
      <c r="A112" s="273" t="inlineStr">
        <is>
          <t>特惠普运</t>
        </is>
      </c>
      <c r="B112" s="274" t="n"/>
      <c r="C112" s="274" t="inlineStr">
        <is>
          <t>吉林市/延边朝鲜族自治州/四平市/通化市/白城市/辽源市/松原市/白山市</t>
        </is>
      </c>
      <c r="D112" s="275" t="n">
        <v>1</v>
      </c>
      <c r="E112" s="276" t="n">
        <v>10</v>
      </c>
      <c r="F112" s="275" t="n">
        <v>50</v>
      </c>
      <c r="G112" s="276" t="n">
        <v>118</v>
      </c>
      <c r="H112" s="276" t="n">
        <v>2.2</v>
      </c>
      <c r="I112" s="276" t="n">
        <v>2.2</v>
      </c>
      <c r="J112" s="276" t="n">
        <v>2.1</v>
      </c>
      <c r="K112" s="276" t="n">
        <v>2.1</v>
      </c>
      <c r="L112" s="276" t="n">
        <v>2</v>
      </c>
      <c r="M112" s="276" t="n">
        <v>1.9</v>
      </c>
      <c r="N112" s="276" t="n">
        <v>1.8</v>
      </c>
      <c r="O112" s="276" t="n">
        <v>1.7</v>
      </c>
      <c r="P112" s="276" t="n">
        <v>0</v>
      </c>
      <c r="Q112" s="274" t="inlineStr">
        <is>
          <t>特惠普运|吉林市/延边朝鲜族自治州/四平市/通化市/白城市/辽源市/松原市/白山市</t>
        </is>
      </c>
    </row>
    <row r="113" ht="15" customHeight="1" s="144">
      <c r="A113" s="273" t="inlineStr">
        <is>
          <t>特惠普运</t>
        </is>
      </c>
      <c r="B113" s="274" t="inlineStr">
        <is>
          <t>黑龙江省</t>
        </is>
      </c>
      <c r="C113" s="274" t="inlineStr">
        <is>
          <t>哈尔滨市</t>
        </is>
      </c>
      <c r="D113" s="275" t="n">
        <v>1</v>
      </c>
      <c r="E113" s="276" t="n">
        <v>10</v>
      </c>
      <c r="F113" s="275" t="n">
        <v>50</v>
      </c>
      <c r="G113" s="276" t="n">
        <v>103</v>
      </c>
      <c r="H113" s="276" t="n">
        <v>1.9</v>
      </c>
      <c r="I113" s="276" t="n">
        <v>1.9</v>
      </c>
      <c r="J113" s="276" t="n">
        <v>1.8</v>
      </c>
      <c r="K113" s="276" t="n">
        <v>1.8</v>
      </c>
      <c r="L113" s="276" t="n">
        <v>1.7</v>
      </c>
      <c r="M113" s="276" t="n">
        <v>1.6</v>
      </c>
      <c r="N113" s="276" t="n">
        <v>1.5</v>
      </c>
      <c r="O113" s="276" t="n">
        <v>1.4</v>
      </c>
      <c r="P113" s="276" t="n">
        <v>0</v>
      </c>
      <c r="Q113" s="274" t="inlineStr">
        <is>
          <t>特惠普运|哈尔滨市</t>
        </is>
      </c>
    </row>
    <row r="114" ht="15" customHeight="1" s="144">
      <c r="A114" s="273" t="inlineStr">
        <is>
          <t>特惠普运</t>
        </is>
      </c>
      <c r="B114" s="274" t="n"/>
      <c r="C114" s="274" t="inlineStr">
        <is>
          <t>齐齐哈尔市/牡丹江市/佳木斯市/绥化市/鸡西市</t>
        </is>
      </c>
      <c r="D114" s="275" t="n">
        <v>1</v>
      </c>
      <c r="E114" s="276" t="n">
        <v>10</v>
      </c>
      <c r="F114" s="275" t="n">
        <v>50</v>
      </c>
      <c r="G114" s="276" t="n">
        <v>123</v>
      </c>
      <c r="H114" s="276" t="n">
        <v>2.3</v>
      </c>
      <c r="I114" s="276" t="n">
        <v>2.3</v>
      </c>
      <c r="J114" s="276" t="n">
        <v>2.1</v>
      </c>
      <c r="K114" s="276" t="n">
        <v>2.1</v>
      </c>
      <c r="L114" s="276" t="n">
        <v>2</v>
      </c>
      <c r="M114" s="276" t="n">
        <v>1.95</v>
      </c>
      <c r="N114" s="276" t="n">
        <v>1.85</v>
      </c>
      <c r="O114" s="276" t="n">
        <v>1.75</v>
      </c>
      <c r="P114" s="276" t="n">
        <v>0</v>
      </c>
      <c r="Q114" s="274" t="inlineStr">
        <is>
          <t>特惠普运|齐齐哈尔市/牡丹江市/佳木斯市/绥化市/鸡西市</t>
        </is>
      </c>
    </row>
    <row r="115" ht="15" customHeight="1" s="144">
      <c r="A115" s="273" t="inlineStr">
        <is>
          <t>特惠普运</t>
        </is>
      </c>
      <c r="B115" s="274" t="inlineStr">
        <is>
          <t>山西省/陕西省</t>
        </is>
      </c>
      <c r="C115" s="274" t="inlineStr">
        <is>
          <t>朔州市/忻州市/大同市/长治市/晋城市/吕梁市/榆林市</t>
        </is>
      </c>
      <c r="D115" s="275" t="n">
        <v>1</v>
      </c>
      <c r="E115" s="276" t="n">
        <v>10</v>
      </c>
      <c r="F115" s="275" t="n">
        <v>50</v>
      </c>
      <c r="G115" s="276" t="n">
        <v>93</v>
      </c>
      <c r="H115" s="276" t="n">
        <v>1.7</v>
      </c>
      <c r="I115" s="276" t="n">
        <v>1.7</v>
      </c>
      <c r="J115" s="276" t="n">
        <v>1.5</v>
      </c>
      <c r="K115" s="276" t="n">
        <v>1.5</v>
      </c>
      <c r="L115" s="276" t="n">
        <v>1.4</v>
      </c>
      <c r="M115" s="276" t="n">
        <v>1.3</v>
      </c>
      <c r="N115" s="276" t="n">
        <v>1.2</v>
      </c>
      <c r="O115" s="276" t="n">
        <v>1.1</v>
      </c>
      <c r="P115" s="276" t="n">
        <v>0</v>
      </c>
      <c r="Q115" s="274" t="inlineStr">
        <is>
          <t>特惠普运|朔州市/忻州市/大同市/长治市/晋城市/吕梁市/榆林市</t>
        </is>
      </c>
    </row>
    <row r="116" ht="15" customHeight="1" s="144">
      <c r="A116" s="273" t="inlineStr">
        <is>
          <t>特惠普运</t>
        </is>
      </c>
      <c r="B116" s="274" t="inlineStr">
        <is>
          <t>河北省</t>
        </is>
      </c>
      <c r="C116" s="274" t="inlineStr">
        <is>
          <t>石家庄市</t>
        </is>
      </c>
      <c r="D116" s="275" t="n">
        <v>1</v>
      </c>
      <c r="E116" s="276" t="n">
        <v>10</v>
      </c>
      <c r="F116" s="275" t="n">
        <v>50</v>
      </c>
      <c r="G116" s="276" t="n">
        <v>84</v>
      </c>
      <c r="H116" s="276" t="n">
        <v>1.5</v>
      </c>
      <c r="I116" s="276" t="n">
        <v>1.5</v>
      </c>
      <c r="J116" s="276" t="n">
        <v>1.3</v>
      </c>
      <c r="K116" s="276" t="n">
        <v>1.3</v>
      </c>
      <c r="L116" s="276" t="n">
        <v>1.2</v>
      </c>
      <c r="M116" s="276" t="n">
        <v>1.1</v>
      </c>
      <c r="N116" s="276" t="n">
        <v>1</v>
      </c>
      <c r="O116" s="276" t="n">
        <v>0.9</v>
      </c>
      <c r="P116" s="276" t="n">
        <v>0</v>
      </c>
      <c r="Q116" s="274" t="inlineStr">
        <is>
          <t>特惠普运|石家庄市</t>
        </is>
      </c>
    </row>
    <row r="117" ht="15" customHeight="1" s="144">
      <c r="A117" s="273" t="inlineStr">
        <is>
          <t>特惠普运</t>
        </is>
      </c>
      <c r="B117" s="274" t="inlineStr">
        <is>
          <t>北京</t>
        </is>
      </c>
      <c r="C117" s="274" t="inlineStr">
        <is>
          <t>北京市</t>
        </is>
      </c>
      <c r="D117" s="275" t="n">
        <v>1</v>
      </c>
      <c r="E117" s="276" t="n">
        <v>10</v>
      </c>
      <c r="F117" s="275" t="n">
        <v>50</v>
      </c>
      <c r="G117" s="276" t="n">
        <v>79</v>
      </c>
      <c r="H117" s="276" t="n">
        <v>1.4</v>
      </c>
      <c r="I117" s="276" t="n">
        <v>1.4</v>
      </c>
      <c r="J117" s="276" t="n">
        <v>1.3</v>
      </c>
      <c r="K117" s="276" t="n">
        <v>1.3</v>
      </c>
      <c r="L117" s="276" t="n">
        <v>1.2</v>
      </c>
      <c r="M117" s="276" t="n">
        <v>1.1</v>
      </c>
      <c r="N117" s="276" t="n">
        <v>1</v>
      </c>
      <c r="O117" s="276" t="n">
        <v>0.9</v>
      </c>
      <c r="P117" s="276" t="n">
        <v>0</v>
      </c>
      <c r="Q117" s="274" t="inlineStr">
        <is>
          <t>特惠普运|北京市</t>
        </is>
      </c>
    </row>
    <row r="118" ht="15" customHeight="1" s="144">
      <c r="A118" s="273" t="inlineStr">
        <is>
          <t>特惠普运</t>
        </is>
      </c>
      <c r="B118" s="274" t="inlineStr">
        <is>
          <t>江西省/湖南省</t>
        </is>
      </c>
      <c r="C118" s="274" t="inlineStr">
        <is>
          <t>岳阳市/衡阳市/常德市/益阳市/娄底市/邵阳市/宜春市/萍乡市</t>
        </is>
      </c>
      <c r="D118" s="275" t="n">
        <v>1</v>
      </c>
      <c r="E118" s="276" t="n">
        <v>10</v>
      </c>
      <c r="F118" s="275" t="n">
        <v>50</v>
      </c>
      <c r="G118" s="276" t="n">
        <v>98</v>
      </c>
      <c r="H118" s="276" t="n">
        <v>1.8</v>
      </c>
      <c r="I118" s="276" t="n">
        <v>1.8</v>
      </c>
      <c r="J118" s="276" t="n">
        <v>1.6</v>
      </c>
      <c r="K118" s="276" t="n">
        <v>1.6</v>
      </c>
      <c r="L118" s="276" t="n">
        <v>1.5</v>
      </c>
      <c r="M118" s="276" t="n">
        <v>1.4</v>
      </c>
      <c r="N118" s="276" t="n">
        <v>1.3</v>
      </c>
      <c r="O118" s="276" t="n">
        <v>1.2</v>
      </c>
      <c r="P118" s="276" t="n">
        <v>0</v>
      </c>
      <c r="Q118" s="274" t="inlineStr">
        <is>
          <t>特惠普运|岳阳市/衡阳市/常德市/益阳市/娄底市/邵阳市/宜春市/萍乡市</t>
        </is>
      </c>
    </row>
    <row r="119" ht="15" customHeight="1" s="144">
      <c r="A119" s="273" t="inlineStr">
        <is>
          <t>特惠普运</t>
        </is>
      </c>
      <c r="B119" s="274" t="inlineStr">
        <is>
          <t>山西省</t>
        </is>
      </c>
      <c r="C119" s="274" t="inlineStr">
        <is>
          <t>太原市/晋中市</t>
        </is>
      </c>
      <c r="D119" s="275" t="n">
        <v>1</v>
      </c>
      <c r="E119" s="276" t="n">
        <v>10</v>
      </c>
      <c r="F119" s="275" t="n">
        <v>50</v>
      </c>
      <c r="G119" s="276" t="n">
        <v>84</v>
      </c>
      <c r="H119" s="276" t="n">
        <v>1.5</v>
      </c>
      <c r="I119" s="276" t="n">
        <v>1.5</v>
      </c>
      <c r="J119" s="276" t="n">
        <v>1.3</v>
      </c>
      <c r="K119" s="276" t="n">
        <v>1.3</v>
      </c>
      <c r="L119" s="276" t="n">
        <v>1.2</v>
      </c>
      <c r="M119" s="276" t="n">
        <v>1.1</v>
      </c>
      <c r="N119" s="276" t="n">
        <v>1</v>
      </c>
      <c r="O119" s="276" t="n">
        <v>0.9</v>
      </c>
      <c r="P119" s="276" t="n">
        <v>0</v>
      </c>
      <c r="Q119" s="274" t="inlineStr">
        <is>
          <t>特惠普运|太原市/晋中市</t>
        </is>
      </c>
    </row>
    <row r="120" ht="15" customHeight="1" s="144">
      <c r="A120" s="273" t="inlineStr">
        <is>
          <t>特惠普运</t>
        </is>
      </c>
      <c r="B120" s="274" t="inlineStr">
        <is>
          <t>上海</t>
        </is>
      </c>
      <c r="C120" s="274" t="inlineStr">
        <is>
          <t>上海市</t>
        </is>
      </c>
      <c r="D120" s="275" t="n">
        <v>1</v>
      </c>
      <c r="E120" s="276" t="n">
        <v>10</v>
      </c>
      <c r="F120" s="275" t="n">
        <v>50</v>
      </c>
      <c r="G120" s="276" t="n">
        <v>84</v>
      </c>
      <c r="H120" s="276" t="n">
        <v>1.5</v>
      </c>
      <c r="I120" s="276" t="n">
        <v>1.5</v>
      </c>
      <c r="J120" s="276" t="n">
        <v>1.3</v>
      </c>
      <c r="K120" s="276" t="n">
        <v>1.3</v>
      </c>
      <c r="L120" s="276" t="n">
        <v>1.2</v>
      </c>
      <c r="M120" s="276" t="n">
        <v>1.1</v>
      </c>
      <c r="N120" s="276" t="n">
        <v>1.05</v>
      </c>
      <c r="O120" s="276" t="n">
        <v>1</v>
      </c>
      <c r="P120" s="276" t="n">
        <v>0</v>
      </c>
      <c r="Q120" s="274" t="inlineStr">
        <is>
          <t>特惠普运|上海市</t>
        </is>
      </c>
    </row>
    <row r="121" ht="15" customHeight="1" s="144">
      <c r="A121" s="273" t="inlineStr">
        <is>
          <t>特惠普运</t>
        </is>
      </c>
      <c r="B121" s="274" t="inlineStr">
        <is>
          <t>江苏省</t>
        </is>
      </c>
      <c r="C121" s="274" t="inlineStr">
        <is>
          <t>无锡市/苏州市/南通市/盐城市</t>
        </is>
      </c>
      <c r="D121" s="275" t="n">
        <v>1</v>
      </c>
      <c r="E121" s="276" t="n">
        <v>10</v>
      </c>
      <c r="F121" s="275" t="n">
        <v>50</v>
      </c>
      <c r="G121" s="276" t="n">
        <v>84</v>
      </c>
      <c r="H121" s="276" t="n">
        <v>1.5</v>
      </c>
      <c r="I121" s="276" t="n">
        <v>1.5</v>
      </c>
      <c r="J121" s="276" t="n">
        <v>1.3</v>
      </c>
      <c r="K121" s="276" t="n">
        <v>1.3</v>
      </c>
      <c r="L121" s="276" t="n">
        <v>1.2</v>
      </c>
      <c r="M121" s="276" t="n">
        <v>1.1</v>
      </c>
      <c r="N121" s="276" t="n">
        <v>1.05</v>
      </c>
      <c r="O121" s="276" t="n">
        <v>1</v>
      </c>
      <c r="P121" s="276" t="n">
        <v>0</v>
      </c>
      <c r="Q121" s="274" t="inlineStr">
        <is>
          <t>特惠普运|无锡市/苏州市/南通市/盐城市</t>
        </is>
      </c>
    </row>
    <row r="122" ht="15" customHeight="1" s="144">
      <c r="A122" s="273" t="inlineStr">
        <is>
          <t>特惠普运</t>
        </is>
      </c>
      <c r="B122" s="274" t="inlineStr">
        <is>
          <t>广西壮族自治区</t>
        </is>
      </c>
      <c r="C122" s="274" t="inlineStr">
        <is>
          <t>柳州市/来宾市</t>
        </is>
      </c>
      <c r="D122" s="275" t="n">
        <v>1</v>
      </c>
      <c r="E122" s="276" t="n">
        <v>10</v>
      </c>
      <c r="F122" s="275" t="n">
        <v>50</v>
      </c>
      <c r="G122" s="276" t="n">
        <v>113</v>
      </c>
      <c r="H122" s="276" t="n">
        <v>2.1</v>
      </c>
      <c r="I122" s="276" t="n">
        <v>2.1</v>
      </c>
      <c r="J122" s="276" t="n">
        <v>2</v>
      </c>
      <c r="K122" s="276" t="n">
        <v>2</v>
      </c>
      <c r="L122" s="276" t="n">
        <v>1.9</v>
      </c>
      <c r="M122" s="276" t="n">
        <v>1.8</v>
      </c>
      <c r="N122" s="276" t="n">
        <v>1.7</v>
      </c>
      <c r="O122" s="276" t="n">
        <v>1.6</v>
      </c>
      <c r="P122" s="276" t="n">
        <v>0</v>
      </c>
      <c r="Q122" s="274" t="inlineStr">
        <is>
          <t>特惠普运|柳州市/来宾市</t>
        </is>
      </c>
    </row>
    <row r="123" ht="15" customHeight="1" s="144">
      <c r="A123" s="273" t="inlineStr">
        <is>
          <t>特惠普运</t>
        </is>
      </c>
      <c r="B123" s="274" t="inlineStr">
        <is>
          <t>云南省</t>
        </is>
      </c>
      <c r="C123" s="274" t="inlineStr">
        <is>
          <t>昆明市</t>
        </is>
      </c>
      <c r="D123" s="275" t="n">
        <v>1</v>
      </c>
      <c r="E123" s="276" t="n">
        <v>10</v>
      </c>
      <c r="F123" s="275" t="n">
        <v>50</v>
      </c>
      <c r="G123" s="276" t="n">
        <v>118</v>
      </c>
      <c r="H123" s="276" t="n">
        <v>2.2</v>
      </c>
      <c r="I123" s="276" t="n">
        <v>2.2</v>
      </c>
      <c r="J123" s="276" t="n">
        <v>2.1</v>
      </c>
      <c r="K123" s="276" t="n">
        <v>2.1</v>
      </c>
      <c r="L123" s="276" t="n">
        <v>2</v>
      </c>
      <c r="M123" s="276" t="n">
        <v>1.9</v>
      </c>
      <c r="N123" s="276" t="n">
        <v>1.8</v>
      </c>
      <c r="O123" s="276" t="n">
        <v>1.7</v>
      </c>
      <c r="P123" s="276" t="n">
        <v>0</v>
      </c>
      <c r="Q123" s="274" t="inlineStr">
        <is>
          <t>特惠普运|昆明市</t>
        </is>
      </c>
    </row>
    <row r="124" ht="15" customHeight="1" s="144">
      <c r="A124" s="273" t="inlineStr">
        <is>
          <t>特惠普运</t>
        </is>
      </c>
      <c r="B124" s="274" t="n"/>
      <c r="C124" s="274" t="inlineStr">
        <is>
          <t>大理白族自治州/红河哈尼族彝族自治州/曲靖市/玉溪市/楚雄彝族自治州</t>
        </is>
      </c>
      <c r="D124" s="275" t="n">
        <v>1</v>
      </c>
      <c r="E124" s="276" t="n">
        <v>10</v>
      </c>
      <c r="F124" s="275" t="n">
        <v>50</v>
      </c>
      <c r="G124" s="276" t="n">
        <v>133</v>
      </c>
      <c r="H124" s="276" t="n">
        <v>2.5</v>
      </c>
      <c r="I124" s="276" t="n">
        <v>2.5</v>
      </c>
      <c r="J124" s="276" t="n">
        <v>2.3</v>
      </c>
      <c r="K124" s="276" t="n">
        <v>2.3</v>
      </c>
      <c r="L124" s="276" t="n">
        <v>2.2</v>
      </c>
      <c r="M124" s="276" t="n">
        <v>2.1</v>
      </c>
      <c r="N124" s="276" t="n">
        <v>2</v>
      </c>
      <c r="O124" s="276" t="n">
        <v>2</v>
      </c>
      <c r="P124" s="276" t="n">
        <v>0</v>
      </c>
      <c r="Q124" s="274" t="inlineStr">
        <is>
          <t>特惠普运|大理白族自治州/红河哈尼族彝族自治州/曲靖市/玉溪市/楚雄彝族自治州</t>
        </is>
      </c>
    </row>
    <row r="125" ht="15" customHeight="1" s="144">
      <c r="A125" s="273" t="inlineStr">
        <is>
          <t>特惠普运</t>
        </is>
      </c>
      <c r="B125" s="274" t="inlineStr">
        <is>
          <t>贵州省</t>
        </is>
      </c>
      <c r="C125" s="274" t="inlineStr">
        <is>
          <t>黔南布依族苗族自治州/毕节市/六盘水市</t>
        </is>
      </c>
      <c r="D125" s="275" t="n">
        <v>1</v>
      </c>
      <c r="E125" s="276" t="n">
        <v>10</v>
      </c>
      <c r="F125" s="275" t="n">
        <v>50</v>
      </c>
      <c r="G125" s="276" t="n">
        <v>133</v>
      </c>
      <c r="H125" s="276" t="n">
        <v>2.5</v>
      </c>
      <c r="I125" s="276" t="n">
        <v>2.5</v>
      </c>
      <c r="J125" s="276" t="n">
        <v>2.3</v>
      </c>
      <c r="K125" s="276" t="n">
        <v>2.3</v>
      </c>
      <c r="L125" s="276" t="n">
        <v>2.2</v>
      </c>
      <c r="M125" s="276" t="n">
        <v>2.1</v>
      </c>
      <c r="N125" s="276" t="n">
        <v>2</v>
      </c>
      <c r="O125" s="276" t="n">
        <v>2</v>
      </c>
      <c r="P125" s="276" t="n">
        <v>0</v>
      </c>
      <c r="Q125" s="274" t="inlineStr">
        <is>
          <t>特惠普运|黔南布依族苗族自治州/毕节市/六盘水市</t>
        </is>
      </c>
    </row>
    <row r="126" ht="15" customHeight="1" s="144">
      <c r="A126" s="273" t="inlineStr">
        <is>
          <t>特惠普运</t>
        </is>
      </c>
      <c r="B126" s="274" t="inlineStr">
        <is>
          <t>上海</t>
        </is>
      </c>
      <c r="C126" s="274" t="inlineStr">
        <is>
          <t>上海市</t>
        </is>
      </c>
      <c r="D126" s="275" t="n">
        <v>1</v>
      </c>
      <c r="E126" s="276" t="n">
        <v>10</v>
      </c>
      <c r="F126" s="275" t="n">
        <v>50</v>
      </c>
      <c r="G126" s="276" t="n">
        <v>81</v>
      </c>
      <c r="H126" s="276" t="n">
        <v>1.45</v>
      </c>
      <c r="I126" s="276" t="n">
        <v>1.45</v>
      </c>
      <c r="J126" s="276" t="n">
        <v>1.3</v>
      </c>
      <c r="K126" s="276" t="n">
        <v>1.3</v>
      </c>
      <c r="L126" s="276" t="n">
        <v>1.2</v>
      </c>
      <c r="M126" s="276" t="n">
        <v>1.1</v>
      </c>
      <c r="N126" s="276" t="n">
        <v>1</v>
      </c>
      <c r="O126" s="276" t="n">
        <v>0.9</v>
      </c>
      <c r="P126" s="276" t="n">
        <v>0</v>
      </c>
      <c r="Q126" s="274" t="inlineStr">
        <is>
          <t>特惠普运|上海市</t>
        </is>
      </c>
    </row>
    <row r="127" ht="15" customHeight="1" s="144">
      <c r="A127" s="273" t="inlineStr">
        <is>
          <t>特惠普运</t>
        </is>
      </c>
      <c r="B127" s="274" t="inlineStr">
        <is>
          <t>江苏省</t>
        </is>
      </c>
      <c r="C127" s="274" t="inlineStr">
        <is>
          <t>镇江市/扬州市/泰州市</t>
        </is>
      </c>
      <c r="D127" s="275" t="n">
        <v>1</v>
      </c>
      <c r="E127" s="276" t="n">
        <v>10</v>
      </c>
      <c r="F127" s="275" t="n">
        <v>50</v>
      </c>
      <c r="G127" s="276" t="n">
        <v>86</v>
      </c>
      <c r="H127" s="276" t="n">
        <v>1.55</v>
      </c>
      <c r="I127" s="276" t="n">
        <v>1.55</v>
      </c>
      <c r="J127" s="276" t="n">
        <v>1.35</v>
      </c>
      <c r="K127" s="276" t="n">
        <v>1.35</v>
      </c>
      <c r="L127" s="276" t="n">
        <v>1.25</v>
      </c>
      <c r="M127" s="276" t="n">
        <v>1.15</v>
      </c>
      <c r="N127" s="276" t="n">
        <v>1.1</v>
      </c>
      <c r="O127" s="276" t="n">
        <v>1</v>
      </c>
      <c r="P127" s="276" t="n">
        <v>0</v>
      </c>
      <c r="Q127" s="274" t="inlineStr">
        <is>
          <t>特惠普运|镇江市/扬州市/泰州市</t>
        </is>
      </c>
    </row>
    <row r="128" ht="15" customHeight="1" s="144">
      <c r="A128" s="273" t="inlineStr">
        <is>
          <t>特惠普运</t>
        </is>
      </c>
      <c r="B128" s="274" t="n"/>
      <c r="C128" s="274" t="inlineStr">
        <is>
          <t>南通市/盐城市</t>
        </is>
      </c>
      <c r="D128" s="275" t="n">
        <v>1</v>
      </c>
      <c r="E128" s="276" t="n">
        <v>10</v>
      </c>
      <c r="F128" s="275" t="n">
        <v>50</v>
      </c>
      <c r="G128" s="276" t="n">
        <v>83</v>
      </c>
      <c r="H128" s="276" t="n">
        <v>1.48</v>
      </c>
      <c r="I128" s="276" t="n">
        <v>1.48</v>
      </c>
      <c r="J128" s="276" t="n">
        <v>1.35</v>
      </c>
      <c r="K128" s="276" t="n">
        <v>1.35</v>
      </c>
      <c r="L128" s="276" t="n">
        <v>1.25</v>
      </c>
      <c r="M128" s="276" t="n">
        <v>1.15</v>
      </c>
      <c r="N128" s="276" t="n">
        <v>1.05</v>
      </c>
      <c r="O128" s="276" t="n">
        <v>0.95</v>
      </c>
      <c r="P128" s="276" t="n">
        <v>0</v>
      </c>
      <c r="Q128" s="274" t="inlineStr">
        <is>
          <t>特惠普运|南通市/盐城市</t>
        </is>
      </c>
    </row>
    <row r="129" ht="15" customHeight="1" s="144">
      <c r="A129" s="273" t="inlineStr">
        <is>
          <t>特惠普运</t>
        </is>
      </c>
      <c r="B129" s="274" t="n"/>
      <c r="C129" s="274" t="inlineStr">
        <is>
          <t>无锡市/苏州市/常州市</t>
        </is>
      </c>
      <c r="D129" s="275" t="n">
        <v>1</v>
      </c>
      <c r="E129" s="276" t="n">
        <v>10</v>
      </c>
      <c r="F129" s="275" t="n">
        <v>50</v>
      </c>
      <c r="G129" s="276" t="n">
        <v>79</v>
      </c>
      <c r="H129" s="276" t="n">
        <v>1.4</v>
      </c>
      <c r="I129" s="276" t="n">
        <v>1.4</v>
      </c>
      <c r="J129" s="276" t="n">
        <v>1.3</v>
      </c>
      <c r="K129" s="276" t="n">
        <v>1.3</v>
      </c>
      <c r="L129" s="276" t="n">
        <v>1.2</v>
      </c>
      <c r="M129" s="276" t="n">
        <v>1.1</v>
      </c>
      <c r="N129" s="276" t="n">
        <v>1</v>
      </c>
      <c r="O129" s="276" t="n">
        <v>0.9</v>
      </c>
      <c r="P129" s="276" t="n">
        <v>0</v>
      </c>
      <c r="Q129" s="274" t="inlineStr">
        <is>
          <t>特惠普运|无锡市/苏州市/常州市</t>
        </is>
      </c>
    </row>
    <row r="130" ht="15" customHeight="1" s="144">
      <c r="A130" s="273" t="inlineStr">
        <is>
          <t>特惠普运</t>
        </is>
      </c>
      <c r="B130" s="274" t="inlineStr">
        <is>
          <t>天津</t>
        </is>
      </c>
      <c r="C130" s="274" t="inlineStr">
        <is>
          <t>天津市</t>
        </is>
      </c>
      <c r="D130" s="275" t="n">
        <v>1</v>
      </c>
      <c r="E130" s="276" t="n">
        <v>10</v>
      </c>
      <c r="F130" s="275" t="n">
        <v>50</v>
      </c>
      <c r="G130" s="276" t="n">
        <v>79</v>
      </c>
      <c r="H130" s="276" t="n">
        <v>1.4</v>
      </c>
      <c r="I130" s="276" t="n">
        <v>1.4</v>
      </c>
      <c r="J130" s="276" t="n">
        <v>1.3</v>
      </c>
      <c r="K130" s="276" t="n">
        <v>1.3</v>
      </c>
      <c r="L130" s="276" t="n">
        <v>1.2</v>
      </c>
      <c r="M130" s="276" t="n">
        <v>1.1</v>
      </c>
      <c r="N130" s="276" t="n">
        <v>1</v>
      </c>
      <c r="O130" s="276" t="n">
        <v>0.9</v>
      </c>
      <c r="P130" s="276" t="n">
        <v>0</v>
      </c>
      <c r="Q130" s="274" t="inlineStr">
        <is>
          <t>特惠普运|天津市</t>
        </is>
      </c>
    </row>
    <row r="131" ht="15" customHeight="1" s="144">
      <c r="A131" s="273" t="inlineStr">
        <is>
          <t>特惠普运</t>
        </is>
      </c>
      <c r="B131" s="274" t="inlineStr">
        <is>
          <t>北京</t>
        </is>
      </c>
      <c r="C131" s="274" t="inlineStr">
        <is>
          <t>北京市</t>
        </is>
      </c>
      <c r="D131" s="275" t="n">
        <v>1</v>
      </c>
      <c r="E131" s="276" t="n">
        <v>10</v>
      </c>
      <c r="F131" s="275" t="n">
        <v>50</v>
      </c>
      <c r="G131" s="276" t="n">
        <v>79</v>
      </c>
      <c r="H131" s="276" t="n">
        <v>1.4</v>
      </c>
      <c r="I131" s="276" t="n">
        <v>1.4</v>
      </c>
      <c r="J131" s="276" t="n">
        <v>1.3</v>
      </c>
      <c r="K131" s="276" t="n">
        <v>1.3</v>
      </c>
      <c r="L131" s="276" t="n">
        <v>1.2</v>
      </c>
      <c r="M131" s="276" t="n">
        <v>1.1</v>
      </c>
      <c r="N131" s="276" t="n">
        <v>1</v>
      </c>
      <c r="O131" s="276" t="n">
        <v>0.9</v>
      </c>
      <c r="P131" s="276" t="n">
        <v>0</v>
      </c>
      <c r="Q131" s="274" t="inlineStr">
        <is>
          <t>特惠普运|北京市</t>
        </is>
      </c>
    </row>
    <row r="132" ht="15" customHeight="1" s="144">
      <c r="A132" s="273" t="inlineStr">
        <is>
          <t>特惠普运</t>
        </is>
      </c>
      <c r="B132" s="274" t="inlineStr">
        <is>
          <t>河北省</t>
        </is>
      </c>
      <c r="C132" s="274" t="inlineStr">
        <is>
          <t>廊坊市</t>
        </is>
      </c>
      <c r="D132" s="275" t="n">
        <v>1</v>
      </c>
      <c r="E132" s="276" t="n">
        <v>10</v>
      </c>
      <c r="F132" s="275" t="n">
        <v>50</v>
      </c>
      <c r="G132" s="276" t="n">
        <v>79</v>
      </c>
      <c r="H132" s="276" t="n">
        <v>1.4</v>
      </c>
      <c r="I132" s="276" t="n">
        <v>1.4</v>
      </c>
      <c r="J132" s="276" t="n">
        <v>1.3</v>
      </c>
      <c r="K132" s="276" t="n">
        <v>1.3</v>
      </c>
      <c r="L132" s="276" t="n">
        <v>1.2</v>
      </c>
      <c r="M132" s="276" t="n">
        <v>1.1</v>
      </c>
      <c r="N132" s="276" t="n">
        <v>1</v>
      </c>
      <c r="O132" s="276" t="n">
        <v>0.9</v>
      </c>
      <c r="P132" s="276" t="n">
        <v>0</v>
      </c>
      <c r="Q132" s="274" t="inlineStr">
        <is>
          <t>特惠普运|廊坊市</t>
        </is>
      </c>
    </row>
    <row r="133" ht="15" customHeight="1" s="144">
      <c r="A133" s="273" t="inlineStr">
        <is>
          <t>特惠普运</t>
        </is>
      </c>
      <c r="B133" s="274" t="n"/>
      <c r="C133" s="274" t="inlineStr">
        <is>
          <t>邯郸市/石家庄市/保定市/雄安新区/张家口市/承德市/唐山市/沧州市/衡水市/邢台市/秦皇岛市</t>
        </is>
      </c>
      <c r="D133" s="275" t="n">
        <v>1</v>
      </c>
      <c r="E133" s="276" t="n">
        <v>10</v>
      </c>
      <c r="F133" s="275" t="n">
        <v>50</v>
      </c>
      <c r="G133" s="276" t="n">
        <v>86</v>
      </c>
      <c r="H133" s="276" t="n">
        <v>1.55</v>
      </c>
      <c r="I133" s="276" t="n">
        <v>1.55</v>
      </c>
      <c r="J133" s="276" t="n">
        <v>1.4</v>
      </c>
      <c r="K133" s="276" t="n">
        <v>1.4</v>
      </c>
      <c r="L133" s="276" t="n">
        <v>1.3</v>
      </c>
      <c r="M133" s="276" t="n">
        <v>1.2</v>
      </c>
      <c r="N133" s="276" t="n">
        <v>1.1</v>
      </c>
      <c r="O133" s="276" t="n">
        <v>1</v>
      </c>
      <c r="P133" s="276" t="n">
        <v>0</v>
      </c>
      <c r="Q133" s="274" t="inlineStr">
        <is>
          <t>特惠普运|邯郸市/石家庄市/保定市/雄安新区/张家口市/承德市/唐山市/沧州市/衡水市/邢台市/秦皇岛市</t>
        </is>
      </c>
    </row>
  </sheetData>
  <autoFilter ref="A3:Q133"/>
  <mergeCells count="1"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" defaultRowHeight="13.5" zeroHeight="0" outlineLevelRow="0"/>
  <cols>
    <col width="24" customWidth="1" style="143" min="1" max="1"/>
    <col width="18" customWidth="1" style="143" min="2" max="2"/>
  </cols>
  <sheetData>
    <row r="1" ht="17.25" customHeight="1" s="144">
      <c r="A1" s="145" t="inlineStr">
        <is>
          <t>运费计算（跨越费率，实重/体积重取大）</t>
        </is>
      </c>
    </row>
    <row r="3" ht="15" customHeight="1" s="144">
      <c r="A3" s="150" t="inlineStr">
        <is>
          <t>一、输入与费率定位（自动）</t>
        </is>
      </c>
    </row>
    <row r="4" ht="15" customHeight="1" s="144">
      <c r="A4" s="148" t="inlineStr">
        <is>
          <t>物流产品</t>
        </is>
      </c>
      <c r="B4" s="160">
        <f>报价汇总!B22</f>
        <v/>
      </c>
    </row>
    <row r="5" ht="15" customHeight="1" s="144">
      <c r="A5" s="148" t="inlineStr">
        <is>
          <t>目的地</t>
        </is>
      </c>
      <c r="B5" s="160">
        <f>报价汇总!B23</f>
        <v/>
      </c>
    </row>
    <row r="6" ht="15" customHeight="1" s="144">
      <c r="A6" s="148" t="inlineStr">
        <is>
          <t>每票件数M</t>
        </is>
      </c>
      <c r="B6" s="160">
        <f>报价汇总!B24</f>
        <v/>
      </c>
    </row>
    <row r="7" ht="15" customHeight="1" s="144">
      <c r="A7" s="148" t="inlineStr">
        <is>
          <t>单台毛重(kg)</t>
        </is>
      </c>
      <c r="B7" s="277">
        <f>IF(报价汇总!B16="","",报价汇总!B16+包装计算!$B$41)</f>
        <v/>
      </c>
    </row>
    <row r="8" ht="15" customHeight="1" s="144">
      <c r="A8" s="148" t="inlineStr">
        <is>
          <t>单箱体积(㎝³)</t>
        </is>
      </c>
      <c r="B8" s="278">
        <f>包装计算!$B$17</f>
        <v/>
      </c>
    </row>
    <row r="9" ht="15" customHeight="1" s="144">
      <c r="A9" s="148" t="inlineStr">
        <is>
          <t>每箱件数N</t>
        </is>
      </c>
      <c r="B9" s="278">
        <f>报价汇总!B17</f>
        <v/>
      </c>
    </row>
    <row r="10" ht="15" customHeight="1" s="144">
      <c r="A10" s="148" t="inlineStr">
        <is>
          <t>箱数(票内)</t>
        </is>
      </c>
      <c r="B10" s="279">
        <f>IF(OR(B6="",B9="",B9=0),"",B6/B9)</f>
        <v/>
      </c>
    </row>
    <row r="11" ht="15" customHeight="1" s="144">
      <c r="A11" s="148" t="inlineStr">
        <is>
          <t>匹配键</t>
        </is>
      </c>
      <c r="B11" s="160">
        <f>IF($B$12="","",INDEX(跨越费率!$Q$4:$Q$300,$B$12))</f>
        <v/>
      </c>
    </row>
    <row r="12" ht="15" customHeight="1" s="144">
      <c r="A12" s="148" t="inlineStr">
        <is>
          <t>费率行号</t>
        </is>
      </c>
      <c r="B12" s="278">
        <f>IF(OR($B$4="",$B$5=""),"",IFERROR(MATCH(1,INDEX((跨越费率!$A$4:$A$300=$B$4)*(ISNUMBER(SEARCH($B$5,跨越费率!$Q$4:$Q$300))),0),0),""))</f>
        <v/>
      </c>
    </row>
    <row r="14" ht="15" customHeight="1" s="144">
      <c r="A14" s="150" t="inlineStr">
        <is>
          <t>二、计费重量（自动）</t>
        </is>
      </c>
    </row>
    <row r="15" ht="15" customHeight="1" s="144">
      <c r="A15" s="148" t="inlineStr">
        <is>
          <t>单票实重(kg)</t>
        </is>
      </c>
      <c r="B15" s="280">
        <f>IF(OR(B7="",B6=""),"",B7*B6)</f>
        <v/>
      </c>
    </row>
    <row r="16" ht="15" customHeight="1" s="144">
      <c r="A16" s="148" t="inlineStr">
        <is>
          <t>单票体积重(kg)</t>
        </is>
      </c>
      <c r="B16" s="280">
        <f>IF(OR(B8="",B10=""),"",B8*B10/参数!$B$36)</f>
        <v/>
      </c>
    </row>
    <row r="17" ht="15" customHeight="1" s="144">
      <c r="A17" s="148" t="inlineStr">
        <is>
          <t>计费重量(kg)</t>
        </is>
      </c>
      <c r="B17" s="280">
        <f>IF(AND(ISNUMBER(B15),ISNUMBER(B16)),MAX(B15,B16),"")</f>
        <v/>
      </c>
    </row>
    <row r="18" ht="15" customHeight="1" s="144">
      <c r="A18" s="148" t="inlineStr">
        <is>
          <t>起重(kg)</t>
        </is>
      </c>
      <c r="B18" s="280">
        <f>IF(B12="","",INDEX(跨越费率!$F$4:$F$300,B12))</f>
        <v/>
      </c>
    </row>
    <row r="19" ht="15" customHeight="1" s="144">
      <c r="A19" s="148" t="inlineStr">
        <is>
          <t>计费重量起重后</t>
        </is>
      </c>
      <c r="B19" s="280">
        <f>IF(OR(B17="",B18=""),"",MAX(B17,B18))</f>
        <v/>
      </c>
    </row>
    <row r="21" ht="15" customHeight="1" s="144">
      <c r="A21" s="150" t="inlineStr">
        <is>
          <t>三、运费（自动）</t>
        </is>
      </c>
    </row>
    <row r="22" ht="15" customHeight="1" s="144">
      <c r="A22" s="148" t="inlineStr">
        <is>
          <t>首重重量</t>
        </is>
      </c>
      <c r="B22" s="278">
        <f>IF(B12="","",INDEX(跨越费率!$D$4:$D$300,B12))</f>
        <v/>
      </c>
    </row>
    <row r="23" ht="15" customHeight="1" s="144">
      <c r="A23" s="148" t="inlineStr">
        <is>
          <t>首重价格</t>
        </is>
      </c>
      <c r="B23" s="280">
        <f>IF(B12="","",INDEX(跨越费率!$E$4:$E$300,B12))</f>
        <v/>
      </c>
    </row>
    <row r="24" ht="15" customHeight="1" s="144">
      <c r="A24" s="148" t="inlineStr">
        <is>
          <t>段位置idx</t>
        </is>
      </c>
      <c r="B24" s="278">
        <f>IF(OR(B19="",B4=""),"",IF(B4="次日达",MATCH(B19,$B$26:$J$26,1),MATCH(B19,$B$27:$J$27,1)))</f>
        <v/>
      </c>
    </row>
    <row r="25" ht="15" customHeight="1" s="144">
      <c r="A25" s="148" t="inlineStr">
        <is>
          <t>段单价</t>
        </is>
      </c>
      <c r="B25" s="280">
        <f>IF(OR(B12="",B24=""),"",INDEX(跨越费率!$H$4:$P$300,B12,B24))</f>
        <v/>
      </c>
    </row>
    <row r="26" ht="15" customHeight="1" s="144">
      <c r="A26" s="254" t="inlineStr">
        <is>
          <t>次日达段下限</t>
        </is>
      </c>
      <c r="B26" s="281" t="n">
        <v>1</v>
      </c>
      <c r="C26" s="281" t="n">
        <v>10</v>
      </c>
      <c r="D26" s="281" t="n">
        <v>30</v>
      </c>
      <c r="E26" s="281" t="n">
        <v>50</v>
      </c>
      <c r="F26" s="281" t="n">
        <v>100</v>
      </c>
      <c r="G26" s="281" t="n">
        <v>300</v>
      </c>
      <c r="H26" s="281" t="n">
        <v>500</v>
      </c>
      <c r="I26" s="281" t="n">
        <v>1000</v>
      </c>
      <c r="J26" s="281" t="n">
        <v>2000</v>
      </c>
    </row>
    <row r="27" ht="15" customHeight="1" s="144">
      <c r="A27" s="254" t="inlineStr">
        <is>
          <t>特惠段下限</t>
        </is>
      </c>
      <c r="B27" s="281" t="n">
        <v>1</v>
      </c>
      <c r="C27" s="281" t="n">
        <v>50</v>
      </c>
      <c r="D27" s="281" t="n">
        <v>100</v>
      </c>
      <c r="E27" s="281" t="n">
        <v>200</v>
      </c>
      <c r="F27" s="281" t="n">
        <v>300</v>
      </c>
      <c r="G27" s="281" t="n">
        <v>500</v>
      </c>
      <c r="H27" s="281" t="n">
        <v>1000</v>
      </c>
      <c r="I27" s="281" t="n">
        <v>2000</v>
      </c>
      <c r="J27" s="281" t="n">
        <v>0</v>
      </c>
    </row>
    <row r="28" ht="15" customHeight="1" s="144">
      <c r="A28" s="148" t="inlineStr">
        <is>
          <t>最低收费</t>
        </is>
      </c>
      <c r="B28" s="280">
        <f>IF(B12="","",INDEX(跨越费率!$G$4:$G$300,B12))</f>
        <v/>
      </c>
    </row>
    <row r="29" ht="15" customHeight="1" s="144">
      <c r="A29" s="148" t="inlineStr">
        <is>
          <t>单票运费</t>
        </is>
      </c>
      <c r="B29" s="280">
        <f>IF(OR(B23="",B19="",B25="",B28=""),"",MAX(B23+(B19-B22)*B25,B28))</f>
        <v/>
      </c>
    </row>
    <row r="30" ht="15" customHeight="1" s="144">
      <c r="A30" s="148" t="inlineStr">
        <is>
          <t>声明价值(元/票)</t>
        </is>
      </c>
      <c r="B30" s="278">
        <f>报价汇总!B25</f>
        <v/>
      </c>
    </row>
    <row r="31" ht="15" customHeight="1" s="144">
      <c r="A31" s="148" t="inlineStr">
        <is>
          <t>保费(可选)</t>
        </is>
      </c>
      <c r="B31" s="280">
        <f>IF(参数!$B$39="是",IF(NOT(ISNUMBER(B30)),"",MAX(参数!$B$37*B30,参数!$B$38)),0)</f>
        <v/>
      </c>
    </row>
    <row r="32" ht="15" customHeight="1" s="144">
      <c r="A32" s="148" t="inlineStr">
        <is>
          <t>单票运费合计</t>
        </is>
      </c>
      <c r="B32" s="280">
        <f>IF(OR(B29="",B31=""),"",B29+B31)</f>
        <v/>
      </c>
    </row>
    <row r="33" ht="15" customHeight="1" s="144">
      <c r="A33" s="148" t="inlineStr">
        <is>
          <t>单台运费(元/件)</t>
        </is>
      </c>
      <c r="B33" s="282">
        <f>IF(OR(B32="",B6="",B6=0),"",B32/B6)</f>
        <v/>
      </c>
    </row>
    <row r="35" ht="15" customHeight="1" s="144">
      <c r="A35" s="254" t="inlineStr">
        <is>
          <t>运费口径：计费重量=MAX(实重,体积重)；体积重=箱体积(㎝³)/体积系数；运费=首重价格+(计费重量-首重重量)×段单价，最低不低于最低收费。</t>
        </is>
      </c>
    </row>
    <row r="36" ht="15" customHeight="1" s="144">
      <c r="A36" s="254" t="inlineStr">
        <is>
          <t>目的地需与所选物流产品匹配：次日达与特惠普运的目的地划分不同，选错时本表运费显示空白。</t>
        </is>
      </c>
    </row>
  </sheetData>
  <mergeCells count="4">
    <mergeCell ref="A1:D1"/>
    <mergeCell ref="A14:D14"/>
    <mergeCell ref="A3:D3"/>
    <mergeCell ref="A21:D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2026-10-12T11:07:00Z</dcterms:created>
  <dcterms:modified xsi:type="dcterms:W3CDTF">2026-10-13T06:24:50Z</dcterms:modified>
  <cp:lastModifiedBy>HAIER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{"Label":"1","ContentProducer":"001191110102MACQD9K64010000","ProduceID":"7695675034551815451","ReservedCode1":"","ContentPropagator":"","PropagateID":"","ReservedCode2":""}</vt:lpwstr>
  </property>
</Properties>
</file>