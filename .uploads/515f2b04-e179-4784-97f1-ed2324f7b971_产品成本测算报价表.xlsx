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haier\Downloads\"/>
    </mc:Choice>
  </mc:AlternateContent>
  <xr:revisionPtr revIDLastSave="0" documentId="13_ncr:1_{4207B209-F24F-4E93-879D-53E8E7BF8D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使用说明" sheetId="2" r:id="rId1"/>
    <sheet name="报价汇总" sheetId="3" r:id="rId2"/>
    <sheet name="物料明细" sheetId="4" r:id="rId3"/>
    <sheet name="加工及工装" sheetId="5" r:id="rId4"/>
    <sheet name="参数" sheetId="6" r:id="rId5"/>
    <sheet name="包装计算" sheetId="7" r:id="rId6"/>
    <sheet name="跨越费率" sheetId="8" r:id="rId7"/>
    <sheet name="运费计算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9" l="1"/>
  <c r="B30" i="9"/>
  <c r="B11" i="9"/>
  <c r="B12" i="9" s="1"/>
  <c r="B9" i="9"/>
  <c r="B10" i="9" s="1"/>
  <c r="B7" i="9"/>
  <c r="B15" i="9" s="1"/>
  <c r="B6" i="9"/>
  <c r="B5" i="9"/>
  <c r="B4" i="9"/>
  <c r="B53" i="7"/>
  <c r="B52" i="7"/>
  <c r="B51" i="7"/>
  <c r="B39" i="7"/>
  <c r="B37" i="7"/>
  <c r="B30" i="7"/>
  <c r="B29" i="7"/>
  <c r="B22" i="7"/>
  <c r="B21" i="7"/>
  <c r="B11" i="7"/>
  <c r="B12" i="7" s="1"/>
  <c r="B9" i="7"/>
  <c r="B26" i="7" s="1"/>
  <c r="B27" i="7" s="1"/>
  <c r="B8" i="7"/>
  <c r="B7" i="7"/>
  <c r="B6" i="7"/>
  <c r="B5" i="7"/>
  <c r="B18" i="7" s="1"/>
  <c r="B4" i="7"/>
  <c r="B17" i="7" s="1"/>
  <c r="B19" i="7" s="1"/>
  <c r="B20" i="7" s="1"/>
  <c r="H22" i="5"/>
  <c r="E22" i="5"/>
  <c r="H21" i="5"/>
  <c r="E21" i="5"/>
  <c r="H20" i="5"/>
  <c r="E20" i="5"/>
  <c r="H19" i="5"/>
  <c r="H23" i="5" s="1"/>
  <c r="B33" i="3" s="1"/>
  <c r="E19" i="5"/>
  <c r="E23" i="5" s="1"/>
  <c r="H18" i="5"/>
  <c r="E18" i="5"/>
  <c r="G13" i="5"/>
  <c r="F12" i="5"/>
  <c r="H12" i="5" s="1"/>
  <c r="F11" i="5"/>
  <c r="H11" i="5" s="1"/>
  <c r="H10" i="5"/>
  <c r="F10" i="5"/>
  <c r="H9" i="5"/>
  <c r="F9" i="5"/>
  <c r="F8" i="5"/>
  <c r="H8" i="5" s="1"/>
  <c r="F7" i="5"/>
  <c r="H7" i="5" s="1"/>
  <c r="H6" i="5"/>
  <c r="F6" i="5"/>
  <c r="F5" i="5"/>
  <c r="H5" i="5" s="1"/>
  <c r="H102" i="4"/>
  <c r="A102" i="4"/>
  <c r="H101" i="4"/>
  <c r="A101" i="4"/>
  <c r="H100" i="4"/>
  <c r="A100" i="4"/>
  <c r="H99" i="4"/>
  <c r="A99" i="4"/>
  <c r="H98" i="4"/>
  <c r="A98" i="4"/>
  <c r="H97" i="4"/>
  <c r="A97" i="4"/>
  <c r="H96" i="4"/>
  <c r="A96" i="4"/>
  <c r="H95" i="4"/>
  <c r="A95" i="4"/>
  <c r="H94" i="4"/>
  <c r="A94" i="4"/>
  <c r="H93" i="4"/>
  <c r="A93" i="4"/>
  <c r="H92" i="4"/>
  <c r="A92" i="4"/>
  <c r="H91" i="4"/>
  <c r="A91" i="4"/>
  <c r="H90" i="4"/>
  <c r="A90" i="4"/>
  <c r="H89" i="4"/>
  <c r="A89" i="4"/>
  <c r="H88" i="4"/>
  <c r="A88" i="4"/>
  <c r="H87" i="4"/>
  <c r="A87" i="4"/>
  <c r="H86" i="4"/>
  <c r="A86" i="4"/>
  <c r="H85" i="4"/>
  <c r="A85" i="4"/>
  <c r="H84" i="4"/>
  <c r="A84" i="4"/>
  <c r="H83" i="4"/>
  <c r="A83" i="4"/>
  <c r="H82" i="4"/>
  <c r="A82" i="4"/>
  <c r="H81" i="4"/>
  <c r="A81" i="4"/>
  <c r="H80" i="4"/>
  <c r="A80" i="4"/>
  <c r="H79" i="4"/>
  <c r="A79" i="4"/>
  <c r="H78" i="4"/>
  <c r="A78" i="4"/>
  <c r="H77" i="4"/>
  <c r="A77" i="4"/>
  <c r="H76" i="4"/>
  <c r="A76" i="4"/>
  <c r="H75" i="4"/>
  <c r="A75" i="4"/>
  <c r="H74" i="4"/>
  <c r="A74" i="4"/>
  <c r="H73" i="4"/>
  <c r="A73" i="4"/>
  <c r="H72" i="4"/>
  <c r="A72" i="4"/>
  <c r="H71" i="4"/>
  <c r="A71" i="4"/>
  <c r="H70" i="4"/>
  <c r="A70" i="4"/>
  <c r="H69" i="4"/>
  <c r="A69" i="4"/>
  <c r="H68" i="4"/>
  <c r="A68" i="4"/>
  <c r="H67" i="4"/>
  <c r="A67" i="4"/>
  <c r="H66" i="4"/>
  <c r="A66" i="4"/>
  <c r="H65" i="4"/>
  <c r="A65" i="4"/>
  <c r="H64" i="4"/>
  <c r="A64" i="4"/>
  <c r="H63" i="4"/>
  <c r="A63" i="4"/>
  <c r="H62" i="4"/>
  <c r="A62" i="4"/>
  <c r="H61" i="4"/>
  <c r="A61" i="4"/>
  <c r="H60" i="4"/>
  <c r="A60" i="4"/>
  <c r="H59" i="4"/>
  <c r="A59" i="4"/>
  <c r="H58" i="4"/>
  <c r="A58" i="4"/>
  <c r="H57" i="4"/>
  <c r="A57" i="4"/>
  <c r="H56" i="4"/>
  <c r="A56" i="4"/>
  <c r="H55" i="4"/>
  <c r="A55" i="4"/>
  <c r="H54" i="4"/>
  <c r="A54" i="4"/>
  <c r="H53" i="4"/>
  <c r="A53" i="4"/>
  <c r="H52" i="4"/>
  <c r="A52" i="4"/>
  <c r="H51" i="4"/>
  <c r="A51" i="4"/>
  <c r="H50" i="4"/>
  <c r="A50" i="4"/>
  <c r="H49" i="4"/>
  <c r="A49" i="4"/>
  <c r="H48" i="4"/>
  <c r="A48" i="4"/>
  <c r="H47" i="4"/>
  <c r="A47" i="4"/>
  <c r="H46" i="4"/>
  <c r="A46" i="4"/>
  <c r="H45" i="4"/>
  <c r="A45" i="4"/>
  <c r="H44" i="4"/>
  <c r="A44" i="4"/>
  <c r="H43" i="4"/>
  <c r="A43" i="4"/>
  <c r="H42" i="4"/>
  <c r="A42" i="4"/>
  <c r="H41" i="4"/>
  <c r="A41" i="4"/>
  <c r="H40" i="4"/>
  <c r="A40" i="4"/>
  <c r="H39" i="4"/>
  <c r="A39" i="4"/>
  <c r="H38" i="4"/>
  <c r="A38" i="4"/>
  <c r="H37" i="4"/>
  <c r="A37" i="4"/>
  <c r="H36" i="4"/>
  <c r="A36" i="4"/>
  <c r="H35" i="4"/>
  <c r="A35" i="4"/>
  <c r="H34" i="4"/>
  <c r="A34" i="4"/>
  <c r="H33" i="4"/>
  <c r="A33" i="4"/>
  <c r="H32" i="4"/>
  <c r="A32" i="4"/>
  <c r="H31" i="4"/>
  <c r="A31" i="4"/>
  <c r="H30" i="4"/>
  <c r="A30" i="4"/>
  <c r="H29" i="4"/>
  <c r="A29" i="4"/>
  <c r="H28" i="4"/>
  <c r="A28" i="4"/>
  <c r="H27" i="4"/>
  <c r="A27" i="4"/>
  <c r="H26" i="4"/>
  <c r="A26" i="4"/>
  <c r="H25" i="4"/>
  <c r="A25" i="4"/>
  <c r="H24" i="4"/>
  <c r="A24" i="4"/>
  <c r="H23" i="4"/>
  <c r="A23" i="4"/>
  <c r="H22" i="4"/>
  <c r="A22" i="4"/>
  <c r="H21" i="4"/>
  <c r="A21" i="4"/>
  <c r="H20" i="4"/>
  <c r="A20" i="4"/>
  <c r="H19" i="4"/>
  <c r="A19" i="4"/>
  <c r="H18" i="4"/>
  <c r="A18" i="4"/>
  <c r="H17" i="4"/>
  <c r="A17" i="4"/>
  <c r="H16" i="4"/>
  <c r="A16" i="4"/>
  <c r="H15" i="4"/>
  <c r="A15" i="4"/>
  <c r="H14" i="4"/>
  <c r="A14" i="4"/>
  <c r="H13" i="4"/>
  <c r="A13" i="4"/>
  <c r="H12" i="4"/>
  <c r="A12" i="4"/>
  <c r="H11" i="4"/>
  <c r="A11" i="4"/>
  <c r="H10" i="4"/>
  <c r="A10" i="4"/>
  <c r="H9" i="4"/>
  <c r="A9" i="4"/>
  <c r="H8" i="4"/>
  <c r="A8" i="4"/>
  <c r="H7" i="4"/>
  <c r="A7" i="4"/>
  <c r="H6" i="4"/>
  <c r="A6" i="4"/>
  <c r="H5" i="4"/>
  <c r="A5" i="4"/>
  <c r="H4" i="4"/>
  <c r="A4" i="4"/>
  <c r="H3" i="4"/>
  <c r="A3" i="4"/>
  <c r="B52" i="3"/>
  <c r="B51" i="3"/>
  <c r="B45" i="3"/>
  <c r="B42" i="3"/>
  <c r="B40" i="3"/>
  <c r="B31" i="3"/>
  <c r="B29" i="3"/>
  <c r="B28" i="3"/>
  <c r="B7" i="3"/>
  <c r="B32" i="7" l="1"/>
  <c r="B30" i="3" s="1"/>
  <c r="B18" i="9"/>
  <c r="B28" i="9"/>
  <c r="B23" i="9"/>
  <c r="B22" i="9"/>
  <c r="B25" i="7"/>
  <c r="B28" i="7" s="1"/>
  <c r="B13" i="7"/>
  <c r="B35" i="7" s="1"/>
  <c r="B36" i="7" s="1"/>
  <c r="B38" i="7" s="1"/>
  <c r="B14" i="7"/>
  <c r="B23" i="7"/>
  <c r="B24" i="7" s="1"/>
  <c r="F13" i="5"/>
  <c r="B32" i="3" s="1"/>
  <c r="B15" i="7" l="1"/>
  <c r="B8" i="9" s="1"/>
  <c r="B16" i="9" s="1"/>
  <c r="B17" i="9" s="1"/>
  <c r="B19" i="9" s="1"/>
  <c r="B24" i="9" s="1"/>
  <c r="B25" i="9" s="1"/>
  <c r="B29" i="9" l="1"/>
  <c r="B32" i="9" s="1"/>
  <c r="B33" i="9" s="1"/>
  <c r="B34" i="3" s="1"/>
  <c r="B35" i="3" l="1"/>
  <c r="B36" i="3" s="1"/>
  <c r="B41" i="3" s="1"/>
  <c r="B48" i="3" l="1"/>
  <c r="B47" i="3"/>
  <c r="B46" i="3"/>
  <c r="B43" i="3"/>
</calcChain>
</file>

<file path=xl/sharedStrings.xml><?xml version="1.0" encoding="utf-8"?>
<sst xmlns="http://schemas.openxmlformats.org/spreadsheetml/2006/main" count="931" uniqueCount="931">
  <si>
    <t>产品成本测算报价表 · 使用说明</t>
  </si>
  <si>
    <t>怎么用</t>
  </si>
  <si>
    <t>首页【报价汇总】只填：产品信息、成品尺寸与单台净重、每箱件数、是否含整托、物流产品、目的地、每票件数。包装费与运费全部自动算。</t>
  </si>
  <si>
    <t>包装费</t>
  </si>
  <si>
    <t>按【成品最大边长】自动匹配缓冲厚度与纸箱瓦楞档位，算出单件内包装费；勾选含整托则叠加托盘分摊。费率在《参数》页改。</t>
  </si>
  <si>
    <t>运费</t>
  </si>
  <si>
    <t>依据《跨越费率》（源自青岛国创VIP报价表）按 实重/体积重取大→起重→分段单价 计算单票运费，再摊到单件。目的地在首页下拉选择，产品可选次日达/特惠普运。</t>
  </si>
  <si>
    <t>物料明细/加工及工装</t>
  </si>
  <si>
    <t>沿用原模板，硬件/结构件/辅助材料与加工费、工装分摊在此填写。</t>
  </si>
  <si>
    <t>成本与报价</t>
  </si>
  <si>
    <t>总成本=材料+加工+工装+包装+运费+利润；建议报价=总成本/(1-目标毛利率)。毛利率/税率在《参数》页改。</t>
  </si>
  <si>
    <t>注意</t>
  </si>
  <si>
    <t>跨越费率为参考价，可在《跨越费率》页直接改；金额默认不含税；EPE按全包覆估算偏保守。</t>
  </si>
  <si>
    <t>产品成本测算报价表（包装费 + 运费自动计算）</t>
  </si>
  <si>
    <t>一、产品基础信息（输入）</t>
  </si>
  <si>
    <t>产品代码</t>
  </si>
  <si>
    <t>福州市/厦门市/泉州市</t>
  </si>
  <si>
    <t>产品名称</t>
  </si>
  <si>
    <t>宁德市/莆田市/漳州市</t>
  </si>
  <si>
    <t>客户名称</t>
  </si>
  <si>
    <t>龙岩市/三明市/南平市</t>
  </si>
  <si>
    <t>报价日期</t>
  </si>
  <si>
    <t>拉萨市</t>
  </si>
  <si>
    <t>年需求量(PCS)</t>
  </si>
  <si>
    <t>日喀则市/山南市/林芝市/昌都市/那曲市/阿里地区</t>
  </si>
  <si>
    <t>MOQ(PCS)</t>
  </si>
  <si>
    <t>贵阳市/遵义市/安顺市</t>
  </si>
  <si>
    <t>备注</t>
  </si>
  <si>
    <t>黔南布依族苗族自治州/黔东南苗族侗族自治州/铜仁市/毕节市/六盘水市/黔西南布依族苗族自治州</t>
  </si>
  <si>
    <t>广州市/深圳市/珠海市/中山市/东莞市</t>
  </si>
  <si>
    <t>二、产品规格（输入，驱动包装费）</t>
  </si>
  <si>
    <t>江门市/惠州市/佛山市/肇庆市</t>
  </si>
  <si>
    <t>成品长(mm,含散热器)</t>
  </si>
  <si>
    <t>汕尾市/阳江市/揭阳市/茂名市/韶关市/梅州市/汕头市/湛江市/河源市/清远市/云浮市/潮州市</t>
  </si>
  <si>
    <t>成品宽(mm)</t>
  </si>
  <si>
    <t>武汉市/鄂州市</t>
  </si>
  <si>
    <t>成品高(mm)</t>
  </si>
  <si>
    <t>襄阳市/孝感市/黄石市/荆州市/宜昌市/神农架林区/十堰市/随州市/荆门市</t>
  </si>
  <si>
    <t>单台净重(kg)</t>
  </si>
  <si>
    <t>黄冈市/咸宁市/恩施土家族苗族自治州/潜江市/仙桃市/天门市</t>
  </si>
  <si>
    <t>每箱件数N</t>
  </si>
  <si>
    <t>株洲市/长沙市/湘潭市</t>
  </si>
  <si>
    <t>是否含整托分摊</t>
  </si>
  <si>
    <t>益阳市</t>
  </si>
  <si>
    <t>岳阳市/衡阳市/郴州市/常德市/娄底市/邵阳市/湘西土家族苗族自治州/张家界市/怀化市/永州市</t>
  </si>
  <si>
    <t>三、物流（输入，驱动运费）</t>
  </si>
  <si>
    <t>重庆市</t>
  </si>
  <si>
    <t>物流产品</t>
  </si>
  <si>
    <t>成都市/资阳市/眉山市</t>
  </si>
  <si>
    <t>目的地</t>
  </si>
  <si>
    <t>绵阳市</t>
  </si>
  <si>
    <t>每票件数M</t>
  </si>
  <si>
    <t>自贡市/南充市/达州市/遂宁市/广安市/巴中市/泸州市/宜宾市/内江市/乐山市/雅安市/德阳市/广元市</t>
  </si>
  <si>
    <t>声明价值(元/票,可选)</t>
  </si>
  <si>
    <t>攀枝花市/凉山彝族自治州/甘孜藏族自治州/阿坝藏族羌族自治州</t>
  </si>
  <si>
    <t>注</t>
  </si>
  <si>
    <t>次日达与特惠普运的目的地划分不同，请选择与所选产品一致的目的地；选错该运费显示空白。</t>
  </si>
  <si>
    <t>合肥市/芜湖市/马鞍山市</t>
  </si>
  <si>
    <t>四、成本构成（未税/单台，自动计算）</t>
  </si>
  <si>
    <t>滁州市/蚌埠市/六安市</t>
  </si>
  <si>
    <t>成本项目</t>
  </si>
  <si>
    <t>金额</t>
  </si>
  <si>
    <t>单位</t>
  </si>
  <si>
    <t>备注</t>
  </si>
  <si>
    <t>公式</t>
  </si>
  <si>
    <t>淮南市/安庆市/宿州市/亳州市/阜阳市/黄山市/淮北市/铜陵市/宣城市/池州市</t>
  </si>
  <si>
    <t>硬件材料</t>
  </si>
  <si>
    <t>元/台</t>
  </si>
  <si>
    <t>物料明细</t>
  </si>
  <si>
    <t>乌鲁木齐市</t>
  </si>
  <si>
    <t>结构件</t>
  </si>
  <si>
    <t>元/台</t>
  </si>
  <si>
    <t>物料明细</t>
  </si>
  <si>
    <t>塔城地区/白杨市/新星市/哈密市/昆玉市/和田地区/北屯市/阿勒泰地区/克孜勒苏柯尔克孜自治州/双河市/博尔塔拉蒙古自治州/克拉玛依市/胡杨河市/石河子市/五家渠市/昌吉回族自治州/吐鲁番市/巴音郭楞蒙古自治州/铁门关市/阿克苏地区/阿拉尔市/图木舒克市/喀什地区/伊犁哈萨克自治州/可克达拉市</t>
  </si>
  <si>
    <t>包装材料</t>
  </si>
  <si>
    <t>元/台</t>
  </si>
  <si>
    <t>包装计算（自动）</t>
  </si>
  <si>
    <t>南京市/无锡市/苏州市/常州市</t>
  </si>
  <si>
    <t>辅助材料</t>
  </si>
  <si>
    <t>元/台</t>
  </si>
  <si>
    <t>物料明细</t>
  </si>
  <si>
    <t>镇江市/南通市/扬州市</t>
  </si>
  <si>
    <t>加工费</t>
  </si>
  <si>
    <t>元/台</t>
  </si>
  <si>
    <t>加工及工装</t>
  </si>
  <si>
    <t>盐城市/徐州市/淮安市/连云港市/泰州市/宿迁市</t>
  </si>
  <si>
    <t>工装分摊</t>
  </si>
  <si>
    <t>元/台</t>
  </si>
  <si>
    <t>加工及工装</t>
  </si>
  <si>
    <t>天津市</t>
  </si>
  <si>
    <t>运费</t>
  </si>
  <si>
    <t>元/台</t>
  </si>
  <si>
    <t>运费计算（跨越费率）</t>
  </si>
  <si>
    <t>长春市</t>
  </si>
  <si>
    <t>利润</t>
  </si>
  <si>
    <t>元/台</t>
  </si>
  <si>
    <t>工厂利润</t>
  </si>
  <si>
    <t>吉林市</t>
  </si>
  <si>
    <t>总成本未税</t>
  </si>
  <si>
    <t>元/台</t>
  </si>
  <si>
    <t>自动汇总</t>
  </si>
  <si>
    <t>延边朝鲜族自治州/四平市/通化市/白城市/辽源市/松原市/白山市</t>
  </si>
  <si>
    <t>银川市</t>
  </si>
  <si>
    <t>五、自动报价结果</t>
  </si>
  <si>
    <t>石嘴山市/吴忠市/固原市/中卫市</t>
  </si>
  <si>
    <t>报价项目</t>
  </si>
  <si>
    <t>结果</t>
  </si>
  <si>
    <t>单位</t>
  </si>
  <si>
    <t>备注</t>
  </si>
  <si>
    <t>公式</t>
  </si>
  <si>
    <t>石家庄市/廊坊市</t>
  </si>
  <si>
    <t>目标毛利率</t>
  </si>
  <si>
    <t>%</t>
  </si>
  <si>
    <t>参数页可改</t>
  </si>
  <si>
    <t>邯郸市/保定市/雄安新区/唐山市/沧州市/秦皇岛市</t>
  </si>
  <si>
    <t>建议报价未税</t>
  </si>
  <si>
    <t>元/台</t>
  </si>
  <si>
    <t>总成本/(1-毛利率)</t>
  </si>
  <si>
    <t>张家口市/承德市/衡水市/邢台市</t>
  </si>
  <si>
    <t>税率</t>
  </si>
  <si>
    <t>%</t>
  </si>
  <si>
    <t>参数页可改</t>
  </si>
  <si>
    <t>开封市/郑州市</t>
  </si>
  <si>
    <t>建议报价含税</t>
  </si>
  <si>
    <t>元/台</t>
  </si>
  <si>
    <t>未税价×(1+税率)</t>
  </si>
  <si>
    <t>新乡市/许昌市/信阳市/洛阳市/鹤壁市</t>
  </si>
  <si>
    <t>客户目标价</t>
  </si>
  <si>
    <t>元/台</t>
  </si>
  <si>
    <t>手工填写</t>
  </si>
  <si>
    <t>商丘市/安阳市/平顶山市/南阳市/焦作市/济源市/濮阳市/周口市/漯河市/驻马店市/三门峡市</t>
  </si>
  <si>
    <t>目标价差异</t>
  </si>
  <si>
    <t>元/台</t>
  </si>
  <si>
    <t>建议价-目标价</t>
  </si>
  <si>
    <t>崇左市/南宁市</t>
  </si>
  <si>
    <t>报价毛利率</t>
  </si>
  <si>
    <t>%</t>
  </si>
  <si>
    <t>自动计算</t>
  </si>
  <si>
    <t>柳州市/来宾市/桂林市</t>
  </si>
  <si>
    <t>年销售额未税</t>
  </si>
  <si>
    <t>元/年</t>
  </si>
  <si>
    <t>自动计算</t>
  </si>
  <si>
    <t>防城港市/梧州市/贺州市/贵港市/玉林市/百色市/钦州市/河池市/北海市</t>
  </si>
  <si>
    <t>年毛利额</t>
  </si>
  <si>
    <t>元/年</t>
  </si>
  <si>
    <t>自动计算</t>
  </si>
  <si>
    <t>屯昌县/五指山市/白沙黎族自治县/东方市/保亭黎族苗族自治县/琼中黎族苗族自治县/定安县/临高县/陵水黎族自治县/文昌市/海口市/万宁市/乐东黎族自治县/琼海市/澄迈县/昌江黎族自治县/儋州市/三亚市/三沙市</t>
  </si>
  <si>
    <t>上海市</t>
  </si>
  <si>
    <t>六、风险检查</t>
  </si>
  <si>
    <t>南昌市</t>
  </si>
  <si>
    <t>客供料数量</t>
  </si>
  <si>
    <t>项</t>
  </si>
  <si>
    <t>九江市/吉安市/赣州市</t>
  </si>
  <si>
    <t>新物料待报价</t>
  </si>
  <si>
    <t>项</t>
  </si>
  <si>
    <t>鹰潭市/新余市/上饶市/抚州市/宜春市/景德镇市/萍乡市</t>
  </si>
  <si>
    <t>昆明市</t>
  </si>
  <si>
    <t>大理白族自治州/曲靖市/玉溪市/楚雄彝族自治州</t>
  </si>
  <si>
    <t>西双版纳傣族自治州/德宏傣族景颇族自治州/昭通市/红河哈尼族彝族自治州/保山市/文山壮族苗族自治州/普洱市/临沧市/怒江傈僳族自治州/迪庆藏族自治州/丽江市</t>
  </si>
  <si>
    <t>兰州市</t>
  </si>
  <si>
    <t>临夏回族自治州/定西市/平凉市/庆阳市/金昌市/武威市/张掖市/嘉峪关市/酒泉市/天水市/陇南市/甘南藏族自治州/白银市</t>
  </si>
  <si>
    <t>西安市/咸阳市</t>
  </si>
  <si>
    <t>宝鸡市/铜川市</t>
  </si>
  <si>
    <t>延安市/榆林市/渭南市/商洛市/安康市/汉中市</t>
  </si>
  <si>
    <t>杭州市/嘉兴市/宁波市</t>
  </si>
  <si>
    <t>湖州市/绍兴市/金华市</t>
  </si>
  <si>
    <t>台州市/温州市</t>
  </si>
  <si>
    <t>衢州市/丽水市/舟山市</t>
  </si>
  <si>
    <t>呼和浩特市</t>
  </si>
  <si>
    <t>包头市</t>
  </si>
  <si>
    <t>呼伦贝尔市/乌海市/乌兰察布市/通辽市/赤峰市/鄂尔多斯市/巴彦淖尔市/锡林郭勒盟/兴安盟/阿拉善盟</t>
  </si>
  <si>
    <t>西宁市</t>
  </si>
  <si>
    <t>海北藏族自治州/海东市/黄南藏族自治州/海南藏族自治州/果洛藏族自治州/玉树藏族自治州/海西蒙古族藏族自治州</t>
  </si>
  <si>
    <t>抚顺市/本溪市/铁岭市/沈阳市/大连市</t>
  </si>
  <si>
    <t>鞍山市</t>
  </si>
  <si>
    <t>丹东市/锦州市/营口市/阜新市/辽阳市/朝阳市/盘锦市/葫芦岛市</t>
  </si>
  <si>
    <t>哈尔滨市</t>
  </si>
  <si>
    <t>齐齐哈尔市/牡丹江市/佳木斯市/绥化市/黑河市/大兴安岭地区/伊春市/大庆市/七台河市/鸡西市/鹤岗市/双鸭山市</t>
  </si>
  <si>
    <t>北京市</t>
  </si>
  <si>
    <t>太原市/晋中市</t>
  </si>
  <si>
    <t>朔州市/忻州市/大同市/阳泉市/长治市/晋城市/临汾市/吕梁市/运城市</t>
  </si>
  <si>
    <t>防城港市/桂林市/贵港市/玉林市/钦州市/北海市</t>
  </si>
  <si>
    <t>厦门市</t>
  </si>
  <si>
    <t>莆田市/泉州市/漳州市/龙岩市</t>
  </si>
  <si>
    <t>福州市</t>
  </si>
  <si>
    <t>宁德市/三明市/南平市</t>
  </si>
  <si>
    <t>邯郸市/保定市/雄安新区/衡水市/邢台市/阳泉市</t>
  </si>
  <si>
    <t>郴州市/张家界市/怀化市/永州市/铜仁市</t>
  </si>
  <si>
    <t>贵阳市</t>
  </si>
  <si>
    <t>遵义市/安顺市</t>
  </si>
  <si>
    <t>鹰潭市/新余市/九江市/上饶市/抚州市/吉安市/赣州市/景德镇市</t>
  </si>
  <si>
    <t>武汉市</t>
  </si>
  <si>
    <t>襄阳市/荆州市/宜昌市/恩施土家族苗族自治州/神农架林区/十堰市/荆门市</t>
  </si>
  <si>
    <t>信阳市/鄂州市/孝感市/黄冈市/黄石市/咸宁市/随州市/潜江市/仙桃市/天门市</t>
  </si>
  <si>
    <t>滁州市</t>
  </si>
  <si>
    <t>绵阳市/乐山市/雅安市/德阳市/广元市</t>
  </si>
  <si>
    <t>自贡市/南充市/达州市/遂宁市/广安市/巴中市/泸州市/宜宾市/内江市</t>
  </si>
  <si>
    <t>盐城市</t>
  </si>
  <si>
    <t>无锡市</t>
  </si>
  <si>
    <t>南京市</t>
  </si>
  <si>
    <t>淮安市</t>
  </si>
  <si>
    <t>徐州市/连云港市/宿迁市</t>
  </si>
  <si>
    <t>南通市</t>
  </si>
  <si>
    <t>抚顺市/本溪市/铁岭市</t>
  </si>
  <si>
    <t>沈阳市</t>
  </si>
  <si>
    <t>鞍山市/丹东市/营口市/辽阳市/朝阳市/盘锦市</t>
  </si>
  <si>
    <t>大连市</t>
  </si>
  <si>
    <t>运城市/延安市/渭南市/商洛市/安康市/汉中市/宝鸡市/铜川市/天水市</t>
  </si>
  <si>
    <t>吉林市/延边朝鲜族自治州/四平市/通化市/白城市/辽源市/松原市/白山市</t>
  </si>
  <si>
    <t>齐齐哈尔市/牡丹江市/佳木斯市/绥化市/鸡西市</t>
  </si>
  <si>
    <t>朔州市/忻州市/大同市/长治市/晋城市/吕梁市/榆林市</t>
  </si>
  <si>
    <t>石家庄市</t>
  </si>
  <si>
    <t>岳阳市/衡阳市/常德市/益阳市/娄底市/邵阳市/宜春市/萍乡市</t>
  </si>
  <si>
    <t>无锡市/苏州市/南通市/盐城市</t>
  </si>
  <si>
    <t>柳州市/来宾市</t>
  </si>
  <si>
    <t>大理白族自治州/红河哈尼族彝族自治州/曲靖市/玉溪市/楚雄彝族自治州</t>
  </si>
  <si>
    <t>黔南布依族苗族自治州/毕节市/六盘水市</t>
  </si>
  <si>
    <t>镇江市/扬州市/泰州市</t>
  </si>
  <si>
    <t>南通市/盐城市</t>
  </si>
  <si>
    <t>无锡市/苏州市/常州市</t>
  </si>
  <si>
    <t>廊坊市</t>
  </si>
  <si>
    <t>邯郸市/石家庄市/保定市/雄安新区/张家口市/承德市/唐山市/沧州市/衡水市/邢台市/秦皇岛市</t>
  </si>
  <si>
    <t>物料明细</t>
  </si>
  <si>
    <t>序号</t>
  </si>
  <si>
    <t>物料分类</t>
  </si>
  <si>
    <t>物料编码</t>
  </si>
  <si>
    <t>物料名称规格</t>
  </si>
  <si>
    <t>单机用量</t>
  </si>
  <si>
    <t>未税单价</t>
  </si>
  <si>
    <t>损耗率</t>
  </si>
  <si>
    <t>金额</t>
  </si>
  <si>
    <t>是否客供</t>
  </si>
  <si>
    <t>备注</t>
  </si>
  <si>
    <t>硬件</t>
  </si>
  <si>
    <t>IC001</t>
  </si>
  <si>
    <t>电源管理IC TO252</t>
  </si>
  <si>
    <t>硬件</t>
  </si>
  <si>
    <t>R001</t>
  </si>
  <si>
    <t>片式电阻04021kΩ</t>
  </si>
  <si>
    <t>包装材料</t>
  </si>
  <si>
    <t>PKG001</t>
  </si>
  <si>
    <t>纸箱670×387×406</t>
  </si>
  <si>
    <t>客供料</t>
  </si>
  <si>
    <t>CUST001</t>
  </si>
  <si>
    <t>客户提供物料</t>
  </si>
  <si>
    <t>是</t>
  </si>
  <si>
    <t>客供不计入报价</t>
  </si>
  <si>
    <t>加工费及工装治具</t>
  </si>
  <si>
    <t>一、加工费</t>
  </si>
  <si>
    <t>类型</t>
  </si>
  <si>
    <t>工序名称</t>
  </si>
  <si>
    <t>数量/点数</t>
  </si>
  <si>
    <t>单价</t>
  </si>
  <si>
    <t>确认</t>
  </si>
  <si>
    <t>费用</t>
  </si>
  <si>
    <t>内部成本</t>
  </si>
  <si>
    <t>差异</t>
  </si>
  <si>
    <t>SMT</t>
  </si>
  <si>
    <t>0402/0603贴片</t>
  </si>
  <si>
    <t>是</t>
  </si>
  <si>
    <t>AI</t>
  </si>
  <si>
    <t>机插</t>
  </si>
  <si>
    <t>是</t>
  </si>
  <si>
    <t>DIP</t>
  </si>
  <si>
    <t>DIP焊接</t>
  </si>
  <si>
    <t>是</t>
  </si>
  <si>
    <t>组装</t>
  </si>
  <si>
    <t>装配人工</t>
  </si>
  <si>
    <t>是</t>
  </si>
  <si>
    <t>测试</t>
  </si>
  <si>
    <t>FCT/ICT</t>
  </si>
  <si>
    <t>是</t>
  </si>
  <si>
    <t>包装</t>
  </si>
  <si>
    <t>包装人工</t>
  </si>
  <si>
    <t>是</t>
  </si>
  <si>
    <t>物流</t>
  </si>
  <si>
    <t>物流费用</t>
  </si>
  <si>
    <t>是</t>
  </si>
  <si>
    <t>加工费小计</t>
  </si>
  <si>
    <t>二、工装治具</t>
  </si>
  <si>
    <t>类型</t>
  </si>
  <si>
    <t>治具名称</t>
  </si>
  <si>
    <t>数量</t>
  </si>
  <si>
    <t>单价</t>
  </si>
  <si>
    <t>总价</t>
  </si>
  <si>
    <t>确认</t>
  </si>
  <si>
    <t>分摊数量</t>
  </si>
  <si>
    <t>单台分摊</t>
  </si>
  <si>
    <t>钢网</t>
  </si>
  <si>
    <t>SMT钢网</t>
  </si>
  <si>
    <t>是</t>
  </si>
  <si>
    <t>测试工装</t>
  </si>
  <si>
    <t>FCT测试工装</t>
  </si>
  <si>
    <t>否</t>
  </si>
  <si>
    <t>模具</t>
  </si>
  <si>
    <t>注塑模具</t>
  </si>
  <si>
    <t>否</t>
  </si>
  <si>
    <t>其他</t>
  </si>
  <si>
    <t>其他一次性费用</t>
  </si>
  <si>
    <t>否</t>
  </si>
  <si>
    <t>参数设置</t>
  </si>
  <si>
    <t>参数项</t>
  </si>
  <si>
    <t>参数值</t>
  </si>
  <si>
    <t>说明</t>
  </si>
  <si>
    <t>税率</t>
  </si>
  <si>
    <t>增值税率，默认13%</t>
  </si>
  <si>
    <t>目标毛利率</t>
  </si>
  <si>
    <t>报价目标毛利率</t>
  </si>
  <si>
    <t>默认损耗率</t>
  </si>
  <si>
    <t>物料未填损耗率时使用</t>
  </si>
  <si>
    <t>默认分摊数量</t>
  </si>
  <si>
    <t>工装治具费用默认分摊数量</t>
  </si>
  <si>
    <t>二、包装与整托参数</t>
  </si>
  <si>
    <t>参数项</t>
  </si>
  <si>
    <t>参数值</t>
  </si>
  <si>
    <t>单位</t>
  </si>
  <si>
    <t>说明</t>
  </si>
  <si>
    <t>防静电袋单价</t>
  </si>
  <si>
    <t>元/㎡</t>
  </si>
  <si>
    <t>防静电袋单边余量</t>
  </si>
  <si>
    <t>mm</t>
  </si>
  <si>
    <t>干燥剂单价</t>
  </si>
  <si>
    <t>元/袋</t>
  </si>
  <si>
    <t>湿度指示卡单价</t>
  </si>
  <si>
    <t>元/张</t>
  </si>
  <si>
    <t>EPE珍珠棉单价</t>
  </si>
  <si>
    <t>元/m³</t>
  </si>
  <si>
    <t>EPE珍珠棉密度</t>
  </si>
  <si>
    <t>kg/m³</t>
  </si>
  <si>
    <t>单瓦楞3层纸板</t>
  </si>
  <si>
    <t>元/㎡</t>
  </si>
  <si>
    <t>双瓦楞5层纸板</t>
  </si>
  <si>
    <t>元/㎡</t>
  </si>
  <si>
    <t>重型7层纸板</t>
  </si>
  <si>
    <t>元/㎡</t>
  </si>
  <si>
    <t>双瓦楞纸板克重</t>
  </si>
  <si>
    <t>g/㎡</t>
  </si>
  <si>
    <t>纸箱制箱加工费</t>
  </si>
  <si>
    <t>元/个</t>
  </si>
  <si>
    <t>材料损耗率</t>
  </si>
  <si>
    <t>比例</t>
  </si>
  <si>
    <t>箱内装配间隙</t>
  </si>
  <si>
    <t>mm</t>
  </si>
  <si>
    <t>封箱胶带</t>
  </si>
  <si>
    <t>元/箱</t>
  </si>
  <si>
    <t>标签</t>
  </si>
  <si>
    <t>元/张</t>
  </si>
  <si>
    <t>托盘单价</t>
  </si>
  <si>
    <t>元/托</t>
  </si>
  <si>
    <t>托盘重复使用次数</t>
  </si>
  <si>
    <t>次</t>
  </si>
  <si>
    <t>缠绕膜单价</t>
  </si>
  <si>
    <t>元/kg</t>
  </si>
  <si>
    <t>缠绕膜用量</t>
  </si>
  <si>
    <t>kg/托</t>
  </si>
  <si>
    <t>护角</t>
  </si>
  <si>
    <t>元/套</t>
  </si>
  <si>
    <t>打包带</t>
  </si>
  <si>
    <t>元/托</t>
  </si>
  <si>
    <t>托盘有效面积</t>
  </si>
  <si>
    <t>㎡</t>
  </si>
  <si>
    <t>每托层数</t>
  </si>
  <si>
    <t>层</t>
  </si>
  <si>
    <t>三、物流参数</t>
  </si>
  <si>
    <t>参数项</t>
  </si>
  <si>
    <t>参数值</t>
  </si>
  <si>
    <t>单位</t>
  </si>
  <si>
    <t>说明</t>
  </si>
  <si>
    <t>体积重系数</t>
  </si>
  <si>
    <t>㎝³/kg</t>
  </si>
  <si>
    <t>保费费率</t>
  </si>
  <si>
    <t>‰即0.4%</t>
  </si>
  <si>
    <t>保费最低收费</t>
  </si>
  <si>
    <t>元/票</t>
  </si>
  <si>
    <t>是否计保费</t>
  </si>
  <si>
    <t>否</t>
  </si>
  <si>
    <t>是/否</t>
  </si>
  <si>
    <t>包装费计算（自动，成品尺寸→单件包装费）</t>
  </si>
  <si>
    <t>输入（自动取自报价汇总）</t>
  </si>
  <si>
    <t>成品长(mm)</t>
  </si>
  <si>
    <t>成品宽(mm)</t>
  </si>
  <si>
    <t>成品高(mm)</t>
  </si>
  <si>
    <t>每箱件数N</t>
  </si>
  <si>
    <t>是否含整托</t>
  </si>
  <si>
    <t>成品最大边长(mm)</t>
  </si>
  <si>
    <t>包装几何（自动）</t>
  </si>
  <si>
    <t>推荐缓冲厚度t(mm)</t>
  </si>
  <si>
    <t>箱内长(mm)</t>
  </si>
  <si>
    <t>箱内宽(mm)</t>
  </si>
  <si>
    <t>箱内高(mm)</t>
  </si>
  <si>
    <t>单箱体积(㎝³)</t>
  </si>
  <si>
    <t>内包装费用（单件）</t>
  </si>
  <si>
    <t>ESD袋长(mm)</t>
  </si>
  <si>
    <t>ESD袋宽(mm)</t>
  </si>
  <si>
    <t>ESD袋面积(㎡)</t>
  </si>
  <si>
    <t>ESD袋费(元/件)</t>
  </si>
  <si>
    <t>干燥剂费(元/件)</t>
  </si>
  <si>
    <t>湿度卡费(元/件)</t>
  </si>
  <si>
    <t>缓冲体积(㎥/件)</t>
  </si>
  <si>
    <t>缓冲费(元/件)</t>
  </si>
  <si>
    <t>纸箱用纸面积(㎡)</t>
  </si>
  <si>
    <t>瓦楞类型</t>
  </si>
  <si>
    <t>纸板单价(元/㎡)</t>
  </si>
  <si>
    <t>纸箱费(元/箱)</t>
  </si>
  <si>
    <t>纸箱费(元/件)</t>
  </si>
  <si>
    <t>辅料费(元/件)</t>
  </si>
  <si>
    <t>内包装单件费(元)</t>
  </si>
  <si>
    <t>整托分摊（可选）</t>
  </si>
  <si>
    <t>每箱占地(㎡)</t>
  </si>
  <si>
    <t>每托件数(件)</t>
  </si>
  <si>
    <t>每托包装费(元/托)</t>
  </si>
  <si>
    <t>整托分摊(元/件)</t>
  </si>
  <si>
    <t>包装增重(kg/件)</t>
  </si>
  <si>
    <t>包装档位表（自动匹配，按成品最大边长）</t>
  </si>
  <si>
    <t>下限mm</t>
  </si>
  <si>
    <t>上限mm</t>
  </si>
  <si>
    <t>推荐缓冲厚度mm</t>
  </si>
  <si>
    <t>推荐瓦楞</t>
  </si>
  <si>
    <t>单瓦楞3层</t>
  </si>
  <si>
    <t>双瓦楞5层</t>
  </si>
  <si>
    <t>双瓦楞5层</t>
  </si>
  <si>
    <t>重型7层</t>
  </si>
  <si>
    <t>瓦楞单价映射</t>
  </si>
  <si>
    <t>瓦楞类型</t>
  </si>
  <si>
    <t>纸板单价(元/㎡)</t>
  </si>
  <si>
    <t>单瓦楞3层</t>
  </si>
  <si>
    <t>双瓦楞5层</t>
  </si>
  <si>
    <t>重型7层</t>
  </si>
  <si>
    <t>跨越VIP运费费率（源自青岛国创VIP报价表，可按需改价）</t>
  </si>
  <si>
    <t>产品</t>
  </si>
  <si>
    <t>目的省份</t>
  </si>
  <si>
    <t>目的地</t>
  </si>
  <si>
    <t>首重重量</t>
  </si>
  <si>
    <t>首重价格</t>
  </si>
  <si>
    <t>起重</t>
  </si>
  <si>
    <t>最低收费</t>
  </si>
  <si>
    <t>段1单价</t>
  </si>
  <si>
    <t>段2单价</t>
  </si>
  <si>
    <t>段3单价</t>
  </si>
  <si>
    <t>段4单价</t>
  </si>
  <si>
    <t>段5单价</t>
  </si>
  <si>
    <t>段6单价</t>
  </si>
  <si>
    <t>段7单价</t>
  </si>
  <si>
    <t>段8单价</t>
  </si>
  <si>
    <t>段9单价</t>
  </si>
  <si>
    <t>匹配键</t>
  </si>
  <si>
    <t>次日达</t>
  </si>
  <si>
    <t>福建省</t>
  </si>
  <si>
    <t>福州市/厦门市/泉州市</t>
  </si>
  <si>
    <t>次日达|福州市/厦门市/泉州市</t>
  </si>
  <si>
    <t>次日达</t>
  </si>
  <si>
    <t>宁德市/莆田市/漳州市</t>
  </si>
  <si>
    <t>次日达|宁德市/莆田市/漳州市</t>
  </si>
  <si>
    <t>次日达</t>
  </si>
  <si>
    <t>龙岩市/三明市/南平市</t>
  </si>
  <si>
    <t>次日达|龙岩市/三明市/南平市</t>
  </si>
  <si>
    <t>次日达</t>
  </si>
  <si>
    <t>西藏自治区</t>
  </si>
  <si>
    <t>拉萨市</t>
  </si>
  <si>
    <t>次日达|拉萨市</t>
  </si>
  <si>
    <t>次日达</t>
  </si>
  <si>
    <t>日喀则市/山南市/林芝市/昌都市/那曲市/阿里地区</t>
  </si>
  <si>
    <t>次日达|日喀则市/山南市/林芝市/昌都市/那曲市/阿里地区</t>
  </si>
  <si>
    <t>次日达</t>
  </si>
  <si>
    <t>贵州省</t>
  </si>
  <si>
    <t>贵阳市/遵义市/安顺市</t>
  </si>
  <si>
    <t>次日达|贵阳市/遵义市/安顺市</t>
  </si>
  <si>
    <t>次日达</t>
  </si>
  <si>
    <t>黔南布依族苗族自治州/黔东南苗族侗族自治州/铜仁市/毕节市/六盘水市/黔西南布依族苗族自治州</t>
  </si>
  <si>
    <t>次日达|黔南布依族苗族自治州/黔东南苗族侗族自治州/铜仁市/毕节市/六盘水市/黔西南布依族苗族自治州</t>
  </si>
  <si>
    <t>次日达</t>
  </si>
  <si>
    <t>广东省</t>
  </si>
  <si>
    <t>广州市/深圳市/珠海市/中山市/东莞市</t>
  </si>
  <si>
    <t>次日达|广州市/深圳市/珠海市/中山市/东莞市</t>
  </si>
  <si>
    <t>次日达</t>
  </si>
  <si>
    <t>江门市/惠州市/佛山市/肇庆市</t>
  </si>
  <si>
    <t>次日达|江门市/惠州市/佛山市/肇庆市</t>
  </si>
  <si>
    <t>次日达</t>
  </si>
  <si>
    <t>汕尾市/阳江市/揭阳市/茂名市/韶关市/梅州市/汕头市/湛江市/河源市/清远市/云浮市/潮州市</t>
  </si>
  <si>
    <t>次日达|汕尾市/阳江市/揭阳市/茂名市/韶关市/梅州市/汕头市/湛江市/河源市/清远市/云浮市/潮州市</t>
  </si>
  <si>
    <t>次日达</t>
  </si>
  <si>
    <t>湖北省</t>
  </si>
  <si>
    <t>武汉市/鄂州市</t>
  </si>
  <si>
    <t>次日达|武汉市/鄂州市</t>
  </si>
  <si>
    <t>次日达</t>
  </si>
  <si>
    <t>襄阳市/孝感市/黄石市/荆州市/宜昌市/神农架林区/十堰市/随州市/荆门市</t>
  </si>
  <si>
    <t>次日达|襄阳市/孝感市/黄石市/荆州市/宜昌市/神农架林区/十堰市/随州市/荆门市</t>
  </si>
  <si>
    <t>次日达</t>
  </si>
  <si>
    <t>黄冈市/咸宁市/恩施土家族苗族自治州/潜江市/仙桃市/天门市</t>
  </si>
  <si>
    <t>次日达|黄冈市/咸宁市/恩施土家族苗族自治州/潜江市/仙桃市/天门市</t>
  </si>
  <si>
    <t>次日达</t>
  </si>
  <si>
    <t>湖南省</t>
  </si>
  <si>
    <t>株洲市/长沙市/湘潭市</t>
  </si>
  <si>
    <t>次日达|株洲市/长沙市/湘潭市</t>
  </si>
  <si>
    <t>次日达</t>
  </si>
  <si>
    <t>益阳市</t>
  </si>
  <si>
    <t>次日达|益阳市</t>
  </si>
  <si>
    <t>次日达</t>
  </si>
  <si>
    <t>岳阳市/衡阳市/郴州市/常德市/娄底市/邵阳市/湘西土家族苗族自治州/张家界市/怀化市/永州市</t>
  </si>
  <si>
    <t>次日达|岳阳市/衡阳市/郴州市/常德市/娄底市/邵阳市/湘西土家族苗族自治州/张家界市/怀化市/永州市</t>
  </si>
  <si>
    <t>次日达</t>
  </si>
  <si>
    <t>重庆</t>
  </si>
  <si>
    <t>重庆市</t>
  </si>
  <si>
    <t>次日达|重庆市</t>
  </si>
  <si>
    <t>次日达</t>
  </si>
  <si>
    <t>四川省</t>
  </si>
  <si>
    <t>成都市/资阳市/眉山市</t>
  </si>
  <si>
    <t>次日达|成都市/资阳市/眉山市</t>
  </si>
  <si>
    <t>次日达</t>
  </si>
  <si>
    <t>绵阳市</t>
  </si>
  <si>
    <t>次日达|绵阳市</t>
  </si>
  <si>
    <t>次日达</t>
  </si>
  <si>
    <t>自贡市/南充市/达州市/遂宁市/广安市/巴中市/泸州市/宜宾市/内江市/乐山市/雅安市/德阳市/广元市</t>
  </si>
  <si>
    <t>次日达|自贡市/南充市/达州市/遂宁市/广安市/巴中市/泸州市/宜宾市/内江市/乐山市/雅安市/德阳市/广元市</t>
  </si>
  <si>
    <t>次日达</t>
  </si>
  <si>
    <t>攀枝花市/凉山彝族自治州/甘孜藏族自治州/阿坝藏族羌族自治州</t>
  </si>
  <si>
    <t>次日达|攀枝花市/凉山彝族自治州/甘孜藏族自治州/阿坝藏族羌族自治州</t>
  </si>
  <si>
    <t>次日达</t>
  </si>
  <si>
    <t>安徽省</t>
  </si>
  <si>
    <t>合肥市/芜湖市/马鞍山市</t>
  </si>
  <si>
    <t>次日达|合肥市/芜湖市/马鞍山市</t>
  </si>
  <si>
    <t>次日达</t>
  </si>
  <si>
    <t>滁州市/蚌埠市/六安市</t>
  </si>
  <si>
    <t>次日达|滁州市/蚌埠市/六安市</t>
  </si>
  <si>
    <t>次日达</t>
  </si>
  <si>
    <t>淮南市/安庆市/宿州市/亳州市/阜阳市/黄山市/淮北市/铜陵市/宣城市/池州市</t>
  </si>
  <si>
    <t>次日达|淮南市/安庆市/宿州市/亳州市/阜阳市/黄山市/淮北市/铜陵市/宣城市/池州市</t>
  </si>
  <si>
    <t>次日达</t>
  </si>
  <si>
    <t>新疆维吾尔自治区</t>
  </si>
  <si>
    <t>乌鲁木齐市</t>
  </si>
  <si>
    <t>次日达|乌鲁木齐市</t>
  </si>
  <si>
    <t>次日达</t>
  </si>
  <si>
    <t>塔城地区/白杨市/新星市/哈密市/昆玉市/和田地区/北屯市/阿勒泰地区/克孜勒苏柯尔克孜自治州/双河市/博尔塔拉蒙古自治州/克拉玛依市/胡杨河市/石河子市/五家渠市/昌吉回族自治州/吐鲁番市/巴音郭楞蒙古自治州/铁门关市/阿克苏地区/阿拉尔市/图木舒克市/喀什地区/伊犁哈萨克自治州/可克达拉市</t>
  </si>
  <si>
    <t>次日达|塔城地区/白杨市/新星市/哈密市/昆玉市/和田地区/北屯市/阿勒泰地区/克孜勒苏柯尔克孜自治州/双河市/博尔塔拉蒙古自治州/克拉玛依市/胡杨河市/石河子市/五家渠市/昌吉回族自治州/吐鲁番市/巴音郭楞蒙古自治州/铁门关市/阿克苏地区/阿拉尔市/图木舒克市/喀什地区/伊犁哈萨克自治州/可克达拉市</t>
  </si>
  <si>
    <t>次日达</t>
  </si>
  <si>
    <t>江苏省</t>
  </si>
  <si>
    <t>南京市/无锡市/苏州市/常州市</t>
  </si>
  <si>
    <t>次日达|南京市/无锡市/苏州市/常州市</t>
  </si>
  <si>
    <t>次日达</t>
  </si>
  <si>
    <t>镇江市/南通市/扬州市</t>
  </si>
  <si>
    <t>次日达|镇江市/南通市/扬州市</t>
  </si>
  <si>
    <t>次日达</t>
  </si>
  <si>
    <t>盐城市/徐州市/淮安市/连云港市/泰州市/宿迁市</t>
  </si>
  <si>
    <t>次日达|盐城市/徐州市/淮安市/连云港市/泰州市/宿迁市</t>
  </si>
  <si>
    <t>次日达</t>
  </si>
  <si>
    <t>天津</t>
  </si>
  <si>
    <t>天津市</t>
  </si>
  <si>
    <t>次日达|天津市</t>
  </si>
  <si>
    <t>次日达</t>
  </si>
  <si>
    <t>吉林省</t>
  </si>
  <si>
    <t>长春市</t>
  </si>
  <si>
    <t>次日达|长春市</t>
  </si>
  <si>
    <t>次日达</t>
  </si>
  <si>
    <t>吉林市</t>
  </si>
  <si>
    <t>次日达|吉林市</t>
  </si>
  <si>
    <t>次日达</t>
  </si>
  <si>
    <t>延边朝鲜族自治州/四平市/通化市/白城市/辽源市/松原市/白山市</t>
  </si>
  <si>
    <t>次日达|延边朝鲜族自治州/四平市/通化市/白城市/辽源市/松原市/白山市</t>
  </si>
  <si>
    <t>次日达</t>
  </si>
  <si>
    <t>宁夏回族自治区</t>
  </si>
  <si>
    <t>银川市</t>
  </si>
  <si>
    <t>次日达|银川市</t>
  </si>
  <si>
    <t>次日达</t>
  </si>
  <si>
    <t>石嘴山市/吴忠市/固原市/中卫市</t>
  </si>
  <si>
    <t>次日达|石嘴山市/吴忠市/固原市/中卫市</t>
  </si>
  <si>
    <t>次日达</t>
  </si>
  <si>
    <t>河北省</t>
  </si>
  <si>
    <t>石家庄市/廊坊市</t>
  </si>
  <si>
    <t>次日达|石家庄市/廊坊市</t>
  </si>
  <si>
    <t>次日达</t>
  </si>
  <si>
    <t>邯郸市/保定市/雄安新区/唐山市/沧州市/秦皇岛市</t>
  </si>
  <si>
    <t>次日达|邯郸市/保定市/雄安新区/唐山市/沧州市/秦皇岛市</t>
  </si>
  <si>
    <t>次日达</t>
  </si>
  <si>
    <t>张家口市/承德市/衡水市/邢台市</t>
  </si>
  <si>
    <t>次日达|张家口市/承德市/衡水市/邢台市</t>
  </si>
  <si>
    <t>次日达</t>
  </si>
  <si>
    <t>河南省</t>
  </si>
  <si>
    <t>开封市/郑州市</t>
  </si>
  <si>
    <t>次日达|开封市/郑州市</t>
  </si>
  <si>
    <t>次日达</t>
  </si>
  <si>
    <t>新乡市/许昌市/信阳市/洛阳市/鹤壁市</t>
  </si>
  <si>
    <t>次日达|新乡市/许昌市/信阳市/洛阳市/鹤壁市</t>
  </si>
  <si>
    <t>次日达</t>
  </si>
  <si>
    <t>商丘市/安阳市/平顶山市/南阳市/焦作市/济源市/濮阳市/周口市/漯河市/驻马店市/三门峡市</t>
  </si>
  <si>
    <t>次日达|商丘市/安阳市/平顶山市/南阳市/焦作市/济源市/濮阳市/周口市/漯河市/驻马店市/三门峡市</t>
  </si>
  <si>
    <t>次日达</t>
  </si>
  <si>
    <t>广西壮族自治区</t>
  </si>
  <si>
    <t>崇左市/南宁市</t>
  </si>
  <si>
    <t>次日达|崇左市/南宁市</t>
  </si>
  <si>
    <t>次日达</t>
  </si>
  <si>
    <t>柳州市/来宾市/桂林市</t>
  </si>
  <si>
    <t>次日达|柳州市/来宾市/桂林市</t>
  </si>
  <si>
    <t>次日达</t>
  </si>
  <si>
    <t>防城港市/梧州市/贺州市/贵港市/玉林市/百色市/钦州市/河池市/北海市</t>
  </si>
  <si>
    <t>次日达|防城港市/梧州市/贺州市/贵港市/玉林市/百色市/钦州市/河池市/北海市</t>
  </si>
  <si>
    <t>次日达</t>
  </si>
  <si>
    <t>海南省</t>
  </si>
  <si>
    <t>屯昌县/五指山市/白沙黎族自治县/东方市/保亭黎族苗族自治县/琼中黎族苗族自治县/定安县/临高县/陵水黎族自治县/文昌市/海口市/万宁市/乐东黎族自治县/琼海市/澄迈县/昌江黎族自治县/儋州市/三亚市/三沙市</t>
  </si>
  <si>
    <t>次日达|屯昌县/五指山市/白沙黎族自治县/东方市/保亭黎族苗族自治县/琼中黎族苗族自治县/定安县/临高县/陵水黎族自治县/文昌市/海口市/万宁市/乐东黎族自治县/琼海市/澄迈县/昌江黎族自治县/儋州市/三亚市/三沙市</t>
  </si>
  <si>
    <t>次日达</t>
  </si>
  <si>
    <t>上海</t>
  </si>
  <si>
    <t>上海市</t>
  </si>
  <si>
    <t>次日达|上海市</t>
  </si>
  <si>
    <t>次日达</t>
  </si>
  <si>
    <t>江西省</t>
  </si>
  <si>
    <t>南昌市</t>
  </si>
  <si>
    <t>次日达|南昌市</t>
  </si>
  <si>
    <t>次日达</t>
  </si>
  <si>
    <t>九江市/吉安市/赣州市</t>
  </si>
  <si>
    <t>次日达|九江市/吉安市/赣州市</t>
  </si>
  <si>
    <t>次日达</t>
  </si>
  <si>
    <t>鹰潭市/新余市/上饶市/抚州市/宜春市/景德镇市/萍乡市</t>
  </si>
  <si>
    <t>次日达|鹰潭市/新余市/上饶市/抚州市/宜春市/景德镇市/萍乡市</t>
  </si>
  <si>
    <t>次日达</t>
  </si>
  <si>
    <t>云南省</t>
  </si>
  <si>
    <t>昆明市</t>
  </si>
  <si>
    <t>次日达|昆明市</t>
  </si>
  <si>
    <t>次日达</t>
  </si>
  <si>
    <t>大理白族自治州/曲靖市/玉溪市/楚雄彝族自治州</t>
  </si>
  <si>
    <t>次日达|大理白族自治州/曲靖市/玉溪市/楚雄彝族自治州</t>
  </si>
  <si>
    <t>次日达</t>
  </si>
  <si>
    <t>西双版纳傣族自治州/德宏傣族景颇族自治州/昭通市/红河哈尼族彝族自治州/保山市/文山壮族苗族自治州/普洱市/临沧市/怒江傈僳族自治州/迪庆藏族自治州/丽江市</t>
  </si>
  <si>
    <t>次日达|西双版纳傣族自治州/德宏傣族景颇族自治州/昭通市/红河哈尼族彝族自治州/保山市/文山壮族苗族自治州/普洱市/临沧市/怒江傈僳族自治州/迪庆藏族自治州/丽江市</t>
  </si>
  <si>
    <t>次日达</t>
  </si>
  <si>
    <t>甘肃省</t>
  </si>
  <si>
    <t>兰州市</t>
  </si>
  <si>
    <t>次日达|兰州市</t>
  </si>
  <si>
    <t>次日达</t>
  </si>
  <si>
    <t>临夏回族自治州/定西市/平凉市/庆阳市/金昌市/武威市/张掖市/嘉峪关市/酒泉市/天水市/陇南市/甘南藏族自治州/白银市</t>
  </si>
  <si>
    <t>次日达|临夏回族自治州/定西市/平凉市/庆阳市/金昌市/武威市/张掖市/嘉峪关市/酒泉市/天水市/陇南市/甘南藏族自治州/白银市</t>
  </si>
  <si>
    <t>次日达</t>
  </si>
  <si>
    <t>陕西省</t>
  </si>
  <si>
    <t>西安市/咸阳市</t>
  </si>
  <si>
    <t>次日达|西安市/咸阳市</t>
  </si>
  <si>
    <t>次日达</t>
  </si>
  <si>
    <t>宝鸡市/铜川市</t>
  </si>
  <si>
    <t>次日达|宝鸡市/铜川市</t>
  </si>
  <si>
    <t>次日达</t>
  </si>
  <si>
    <t>延安市/榆林市/渭南市/商洛市/安康市/汉中市</t>
  </si>
  <si>
    <t>次日达|延安市/榆林市/渭南市/商洛市/安康市/汉中市</t>
  </si>
  <si>
    <t>次日达</t>
  </si>
  <si>
    <t>浙江省</t>
  </si>
  <si>
    <t>杭州市/嘉兴市/宁波市</t>
  </si>
  <si>
    <t>次日达|杭州市/嘉兴市/宁波市</t>
  </si>
  <si>
    <t>次日达</t>
  </si>
  <si>
    <t>湖州市/绍兴市/金华市</t>
  </si>
  <si>
    <t>次日达|湖州市/绍兴市/金华市</t>
  </si>
  <si>
    <t>次日达</t>
  </si>
  <si>
    <t>台州市/温州市</t>
  </si>
  <si>
    <t>次日达|台州市/温州市</t>
  </si>
  <si>
    <t>次日达</t>
  </si>
  <si>
    <t>衢州市/丽水市/舟山市</t>
  </si>
  <si>
    <t>次日达|衢州市/丽水市/舟山市</t>
  </si>
  <si>
    <t>次日达</t>
  </si>
  <si>
    <t>内蒙古自治区</t>
  </si>
  <si>
    <t>呼和浩特市</t>
  </si>
  <si>
    <t>次日达|呼和浩特市</t>
  </si>
  <si>
    <t>次日达</t>
  </si>
  <si>
    <t>包头市</t>
  </si>
  <si>
    <t>次日达|包头市</t>
  </si>
  <si>
    <t>次日达</t>
  </si>
  <si>
    <t>呼伦贝尔市/乌海市/乌兰察布市/通辽市/赤峰市/鄂尔多斯市/巴彦淖尔市/锡林郭勒盟/兴安盟/阿拉善盟</t>
  </si>
  <si>
    <t>次日达|呼伦贝尔市/乌海市/乌兰察布市/通辽市/赤峰市/鄂尔多斯市/巴彦淖尔市/锡林郭勒盟/兴安盟/阿拉善盟</t>
  </si>
  <si>
    <t>次日达</t>
  </si>
  <si>
    <t>青海省</t>
  </si>
  <si>
    <t>西宁市</t>
  </si>
  <si>
    <t>次日达|西宁市</t>
  </si>
  <si>
    <t>次日达</t>
  </si>
  <si>
    <t>海北藏族自治州/海东市/黄南藏族自治州/海南藏族自治州/果洛藏族自治州/玉树藏族自治州/海西蒙古族藏族自治州</t>
  </si>
  <si>
    <t>次日达|海北藏族自治州/海东市/黄南藏族自治州/海南藏族自治州/果洛藏族自治州/玉树藏族自治州/海西蒙古族藏族自治州</t>
  </si>
  <si>
    <t>次日达</t>
  </si>
  <si>
    <t>辽宁省</t>
  </si>
  <si>
    <t>抚顺市/本溪市/铁岭市/沈阳市/大连市</t>
  </si>
  <si>
    <t>次日达|抚顺市/本溪市/铁岭市/沈阳市/大连市</t>
  </si>
  <si>
    <t>次日达</t>
  </si>
  <si>
    <t>鞍山市</t>
  </si>
  <si>
    <t>次日达|鞍山市</t>
  </si>
  <si>
    <t>次日达</t>
  </si>
  <si>
    <t>丹东市/锦州市/营口市/阜新市/辽阳市/朝阳市/盘锦市/葫芦岛市</t>
  </si>
  <si>
    <t>次日达|丹东市/锦州市/营口市/阜新市/辽阳市/朝阳市/盘锦市/葫芦岛市</t>
  </si>
  <si>
    <t>次日达</t>
  </si>
  <si>
    <t>黑龙江省</t>
  </si>
  <si>
    <t>哈尔滨市</t>
  </si>
  <si>
    <t>次日达|哈尔滨市</t>
  </si>
  <si>
    <t>次日达</t>
  </si>
  <si>
    <t>齐齐哈尔市/牡丹江市/佳木斯市/绥化市/黑河市/大兴安岭地区/伊春市/大庆市/七台河市/鸡西市/鹤岗市/双鸭山市</t>
  </si>
  <si>
    <t>次日达|齐齐哈尔市/牡丹江市/佳木斯市/绥化市/黑河市/大兴安岭地区/伊春市/大庆市/七台河市/鸡西市/鹤岗市/双鸭山市</t>
  </si>
  <si>
    <t>次日达</t>
  </si>
  <si>
    <t>北京</t>
  </si>
  <si>
    <t>北京市</t>
  </si>
  <si>
    <t>次日达|北京市</t>
  </si>
  <si>
    <t>次日达</t>
  </si>
  <si>
    <t>山西省</t>
  </si>
  <si>
    <t>太原市/晋中市</t>
  </si>
  <si>
    <t>次日达|太原市/晋中市</t>
  </si>
  <si>
    <t>次日达</t>
  </si>
  <si>
    <t>朔州市/忻州市/大同市/阳泉市/长治市/晋城市/临汾市/吕梁市/运城市</t>
  </si>
  <si>
    <t>次日达|朔州市/忻州市/大同市/阳泉市/长治市/晋城市/临汾市/吕梁市/运城市</t>
  </si>
  <si>
    <t>特惠普运</t>
  </si>
  <si>
    <t>广西壮族自治区</t>
  </si>
  <si>
    <t>崇左市/南宁市</t>
  </si>
  <si>
    <t>特惠普运|崇左市/南宁市</t>
  </si>
  <si>
    <t>特惠普运</t>
  </si>
  <si>
    <t>防城港市/桂林市/贵港市/玉林市/钦州市/北海市</t>
  </si>
  <si>
    <t>特惠普运|防城港市/桂林市/贵港市/玉林市/钦州市/北海市</t>
  </si>
  <si>
    <t>特惠普运</t>
  </si>
  <si>
    <t>福建省</t>
  </si>
  <si>
    <t>厦门市</t>
  </si>
  <si>
    <t>特惠普运|厦门市</t>
  </si>
  <si>
    <t>特惠普运</t>
  </si>
  <si>
    <t>莆田市/泉州市/漳州市/龙岩市</t>
  </si>
  <si>
    <t>特惠普运|莆田市/泉州市/漳州市/龙岩市</t>
  </si>
  <si>
    <t>特惠普运</t>
  </si>
  <si>
    <t>福州市</t>
  </si>
  <si>
    <t>特惠普运|福州市</t>
  </si>
  <si>
    <t>特惠普运</t>
  </si>
  <si>
    <t>宁德市/三明市/南平市</t>
  </si>
  <si>
    <t>特惠普运|宁德市/三明市/南平市</t>
  </si>
  <si>
    <t>特惠普运</t>
  </si>
  <si>
    <t>山西省/河北省</t>
  </si>
  <si>
    <t>邯郸市/保定市/雄安新区/衡水市/邢台市/阳泉市</t>
  </si>
  <si>
    <t>特惠普运|邯郸市/保定市/雄安新区/衡水市/邢台市/阳泉市</t>
  </si>
  <si>
    <t>特惠普运</t>
  </si>
  <si>
    <t>湖南省/贵州省</t>
  </si>
  <si>
    <t>郴州市/张家界市/怀化市/永州市/铜仁市</t>
  </si>
  <si>
    <t>特惠普运|郴州市/张家界市/怀化市/永州市/铜仁市</t>
  </si>
  <si>
    <t>特惠普运</t>
  </si>
  <si>
    <t>贵州省</t>
  </si>
  <si>
    <t>贵阳市</t>
  </si>
  <si>
    <t>特惠普运|贵阳市</t>
  </si>
  <si>
    <t>特惠普运</t>
  </si>
  <si>
    <t>遵义市/安顺市</t>
  </si>
  <si>
    <t>特惠普运|遵义市/安顺市</t>
  </si>
  <si>
    <t>特惠普运</t>
  </si>
  <si>
    <t>江西省</t>
  </si>
  <si>
    <t>南昌市</t>
  </si>
  <si>
    <t>特惠普运|南昌市</t>
  </si>
  <si>
    <t>特惠普运</t>
  </si>
  <si>
    <t>鹰潭市/新余市/九江市/上饶市/抚州市/吉安市/赣州市/景德镇市</t>
  </si>
  <si>
    <t>特惠普运|鹰潭市/新余市/九江市/上饶市/抚州市/吉安市/赣州市/景德镇市</t>
  </si>
  <si>
    <t>特惠普运</t>
  </si>
  <si>
    <t>湖北省</t>
  </si>
  <si>
    <t>武汉市</t>
  </si>
  <si>
    <t>特惠普运|武汉市</t>
  </si>
  <si>
    <t>特惠普运</t>
  </si>
  <si>
    <t>襄阳市/荆州市/宜昌市/恩施土家族苗族自治州/神农架林区/十堰市/荆门市</t>
  </si>
  <si>
    <t>特惠普运|襄阳市/荆州市/宜昌市/恩施土家族苗族自治州/神农架林区/十堰市/荆门市</t>
  </si>
  <si>
    <t>特惠普运</t>
  </si>
  <si>
    <t>湖南省</t>
  </si>
  <si>
    <t>株洲市/长沙市/湘潭市</t>
  </si>
  <si>
    <t>特惠普运|株洲市/长沙市/湘潭市</t>
  </si>
  <si>
    <t>特惠普运</t>
  </si>
  <si>
    <t>河南省/湖北省</t>
  </si>
  <si>
    <t>信阳市/鄂州市/孝感市/黄冈市/黄石市/咸宁市/随州市/潜江市/仙桃市/天门市</t>
  </si>
  <si>
    <t>特惠普运|信阳市/鄂州市/孝感市/黄冈市/黄石市/咸宁市/随州市/潜江市/仙桃市/天门市</t>
  </si>
  <si>
    <t>特惠普运</t>
  </si>
  <si>
    <t>重庆</t>
  </si>
  <si>
    <t>重庆市</t>
  </si>
  <si>
    <t>特惠普运|重庆市</t>
  </si>
  <si>
    <t>特惠普运</t>
  </si>
  <si>
    <t>安徽省</t>
  </si>
  <si>
    <t>滁州市</t>
  </si>
  <si>
    <t>特惠普运|滁州市</t>
  </si>
  <si>
    <t>特惠普运</t>
  </si>
  <si>
    <t>四川省</t>
  </si>
  <si>
    <t>绵阳市/乐山市/雅安市/德阳市/广元市</t>
  </si>
  <si>
    <t>特惠普运|绵阳市/乐山市/雅安市/德阳市/广元市</t>
  </si>
  <si>
    <t>特惠普运</t>
  </si>
  <si>
    <t>自贡市/南充市/达州市/遂宁市/广安市/巴中市/泸州市/宜宾市/内江市</t>
  </si>
  <si>
    <t>特惠普运|自贡市/南充市/达州市/遂宁市/广安市/巴中市/泸州市/宜宾市/内江市</t>
  </si>
  <si>
    <t>特惠普运</t>
  </si>
  <si>
    <t>成都市/资阳市/眉山市</t>
  </si>
  <si>
    <t>特惠普运|成都市/资阳市/眉山市</t>
  </si>
  <si>
    <t>特惠普运</t>
  </si>
  <si>
    <t>陕西省</t>
  </si>
  <si>
    <t>西安市/咸阳市</t>
  </si>
  <si>
    <t>特惠普运|西安市/咸阳市</t>
  </si>
  <si>
    <t>特惠普运</t>
  </si>
  <si>
    <t>江苏省</t>
  </si>
  <si>
    <t>盐城市</t>
  </si>
  <si>
    <t>特惠普运|盐城市</t>
  </si>
  <si>
    <t>特惠普运</t>
  </si>
  <si>
    <t>无锡市</t>
  </si>
  <si>
    <t>特惠普运|无锡市</t>
  </si>
  <si>
    <t>特惠普运</t>
  </si>
  <si>
    <t>南京市</t>
  </si>
  <si>
    <t>特惠普运|南京市</t>
  </si>
  <si>
    <t>特惠普运</t>
  </si>
  <si>
    <t>淮安市</t>
  </si>
  <si>
    <t>特惠普运|淮安市</t>
  </si>
  <si>
    <t>特惠普运</t>
  </si>
  <si>
    <t>徐州市/连云港市/宿迁市</t>
  </si>
  <si>
    <t>特惠普运|徐州市/连云港市/宿迁市</t>
  </si>
  <si>
    <t>特惠普运</t>
  </si>
  <si>
    <t>南通市</t>
  </si>
  <si>
    <t>特惠普运|南通市</t>
  </si>
  <si>
    <t>特惠普运</t>
  </si>
  <si>
    <t>辽宁省</t>
  </si>
  <si>
    <t>抚顺市/本溪市/铁岭市</t>
  </si>
  <si>
    <t>特惠普运|抚顺市/本溪市/铁岭市</t>
  </si>
  <si>
    <t>特惠普运</t>
  </si>
  <si>
    <t>沈阳市</t>
  </si>
  <si>
    <t>特惠普运|沈阳市</t>
  </si>
  <si>
    <t>特惠普运</t>
  </si>
  <si>
    <t>鞍山市/丹东市/营口市/辽阳市/朝阳市/盘锦市</t>
  </si>
  <si>
    <t>特惠普运|鞍山市/丹东市/营口市/辽阳市/朝阳市/盘锦市</t>
  </si>
  <si>
    <t>特惠普运</t>
  </si>
  <si>
    <t>大连市</t>
  </si>
  <si>
    <t>特惠普运|大连市</t>
  </si>
  <si>
    <t>特惠普运</t>
  </si>
  <si>
    <t>山西省/甘肃省/陕西省</t>
  </si>
  <si>
    <t>运城市/延安市/渭南市/商洛市/安康市/汉中市/宝鸡市/铜川市/天水市</t>
  </si>
  <si>
    <t>特惠普运|运城市/延安市/渭南市/商洛市/安康市/汉中市/宝鸡市/铜川市/天水市</t>
  </si>
  <si>
    <t>特惠普运</t>
  </si>
  <si>
    <t>吉林省</t>
  </si>
  <si>
    <t>长春市</t>
  </si>
  <si>
    <t>特惠普运|长春市</t>
  </si>
  <si>
    <t>特惠普运</t>
  </si>
  <si>
    <t>吉林市/延边朝鲜族自治州/四平市/通化市/白城市/辽源市/松原市/白山市</t>
  </si>
  <si>
    <t>特惠普运|吉林市/延边朝鲜族自治州/四平市/通化市/白城市/辽源市/松原市/白山市</t>
  </si>
  <si>
    <t>特惠普运</t>
  </si>
  <si>
    <t>黑龙江省</t>
  </si>
  <si>
    <t>哈尔滨市</t>
  </si>
  <si>
    <t>特惠普运|哈尔滨市</t>
  </si>
  <si>
    <t>特惠普运</t>
  </si>
  <si>
    <t>齐齐哈尔市/牡丹江市/佳木斯市/绥化市/鸡西市</t>
  </si>
  <si>
    <t>特惠普运|齐齐哈尔市/牡丹江市/佳木斯市/绥化市/鸡西市</t>
  </si>
  <si>
    <t>特惠普运</t>
  </si>
  <si>
    <t>山西省/陕西省</t>
  </si>
  <si>
    <t>朔州市/忻州市/大同市/长治市/晋城市/吕梁市/榆林市</t>
  </si>
  <si>
    <t>特惠普运|朔州市/忻州市/大同市/长治市/晋城市/吕梁市/榆林市</t>
  </si>
  <si>
    <t>特惠普运</t>
  </si>
  <si>
    <t>河北省</t>
  </si>
  <si>
    <t>石家庄市</t>
  </si>
  <si>
    <t>特惠普运|石家庄市</t>
  </si>
  <si>
    <t>特惠普运</t>
  </si>
  <si>
    <t>北京</t>
  </si>
  <si>
    <t>北京市</t>
  </si>
  <si>
    <t>特惠普运|北京市</t>
  </si>
  <si>
    <t>特惠普运</t>
  </si>
  <si>
    <t>江西省/湖南省</t>
  </si>
  <si>
    <t>岳阳市/衡阳市/常德市/益阳市/娄底市/邵阳市/宜春市/萍乡市</t>
  </si>
  <si>
    <t>特惠普运|岳阳市/衡阳市/常德市/益阳市/娄底市/邵阳市/宜春市/萍乡市</t>
  </si>
  <si>
    <t>特惠普运</t>
  </si>
  <si>
    <t>山西省</t>
  </si>
  <si>
    <t>太原市/晋中市</t>
  </si>
  <si>
    <t>特惠普运|太原市/晋中市</t>
  </si>
  <si>
    <t>特惠普运</t>
  </si>
  <si>
    <t>上海</t>
  </si>
  <si>
    <t>上海市</t>
  </si>
  <si>
    <t>特惠普运|上海市</t>
  </si>
  <si>
    <t>特惠普运</t>
  </si>
  <si>
    <t>江苏省</t>
  </si>
  <si>
    <t>无锡市/苏州市/南通市/盐城市</t>
  </si>
  <si>
    <t>特惠普运|无锡市/苏州市/南通市/盐城市</t>
  </si>
  <si>
    <t>特惠普运</t>
  </si>
  <si>
    <t>广西壮族自治区</t>
  </si>
  <si>
    <t>柳州市/来宾市</t>
  </si>
  <si>
    <t>特惠普运|柳州市/来宾市</t>
  </si>
  <si>
    <t>特惠普运</t>
  </si>
  <si>
    <t>云南省</t>
  </si>
  <si>
    <t>昆明市</t>
  </si>
  <si>
    <t>特惠普运|昆明市</t>
  </si>
  <si>
    <t>特惠普运</t>
  </si>
  <si>
    <t>大理白族自治州/红河哈尼族彝族自治州/曲靖市/玉溪市/楚雄彝族自治州</t>
  </si>
  <si>
    <t>特惠普运|大理白族自治州/红河哈尼族彝族自治州/曲靖市/玉溪市/楚雄彝族自治州</t>
  </si>
  <si>
    <t>特惠普运</t>
  </si>
  <si>
    <t>贵州省</t>
  </si>
  <si>
    <t>黔南布依族苗族自治州/毕节市/六盘水市</t>
  </si>
  <si>
    <t>特惠普运|黔南布依族苗族自治州/毕节市/六盘水市</t>
  </si>
  <si>
    <t>特惠普运</t>
  </si>
  <si>
    <t>上海</t>
  </si>
  <si>
    <t>上海市</t>
  </si>
  <si>
    <t>特惠普运|上海市</t>
  </si>
  <si>
    <t>特惠普运</t>
  </si>
  <si>
    <t>江苏省</t>
  </si>
  <si>
    <t>镇江市/扬州市/泰州市</t>
  </si>
  <si>
    <t>特惠普运|镇江市/扬州市/泰州市</t>
  </si>
  <si>
    <t>特惠普运</t>
  </si>
  <si>
    <t>南通市/盐城市</t>
  </si>
  <si>
    <t>特惠普运|南通市/盐城市</t>
  </si>
  <si>
    <t>特惠普运</t>
  </si>
  <si>
    <t>无锡市/苏州市/常州市</t>
  </si>
  <si>
    <t>特惠普运|无锡市/苏州市/常州市</t>
  </si>
  <si>
    <t>特惠普运</t>
  </si>
  <si>
    <t>天津</t>
  </si>
  <si>
    <t>天津市</t>
  </si>
  <si>
    <t>特惠普运|天津市</t>
  </si>
  <si>
    <t>特惠普运</t>
  </si>
  <si>
    <t>北京</t>
  </si>
  <si>
    <t>北京市</t>
  </si>
  <si>
    <t>特惠普运|北京市</t>
  </si>
  <si>
    <t>特惠普运</t>
  </si>
  <si>
    <t>河北省</t>
  </si>
  <si>
    <t>廊坊市</t>
  </si>
  <si>
    <t>特惠普运|廊坊市</t>
  </si>
  <si>
    <t>特惠普运</t>
  </si>
  <si>
    <t>邯郸市/石家庄市/保定市/雄安新区/张家口市/承德市/唐山市/沧州市/衡水市/邢台市/秦皇岛市</t>
  </si>
  <si>
    <t>特惠普运|邯郸市/石家庄市/保定市/雄安新区/张家口市/承德市/唐山市/沧州市/衡水市/邢台市/秦皇岛市</t>
  </si>
  <si>
    <t>运费计算（跨越费率，实重/体积重取大）</t>
  </si>
  <si>
    <t>一、输入与费率定位（自动）</t>
  </si>
  <si>
    <t>物流产品</t>
  </si>
  <si>
    <t>目的地</t>
  </si>
  <si>
    <t>每票件数M</t>
  </si>
  <si>
    <t>单台毛重(kg)</t>
  </si>
  <si>
    <t>单箱体积(㎝³)</t>
  </si>
  <si>
    <t>每箱件数N</t>
  </si>
  <si>
    <t>箱数(票内)</t>
  </si>
  <si>
    <t>匹配键</t>
  </si>
  <si>
    <t>费率行号</t>
  </si>
  <si>
    <t>二、计费重量（自动）</t>
  </si>
  <si>
    <t>单票实重(kg)</t>
  </si>
  <si>
    <t>单票体积重(kg)</t>
  </si>
  <si>
    <t>计费重量(kg)</t>
  </si>
  <si>
    <t>起重(kg)</t>
  </si>
  <si>
    <t>计费重量起重后</t>
  </si>
  <si>
    <t>三、运费（自动）</t>
  </si>
  <si>
    <t>首重重量</t>
  </si>
  <si>
    <t>首重价格</t>
  </si>
  <si>
    <t>段位置idx</t>
  </si>
  <si>
    <t>段单价</t>
  </si>
  <si>
    <t>次日达段下限</t>
  </si>
  <si>
    <t>特惠段下限</t>
  </si>
  <si>
    <t>最低收费</t>
  </si>
  <si>
    <t>单票运费</t>
  </si>
  <si>
    <t>声明价值(元/票)</t>
  </si>
  <si>
    <t>保费(可选)</t>
  </si>
  <si>
    <t>单票运费合计</t>
  </si>
  <si>
    <t>单台运费(元/件)</t>
  </si>
  <si>
    <t>运费口径：计费重量=MAX(实重,体积重)；体积重=箱体积(㎝³)/体积系数；运费=首重价格+(计费重量-首重重量)×段单价，最低不低于最低收费。</t>
  </si>
  <si>
    <t>目的地需与所选物流产品匹配：次日达与特惠普运的目的地划分不同，选错时本表运费显示空白。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</si>
</sst>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-mm\-dd"/>
    <numFmt numFmtId="177" formatCode="0.000"/>
    <numFmt numFmtId="178" formatCode="0.0000"/>
    <numFmt numFmtId="179" formatCode="0.0%"/>
    <numFmt numFmtId="180" formatCode="#,##0.0000;\(#,##0.0000\);\-"/>
    <numFmt numFmtId="181" formatCode="0.000000"/>
    <numFmt numFmtId="182" formatCode="0.0"/>
  </numFmts>
  <fonts count="16">
    <font>
      <sz val="11"/>
      <color theme="1"/>
      <name val="等线"/>
      <family val="2"/>
      <scheme val="minor"/>
    </font>
    <font>
      <b/>
      <sz val="12"/>
      <color rgb="FFFFFFFF"/>
      <name val="微软雅黑"/>
      <family val="2"/>
    </font>
    <font>
      <sz val="11"/>
      <color rgb="FF000000"/>
      <name val="Calibri"/>
      <family val="2"/>
    </font>
    <font>
      <b/>
      <sz val="10"/>
      <color rgb="FF000000"/>
      <name val="微软雅黑"/>
      <family val="2"/>
    </font>
    <font>
      <i/>
      <sz val="10"/>
      <color rgb="FF808080"/>
      <name val="微软雅黑"/>
      <family val="2"/>
    </font>
    <font>
      <b/>
      <sz val="10"/>
      <color rgb="FFFFFFFF"/>
      <name val="微软雅黑"/>
      <family val="2"/>
    </font>
    <font>
      <sz val="10"/>
      <color rgb="FF000000"/>
      <name val="微软雅黑"/>
      <family val="2"/>
    </font>
    <font>
      <sz val="10"/>
      <color rgb="FF0000FF"/>
      <name val="微软雅黑"/>
      <family val="2"/>
    </font>
    <font>
      <sz val="10"/>
      <color rgb="FF008000"/>
      <name val="微软雅黑"/>
      <family val="2"/>
    </font>
    <font>
      <b/>
      <sz val="14"/>
      <color rgb="FFFFFFFF"/>
      <name val="Noto Sans CJK SC"/>
      <family val="2"/>
    </font>
    <font>
      <b/>
      <sz val="10"/>
      <color rgb="FFFFFFFF"/>
      <name val="Noto Sans CJK SC"/>
      <family val="2"/>
    </font>
    <font>
      <sz val="11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000000"/>
      <name val="Noto Sans CJK SC"/>
      <family val="2"/>
    </font>
    <font>
      <sz val="9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F3B5D"/>
      </patternFill>
    </fill>
    <fill>
      <patternFill patternType="solid">
        <fgColor rgb="FF0F3B5D"/>
      </patternFill>
    </fill>
    <fill>
      <patternFill patternType="solid">
        <fgColor rgb="FF3288B9"/>
      </patternFill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3288B9"/>
      </patternFill>
    </fill>
    <fill>
      <patternFill patternType="solid">
        <fgColor rgb="FF0F3B5D"/>
      </patternFill>
    </fill>
    <fill>
      <patternFill patternType="solid">
        <fgColor rgb="FF3288B9"/>
      </patternFill>
    </fill>
    <fill>
      <patternFill patternType="solid">
        <fgColor rgb="FF0F3B5D"/>
      </patternFill>
    </fill>
    <fill>
      <patternFill patternType="solid">
        <fgColor rgb="FF3288B9"/>
      </patternFill>
    </fill>
    <fill>
      <patternFill patternType="solid">
        <fgColor rgb="FF0F3B5D"/>
      </patternFill>
    </fill>
    <fill>
      <patternFill patternType="solid">
        <fgColor rgb="FF3288B9"/>
      </patternFill>
    </fill>
  </fills>
  <borders count="9">
    <border>
      <left/>
      <right/>
      <top/>
      <bottom/>
      <diagonal/>
    </border>
    <border>
      <left/>
      <right/>
      <top style="thin">
        <color rgb="FFD0D8E8"/>
      </top>
      <bottom/>
      <diagonal/>
    </border>
    <border>
      <left/>
      <right/>
      <top style="thin">
        <color rgb="FFD0D8E8"/>
      </top>
      <bottom style="double">
        <color rgb="FF0F3B5D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0D8E8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89">
    <xf numFmtId="0" fontId="0" fillId="0" borderId="0" xfId="0" applyAlignment="1">
      <alignment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/>
    <xf numFmtId="0" fontId="7" fillId="0" borderId="0" xfId="0" applyFont="1" applyAlignment="1"/>
    <xf numFmtId="0" fontId="2" fillId="0" borderId="0" xfId="0" applyFont="1" applyAlignment="1"/>
    <xf numFmtId="176" fontId="6" fillId="0" borderId="0" xfId="0" applyNumberFormat="1" applyFont="1" applyAlignment="1"/>
    <xf numFmtId="1" fontId="7" fillId="0" borderId="0" xfId="0" applyNumberFormat="1" applyFont="1" applyAlignment="1"/>
    <xf numFmtId="177" fontId="7" fillId="0" borderId="0" xfId="0" applyNumberFormat="1" applyFont="1" applyAlignment="1"/>
    <xf numFmtId="0" fontId="4" fillId="0" borderId="0" xfId="0" applyFont="1" applyAlignment="1"/>
    <xf numFmtId="0" fontId="5" fillId="4" borderId="0" xfId="0" applyFont="1" applyFill="1" applyAlignment="1">
      <alignment horizontal="center" vertical="center"/>
    </xf>
    <xf numFmtId="178" fontId="8" fillId="0" borderId="0" xfId="0" applyNumberFormat="1" applyFont="1" applyAlignment="1"/>
    <xf numFmtId="0" fontId="3" fillId="0" borderId="1" xfId="0" applyFont="1" applyBorder="1" applyAlignment="1"/>
    <xf numFmtId="178" fontId="3" fillId="0" borderId="1" xfId="0" applyNumberFormat="1" applyFont="1" applyBorder="1" applyAlignment="1"/>
    <xf numFmtId="0" fontId="3" fillId="0" borderId="2" xfId="0" applyFont="1" applyBorder="1" applyAlignment="1"/>
    <xf numFmtId="178" fontId="3" fillId="0" borderId="2" xfId="0" applyNumberFormat="1" applyFont="1" applyBorder="1" applyAlignment="1"/>
    <xf numFmtId="179" fontId="8" fillId="0" borderId="0" xfId="0" applyNumberFormat="1" applyFont="1" applyAlignment="1"/>
    <xf numFmtId="178" fontId="7" fillId="0" borderId="0" xfId="0" applyNumberFormat="1" applyFont="1" applyAlignment="1"/>
    <xf numFmtId="1" fontId="8" fillId="0" borderId="0" xfId="0" applyNumberFormat="1" applyFont="1" applyAlignment="1"/>
    <xf numFmtId="0" fontId="10" fillId="5" borderId="3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12" fillId="0" borderId="3" xfId="0" applyFont="1" applyBorder="1" applyAlignment="1">
      <alignment vertical="center" wrapText="1"/>
    </xf>
    <xf numFmtId="180" fontId="12" fillId="0" borderId="3" xfId="0" applyNumberFormat="1" applyFont="1" applyBorder="1" applyAlignment="1">
      <alignment vertical="center" wrapText="1"/>
    </xf>
    <xf numFmtId="0" fontId="12" fillId="6" borderId="3" xfId="0" applyFont="1" applyFill="1" applyBorder="1" applyAlignment="1">
      <alignment vertical="center" wrapText="1"/>
    </xf>
    <xf numFmtId="180" fontId="12" fillId="6" borderId="3" xfId="0" applyNumberFormat="1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180" fontId="12" fillId="0" borderId="4" xfId="0" applyNumberFormat="1" applyFont="1" applyBorder="1" applyAlignment="1">
      <alignment vertical="center" wrapText="1"/>
    </xf>
    <xf numFmtId="0" fontId="12" fillId="8" borderId="4" xfId="0" applyFont="1" applyFill="1" applyBorder="1" applyAlignment="1">
      <alignment vertical="center" wrapText="1"/>
    </xf>
    <xf numFmtId="180" fontId="12" fillId="8" borderId="4" xfId="0" applyNumberFormat="1" applyFont="1" applyFill="1" applyBorder="1" applyAlignment="1">
      <alignment vertical="center" wrapText="1"/>
    </xf>
    <xf numFmtId="0" fontId="14" fillId="9" borderId="4" xfId="0" applyFont="1" applyFill="1" applyBorder="1" applyAlignment="1"/>
    <xf numFmtId="0" fontId="10" fillId="10" borderId="4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2" fillId="12" borderId="7" xfId="0" applyFont="1" applyFill="1" applyBorder="1" applyAlignment="1">
      <alignment vertical="center" wrapText="1"/>
    </xf>
    <xf numFmtId="0" fontId="12" fillId="13" borderId="7" xfId="0" applyFont="1" applyFill="1" applyBorder="1" applyAlignment="1">
      <alignment vertical="center" wrapText="1"/>
    </xf>
    <xf numFmtId="0" fontId="5" fillId="14" borderId="0" xfId="0" applyFont="1" applyFill="1" applyAlignment="1">
      <alignment horizontal="center" vertical="center"/>
    </xf>
    <xf numFmtId="0" fontId="6" fillId="0" borderId="0" xfId="0" applyFont="1" applyAlignment="1"/>
    <xf numFmtId="1" fontId="7" fillId="0" borderId="0" xfId="0" applyNumberFormat="1" applyFont="1" applyAlignment="1"/>
    <xf numFmtId="2" fontId="7" fillId="0" borderId="0" xfId="0" applyNumberFormat="1" applyFont="1" applyAlignment="1"/>
    <xf numFmtId="179" fontId="7" fillId="0" borderId="0" xfId="0" applyNumberFormat="1" applyFont="1" applyAlignment="1"/>
    <xf numFmtId="0" fontId="7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1" fontId="8" fillId="0" borderId="0" xfId="0" applyNumberFormat="1" applyFont="1" applyAlignment="1"/>
    <xf numFmtId="0" fontId="8" fillId="0" borderId="0" xfId="0" applyFont="1" applyAlignment="1"/>
    <xf numFmtId="0" fontId="3" fillId="0" borderId="0" xfId="0" applyFont="1" applyAlignment="1"/>
    <xf numFmtId="1" fontId="3" fillId="0" borderId="0" xfId="0" applyNumberFormat="1" applyFont="1" applyAlignment="1"/>
    <xf numFmtId="181" fontId="8" fillId="0" borderId="0" xfId="0" applyNumberFormat="1" applyFont="1" applyAlignment="1"/>
    <xf numFmtId="178" fontId="8" fillId="0" borderId="0" xfId="0" applyNumberFormat="1" applyFont="1" applyAlignment="1"/>
    <xf numFmtId="2" fontId="8" fillId="0" borderId="0" xfId="0" applyNumberFormat="1" applyFont="1" applyAlignment="1"/>
    <xf numFmtId="0" fontId="3" fillId="0" borderId="8" xfId="0" applyFont="1" applyBorder="1" applyAlignment="1"/>
    <xf numFmtId="178" fontId="3" fillId="0" borderId="8" xfId="0" applyNumberFormat="1" applyFont="1" applyBorder="1" applyAlignment="1"/>
    <xf numFmtId="177" fontId="8" fillId="0" borderId="0" xfId="0" applyNumberFormat="1" applyFont="1" applyAlignment="1"/>
    <xf numFmtId="0" fontId="5" fillId="16" borderId="0" xfId="0" applyFont="1" applyFill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5" fillId="16" borderId="0" xfId="0" applyFont="1" applyFill="1" applyAlignment="1">
      <alignment horizontal="center"/>
    </xf>
    <xf numFmtId="0" fontId="5" fillId="1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/>
    <xf numFmtId="0" fontId="8" fillId="0" borderId="0" xfId="0" applyFont="1" applyAlignment="1"/>
    <xf numFmtId="177" fontId="8" fillId="0" borderId="0" xfId="0" applyNumberFormat="1" applyFont="1" applyAlignment="1"/>
    <xf numFmtId="1" fontId="8" fillId="0" borderId="0" xfId="0" applyNumberFormat="1" applyFont="1" applyAlignment="1"/>
    <xf numFmtId="182" fontId="8" fillId="0" borderId="0" xfId="0" applyNumberFormat="1" applyFont="1" applyAlignment="1"/>
    <xf numFmtId="2" fontId="8" fillId="0" borderId="0" xfId="0" applyNumberFormat="1" applyFont="1" applyAlignment="1"/>
    <xf numFmtId="0" fontId="4" fillId="0" borderId="0" xfId="0" applyFont="1" applyAlignment="1"/>
    <xf numFmtId="1" fontId="4" fillId="0" borderId="0" xfId="0" applyNumberFormat="1" applyFont="1" applyAlignment="1">
      <alignment horizontal="center"/>
    </xf>
    <xf numFmtId="178" fontId="8" fillId="0" borderId="0" xfId="0" applyNumberFormat="1" applyFont="1" applyAlignment="1"/>
    <xf numFmtId="0" fontId="1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13" fillId="7" borderId="4" xfId="0" applyFont="1" applyFill="1" applyBorder="1" applyAlignment="1">
      <alignment horizontal="left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13" fillId="10" borderId="4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5" fillId="14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left" vertical="center"/>
    </xf>
    <xf numFmtId="0" fontId="1" fillId="19" borderId="0" xfId="0" applyFont="1" applyFill="1" applyAlignment="1">
      <alignment horizontal="left" vertical="center"/>
    </xf>
    <xf numFmtId="0" fontId="5" fillId="2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247650</xdr:colOff>
      <xdr:row>1</xdr:row>
      <xdr:rowOff>247650</xdr:rowOff>
    </xdr:to>
    <xdr:pic>
      <xdr:nvPicPr>
        <xdr:cNvPr id="2" name="Picture 2" descr="WGYgJ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247650</xdr:rowOff>
    </xdr:to>
    <xdr:pic>
      <xdr:nvPicPr>
        <xdr:cNvPr id="2" name="Picture 2" descr="uaRbmJ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666750</xdr:colOff>
      <xdr:row>1</xdr:row>
      <xdr:rowOff>219075</xdr:rowOff>
    </xdr:to>
    <xdr:pic>
      <xdr:nvPicPr>
        <xdr:cNvPr id="2" name="Picture 2" descr="OtcyX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323850</xdr:colOff>
      <xdr:row>1</xdr:row>
      <xdr:rowOff>219075</xdr:rowOff>
    </xdr:to>
    <xdr:pic>
      <xdr:nvPicPr>
        <xdr:cNvPr id="2" name="Picture 2" descr="ACwUJ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219075</xdr:rowOff>
    </xdr:to>
    <xdr:pic>
      <xdr:nvPicPr>
        <xdr:cNvPr id="2" name="Picture 2" descr="XGqtcb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247650</xdr:rowOff>
    </xdr:to>
    <xdr:pic>
      <xdr:nvPicPr>
        <xdr:cNvPr id="2" name="Picture 2" descr="NDmBjk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495300</xdr:colOff>
      <xdr:row>1</xdr:row>
      <xdr:rowOff>247650</xdr:rowOff>
    </xdr:to>
    <xdr:pic>
      <xdr:nvPicPr>
        <xdr:cNvPr id="2" name="Picture 2" descr="SCAgAJ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247650</xdr:rowOff>
    </xdr:to>
    <xdr:pic>
      <xdr:nvPicPr>
        <xdr:cNvPr id="2" name="Picture 2" descr="Ehjuph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91BF-7028-497E-92C4-188C5525EFFB}">
  <sheetPr>
    <outlinePr summaryBelow="0" summaryRight="0"/>
  </sheetPr>
  <dimension ref="A1:C8"/>
  <sheetViews>
    <sheetView showGridLines="0" workbookViewId="0">
      <selection sqref="A1:C1"/>
    </sheetView>
  </sheetViews>
  <sheetFormatPr defaultColWidth="8" defaultRowHeight="13.8"/>
  <cols>
    <col min="1" max="1" width="13" customWidth="1"/>
    <col min="2" max="2" width="95" customWidth="1"/>
  </cols>
  <sheetData>
    <row r="1" spans="1:3" ht="17.399999999999999">
      <c r="A1" s="72" t="s">
        <v>0</v>
      </c>
      <c r="B1" s="72"/>
      <c r="C1" s="72"/>
    </row>
    <row r="3" spans="1:3" ht="34.049999999999997" customHeight="1">
      <c r="A3" s="1" t="s">
        <v>1</v>
      </c>
      <c r="B3" s="2" t="s">
        <v>2</v>
      </c>
    </row>
    <row r="4" spans="1:3" ht="34.049999999999997" customHeight="1">
      <c r="A4" s="1" t="s">
        <v>3</v>
      </c>
      <c r="B4" s="2" t="s">
        <v>4</v>
      </c>
    </row>
    <row r="5" spans="1:3" ht="34.049999999999997" customHeight="1">
      <c r="A5" s="1" t="s">
        <v>5</v>
      </c>
      <c r="B5" s="2" t="s">
        <v>6</v>
      </c>
    </row>
    <row r="6" spans="1:3" ht="34.049999999999997" customHeight="1">
      <c r="A6" s="1" t="s">
        <v>7</v>
      </c>
      <c r="B6" s="2" t="s">
        <v>8</v>
      </c>
    </row>
    <row r="7" spans="1:3" ht="34.049999999999997" customHeight="1">
      <c r="A7" s="1" t="s">
        <v>9</v>
      </c>
      <c r="B7" s="2" t="s">
        <v>10</v>
      </c>
    </row>
    <row r="8" spans="1:3" ht="34.049999999999997" customHeight="1">
      <c r="A8" s="1" t="s">
        <v>11</v>
      </c>
      <c r="B8" s="2" t="s">
        <v>12</v>
      </c>
    </row>
  </sheetData>
  <mergeCells count="1">
    <mergeCell ref="A1:C1"/>
  </mergeCells>
  <phoneticPr fontId="1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0272-1D7A-454E-A2CD-CF2EA69635AB}">
  <sheetPr>
    <outlinePr summaryBelow="0" summaryRight="0"/>
  </sheetPr>
  <dimension ref="A1:Z118"/>
  <sheetViews>
    <sheetView showGridLines="0" tabSelected="1" workbookViewId="0">
      <pane ySplit="26" topLeftCell="A43" activePane="bottomLeft" state="frozen"/>
      <selection pane="bottomLeft" activeCell="B21" sqref="B21"/>
    </sheetView>
  </sheetViews>
  <sheetFormatPr defaultColWidth="8" defaultRowHeight="13.8"/>
  <cols>
    <col min="1" max="1" width="26" customWidth="1"/>
    <col min="2" max="2" width="16" customWidth="1"/>
    <col min="3" max="3" width="8" customWidth="1"/>
    <col min="4" max="4" width="26" customWidth="1"/>
    <col min="5" max="5" width="8" customWidth="1"/>
    <col min="26" max="26" width="13" hidden="1" customWidth="1"/>
  </cols>
  <sheetData>
    <row r="1" spans="1:26" ht="17.399999999999999">
      <c r="A1" s="74" t="s">
        <v>13</v>
      </c>
      <c r="B1" s="74"/>
      <c r="C1" s="74"/>
      <c r="D1" s="74"/>
      <c r="E1" s="74"/>
    </row>
    <row r="3" spans="1:26" ht="15.6">
      <c r="A3" s="73" t="s">
        <v>14</v>
      </c>
      <c r="B3" s="73"/>
      <c r="C3" s="73"/>
      <c r="D3" s="73"/>
      <c r="E3" s="73"/>
    </row>
    <row r="4" spans="1:26" ht="15">
      <c r="A4" s="3" t="s">
        <v>15</v>
      </c>
      <c r="B4" s="4"/>
      <c r="Z4" s="5" t="s">
        <v>16</v>
      </c>
    </row>
    <row r="5" spans="1:26" ht="15">
      <c r="A5" s="3" t="s">
        <v>17</v>
      </c>
      <c r="B5" s="4"/>
      <c r="Z5" s="5" t="s">
        <v>18</v>
      </c>
    </row>
    <row r="6" spans="1:26" ht="15">
      <c r="A6" s="3" t="s">
        <v>19</v>
      </c>
      <c r="B6" s="4"/>
      <c r="Z6" s="5" t="s">
        <v>20</v>
      </c>
    </row>
    <row r="7" spans="1:26" ht="15">
      <c r="A7" s="3" t="s">
        <v>21</v>
      </c>
      <c r="B7" s="6">
        <f ca="1">TODAY()</f>
        <v>46307</v>
      </c>
      <c r="Z7" s="5" t="s">
        <v>22</v>
      </c>
    </row>
    <row r="8" spans="1:26" ht="15">
      <c r="A8" s="3" t="s">
        <v>23</v>
      </c>
      <c r="B8" s="4"/>
      <c r="Z8" s="5" t="s">
        <v>24</v>
      </c>
    </row>
    <row r="9" spans="1:26" ht="15">
      <c r="A9" s="3" t="s">
        <v>25</v>
      </c>
      <c r="B9" s="4"/>
      <c r="Z9" s="5" t="s">
        <v>26</v>
      </c>
    </row>
    <row r="10" spans="1:26" ht="15">
      <c r="A10" s="3" t="s">
        <v>27</v>
      </c>
      <c r="B10" s="4"/>
      <c r="Z10" s="5" t="s">
        <v>28</v>
      </c>
    </row>
    <row r="11" spans="1:26" ht="14.4">
      <c r="Z11" s="5" t="s">
        <v>29</v>
      </c>
    </row>
    <row r="12" spans="1:26" ht="15.6">
      <c r="A12" s="73" t="s">
        <v>30</v>
      </c>
      <c r="B12" s="73"/>
      <c r="C12" s="73"/>
      <c r="D12" s="73"/>
      <c r="E12" s="73"/>
      <c r="Z12" s="5" t="s">
        <v>31</v>
      </c>
    </row>
    <row r="13" spans="1:26" ht="15">
      <c r="A13" s="3" t="s">
        <v>32</v>
      </c>
      <c r="B13" s="7"/>
      <c r="Z13" s="5" t="s">
        <v>33</v>
      </c>
    </row>
    <row r="14" spans="1:26" ht="15">
      <c r="A14" s="3" t="s">
        <v>34</v>
      </c>
      <c r="B14" s="7"/>
      <c r="Z14" s="5" t="s">
        <v>35</v>
      </c>
    </row>
    <row r="15" spans="1:26" ht="15">
      <c r="A15" s="3" t="s">
        <v>36</v>
      </c>
      <c r="B15" s="7"/>
      <c r="Z15" s="5" t="s">
        <v>37</v>
      </c>
    </row>
    <row r="16" spans="1:26" ht="15">
      <c r="A16" s="3" t="s">
        <v>38</v>
      </c>
      <c r="B16" s="8"/>
      <c r="Z16" s="5" t="s">
        <v>39</v>
      </c>
    </row>
    <row r="17" spans="1:26" ht="15">
      <c r="A17" s="3" t="s">
        <v>40</v>
      </c>
      <c r="B17" s="7"/>
      <c r="Z17" s="5" t="s">
        <v>41</v>
      </c>
    </row>
    <row r="18" spans="1:26" ht="15">
      <c r="A18" s="3" t="s">
        <v>42</v>
      </c>
      <c r="B18" s="4"/>
      <c r="Z18" s="5" t="s">
        <v>43</v>
      </c>
    </row>
    <row r="19" spans="1:26" ht="14.4">
      <c r="Z19" s="5" t="s">
        <v>44</v>
      </c>
    </row>
    <row r="20" spans="1:26" ht="15.6">
      <c r="A20" s="73" t="s">
        <v>45</v>
      </c>
      <c r="B20" s="73"/>
      <c r="C20" s="73"/>
      <c r="D20" s="73"/>
      <c r="E20" s="73"/>
      <c r="Z20" s="5" t="s">
        <v>46</v>
      </c>
    </row>
    <row r="21" spans="1:26" ht="15">
      <c r="A21" s="3" t="s">
        <v>47</v>
      </c>
      <c r="B21" s="4"/>
      <c r="Z21" s="5" t="s">
        <v>48</v>
      </c>
    </row>
    <row r="22" spans="1:26" ht="15">
      <c r="A22" s="3" t="s">
        <v>49</v>
      </c>
      <c r="B22" s="4"/>
      <c r="Z22" s="5" t="s">
        <v>50</v>
      </c>
    </row>
    <row r="23" spans="1:26" ht="15">
      <c r="A23" s="3" t="s">
        <v>51</v>
      </c>
      <c r="B23" s="4"/>
      <c r="Z23" s="5" t="s">
        <v>52</v>
      </c>
    </row>
    <row r="24" spans="1:26" ht="15">
      <c r="A24" s="3" t="s">
        <v>53</v>
      </c>
      <c r="B24" s="4"/>
      <c r="Z24" s="5" t="s">
        <v>54</v>
      </c>
    </row>
    <row r="25" spans="1:26" ht="15">
      <c r="A25" s="9" t="s">
        <v>55</v>
      </c>
      <c r="B25" s="9" t="s">
        <v>56</v>
      </c>
      <c r="Z25" s="5" t="s">
        <v>57</v>
      </c>
    </row>
    <row r="26" spans="1:26" ht="15.6">
      <c r="A26" s="73" t="s">
        <v>58</v>
      </c>
      <c r="B26" s="73"/>
      <c r="C26" s="73"/>
      <c r="D26" s="73"/>
      <c r="E26" s="73"/>
      <c r="Z26" s="5" t="s">
        <v>59</v>
      </c>
    </row>
    <row r="27" spans="1:26" ht="15.6">
      <c r="A27" s="10" t="s">
        <v>60</v>
      </c>
      <c r="B27" s="10" t="s">
        <v>61</v>
      </c>
      <c r="C27" s="10" t="s">
        <v>62</v>
      </c>
      <c r="D27" s="10" t="s">
        <v>63</v>
      </c>
      <c r="E27" s="10" t="s">
        <v>64</v>
      </c>
      <c r="Z27" s="5" t="s">
        <v>65</v>
      </c>
    </row>
    <row r="28" spans="1:26" ht="15">
      <c r="A28" s="3" t="s">
        <v>66</v>
      </c>
      <c r="B28" s="11">
        <f>SUMIFS(物料明细!$H:$H,物料明细!$B:$B,"硬件")</f>
        <v>0.32272800000000001</v>
      </c>
      <c r="C28" s="3" t="s">
        <v>67</v>
      </c>
      <c r="D28" s="9" t="s">
        <v>68</v>
      </c>
      <c r="Z28" s="5" t="s">
        <v>69</v>
      </c>
    </row>
    <row r="29" spans="1:26" ht="15">
      <c r="A29" s="3" t="s">
        <v>70</v>
      </c>
      <c r="B29" s="11">
        <f>SUMIFS(物料明细!$H:$H,物料明细!$B:$B,"结构件")</f>
        <v>0</v>
      </c>
      <c r="C29" s="3" t="s">
        <v>71</v>
      </c>
      <c r="D29" s="9" t="s">
        <v>72</v>
      </c>
      <c r="Z29" s="5" t="s">
        <v>73</v>
      </c>
    </row>
    <row r="30" spans="1:26" ht="15">
      <c r="A30" s="3" t="s">
        <v>74</v>
      </c>
      <c r="B30" s="11">
        <f>包装计算!$B$32+IF($B$18="是",包装计算!$B$38,0)</f>
        <v>0.1288</v>
      </c>
      <c r="C30" s="3" t="s">
        <v>75</v>
      </c>
      <c r="D30" s="9" t="s">
        <v>76</v>
      </c>
      <c r="Z30" s="5" t="s">
        <v>77</v>
      </c>
    </row>
    <row r="31" spans="1:26" ht="15">
      <c r="A31" s="3" t="s">
        <v>78</v>
      </c>
      <c r="B31" s="11">
        <f>SUMIFS(物料明细!$H:$H,物料明细!$B:$B,"辅助材料")</f>
        <v>0</v>
      </c>
      <c r="C31" s="3" t="s">
        <v>79</v>
      </c>
      <c r="D31" s="9" t="s">
        <v>80</v>
      </c>
      <c r="Z31" s="5" t="s">
        <v>81</v>
      </c>
    </row>
    <row r="32" spans="1:26" ht="15">
      <c r="A32" s="3" t="s">
        <v>82</v>
      </c>
      <c r="B32" s="11">
        <f>加工及工装!F13</f>
        <v>0.12</v>
      </c>
      <c r="C32" s="3" t="s">
        <v>83</v>
      </c>
      <c r="D32" s="9" t="s">
        <v>84</v>
      </c>
      <c r="Z32" s="5" t="s">
        <v>85</v>
      </c>
    </row>
    <row r="33" spans="1:26" ht="15">
      <c r="A33" s="3" t="s">
        <v>86</v>
      </c>
      <c r="B33" s="11">
        <f>加工及工装!H23</f>
        <v>4.2000000000000003E-2</v>
      </c>
      <c r="C33" s="3" t="s">
        <v>87</v>
      </c>
      <c r="D33" s="9" t="s">
        <v>88</v>
      </c>
      <c r="Z33" s="5" t="s">
        <v>89</v>
      </c>
    </row>
    <row r="34" spans="1:26" ht="15">
      <c r="A34" s="3" t="s">
        <v>90</v>
      </c>
      <c r="B34" s="11" t="str">
        <f>运费计算!$B$33</f>
        <v/>
      </c>
      <c r="C34" s="3" t="s">
        <v>91</v>
      </c>
      <c r="D34" s="9" t="s">
        <v>92</v>
      </c>
      <c r="Z34" s="5" t="s">
        <v>93</v>
      </c>
    </row>
    <row r="35" spans="1:26" ht="15.6">
      <c r="A35" s="12" t="s">
        <v>94</v>
      </c>
      <c r="B35" s="13">
        <f>SUM(B28:B34)*0.15</f>
        <v>9.2029200000000005E-2</v>
      </c>
      <c r="C35" s="3" t="s">
        <v>95</v>
      </c>
      <c r="D35" s="9" t="s">
        <v>96</v>
      </c>
      <c r="Z35" s="5" t="s">
        <v>97</v>
      </c>
    </row>
    <row r="36" spans="1:26" ht="15.6">
      <c r="A36" s="14" t="s">
        <v>98</v>
      </c>
      <c r="B36" s="15">
        <f>SUM(B28:B35)</f>
        <v>0.70555720000000011</v>
      </c>
      <c r="C36" s="3" t="s">
        <v>99</v>
      </c>
      <c r="D36" s="9" t="s">
        <v>100</v>
      </c>
      <c r="Z36" s="5" t="s">
        <v>101</v>
      </c>
    </row>
    <row r="37" spans="1:26" ht="14.4">
      <c r="Z37" s="5" t="s">
        <v>102</v>
      </c>
    </row>
    <row r="38" spans="1:26" ht="15.6">
      <c r="A38" s="73" t="s">
        <v>103</v>
      </c>
      <c r="B38" s="73"/>
      <c r="C38" s="73"/>
      <c r="D38" s="73"/>
      <c r="E38" s="73"/>
      <c r="Z38" s="5" t="s">
        <v>104</v>
      </c>
    </row>
    <row r="39" spans="1:26" ht="15.6">
      <c r="A39" s="10" t="s">
        <v>105</v>
      </c>
      <c r="B39" s="10" t="s">
        <v>106</v>
      </c>
      <c r="C39" s="10" t="s">
        <v>107</v>
      </c>
      <c r="D39" s="10" t="s">
        <v>108</v>
      </c>
      <c r="E39" s="10" t="s">
        <v>109</v>
      </c>
      <c r="Z39" s="5" t="s">
        <v>110</v>
      </c>
    </row>
    <row r="40" spans="1:26" ht="15">
      <c r="A40" s="3" t="s">
        <v>111</v>
      </c>
      <c r="B40" s="16">
        <f>参数!B4</f>
        <v>0.15</v>
      </c>
      <c r="C40" s="3" t="s">
        <v>112</v>
      </c>
      <c r="D40" s="9" t="s">
        <v>113</v>
      </c>
      <c r="Z40" s="5" t="s">
        <v>114</v>
      </c>
    </row>
    <row r="41" spans="1:26" ht="15">
      <c r="A41" s="3" t="s">
        <v>115</v>
      </c>
      <c r="B41" s="11">
        <f>IFERROR(B36/(1-B40),0)</f>
        <v>0.83006729411764724</v>
      </c>
      <c r="C41" s="3" t="s">
        <v>116</v>
      </c>
      <c r="D41" s="9" t="s">
        <v>117</v>
      </c>
      <c r="Z41" s="5" t="s">
        <v>118</v>
      </c>
    </row>
    <row r="42" spans="1:26" ht="15">
      <c r="A42" s="3" t="s">
        <v>119</v>
      </c>
      <c r="B42" s="16">
        <f>参数!B3</f>
        <v>0.13</v>
      </c>
      <c r="C42" s="3" t="s">
        <v>120</v>
      </c>
      <c r="D42" s="9" t="s">
        <v>121</v>
      </c>
      <c r="Z42" s="5" t="s">
        <v>122</v>
      </c>
    </row>
    <row r="43" spans="1:26" ht="15">
      <c r="A43" s="3" t="s">
        <v>123</v>
      </c>
      <c r="B43" s="11">
        <f>B41*(1+B42)</f>
        <v>0.9379760423529413</v>
      </c>
      <c r="C43" s="3" t="s">
        <v>124</v>
      </c>
      <c r="D43" s="9" t="s">
        <v>125</v>
      </c>
      <c r="Z43" s="5" t="s">
        <v>126</v>
      </c>
    </row>
    <row r="44" spans="1:26" ht="15">
      <c r="A44" s="3" t="s">
        <v>127</v>
      </c>
      <c r="B44" s="17"/>
      <c r="C44" s="3" t="s">
        <v>128</v>
      </c>
      <c r="D44" s="9" t="s">
        <v>129</v>
      </c>
      <c r="Z44" s="5" t="s">
        <v>130</v>
      </c>
    </row>
    <row r="45" spans="1:26" ht="15">
      <c r="A45" s="3" t="s">
        <v>131</v>
      </c>
      <c r="B45" s="16" t="str">
        <f>IF(B44="","",B41-B44)</f>
        <v/>
      </c>
      <c r="C45" s="3" t="s">
        <v>132</v>
      </c>
      <c r="D45" s="9" t="s">
        <v>133</v>
      </c>
      <c r="Z45" s="5" t="s">
        <v>134</v>
      </c>
    </row>
    <row r="46" spans="1:26" ht="15">
      <c r="A46" s="3" t="s">
        <v>135</v>
      </c>
      <c r="B46" s="11">
        <f>IFERROR((B41-B36)/B41,0)</f>
        <v>0.15000000000000005</v>
      </c>
      <c r="C46" s="3" t="s">
        <v>136</v>
      </c>
      <c r="D46" s="9" t="s">
        <v>137</v>
      </c>
      <c r="Z46" s="5" t="s">
        <v>138</v>
      </c>
    </row>
    <row r="47" spans="1:26" ht="15">
      <c r="A47" s="3" t="s">
        <v>139</v>
      </c>
      <c r="B47" s="11">
        <f>B41*B8</f>
        <v>0</v>
      </c>
      <c r="C47" s="3" t="s">
        <v>140</v>
      </c>
      <c r="D47" s="9" t="s">
        <v>141</v>
      </c>
      <c r="Z47" s="5" t="s">
        <v>142</v>
      </c>
    </row>
    <row r="48" spans="1:26" ht="15">
      <c r="A48" s="3" t="s">
        <v>143</v>
      </c>
      <c r="B48" s="11">
        <f>IFERROR((B41-B36)*B8,0)</f>
        <v>0</v>
      </c>
      <c r="C48" s="3" t="s">
        <v>144</v>
      </c>
      <c r="D48" s="9" t="s">
        <v>145</v>
      </c>
      <c r="Z48" s="5" t="s">
        <v>146</v>
      </c>
    </row>
    <row r="49" spans="1:26" ht="14.4">
      <c r="Z49" s="5" t="s">
        <v>147</v>
      </c>
    </row>
    <row r="50" spans="1:26" ht="15.6">
      <c r="A50" s="73" t="s">
        <v>148</v>
      </c>
      <c r="B50" s="73"/>
      <c r="C50" s="73"/>
      <c r="D50" s="73"/>
      <c r="E50" s="73"/>
      <c r="Z50" s="5" t="s">
        <v>149</v>
      </c>
    </row>
    <row r="51" spans="1:26" ht="15">
      <c r="A51" s="3" t="s">
        <v>150</v>
      </c>
      <c r="B51" s="18">
        <f>COUNTIF(物料明细!I:I,"是")</f>
        <v>1</v>
      </c>
      <c r="C51" s="3" t="s">
        <v>151</v>
      </c>
      <c r="Z51" s="5" t="s">
        <v>152</v>
      </c>
    </row>
    <row r="52" spans="1:26" ht="15">
      <c r="A52" s="3" t="s">
        <v>153</v>
      </c>
      <c r="B52" s="18">
        <f>COUNTIF(物料明细!H:H,0)</f>
        <v>97</v>
      </c>
      <c r="C52" s="3" t="s">
        <v>154</v>
      </c>
      <c r="Z52" s="5" t="s">
        <v>155</v>
      </c>
    </row>
    <row r="53" spans="1:26" ht="14.4">
      <c r="Z53" s="5" t="s">
        <v>156</v>
      </c>
    </row>
    <row r="54" spans="1:26" ht="14.4">
      <c r="Z54" s="5" t="s">
        <v>157</v>
      </c>
    </row>
    <row r="55" spans="1:26" ht="14.4">
      <c r="Z55" s="5" t="s">
        <v>158</v>
      </c>
    </row>
    <row r="56" spans="1:26" ht="14.4">
      <c r="Z56" s="5" t="s">
        <v>159</v>
      </c>
    </row>
    <row r="57" spans="1:26" ht="14.4">
      <c r="Z57" s="5" t="s">
        <v>160</v>
      </c>
    </row>
    <row r="58" spans="1:26" ht="14.4">
      <c r="Z58" s="5" t="s">
        <v>161</v>
      </c>
    </row>
    <row r="59" spans="1:26" ht="14.4">
      <c r="Z59" s="5" t="s">
        <v>162</v>
      </c>
    </row>
    <row r="60" spans="1:26" ht="14.4">
      <c r="Z60" s="5" t="s">
        <v>163</v>
      </c>
    </row>
    <row r="61" spans="1:26" ht="14.4">
      <c r="Z61" s="5" t="s">
        <v>164</v>
      </c>
    </row>
    <row r="62" spans="1:26" ht="14.4">
      <c r="Z62" s="5" t="s">
        <v>165</v>
      </c>
    </row>
    <row r="63" spans="1:26" ht="14.4">
      <c r="Z63" s="5" t="s">
        <v>166</v>
      </c>
    </row>
    <row r="64" spans="1:26" ht="14.4">
      <c r="Z64" s="5" t="s">
        <v>167</v>
      </c>
    </row>
    <row r="65" spans="26:26" ht="14.4">
      <c r="Z65" s="5" t="s">
        <v>168</v>
      </c>
    </row>
    <row r="66" spans="26:26" ht="14.4">
      <c r="Z66" s="5" t="s">
        <v>169</v>
      </c>
    </row>
    <row r="67" spans="26:26" ht="14.4">
      <c r="Z67" s="5" t="s">
        <v>170</v>
      </c>
    </row>
    <row r="68" spans="26:26" ht="14.4">
      <c r="Z68" s="5" t="s">
        <v>171</v>
      </c>
    </row>
    <row r="69" spans="26:26" ht="14.4">
      <c r="Z69" s="5" t="s">
        <v>172</v>
      </c>
    </row>
    <row r="70" spans="26:26" ht="14.4">
      <c r="Z70" s="5" t="s">
        <v>173</v>
      </c>
    </row>
    <row r="71" spans="26:26" ht="14.4">
      <c r="Z71" s="5" t="s">
        <v>174</v>
      </c>
    </row>
    <row r="72" spans="26:26" ht="14.4">
      <c r="Z72" s="5" t="s">
        <v>175</v>
      </c>
    </row>
    <row r="73" spans="26:26" ht="14.4">
      <c r="Z73" s="5" t="s">
        <v>176</v>
      </c>
    </row>
    <row r="74" spans="26:26" ht="14.4">
      <c r="Z74" s="5" t="s">
        <v>177</v>
      </c>
    </row>
    <row r="75" spans="26:26" ht="14.4">
      <c r="Z75" s="5" t="s">
        <v>178</v>
      </c>
    </row>
    <row r="76" spans="26:26" ht="14.4">
      <c r="Z76" s="5" t="s">
        <v>179</v>
      </c>
    </row>
    <row r="77" spans="26:26" ht="14.4">
      <c r="Z77" s="5" t="s">
        <v>180</v>
      </c>
    </row>
    <row r="78" spans="26:26" ht="14.4">
      <c r="Z78" s="5" t="s">
        <v>181</v>
      </c>
    </row>
    <row r="79" spans="26:26" ht="14.4">
      <c r="Z79" s="5" t="s">
        <v>182</v>
      </c>
    </row>
    <row r="80" spans="26:26" ht="14.4">
      <c r="Z80" s="5" t="s">
        <v>183</v>
      </c>
    </row>
    <row r="81" spans="26:26" ht="14.4">
      <c r="Z81" s="5" t="s">
        <v>184</v>
      </c>
    </row>
    <row r="82" spans="26:26" ht="14.4">
      <c r="Z82" s="5" t="s">
        <v>185</v>
      </c>
    </row>
    <row r="83" spans="26:26" ht="14.4">
      <c r="Z83" s="5" t="s">
        <v>186</v>
      </c>
    </row>
    <row r="84" spans="26:26" ht="14.4">
      <c r="Z84" s="5" t="s">
        <v>187</v>
      </c>
    </row>
    <row r="85" spans="26:26" ht="14.4">
      <c r="Z85" s="5" t="s">
        <v>188</v>
      </c>
    </row>
    <row r="86" spans="26:26" ht="14.4">
      <c r="Z86" s="5" t="s">
        <v>189</v>
      </c>
    </row>
    <row r="87" spans="26:26" ht="14.4">
      <c r="Z87" s="5" t="s">
        <v>190</v>
      </c>
    </row>
    <row r="88" spans="26:26" ht="14.4">
      <c r="Z88" s="5" t="s">
        <v>191</v>
      </c>
    </row>
    <row r="89" spans="26:26" ht="14.4">
      <c r="Z89" s="5" t="s">
        <v>192</v>
      </c>
    </row>
    <row r="90" spans="26:26" ht="14.4">
      <c r="Z90" s="5" t="s">
        <v>193</v>
      </c>
    </row>
    <row r="91" spans="26:26" ht="14.4">
      <c r="Z91" s="5" t="s">
        <v>194</v>
      </c>
    </row>
    <row r="92" spans="26:26" ht="14.4">
      <c r="Z92" s="5" t="s">
        <v>195</v>
      </c>
    </row>
    <row r="93" spans="26:26" ht="14.4">
      <c r="Z93" s="5" t="s">
        <v>196</v>
      </c>
    </row>
    <row r="94" spans="26:26" ht="14.4">
      <c r="Z94" s="5" t="s">
        <v>197</v>
      </c>
    </row>
    <row r="95" spans="26:26" ht="14.4">
      <c r="Z95" s="5" t="s">
        <v>198</v>
      </c>
    </row>
    <row r="96" spans="26:26" ht="14.4">
      <c r="Z96" s="5" t="s">
        <v>199</v>
      </c>
    </row>
    <row r="97" spans="26:26" ht="14.4">
      <c r="Z97" s="5" t="s">
        <v>200</v>
      </c>
    </row>
    <row r="98" spans="26:26" ht="14.4">
      <c r="Z98" s="5" t="s">
        <v>201</v>
      </c>
    </row>
    <row r="99" spans="26:26" ht="14.4">
      <c r="Z99" s="5" t="s">
        <v>202</v>
      </c>
    </row>
    <row r="100" spans="26:26" ht="14.4">
      <c r="Z100" s="5" t="s">
        <v>203</v>
      </c>
    </row>
    <row r="101" spans="26:26" ht="14.4">
      <c r="Z101" s="5" t="s">
        <v>204</v>
      </c>
    </row>
    <row r="102" spans="26:26" ht="14.4">
      <c r="Z102" s="5" t="s">
        <v>205</v>
      </c>
    </row>
    <row r="103" spans="26:26" ht="14.4">
      <c r="Z103" s="5" t="s">
        <v>206</v>
      </c>
    </row>
    <row r="104" spans="26:26" ht="14.4">
      <c r="Z104" s="5" t="s">
        <v>207</v>
      </c>
    </row>
    <row r="105" spans="26:26" ht="14.4">
      <c r="Z105" s="5" t="s">
        <v>208</v>
      </c>
    </row>
    <row r="106" spans="26:26" ht="14.4">
      <c r="Z106" s="5" t="s">
        <v>209</v>
      </c>
    </row>
    <row r="107" spans="26:26" ht="14.4">
      <c r="Z107" s="5" t="s">
        <v>210</v>
      </c>
    </row>
    <row r="108" spans="26:26" ht="14.4">
      <c r="Z108" s="5" t="s">
        <v>211</v>
      </c>
    </row>
    <row r="109" spans="26:26" ht="14.4">
      <c r="Z109" s="5" t="s">
        <v>212</v>
      </c>
    </row>
    <row r="110" spans="26:26" ht="14.4">
      <c r="Z110" s="5" t="s">
        <v>213</v>
      </c>
    </row>
    <row r="111" spans="26:26" ht="14.4">
      <c r="Z111" s="5" t="s">
        <v>214</v>
      </c>
    </row>
    <row r="112" spans="26:26" ht="14.4">
      <c r="Z112" s="5" t="s">
        <v>215</v>
      </c>
    </row>
    <row r="113" spans="26:26" ht="14.4">
      <c r="Z113" s="5" t="s">
        <v>216</v>
      </c>
    </row>
    <row r="114" spans="26:26" ht="14.4">
      <c r="Z114" s="5" t="s">
        <v>217</v>
      </c>
    </row>
    <row r="115" spans="26:26" ht="14.4">
      <c r="Z115" s="5" t="s">
        <v>218</v>
      </c>
    </row>
    <row r="116" spans="26:26" ht="14.4">
      <c r="Z116" s="5" t="s">
        <v>219</v>
      </c>
    </row>
    <row r="117" spans="26:26" ht="14.4">
      <c r="Z117" s="5" t="s">
        <v>220</v>
      </c>
    </row>
    <row r="118" spans="26:26" ht="14.4">
      <c r="Z118" s="5" t="s">
        <v>221</v>
      </c>
    </row>
  </sheetData>
  <mergeCells count="7">
    <mergeCell ref="A1:E1"/>
    <mergeCell ref="A3:E3"/>
    <mergeCell ref="A12:E12"/>
    <mergeCell ref="A50:E50"/>
    <mergeCell ref="A26:E26"/>
    <mergeCell ref="A20:E20"/>
    <mergeCell ref="A38:E38"/>
  </mergeCells>
  <phoneticPr fontId="15" type="noConversion"/>
  <dataValidations count="2">
    <dataValidation type="list" allowBlank="1" showErrorMessage="1" sqref="B18" xr:uid="{00000000-0002-0000-0100-000000000000}">
      <formula1>"否,是"</formula1>
    </dataValidation>
    <dataValidation type="list" allowBlank="1" showErrorMessage="1" sqref="B21" xr:uid="{00000000-0002-0000-0100-000001000000}">
      <formula1>"次日达,特惠普运"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25D-BC6B-4976-813C-C3FCCB2FCB78}">
  <sheetPr>
    <outlinePr summaryBelow="0" summaryRight="0"/>
  </sheetPr>
  <dimension ref="A1:J102"/>
  <sheetViews>
    <sheetView showGridLines="0" workbookViewId="0">
      <pane ySplit="2" topLeftCell="A3" activePane="bottomLeft" state="frozen"/>
      <selection pane="bottomLeft" sqref="A1:I1"/>
    </sheetView>
  </sheetViews>
  <sheetFormatPr defaultColWidth="8.5546875" defaultRowHeight="13.8"/>
  <cols>
    <col min="1" max="1" width="8" customWidth="1"/>
    <col min="2" max="2" width="14" customWidth="1"/>
    <col min="3" max="3" width="16" customWidth="1"/>
    <col min="4" max="4" width="28" customWidth="1"/>
    <col min="5" max="6" width="12" customWidth="1"/>
    <col min="7" max="7" width="10" customWidth="1"/>
    <col min="8" max="8" width="12" customWidth="1"/>
    <col min="9" max="9" width="10" customWidth="1"/>
    <col min="10" max="10" width="24" customWidth="1"/>
  </cols>
  <sheetData>
    <row r="1" spans="1:10" ht="18" customHeight="1">
      <c r="A1" s="75" t="s">
        <v>222</v>
      </c>
      <c r="B1" s="76"/>
      <c r="C1" s="76"/>
      <c r="D1" s="76"/>
      <c r="E1" s="76"/>
      <c r="F1" s="76"/>
      <c r="G1" s="76"/>
      <c r="H1" s="76"/>
      <c r="I1" s="76"/>
    </row>
    <row r="2" spans="1:10" ht="15" customHeight="1">
      <c r="A2" s="19" t="s">
        <v>223</v>
      </c>
      <c r="B2" s="19" t="s">
        <v>224</v>
      </c>
      <c r="C2" s="19" t="s">
        <v>225</v>
      </c>
      <c r="D2" s="19" t="s">
        <v>226</v>
      </c>
      <c r="E2" s="19" t="s">
        <v>227</v>
      </c>
      <c r="F2" s="19" t="s">
        <v>228</v>
      </c>
      <c r="G2" s="19" t="s">
        <v>229</v>
      </c>
      <c r="H2" s="19" t="s">
        <v>230</v>
      </c>
      <c r="I2" s="19" t="s">
        <v>231</v>
      </c>
      <c r="J2" s="20" t="s">
        <v>232</v>
      </c>
    </row>
    <row r="3" spans="1:10">
      <c r="A3" s="21">
        <f t="shared" ref="A3:A34" si="0">IF(C3&lt;&gt;"",ROW()-2,"")</f>
        <v>1</v>
      </c>
      <c r="B3" s="21" t="s">
        <v>233</v>
      </c>
      <c r="C3" s="21" t="s">
        <v>234</v>
      </c>
      <c r="D3" s="21" t="s">
        <v>235</v>
      </c>
      <c r="E3" s="22">
        <v>1</v>
      </c>
      <c r="F3" s="22">
        <v>0.314</v>
      </c>
      <c r="G3" s="22">
        <v>0.02</v>
      </c>
      <c r="H3" s="22">
        <f t="shared" ref="H3:H34" si="1">IF(I3="是",0,E3*F3*(1+G3))</f>
        <v>0.32028000000000001</v>
      </c>
      <c r="I3" s="21"/>
    </row>
    <row r="4" spans="1:10">
      <c r="A4" s="23">
        <f t="shared" si="0"/>
        <v>2</v>
      </c>
      <c r="B4" s="23" t="s">
        <v>236</v>
      </c>
      <c r="C4" s="23" t="s">
        <v>237</v>
      </c>
      <c r="D4" s="23" t="s">
        <v>238</v>
      </c>
      <c r="E4" s="24">
        <v>2</v>
      </c>
      <c r="F4" s="24">
        <v>1.1999999999999999E-3</v>
      </c>
      <c r="G4" s="24">
        <v>0.02</v>
      </c>
      <c r="H4" s="24">
        <f t="shared" si="1"/>
        <v>2.4479999999999997E-3</v>
      </c>
      <c r="I4" s="23"/>
    </row>
    <row r="5" spans="1:10">
      <c r="A5" s="21">
        <f t="shared" si="0"/>
        <v>3</v>
      </c>
      <c r="B5" s="21" t="s">
        <v>239</v>
      </c>
      <c r="C5" s="21" t="s">
        <v>240</v>
      </c>
      <c r="D5" s="21" t="s">
        <v>241</v>
      </c>
      <c r="E5" s="22">
        <v>1</v>
      </c>
      <c r="F5" s="22">
        <v>7.15</v>
      </c>
      <c r="G5" s="22">
        <v>0</v>
      </c>
      <c r="H5" s="22">
        <f t="shared" si="1"/>
        <v>7.15</v>
      </c>
      <c r="I5" s="21"/>
    </row>
    <row r="6" spans="1:10" ht="15" customHeight="1">
      <c r="A6" s="23">
        <f t="shared" si="0"/>
        <v>4</v>
      </c>
      <c r="B6" s="23" t="s">
        <v>242</v>
      </c>
      <c r="C6" s="23" t="s">
        <v>243</v>
      </c>
      <c r="D6" s="23" t="s">
        <v>244</v>
      </c>
      <c r="E6" s="24">
        <v>1</v>
      </c>
      <c r="F6" s="24">
        <v>2.5</v>
      </c>
      <c r="G6" s="24">
        <v>0</v>
      </c>
      <c r="H6" s="24">
        <f t="shared" si="1"/>
        <v>0</v>
      </c>
      <c r="I6" s="23" t="s">
        <v>245</v>
      </c>
      <c r="J6" s="20" t="s">
        <v>246</v>
      </c>
    </row>
    <row r="7" spans="1:10">
      <c r="A7" s="21" t="str">
        <f t="shared" si="0"/>
        <v/>
      </c>
      <c r="B7" s="21"/>
      <c r="C7" s="21"/>
      <c r="D7" s="21"/>
      <c r="E7" s="22"/>
      <c r="F7" s="22"/>
      <c r="G7" s="22"/>
      <c r="H7" s="22">
        <f t="shared" si="1"/>
        <v>0</v>
      </c>
      <c r="I7" s="21"/>
    </row>
    <row r="8" spans="1:10">
      <c r="A8" s="23" t="str">
        <f t="shared" si="0"/>
        <v/>
      </c>
      <c r="B8" s="23"/>
      <c r="C8" s="23"/>
      <c r="D8" s="23"/>
      <c r="E8" s="24"/>
      <c r="F8" s="24"/>
      <c r="G8" s="24"/>
      <c r="H8" s="24">
        <f t="shared" si="1"/>
        <v>0</v>
      </c>
      <c r="I8" s="23"/>
    </row>
    <row r="9" spans="1:10">
      <c r="A9" s="21" t="str">
        <f t="shared" si="0"/>
        <v/>
      </c>
      <c r="B9" s="21"/>
      <c r="C9" s="21"/>
      <c r="D9" s="21"/>
      <c r="E9" s="22"/>
      <c r="F9" s="22"/>
      <c r="G9" s="22"/>
      <c r="H9" s="22">
        <f t="shared" si="1"/>
        <v>0</v>
      </c>
      <c r="I9" s="21"/>
    </row>
    <row r="10" spans="1:10">
      <c r="A10" s="23" t="str">
        <f t="shared" si="0"/>
        <v/>
      </c>
      <c r="B10" s="23"/>
      <c r="C10" s="23"/>
      <c r="D10" s="23"/>
      <c r="E10" s="24"/>
      <c r="F10" s="24"/>
      <c r="G10" s="24"/>
      <c r="H10" s="24">
        <f t="shared" si="1"/>
        <v>0</v>
      </c>
      <c r="I10" s="23"/>
    </row>
    <row r="11" spans="1:10">
      <c r="A11" s="21" t="str">
        <f t="shared" si="0"/>
        <v/>
      </c>
      <c r="B11" s="21"/>
      <c r="C11" s="21"/>
      <c r="D11" s="21"/>
      <c r="E11" s="22"/>
      <c r="F11" s="22"/>
      <c r="G11" s="22"/>
      <c r="H11" s="22">
        <f t="shared" si="1"/>
        <v>0</v>
      </c>
      <c r="I11" s="21"/>
    </row>
    <row r="12" spans="1:10">
      <c r="A12" s="23" t="str">
        <f t="shared" si="0"/>
        <v/>
      </c>
      <c r="B12" s="23"/>
      <c r="C12" s="23"/>
      <c r="D12" s="23"/>
      <c r="E12" s="24"/>
      <c r="F12" s="24"/>
      <c r="G12" s="24"/>
      <c r="H12" s="24">
        <f t="shared" si="1"/>
        <v>0</v>
      </c>
      <c r="I12" s="23"/>
    </row>
    <row r="13" spans="1:10">
      <c r="A13" s="21" t="str">
        <f t="shared" si="0"/>
        <v/>
      </c>
      <c r="B13" s="21"/>
      <c r="C13" s="21"/>
      <c r="D13" s="21"/>
      <c r="E13" s="22"/>
      <c r="F13" s="22"/>
      <c r="G13" s="22"/>
      <c r="H13" s="22">
        <f t="shared" si="1"/>
        <v>0</v>
      </c>
      <c r="I13" s="21"/>
    </row>
    <row r="14" spans="1:10">
      <c r="A14" s="23" t="str">
        <f t="shared" si="0"/>
        <v/>
      </c>
      <c r="B14" s="23"/>
      <c r="C14" s="23"/>
      <c r="D14" s="23"/>
      <c r="E14" s="24"/>
      <c r="F14" s="24"/>
      <c r="G14" s="24"/>
      <c r="H14" s="24">
        <f t="shared" si="1"/>
        <v>0</v>
      </c>
      <c r="I14" s="23"/>
    </row>
    <row r="15" spans="1:10">
      <c r="A15" s="21" t="str">
        <f t="shared" si="0"/>
        <v/>
      </c>
      <c r="B15" s="21"/>
      <c r="C15" s="21"/>
      <c r="D15" s="21"/>
      <c r="E15" s="22"/>
      <c r="F15" s="22"/>
      <c r="G15" s="22"/>
      <c r="H15" s="22">
        <f t="shared" si="1"/>
        <v>0</v>
      </c>
      <c r="I15" s="21"/>
    </row>
    <row r="16" spans="1:10">
      <c r="A16" s="23" t="str">
        <f t="shared" si="0"/>
        <v/>
      </c>
      <c r="B16" s="23"/>
      <c r="C16" s="23"/>
      <c r="D16" s="23"/>
      <c r="E16" s="24"/>
      <c r="F16" s="24"/>
      <c r="G16" s="24"/>
      <c r="H16" s="24">
        <f t="shared" si="1"/>
        <v>0</v>
      </c>
      <c r="I16" s="23"/>
    </row>
    <row r="17" spans="1:9">
      <c r="A17" s="21" t="str">
        <f t="shared" si="0"/>
        <v/>
      </c>
      <c r="B17" s="21"/>
      <c r="C17" s="21"/>
      <c r="D17" s="21"/>
      <c r="E17" s="22"/>
      <c r="F17" s="22"/>
      <c r="G17" s="22"/>
      <c r="H17" s="22">
        <f t="shared" si="1"/>
        <v>0</v>
      </c>
      <c r="I17" s="21"/>
    </row>
    <row r="18" spans="1:9">
      <c r="A18" s="23" t="str">
        <f t="shared" si="0"/>
        <v/>
      </c>
      <c r="B18" s="23"/>
      <c r="C18" s="23"/>
      <c r="D18" s="23"/>
      <c r="E18" s="24"/>
      <c r="F18" s="24"/>
      <c r="G18" s="24"/>
      <c r="H18" s="24">
        <f t="shared" si="1"/>
        <v>0</v>
      </c>
      <c r="I18" s="23"/>
    </row>
    <row r="19" spans="1:9">
      <c r="A19" s="21" t="str">
        <f t="shared" si="0"/>
        <v/>
      </c>
      <c r="B19" s="21"/>
      <c r="C19" s="21"/>
      <c r="D19" s="21"/>
      <c r="E19" s="22"/>
      <c r="F19" s="22"/>
      <c r="G19" s="22"/>
      <c r="H19" s="22">
        <f t="shared" si="1"/>
        <v>0</v>
      </c>
      <c r="I19" s="21"/>
    </row>
    <row r="20" spans="1:9">
      <c r="A20" s="23" t="str">
        <f t="shared" si="0"/>
        <v/>
      </c>
      <c r="B20" s="23"/>
      <c r="C20" s="23"/>
      <c r="D20" s="23"/>
      <c r="E20" s="24"/>
      <c r="F20" s="24"/>
      <c r="G20" s="24"/>
      <c r="H20" s="24">
        <f t="shared" si="1"/>
        <v>0</v>
      </c>
      <c r="I20" s="23"/>
    </row>
    <row r="21" spans="1:9">
      <c r="A21" s="21" t="str">
        <f t="shared" si="0"/>
        <v/>
      </c>
      <c r="B21" s="21"/>
      <c r="C21" s="21"/>
      <c r="D21" s="21"/>
      <c r="E21" s="22"/>
      <c r="F21" s="22"/>
      <c r="G21" s="22"/>
      <c r="H21" s="22">
        <f t="shared" si="1"/>
        <v>0</v>
      </c>
      <c r="I21" s="21"/>
    </row>
    <row r="22" spans="1:9">
      <c r="A22" s="23" t="str">
        <f t="shared" si="0"/>
        <v/>
      </c>
      <c r="B22" s="23"/>
      <c r="C22" s="23"/>
      <c r="D22" s="23"/>
      <c r="E22" s="24"/>
      <c r="F22" s="24"/>
      <c r="G22" s="24"/>
      <c r="H22" s="24">
        <f t="shared" si="1"/>
        <v>0</v>
      </c>
      <c r="I22" s="23"/>
    </row>
    <row r="23" spans="1:9">
      <c r="A23" s="21" t="str">
        <f t="shared" si="0"/>
        <v/>
      </c>
      <c r="B23" s="21"/>
      <c r="C23" s="21"/>
      <c r="D23" s="21"/>
      <c r="E23" s="22"/>
      <c r="F23" s="22"/>
      <c r="G23" s="22"/>
      <c r="H23" s="22">
        <f t="shared" si="1"/>
        <v>0</v>
      </c>
      <c r="I23" s="21"/>
    </row>
    <row r="24" spans="1:9">
      <c r="A24" s="23" t="str">
        <f t="shared" si="0"/>
        <v/>
      </c>
      <c r="B24" s="23"/>
      <c r="C24" s="23"/>
      <c r="D24" s="23"/>
      <c r="E24" s="24"/>
      <c r="F24" s="24"/>
      <c r="G24" s="24"/>
      <c r="H24" s="24">
        <f t="shared" si="1"/>
        <v>0</v>
      </c>
      <c r="I24" s="23"/>
    </row>
    <row r="25" spans="1:9">
      <c r="A25" s="21" t="str">
        <f t="shared" si="0"/>
        <v/>
      </c>
      <c r="B25" s="21"/>
      <c r="C25" s="21"/>
      <c r="D25" s="21"/>
      <c r="E25" s="22"/>
      <c r="F25" s="22"/>
      <c r="G25" s="22"/>
      <c r="H25" s="22">
        <f t="shared" si="1"/>
        <v>0</v>
      </c>
      <c r="I25" s="21"/>
    </row>
    <row r="26" spans="1:9">
      <c r="A26" s="23" t="str">
        <f t="shared" si="0"/>
        <v/>
      </c>
      <c r="B26" s="23"/>
      <c r="C26" s="23"/>
      <c r="D26" s="23"/>
      <c r="E26" s="24"/>
      <c r="F26" s="24"/>
      <c r="G26" s="24"/>
      <c r="H26" s="24">
        <f t="shared" si="1"/>
        <v>0</v>
      </c>
      <c r="I26" s="23"/>
    </row>
    <row r="27" spans="1:9">
      <c r="A27" s="21" t="str">
        <f t="shared" si="0"/>
        <v/>
      </c>
      <c r="B27" s="21"/>
      <c r="C27" s="21"/>
      <c r="D27" s="21"/>
      <c r="E27" s="22"/>
      <c r="F27" s="22"/>
      <c r="G27" s="22"/>
      <c r="H27" s="22">
        <f t="shared" si="1"/>
        <v>0</v>
      </c>
      <c r="I27" s="21"/>
    </row>
    <row r="28" spans="1:9">
      <c r="A28" s="23" t="str">
        <f t="shared" si="0"/>
        <v/>
      </c>
      <c r="B28" s="23"/>
      <c r="C28" s="23"/>
      <c r="D28" s="23"/>
      <c r="E28" s="24"/>
      <c r="F28" s="24"/>
      <c r="G28" s="24"/>
      <c r="H28" s="24">
        <f t="shared" si="1"/>
        <v>0</v>
      </c>
      <c r="I28" s="23"/>
    </row>
    <row r="29" spans="1:9">
      <c r="A29" s="21" t="str">
        <f t="shared" si="0"/>
        <v/>
      </c>
      <c r="B29" s="21"/>
      <c r="C29" s="21"/>
      <c r="D29" s="21"/>
      <c r="E29" s="22"/>
      <c r="F29" s="22"/>
      <c r="G29" s="22"/>
      <c r="H29" s="22">
        <f t="shared" si="1"/>
        <v>0</v>
      </c>
      <c r="I29" s="21"/>
    </row>
    <row r="30" spans="1:9">
      <c r="A30" s="23" t="str">
        <f t="shared" si="0"/>
        <v/>
      </c>
      <c r="B30" s="23"/>
      <c r="C30" s="23"/>
      <c r="D30" s="23"/>
      <c r="E30" s="24"/>
      <c r="F30" s="24"/>
      <c r="G30" s="24"/>
      <c r="H30" s="24">
        <f t="shared" si="1"/>
        <v>0</v>
      </c>
      <c r="I30" s="23"/>
    </row>
    <row r="31" spans="1:9">
      <c r="A31" s="21" t="str">
        <f t="shared" si="0"/>
        <v/>
      </c>
      <c r="B31" s="21"/>
      <c r="C31" s="21"/>
      <c r="D31" s="21"/>
      <c r="E31" s="22"/>
      <c r="F31" s="22"/>
      <c r="G31" s="22"/>
      <c r="H31" s="22">
        <f t="shared" si="1"/>
        <v>0</v>
      </c>
      <c r="I31" s="21"/>
    </row>
    <row r="32" spans="1:9">
      <c r="A32" s="23" t="str">
        <f t="shared" si="0"/>
        <v/>
      </c>
      <c r="B32" s="23"/>
      <c r="C32" s="23"/>
      <c r="D32" s="23"/>
      <c r="E32" s="24"/>
      <c r="F32" s="24"/>
      <c r="G32" s="24"/>
      <c r="H32" s="24">
        <f t="shared" si="1"/>
        <v>0</v>
      </c>
      <c r="I32" s="23"/>
    </row>
    <row r="33" spans="1:9">
      <c r="A33" s="21" t="str">
        <f t="shared" si="0"/>
        <v/>
      </c>
      <c r="B33" s="21"/>
      <c r="C33" s="21"/>
      <c r="D33" s="21"/>
      <c r="E33" s="22"/>
      <c r="F33" s="22"/>
      <c r="G33" s="22"/>
      <c r="H33" s="22">
        <f t="shared" si="1"/>
        <v>0</v>
      </c>
      <c r="I33" s="21"/>
    </row>
    <row r="34" spans="1:9">
      <c r="A34" s="23" t="str">
        <f t="shared" si="0"/>
        <v/>
      </c>
      <c r="B34" s="23"/>
      <c r="C34" s="23"/>
      <c r="D34" s="23"/>
      <c r="E34" s="24"/>
      <c r="F34" s="24"/>
      <c r="G34" s="24"/>
      <c r="H34" s="24">
        <f t="shared" si="1"/>
        <v>0</v>
      </c>
      <c r="I34" s="23"/>
    </row>
    <row r="35" spans="1:9">
      <c r="A35" s="21" t="str">
        <f t="shared" ref="A35:A66" si="2">IF(C35&lt;&gt;"",ROW()-2,"")</f>
        <v/>
      </c>
      <c r="B35" s="21"/>
      <c r="C35" s="21"/>
      <c r="D35" s="21"/>
      <c r="E35" s="22"/>
      <c r="F35" s="22"/>
      <c r="G35" s="22"/>
      <c r="H35" s="22">
        <f t="shared" ref="H35:H66" si="3">IF(I35="是",0,E35*F35*(1+G35))</f>
        <v>0</v>
      </c>
      <c r="I35" s="21"/>
    </row>
    <row r="36" spans="1:9">
      <c r="A36" s="23" t="str">
        <f t="shared" si="2"/>
        <v/>
      </c>
      <c r="B36" s="23"/>
      <c r="C36" s="23"/>
      <c r="D36" s="23"/>
      <c r="E36" s="24"/>
      <c r="F36" s="24"/>
      <c r="G36" s="24"/>
      <c r="H36" s="24">
        <f t="shared" si="3"/>
        <v>0</v>
      </c>
      <c r="I36" s="23"/>
    </row>
    <row r="37" spans="1:9">
      <c r="A37" s="21" t="str">
        <f t="shared" si="2"/>
        <v/>
      </c>
      <c r="B37" s="21"/>
      <c r="C37" s="21"/>
      <c r="D37" s="21"/>
      <c r="E37" s="22"/>
      <c r="F37" s="22"/>
      <c r="G37" s="22"/>
      <c r="H37" s="22">
        <f t="shared" si="3"/>
        <v>0</v>
      </c>
      <c r="I37" s="21"/>
    </row>
    <row r="38" spans="1:9">
      <c r="A38" s="23" t="str">
        <f t="shared" si="2"/>
        <v/>
      </c>
      <c r="B38" s="23"/>
      <c r="C38" s="23"/>
      <c r="D38" s="23"/>
      <c r="E38" s="24"/>
      <c r="F38" s="24"/>
      <c r="G38" s="24"/>
      <c r="H38" s="24">
        <f t="shared" si="3"/>
        <v>0</v>
      </c>
      <c r="I38" s="23"/>
    </row>
    <row r="39" spans="1:9">
      <c r="A39" s="21" t="str">
        <f t="shared" si="2"/>
        <v/>
      </c>
      <c r="B39" s="21"/>
      <c r="C39" s="21"/>
      <c r="D39" s="21"/>
      <c r="E39" s="22"/>
      <c r="F39" s="22"/>
      <c r="G39" s="22"/>
      <c r="H39" s="22">
        <f t="shared" si="3"/>
        <v>0</v>
      </c>
      <c r="I39" s="21"/>
    </row>
    <row r="40" spans="1:9">
      <c r="A40" s="23" t="str">
        <f t="shared" si="2"/>
        <v/>
      </c>
      <c r="B40" s="23"/>
      <c r="C40" s="23"/>
      <c r="D40" s="23"/>
      <c r="E40" s="24"/>
      <c r="F40" s="24"/>
      <c r="G40" s="24"/>
      <c r="H40" s="24">
        <f t="shared" si="3"/>
        <v>0</v>
      </c>
      <c r="I40" s="23"/>
    </row>
    <row r="41" spans="1:9">
      <c r="A41" s="21" t="str">
        <f t="shared" si="2"/>
        <v/>
      </c>
      <c r="B41" s="21"/>
      <c r="C41" s="21"/>
      <c r="D41" s="21"/>
      <c r="E41" s="22"/>
      <c r="F41" s="22"/>
      <c r="G41" s="22"/>
      <c r="H41" s="22">
        <f t="shared" si="3"/>
        <v>0</v>
      </c>
      <c r="I41" s="21"/>
    </row>
    <row r="42" spans="1:9">
      <c r="A42" s="23" t="str">
        <f t="shared" si="2"/>
        <v/>
      </c>
      <c r="B42" s="23"/>
      <c r="C42" s="23"/>
      <c r="D42" s="23"/>
      <c r="E42" s="24"/>
      <c r="F42" s="24"/>
      <c r="G42" s="24"/>
      <c r="H42" s="24">
        <f t="shared" si="3"/>
        <v>0</v>
      </c>
      <c r="I42" s="23"/>
    </row>
    <row r="43" spans="1:9">
      <c r="A43" s="21" t="str">
        <f t="shared" si="2"/>
        <v/>
      </c>
      <c r="B43" s="21"/>
      <c r="C43" s="21"/>
      <c r="D43" s="21"/>
      <c r="E43" s="22"/>
      <c r="F43" s="22"/>
      <c r="G43" s="22"/>
      <c r="H43" s="22">
        <f t="shared" si="3"/>
        <v>0</v>
      </c>
      <c r="I43" s="21"/>
    </row>
    <row r="44" spans="1:9">
      <c r="A44" s="23" t="str">
        <f t="shared" si="2"/>
        <v/>
      </c>
      <c r="B44" s="23"/>
      <c r="C44" s="23"/>
      <c r="D44" s="23"/>
      <c r="E44" s="24"/>
      <c r="F44" s="24"/>
      <c r="G44" s="24"/>
      <c r="H44" s="24">
        <f t="shared" si="3"/>
        <v>0</v>
      </c>
      <c r="I44" s="23"/>
    </row>
    <row r="45" spans="1:9">
      <c r="A45" s="21" t="str">
        <f t="shared" si="2"/>
        <v/>
      </c>
      <c r="B45" s="21"/>
      <c r="C45" s="21"/>
      <c r="D45" s="21"/>
      <c r="E45" s="22"/>
      <c r="F45" s="22"/>
      <c r="G45" s="22"/>
      <c r="H45" s="22">
        <f t="shared" si="3"/>
        <v>0</v>
      </c>
      <c r="I45" s="21"/>
    </row>
    <row r="46" spans="1:9">
      <c r="A46" s="23" t="str">
        <f t="shared" si="2"/>
        <v/>
      </c>
      <c r="B46" s="23"/>
      <c r="C46" s="23"/>
      <c r="D46" s="23"/>
      <c r="E46" s="24"/>
      <c r="F46" s="24"/>
      <c r="G46" s="24"/>
      <c r="H46" s="24">
        <f t="shared" si="3"/>
        <v>0</v>
      </c>
      <c r="I46" s="23"/>
    </row>
    <row r="47" spans="1:9">
      <c r="A47" s="21" t="str">
        <f t="shared" si="2"/>
        <v/>
      </c>
      <c r="B47" s="21"/>
      <c r="C47" s="21"/>
      <c r="D47" s="21"/>
      <c r="E47" s="22"/>
      <c r="F47" s="22"/>
      <c r="G47" s="22"/>
      <c r="H47" s="22">
        <f t="shared" si="3"/>
        <v>0</v>
      </c>
      <c r="I47" s="21"/>
    </row>
    <row r="48" spans="1:9">
      <c r="A48" s="23" t="str">
        <f t="shared" si="2"/>
        <v/>
      </c>
      <c r="B48" s="23"/>
      <c r="C48" s="23"/>
      <c r="D48" s="23"/>
      <c r="E48" s="24"/>
      <c r="F48" s="24"/>
      <c r="G48" s="24"/>
      <c r="H48" s="24">
        <f t="shared" si="3"/>
        <v>0</v>
      </c>
      <c r="I48" s="23"/>
    </row>
    <row r="49" spans="1:9">
      <c r="A49" s="21" t="str">
        <f t="shared" si="2"/>
        <v/>
      </c>
      <c r="B49" s="21"/>
      <c r="C49" s="21"/>
      <c r="D49" s="21"/>
      <c r="E49" s="22"/>
      <c r="F49" s="22"/>
      <c r="G49" s="22"/>
      <c r="H49" s="22">
        <f t="shared" si="3"/>
        <v>0</v>
      </c>
      <c r="I49" s="21"/>
    </row>
    <row r="50" spans="1:9">
      <c r="A50" s="23" t="str">
        <f t="shared" si="2"/>
        <v/>
      </c>
      <c r="B50" s="23"/>
      <c r="C50" s="23"/>
      <c r="D50" s="23"/>
      <c r="E50" s="24"/>
      <c r="F50" s="24"/>
      <c r="G50" s="24"/>
      <c r="H50" s="24">
        <f t="shared" si="3"/>
        <v>0</v>
      </c>
      <c r="I50" s="23"/>
    </row>
    <row r="51" spans="1:9">
      <c r="A51" s="21" t="str">
        <f t="shared" si="2"/>
        <v/>
      </c>
      <c r="B51" s="21"/>
      <c r="C51" s="21"/>
      <c r="D51" s="21"/>
      <c r="E51" s="22"/>
      <c r="F51" s="22"/>
      <c r="G51" s="22"/>
      <c r="H51" s="22">
        <f t="shared" si="3"/>
        <v>0</v>
      </c>
      <c r="I51" s="21"/>
    </row>
    <row r="52" spans="1:9">
      <c r="A52" s="23" t="str">
        <f t="shared" si="2"/>
        <v/>
      </c>
      <c r="B52" s="23"/>
      <c r="C52" s="23"/>
      <c r="D52" s="23"/>
      <c r="E52" s="24"/>
      <c r="F52" s="24"/>
      <c r="G52" s="24"/>
      <c r="H52" s="24">
        <f t="shared" si="3"/>
        <v>0</v>
      </c>
      <c r="I52" s="23"/>
    </row>
    <row r="53" spans="1:9">
      <c r="A53" s="21" t="str">
        <f t="shared" si="2"/>
        <v/>
      </c>
      <c r="B53" s="21"/>
      <c r="C53" s="21"/>
      <c r="D53" s="21"/>
      <c r="E53" s="22"/>
      <c r="F53" s="22"/>
      <c r="G53" s="22"/>
      <c r="H53" s="22">
        <f t="shared" si="3"/>
        <v>0</v>
      </c>
      <c r="I53" s="21"/>
    </row>
    <row r="54" spans="1:9">
      <c r="A54" s="23" t="str">
        <f t="shared" si="2"/>
        <v/>
      </c>
      <c r="B54" s="23"/>
      <c r="C54" s="23"/>
      <c r="D54" s="23"/>
      <c r="E54" s="24"/>
      <c r="F54" s="24"/>
      <c r="G54" s="24"/>
      <c r="H54" s="24">
        <f t="shared" si="3"/>
        <v>0</v>
      </c>
      <c r="I54" s="23"/>
    </row>
    <row r="55" spans="1:9">
      <c r="A55" s="21" t="str">
        <f t="shared" si="2"/>
        <v/>
      </c>
      <c r="B55" s="21"/>
      <c r="C55" s="21"/>
      <c r="D55" s="21"/>
      <c r="E55" s="22"/>
      <c r="F55" s="22"/>
      <c r="G55" s="22"/>
      <c r="H55" s="22">
        <f t="shared" si="3"/>
        <v>0</v>
      </c>
      <c r="I55" s="21"/>
    </row>
    <row r="56" spans="1:9">
      <c r="A56" s="23" t="str">
        <f t="shared" si="2"/>
        <v/>
      </c>
      <c r="B56" s="23"/>
      <c r="C56" s="23"/>
      <c r="D56" s="23"/>
      <c r="E56" s="24"/>
      <c r="F56" s="24"/>
      <c r="G56" s="24"/>
      <c r="H56" s="24">
        <f t="shared" si="3"/>
        <v>0</v>
      </c>
      <c r="I56" s="23"/>
    </row>
    <row r="57" spans="1:9">
      <c r="A57" s="21" t="str">
        <f t="shared" si="2"/>
        <v/>
      </c>
      <c r="B57" s="21"/>
      <c r="C57" s="21"/>
      <c r="D57" s="21"/>
      <c r="E57" s="22"/>
      <c r="F57" s="22"/>
      <c r="G57" s="22"/>
      <c r="H57" s="22">
        <f t="shared" si="3"/>
        <v>0</v>
      </c>
      <c r="I57" s="21"/>
    </row>
    <row r="58" spans="1:9">
      <c r="A58" s="23" t="str">
        <f t="shared" si="2"/>
        <v/>
      </c>
      <c r="B58" s="23"/>
      <c r="C58" s="23"/>
      <c r="D58" s="23"/>
      <c r="E58" s="24"/>
      <c r="F58" s="24"/>
      <c r="G58" s="24"/>
      <c r="H58" s="24">
        <f t="shared" si="3"/>
        <v>0</v>
      </c>
      <c r="I58" s="23"/>
    </row>
    <row r="59" spans="1:9">
      <c r="A59" s="21" t="str">
        <f t="shared" si="2"/>
        <v/>
      </c>
      <c r="B59" s="21"/>
      <c r="C59" s="21"/>
      <c r="D59" s="21"/>
      <c r="E59" s="22"/>
      <c r="F59" s="22"/>
      <c r="G59" s="22"/>
      <c r="H59" s="22">
        <f t="shared" si="3"/>
        <v>0</v>
      </c>
      <c r="I59" s="21"/>
    </row>
    <row r="60" spans="1:9">
      <c r="A60" s="23" t="str">
        <f t="shared" si="2"/>
        <v/>
      </c>
      <c r="B60" s="23"/>
      <c r="C60" s="23"/>
      <c r="D60" s="23"/>
      <c r="E60" s="24"/>
      <c r="F60" s="24"/>
      <c r="G60" s="24"/>
      <c r="H60" s="24">
        <f t="shared" si="3"/>
        <v>0</v>
      </c>
      <c r="I60" s="23"/>
    </row>
    <row r="61" spans="1:9">
      <c r="A61" s="21" t="str">
        <f t="shared" si="2"/>
        <v/>
      </c>
      <c r="B61" s="21"/>
      <c r="C61" s="21"/>
      <c r="D61" s="21"/>
      <c r="E61" s="22"/>
      <c r="F61" s="22"/>
      <c r="G61" s="22"/>
      <c r="H61" s="22">
        <f t="shared" si="3"/>
        <v>0</v>
      </c>
      <c r="I61" s="21"/>
    </row>
    <row r="62" spans="1:9">
      <c r="A62" s="23" t="str">
        <f t="shared" si="2"/>
        <v/>
      </c>
      <c r="B62" s="23"/>
      <c r="C62" s="23"/>
      <c r="D62" s="23"/>
      <c r="E62" s="24"/>
      <c r="F62" s="24"/>
      <c r="G62" s="24"/>
      <c r="H62" s="24">
        <f t="shared" si="3"/>
        <v>0</v>
      </c>
      <c r="I62" s="23"/>
    </row>
    <row r="63" spans="1:9">
      <c r="A63" s="21" t="str">
        <f t="shared" si="2"/>
        <v/>
      </c>
      <c r="B63" s="21"/>
      <c r="C63" s="21"/>
      <c r="D63" s="21"/>
      <c r="E63" s="22"/>
      <c r="F63" s="22"/>
      <c r="G63" s="22"/>
      <c r="H63" s="22">
        <f t="shared" si="3"/>
        <v>0</v>
      </c>
      <c r="I63" s="21"/>
    </row>
    <row r="64" spans="1:9">
      <c r="A64" s="23" t="str">
        <f t="shared" si="2"/>
        <v/>
      </c>
      <c r="B64" s="23"/>
      <c r="C64" s="23"/>
      <c r="D64" s="23"/>
      <c r="E64" s="24"/>
      <c r="F64" s="24"/>
      <c r="G64" s="24"/>
      <c r="H64" s="24">
        <f t="shared" si="3"/>
        <v>0</v>
      </c>
      <c r="I64" s="23"/>
    </row>
    <row r="65" spans="1:9">
      <c r="A65" s="21" t="str">
        <f t="shared" si="2"/>
        <v/>
      </c>
      <c r="B65" s="21"/>
      <c r="C65" s="21"/>
      <c r="D65" s="21"/>
      <c r="E65" s="22"/>
      <c r="F65" s="22"/>
      <c r="G65" s="22"/>
      <c r="H65" s="22">
        <f t="shared" si="3"/>
        <v>0</v>
      </c>
      <c r="I65" s="21"/>
    </row>
    <row r="66" spans="1:9">
      <c r="A66" s="23" t="str">
        <f t="shared" si="2"/>
        <v/>
      </c>
      <c r="B66" s="23"/>
      <c r="C66" s="23"/>
      <c r="D66" s="23"/>
      <c r="E66" s="24"/>
      <c r="F66" s="24"/>
      <c r="G66" s="24"/>
      <c r="H66" s="24">
        <f t="shared" si="3"/>
        <v>0</v>
      </c>
      <c r="I66" s="23"/>
    </row>
    <row r="67" spans="1:9">
      <c r="A67" s="21" t="str">
        <f t="shared" ref="A67:A102" si="4">IF(C67&lt;&gt;"",ROW()-2,"")</f>
        <v/>
      </c>
      <c r="B67" s="21"/>
      <c r="C67" s="21"/>
      <c r="D67" s="21"/>
      <c r="E67" s="22"/>
      <c r="F67" s="22"/>
      <c r="G67" s="22"/>
      <c r="H67" s="22">
        <f t="shared" ref="H67:H98" si="5">IF(I67="是",0,E67*F67*(1+G67))</f>
        <v>0</v>
      </c>
      <c r="I67" s="21"/>
    </row>
    <row r="68" spans="1:9">
      <c r="A68" s="23" t="str">
        <f t="shared" si="4"/>
        <v/>
      </c>
      <c r="B68" s="23"/>
      <c r="C68" s="23"/>
      <c r="D68" s="23"/>
      <c r="E68" s="24"/>
      <c r="F68" s="24"/>
      <c r="G68" s="24"/>
      <c r="H68" s="24">
        <f t="shared" si="5"/>
        <v>0</v>
      </c>
      <c r="I68" s="23"/>
    </row>
    <row r="69" spans="1:9">
      <c r="A69" s="21" t="str">
        <f t="shared" si="4"/>
        <v/>
      </c>
      <c r="B69" s="21"/>
      <c r="C69" s="21"/>
      <c r="D69" s="21"/>
      <c r="E69" s="22"/>
      <c r="F69" s="22"/>
      <c r="G69" s="22"/>
      <c r="H69" s="22">
        <f t="shared" si="5"/>
        <v>0</v>
      </c>
      <c r="I69" s="21"/>
    </row>
    <row r="70" spans="1:9">
      <c r="A70" s="23" t="str">
        <f t="shared" si="4"/>
        <v/>
      </c>
      <c r="B70" s="23"/>
      <c r="C70" s="23"/>
      <c r="D70" s="23"/>
      <c r="E70" s="24"/>
      <c r="F70" s="24"/>
      <c r="G70" s="24"/>
      <c r="H70" s="24">
        <f t="shared" si="5"/>
        <v>0</v>
      </c>
      <c r="I70" s="23"/>
    </row>
    <row r="71" spans="1:9">
      <c r="A71" s="21" t="str">
        <f t="shared" si="4"/>
        <v/>
      </c>
      <c r="B71" s="21"/>
      <c r="C71" s="21"/>
      <c r="D71" s="21"/>
      <c r="E71" s="22"/>
      <c r="F71" s="22"/>
      <c r="G71" s="22"/>
      <c r="H71" s="22">
        <f t="shared" si="5"/>
        <v>0</v>
      </c>
      <c r="I71" s="21"/>
    </row>
    <row r="72" spans="1:9">
      <c r="A72" s="23" t="str">
        <f t="shared" si="4"/>
        <v/>
      </c>
      <c r="B72" s="23"/>
      <c r="C72" s="23"/>
      <c r="D72" s="23"/>
      <c r="E72" s="24"/>
      <c r="F72" s="24"/>
      <c r="G72" s="24"/>
      <c r="H72" s="24">
        <f t="shared" si="5"/>
        <v>0</v>
      </c>
      <c r="I72" s="23"/>
    </row>
    <row r="73" spans="1:9">
      <c r="A73" s="21" t="str">
        <f t="shared" si="4"/>
        <v/>
      </c>
      <c r="B73" s="21"/>
      <c r="C73" s="21"/>
      <c r="D73" s="21"/>
      <c r="E73" s="22"/>
      <c r="F73" s="22"/>
      <c r="G73" s="22"/>
      <c r="H73" s="22">
        <f t="shared" si="5"/>
        <v>0</v>
      </c>
      <c r="I73" s="21"/>
    </row>
    <row r="74" spans="1:9">
      <c r="A74" s="23" t="str">
        <f t="shared" si="4"/>
        <v/>
      </c>
      <c r="B74" s="23"/>
      <c r="C74" s="23"/>
      <c r="D74" s="23"/>
      <c r="E74" s="24"/>
      <c r="F74" s="24"/>
      <c r="G74" s="24"/>
      <c r="H74" s="24">
        <f t="shared" si="5"/>
        <v>0</v>
      </c>
      <c r="I74" s="23"/>
    </row>
    <row r="75" spans="1:9">
      <c r="A75" s="21" t="str">
        <f t="shared" si="4"/>
        <v/>
      </c>
      <c r="B75" s="21"/>
      <c r="C75" s="21"/>
      <c r="D75" s="21"/>
      <c r="E75" s="22"/>
      <c r="F75" s="22"/>
      <c r="G75" s="22"/>
      <c r="H75" s="22">
        <f t="shared" si="5"/>
        <v>0</v>
      </c>
      <c r="I75" s="21"/>
    </row>
    <row r="76" spans="1:9">
      <c r="A76" s="23" t="str">
        <f t="shared" si="4"/>
        <v/>
      </c>
      <c r="B76" s="23"/>
      <c r="C76" s="23"/>
      <c r="D76" s="23"/>
      <c r="E76" s="24"/>
      <c r="F76" s="24"/>
      <c r="G76" s="24"/>
      <c r="H76" s="24">
        <f t="shared" si="5"/>
        <v>0</v>
      </c>
      <c r="I76" s="23"/>
    </row>
    <row r="77" spans="1:9">
      <c r="A77" s="21" t="str">
        <f t="shared" si="4"/>
        <v/>
      </c>
      <c r="B77" s="21"/>
      <c r="C77" s="21"/>
      <c r="D77" s="21"/>
      <c r="E77" s="22"/>
      <c r="F77" s="22"/>
      <c r="G77" s="22"/>
      <c r="H77" s="22">
        <f t="shared" si="5"/>
        <v>0</v>
      </c>
      <c r="I77" s="21"/>
    </row>
    <row r="78" spans="1:9">
      <c r="A78" s="23" t="str">
        <f t="shared" si="4"/>
        <v/>
      </c>
      <c r="B78" s="23"/>
      <c r="C78" s="23"/>
      <c r="D78" s="23"/>
      <c r="E78" s="24"/>
      <c r="F78" s="24"/>
      <c r="G78" s="24"/>
      <c r="H78" s="24">
        <f t="shared" si="5"/>
        <v>0</v>
      </c>
      <c r="I78" s="23"/>
    </row>
    <row r="79" spans="1:9">
      <c r="A79" s="21" t="str">
        <f t="shared" si="4"/>
        <v/>
      </c>
      <c r="B79" s="21"/>
      <c r="C79" s="21"/>
      <c r="D79" s="21"/>
      <c r="E79" s="22"/>
      <c r="F79" s="22"/>
      <c r="G79" s="22"/>
      <c r="H79" s="22">
        <f t="shared" si="5"/>
        <v>0</v>
      </c>
      <c r="I79" s="21"/>
    </row>
    <row r="80" spans="1:9">
      <c r="A80" s="23" t="str">
        <f t="shared" si="4"/>
        <v/>
      </c>
      <c r="B80" s="23"/>
      <c r="C80" s="23"/>
      <c r="D80" s="23"/>
      <c r="E80" s="24"/>
      <c r="F80" s="24"/>
      <c r="G80" s="24"/>
      <c r="H80" s="24">
        <f t="shared" si="5"/>
        <v>0</v>
      </c>
      <c r="I80" s="23"/>
    </row>
    <row r="81" spans="1:9">
      <c r="A81" s="21" t="str">
        <f t="shared" si="4"/>
        <v/>
      </c>
      <c r="B81" s="21"/>
      <c r="C81" s="21"/>
      <c r="D81" s="21"/>
      <c r="E81" s="22"/>
      <c r="F81" s="22"/>
      <c r="G81" s="22"/>
      <c r="H81" s="22">
        <f t="shared" si="5"/>
        <v>0</v>
      </c>
      <c r="I81" s="21"/>
    </row>
    <row r="82" spans="1:9">
      <c r="A82" s="23" t="str">
        <f t="shared" si="4"/>
        <v/>
      </c>
      <c r="B82" s="23"/>
      <c r="C82" s="23"/>
      <c r="D82" s="23"/>
      <c r="E82" s="24"/>
      <c r="F82" s="24"/>
      <c r="G82" s="24"/>
      <c r="H82" s="24">
        <f t="shared" si="5"/>
        <v>0</v>
      </c>
      <c r="I82" s="23"/>
    </row>
    <row r="83" spans="1:9">
      <c r="A83" s="21" t="str">
        <f t="shared" si="4"/>
        <v/>
      </c>
      <c r="B83" s="21"/>
      <c r="C83" s="21"/>
      <c r="D83" s="21"/>
      <c r="E83" s="22"/>
      <c r="F83" s="22"/>
      <c r="G83" s="22"/>
      <c r="H83" s="22">
        <f t="shared" si="5"/>
        <v>0</v>
      </c>
      <c r="I83" s="21"/>
    </row>
    <row r="84" spans="1:9">
      <c r="A84" s="23" t="str">
        <f t="shared" si="4"/>
        <v/>
      </c>
      <c r="B84" s="23"/>
      <c r="C84" s="23"/>
      <c r="D84" s="23"/>
      <c r="E84" s="24"/>
      <c r="F84" s="24"/>
      <c r="G84" s="24"/>
      <c r="H84" s="24">
        <f t="shared" si="5"/>
        <v>0</v>
      </c>
      <c r="I84" s="23"/>
    </row>
    <row r="85" spans="1:9">
      <c r="A85" s="21" t="str">
        <f t="shared" si="4"/>
        <v/>
      </c>
      <c r="B85" s="21"/>
      <c r="C85" s="21"/>
      <c r="D85" s="21"/>
      <c r="E85" s="22"/>
      <c r="F85" s="22"/>
      <c r="G85" s="22"/>
      <c r="H85" s="22">
        <f t="shared" si="5"/>
        <v>0</v>
      </c>
      <c r="I85" s="21"/>
    </row>
    <row r="86" spans="1:9">
      <c r="A86" s="23" t="str">
        <f t="shared" si="4"/>
        <v/>
      </c>
      <c r="B86" s="23"/>
      <c r="C86" s="23"/>
      <c r="D86" s="23"/>
      <c r="E86" s="24"/>
      <c r="F86" s="24"/>
      <c r="G86" s="24"/>
      <c r="H86" s="24">
        <f t="shared" si="5"/>
        <v>0</v>
      </c>
      <c r="I86" s="23"/>
    </row>
    <row r="87" spans="1:9">
      <c r="A87" s="21" t="str">
        <f t="shared" si="4"/>
        <v/>
      </c>
      <c r="B87" s="21"/>
      <c r="C87" s="21"/>
      <c r="D87" s="21"/>
      <c r="E87" s="22"/>
      <c r="F87" s="22"/>
      <c r="G87" s="22"/>
      <c r="H87" s="22">
        <f t="shared" si="5"/>
        <v>0</v>
      </c>
      <c r="I87" s="21"/>
    </row>
    <row r="88" spans="1:9">
      <c r="A88" s="23" t="str">
        <f t="shared" si="4"/>
        <v/>
      </c>
      <c r="B88" s="23"/>
      <c r="C88" s="23"/>
      <c r="D88" s="23"/>
      <c r="E88" s="24"/>
      <c r="F88" s="24"/>
      <c r="G88" s="24"/>
      <c r="H88" s="24">
        <f t="shared" si="5"/>
        <v>0</v>
      </c>
      <c r="I88" s="23"/>
    </row>
    <row r="89" spans="1:9">
      <c r="A89" s="21" t="str">
        <f t="shared" si="4"/>
        <v/>
      </c>
      <c r="B89" s="21"/>
      <c r="C89" s="21"/>
      <c r="D89" s="21"/>
      <c r="E89" s="22"/>
      <c r="F89" s="22"/>
      <c r="G89" s="22"/>
      <c r="H89" s="22">
        <f t="shared" si="5"/>
        <v>0</v>
      </c>
      <c r="I89" s="21"/>
    </row>
    <row r="90" spans="1:9">
      <c r="A90" s="23" t="str">
        <f t="shared" si="4"/>
        <v/>
      </c>
      <c r="B90" s="23"/>
      <c r="C90" s="23"/>
      <c r="D90" s="23"/>
      <c r="E90" s="24"/>
      <c r="F90" s="24"/>
      <c r="G90" s="24"/>
      <c r="H90" s="24">
        <f t="shared" si="5"/>
        <v>0</v>
      </c>
      <c r="I90" s="23"/>
    </row>
    <row r="91" spans="1:9">
      <c r="A91" s="21" t="str">
        <f t="shared" si="4"/>
        <v/>
      </c>
      <c r="B91" s="21"/>
      <c r="C91" s="21"/>
      <c r="D91" s="21"/>
      <c r="E91" s="22"/>
      <c r="F91" s="22"/>
      <c r="G91" s="22"/>
      <c r="H91" s="22">
        <f t="shared" si="5"/>
        <v>0</v>
      </c>
      <c r="I91" s="21"/>
    </row>
    <row r="92" spans="1:9">
      <c r="A92" s="23" t="str">
        <f t="shared" si="4"/>
        <v/>
      </c>
      <c r="B92" s="23"/>
      <c r="C92" s="23"/>
      <c r="D92" s="23"/>
      <c r="E92" s="24"/>
      <c r="F92" s="24"/>
      <c r="G92" s="24"/>
      <c r="H92" s="24">
        <f t="shared" si="5"/>
        <v>0</v>
      </c>
      <c r="I92" s="23"/>
    </row>
    <row r="93" spans="1:9">
      <c r="A93" s="21" t="str">
        <f t="shared" si="4"/>
        <v/>
      </c>
      <c r="B93" s="21"/>
      <c r="C93" s="21"/>
      <c r="D93" s="21"/>
      <c r="E93" s="22"/>
      <c r="F93" s="22"/>
      <c r="G93" s="22"/>
      <c r="H93" s="22">
        <f t="shared" si="5"/>
        <v>0</v>
      </c>
      <c r="I93" s="21"/>
    </row>
    <row r="94" spans="1:9">
      <c r="A94" s="23" t="str">
        <f t="shared" si="4"/>
        <v/>
      </c>
      <c r="B94" s="23"/>
      <c r="C94" s="23"/>
      <c r="D94" s="23"/>
      <c r="E94" s="24"/>
      <c r="F94" s="24"/>
      <c r="G94" s="24"/>
      <c r="H94" s="24">
        <f t="shared" si="5"/>
        <v>0</v>
      </c>
      <c r="I94" s="23"/>
    </row>
    <row r="95" spans="1:9">
      <c r="A95" s="21" t="str">
        <f t="shared" si="4"/>
        <v/>
      </c>
      <c r="B95" s="21"/>
      <c r="C95" s="21"/>
      <c r="D95" s="21"/>
      <c r="E95" s="22"/>
      <c r="F95" s="22"/>
      <c r="G95" s="22"/>
      <c r="H95" s="22">
        <f t="shared" si="5"/>
        <v>0</v>
      </c>
      <c r="I95" s="21"/>
    </row>
    <row r="96" spans="1:9">
      <c r="A96" s="23" t="str">
        <f t="shared" si="4"/>
        <v/>
      </c>
      <c r="B96" s="23"/>
      <c r="C96" s="23"/>
      <c r="D96" s="23"/>
      <c r="E96" s="24"/>
      <c r="F96" s="24"/>
      <c r="G96" s="24"/>
      <c r="H96" s="24">
        <f t="shared" si="5"/>
        <v>0</v>
      </c>
      <c r="I96" s="23"/>
    </row>
    <row r="97" spans="1:9">
      <c r="A97" s="21" t="str">
        <f t="shared" si="4"/>
        <v/>
      </c>
      <c r="B97" s="21"/>
      <c r="C97" s="21"/>
      <c r="D97" s="21"/>
      <c r="E97" s="22"/>
      <c r="F97" s="22"/>
      <c r="G97" s="22"/>
      <c r="H97" s="22">
        <f t="shared" si="5"/>
        <v>0</v>
      </c>
      <c r="I97" s="21"/>
    </row>
    <row r="98" spans="1:9">
      <c r="A98" s="23" t="str">
        <f t="shared" si="4"/>
        <v/>
      </c>
      <c r="B98" s="23"/>
      <c r="C98" s="23"/>
      <c r="D98" s="23"/>
      <c r="E98" s="24"/>
      <c r="F98" s="24"/>
      <c r="G98" s="24"/>
      <c r="H98" s="24">
        <f t="shared" si="5"/>
        <v>0</v>
      </c>
      <c r="I98" s="23"/>
    </row>
    <row r="99" spans="1:9">
      <c r="A99" s="21" t="str">
        <f t="shared" si="4"/>
        <v/>
      </c>
      <c r="B99" s="21"/>
      <c r="C99" s="21"/>
      <c r="D99" s="21"/>
      <c r="E99" s="22"/>
      <c r="F99" s="22"/>
      <c r="G99" s="22"/>
      <c r="H99" s="22">
        <f t="shared" ref="H99:H130" si="6">IF(I99="是",0,E99*F99*(1+G99))</f>
        <v>0</v>
      </c>
      <c r="I99" s="21"/>
    </row>
    <row r="100" spans="1:9">
      <c r="A100" s="23" t="str">
        <f t="shared" si="4"/>
        <v/>
      </c>
      <c r="B100" s="23"/>
      <c r="C100" s="23"/>
      <c r="D100" s="23"/>
      <c r="E100" s="24"/>
      <c r="F100" s="24"/>
      <c r="G100" s="24"/>
      <c r="H100" s="24">
        <f t="shared" si="6"/>
        <v>0</v>
      </c>
      <c r="I100" s="23"/>
    </row>
    <row r="101" spans="1:9">
      <c r="A101" s="21" t="str">
        <f t="shared" si="4"/>
        <v/>
      </c>
      <c r="B101" s="21"/>
      <c r="C101" s="21"/>
      <c r="D101" s="21"/>
      <c r="E101" s="22"/>
      <c r="F101" s="22"/>
      <c r="G101" s="22"/>
      <c r="H101" s="22">
        <f t="shared" si="6"/>
        <v>0</v>
      </c>
      <c r="I101" s="21"/>
    </row>
    <row r="102" spans="1:9">
      <c r="A102" s="23" t="str">
        <f t="shared" si="4"/>
        <v/>
      </c>
      <c r="B102" s="23"/>
      <c r="C102" s="23"/>
      <c r="D102" s="23"/>
      <c r="E102" s="24"/>
      <c r="F102" s="24"/>
      <c r="G102" s="24"/>
      <c r="H102" s="24">
        <f t="shared" si="6"/>
        <v>0</v>
      </c>
      <c r="I102" s="23"/>
    </row>
  </sheetData>
  <autoFilter ref="A2:I102" xr:uid="{00000000-0009-0000-0000-000002000000}"/>
  <mergeCells count="1">
    <mergeCell ref="A1:I1"/>
  </mergeCells>
  <phoneticPr fontId="15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7014-32D4-4E55-97C8-CE95236DD698}">
  <sheetPr>
    <outlinePr summaryBelow="0" summaryRight="0"/>
  </sheetPr>
  <dimension ref="A1:H23"/>
  <sheetViews>
    <sheetView showGridLines="0" workbookViewId="0">
      <pane ySplit="4" topLeftCell="A5" activePane="bottomLeft" state="frozen"/>
      <selection pane="bottomLeft" sqref="A1:H1"/>
    </sheetView>
  </sheetViews>
  <sheetFormatPr defaultColWidth="8.5546875" defaultRowHeight="13.8"/>
  <cols>
    <col min="1" max="1" width="12" customWidth="1"/>
    <col min="2" max="2" width="20" customWidth="1"/>
    <col min="3" max="5" width="12" customWidth="1"/>
    <col min="6" max="6" width="10" customWidth="1"/>
    <col min="7" max="8" width="12" customWidth="1"/>
  </cols>
  <sheetData>
    <row r="1" spans="1:8" ht="18" customHeight="1">
      <c r="A1" s="81" t="s">
        <v>247</v>
      </c>
      <c r="B1" s="76"/>
      <c r="C1" s="76"/>
      <c r="D1" s="76"/>
      <c r="E1" s="76"/>
      <c r="F1" s="76"/>
      <c r="G1" s="76"/>
      <c r="H1" s="76"/>
    </row>
    <row r="3" spans="1:8" ht="14.4">
      <c r="A3" s="77" t="s">
        <v>248</v>
      </c>
      <c r="B3" s="78"/>
      <c r="C3" s="78"/>
      <c r="D3" s="78"/>
      <c r="E3" s="78"/>
      <c r="F3" s="78"/>
      <c r="G3" s="78"/>
      <c r="H3" s="79"/>
    </row>
    <row r="4" spans="1:8">
      <c r="A4" s="25" t="s">
        <v>249</v>
      </c>
      <c r="B4" s="25" t="s">
        <v>250</v>
      </c>
      <c r="C4" s="25" t="s">
        <v>251</v>
      </c>
      <c r="D4" s="25" t="s">
        <v>252</v>
      </c>
      <c r="E4" s="25" t="s">
        <v>253</v>
      </c>
      <c r="F4" s="25" t="s">
        <v>254</v>
      </c>
      <c r="G4" s="25" t="s">
        <v>255</v>
      </c>
      <c r="H4" s="25" t="s">
        <v>256</v>
      </c>
    </row>
    <row r="5" spans="1:8">
      <c r="A5" s="26" t="s">
        <v>257</v>
      </c>
      <c r="B5" s="26" t="s">
        <v>258</v>
      </c>
      <c r="C5" s="27">
        <v>0</v>
      </c>
      <c r="D5" s="27">
        <v>5.5999999999999999E-3</v>
      </c>
      <c r="E5" s="27" t="s">
        <v>259</v>
      </c>
      <c r="F5" s="27">
        <f t="shared" ref="F5:F12" si="0">IF(E5="是",IFERROR(C5*D5,0),0)</f>
        <v>0</v>
      </c>
      <c r="G5" s="27"/>
      <c r="H5" s="27">
        <f t="shared" ref="H5:H12" si="1">IFERROR(F5-G5,0)</f>
        <v>0</v>
      </c>
    </row>
    <row r="6" spans="1:8">
      <c r="A6" s="28" t="s">
        <v>260</v>
      </c>
      <c r="B6" s="28" t="s">
        <v>261</v>
      </c>
      <c r="C6" s="29">
        <v>0</v>
      </c>
      <c r="D6" s="29">
        <v>1.7100000000000001E-2</v>
      </c>
      <c r="E6" s="29" t="s">
        <v>262</v>
      </c>
      <c r="F6" s="29">
        <f t="shared" si="0"/>
        <v>0</v>
      </c>
      <c r="G6" s="29"/>
      <c r="H6" s="29">
        <f t="shared" si="1"/>
        <v>0</v>
      </c>
    </row>
    <row r="7" spans="1:8">
      <c r="A7" s="26" t="s">
        <v>263</v>
      </c>
      <c r="B7" s="26" t="s">
        <v>264</v>
      </c>
      <c r="C7" s="27">
        <v>0</v>
      </c>
      <c r="D7" s="27">
        <v>2.5000000000000001E-2</v>
      </c>
      <c r="E7" s="27" t="s">
        <v>265</v>
      </c>
      <c r="F7" s="27">
        <f t="shared" si="0"/>
        <v>0</v>
      </c>
      <c r="G7" s="27"/>
      <c r="H7" s="27">
        <f t="shared" si="1"/>
        <v>0</v>
      </c>
    </row>
    <row r="8" spans="1:8">
      <c r="A8" s="28" t="s">
        <v>266</v>
      </c>
      <c r="B8" s="28" t="s">
        <v>267</v>
      </c>
      <c r="C8" s="29">
        <v>0</v>
      </c>
      <c r="D8" s="29">
        <v>0</v>
      </c>
      <c r="E8" s="29" t="s">
        <v>268</v>
      </c>
      <c r="F8" s="29">
        <f t="shared" si="0"/>
        <v>0</v>
      </c>
      <c r="G8" s="29"/>
      <c r="H8" s="29">
        <f t="shared" si="1"/>
        <v>0</v>
      </c>
    </row>
    <row r="9" spans="1:8">
      <c r="A9" s="26" t="s">
        <v>269</v>
      </c>
      <c r="B9" s="26" t="s">
        <v>270</v>
      </c>
      <c r="C9" s="27">
        <v>0</v>
      </c>
      <c r="D9" s="27">
        <v>0</v>
      </c>
      <c r="E9" s="27" t="s">
        <v>271</v>
      </c>
      <c r="F9" s="27">
        <f t="shared" si="0"/>
        <v>0</v>
      </c>
      <c r="G9" s="27"/>
      <c r="H9" s="27">
        <f t="shared" si="1"/>
        <v>0</v>
      </c>
    </row>
    <row r="10" spans="1:8">
      <c r="A10" s="28" t="s">
        <v>272</v>
      </c>
      <c r="B10" s="28" t="s">
        <v>273</v>
      </c>
      <c r="C10" s="29">
        <v>1</v>
      </c>
      <c r="D10" s="29">
        <v>0</v>
      </c>
      <c r="E10" s="29" t="s">
        <v>274</v>
      </c>
      <c r="F10" s="29">
        <f t="shared" si="0"/>
        <v>0</v>
      </c>
      <c r="G10" s="29"/>
      <c r="H10" s="29">
        <f t="shared" si="1"/>
        <v>0</v>
      </c>
    </row>
    <row r="11" spans="1:8">
      <c r="A11" s="26" t="s">
        <v>275</v>
      </c>
      <c r="B11" s="26" t="s">
        <v>276</v>
      </c>
      <c r="C11" s="27">
        <v>1</v>
      </c>
      <c r="D11" s="27">
        <v>0.12</v>
      </c>
      <c r="E11" s="27" t="s">
        <v>277</v>
      </c>
      <c r="F11" s="27">
        <f t="shared" si="0"/>
        <v>0.12</v>
      </c>
      <c r="G11" s="27"/>
      <c r="H11" s="27">
        <f t="shared" si="1"/>
        <v>0.12</v>
      </c>
    </row>
    <row r="12" spans="1:8">
      <c r="A12" s="28"/>
      <c r="B12" s="28"/>
      <c r="C12" s="29"/>
      <c r="D12" s="29"/>
      <c r="E12" s="29"/>
      <c r="F12" s="29">
        <f t="shared" si="0"/>
        <v>0</v>
      </c>
      <c r="G12" s="29"/>
      <c r="H12" s="29">
        <f t="shared" si="1"/>
        <v>0</v>
      </c>
    </row>
    <row r="13" spans="1:8" ht="15" customHeight="1">
      <c r="A13" s="30"/>
      <c r="B13" s="30"/>
      <c r="C13" s="30"/>
      <c r="D13" s="30"/>
      <c r="E13" s="30" t="s">
        <v>278</v>
      </c>
      <c r="F13" s="30">
        <f>SUM(F5:F12)</f>
        <v>0.12</v>
      </c>
      <c r="G13" s="30">
        <f>SUM(G5:G12)</f>
        <v>0</v>
      </c>
      <c r="H13" s="30"/>
    </row>
    <row r="16" spans="1:8" ht="14.4">
      <c r="A16" s="80" t="s">
        <v>279</v>
      </c>
      <c r="B16" s="78"/>
      <c r="C16" s="78"/>
      <c r="D16" s="78"/>
      <c r="E16" s="78"/>
      <c r="F16" s="78"/>
      <c r="G16" s="78"/>
      <c r="H16" s="79"/>
    </row>
    <row r="17" spans="1:8">
      <c r="A17" s="31" t="s">
        <v>280</v>
      </c>
      <c r="B17" s="31" t="s">
        <v>281</v>
      </c>
      <c r="C17" s="31" t="s">
        <v>282</v>
      </c>
      <c r="D17" s="31" t="s">
        <v>283</v>
      </c>
      <c r="E17" s="31" t="s">
        <v>284</v>
      </c>
      <c r="F17" s="31" t="s">
        <v>285</v>
      </c>
      <c r="G17" s="31" t="s">
        <v>286</v>
      </c>
      <c r="H17" s="31" t="s">
        <v>287</v>
      </c>
    </row>
    <row r="18" spans="1:8">
      <c r="A18" s="26" t="s">
        <v>288</v>
      </c>
      <c r="B18" s="26" t="s">
        <v>289</v>
      </c>
      <c r="C18" s="27">
        <v>1</v>
      </c>
      <c r="D18" s="27">
        <v>210</v>
      </c>
      <c r="E18" s="27">
        <f>IFERROR(C18*D18,0)</f>
        <v>210</v>
      </c>
      <c r="F18" s="27" t="s">
        <v>290</v>
      </c>
      <c r="G18" s="27">
        <v>5000</v>
      </c>
      <c r="H18" s="27">
        <f>IF(F18="是",IFERROR(E18/G18,0),0)</f>
        <v>4.2000000000000003E-2</v>
      </c>
    </row>
    <row r="19" spans="1:8">
      <c r="A19" s="28" t="s">
        <v>291</v>
      </c>
      <c r="B19" s="28" t="s">
        <v>292</v>
      </c>
      <c r="C19" s="29">
        <v>0</v>
      </c>
      <c r="D19" s="29">
        <v>4500</v>
      </c>
      <c r="E19" s="29">
        <f>IFERROR(C19*D19,0)</f>
        <v>0</v>
      </c>
      <c r="F19" s="29" t="s">
        <v>293</v>
      </c>
      <c r="G19" s="29">
        <v>5000</v>
      </c>
      <c r="H19" s="29">
        <f>IF(F19="是",IFERROR(E19/G19,0),0)</f>
        <v>0</v>
      </c>
    </row>
    <row r="20" spans="1:8">
      <c r="A20" s="26" t="s">
        <v>294</v>
      </c>
      <c r="B20" s="26" t="s">
        <v>295</v>
      </c>
      <c r="C20" s="27">
        <v>0</v>
      </c>
      <c r="D20" s="27">
        <v>0</v>
      </c>
      <c r="E20" s="27">
        <f>IFERROR(C20*D20,0)</f>
        <v>0</v>
      </c>
      <c r="F20" s="27" t="s">
        <v>296</v>
      </c>
      <c r="G20" s="27">
        <v>5000</v>
      </c>
      <c r="H20" s="27">
        <f>IF(F20="是",IFERROR(E20/G20,0),0)</f>
        <v>0</v>
      </c>
    </row>
    <row r="21" spans="1:8">
      <c r="A21" s="28" t="s">
        <v>297</v>
      </c>
      <c r="B21" s="28" t="s">
        <v>298</v>
      </c>
      <c r="C21" s="29">
        <v>0</v>
      </c>
      <c r="D21" s="29">
        <v>0</v>
      </c>
      <c r="E21" s="29">
        <f>IFERROR(C21*D21,0)</f>
        <v>0</v>
      </c>
      <c r="F21" s="29" t="s">
        <v>299</v>
      </c>
      <c r="G21" s="29">
        <v>5000</v>
      </c>
      <c r="H21" s="29">
        <f>IF(F21="是",IFERROR(E21/G21,0),0)</f>
        <v>0</v>
      </c>
    </row>
    <row r="22" spans="1:8">
      <c r="A22" s="26"/>
      <c r="B22" s="26"/>
      <c r="C22" s="27"/>
      <c r="D22" s="27"/>
      <c r="E22" s="27">
        <f>IFERROR(C22*D22,0)</f>
        <v>0</v>
      </c>
      <c r="F22" s="27"/>
      <c r="G22" s="27"/>
      <c r="H22" s="27">
        <f>IF(F22="是",IFERROR(E22/G22,0),0)</f>
        <v>0</v>
      </c>
    </row>
    <row r="23" spans="1:8" ht="15" customHeight="1">
      <c r="A23" s="30"/>
      <c r="B23" s="30"/>
      <c r="C23" s="30"/>
      <c r="D23" s="30"/>
      <c r="E23" s="30">
        <f>SUM(E18:E22)</f>
        <v>210</v>
      </c>
      <c r="F23" s="30"/>
      <c r="G23" s="30"/>
      <c r="H23" s="30">
        <f>SUM(H18:H22)</f>
        <v>4.2000000000000003E-2</v>
      </c>
    </row>
  </sheetData>
  <autoFilter ref="A4:H12" xr:uid="{00000000-0009-0000-0000-000003000000}"/>
  <mergeCells count="3">
    <mergeCell ref="A3:H3"/>
    <mergeCell ref="A16:H16"/>
    <mergeCell ref="A1:H1"/>
  </mergeCells>
  <phoneticPr fontId="15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4FB8-6C3D-4DA4-9EC5-773B04199444}">
  <sheetPr>
    <outlinePr summaryBelow="0" summaryRight="0"/>
  </sheetPr>
  <dimension ref="A1:D39"/>
  <sheetViews>
    <sheetView showGridLines="0" topLeftCell="A25" workbookViewId="0">
      <selection sqref="A1:C1"/>
    </sheetView>
  </sheetViews>
  <sheetFormatPr defaultColWidth="8.5546875" defaultRowHeight="13.8"/>
  <cols>
    <col min="1" max="1" width="22" customWidth="1"/>
    <col min="2" max="3" width="12" customWidth="1"/>
    <col min="4" max="4" width="30" customWidth="1"/>
  </cols>
  <sheetData>
    <row r="1" spans="1:4" ht="18" customHeight="1">
      <c r="A1" s="82" t="s">
        <v>300</v>
      </c>
      <c r="B1" s="76"/>
      <c r="C1" s="76"/>
    </row>
    <row r="2" spans="1:4">
      <c r="A2" s="32" t="s">
        <v>301</v>
      </c>
      <c r="B2" s="32" t="s">
        <v>302</v>
      </c>
      <c r="C2" s="32" t="s">
        <v>303</v>
      </c>
    </row>
    <row r="3" spans="1:4" ht="26.4">
      <c r="A3" s="33" t="s">
        <v>304</v>
      </c>
      <c r="B3" s="34">
        <v>0.13</v>
      </c>
      <c r="C3" s="33" t="s">
        <v>305</v>
      </c>
    </row>
    <row r="4" spans="1:4" ht="26.4">
      <c r="A4" s="35" t="s">
        <v>306</v>
      </c>
      <c r="B4" s="34">
        <v>0.15</v>
      </c>
      <c r="C4" s="35" t="s">
        <v>307</v>
      </c>
    </row>
    <row r="5" spans="1:4" ht="26.4">
      <c r="A5" s="33" t="s">
        <v>308</v>
      </c>
      <c r="B5" s="34">
        <v>0.02</v>
      </c>
      <c r="C5" s="33" t="s">
        <v>309</v>
      </c>
    </row>
    <row r="6" spans="1:4" ht="39.6">
      <c r="A6" s="35" t="s">
        <v>310</v>
      </c>
      <c r="B6" s="34">
        <v>5000</v>
      </c>
      <c r="C6" s="35" t="s">
        <v>311</v>
      </c>
    </row>
    <row r="8" spans="1:4" ht="15.6">
      <c r="A8" s="83" t="s">
        <v>312</v>
      </c>
      <c r="B8" s="83"/>
      <c r="C8" s="83"/>
    </row>
    <row r="9" spans="1:4" ht="15.6">
      <c r="A9" s="36" t="s">
        <v>313</v>
      </c>
      <c r="B9" s="36" t="s">
        <v>314</v>
      </c>
      <c r="C9" s="36" t="s">
        <v>315</v>
      </c>
      <c r="D9" s="36" t="s">
        <v>316</v>
      </c>
    </row>
    <row r="10" spans="1:4" ht="15">
      <c r="A10" s="37" t="s">
        <v>317</v>
      </c>
      <c r="B10" s="38">
        <v>8</v>
      </c>
      <c r="C10" s="37" t="s">
        <v>318</v>
      </c>
    </row>
    <row r="11" spans="1:4" ht="15">
      <c r="A11" s="37" t="s">
        <v>319</v>
      </c>
      <c r="B11" s="38">
        <v>30</v>
      </c>
      <c r="C11" s="37" t="s">
        <v>320</v>
      </c>
    </row>
    <row r="12" spans="1:4" ht="15">
      <c r="A12" s="37" t="s">
        <v>321</v>
      </c>
      <c r="B12" s="39">
        <v>0.1</v>
      </c>
      <c r="C12" s="37" t="s">
        <v>322</v>
      </c>
    </row>
    <row r="13" spans="1:4" ht="15">
      <c r="A13" s="37" t="s">
        <v>323</v>
      </c>
      <c r="B13" s="39">
        <v>0.3</v>
      </c>
      <c r="C13" s="37" t="s">
        <v>324</v>
      </c>
    </row>
    <row r="14" spans="1:4" ht="15">
      <c r="A14" s="37" t="s">
        <v>325</v>
      </c>
      <c r="B14" s="38">
        <v>1800</v>
      </c>
      <c r="C14" s="37" t="s">
        <v>326</v>
      </c>
    </row>
    <row r="15" spans="1:4" ht="15">
      <c r="A15" s="37" t="s">
        <v>327</v>
      </c>
      <c r="B15" s="38">
        <v>22</v>
      </c>
      <c r="C15" s="37" t="s">
        <v>328</v>
      </c>
    </row>
    <row r="16" spans="1:4" ht="15">
      <c r="A16" s="37" t="s">
        <v>329</v>
      </c>
      <c r="B16" s="39">
        <v>2</v>
      </c>
      <c r="C16" s="37" t="s">
        <v>330</v>
      </c>
    </row>
    <row r="17" spans="1:3" ht="15">
      <c r="A17" s="37" t="s">
        <v>331</v>
      </c>
      <c r="B17" s="39">
        <v>3.2</v>
      </c>
      <c r="C17" s="37" t="s">
        <v>332</v>
      </c>
    </row>
    <row r="18" spans="1:3" ht="15">
      <c r="A18" s="37" t="s">
        <v>333</v>
      </c>
      <c r="B18" s="39">
        <v>5</v>
      </c>
      <c r="C18" s="37" t="s">
        <v>334</v>
      </c>
    </row>
    <row r="19" spans="1:3" ht="15">
      <c r="A19" s="37" t="s">
        <v>335</v>
      </c>
      <c r="B19" s="38">
        <v>700</v>
      </c>
      <c r="C19" s="37" t="s">
        <v>336</v>
      </c>
    </row>
    <row r="20" spans="1:3" ht="15">
      <c r="A20" s="37" t="s">
        <v>337</v>
      </c>
      <c r="B20" s="39">
        <v>1.5</v>
      </c>
      <c r="C20" s="37" t="s">
        <v>338</v>
      </c>
    </row>
    <row r="21" spans="1:3" ht="15">
      <c r="A21" s="37" t="s">
        <v>339</v>
      </c>
      <c r="B21" s="40">
        <v>0.05</v>
      </c>
      <c r="C21" s="37" t="s">
        <v>340</v>
      </c>
    </row>
    <row r="22" spans="1:3" ht="15">
      <c r="A22" s="37" t="s">
        <v>341</v>
      </c>
      <c r="B22" s="38">
        <v>10</v>
      </c>
      <c r="C22" s="37" t="s">
        <v>342</v>
      </c>
    </row>
    <row r="23" spans="1:3" ht="15">
      <c r="A23" s="37" t="s">
        <v>343</v>
      </c>
      <c r="B23" s="39">
        <v>0.3</v>
      </c>
      <c r="C23" s="37" t="s">
        <v>344</v>
      </c>
    </row>
    <row r="24" spans="1:3" ht="15">
      <c r="A24" s="37" t="s">
        <v>345</v>
      </c>
      <c r="B24" s="39">
        <v>0.05</v>
      </c>
      <c r="C24" s="37" t="s">
        <v>346</v>
      </c>
    </row>
    <row r="25" spans="1:3" ht="15">
      <c r="A25" s="37" t="s">
        <v>347</v>
      </c>
      <c r="B25" s="38">
        <v>80</v>
      </c>
      <c r="C25" s="37" t="s">
        <v>348</v>
      </c>
    </row>
    <row r="26" spans="1:3" ht="15">
      <c r="A26" s="37" t="s">
        <v>349</v>
      </c>
      <c r="B26" s="38">
        <v>5</v>
      </c>
      <c r="C26" s="37" t="s">
        <v>350</v>
      </c>
    </row>
    <row r="27" spans="1:3" ht="15">
      <c r="A27" s="37" t="s">
        <v>351</v>
      </c>
      <c r="B27" s="38">
        <v>9</v>
      </c>
      <c r="C27" s="37" t="s">
        <v>352</v>
      </c>
    </row>
    <row r="28" spans="1:3" ht="15">
      <c r="A28" s="37" t="s">
        <v>353</v>
      </c>
      <c r="B28" s="39">
        <v>0.8</v>
      </c>
      <c r="C28" s="37" t="s">
        <v>354</v>
      </c>
    </row>
    <row r="29" spans="1:3" ht="15">
      <c r="A29" s="37" t="s">
        <v>355</v>
      </c>
      <c r="B29" s="38">
        <v>3</v>
      </c>
      <c r="C29" s="37" t="s">
        <v>356</v>
      </c>
    </row>
    <row r="30" spans="1:3" ht="15">
      <c r="A30" s="37" t="s">
        <v>357</v>
      </c>
      <c r="B30" s="38">
        <v>1</v>
      </c>
      <c r="C30" s="37" t="s">
        <v>358</v>
      </c>
    </row>
    <row r="31" spans="1:3" ht="15">
      <c r="A31" s="37" t="s">
        <v>359</v>
      </c>
      <c r="B31" s="39">
        <v>1.1000000000000001</v>
      </c>
      <c r="C31" s="37" t="s">
        <v>360</v>
      </c>
    </row>
    <row r="32" spans="1:3" ht="15">
      <c r="A32" s="37" t="s">
        <v>361</v>
      </c>
      <c r="B32" s="38">
        <v>4</v>
      </c>
      <c r="C32" s="37" t="s">
        <v>362</v>
      </c>
    </row>
    <row r="34" spans="1:4" ht="15.6">
      <c r="A34" s="83" t="s">
        <v>363</v>
      </c>
      <c r="B34" s="83"/>
      <c r="C34" s="83"/>
    </row>
    <row r="35" spans="1:4" ht="15.6">
      <c r="A35" s="36" t="s">
        <v>364</v>
      </c>
      <c r="B35" s="36" t="s">
        <v>365</v>
      </c>
      <c r="C35" s="36" t="s">
        <v>366</v>
      </c>
      <c r="D35" s="36" t="s">
        <v>367</v>
      </c>
    </row>
    <row r="36" spans="1:4" ht="15">
      <c r="A36" s="37" t="s">
        <v>368</v>
      </c>
      <c r="B36" s="41">
        <v>6000</v>
      </c>
      <c r="C36" s="42" t="s">
        <v>369</v>
      </c>
    </row>
    <row r="37" spans="1:4" ht="15">
      <c r="A37" s="37" t="s">
        <v>370</v>
      </c>
      <c r="B37" s="41">
        <v>4.0000000000000001E-3</v>
      </c>
      <c r="C37" s="42" t="s">
        <v>371</v>
      </c>
    </row>
    <row r="38" spans="1:4" ht="15">
      <c r="A38" s="37" t="s">
        <v>372</v>
      </c>
      <c r="B38" s="41">
        <v>5</v>
      </c>
      <c r="C38" s="42" t="s">
        <v>373</v>
      </c>
    </row>
    <row r="39" spans="1:4" ht="15">
      <c r="A39" s="37" t="s">
        <v>374</v>
      </c>
      <c r="B39" s="41" t="s">
        <v>375</v>
      </c>
      <c r="C39" s="42" t="s">
        <v>376</v>
      </c>
    </row>
  </sheetData>
  <mergeCells count="3">
    <mergeCell ref="A1:C1"/>
    <mergeCell ref="A8:C8"/>
    <mergeCell ref="A34:C34"/>
  </mergeCells>
  <phoneticPr fontId="15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7978-470D-4D72-8CE8-ACCD9ED56547}">
  <sheetPr>
    <outlinePr summaryBelow="0" summaryRight="0"/>
  </sheetPr>
  <dimension ref="A1:D53"/>
  <sheetViews>
    <sheetView showGridLines="0" topLeftCell="A17" workbookViewId="0">
      <selection sqref="A1:D1"/>
    </sheetView>
  </sheetViews>
  <sheetFormatPr defaultColWidth="8" defaultRowHeight="13.8"/>
  <cols>
    <col min="1" max="1" width="26" customWidth="1"/>
    <col min="2" max="2" width="16" customWidth="1"/>
    <col min="3" max="4" width="14" customWidth="1"/>
  </cols>
  <sheetData>
    <row r="1" spans="1:4" ht="17.399999999999999">
      <c r="A1" s="84" t="s">
        <v>377</v>
      </c>
      <c r="B1" s="84"/>
      <c r="C1" s="84"/>
      <c r="D1" s="84"/>
    </row>
    <row r="3" spans="1:4" ht="15.6">
      <c r="A3" s="85" t="s">
        <v>378</v>
      </c>
      <c r="B3" s="85"/>
      <c r="C3" s="85"/>
      <c r="D3" s="85"/>
    </row>
    <row r="4" spans="1:4" ht="15">
      <c r="A4" s="43" t="s">
        <v>379</v>
      </c>
      <c r="B4" s="44">
        <f>报价汇总!B13</f>
        <v>0</v>
      </c>
    </row>
    <row r="5" spans="1:4" ht="15">
      <c r="A5" s="43" t="s">
        <v>380</v>
      </c>
      <c r="B5" s="44">
        <f>报价汇总!B14</f>
        <v>0</v>
      </c>
    </row>
    <row r="6" spans="1:4" ht="15">
      <c r="A6" s="43" t="s">
        <v>381</v>
      </c>
      <c r="B6" s="44">
        <f>报价汇总!B15</f>
        <v>0</v>
      </c>
    </row>
    <row r="7" spans="1:4" ht="15">
      <c r="A7" s="43" t="s">
        <v>382</v>
      </c>
      <c r="B7" s="44">
        <f>报价汇总!B17</f>
        <v>0</v>
      </c>
    </row>
    <row r="8" spans="1:4" ht="15">
      <c r="A8" s="43" t="s">
        <v>383</v>
      </c>
      <c r="B8" s="45">
        <f>报价汇总!B18</f>
        <v>0</v>
      </c>
    </row>
    <row r="9" spans="1:4" ht="15.6">
      <c r="A9" s="46" t="s">
        <v>384</v>
      </c>
      <c r="B9" s="47">
        <f>MAX(B4:B6)</f>
        <v>0</v>
      </c>
    </row>
    <row r="10" spans="1:4" ht="15.6">
      <c r="A10" s="85" t="s">
        <v>385</v>
      </c>
      <c r="B10" s="85"/>
      <c r="C10" s="85"/>
      <c r="D10" s="85"/>
    </row>
    <row r="11" spans="1:4" ht="15">
      <c r="A11" s="43" t="s">
        <v>386</v>
      </c>
      <c r="B11" s="44">
        <f>VLOOKUP($B$9,$A$44:$D$47,3,TRUE)</f>
        <v>15</v>
      </c>
    </row>
    <row r="12" spans="1:4" ht="15">
      <c r="A12" s="43" t="s">
        <v>387</v>
      </c>
      <c r="B12" s="44">
        <f>B4+2*B11+参数!$B$22</f>
        <v>40</v>
      </c>
    </row>
    <row r="13" spans="1:4" ht="15">
      <c r="A13" s="43" t="s">
        <v>388</v>
      </c>
      <c r="B13" s="44">
        <f>B5+2*B11+参数!$B$22</f>
        <v>40</v>
      </c>
    </row>
    <row r="14" spans="1:4" ht="15">
      <c r="A14" s="43" t="s">
        <v>389</v>
      </c>
      <c r="B14" s="44">
        <f>B7*(B6+2*B11)+参数!$B$22</f>
        <v>10</v>
      </c>
    </row>
    <row r="15" spans="1:4" ht="15">
      <c r="A15" s="43" t="s">
        <v>390</v>
      </c>
      <c r="B15" s="44">
        <f>B12*B13*B14/1000</f>
        <v>16</v>
      </c>
    </row>
    <row r="16" spans="1:4" ht="15.6">
      <c r="A16" s="85" t="s">
        <v>391</v>
      </c>
      <c r="B16" s="85"/>
      <c r="C16" s="85"/>
      <c r="D16" s="85"/>
    </row>
    <row r="17" spans="1:2" ht="15">
      <c r="A17" s="43" t="s">
        <v>392</v>
      </c>
      <c r="B17" s="44">
        <f>B4+B6+2*参数!$B$11</f>
        <v>60</v>
      </c>
    </row>
    <row r="18" spans="1:2" ht="15">
      <c r="A18" s="43" t="s">
        <v>393</v>
      </c>
      <c r="B18" s="44">
        <f>B5+B6+2*参数!$B$11</f>
        <v>60</v>
      </c>
    </row>
    <row r="19" spans="1:2" ht="15">
      <c r="A19" s="43" t="s">
        <v>394</v>
      </c>
      <c r="B19" s="48">
        <f>B17*B18/10^6</f>
        <v>3.5999999999999999E-3</v>
      </c>
    </row>
    <row r="20" spans="1:2" ht="15">
      <c r="A20" s="43" t="s">
        <v>395</v>
      </c>
      <c r="B20" s="49">
        <f>B19*参数!$B$10</f>
        <v>2.8799999999999999E-2</v>
      </c>
    </row>
    <row r="21" spans="1:2" ht="15">
      <c r="A21" s="43" t="s">
        <v>396</v>
      </c>
      <c r="B21" s="49">
        <f>参数!$B$12</f>
        <v>0.1</v>
      </c>
    </row>
    <row r="22" spans="1:2" ht="15">
      <c r="A22" s="43" t="s">
        <v>397</v>
      </c>
      <c r="B22" s="49" t="str">
        <f>IF(OR(B7="",B7=0),"",参数!$B$13/B7)</f>
        <v/>
      </c>
    </row>
    <row r="23" spans="1:2" ht="15">
      <c r="A23" s="43" t="s">
        <v>398</v>
      </c>
      <c r="B23" s="48">
        <f>2*B11*(B4*B5+B4*B6+B5*B6)/10^9</f>
        <v>0</v>
      </c>
    </row>
    <row r="24" spans="1:2" ht="15">
      <c r="A24" s="43" t="s">
        <v>399</v>
      </c>
      <c r="B24" s="49">
        <f>B23*参数!$B$14</f>
        <v>0</v>
      </c>
    </row>
    <row r="25" spans="1:2" ht="15">
      <c r="A25" s="43" t="s">
        <v>400</v>
      </c>
      <c r="B25" s="48">
        <f>(B12+B13)*2*(B13+2*B14)/10^6*(1+参数!$B$21)</f>
        <v>1.0079999999999999E-2</v>
      </c>
    </row>
    <row r="26" spans="1:2" ht="15">
      <c r="A26" s="43" t="s">
        <v>401</v>
      </c>
      <c r="B26" s="45" t="str">
        <f>VLOOKUP($B$9,$A$44:$D$47,4,TRUE)</f>
        <v>单瓦楞3层</v>
      </c>
    </row>
    <row r="27" spans="1:2" ht="15">
      <c r="A27" s="43" t="s">
        <v>402</v>
      </c>
      <c r="B27" s="50">
        <f>VLOOKUP(B26,$A$51:$B$53,2,FALSE)</f>
        <v>2</v>
      </c>
    </row>
    <row r="28" spans="1:2" ht="15">
      <c r="A28" s="43" t="s">
        <v>403</v>
      </c>
      <c r="B28" s="49">
        <f>B25*B27+参数!$B$20</f>
        <v>1.52016</v>
      </c>
    </row>
    <row r="29" spans="1:2" ht="15">
      <c r="A29" s="43" t="s">
        <v>404</v>
      </c>
      <c r="B29" s="49" t="str">
        <f>IF(OR(B7="",B7=0),"",B28/B7)</f>
        <v/>
      </c>
    </row>
    <row r="30" spans="1:2" ht="15">
      <c r="A30" s="43" t="s">
        <v>405</v>
      </c>
      <c r="B30" s="49" t="str">
        <f>IF(OR(B7="",B7=0),"",(参数!$B$23+参数!$B$24)/B7)</f>
        <v/>
      </c>
    </row>
    <row r="32" spans="1:2" ht="15.6">
      <c r="A32" s="51" t="s">
        <v>406</v>
      </c>
      <c r="B32" s="52">
        <f>SUM(B20,B21,B22,B24,B29,B30)</f>
        <v>0.1288</v>
      </c>
    </row>
    <row r="34" spans="1:4" ht="15.6">
      <c r="A34" s="85" t="s">
        <v>407</v>
      </c>
      <c r="B34" s="85"/>
      <c r="C34" s="85"/>
      <c r="D34" s="85"/>
    </row>
    <row r="35" spans="1:4" ht="15">
      <c r="A35" s="43" t="s">
        <v>408</v>
      </c>
      <c r="B35" s="48">
        <f>B12*B13/10^6</f>
        <v>1.6000000000000001E-3</v>
      </c>
    </row>
    <row r="36" spans="1:4" ht="15">
      <c r="A36" s="43" t="s">
        <v>409</v>
      </c>
      <c r="B36" s="44">
        <f>IF(OR(B35="",B35=0),"",ROUNDDOWN(参数!$B$31/B35,0)*参数!$B$32)</f>
        <v>2748</v>
      </c>
    </row>
    <row r="37" spans="1:4" ht="15">
      <c r="A37" s="43" t="s">
        <v>410</v>
      </c>
      <c r="B37" s="50">
        <f>参数!$B$25/参数!$B$26+参数!$B$27*参数!$B$28+参数!$B$29+参数!$B$30</f>
        <v>27.2</v>
      </c>
    </row>
    <row r="38" spans="1:4" ht="15">
      <c r="A38" s="43" t="s">
        <v>411</v>
      </c>
      <c r="B38" s="49">
        <f>IF(NOT(ISNUMBER(B36)),"",B37/B36)</f>
        <v>9.8981077147016015E-3</v>
      </c>
    </row>
    <row r="39" spans="1:4" ht="15">
      <c r="A39" s="43" t="s">
        <v>412</v>
      </c>
      <c r="B39" s="53" t="str">
        <f>IF(OR(B7="",B7=0),"",(B23*参数!$B$15+B25*参数!$B$19/1000+B19*0.08+0.005)/B7)</f>
        <v/>
      </c>
    </row>
    <row r="42" spans="1:4" ht="15.6">
      <c r="A42" s="85" t="s">
        <v>413</v>
      </c>
      <c r="B42" s="85"/>
      <c r="C42" s="85"/>
      <c r="D42" s="85"/>
    </row>
    <row r="43" spans="1:4" ht="15.6">
      <c r="A43" s="54" t="s">
        <v>414</v>
      </c>
      <c r="B43" s="54" t="s">
        <v>415</v>
      </c>
      <c r="C43" s="54" t="s">
        <v>416</v>
      </c>
      <c r="D43" s="54" t="s">
        <v>417</v>
      </c>
    </row>
    <row r="44" spans="1:4" ht="15">
      <c r="A44" s="55">
        <v>0</v>
      </c>
      <c r="B44" s="55">
        <v>200</v>
      </c>
      <c r="C44" s="55">
        <v>15</v>
      </c>
      <c r="D44" s="56" t="s">
        <v>418</v>
      </c>
    </row>
    <row r="45" spans="1:4" ht="15">
      <c r="A45" s="55">
        <v>200</v>
      </c>
      <c r="B45" s="55">
        <v>350</v>
      </c>
      <c r="C45" s="55">
        <v>20</v>
      </c>
      <c r="D45" s="56" t="s">
        <v>419</v>
      </c>
    </row>
    <row r="46" spans="1:4" ht="15">
      <c r="A46" s="55">
        <v>350</v>
      </c>
      <c r="B46" s="55">
        <v>550</v>
      </c>
      <c r="C46" s="55">
        <v>25</v>
      </c>
      <c r="D46" s="56" t="s">
        <v>420</v>
      </c>
    </row>
    <row r="47" spans="1:4" ht="15">
      <c r="A47" s="55">
        <v>550</v>
      </c>
      <c r="B47" s="55">
        <v>999999</v>
      </c>
      <c r="C47" s="55">
        <v>30</v>
      </c>
      <c r="D47" s="56" t="s">
        <v>421</v>
      </c>
    </row>
    <row r="49" spans="1:4" ht="15.6">
      <c r="A49" s="85" t="s">
        <v>422</v>
      </c>
      <c r="B49" s="85"/>
      <c r="C49" s="85"/>
      <c r="D49" s="85"/>
    </row>
    <row r="50" spans="1:4" ht="15.6">
      <c r="A50" s="57" t="s">
        <v>423</v>
      </c>
      <c r="B50" s="57" t="s">
        <v>424</v>
      </c>
    </row>
    <row r="51" spans="1:4" ht="15">
      <c r="A51" s="43" t="s">
        <v>425</v>
      </c>
      <c r="B51" s="50">
        <f>参数!$B$16</f>
        <v>2</v>
      </c>
    </row>
    <row r="52" spans="1:4" ht="15">
      <c r="A52" s="43" t="s">
        <v>426</v>
      </c>
      <c r="B52" s="50">
        <f>参数!$B$17</f>
        <v>3.2</v>
      </c>
    </row>
    <row r="53" spans="1:4" ht="15">
      <c r="A53" s="43" t="s">
        <v>427</v>
      </c>
      <c r="B53" s="50">
        <f>参数!$B$18</f>
        <v>5</v>
      </c>
    </row>
  </sheetData>
  <mergeCells count="7">
    <mergeCell ref="A1:D1"/>
    <mergeCell ref="A34:D34"/>
    <mergeCell ref="A3:D3"/>
    <mergeCell ref="A16:D16"/>
    <mergeCell ref="A49:D49"/>
    <mergeCell ref="A10:D10"/>
    <mergeCell ref="A42:D42"/>
  </mergeCells>
  <phoneticPr fontId="15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3D19-F676-4BC6-9AA8-BA66E5C4DDB0}">
  <sheetPr>
    <outlinePr summaryBelow="0" summaryRight="0"/>
  </sheetPr>
  <dimension ref="A1:Q133"/>
  <sheetViews>
    <sheetView showGridLines="0" workbookViewId="0">
      <pane ySplit="3" topLeftCell="A100" activePane="bottomLeft" state="frozen"/>
      <selection pane="bottomLeft" sqref="A1:Q1"/>
    </sheetView>
  </sheetViews>
  <sheetFormatPr defaultColWidth="8" defaultRowHeight="13.8"/>
  <cols>
    <col min="1" max="1" width="10" customWidth="1"/>
    <col min="2" max="2" width="12" customWidth="1"/>
    <col min="3" max="3" width="30" customWidth="1"/>
    <col min="4" max="5" width="8" customWidth="1"/>
    <col min="6" max="6" width="6" customWidth="1"/>
    <col min="7" max="7" width="8" customWidth="1"/>
    <col min="8" max="16" width="7" customWidth="1"/>
    <col min="17" max="17" width="28" customWidth="1"/>
  </cols>
  <sheetData>
    <row r="1" spans="1:17" ht="17.399999999999999">
      <c r="A1" s="86" t="s">
        <v>428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3" spans="1:17" ht="31.2">
      <c r="A3" s="58" t="s">
        <v>429</v>
      </c>
      <c r="B3" s="58" t="s">
        <v>430</v>
      </c>
      <c r="C3" s="58" t="s">
        <v>431</v>
      </c>
      <c r="D3" s="58" t="s">
        <v>432</v>
      </c>
      <c r="E3" s="58" t="s">
        <v>433</v>
      </c>
      <c r="F3" s="58" t="s">
        <v>434</v>
      </c>
      <c r="G3" s="58" t="s">
        <v>435</v>
      </c>
      <c r="H3" s="58" t="s">
        <v>436</v>
      </c>
      <c r="I3" s="58" t="s">
        <v>437</v>
      </c>
      <c r="J3" s="58" t="s">
        <v>438</v>
      </c>
      <c r="K3" s="58" t="s">
        <v>439</v>
      </c>
      <c r="L3" s="58" t="s">
        <v>440</v>
      </c>
      <c r="M3" s="58" t="s">
        <v>441</v>
      </c>
      <c r="N3" s="58" t="s">
        <v>442</v>
      </c>
      <c r="O3" s="58" t="s">
        <v>443</v>
      </c>
      <c r="P3" s="58" t="s">
        <v>444</v>
      </c>
      <c r="Q3" s="58" t="s">
        <v>445</v>
      </c>
    </row>
    <row r="4" spans="1:17" ht="15">
      <c r="A4" s="59" t="s">
        <v>446</v>
      </c>
      <c r="B4" s="60" t="s">
        <v>447</v>
      </c>
      <c r="C4" s="60" t="s">
        <v>448</v>
      </c>
      <c r="D4" s="61">
        <v>1</v>
      </c>
      <c r="E4" s="62">
        <v>20</v>
      </c>
      <c r="F4" s="61">
        <v>30</v>
      </c>
      <c r="G4" s="62">
        <v>255</v>
      </c>
      <c r="H4" s="62">
        <v>8.1</v>
      </c>
      <c r="I4" s="62">
        <v>8.1</v>
      </c>
      <c r="J4" s="62">
        <v>8.1</v>
      </c>
      <c r="K4" s="62">
        <v>8.1</v>
      </c>
      <c r="L4" s="62">
        <v>7.2</v>
      </c>
      <c r="M4" s="62">
        <v>6.3</v>
      </c>
      <c r="N4" s="62">
        <v>6.3</v>
      </c>
      <c r="O4" s="62">
        <v>6.3</v>
      </c>
      <c r="P4" s="62">
        <v>6.3</v>
      </c>
      <c r="Q4" s="60" t="s">
        <v>449</v>
      </c>
    </row>
    <row r="5" spans="1:17" ht="15">
      <c r="A5" s="59" t="s">
        <v>450</v>
      </c>
      <c r="B5" s="60"/>
      <c r="C5" s="60" t="s">
        <v>451</v>
      </c>
      <c r="D5" s="61">
        <v>1</v>
      </c>
      <c r="E5" s="62">
        <v>20</v>
      </c>
      <c r="F5" s="61">
        <v>30</v>
      </c>
      <c r="G5" s="62">
        <v>255</v>
      </c>
      <c r="H5" s="62">
        <v>8.1</v>
      </c>
      <c r="I5" s="62">
        <v>8.1</v>
      </c>
      <c r="J5" s="62">
        <v>8.1</v>
      </c>
      <c r="K5" s="62">
        <v>8.1</v>
      </c>
      <c r="L5" s="62">
        <v>7.2</v>
      </c>
      <c r="M5" s="62">
        <v>6.3</v>
      </c>
      <c r="N5" s="62">
        <v>6.3</v>
      </c>
      <c r="O5" s="62">
        <v>6.3</v>
      </c>
      <c r="P5" s="62">
        <v>6.3</v>
      </c>
      <c r="Q5" s="60" t="s">
        <v>452</v>
      </c>
    </row>
    <row r="6" spans="1:17" ht="15">
      <c r="A6" s="59" t="s">
        <v>453</v>
      </c>
      <c r="B6" s="60"/>
      <c r="C6" s="60" t="s">
        <v>454</v>
      </c>
      <c r="D6" s="61">
        <v>1</v>
      </c>
      <c r="E6" s="62">
        <v>20</v>
      </c>
      <c r="F6" s="61">
        <v>30</v>
      </c>
      <c r="G6" s="62">
        <v>255</v>
      </c>
      <c r="H6" s="62">
        <v>8.1</v>
      </c>
      <c r="I6" s="62">
        <v>8.1</v>
      </c>
      <c r="J6" s="62">
        <v>8.1</v>
      </c>
      <c r="K6" s="62">
        <v>8.1</v>
      </c>
      <c r="L6" s="62">
        <v>7.2</v>
      </c>
      <c r="M6" s="62">
        <v>6.3</v>
      </c>
      <c r="N6" s="62">
        <v>6.3</v>
      </c>
      <c r="O6" s="62">
        <v>6.3</v>
      </c>
      <c r="P6" s="62">
        <v>6.3</v>
      </c>
      <c r="Q6" s="60" t="s">
        <v>455</v>
      </c>
    </row>
    <row r="7" spans="1:17" ht="15">
      <c r="A7" s="59" t="s">
        <v>456</v>
      </c>
      <c r="B7" s="60" t="s">
        <v>457</v>
      </c>
      <c r="C7" s="60" t="s">
        <v>458</v>
      </c>
      <c r="D7" s="61">
        <v>1</v>
      </c>
      <c r="E7" s="62">
        <v>20</v>
      </c>
      <c r="F7" s="61">
        <v>30</v>
      </c>
      <c r="G7" s="62">
        <v>542</v>
      </c>
      <c r="H7" s="62">
        <v>18</v>
      </c>
      <c r="I7" s="62">
        <v>18</v>
      </c>
      <c r="J7" s="62">
        <v>18</v>
      </c>
      <c r="K7" s="62">
        <v>18</v>
      </c>
      <c r="L7" s="62">
        <v>18</v>
      </c>
      <c r="M7" s="62">
        <v>18</v>
      </c>
      <c r="N7" s="62">
        <v>18</v>
      </c>
      <c r="O7" s="62">
        <v>18</v>
      </c>
      <c r="P7" s="62">
        <v>18</v>
      </c>
      <c r="Q7" s="60" t="s">
        <v>459</v>
      </c>
    </row>
    <row r="8" spans="1:17" ht="15">
      <c r="A8" s="59" t="s">
        <v>460</v>
      </c>
      <c r="B8" s="60"/>
      <c r="C8" s="60" t="s">
        <v>461</v>
      </c>
      <c r="D8" s="61">
        <v>1</v>
      </c>
      <c r="E8" s="62">
        <v>25</v>
      </c>
      <c r="F8" s="61">
        <v>30</v>
      </c>
      <c r="G8" s="62">
        <v>678</v>
      </c>
      <c r="H8" s="62">
        <v>22.5</v>
      </c>
      <c r="I8" s="62">
        <v>22.5</v>
      </c>
      <c r="J8" s="62">
        <v>22.5</v>
      </c>
      <c r="K8" s="62">
        <v>22.5</v>
      </c>
      <c r="L8" s="62">
        <v>22.5</v>
      </c>
      <c r="M8" s="62">
        <v>22.5</v>
      </c>
      <c r="N8" s="62">
        <v>22.5</v>
      </c>
      <c r="O8" s="62">
        <v>22.5</v>
      </c>
      <c r="P8" s="62">
        <v>22.5</v>
      </c>
      <c r="Q8" s="60" t="s">
        <v>462</v>
      </c>
    </row>
    <row r="9" spans="1:17" ht="15">
      <c r="A9" s="59" t="s">
        <v>463</v>
      </c>
      <c r="B9" s="60" t="s">
        <v>464</v>
      </c>
      <c r="C9" s="60" t="s">
        <v>465</v>
      </c>
      <c r="D9" s="61">
        <v>1</v>
      </c>
      <c r="E9" s="62">
        <v>20</v>
      </c>
      <c r="F9" s="61">
        <v>30</v>
      </c>
      <c r="G9" s="62">
        <v>307</v>
      </c>
      <c r="H9" s="62">
        <v>9.9</v>
      </c>
      <c r="I9" s="62">
        <v>9.9</v>
      </c>
      <c r="J9" s="62">
        <v>9.9</v>
      </c>
      <c r="K9" s="62">
        <v>9</v>
      </c>
      <c r="L9" s="62">
        <v>9</v>
      </c>
      <c r="M9" s="62">
        <v>8.1</v>
      </c>
      <c r="N9" s="62">
        <v>8.1</v>
      </c>
      <c r="O9" s="62">
        <v>8.1</v>
      </c>
      <c r="P9" s="62">
        <v>8.1</v>
      </c>
      <c r="Q9" s="60" t="s">
        <v>466</v>
      </c>
    </row>
    <row r="10" spans="1:17" ht="15">
      <c r="A10" s="59" t="s">
        <v>467</v>
      </c>
      <c r="B10" s="60"/>
      <c r="C10" s="60" t="s">
        <v>468</v>
      </c>
      <c r="D10" s="61">
        <v>1</v>
      </c>
      <c r="E10" s="62">
        <v>20</v>
      </c>
      <c r="F10" s="61">
        <v>30</v>
      </c>
      <c r="G10" s="62">
        <v>307</v>
      </c>
      <c r="H10" s="62">
        <v>9.9</v>
      </c>
      <c r="I10" s="62">
        <v>9.9</v>
      </c>
      <c r="J10" s="62">
        <v>9.9</v>
      </c>
      <c r="K10" s="62">
        <v>9</v>
      </c>
      <c r="L10" s="62">
        <v>9</v>
      </c>
      <c r="M10" s="62">
        <v>8.1</v>
      </c>
      <c r="N10" s="62">
        <v>8.1</v>
      </c>
      <c r="O10" s="62">
        <v>8.1</v>
      </c>
      <c r="P10" s="62">
        <v>8.1</v>
      </c>
      <c r="Q10" s="60" t="s">
        <v>469</v>
      </c>
    </row>
    <row r="11" spans="1:17" ht="15">
      <c r="A11" s="59" t="s">
        <v>470</v>
      </c>
      <c r="B11" s="60" t="s">
        <v>471</v>
      </c>
      <c r="C11" s="60" t="s">
        <v>472</v>
      </c>
      <c r="D11" s="61">
        <v>1</v>
      </c>
      <c r="E11" s="62">
        <v>20</v>
      </c>
      <c r="F11" s="61">
        <v>15</v>
      </c>
      <c r="G11" s="62">
        <v>171</v>
      </c>
      <c r="H11" s="62">
        <v>10.8</v>
      </c>
      <c r="I11" s="62">
        <v>10.8</v>
      </c>
      <c r="J11" s="62">
        <v>10.8</v>
      </c>
      <c r="K11" s="62">
        <v>9.9</v>
      </c>
      <c r="L11" s="62">
        <v>9</v>
      </c>
      <c r="M11" s="62">
        <v>8.1</v>
      </c>
      <c r="N11" s="62">
        <v>8.1</v>
      </c>
      <c r="O11" s="62">
        <v>8.1</v>
      </c>
      <c r="P11" s="62">
        <v>8.1</v>
      </c>
      <c r="Q11" s="60" t="s">
        <v>473</v>
      </c>
    </row>
    <row r="12" spans="1:17" ht="15">
      <c r="A12" s="59" t="s">
        <v>474</v>
      </c>
      <c r="B12" s="60"/>
      <c r="C12" s="60" t="s">
        <v>475</v>
      </c>
      <c r="D12" s="61">
        <v>1</v>
      </c>
      <c r="E12" s="62">
        <v>20</v>
      </c>
      <c r="F12" s="61">
        <v>15</v>
      </c>
      <c r="G12" s="62">
        <v>171</v>
      </c>
      <c r="H12" s="62">
        <v>10.8</v>
      </c>
      <c r="I12" s="62">
        <v>10.8</v>
      </c>
      <c r="J12" s="62">
        <v>10.8</v>
      </c>
      <c r="K12" s="62">
        <v>9.9</v>
      </c>
      <c r="L12" s="62">
        <v>9</v>
      </c>
      <c r="M12" s="62">
        <v>8.1</v>
      </c>
      <c r="N12" s="62">
        <v>8.1</v>
      </c>
      <c r="O12" s="62">
        <v>8.1</v>
      </c>
      <c r="P12" s="62">
        <v>8.1</v>
      </c>
      <c r="Q12" s="60" t="s">
        <v>476</v>
      </c>
    </row>
    <row r="13" spans="1:17" ht="15">
      <c r="A13" s="59" t="s">
        <v>477</v>
      </c>
      <c r="B13" s="60"/>
      <c r="C13" s="60" t="s">
        <v>478</v>
      </c>
      <c r="D13" s="61">
        <v>1</v>
      </c>
      <c r="E13" s="62">
        <v>20</v>
      </c>
      <c r="F13" s="61">
        <v>15</v>
      </c>
      <c r="G13" s="62">
        <v>171</v>
      </c>
      <c r="H13" s="62">
        <v>10.8</v>
      </c>
      <c r="I13" s="62">
        <v>10.8</v>
      </c>
      <c r="J13" s="62">
        <v>10.8</v>
      </c>
      <c r="K13" s="62">
        <v>9.9</v>
      </c>
      <c r="L13" s="62">
        <v>9</v>
      </c>
      <c r="M13" s="62">
        <v>8.1</v>
      </c>
      <c r="N13" s="62">
        <v>8.1</v>
      </c>
      <c r="O13" s="62">
        <v>8.1</v>
      </c>
      <c r="P13" s="62">
        <v>8.1</v>
      </c>
      <c r="Q13" s="60" t="s">
        <v>479</v>
      </c>
    </row>
    <row r="14" spans="1:17" ht="15">
      <c r="A14" s="59" t="s">
        <v>480</v>
      </c>
      <c r="B14" s="60" t="s">
        <v>481</v>
      </c>
      <c r="C14" s="60" t="s">
        <v>482</v>
      </c>
      <c r="D14" s="61">
        <v>1</v>
      </c>
      <c r="E14" s="62">
        <v>20</v>
      </c>
      <c r="F14" s="61">
        <v>30</v>
      </c>
      <c r="G14" s="62">
        <v>255</v>
      </c>
      <c r="H14" s="62">
        <v>8.1</v>
      </c>
      <c r="I14" s="62">
        <v>8.1</v>
      </c>
      <c r="J14" s="62">
        <v>8.1</v>
      </c>
      <c r="K14" s="62">
        <v>8.1</v>
      </c>
      <c r="L14" s="62">
        <v>7.2</v>
      </c>
      <c r="M14" s="62">
        <v>6.3</v>
      </c>
      <c r="N14" s="62">
        <v>6.3</v>
      </c>
      <c r="O14" s="62">
        <v>6.3</v>
      </c>
      <c r="P14" s="62">
        <v>6.3</v>
      </c>
      <c r="Q14" s="60" t="s">
        <v>483</v>
      </c>
    </row>
    <row r="15" spans="1:17" ht="15">
      <c r="A15" s="59" t="s">
        <v>484</v>
      </c>
      <c r="B15" s="60"/>
      <c r="C15" s="60" t="s">
        <v>485</v>
      </c>
      <c r="D15" s="61">
        <v>1</v>
      </c>
      <c r="E15" s="62">
        <v>20</v>
      </c>
      <c r="F15" s="61">
        <v>30</v>
      </c>
      <c r="G15" s="62">
        <v>255</v>
      </c>
      <c r="H15" s="62">
        <v>8.1</v>
      </c>
      <c r="I15" s="62">
        <v>8.1</v>
      </c>
      <c r="J15" s="62">
        <v>8.1</v>
      </c>
      <c r="K15" s="62">
        <v>8.1</v>
      </c>
      <c r="L15" s="62">
        <v>7.2</v>
      </c>
      <c r="M15" s="62">
        <v>6.3</v>
      </c>
      <c r="N15" s="62">
        <v>6.3</v>
      </c>
      <c r="O15" s="62">
        <v>6.3</v>
      </c>
      <c r="P15" s="62">
        <v>6.3</v>
      </c>
      <c r="Q15" s="60" t="s">
        <v>486</v>
      </c>
    </row>
    <row r="16" spans="1:17" ht="15">
      <c r="A16" s="59" t="s">
        <v>487</v>
      </c>
      <c r="B16" s="60"/>
      <c r="C16" s="60" t="s">
        <v>488</v>
      </c>
      <c r="D16" s="61">
        <v>1</v>
      </c>
      <c r="E16" s="62">
        <v>20</v>
      </c>
      <c r="F16" s="61">
        <v>30</v>
      </c>
      <c r="G16" s="62">
        <v>307</v>
      </c>
      <c r="H16" s="62">
        <v>9.9</v>
      </c>
      <c r="I16" s="62">
        <v>9.9</v>
      </c>
      <c r="J16" s="62">
        <v>9.9</v>
      </c>
      <c r="K16" s="62">
        <v>9.9</v>
      </c>
      <c r="L16" s="62">
        <v>9</v>
      </c>
      <c r="M16" s="62">
        <v>8.1</v>
      </c>
      <c r="N16" s="62">
        <v>8.1</v>
      </c>
      <c r="O16" s="62">
        <v>8.1</v>
      </c>
      <c r="P16" s="62">
        <v>8.1</v>
      </c>
      <c r="Q16" s="60" t="s">
        <v>489</v>
      </c>
    </row>
    <row r="17" spans="1:17" ht="15">
      <c r="A17" s="59" t="s">
        <v>490</v>
      </c>
      <c r="B17" s="60" t="s">
        <v>491</v>
      </c>
      <c r="C17" s="60" t="s">
        <v>492</v>
      </c>
      <c r="D17" s="61">
        <v>1</v>
      </c>
      <c r="E17" s="62">
        <v>20</v>
      </c>
      <c r="F17" s="61">
        <v>30</v>
      </c>
      <c r="G17" s="62">
        <v>255</v>
      </c>
      <c r="H17" s="62">
        <v>8.1</v>
      </c>
      <c r="I17" s="62">
        <v>8.1</v>
      </c>
      <c r="J17" s="62">
        <v>8.1</v>
      </c>
      <c r="K17" s="62">
        <v>8.1</v>
      </c>
      <c r="L17" s="62">
        <v>7.2</v>
      </c>
      <c r="M17" s="62">
        <v>6.3</v>
      </c>
      <c r="N17" s="62">
        <v>6.3</v>
      </c>
      <c r="O17" s="62">
        <v>6.3</v>
      </c>
      <c r="P17" s="62">
        <v>6.3</v>
      </c>
      <c r="Q17" s="60" t="s">
        <v>493</v>
      </c>
    </row>
    <row r="18" spans="1:17" ht="15">
      <c r="A18" s="59" t="s">
        <v>494</v>
      </c>
      <c r="B18" s="60"/>
      <c r="C18" s="60" t="s">
        <v>495</v>
      </c>
      <c r="D18" s="61">
        <v>1</v>
      </c>
      <c r="E18" s="62">
        <v>20</v>
      </c>
      <c r="F18" s="61">
        <v>30</v>
      </c>
      <c r="G18" s="62">
        <v>255</v>
      </c>
      <c r="H18" s="62">
        <v>8.1</v>
      </c>
      <c r="I18" s="62">
        <v>8.1</v>
      </c>
      <c r="J18" s="62">
        <v>8.1</v>
      </c>
      <c r="K18" s="62">
        <v>8.1</v>
      </c>
      <c r="L18" s="62">
        <v>7.2</v>
      </c>
      <c r="M18" s="62">
        <v>6.3</v>
      </c>
      <c r="N18" s="62">
        <v>6.3</v>
      </c>
      <c r="O18" s="62">
        <v>6.3</v>
      </c>
      <c r="P18" s="62">
        <v>6.3</v>
      </c>
      <c r="Q18" s="60" t="s">
        <v>496</v>
      </c>
    </row>
    <row r="19" spans="1:17" ht="15">
      <c r="A19" s="59" t="s">
        <v>497</v>
      </c>
      <c r="B19" s="60"/>
      <c r="C19" s="60" t="s">
        <v>498</v>
      </c>
      <c r="D19" s="61">
        <v>1</v>
      </c>
      <c r="E19" s="62">
        <v>20</v>
      </c>
      <c r="F19" s="61">
        <v>30</v>
      </c>
      <c r="G19" s="62">
        <v>307</v>
      </c>
      <c r="H19" s="62">
        <v>9.9</v>
      </c>
      <c r="I19" s="62">
        <v>9.9</v>
      </c>
      <c r="J19" s="62">
        <v>9.9</v>
      </c>
      <c r="K19" s="62">
        <v>9.9</v>
      </c>
      <c r="L19" s="62">
        <v>9</v>
      </c>
      <c r="M19" s="62">
        <v>8.1</v>
      </c>
      <c r="N19" s="62">
        <v>8.1</v>
      </c>
      <c r="O19" s="62">
        <v>8.1</v>
      </c>
      <c r="P19" s="62">
        <v>8.1</v>
      </c>
      <c r="Q19" s="60" t="s">
        <v>499</v>
      </c>
    </row>
    <row r="20" spans="1:17" ht="15">
      <c r="A20" s="59" t="s">
        <v>500</v>
      </c>
      <c r="B20" s="60" t="s">
        <v>501</v>
      </c>
      <c r="C20" s="60" t="s">
        <v>502</v>
      </c>
      <c r="D20" s="61">
        <v>1</v>
      </c>
      <c r="E20" s="62">
        <v>20</v>
      </c>
      <c r="F20" s="61">
        <v>30</v>
      </c>
      <c r="G20" s="62">
        <v>255</v>
      </c>
      <c r="H20" s="62">
        <v>8.1</v>
      </c>
      <c r="I20" s="62">
        <v>8.1</v>
      </c>
      <c r="J20" s="62">
        <v>8.1</v>
      </c>
      <c r="K20" s="62">
        <v>8.1</v>
      </c>
      <c r="L20" s="62">
        <v>7.2</v>
      </c>
      <c r="M20" s="62">
        <v>7.2</v>
      </c>
      <c r="N20" s="62">
        <v>7.2</v>
      </c>
      <c r="O20" s="62">
        <v>7.2</v>
      </c>
      <c r="P20" s="62">
        <v>7.2</v>
      </c>
      <c r="Q20" s="60" t="s">
        <v>503</v>
      </c>
    </row>
    <row r="21" spans="1:17" ht="15">
      <c r="A21" s="59" t="s">
        <v>504</v>
      </c>
      <c r="B21" s="60" t="s">
        <v>505</v>
      </c>
      <c r="C21" s="60" t="s">
        <v>506</v>
      </c>
      <c r="D21" s="61">
        <v>1</v>
      </c>
      <c r="E21" s="62">
        <v>20</v>
      </c>
      <c r="F21" s="61">
        <v>30</v>
      </c>
      <c r="G21" s="62">
        <v>255</v>
      </c>
      <c r="H21" s="62">
        <v>8.1</v>
      </c>
      <c r="I21" s="62">
        <v>8.1</v>
      </c>
      <c r="J21" s="62">
        <v>8.1</v>
      </c>
      <c r="K21" s="62">
        <v>8.1</v>
      </c>
      <c r="L21" s="62">
        <v>7.2</v>
      </c>
      <c r="M21" s="62">
        <v>7.2</v>
      </c>
      <c r="N21" s="62">
        <v>7.2</v>
      </c>
      <c r="O21" s="62">
        <v>7.2</v>
      </c>
      <c r="P21" s="62">
        <v>7.2</v>
      </c>
      <c r="Q21" s="60" t="s">
        <v>507</v>
      </c>
    </row>
    <row r="22" spans="1:17" ht="15">
      <c r="A22" s="59" t="s">
        <v>508</v>
      </c>
      <c r="B22" s="60"/>
      <c r="C22" s="60" t="s">
        <v>509</v>
      </c>
      <c r="D22" s="61">
        <v>1</v>
      </c>
      <c r="E22" s="62">
        <v>20</v>
      </c>
      <c r="F22" s="61">
        <v>30</v>
      </c>
      <c r="G22" s="62">
        <v>255</v>
      </c>
      <c r="H22" s="62">
        <v>8.1</v>
      </c>
      <c r="I22" s="62">
        <v>8.1</v>
      </c>
      <c r="J22" s="62">
        <v>8.1</v>
      </c>
      <c r="K22" s="62">
        <v>8.1</v>
      </c>
      <c r="L22" s="62">
        <v>7.2</v>
      </c>
      <c r="M22" s="62">
        <v>7.2</v>
      </c>
      <c r="N22" s="62">
        <v>7.2</v>
      </c>
      <c r="O22" s="62">
        <v>7.2</v>
      </c>
      <c r="P22" s="62">
        <v>7.2</v>
      </c>
      <c r="Q22" s="60" t="s">
        <v>510</v>
      </c>
    </row>
    <row r="23" spans="1:17" ht="15">
      <c r="A23" s="59" t="s">
        <v>511</v>
      </c>
      <c r="B23" s="60"/>
      <c r="C23" s="60" t="s">
        <v>512</v>
      </c>
      <c r="D23" s="61">
        <v>1</v>
      </c>
      <c r="E23" s="62">
        <v>20</v>
      </c>
      <c r="F23" s="61">
        <v>30</v>
      </c>
      <c r="G23" s="62">
        <v>307</v>
      </c>
      <c r="H23" s="62">
        <v>9.9</v>
      </c>
      <c r="I23" s="62">
        <v>9.9</v>
      </c>
      <c r="J23" s="62">
        <v>9.9</v>
      </c>
      <c r="K23" s="62">
        <v>9.9</v>
      </c>
      <c r="L23" s="62">
        <v>9</v>
      </c>
      <c r="M23" s="62">
        <v>9</v>
      </c>
      <c r="N23" s="62">
        <v>9</v>
      </c>
      <c r="O23" s="62">
        <v>9</v>
      </c>
      <c r="P23" s="62">
        <v>9</v>
      </c>
      <c r="Q23" s="60" t="s">
        <v>513</v>
      </c>
    </row>
    <row r="24" spans="1:17" ht="15">
      <c r="A24" s="59" t="s">
        <v>514</v>
      </c>
      <c r="B24" s="60"/>
      <c r="C24" s="60" t="s">
        <v>515</v>
      </c>
      <c r="D24" s="61">
        <v>1</v>
      </c>
      <c r="E24" s="62">
        <v>20</v>
      </c>
      <c r="F24" s="61">
        <v>30</v>
      </c>
      <c r="G24" s="62">
        <v>385</v>
      </c>
      <c r="H24" s="62">
        <v>12.6</v>
      </c>
      <c r="I24" s="62">
        <v>12.6</v>
      </c>
      <c r="J24" s="62">
        <v>12.6</v>
      </c>
      <c r="K24" s="62">
        <v>12.6</v>
      </c>
      <c r="L24" s="62">
        <v>11.7</v>
      </c>
      <c r="M24" s="62">
        <v>11.7</v>
      </c>
      <c r="N24" s="62">
        <v>11.7</v>
      </c>
      <c r="O24" s="62">
        <v>11.7</v>
      </c>
      <c r="P24" s="62">
        <v>11.7</v>
      </c>
      <c r="Q24" s="60" t="s">
        <v>516</v>
      </c>
    </row>
    <row r="25" spans="1:17" ht="15">
      <c r="A25" s="59" t="s">
        <v>517</v>
      </c>
      <c r="B25" s="60" t="s">
        <v>518</v>
      </c>
      <c r="C25" s="60" t="s">
        <v>519</v>
      </c>
      <c r="D25" s="61">
        <v>1</v>
      </c>
      <c r="E25" s="62">
        <v>20</v>
      </c>
      <c r="F25" s="61">
        <v>30</v>
      </c>
      <c r="G25" s="62">
        <v>255</v>
      </c>
      <c r="H25" s="62">
        <v>8.1</v>
      </c>
      <c r="I25" s="62">
        <v>8.1</v>
      </c>
      <c r="J25" s="62">
        <v>8.1</v>
      </c>
      <c r="K25" s="62">
        <v>8.1</v>
      </c>
      <c r="L25" s="62">
        <v>7.2</v>
      </c>
      <c r="M25" s="62">
        <v>6.3</v>
      </c>
      <c r="N25" s="62">
        <v>6.3</v>
      </c>
      <c r="O25" s="62">
        <v>6.3</v>
      </c>
      <c r="P25" s="62">
        <v>6.3</v>
      </c>
      <c r="Q25" s="60" t="s">
        <v>520</v>
      </c>
    </row>
    <row r="26" spans="1:17" ht="15">
      <c r="A26" s="59" t="s">
        <v>521</v>
      </c>
      <c r="B26" s="60"/>
      <c r="C26" s="60" t="s">
        <v>522</v>
      </c>
      <c r="D26" s="61">
        <v>1</v>
      </c>
      <c r="E26" s="62">
        <v>20</v>
      </c>
      <c r="F26" s="61">
        <v>30</v>
      </c>
      <c r="G26" s="62">
        <v>281</v>
      </c>
      <c r="H26" s="62">
        <v>9</v>
      </c>
      <c r="I26" s="62">
        <v>9</v>
      </c>
      <c r="J26" s="62">
        <v>9</v>
      </c>
      <c r="K26" s="62">
        <v>9</v>
      </c>
      <c r="L26" s="62">
        <v>8.1</v>
      </c>
      <c r="M26" s="62">
        <v>7.2</v>
      </c>
      <c r="N26" s="62">
        <v>7.2</v>
      </c>
      <c r="O26" s="62">
        <v>7.2</v>
      </c>
      <c r="P26" s="62">
        <v>7.2</v>
      </c>
      <c r="Q26" s="60" t="s">
        <v>523</v>
      </c>
    </row>
    <row r="27" spans="1:17" ht="15">
      <c r="A27" s="59" t="s">
        <v>524</v>
      </c>
      <c r="B27" s="60"/>
      <c r="C27" s="60" t="s">
        <v>525</v>
      </c>
      <c r="D27" s="61">
        <v>1</v>
      </c>
      <c r="E27" s="62">
        <v>20</v>
      </c>
      <c r="F27" s="61">
        <v>30</v>
      </c>
      <c r="G27" s="62">
        <v>307</v>
      </c>
      <c r="H27" s="62">
        <v>9.9</v>
      </c>
      <c r="I27" s="62">
        <v>9.9</v>
      </c>
      <c r="J27" s="62">
        <v>9.9</v>
      </c>
      <c r="K27" s="62">
        <v>9.9</v>
      </c>
      <c r="L27" s="62">
        <v>9</v>
      </c>
      <c r="M27" s="62">
        <v>8.1</v>
      </c>
      <c r="N27" s="62">
        <v>8.1</v>
      </c>
      <c r="O27" s="62">
        <v>8.1</v>
      </c>
      <c r="P27" s="62">
        <v>8.1</v>
      </c>
      <c r="Q27" s="60" t="s">
        <v>526</v>
      </c>
    </row>
    <row r="28" spans="1:17" ht="15">
      <c r="A28" s="59" t="s">
        <v>527</v>
      </c>
      <c r="B28" s="60" t="s">
        <v>528</v>
      </c>
      <c r="C28" s="60" t="s">
        <v>529</v>
      </c>
      <c r="D28" s="61">
        <v>1</v>
      </c>
      <c r="E28" s="62">
        <v>20</v>
      </c>
      <c r="F28" s="61">
        <v>30</v>
      </c>
      <c r="G28" s="62">
        <v>542</v>
      </c>
      <c r="H28" s="62">
        <v>18</v>
      </c>
      <c r="I28" s="62">
        <v>18</v>
      </c>
      <c r="J28" s="62">
        <v>18</v>
      </c>
      <c r="K28" s="62">
        <v>18</v>
      </c>
      <c r="L28" s="62">
        <v>18</v>
      </c>
      <c r="M28" s="62">
        <v>18</v>
      </c>
      <c r="N28" s="62">
        <v>18</v>
      </c>
      <c r="O28" s="62">
        <v>18</v>
      </c>
      <c r="P28" s="62">
        <v>18</v>
      </c>
      <c r="Q28" s="60" t="s">
        <v>530</v>
      </c>
    </row>
    <row r="29" spans="1:17" ht="15">
      <c r="A29" s="59" t="s">
        <v>531</v>
      </c>
      <c r="B29" s="60"/>
      <c r="C29" s="60" t="s">
        <v>532</v>
      </c>
      <c r="D29" s="61">
        <v>1</v>
      </c>
      <c r="E29" s="62">
        <v>25</v>
      </c>
      <c r="F29" s="61">
        <v>30</v>
      </c>
      <c r="G29" s="62">
        <v>678</v>
      </c>
      <c r="H29" s="62">
        <v>22.5</v>
      </c>
      <c r="I29" s="62">
        <v>22.5</v>
      </c>
      <c r="J29" s="62">
        <v>22.5</v>
      </c>
      <c r="K29" s="62">
        <v>22.5</v>
      </c>
      <c r="L29" s="62">
        <v>22.5</v>
      </c>
      <c r="M29" s="62">
        <v>22.5</v>
      </c>
      <c r="N29" s="62">
        <v>22.5</v>
      </c>
      <c r="O29" s="62">
        <v>22.5</v>
      </c>
      <c r="P29" s="62">
        <v>22.5</v>
      </c>
      <c r="Q29" s="60" t="s">
        <v>533</v>
      </c>
    </row>
    <row r="30" spans="1:17" ht="15">
      <c r="A30" s="59" t="s">
        <v>534</v>
      </c>
      <c r="B30" s="60" t="s">
        <v>535</v>
      </c>
      <c r="C30" s="60" t="s">
        <v>536</v>
      </c>
      <c r="D30" s="61">
        <v>1</v>
      </c>
      <c r="E30" s="62">
        <v>20</v>
      </c>
      <c r="F30" s="61">
        <v>15</v>
      </c>
      <c r="G30" s="62">
        <v>133</v>
      </c>
      <c r="H30" s="62">
        <v>8.1</v>
      </c>
      <c r="I30" s="62">
        <v>8.1</v>
      </c>
      <c r="J30" s="62">
        <v>8.1</v>
      </c>
      <c r="K30" s="62">
        <v>7.2</v>
      </c>
      <c r="L30" s="62">
        <v>6.3</v>
      </c>
      <c r="M30" s="62">
        <v>6.3</v>
      </c>
      <c r="N30" s="62">
        <v>6.3</v>
      </c>
      <c r="O30" s="62">
        <v>6.3</v>
      </c>
      <c r="P30" s="62">
        <v>6.3</v>
      </c>
      <c r="Q30" s="60" t="s">
        <v>537</v>
      </c>
    </row>
    <row r="31" spans="1:17" ht="15">
      <c r="A31" s="59" t="s">
        <v>538</v>
      </c>
      <c r="B31" s="60"/>
      <c r="C31" s="60" t="s">
        <v>539</v>
      </c>
      <c r="D31" s="61">
        <v>1</v>
      </c>
      <c r="E31" s="62">
        <v>20</v>
      </c>
      <c r="F31" s="61">
        <v>15</v>
      </c>
      <c r="G31" s="62">
        <v>133</v>
      </c>
      <c r="H31" s="62">
        <v>8.1</v>
      </c>
      <c r="I31" s="62">
        <v>8.1</v>
      </c>
      <c r="J31" s="62">
        <v>8.1</v>
      </c>
      <c r="K31" s="62">
        <v>7.2</v>
      </c>
      <c r="L31" s="62">
        <v>6.3</v>
      </c>
      <c r="M31" s="62">
        <v>6.3</v>
      </c>
      <c r="N31" s="62">
        <v>6.3</v>
      </c>
      <c r="O31" s="62">
        <v>6.3</v>
      </c>
      <c r="P31" s="62">
        <v>6.3</v>
      </c>
      <c r="Q31" s="60" t="s">
        <v>540</v>
      </c>
    </row>
    <row r="32" spans="1:17" ht="15">
      <c r="A32" s="59" t="s">
        <v>541</v>
      </c>
      <c r="B32" s="60"/>
      <c r="C32" s="60" t="s">
        <v>542</v>
      </c>
      <c r="D32" s="61">
        <v>1</v>
      </c>
      <c r="E32" s="62">
        <v>20</v>
      </c>
      <c r="F32" s="61">
        <v>15</v>
      </c>
      <c r="G32" s="62">
        <v>133</v>
      </c>
      <c r="H32" s="62">
        <v>8.1</v>
      </c>
      <c r="I32" s="62">
        <v>8.1</v>
      </c>
      <c r="J32" s="62">
        <v>8.1</v>
      </c>
      <c r="K32" s="62">
        <v>7.2</v>
      </c>
      <c r="L32" s="62">
        <v>6.3</v>
      </c>
      <c r="M32" s="62">
        <v>6.3</v>
      </c>
      <c r="N32" s="62">
        <v>6.3</v>
      </c>
      <c r="O32" s="62">
        <v>6.3</v>
      </c>
      <c r="P32" s="62">
        <v>6.3</v>
      </c>
      <c r="Q32" s="60" t="s">
        <v>543</v>
      </c>
    </row>
    <row r="33" spans="1:17" ht="15">
      <c r="A33" s="59" t="s">
        <v>544</v>
      </c>
      <c r="B33" s="60" t="s">
        <v>545</v>
      </c>
      <c r="C33" s="60" t="s">
        <v>546</v>
      </c>
      <c r="D33" s="61">
        <v>1</v>
      </c>
      <c r="E33" s="62">
        <v>20</v>
      </c>
      <c r="F33" s="61">
        <v>20</v>
      </c>
      <c r="G33" s="62">
        <v>157</v>
      </c>
      <c r="H33" s="62">
        <v>7.2</v>
      </c>
      <c r="I33" s="62">
        <v>7.2</v>
      </c>
      <c r="J33" s="62">
        <v>7.2</v>
      </c>
      <c r="K33" s="62">
        <v>7.2</v>
      </c>
      <c r="L33" s="62">
        <v>6.3</v>
      </c>
      <c r="M33" s="62">
        <v>6.3</v>
      </c>
      <c r="N33" s="62">
        <v>6.3</v>
      </c>
      <c r="O33" s="62">
        <v>6.3</v>
      </c>
      <c r="P33" s="62">
        <v>6.3</v>
      </c>
      <c r="Q33" s="60" t="s">
        <v>547</v>
      </c>
    </row>
    <row r="34" spans="1:17" ht="15">
      <c r="A34" s="59" t="s">
        <v>548</v>
      </c>
      <c r="B34" s="60" t="s">
        <v>549</v>
      </c>
      <c r="C34" s="60" t="s">
        <v>550</v>
      </c>
      <c r="D34" s="61">
        <v>1</v>
      </c>
      <c r="E34" s="62">
        <v>20</v>
      </c>
      <c r="F34" s="61">
        <v>30</v>
      </c>
      <c r="G34" s="62">
        <v>333</v>
      </c>
      <c r="H34" s="62">
        <v>10.8</v>
      </c>
      <c r="I34" s="62">
        <v>10.8</v>
      </c>
      <c r="J34" s="62">
        <v>10.8</v>
      </c>
      <c r="K34" s="62">
        <v>9.9</v>
      </c>
      <c r="L34" s="62">
        <v>9.9</v>
      </c>
      <c r="M34" s="62">
        <v>9</v>
      </c>
      <c r="N34" s="62">
        <v>9</v>
      </c>
      <c r="O34" s="62">
        <v>9</v>
      </c>
      <c r="P34" s="62">
        <v>9</v>
      </c>
      <c r="Q34" s="60" t="s">
        <v>551</v>
      </c>
    </row>
    <row r="35" spans="1:17" ht="15">
      <c r="A35" s="59" t="s">
        <v>552</v>
      </c>
      <c r="B35" s="60"/>
      <c r="C35" s="60" t="s">
        <v>553</v>
      </c>
      <c r="D35" s="61">
        <v>1</v>
      </c>
      <c r="E35" s="62">
        <v>20</v>
      </c>
      <c r="F35" s="61">
        <v>30</v>
      </c>
      <c r="G35" s="62">
        <v>359</v>
      </c>
      <c r="H35" s="62">
        <v>11.7</v>
      </c>
      <c r="I35" s="62">
        <v>11.7</v>
      </c>
      <c r="J35" s="62">
        <v>11.7</v>
      </c>
      <c r="K35" s="62">
        <v>10.8</v>
      </c>
      <c r="L35" s="62">
        <v>10.8</v>
      </c>
      <c r="M35" s="62">
        <v>9.9</v>
      </c>
      <c r="N35" s="62">
        <v>9.9</v>
      </c>
      <c r="O35" s="62">
        <v>9.9</v>
      </c>
      <c r="P35" s="62">
        <v>9.9</v>
      </c>
      <c r="Q35" s="60" t="s">
        <v>554</v>
      </c>
    </row>
    <row r="36" spans="1:17" ht="15">
      <c r="A36" s="59" t="s">
        <v>555</v>
      </c>
      <c r="B36" s="60"/>
      <c r="C36" s="60" t="s">
        <v>556</v>
      </c>
      <c r="D36" s="61">
        <v>1</v>
      </c>
      <c r="E36" s="62">
        <v>20</v>
      </c>
      <c r="F36" s="61">
        <v>30</v>
      </c>
      <c r="G36" s="62">
        <v>412</v>
      </c>
      <c r="H36" s="62">
        <v>13.5</v>
      </c>
      <c r="I36" s="62">
        <v>13.5</v>
      </c>
      <c r="J36" s="62">
        <v>13.5</v>
      </c>
      <c r="K36" s="62">
        <v>12.6</v>
      </c>
      <c r="L36" s="62">
        <v>12.6</v>
      </c>
      <c r="M36" s="62">
        <v>11.7</v>
      </c>
      <c r="N36" s="62">
        <v>11.7</v>
      </c>
      <c r="O36" s="62">
        <v>11.7</v>
      </c>
      <c r="P36" s="62">
        <v>11.7</v>
      </c>
      <c r="Q36" s="60" t="s">
        <v>557</v>
      </c>
    </row>
    <row r="37" spans="1:17" ht="15">
      <c r="A37" s="59" t="s">
        <v>558</v>
      </c>
      <c r="B37" s="60" t="s">
        <v>559</v>
      </c>
      <c r="C37" s="60" t="s">
        <v>560</v>
      </c>
      <c r="D37" s="61">
        <v>1</v>
      </c>
      <c r="E37" s="62">
        <v>20</v>
      </c>
      <c r="F37" s="61">
        <v>30</v>
      </c>
      <c r="G37" s="62">
        <v>490</v>
      </c>
      <c r="H37" s="62">
        <v>16.2</v>
      </c>
      <c r="I37" s="62">
        <v>16.2</v>
      </c>
      <c r="J37" s="62">
        <v>16.2</v>
      </c>
      <c r="K37" s="62">
        <v>14.4</v>
      </c>
      <c r="L37" s="62">
        <v>14.4</v>
      </c>
      <c r="M37" s="62">
        <v>14.4</v>
      </c>
      <c r="N37" s="62">
        <v>13.5</v>
      </c>
      <c r="O37" s="62">
        <v>13.5</v>
      </c>
      <c r="P37" s="62">
        <v>13.5</v>
      </c>
      <c r="Q37" s="60" t="s">
        <v>561</v>
      </c>
    </row>
    <row r="38" spans="1:17" ht="15">
      <c r="A38" s="59" t="s">
        <v>562</v>
      </c>
      <c r="B38" s="60"/>
      <c r="C38" s="60" t="s">
        <v>563</v>
      </c>
      <c r="D38" s="61">
        <v>1</v>
      </c>
      <c r="E38" s="62">
        <v>20</v>
      </c>
      <c r="F38" s="61">
        <v>30</v>
      </c>
      <c r="G38" s="62">
        <v>542</v>
      </c>
      <c r="H38" s="62">
        <v>18</v>
      </c>
      <c r="I38" s="62">
        <v>18</v>
      </c>
      <c r="J38" s="62">
        <v>18</v>
      </c>
      <c r="K38" s="62">
        <v>16.2</v>
      </c>
      <c r="L38" s="62">
        <v>16.2</v>
      </c>
      <c r="M38" s="62">
        <v>16.2</v>
      </c>
      <c r="N38" s="62">
        <v>15.3</v>
      </c>
      <c r="O38" s="62">
        <v>15.3</v>
      </c>
      <c r="P38" s="62">
        <v>15.3</v>
      </c>
      <c r="Q38" s="60" t="s">
        <v>564</v>
      </c>
    </row>
    <row r="39" spans="1:17" ht="15">
      <c r="A39" s="59" t="s">
        <v>565</v>
      </c>
      <c r="B39" s="60" t="s">
        <v>566</v>
      </c>
      <c r="C39" s="60" t="s">
        <v>567</v>
      </c>
      <c r="D39" s="61">
        <v>1</v>
      </c>
      <c r="E39" s="62">
        <v>20</v>
      </c>
      <c r="F39" s="61">
        <v>30</v>
      </c>
      <c r="G39" s="62">
        <v>229</v>
      </c>
      <c r="H39" s="62">
        <v>7.2</v>
      </c>
      <c r="I39" s="62">
        <v>7.2</v>
      </c>
      <c r="J39" s="62">
        <v>7.2</v>
      </c>
      <c r="K39" s="62">
        <v>7.2</v>
      </c>
      <c r="L39" s="62">
        <v>7.2</v>
      </c>
      <c r="M39" s="62">
        <v>6.3</v>
      </c>
      <c r="N39" s="62">
        <v>6.3</v>
      </c>
      <c r="O39" s="62">
        <v>6.3</v>
      </c>
      <c r="P39" s="62">
        <v>6.3</v>
      </c>
      <c r="Q39" s="60" t="s">
        <v>568</v>
      </c>
    </row>
    <row r="40" spans="1:17" ht="15">
      <c r="A40" s="59" t="s">
        <v>569</v>
      </c>
      <c r="B40" s="60"/>
      <c r="C40" s="60" t="s">
        <v>570</v>
      </c>
      <c r="D40" s="61">
        <v>1</v>
      </c>
      <c r="E40" s="62">
        <v>20</v>
      </c>
      <c r="F40" s="61">
        <v>30</v>
      </c>
      <c r="G40" s="62">
        <v>255</v>
      </c>
      <c r="H40" s="62">
        <v>8.1</v>
      </c>
      <c r="I40" s="62">
        <v>8.1</v>
      </c>
      <c r="J40" s="62">
        <v>8.1</v>
      </c>
      <c r="K40" s="62">
        <v>8.1</v>
      </c>
      <c r="L40" s="62">
        <v>8.1</v>
      </c>
      <c r="M40" s="62">
        <v>7.2</v>
      </c>
      <c r="N40" s="62">
        <v>7.2</v>
      </c>
      <c r="O40" s="62">
        <v>7.2</v>
      </c>
      <c r="P40" s="62">
        <v>7.2</v>
      </c>
      <c r="Q40" s="60" t="s">
        <v>571</v>
      </c>
    </row>
    <row r="41" spans="1:17" ht="15">
      <c r="A41" s="59" t="s">
        <v>572</v>
      </c>
      <c r="B41" s="60"/>
      <c r="C41" s="60" t="s">
        <v>573</v>
      </c>
      <c r="D41" s="61">
        <v>1</v>
      </c>
      <c r="E41" s="62">
        <v>20</v>
      </c>
      <c r="F41" s="61">
        <v>30</v>
      </c>
      <c r="G41" s="62">
        <v>281</v>
      </c>
      <c r="H41" s="62">
        <v>9</v>
      </c>
      <c r="I41" s="62">
        <v>9</v>
      </c>
      <c r="J41" s="62">
        <v>9</v>
      </c>
      <c r="K41" s="62">
        <v>9</v>
      </c>
      <c r="L41" s="62">
        <v>9</v>
      </c>
      <c r="M41" s="62">
        <v>8.1</v>
      </c>
      <c r="N41" s="62">
        <v>8.1</v>
      </c>
      <c r="O41" s="62">
        <v>8.1</v>
      </c>
      <c r="P41" s="62">
        <v>8.1</v>
      </c>
      <c r="Q41" s="60" t="s">
        <v>574</v>
      </c>
    </row>
    <row r="42" spans="1:17" ht="15">
      <c r="A42" s="59" t="s">
        <v>575</v>
      </c>
      <c r="B42" s="60" t="s">
        <v>576</v>
      </c>
      <c r="C42" s="60" t="s">
        <v>577</v>
      </c>
      <c r="D42" s="61">
        <v>1</v>
      </c>
      <c r="E42" s="62">
        <v>20</v>
      </c>
      <c r="F42" s="61">
        <v>30</v>
      </c>
      <c r="G42" s="62">
        <v>229</v>
      </c>
      <c r="H42" s="62">
        <v>7.2</v>
      </c>
      <c r="I42" s="62">
        <v>7.2</v>
      </c>
      <c r="J42" s="62">
        <v>7.2</v>
      </c>
      <c r="K42" s="62">
        <v>7.2</v>
      </c>
      <c r="L42" s="62">
        <v>7.2</v>
      </c>
      <c r="M42" s="62">
        <v>6.3</v>
      </c>
      <c r="N42" s="62">
        <v>6.3</v>
      </c>
      <c r="O42" s="62">
        <v>6.3</v>
      </c>
      <c r="P42" s="62">
        <v>6.3</v>
      </c>
      <c r="Q42" s="60" t="s">
        <v>578</v>
      </c>
    </row>
    <row r="43" spans="1:17" ht="15">
      <c r="A43" s="59" t="s">
        <v>579</v>
      </c>
      <c r="B43" s="60"/>
      <c r="C43" s="60" t="s">
        <v>580</v>
      </c>
      <c r="D43" s="61">
        <v>1</v>
      </c>
      <c r="E43" s="62">
        <v>20</v>
      </c>
      <c r="F43" s="61">
        <v>30</v>
      </c>
      <c r="G43" s="62">
        <v>255</v>
      </c>
      <c r="H43" s="62">
        <v>8.1</v>
      </c>
      <c r="I43" s="62">
        <v>8.1</v>
      </c>
      <c r="J43" s="62">
        <v>8.1</v>
      </c>
      <c r="K43" s="62">
        <v>8.1</v>
      </c>
      <c r="L43" s="62">
        <v>8.1</v>
      </c>
      <c r="M43" s="62">
        <v>7.2</v>
      </c>
      <c r="N43" s="62">
        <v>7.2</v>
      </c>
      <c r="O43" s="62">
        <v>7.2</v>
      </c>
      <c r="P43" s="62">
        <v>7.2</v>
      </c>
      <c r="Q43" s="60" t="s">
        <v>581</v>
      </c>
    </row>
    <row r="44" spans="1:17" ht="15">
      <c r="A44" s="59" t="s">
        <v>582</v>
      </c>
      <c r="B44" s="60"/>
      <c r="C44" s="60" t="s">
        <v>583</v>
      </c>
      <c r="D44" s="61">
        <v>1</v>
      </c>
      <c r="E44" s="62">
        <v>20</v>
      </c>
      <c r="F44" s="61">
        <v>30</v>
      </c>
      <c r="G44" s="62">
        <v>281</v>
      </c>
      <c r="H44" s="62">
        <v>9</v>
      </c>
      <c r="I44" s="62">
        <v>9</v>
      </c>
      <c r="J44" s="62">
        <v>9</v>
      </c>
      <c r="K44" s="62">
        <v>9</v>
      </c>
      <c r="L44" s="62">
        <v>9</v>
      </c>
      <c r="M44" s="62">
        <v>8.1</v>
      </c>
      <c r="N44" s="62">
        <v>8.1</v>
      </c>
      <c r="O44" s="62">
        <v>8.1</v>
      </c>
      <c r="P44" s="62">
        <v>8.1</v>
      </c>
      <c r="Q44" s="60" t="s">
        <v>584</v>
      </c>
    </row>
    <row r="45" spans="1:17" ht="15">
      <c r="A45" s="59" t="s">
        <v>585</v>
      </c>
      <c r="B45" s="60" t="s">
        <v>586</v>
      </c>
      <c r="C45" s="60" t="s">
        <v>587</v>
      </c>
      <c r="D45" s="61">
        <v>1</v>
      </c>
      <c r="E45" s="62">
        <v>20</v>
      </c>
      <c r="F45" s="61">
        <v>30</v>
      </c>
      <c r="G45" s="62">
        <v>307</v>
      </c>
      <c r="H45" s="62">
        <v>9.9</v>
      </c>
      <c r="I45" s="62">
        <v>9.9</v>
      </c>
      <c r="J45" s="62">
        <v>9.9</v>
      </c>
      <c r="K45" s="62">
        <v>9</v>
      </c>
      <c r="L45" s="62">
        <v>9</v>
      </c>
      <c r="M45" s="62">
        <v>8.1</v>
      </c>
      <c r="N45" s="62">
        <v>8.1</v>
      </c>
      <c r="O45" s="62">
        <v>8.1</v>
      </c>
      <c r="P45" s="62">
        <v>8.1</v>
      </c>
      <c r="Q45" s="60" t="s">
        <v>588</v>
      </c>
    </row>
    <row r="46" spans="1:17" ht="15">
      <c r="A46" s="59" t="s">
        <v>589</v>
      </c>
      <c r="B46" s="60"/>
      <c r="C46" s="60" t="s">
        <v>590</v>
      </c>
      <c r="D46" s="61">
        <v>1</v>
      </c>
      <c r="E46" s="62">
        <v>20</v>
      </c>
      <c r="F46" s="61">
        <v>30</v>
      </c>
      <c r="G46" s="62">
        <v>333</v>
      </c>
      <c r="H46" s="62">
        <v>10.8</v>
      </c>
      <c r="I46" s="62">
        <v>10.8</v>
      </c>
      <c r="J46" s="62">
        <v>10.8</v>
      </c>
      <c r="K46" s="62">
        <v>9.9</v>
      </c>
      <c r="L46" s="62">
        <v>9.9</v>
      </c>
      <c r="M46" s="62">
        <v>9</v>
      </c>
      <c r="N46" s="62">
        <v>9</v>
      </c>
      <c r="O46" s="62">
        <v>9</v>
      </c>
      <c r="P46" s="62">
        <v>9</v>
      </c>
      <c r="Q46" s="60" t="s">
        <v>591</v>
      </c>
    </row>
    <row r="47" spans="1:17" ht="15">
      <c r="A47" s="59" t="s">
        <v>592</v>
      </c>
      <c r="B47" s="60"/>
      <c r="C47" s="60" t="s">
        <v>593</v>
      </c>
      <c r="D47" s="61">
        <v>1</v>
      </c>
      <c r="E47" s="62">
        <v>20</v>
      </c>
      <c r="F47" s="61">
        <v>30</v>
      </c>
      <c r="G47" s="62">
        <v>385</v>
      </c>
      <c r="H47" s="62">
        <v>12.6</v>
      </c>
      <c r="I47" s="62">
        <v>12.6</v>
      </c>
      <c r="J47" s="62">
        <v>12.6</v>
      </c>
      <c r="K47" s="62">
        <v>11.7</v>
      </c>
      <c r="L47" s="62">
        <v>11.7</v>
      </c>
      <c r="M47" s="62">
        <v>10.8</v>
      </c>
      <c r="N47" s="62">
        <v>10.8</v>
      </c>
      <c r="O47" s="62">
        <v>10.8</v>
      </c>
      <c r="P47" s="62">
        <v>10.8</v>
      </c>
      <c r="Q47" s="60" t="s">
        <v>594</v>
      </c>
    </row>
    <row r="48" spans="1:17" ht="15">
      <c r="A48" s="59" t="s">
        <v>595</v>
      </c>
      <c r="B48" s="60" t="s">
        <v>596</v>
      </c>
      <c r="C48" s="60" t="s">
        <v>597</v>
      </c>
      <c r="D48" s="61">
        <v>1</v>
      </c>
      <c r="E48" s="62">
        <v>20</v>
      </c>
      <c r="F48" s="61">
        <v>30</v>
      </c>
      <c r="G48" s="62">
        <v>281</v>
      </c>
      <c r="H48" s="62">
        <v>9</v>
      </c>
      <c r="I48" s="62">
        <v>9</v>
      </c>
      <c r="J48" s="62">
        <v>9</v>
      </c>
      <c r="K48" s="62">
        <v>8.1</v>
      </c>
      <c r="L48" s="62">
        <v>7.2</v>
      </c>
      <c r="M48" s="62">
        <v>7.2</v>
      </c>
      <c r="N48" s="62">
        <v>7.2</v>
      </c>
      <c r="O48" s="62">
        <v>7.2</v>
      </c>
      <c r="P48" s="62">
        <v>7.2</v>
      </c>
      <c r="Q48" s="60" t="s">
        <v>598</v>
      </c>
    </row>
    <row r="49" spans="1:17" ht="15">
      <c r="A49" s="59" t="s">
        <v>599</v>
      </c>
      <c r="B49" s="60" t="s">
        <v>600</v>
      </c>
      <c r="C49" s="60" t="s">
        <v>601</v>
      </c>
      <c r="D49" s="61">
        <v>1</v>
      </c>
      <c r="E49" s="62">
        <v>20</v>
      </c>
      <c r="F49" s="61">
        <v>15</v>
      </c>
      <c r="G49" s="62">
        <v>133</v>
      </c>
      <c r="H49" s="62">
        <v>8.1</v>
      </c>
      <c r="I49" s="62">
        <v>8.1</v>
      </c>
      <c r="J49" s="62">
        <v>8.1</v>
      </c>
      <c r="K49" s="62">
        <v>7.2</v>
      </c>
      <c r="L49" s="62">
        <v>6.3</v>
      </c>
      <c r="M49" s="62">
        <v>6.3</v>
      </c>
      <c r="N49" s="62">
        <v>6.3</v>
      </c>
      <c r="O49" s="62">
        <v>6.3</v>
      </c>
      <c r="P49" s="62">
        <v>6.3</v>
      </c>
      <c r="Q49" s="60" t="s">
        <v>602</v>
      </c>
    </row>
    <row r="50" spans="1:17" ht="15">
      <c r="A50" s="59" t="s">
        <v>603</v>
      </c>
      <c r="B50" s="60" t="s">
        <v>604</v>
      </c>
      <c r="C50" s="60" t="s">
        <v>605</v>
      </c>
      <c r="D50" s="61">
        <v>1</v>
      </c>
      <c r="E50" s="62">
        <v>20</v>
      </c>
      <c r="F50" s="61">
        <v>30</v>
      </c>
      <c r="G50" s="62">
        <v>255</v>
      </c>
      <c r="H50" s="62">
        <v>8.1</v>
      </c>
      <c r="I50" s="62">
        <v>8.1</v>
      </c>
      <c r="J50" s="62">
        <v>8.1</v>
      </c>
      <c r="K50" s="62">
        <v>8.1</v>
      </c>
      <c r="L50" s="62">
        <v>7.2</v>
      </c>
      <c r="M50" s="62">
        <v>6.3</v>
      </c>
      <c r="N50" s="62">
        <v>6.3</v>
      </c>
      <c r="O50" s="62">
        <v>6.3</v>
      </c>
      <c r="P50" s="62">
        <v>6.3</v>
      </c>
      <c r="Q50" s="60" t="s">
        <v>606</v>
      </c>
    </row>
    <row r="51" spans="1:17" ht="15">
      <c r="A51" s="59" t="s">
        <v>607</v>
      </c>
      <c r="B51" s="60"/>
      <c r="C51" s="60" t="s">
        <v>608</v>
      </c>
      <c r="D51" s="61">
        <v>1</v>
      </c>
      <c r="E51" s="62">
        <v>20</v>
      </c>
      <c r="F51" s="61">
        <v>30</v>
      </c>
      <c r="G51" s="62">
        <v>255</v>
      </c>
      <c r="H51" s="62">
        <v>8.1</v>
      </c>
      <c r="I51" s="62">
        <v>8.1</v>
      </c>
      <c r="J51" s="62">
        <v>8.1</v>
      </c>
      <c r="K51" s="62">
        <v>8.1</v>
      </c>
      <c r="L51" s="62">
        <v>7.2</v>
      </c>
      <c r="M51" s="62">
        <v>6.3</v>
      </c>
      <c r="N51" s="62">
        <v>6.3</v>
      </c>
      <c r="O51" s="62">
        <v>6.3</v>
      </c>
      <c r="P51" s="62">
        <v>6.3</v>
      </c>
      <c r="Q51" s="60" t="s">
        <v>609</v>
      </c>
    </row>
    <row r="52" spans="1:17" ht="15">
      <c r="A52" s="59" t="s">
        <v>610</v>
      </c>
      <c r="B52" s="60"/>
      <c r="C52" s="60" t="s">
        <v>611</v>
      </c>
      <c r="D52" s="61">
        <v>1</v>
      </c>
      <c r="E52" s="62">
        <v>20</v>
      </c>
      <c r="F52" s="61">
        <v>30</v>
      </c>
      <c r="G52" s="62">
        <v>307</v>
      </c>
      <c r="H52" s="62">
        <v>9.9</v>
      </c>
      <c r="I52" s="62">
        <v>9.9</v>
      </c>
      <c r="J52" s="62">
        <v>9.9</v>
      </c>
      <c r="K52" s="62">
        <v>9.9</v>
      </c>
      <c r="L52" s="62">
        <v>9</v>
      </c>
      <c r="M52" s="62">
        <v>8.1</v>
      </c>
      <c r="N52" s="62">
        <v>8.1</v>
      </c>
      <c r="O52" s="62">
        <v>8.1</v>
      </c>
      <c r="P52" s="62">
        <v>8.1</v>
      </c>
      <c r="Q52" s="60" t="s">
        <v>612</v>
      </c>
    </row>
    <row r="53" spans="1:17" ht="15">
      <c r="A53" s="59" t="s">
        <v>613</v>
      </c>
      <c r="B53" s="60" t="s">
        <v>614</v>
      </c>
      <c r="C53" s="60" t="s">
        <v>615</v>
      </c>
      <c r="D53" s="61">
        <v>1</v>
      </c>
      <c r="E53" s="62">
        <v>20</v>
      </c>
      <c r="F53" s="61">
        <v>30</v>
      </c>
      <c r="G53" s="62">
        <v>307</v>
      </c>
      <c r="H53" s="62">
        <v>9.9</v>
      </c>
      <c r="I53" s="62">
        <v>9.9</v>
      </c>
      <c r="J53" s="62">
        <v>9.9</v>
      </c>
      <c r="K53" s="62">
        <v>9</v>
      </c>
      <c r="L53" s="62">
        <v>9</v>
      </c>
      <c r="M53" s="62">
        <v>8.1</v>
      </c>
      <c r="N53" s="62">
        <v>8.1</v>
      </c>
      <c r="O53" s="62">
        <v>8.1</v>
      </c>
      <c r="P53" s="62">
        <v>8.1</v>
      </c>
      <c r="Q53" s="60" t="s">
        <v>616</v>
      </c>
    </row>
    <row r="54" spans="1:17" ht="15">
      <c r="A54" s="59" t="s">
        <v>617</v>
      </c>
      <c r="B54" s="60"/>
      <c r="C54" s="60" t="s">
        <v>618</v>
      </c>
      <c r="D54" s="61">
        <v>1</v>
      </c>
      <c r="E54" s="62">
        <v>20</v>
      </c>
      <c r="F54" s="61">
        <v>30</v>
      </c>
      <c r="G54" s="62">
        <v>307</v>
      </c>
      <c r="H54" s="62">
        <v>9.9</v>
      </c>
      <c r="I54" s="62">
        <v>9.9</v>
      </c>
      <c r="J54" s="62">
        <v>9.9</v>
      </c>
      <c r="K54" s="62">
        <v>9</v>
      </c>
      <c r="L54" s="62">
        <v>9</v>
      </c>
      <c r="M54" s="62">
        <v>8.1</v>
      </c>
      <c r="N54" s="62">
        <v>8.1</v>
      </c>
      <c r="O54" s="62">
        <v>8.1</v>
      </c>
      <c r="P54" s="62">
        <v>8.1</v>
      </c>
      <c r="Q54" s="60" t="s">
        <v>619</v>
      </c>
    </row>
    <row r="55" spans="1:17" ht="15">
      <c r="A55" s="59" t="s">
        <v>620</v>
      </c>
      <c r="B55" s="60"/>
      <c r="C55" s="60" t="s">
        <v>621</v>
      </c>
      <c r="D55" s="61">
        <v>1</v>
      </c>
      <c r="E55" s="62">
        <v>20</v>
      </c>
      <c r="F55" s="61">
        <v>30</v>
      </c>
      <c r="G55" s="62">
        <v>307</v>
      </c>
      <c r="H55" s="62">
        <v>9.9</v>
      </c>
      <c r="I55" s="62">
        <v>9.9</v>
      </c>
      <c r="J55" s="62">
        <v>9.9</v>
      </c>
      <c r="K55" s="62">
        <v>9</v>
      </c>
      <c r="L55" s="62">
        <v>9</v>
      </c>
      <c r="M55" s="62">
        <v>8.1</v>
      </c>
      <c r="N55" s="62">
        <v>8.1</v>
      </c>
      <c r="O55" s="62">
        <v>8.1</v>
      </c>
      <c r="P55" s="62">
        <v>8.1</v>
      </c>
      <c r="Q55" s="60" t="s">
        <v>622</v>
      </c>
    </row>
    <row r="56" spans="1:17" ht="15">
      <c r="A56" s="59" t="s">
        <v>623</v>
      </c>
      <c r="B56" s="60" t="s">
        <v>624</v>
      </c>
      <c r="C56" s="60" t="s">
        <v>625</v>
      </c>
      <c r="D56" s="61">
        <v>1</v>
      </c>
      <c r="E56" s="62">
        <v>20</v>
      </c>
      <c r="F56" s="61">
        <v>30</v>
      </c>
      <c r="G56" s="62">
        <v>490</v>
      </c>
      <c r="H56" s="62">
        <v>16.2</v>
      </c>
      <c r="I56" s="62">
        <v>16.2</v>
      </c>
      <c r="J56" s="62">
        <v>16.2</v>
      </c>
      <c r="K56" s="62">
        <v>16.2</v>
      </c>
      <c r="L56" s="62">
        <v>16.2</v>
      </c>
      <c r="M56" s="62">
        <v>15.3</v>
      </c>
      <c r="N56" s="62">
        <v>14.4</v>
      </c>
      <c r="O56" s="62">
        <v>14.4</v>
      </c>
      <c r="P56" s="62">
        <v>14.4</v>
      </c>
      <c r="Q56" s="60" t="s">
        <v>626</v>
      </c>
    </row>
    <row r="57" spans="1:17" ht="15">
      <c r="A57" s="59" t="s">
        <v>627</v>
      </c>
      <c r="B57" s="60"/>
      <c r="C57" s="60" t="s">
        <v>628</v>
      </c>
      <c r="D57" s="61">
        <v>1</v>
      </c>
      <c r="E57" s="62">
        <v>20</v>
      </c>
      <c r="F57" s="61">
        <v>30</v>
      </c>
      <c r="G57" s="62">
        <v>542</v>
      </c>
      <c r="H57" s="62">
        <v>18</v>
      </c>
      <c r="I57" s="62">
        <v>18</v>
      </c>
      <c r="J57" s="62">
        <v>18</v>
      </c>
      <c r="K57" s="62">
        <v>18</v>
      </c>
      <c r="L57" s="62">
        <v>17.100000000000001</v>
      </c>
      <c r="M57" s="62">
        <v>17.100000000000001</v>
      </c>
      <c r="N57" s="62">
        <v>16.2</v>
      </c>
      <c r="O57" s="62">
        <v>16.2</v>
      </c>
      <c r="P57" s="62">
        <v>16.2</v>
      </c>
      <c r="Q57" s="60" t="s">
        <v>629</v>
      </c>
    </row>
    <row r="58" spans="1:17" ht="15">
      <c r="A58" s="59" t="s">
        <v>630</v>
      </c>
      <c r="B58" s="60" t="s">
        <v>631</v>
      </c>
      <c r="C58" s="60" t="s">
        <v>632</v>
      </c>
      <c r="D58" s="61">
        <v>1</v>
      </c>
      <c r="E58" s="62">
        <v>20</v>
      </c>
      <c r="F58" s="61">
        <v>30</v>
      </c>
      <c r="G58" s="62">
        <v>255</v>
      </c>
      <c r="H58" s="62">
        <v>8.1</v>
      </c>
      <c r="I58" s="62">
        <v>8.1</v>
      </c>
      <c r="J58" s="62">
        <v>8.1</v>
      </c>
      <c r="K58" s="62">
        <v>8.1</v>
      </c>
      <c r="L58" s="62">
        <v>7.2</v>
      </c>
      <c r="M58" s="62">
        <v>7.2</v>
      </c>
      <c r="N58" s="62">
        <v>7.2</v>
      </c>
      <c r="O58" s="62">
        <v>7.2</v>
      </c>
      <c r="P58" s="62">
        <v>7.2</v>
      </c>
      <c r="Q58" s="60" t="s">
        <v>633</v>
      </c>
    </row>
    <row r="59" spans="1:17" ht="15">
      <c r="A59" s="59" t="s">
        <v>634</v>
      </c>
      <c r="B59" s="60"/>
      <c r="C59" s="60" t="s">
        <v>635</v>
      </c>
      <c r="D59" s="61">
        <v>1</v>
      </c>
      <c r="E59" s="62">
        <v>20</v>
      </c>
      <c r="F59" s="61">
        <v>30</v>
      </c>
      <c r="G59" s="62">
        <v>281</v>
      </c>
      <c r="H59" s="62">
        <v>9</v>
      </c>
      <c r="I59" s="62">
        <v>9</v>
      </c>
      <c r="J59" s="62">
        <v>9</v>
      </c>
      <c r="K59" s="62">
        <v>9</v>
      </c>
      <c r="L59" s="62">
        <v>8.1</v>
      </c>
      <c r="M59" s="62">
        <v>8.1</v>
      </c>
      <c r="N59" s="62">
        <v>8.1</v>
      </c>
      <c r="O59" s="62">
        <v>8.1</v>
      </c>
      <c r="P59" s="62">
        <v>8.1</v>
      </c>
      <c r="Q59" s="60" t="s">
        <v>636</v>
      </c>
    </row>
    <row r="60" spans="1:17" ht="15">
      <c r="A60" s="59" t="s">
        <v>637</v>
      </c>
      <c r="B60" s="60"/>
      <c r="C60" s="60" t="s">
        <v>638</v>
      </c>
      <c r="D60" s="61">
        <v>1</v>
      </c>
      <c r="E60" s="62">
        <v>20</v>
      </c>
      <c r="F60" s="61">
        <v>30</v>
      </c>
      <c r="G60" s="62">
        <v>307</v>
      </c>
      <c r="H60" s="62">
        <v>9.9</v>
      </c>
      <c r="I60" s="62">
        <v>9.9</v>
      </c>
      <c r="J60" s="62">
        <v>9.9</v>
      </c>
      <c r="K60" s="62">
        <v>9.9</v>
      </c>
      <c r="L60" s="62">
        <v>9</v>
      </c>
      <c r="M60" s="62">
        <v>9</v>
      </c>
      <c r="N60" s="62">
        <v>9</v>
      </c>
      <c r="O60" s="62">
        <v>9</v>
      </c>
      <c r="P60" s="62">
        <v>9</v>
      </c>
      <c r="Q60" s="60" t="s">
        <v>639</v>
      </c>
    </row>
    <row r="61" spans="1:17" ht="15">
      <c r="A61" s="59" t="s">
        <v>640</v>
      </c>
      <c r="B61" s="60" t="s">
        <v>641</v>
      </c>
      <c r="C61" s="60" t="s">
        <v>642</v>
      </c>
      <c r="D61" s="61">
        <v>1</v>
      </c>
      <c r="E61" s="62">
        <v>20</v>
      </c>
      <c r="F61" s="61">
        <v>15</v>
      </c>
      <c r="G61" s="62">
        <v>133</v>
      </c>
      <c r="H61" s="62">
        <v>8.1</v>
      </c>
      <c r="I61" s="62">
        <v>8.1</v>
      </c>
      <c r="J61" s="62">
        <v>8.1</v>
      </c>
      <c r="K61" s="62">
        <v>7.2</v>
      </c>
      <c r="L61" s="62">
        <v>6.3</v>
      </c>
      <c r="M61" s="62">
        <v>6.3</v>
      </c>
      <c r="N61" s="62">
        <v>6.3</v>
      </c>
      <c r="O61" s="62">
        <v>6.3</v>
      </c>
      <c r="P61" s="62">
        <v>6.3</v>
      </c>
      <c r="Q61" s="60" t="s">
        <v>643</v>
      </c>
    </row>
    <row r="62" spans="1:17" ht="15">
      <c r="A62" s="59" t="s">
        <v>644</v>
      </c>
      <c r="B62" s="60"/>
      <c r="C62" s="60" t="s">
        <v>645</v>
      </c>
      <c r="D62" s="61">
        <v>1</v>
      </c>
      <c r="E62" s="62">
        <v>20</v>
      </c>
      <c r="F62" s="61">
        <v>15</v>
      </c>
      <c r="G62" s="62">
        <v>133</v>
      </c>
      <c r="H62" s="62">
        <v>8.1</v>
      </c>
      <c r="I62" s="62">
        <v>8.1</v>
      </c>
      <c r="J62" s="62">
        <v>8.1</v>
      </c>
      <c r="K62" s="62">
        <v>7.2</v>
      </c>
      <c r="L62" s="62">
        <v>6.3</v>
      </c>
      <c r="M62" s="62">
        <v>6.3</v>
      </c>
      <c r="N62" s="62">
        <v>6.3</v>
      </c>
      <c r="O62" s="62">
        <v>6.3</v>
      </c>
      <c r="P62" s="62">
        <v>6.3</v>
      </c>
      <c r="Q62" s="60" t="s">
        <v>646</v>
      </c>
    </row>
    <row r="63" spans="1:17" ht="15">
      <c r="A63" s="59" t="s">
        <v>647</v>
      </c>
      <c r="B63" s="60"/>
      <c r="C63" s="60" t="s">
        <v>648</v>
      </c>
      <c r="D63" s="61">
        <v>1</v>
      </c>
      <c r="E63" s="62">
        <v>20</v>
      </c>
      <c r="F63" s="61">
        <v>15</v>
      </c>
      <c r="G63" s="62">
        <v>159</v>
      </c>
      <c r="H63" s="62">
        <v>9.9</v>
      </c>
      <c r="I63" s="62">
        <v>9.9</v>
      </c>
      <c r="J63" s="62">
        <v>9.9</v>
      </c>
      <c r="K63" s="62">
        <v>9</v>
      </c>
      <c r="L63" s="62">
        <v>8.1</v>
      </c>
      <c r="M63" s="62">
        <v>8.1</v>
      </c>
      <c r="N63" s="62">
        <v>8.1</v>
      </c>
      <c r="O63" s="62">
        <v>8.1</v>
      </c>
      <c r="P63" s="62">
        <v>8.1</v>
      </c>
      <c r="Q63" s="60" t="s">
        <v>649</v>
      </c>
    </row>
    <row r="64" spans="1:17" ht="15">
      <c r="A64" s="59" t="s">
        <v>650</v>
      </c>
      <c r="B64" s="60"/>
      <c r="C64" s="60" t="s">
        <v>651</v>
      </c>
      <c r="D64" s="61">
        <v>1</v>
      </c>
      <c r="E64" s="62">
        <v>20</v>
      </c>
      <c r="F64" s="61">
        <v>30</v>
      </c>
      <c r="G64" s="62">
        <v>281</v>
      </c>
      <c r="H64" s="62">
        <v>9</v>
      </c>
      <c r="I64" s="62">
        <v>9</v>
      </c>
      <c r="J64" s="62">
        <v>9</v>
      </c>
      <c r="K64" s="62">
        <v>8.1</v>
      </c>
      <c r="L64" s="62">
        <v>7.2</v>
      </c>
      <c r="M64" s="62">
        <v>6.3</v>
      </c>
      <c r="N64" s="62">
        <v>6.3</v>
      </c>
      <c r="O64" s="62">
        <v>6.3</v>
      </c>
      <c r="P64" s="62">
        <v>6.3</v>
      </c>
      <c r="Q64" s="60" t="s">
        <v>652</v>
      </c>
    </row>
    <row r="65" spans="1:17" ht="15">
      <c r="A65" s="59" t="s">
        <v>653</v>
      </c>
      <c r="B65" s="60" t="s">
        <v>654</v>
      </c>
      <c r="C65" s="60" t="s">
        <v>655</v>
      </c>
      <c r="D65" s="61">
        <v>1</v>
      </c>
      <c r="E65" s="62">
        <v>20</v>
      </c>
      <c r="F65" s="61">
        <v>30</v>
      </c>
      <c r="G65" s="62">
        <v>438</v>
      </c>
      <c r="H65" s="62">
        <v>14.4</v>
      </c>
      <c r="I65" s="62">
        <v>14.4</v>
      </c>
      <c r="J65" s="62">
        <v>14.4</v>
      </c>
      <c r="K65" s="62">
        <v>12.6</v>
      </c>
      <c r="L65" s="62">
        <v>12.6</v>
      </c>
      <c r="M65" s="62">
        <v>12.6</v>
      </c>
      <c r="N65" s="62">
        <v>12.6</v>
      </c>
      <c r="O65" s="62">
        <v>11.7</v>
      </c>
      <c r="P65" s="62">
        <v>11.7</v>
      </c>
      <c r="Q65" s="60" t="s">
        <v>656</v>
      </c>
    </row>
    <row r="66" spans="1:17" ht="15">
      <c r="A66" s="59" t="s">
        <v>657</v>
      </c>
      <c r="B66" s="60"/>
      <c r="C66" s="60" t="s">
        <v>658</v>
      </c>
      <c r="D66" s="61">
        <v>1</v>
      </c>
      <c r="E66" s="62">
        <v>20</v>
      </c>
      <c r="F66" s="61">
        <v>30</v>
      </c>
      <c r="G66" s="62">
        <v>438</v>
      </c>
      <c r="H66" s="62">
        <v>14.4</v>
      </c>
      <c r="I66" s="62">
        <v>14.4</v>
      </c>
      <c r="J66" s="62">
        <v>14.4</v>
      </c>
      <c r="K66" s="62">
        <v>12.6</v>
      </c>
      <c r="L66" s="62">
        <v>12.6</v>
      </c>
      <c r="M66" s="62">
        <v>12.6</v>
      </c>
      <c r="N66" s="62">
        <v>12.6</v>
      </c>
      <c r="O66" s="62">
        <v>11.7</v>
      </c>
      <c r="P66" s="62">
        <v>11.7</v>
      </c>
      <c r="Q66" s="60" t="s">
        <v>659</v>
      </c>
    </row>
    <row r="67" spans="1:17" ht="15">
      <c r="A67" s="59" t="s">
        <v>660</v>
      </c>
      <c r="B67" s="60"/>
      <c r="C67" s="60" t="s">
        <v>661</v>
      </c>
      <c r="D67" s="61">
        <v>1</v>
      </c>
      <c r="E67" s="62">
        <v>20</v>
      </c>
      <c r="F67" s="61">
        <v>30</v>
      </c>
      <c r="G67" s="62">
        <v>516</v>
      </c>
      <c r="H67" s="62">
        <v>17.100000000000001</v>
      </c>
      <c r="I67" s="62">
        <v>17.100000000000001</v>
      </c>
      <c r="J67" s="62">
        <v>17.100000000000001</v>
      </c>
      <c r="K67" s="62">
        <v>15.3</v>
      </c>
      <c r="L67" s="62">
        <v>15.3</v>
      </c>
      <c r="M67" s="62">
        <v>15.3</v>
      </c>
      <c r="N67" s="62">
        <v>15.3</v>
      </c>
      <c r="O67" s="62">
        <v>14.4</v>
      </c>
      <c r="P67" s="62">
        <v>14.4</v>
      </c>
      <c r="Q67" s="60" t="s">
        <v>662</v>
      </c>
    </row>
    <row r="68" spans="1:17" ht="15">
      <c r="A68" s="59" t="s">
        <v>663</v>
      </c>
      <c r="B68" s="60" t="s">
        <v>664</v>
      </c>
      <c r="C68" s="60" t="s">
        <v>665</v>
      </c>
      <c r="D68" s="61">
        <v>1</v>
      </c>
      <c r="E68" s="62">
        <v>20</v>
      </c>
      <c r="F68" s="61">
        <v>30</v>
      </c>
      <c r="G68" s="62">
        <v>490</v>
      </c>
      <c r="H68" s="62">
        <v>16.2</v>
      </c>
      <c r="I68" s="62">
        <v>16.2</v>
      </c>
      <c r="J68" s="62">
        <v>16.2</v>
      </c>
      <c r="K68" s="62">
        <v>14.4</v>
      </c>
      <c r="L68" s="62">
        <v>14.4</v>
      </c>
      <c r="M68" s="62">
        <v>14.4</v>
      </c>
      <c r="N68" s="62">
        <v>13.5</v>
      </c>
      <c r="O68" s="62">
        <v>13.5</v>
      </c>
      <c r="P68" s="62">
        <v>13.5</v>
      </c>
      <c r="Q68" s="60" t="s">
        <v>666</v>
      </c>
    </row>
    <row r="69" spans="1:17" ht="15">
      <c r="A69" s="59" t="s">
        <v>667</v>
      </c>
      <c r="B69" s="60"/>
      <c r="C69" s="60" t="s">
        <v>668</v>
      </c>
      <c r="D69" s="61">
        <v>1</v>
      </c>
      <c r="E69" s="62">
        <v>20</v>
      </c>
      <c r="F69" s="61">
        <v>30</v>
      </c>
      <c r="G69" s="62">
        <v>542</v>
      </c>
      <c r="H69" s="62">
        <v>18</v>
      </c>
      <c r="I69" s="62">
        <v>18</v>
      </c>
      <c r="J69" s="62">
        <v>18</v>
      </c>
      <c r="K69" s="62">
        <v>16.2</v>
      </c>
      <c r="L69" s="62">
        <v>16.2</v>
      </c>
      <c r="M69" s="62">
        <v>16.2</v>
      </c>
      <c r="N69" s="62">
        <v>15.3</v>
      </c>
      <c r="O69" s="62">
        <v>15.3</v>
      </c>
      <c r="P69" s="62">
        <v>15.3</v>
      </c>
      <c r="Q69" s="60" t="s">
        <v>669</v>
      </c>
    </row>
    <row r="70" spans="1:17" ht="15">
      <c r="A70" s="59" t="s">
        <v>670</v>
      </c>
      <c r="B70" s="60" t="s">
        <v>671</v>
      </c>
      <c r="C70" s="60" t="s">
        <v>672</v>
      </c>
      <c r="D70" s="61">
        <v>1</v>
      </c>
      <c r="E70" s="62">
        <v>20</v>
      </c>
      <c r="F70" s="61">
        <v>30</v>
      </c>
      <c r="G70" s="62">
        <v>255</v>
      </c>
      <c r="H70" s="62">
        <v>8.1</v>
      </c>
      <c r="I70" s="62">
        <v>8.1</v>
      </c>
      <c r="J70" s="62">
        <v>8.1</v>
      </c>
      <c r="K70" s="62">
        <v>8.1</v>
      </c>
      <c r="L70" s="62">
        <v>8.1</v>
      </c>
      <c r="M70" s="62">
        <v>8.1</v>
      </c>
      <c r="N70" s="62">
        <v>8.1</v>
      </c>
      <c r="O70" s="62">
        <v>8.1</v>
      </c>
      <c r="P70" s="62">
        <v>8.1</v>
      </c>
      <c r="Q70" s="60" t="s">
        <v>673</v>
      </c>
    </row>
    <row r="71" spans="1:17" ht="15">
      <c r="A71" s="59" t="s">
        <v>674</v>
      </c>
      <c r="B71" s="60"/>
      <c r="C71" s="60" t="s">
        <v>675</v>
      </c>
      <c r="D71" s="61">
        <v>1</v>
      </c>
      <c r="E71" s="62">
        <v>20</v>
      </c>
      <c r="F71" s="61">
        <v>30</v>
      </c>
      <c r="G71" s="62">
        <v>263</v>
      </c>
      <c r="H71" s="62">
        <v>9</v>
      </c>
      <c r="I71" s="62">
        <v>8.1</v>
      </c>
      <c r="J71" s="62">
        <v>8.1</v>
      </c>
      <c r="K71" s="62">
        <v>8.1</v>
      </c>
      <c r="L71" s="62">
        <v>7.2</v>
      </c>
      <c r="M71" s="62">
        <v>7.2</v>
      </c>
      <c r="N71" s="62">
        <v>7.2</v>
      </c>
      <c r="O71" s="62">
        <v>7.2</v>
      </c>
      <c r="P71" s="62">
        <v>7.2</v>
      </c>
      <c r="Q71" s="60" t="s">
        <v>676</v>
      </c>
    </row>
    <row r="72" spans="1:17" ht="15">
      <c r="A72" s="59" t="s">
        <v>677</v>
      </c>
      <c r="B72" s="60"/>
      <c r="C72" s="60" t="s">
        <v>678</v>
      </c>
      <c r="D72" s="61">
        <v>1</v>
      </c>
      <c r="E72" s="62">
        <v>20</v>
      </c>
      <c r="F72" s="61">
        <v>30</v>
      </c>
      <c r="G72" s="62">
        <v>307</v>
      </c>
      <c r="H72" s="62">
        <v>9.9</v>
      </c>
      <c r="I72" s="62">
        <v>9.9</v>
      </c>
      <c r="J72" s="62">
        <v>9.9</v>
      </c>
      <c r="K72" s="62">
        <v>9.9</v>
      </c>
      <c r="L72" s="62">
        <v>9.9</v>
      </c>
      <c r="M72" s="62">
        <v>9.9</v>
      </c>
      <c r="N72" s="62">
        <v>9.9</v>
      </c>
      <c r="O72" s="62">
        <v>9.9</v>
      </c>
      <c r="P72" s="62">
        <v>9.9</v>
      </c>
      <c r="Q72" s="60" t="s">
        <v>679</v>
      </c>
    </row>
    <row r="73" spans="1:17" ht="15">
      <c r="A73" s="59" t="s">
        <v>680</v>
      </c>
      <c r="B73" s="60" t="s">
        <v>681</v>
      </c>
      <c r="C73" s="60" t="s">
        <v>682</v>
      </c>
      <c r="D73" s="61">
        <v>1</v>
      </c>
      <c r="E73" s="62">
        <v>20</v>
      </c>
      <c r="F73" s="61">
        <v>30</v>
      </c>
      <c r="G73" s="62">
        <v>333</v>
      </c>
      <c r="H73" s="62">
        <v>10.8</v>
      </c>
      <c r="I73" s="62">
        <v>10.8</v>
      </c>
      <c r="J73" s="62">
        <v>10.8</v>
      </c>
      <c r="K73" s="62">
        <v>9.9</v>
      </c>
      <c r="L73" s="62">
        <v>9.9</v>
      </c>
      <c r="M73" s="62">
        <v>9</v>
      </c>
      <c r="N73" s="62">
        <v>9</v>
      </c>
      <c r="O73" s="62">
        <v>9</v>
      </c>
      <c r="P73" s="62">
        <v>9</v>
      </c>
      <c r="Q73" s="60" t="s">
        <v>683</v>
      </c>
    </row>
    <row r="74" spans="1:17" ht="15">
      <c r="A74" s="59" t="s">
        <v>684</v>
      </c>
      <c r="B74" s="60"/>
      <c r="C74" s="60" t="s">
        <v>685</v>
      </c>
      <c r="D74" s="61">
        <v>1</v>
      </c>
      <c r="E74" s="62">
        <v>20</v>
      </c>
      <c r="F74" s="61">
        <v>30</v>
      </c>
      <c r="G74" s="62">
        <v>385</v>
      </c>
      <c r="H74" s="62">
        <v>12.6</v>
      </c>
      <c r="I74" s="62">
        <v>12.6</v>
      </c>
      <c r="J74" s="62">
        <v>12.6</v>
      </c>
      <c r="K74" s="62">
        <v>11.7</v>
      </c>
      <c r="L74" s="62">
        <v>11.7</v>
      </c>
      <c r="M74" s="62">
        <v>10.8</v>
      </c>
      <c r="N74" s="62">
        <v>10.8</v>
      </c>
      <c r="O74" s="62">
        <v>10.8</v>
      </c>
      <c r="P74" s="62">
        <v>10.8</v>
      </c>
      <c r="Q74" s="60" t="s">
        <v>686</v>
      </c>
    </row>
    <row r="75" spans="1:17" ht="15">
      <c r="A75" s="59" t="s">
        <v>687</v>
      </c>
      <c r="B75" s="60" t="s">
        <v>688</v>
      </c>
      <c r="C75" s="60" t="s">
        <v>689</v>
      </c>
      <c r="D75" s="61">
        <v>1</v>
      </c>
      <c r="E75" s="62">
        <v>20</v>
      </c>
      <c r="F75" s="61">
        <v>20</v>
      </c>
      <c r="G75" s="62">
        <v>157</v>
      </c>
      <c r="H75" s="62">
        <v>7.2</v>
      </c>
      <c r="I75" s="62">
        <v>7.2</v>
      </c>
      <c r="J75" s="62">
        <v>7.2</v>
      </c>
      <c r="K75" s="62">
        <v>7.2</v>
      </c>
      <c r="L75" s="62">
        <v>6.3</v>
      </c>
      <c r="M75" s="62">
        <v>6.3</v>
      </c>
      <c r="N75" s="62">
        <v>6.3</v>
      </c>
      <c r="O75" s="62">
        <v>6.3</v>
      </c>
      <c r="P75" s="62">
        <v>6.3</v>
      </c>
      <c r="Q75" s="60" t="s">
        <v>690</v>
      </c>
    </row>
    <row r="76" spans="1:17" ht="15">
      <c r="A76" s="59" t="s">
        <v>691</v>
      </c>
      <c r="B76" s="60" t="s">
        <v>692</v>
      </c>
      <c r="C76" s="60" t="s">
        <v>693</v>
      </c>
      <c r="D76" s="61">
        <v>1</v>
      </c>
      <c r="E76" s="62">
        <v>20</v>
      </c>
      <c r="F76" s="61">
        <v>30</v>
      </c>
      <c r="G76" s="62">
        <v>307</v>
      </c>
      <c r="H76" s="62">
        <v>9.9</v>
      </c>
      <c r="I76" s="62">
        <v>9.9</v>
      </c>
      <c r="J76" s="62">
        <v>9.9</v>
      </c>
      <c r="K76" s="62">
        <v>9</v>
      </c>
      <c r="L76" s="62">
        <v>9</v>
      </c>
      <c r="M76" s="62">
        <v>9</v>
      </c>
      <c r="N76" s="62">
        <v>9</v>
      </c>
      <c r="O76" s="62">
        <v>9</v>
      </c>
      <c r="P76" s="62">
        <v>9</v>
      </c>
      <c r="Q76" s="60" t="s">
        <v>694</v>
      </c>
    </row>
    <row r="77" spans="1:17" ht="15">
      <c r="A77" s="59" t="s">
        <v>695</v>
      </c>
      <c r="B77" s="60"/>
      <c r="C77" s="60" t="s">
        <v>696</v>
      </c>
      <c r="D77" s="61">
        <v>1</v>
      </c>
      <c r="E77" s="62">
        <v>20</v>
      </c>
      <c r="F77" s="61">
        <v>30</v>
      </c>
      <c r="G77" s="62">
        <v>359</v>
      </c>
      <c r="H77" s="62">
        <v>11.7</v>
      </c>
      <c r="I77" s="62">
        <v>11.7</v>
      </c>
      <c r="J77" s="62">
        <v>11.7</v>
      </c>
      <c r="K77" s="62">
        <v>10.8</v>
      </c>
      <c r="L77" s="62">
        <v>10.8</v>
      </c>
      <c r="M77" s="62">
        <v>10.8</v>
      </c>
      <c r="N77" s="62">
        <v>10.8</v>
      </c>
      <c r="O77" s="62">
        <v>10.8</v>
      </c>
      <c r="P77" s="62">
        <v>10.8</v>
      </c>
      <c r="Q77" s="60" t="s">
        <v>697</v>
      </c>
    </row>
    <row r="78" spans="1:17" ht="15">
      <c r="A78" s="59" t="s">
        <v>698</v>
      </c>
      <c r="B78" s="60" t="s">
        <v>699</v>
      </c>
      <c r="C78" s="60" t="s">
        <v>700</v>
      </c>
      <c r="D78" s="61">
        <v>1</v>
      </c>
      <c r="E78" s="62">
        <v>10</v>
      </c>
      <c r="F78" s="61">
        <v>50</v>
      </c>
      <c r="G78" s="62">
        <v>108</v>
      </c>
      <c r="H78" s="62">
        <v>2</v>
      </c>
      <c r="I78" s="62">
        <v>2</v>
      </c>
      <c r="J78" s="62">
        <v>1.9</v>
      </c>
      <c r="K78" s="62">
        <v>1.9</v>
      </c>
      <c r="L78" s="62">
        <v>1.8</v>
      </c>
      <c r="M78" s="62">
        <v>1.7</v>
      </c>
      <c r="N78" s="62">
        <v>1.6</v>
      </c>
      <c r="O78" s="62">
        <v>1.5</v>
      </c>
      <c r="P78" s="62">
        <v>0</v>
      </c>
      <c r="Q78" s="60" t="s">
        <v>701</v>
      </c>
    </row>
    <row r="79" spans="1:17" ht="15">
      <c r="A79" s="59" t="s">
        <v>702</v>
      </c>
      <c r="B79" s="60"/>
      <c r="C79" s="60" t="s">
        <v>703</v>
      </c>
      <c r="D79" s="61">
        <v>1</v>
      </c>
      <c r="E79" s="62">
        <v>10</v>
      </c>
      <c r="F79" s="61">
        <v>50</v>
      </c>
      <c r="G79" s="62">
        <v>113</v>
      </c>
      <c r="H79" s="62">
        <v>2.1</v>
      </c>
      <c r="I79" s="62">
        <v>2.1</v>
      </c>
      <c r="J79" s="62">
        <v>2</v>
      </c>
      <c r="K79" s="62">
        <v>2</v>
      </c>
      <c r="L79" s="62">
        <v>1.9</v>
      </c>
      <c r="M79" s="62">
        <v>1.8</v>
      </c>
      <c r="N79" s="62">
        <v>1.7</v>
      </c>
      <c r="O79" s="62">
        <v>1.6</v>
      </c>
      <c r="P79" s="62">
        <v>0</v>
      </c>
      <c r="Q79" s="60" t="s">
        <v>704</v>
      </c>
    </row>
    <row r="80" spans="1:17" ht="15">
      <c r="A80" s="59" t="s">
        <v>705</v>
      </c>
      <c r="B80" s="60" t="s">
        <v>706</v>
      </c>
      <c r="C80" s="60" t="s">
        <v>707</v>
      </c>
      <c r="D80" s="61">
        <v>1</v>
      </c>
      <c r="E80" s="62">
        <v>10</v>
      </c>
      <c r="F80" s="61">
        <v>50</v>
      </c>
      <c r="G80" s="62">
        <v>98</v>
      </c>
      <c r="H80" s="62">
        <v>1.8</v>
      </c>
      <c r="I80" s="62">
        <v>1.8</v>
      </c>
      <c r="J80" s="62">
        <v>1.6</v>
      </c>
      <c r="K80" s="62">
        <v>1.6</v>
      </c>
      <c r="L80" s="62">
        <v>1.5</v>
      </c>
      <c r="M80" s="62">
        <v>1.45</v>
      </c>
      <c r="N80" s="62">
        <v>1.35</v>
      </c>
      <c r="O80" s="62">
        <v>1.25</v>
      </c>
      <c r="P80" s="62">
        <v>0</v>
      </c>
      <c r="Q80" s="60" t="s">
        <v>708</v>
      </c>
    </row>
    <row r="81" spans="1:17" ht="15">
      <c r="A81" s="59" t="s">
        <v>709</v>
      </c>
      <c r="B81" s="60"/>
      <c r="C81" s="60" t="s">
        <v>710</v>
      </c>
      <c r="D81" s="61">
        <v>1</v>
      </c>
      <c r="E81" s="62">
        <v>10</v>
      </c>
      <c r="F81" s="61">
        <v>50</v>
      </c>
      <c r="G81" s="62">
        <v>98</v>
      </c>
      <c r="H81" s="62">
        <v>1.8</v>
      </c>
      <c r="I81" s="62">
        <v>1.8</v>
      </c>
      <c r="J81" s="62">
        <v>1.7</v>
      </c>
      <c r="K81" s="62">
        <v>1.7</v>
      </c>
      <c r="L81" s="62">
        <v>1.6</v>
      </c>
      <c r="M81" s="62">
        <v>1.5</v>
      </c>
      <c r="N81" s="62">
        <v>1.4</v>
      </c>
      <c r="O81" s="62">
        <v>1.4</v>
      </c>
      <c r="P81" s="62">
        <v>0</v>
      </c>
      <c r="Q81" s="60" t="s">
        <v>711</v>
      </c>
    </row>
    <row r="82" spans="1:17" ht="15">
      <c r="A82" s="59" t="s">
        <v>712</v>
      </c>
      <c r="B82" s="60"/>
      <c r="C82" s="60" t="s">
        <v>713</v>
      </c>
      <c r="D82" s="61">
        <v>1</v>
      </c>
      <c r="E82" s="62">
        <v>10</v>
      </c>
      <c r="F82" s="61">
        <v>50</v>
      </c>
      <c r="G82" s="62">
        <v>101</v>
      </c>
      <c r="H82" s="62">
        <v>1.85</v>
      </c>
      <c r="I82" s="62">
        <v>1.85</v>
      </c>
      <c r="J82" s="62">
        <v>1.7</v>
      </c>
      <c r="K82" s="62">
        <v>1.7</v>
      </c>
      <c r="L82" s="62">
        <v>1.6</v>
      </c>
      <c r="M82" s="62">
        <v>1.5</v>
      </c>
      <c r="N82" s="62">
        <v>1.4</v>
      </c>
      <c r="O82" s="62">
        <v>1.3</v>
      </c>
      <c r="P82" s="62">
        <v>0</v>
      </c>
      <c r="Q82" s="60" t="s">
        <v>714</v>
      </c>
    </row>
    <row r="83" spans="1:17" ht="15">
      <c r="A83" s="59" t="s">
        <v>715</v>
      </c>
      <c r="B83" s="60"/>
      <c r="C83" s="60" t="s">
        <v>716</v>
      </c>
      <c r="D83" s="61">
        <v>1</v>
      </c>
      <c r="E83" s="62">
        <v>10</v>
      </c>
      <c r="F83" s="61">
        <v>50</v>
      </c>
      <c r="G83" s="62">
        <v>106</v>
      </c>
      <c r="H83" s="62">
        <v>1.95</v>
      </c>
      <c r="I83" s="62">
        <v>1.95</v>
      </c>
      <c r="J83" s="62">
        <v>1.75</v>
      </c>
      <c r="K83" s="62">
        <v>1.75</v>
      </c>
      <c r="L83" s="62">
        <v>1.65</v>
      </c>
      <c r="M83" s="62">
        <v>1.6</v>
      </c>
      <c r="N83" s="62">
        <v>1.5</v>
      </c>
      <c r="O83" s="62">
        <v>1.4</v>
      </c>
      <c r="P83" s="62">
        <v>0</v>
      </c>
      <c r="Q83" s="60" t="s">
        <v>717</v>
      </c>
    </row>
    <row r="84" spans="1:17" ht="15">
      <c r="A84" s="59" t="s">
        <v>718</v>
      </c>
      <c r="B84" s="60" t="s">
        <v>719</v>
      </c>
      <c r="C84" s="60" t="s">
        <v>720</v>
      </c>
      <c r="D84" s="61">
        <v>1</v>
      </c>
      <c r="E84" s="62">
        <v>10</v>
      </c>
      <c r="F84" s="61">
        <v>50</v>
      </c>
      <c r="G84" s="62">
        <v>88</v>
      </c>
      <c r="H84" s="62">
        <v>1.6</v>
      </c>
      <c r="I84" s="62">
        <v>1.6</v>
      </c>
      <c r="J84" s="62">
        <v>1.5</v>
      </c>
      <c r="K84" s="62">
        <v>1.5</v>
      </c>
      <c r="L84" s="62">
        <v>1.3</v>
      </c>
      <c r="M84" s="62">
        <v>1.2</v>
      </c>
      <c r="N84" s="62">
        <v>1.1000000000000001</v>
      </c>
      <c r="O84" s="62">
        <v>1</v>
      </c>
      <c r="P84" s="62">
        <v>0</v>
      </c>
      <c r="Q84" s="60" t="s">
        <v>721</v>
      </c>
    </row>
    <row r="85" spans="1:17" ht="15">
      <c r="A85" s="59" t="s">
        <v>722</v>
      </c>
      <c r="B85" s="60" t="s">
        <v>723</v>
      </c>
      <c r="C85" s="60" t="s">
        <v>724</v>
      </c>
      <c r="D85" s="61">
        <v>1</v>
      </c>
      <c r="E85" s="62">
        <v>10</v>
      </c>
      <c r="F85" s="61">
        <v>50</v>
      </c>
      <c r="G85" s="62">
        <v>103</v>
      </c>
      <c r="H85" s="62">
        <v>1.9</v>
      </c>
      <c r="I85" s="62">
        <v>1.9</v>
      </c>
      <c r="J85" s="62">
        <v>1.7</v>
      </c>
      <c r="K85" s="62">
        <v>1.7</v>
      </c>
      <c r="L85" s="62">
        <v>1.6</v>
      </c>
      <c r="M85" s="62">
        <v>1.5</v>
      </c>
      <c r="N85" s="62">
        <v>1.4</v>
      </c>
      <c r="O85" s="62">
        <v>1.3</v>
      </c>
      <c r="P85" s="62">
        <v>0</v>
      </c>
      <c r="Q85" s="60" t="s">
        <v>725</v>
      </c>
    </row>
    <row r="86" spans="1:17" ht="15">
      <c r="A86" s="59" t="s">
        <v>726</v>
      </c>
      <c r="B86" s="60" t="s">
        <v>727</v>
      </c>
      <c r="C86" s="60" t="s">
        <v>728</v>
      </c>
      <c r="D86" s="61">
        <v>1</v>
      </c>
      <c r="E86" s="62">
        <v>10</v>
      </c>
      <c r="F86" s="61">
        <v>50</v>
      </c>
      <c r="G86" s="62">
        <v>118</v>
      </c>
      <c r="H86" s="62">
        <v>2.2000000000000002</v>
      </c>
      <c r="I86" s="62">
        <v>2.2000000000000002</v>
      </c>
      <c r="J86" s="62">
        <v>2</v>
      </c>
      <c r="K86" s="62">
        <v>2</v>
      </c>
      <c r="L86" s="62">
        <v>1.9</v>
      </c>
      <c r="M86" s="62">
        <v>1.8</v>
      </c>
      <c r="N86" s="62">
        <v>1.7</v>
      </c>
      <c r="O86" s="62">
        <v>1.7</v>
      </c>
      <c r="P86" s="62">
        <v>0</v>
      </c>
      <c r="Q86" s="60" t="s">
        <v>729</v>
      </c>
    </row>
    <row r="87" spans="1:17" ht="15">
      <c r="A87" s="59" t="s">
        <v>730</v>
      </c>
      <c r="B87" s="60"/>
      <c r="C87" s="60" t="s">
        <v>731</v>
      </c>
      <c r="D87" s="61">
        <v>1</v>
      </c>
      <c r="E87" s="62">
        <v>10</v>
      </c>
      <c r="F87" s="61">
        <v>50</v>
      </c>
      <c r="G87" s="62">
        <v>123</v>
      </c>
      <c r="H87" s="62">
        <v>2.2999999999999998</v>
      </c>
      <c r="I87" s="62">
        <v>2.2999999999999998</v>
      </c>
      <c r="J87" s="62">
        <v>2.1</v>
      </c>
      <c r="K87" s="62">
        <v>2.1</v>
      </c>
      <c r="L87" s="62">
        <v>2</v>
      </c>
      <c r="M87" s="62">
        <v>1.9</v>
      </c>
      <c r="N87" s="62">
        <v>1.8</v>
      </c>
      <c r="O87" s="62">
        <v>1.8</v>
      </c>
      <c r="P87" s="62">
        <v>0</v>
      </c>
      <c r="Q87" s="60" t="s">
        <v>732</v>
      </c>
    </row>
    <row r="88" spans="1:17" ht="15">
      <c r="A88" s="59" t="s">
        <v>733</v>
      </c>
      <c r="B88" s="60" t="s">
        <v>734</v>
      </c>
      <c r="C88" s="60" t="s">
        <v>735</v>
      </c>
      <c r="D88" s="61">
        <v>1</v>
      </c>
      <c r="E88" s="62">
        <v>10</v>
      </c>
      <c r="F88" s="61">
        <v>50</v>
      </c>
      <c r="G88" s="62">
        <v>93</v>
      </c>
      <c r="H88" s="62">
        <v>1.7</v>
      </c>
      <c r="I88" s="62">
        <v>1.7</v>
      </c>
      <c r="J88" s="62">
        <v>1.5</v>
      </c>
      <c r="K88" s="62">
        <v>1.5</v>
      </c>
      <c r="L88" s="62">
        <v>1.4</v>
      </c>
      <c r="M88" s="62">
        <v>1.3</v>
      </c>
      <c r="N88" s="62">
        <v>1.2</v>
      </c>
      <c r="O88" s="62">
        <v>1.1000000000000001</v>
      </c>
      <c r="P88" s="62">
        <v>0</v>
      </c>
      <c r="Q88" s="60" t="s">
        <v>736</v>
      </c>
    </row>
    <row r="89" spans="1:17" ht="15">
      <c r="A89" s="59" t="s">
        <v>737</v>
      </c>
      <c r="B89" s="60"/>
      <c r="C89" s="60" t="s">
        <v>738</v>
      </c>
      <c r="D89" s="61">
        <v>1</v>
      </c>
      <c r="E89" s="62">
        <v>10</v>
      </c>
      <c r="F89" s="61">
        <v>50</v>
      </c>
      <c r="G89" s="62">
        <v>93</v>
      </c>
      <c r="H89" s="62">
        <v>1.7</v>
      </c>
      <c r="I89" s="62">
        <v>1.7</v>
      </c>
      <c r="J89" s="62">
        <v>1.6</v>
      </c>
      <c r="K89" s="62">
        <v>1.6</v>
      </c>
      <c r="L89" s="62">
        <v>1.5</v>
      </c>
      <c r="M89" s="62">
        <v>1.4</v>
      </c>
      <c r="N89" s="62">
        <v>1.3</v>
      </c>
      <c r="O89" s="62">
        <v>1.2</v>
      </c>
      <c r="P89" s="62">
        <v>0</v>
      </c>
      <c r="Q89" s="60" t="s">
        <v>739</v>
      </c>
    </row>
    <row r="90" spans="1:17" ht="15">
      <c r="A90" s="59" t="s">
        <v>740</v>
      </c>
      <c r="B90" s="60" t="s">
        <v>741</v>
      </c>
      <c r="C90" s="60" t="s">
        <v>742</v>
      </c>
      <c r="D90" s="61">
        <v>1</v>
      </c>
      <c r="E90" s="62">
        <v>10</v>
      </c>
      <c r="F90" s="61">
        <v>50</v>
      </c>
      <c r="G90" s="62">
        <v>84</v>
      </c>
      <c r="H90" s="62">
        <v>1.5</v>
      </c>
      <c r="I90" s="62">
        <v>1.5</v>
      </c>
      <c r="J90" s="62">
        <v>1.4</v>
      </c>
      <c r="K90" s="62">
        <v>1.4</v>
      </c>
      <c r="L90" s="62">
        <v>1.3</v>
      </c>
      <c r="M90" s="62">
        <v>1.2</v>
      </c>
      <c r="N90" s="62">
        <v>1.1000000000000001</v>
      </c>
      <c r="O90" s="62">
        <v>1</v>
      </c>
      <c r="P90" s="62">
        <v>0</v>
      </c>
      <c r="Q90" s="60" t="s">
        <v>743</v>
      </c>
    </row>
    <row r="91" spans="1:17" ht="15">
      <c r="A91" s="59" t="s">
        <v>744</v>
      </c>
      <c r="B91" s="60"/>
      <c r="C91" s="60" t="s">
        <v>745</v>
      </c>
      <c r="D91" s="61">
        <v>1</v>
      </c>
      <c r="E91" s="62">
        <v>10</v>
      </c>
      <c r="F91" s="61">
        <v>50</v>
      </c>
      <c r="G91" s="62">
        <v>93</v>
      </c>
      <c r="H91" s="62">
        <v>1.7</v>
      </c>
      <c r="I91" s="62">
        <v>1.7</v>
      </c>
      <c r="J91" s="62">
        <v>1.5</v>
      </c>
      <c r="K91" s="62">
        <v>1.5</v>
      </c>
      <c r="L91" s="62">
        <v>1.4</v>
      </c>
      <c r="M91" s="62">
        <v>1.3</v>
      </c>
      <c r="N91" s="62">
        <v>1.2</v>
      </c>
      <c r="O91" s="62">
        <v>1.1000000000000001</v>
      </c>
      <c r="P91" s="62">
        <v>0</v>
      </c>
      <c r="Q91" s="60" t="s">
        <v>746</v>
      </c>
    </row>
    <row r="92" spans="1:17" ht="15">
      <c r="A92" s="59" t="s">
        <v>747</v>
      </c>
      <c r="B92" s="60" t="s">
        <v>748</v>
      </c>
      <c r="C92" s="60" t="s">
        <v>749</v>
      </c>
      <c r="D92" s="61">
        <v>1</v>
      </c>
      <c r="E92" s="62">
        <v>10</v>
      </c>
      <c r="F92" s="61">
        <v>50</v>
      </c>
      <c r="G92" s="62">
        <v>91</v>
      </c>
      <c r="H92" s="62">
        <v>1.65</v>
      </c>
      <c r="I92" s="62">
        <v>1.65</v>
      </c>
      <c r="J92" s="62">
        <v>1.45</v>
      </c>
      <c r="K92" s="62">
        <v>1.45</v>
      </c>
      <c r="L92" s="62">
        <v>1.35</v>
      </c>
      <c r="M92" s="62">
        <v>1.3</v>
      </c>
      <c r="N92" s="62">
        <v>1.2</v>
      </c>
      <c r="O92" s="62">
        <v>1.1000000000000001</v>
      </c>
      <c r="P92" s="62">
        <v>0</v>
      </c>
      <c r="Q92" s="60" t="s">
        <v>750</v>
      </c>
    </row>
    <row r="93" spans="1:17" ht="15">
      <c r="A93" s="59" t="s">
        <v>751</v>
      </c>
      <c r="B93" s="60" t="s">
        <v>752</v>
      </c>
      <c r="C93" s="60" t="s">
        <v>753</v>
      </c>
      <c r="D93" s="61">
        <v>1</v>
      </c>
      <c r="E93" s="62">
        <v>10</v>
      </c>
      <c r="F93" s="61">
        <v>50</v>
      </c>
      <c r="G93" s="62">
        <v>88</v>
      </c>
      <c r="H93" s="62">
        <v>1.6</v>
      </c>
      <c r="I93" s="62">
        <v>1.6</v>
      </c>
      <c r="J93" s="62">
        <v>1.45</v>
      </c>
      <c r="K93" s="62">
        <v>1.45</v>
      </c>
      <c r="L93" s="62">
        <v>1.35</v>
      </c>
      <c r="M93" s="62">
        <v>1.25</v>
      </c>
      <c r="N93" s="62">
        <v>1.1499999999999999</v>
      </c>
      <c r="O93" s="62">
        <v>1.05</v>
      </c>
      <c r="P93" s="62">
        <v>0</v>
      </c>
      <c r="Q93" s="60" t="s">
        <v>754</v>
      </c>
    </row>
    <row r="94" spans="1:17" ht="15">
      <c r="A94" s="59" t="s">
        <v>755</v>
      </c>
      <c r="B94" s="60" t="s">
        <v>756</v>
      </c>
      <c r="C94" s="60" t="s">
        <v>757</v>
      </c>
      <c r="D94" s="61">
        <v>1</v>
      </c>
      <c r="E94" s="62">
        <v>10</v>
      </c>
      <c r="F94" s="61">
        <v>50</v>
      </c>
      <c r="G94" s="62">
        <v>96</v>
      </c>
      <c r="H94" s="62">
        <v>1.75</v>
      </c>
      <c r="I94" s="62">
        <v>1.75</v>
      </c>
      <c r="J94" s="62">
        <v>1.65</v>
      </c>
      <c r="K94" s="62">
        <v>1.6</v>
      </c>
      <c r="L94" s="62">
        <v>1.5</v>
      </c>
      <c r="M94" s="62">
        <v>1.4</v>
      </c>
      <c r="N94" s="62">
        <v>1.35</v>
      </c>
      <c r="O94" s="62">
        <v>1.25</v>
      </c>
      <c r="P94" s="62">
        <v>0</v>
      </c>
      <c r="Q94" s="60" t="s">
        <v>758</v>
      </c>
    </row>
    <row r="95" spans="1:17" ht="15">
      <c r="A95" s="59" t="s">
        <v>759</v>
      </c>
      <c r="B95" s="60" t="s">
        <v>760</v>
      </c>
      <c r="C95" s="60" t="s">
        <v>761</v>
      </c>
      <c r="D95" s="61">
        <v>1</v>
      </c>
      <c r="E95" s="62">
        <v>10</v>
      </c>
      <c r="F95" s="61">
        <v>50</v>
      </c>
      <c r="G95" s="62">
        <v>84</v>
      </c>
      <c r="H95" s="62">
        <v>1.5</v>
      </c>
      <c r="I95" s="62">
        <v>1.5</v>
      </c>
      <c r="J95" s="62">
        <v>1.35</v>
      </c>
      <c r="K95" s="62">
        <v>1.35</v>
      </c>
      <c r="L95" s="62">
        <v>1.25</v>
      </c>
      <c r="M95" s="62">
        <v>1.1499999999999999</v>
      </c>
      <c r="N95" s="62">
        <v>1.05</v>
      </c>
      <c r="O95" s="62">
        <v>0.95</v>
      </c>
      <c r="P95" s="62">
        <v>0</v>
      </c>
      <c r="Q95" s="60" t="s">
        <v>762</v>
      </c>
    </row>
    <row r="96" spans="1:17" ht="15">
      <c r="A96" s="59" t="s">
        <v>763</v>
      </c>
      <c r="B96" s="60" t="s">
        <v>764</v>
      </c>
      <c r="C96" s="60" t="s">
        <v>765</v>
      </c>
      <c r="D96" s="61">
        <v>1</v>
      </c>
      <c r="E96" s="62">
        <v>10</v>
      </c>
      <c r="F96" s="61">
        <v>50</v>
      </c>
      <c r="G96" s="62">
        <v>101</v>
      </c>
      <c r="H96" s="62">
        <v>1.85</v>
      </c>
      <c r="I96" s="62">
        <v>1.85</v>
      </c>
      <c r="J96" s="62">
        <v>1.75</v>
      </c>
      <c r="K96" s="62">
        <v>1.7</v>
      </c>
      <c r="L96" s="62">
        <v>1.65</v>
      </c>
      <c r="M96" s="62">
        <v>1.55</v>
      </c>
      <c r="N96" s="62">
        <v>1.45</v>
      </c>
      <c r="O96" s="62">
        <v>1.35</v>
      </c>
      <c r="P96" s="62">
        <v>0</v>
      </c>
      <c r="Q96" s="60" t="s">
        <v>766</v>
      </c>
    </row>
    <row r="97" spans="1:17" ht="15">
      <c r="A97" s="59" t="s">
        <v>767</v>
      </c>
      <c r="B97" s="60"/>
      <c r="C97" s="60" t="s">
        <v>768</v>
      </c>
      <c r="D97" s="61">
        <v>1</v>
      </c>
      <c r="E97" s="62">
        <v>10</v>
      </c>
      <c r="F97" s="61">
        <v>50</v>
      </c>
      <c r="G97" s="62">
        <v>101</v>
      </c>
      <c r="H97" s="62">
        <v>1.85</v>
      </c>
      <c r="I97" s="62">
        <v>1.85</v>
      </c>
      <c r="J97" s="62">
        <v>1.75</v>
      </c>
      <c r="K97" s="62">
        <v>1.7</v>
      </c>
      <c r="L97" s="62">
        <v>1.6</v>
      </c>
      <c r="M97" s="62">
        <v>1.5</v>
      </c>
      <c r="N97" s="62">
        <v>1.45</v>
      </c>
      <c r="O97" s="62">
        <v>1.35</v>
      </c>
      <c r="P97" s="62">
        <v>0</v>
      </c>
      <c r="Q97" s="60" t="s">
        <v>769</v>
      </c>
    </row>
    <row r="98" spans="1:17" ht="15">
      <c r="A98" s="59" t="s">
        <v>770</v>
      </c>
      <c r="B98" s="60"/>
      <c r="C98" s="60" t="s">
        <v>771</v>
      </c>
      <c r="D98" s="61">
        <v>1</v>
      </c>
      <c r="E98" s="62">
        <v>10</v>
      </c>
      <c r="F98" s="61">
        <v>50</v>
      </c>
      <c r="G98" s="62">
        <v>96</v>
      </c>
      <c r="H98" s="62">
        <v>1.75</v>
      </c>
      <c r="I98" s="62">
        <v>1.75</v>
      </c>
      <c r="J98" s="62">
        <v>1.65</v>
      </c>
      <c r="K98" s="62">
        <v>1.6</v>
      </c>
      <c r="L98" s="62">
        <v>1.55</v>
      </c>
      <c r="M98" s="62">
        <v>1.45</v>
      </c>
      <c r="N98" s="62">
        <v>1.4</v>
      </c>
      <c r="O98" s="62">
        <v>1.3</v>
      </c>
      <c r="P98" s="62">
        <v>0</v>
      </c>
      <c r="Q98" s="60" t="s">
        <v>772</v>
      </c>
    </row>
    <row r="99" spans="1:17" ht="15">
      <c r="A99" s="59" t="s">
        <v>773</v>
      </c>
      <c r="B99" s="60" t="s">
        <v>774</v>
      </c>
      <c r="C99" s="60" t="s">
        <v>775</v>
      </c>
      <c r="D99" s="61">
        <v>1</v>
      </c>
      <c r="E99" s="62">
        <v>10</v>
      </c>
      <c r="F99" s="61">
        <v>50</v>
      </c>
      <c r="G99" s="62">
        <v>86</v>
      </c>
      <c r="H99" s="62">
        <v>1.55</v>
      </c>
      <c r="I99" s="62">
        <v>1.55</v>
      </c>
      <c r="J99" s="62">
        <v>1.45</v>
      </c>
      <c r="K99" s="62">
        <v>1.45</v>
      </c>
      <c r="L99" s="62">
        <v>1.35</v>
      </c>
      <c r="M99" s="62">
        <v>1.3</v>
      </c>
      <c r="N99" s="62">
        <v>1.2</v>
      </c>
      <c r="O99" s="62">
        <v>1.1000000000000001</v>
      </c>
      <c r="P99" s="62">
        <v>0</v>
      </c>
      <c r="Q99" s="60" t="s">
        <v>776</v>
      </c>
    </row>
    <row r="100" spans="1:17" ht="15">
      <c r="A100" s="59" t="s">
        <v>777</v>
      </c>
      <c r="B100" s="60" t="s">
        <v>778</v>
      </c>
      <c r="C100" s="60" t="s">
        <v>779</v>
      </c>
      <c r="D100" s="61">
        <v>1</v>
      </c>
      <c r="E100" s="62">
        <v>10</v>
      </c>
      <c r="F100" s="61">
        <v>50</v>
      </c>
      <c r="G100" s="62">
        <v>79</v>
      </c>
      <c r="H100" s="62">
        <v>1.4</v>
      </c>
      <c r="I100" s="62">
        <v>1.4</v>
      </c>
      <c r="J100" s="62">
        <v>1.3</v>
      </c>
      <c r="K100" s="62">
        <v>1.3</v>
      </c>
      <c r="L100" s="62">
        <v>1.2</v>
      </c>
      <c r="M100" s="62">
        <v>1.1000000000000001</v>
      </c>
      <c r="N100" s="62">
        <v>1</v>
      </c>
      <c r="O100" s="62">
        <v>0.9</v>
      </c>
      <c r="P100" s="62">
        <v>0</v>
      </c>
      <c r="Q100" s="60" t="s">
        <v>780</v>
      </c>
    </row>
    <row r="101" spans="1:17" ht="15">
      <c r="A101" s="59" t="s">
        <v>781</v>
      </c>
      <c r="B101" s="60"/>
      <c r="C101" s="60" t="s">
        <v>782</v>
      </c>
      <c r="D101" s="61">
        <v>1</v>
      </c>
      <c r="E101" s="62">
        <v>10</v>
      </c>
      <c r="F101" s="61">
        <v>50</v>
      </c>
      <c r="G101" s="62">
        <v>86</v>
      </c>
      <c r="H101" s="62">
        <v>1.55</v>
      </c>
      <c r="I101" s="62">
        <v>1.55</v>
      </c>
      <c r="J101" s="62">
        <v>1.35</v>
      </c>
      <c r="K101" s="62">
        <v>1.35</v>
      </c>
      <c r="L101" s="62">
        <v>1.25</v>
      </c>
      <c r="M101" s="62">
        <v>1.1499999999999999</v>
      </c>
      <c r="N101" s="62">
        <v>1.05</v>
      </c>
      <c r="O101" s="62">
        <v>0.95</v>
      </c>
      <c r="P101" s="62">
        <v>0</v>
      </c>
      <c r="Q101" s="60" t="s">
        <v>783</v>
      </c>
    </row>
    <row r="102" spans="1:17" ht="15">
      <c r="A102" s="59" t="s">
        <v>784</v>
      </c>
      <c r="B102" s="60"/>
      <c r="C102" s="60" t="s">
        <v>785</v>
      </c>
      <c r="D102" s="61">
        <v>1</v>
      </c>
      <c r="E102" s="62">
        <v>10</v>
      </c>
      <c r="F102" s="61">
        <v>50</v>
      </c>
      <c r="G102" s="62">
        <v>79</v>
      </c>
      <c r="H102" s="62">
        <v>1.4</v>
      </c>
      <c r="I102" s="62">
        <v>1.4</v>
      </c>
      <c r="J102" s="62">
        <v>1.3</v>
      </c>
      <c r="K102" s="62">
        <v>1.3</v>
      </c>
      <c r="L102" s="62">
        <v>1.2</v>
      </c>
      <c r="M102" s="62">
        <v>1.1000000000000001</v>
      </c>
      <c r="N102" s="62">
        <v>1</v>
      </c>
      <c r="O102" s="62">
        <v>0.9</v>
      </c>
      <c r="P102" s="62">
        <v>0</v>
      </c>
      <c r="Q102" s="60" t="s">
        <v>786</v>
      </c>
    </row>
    <row r="103" spans="1:17" ht="15">
      <c r="A103" s="59" t="s">
        <v>787</v>
      </c>
      <c r="B103" s="60"/>
      <c r="C103" s="60" t="s">
        <v>788</v>
      </c>
      <c r="D103" s="61">
        <v>1</v>
      </c>
      <c r="E103" s="62">
        <v>10</v>
      </c>
      <c r="F103" s="61">
        <v>50</v>
      </c>
      <c r="G103" s="62">
        <v>74</v>
      </c>
      <c r="H103" s="62">
        <v>1.3</v>
      </c>
      <c r="I103" s="62">
        <v>1.3</v>
      </c>
      <c r="J103" s="62">
        <v>1.2</v>
      </c>
      <c r="K103" s="62">
        <v>1.2</v>
      </c>
      <c r="L103" s="62">
        <v>1.1000000000000001</v>
      </c>
      <c r="M103" s="62">
        <v>1</v>
      </c>
      <c r="N103" s="62">
        <v>0.9</v>
      </c>
      <c r="O103" s="62">
        <v>0.9</v>
      </c>
      <c r="P103" s="62">
        <v>0</v>
      </c>
      <c r="Q103" s="60" t="s">
        <v>789</v>
      </c>
    </row>
    <row r="104" spans="1:17" ht="15">
      <c r="A104" s="59" t="s">
        <v>790</v>
      </c>
      <c r="B104" s="60"/>
      <c r="C104" s="60" t="s">
        <v>791</v>
      </c>
      <c r="D104" s="61">
        <v>1</v>
      </c>
      <c r="E104" s="62">
        <v>10</v>
      </c>
      <c r="F104" s="61">
        <v>50</v>
      </c>
      <c r="G104" s="62">
        <v>84</v>
      </c>
      <c r="H104" s="62">
        <v>1.5</v>
      </c>
      <c r="I104" s="62">
        <v>1.5</v>
      </c>
      <c r="J104" s="62">
        <v>1.3</v>
      </c>
      <c r="K104" s="62">
        <v>1.3</v>
      </c>
      <c r="L104" s="62">
        <v>1.2</v>
      </c>
      <c r="M104" s="62">
        <v>1.1499999999999999</v>
      </c>
      <c r="N104" s="62">
        <v>1.05</v>
      </c>
      <c r="O104" s="62">
        <v>0.95</v>
      </c>
      <c r="P104" s="62">
        <v>0</v>
      </c>
      <c r="Q104" s="60" t="s">
        <v>792</v>
      </c>
    </row>
    <row r="105" spans="1:17" ht="15">
      <c r="A105" s="59" t="s">
        <v>793</v>
      </c>
      <c r="B105" s="60"/>
      <c r="C105" s="60" t="s">
        <v>794</v>
      </c>
      <c r="D105" s="61">
        <v>1</v>
      </c>
      <c r="E105" s="62">
        <v>10</v>
      </c>
      <c r="F105" s="61">
        <v>50</v>
      </c>
      <c r="G105" s="62">
        <v>79</v>
      </c>
      <c r="H105" s="62">
        <v>1.4</v>
      </c>
      <c r="I105" s="62">
        <v>1.4</v>
      </c>
      <c r="J105" s="62">
        <v>1.3</v>
      </c>
      <c r="K105" s="62">
        <v>1.3</v>
      </c>
      <c r="L105" s="62">
        <v>1.2</v>
      </c>
      <c r="M105" s="62">
        <v>1.1000000000000001</v>
      </c>
      <c r="N105" s="62">
        <v>1</v>
      </c>
      <c r="O105" s="62">
        <v>0.9</v>
      </c>
      <c r="P105" s="62">
        <v>0</v>
      </c>
      <c r="Q105" s="60" t="s">
        <v>795</v>
      </c>
    </row>
    <row r="106" spans="1:17" ht="15">
      <c r="A106" s="59" t="s">
        <v>796</v>
      </c>
      <c r="B106" s="60" t="s">
        <v>797</v>
      </c>
      <c r="C106" s="60" t="s">
        <v>798</v>
      </c>
      <c r="D106" s="61">
        <v>1</v>
      </c>
      <c r="E106" s="62">
        <v>10</v>
      </c>
      <c r="F106" s="61">
        <v>50</v>
      </c>
      <c r="G106" s="62">
        <v>98</v>
      </c>
      <c r="H106" s="62">
        <v>1.8</v>
      </c>
      <c r="I106" s="62">
        <v>1.8</v>
      </c>
      <c r="J106" s="62">
        <v>1.7</v>
      </c>
      <c r="K106" s="62">
        <v>1.7</v>
      </c>
      <c r="L106" s="62">
        <v>1.6</v>
      </c>
      <c r="M106" s="62">
        <v>1.5</v>
      </c>
      <c r="N106" s="62">
        <v>1.4</v>
      </c>
      <c r="O106" s="62">
        <v>1.3</v>
      </c>
      <c r="P106" s="62">
        <v>0</v>
      </c>
      <c r="Q106" s="60" t="s">
        <v>799</v>
      </c>
    </row>
    <row r="107" spans="1:17" ht="15">
      <c r="A107" s="59" t="s">
        <v>800</v>
      </c>
      <c r="B107" s="60"/>
      <c r="C107" s="60" t="s">
        <v>801</v>
      </c>
      <c r="D107" s="61">
        <v>1</v>
      </c>
      <c r="E107" s="62">
        <v>10</v>
      </c>
      <c r="F107" s="61">
        <v>50</v>
      </c>
      <c r="G107" s="62">
        <v>93</v>
      </c>
      <c r="H107" s="62">
        <v>1.7</v>
      </c>
      <c r="I107" s="62">
        <v>1.7</v>
      </c>
      <c r="J107" s="62">
        <v>1.55</v>
      </c>
      <c r="K107" s="62">
        <v>1.55</v>
      </c>
      <c r="L107" s="62">
        <v>1.45</v>
      </c>
      <c r="M107" s="62">
        <v>1.35</v>
      </c>
      <c r="N107" s="62">
        <v>1.25</v>
      </c>
      <c r="O107" s="62">
        <v>1.1499999999999999</v>
      </c>
      <c r="P107" s="62">
        <v>0</v>
      </c>
      <c r="Q107" s="60" t="s">
        <v>802</v>
      </c>
    </row>
    <row r="108" spans="1:17" ht="15">
      <c r="A108" s="59" t="s">
        <v>803</v>
      </c>
      <c r="B108" s="60"/>
      <c r="C108" s="60" t="s">
        <v>804</v>
      </c>
      <c r="D108" s="61">
        <v>1</v>
      </c>
      <c r="E108" s="62">
        <v>10</v>
      </c>
      <c r="F108" s="61">
        <v>50</v>
      </c>
      <c r="G108" s="62">
        <v>98</v>
      </c>
      <c r="H108" s="62">
        <v>1.8</v>
      </c>
      <c r="I108" s="62">
        <v>1.8</v>
      </c>
      <c r="J108" s="62">
        <v>1.6</v>
      </c>
      <c r="K108" s="62">
        <v>1.6</v>
      </c>
      <c r="L108" s="62">
        <v>1.55</v>
      </c>
      <c r="M108" s="62">
        <v>1.45</v>
      </c>
      <c r="N108" s="62">
        <v>1.35</v>
      </c>
      <c r="O108" s="62">
        <v>1.25</v>
      </c>
      <c r="P108" s="62">
        <v>0</v>
      </c>
      <c r="Q108" s="60" t="s">
        <v>805</v>
      </c>
    </row>
    <row r="109" spans="1:17" ht="15">
      <c r="A109" s="59" t="s">
        <v>806</v>
      </c>
      <c r="B109" s="60"/>
      <c r="C109" s="60" t="s">
        <v>807</v>
      </c>
      <c r="D109" s="61">
        <v>1</v>
      </c>
      <c r="E109" s="62">
        <v>10</v>
      </c>
      <c r="F109" s="61">
        <v>50</v>
      </c>
      <c r="G109" s="62">
        <v>98</v>
      </c>
      <c r="H109" s="62">
        <v>1.8</v>
      </c>
      <c r="I109" s="62">
        <v>1.8</v>
      </c>
      <c r="J109" s="62">
        <v>1.7</v>
      </c>
      <c r="K109" s="62">
        <v>1.7</v>
      </c>
      <c r="L109" s="62">
        <v>1.6</v>
      </c>
      <c r="M109" s="62">
        <v>1.5</v>
      </c>
      <c r="N109" s="62">
        <v>1.4</v>
      </c>
      <c r="O109" s="62">
        <v>1.3</v>
      </c>
      <c r="P109" s="62">
        <v>0</v>
      </c>
      <c r="Q109" s="60" t="s">
        <v>808</v>
      </c>
    </row>
    <row r="110" spans="1:17" ht="15">
      <c r="A110" s="59" t="s">
        <v>809</v>
      </c>
      <c r="B110" s="60" t="s">
        <v>810</v>
      </c>
      <c r="C110" s="60" t="s">
        <v>811</v>
      </c>
      <c r="D110" s="61">
        <v>1</v>
      </c>
      <c r="E110" s="62">
        <v>10</v>
      </c>
      <c r="F110" s="61">
        <v>50</v>
      </c>
      <c r="G110" s="62">
        <v>93</v>
      </c>
      <c r="H110" s="62">
        <v>1.7</v>
      </c>
      <c r="I110" s="62">
        <v>1.7</v>
      </c>
      <c r="J110" s="62">
        <v>1.6</v>
      </c>
      <c r="K110" s="62">
        <v>1.6</v>
      </c>
      <c r="L110" s="62">
        <v>1.5</v>
      </c>
      <c r="M110" s="62">
        <v>1.4</v>
      </c>
      <c r="N110" s="62">
        <v>1.35</v>
      </c>
      <c r="O110" s="62">
        <v>1.3</v>
      </c>
      <c r="P110" s="62">
        <v>0</v>
      </c>
      <c r="Q110" s="60" t="s">
        <v>812</v>
      </c>
    </row>
    <row r="111" spans="1:17" ht="15">
      <c r="A111" s="59" t="s">
        <v>813</v>
      </c>
      <c r="B111" s="60" t="s">
        <v>814</v>
      </c>
      <c r="C111" s="60" t="s">
        <v>815</v>
      </c>
      <c r="D111" s="61">
        <v>1</v>
      </c>
      <c r="E111" s="62">
        <v>10</v>
      </c>
      <c r="F111" s="61">
        <v>50</v>
      </c>
      <c r="G111" s="62">
        <v>98</v>
      </c>
      <c r="H111" s="62">
        <v>1.8</v>
      </c>
      <c r="I111" s="62">
        <v>1.8</v>
      </c>
      <c r="J111" s="62">
        <v>1.7</v>
      </c>
      <c r="K111" s="62">
        <v>1.7</v>
      </c>
      <c r="L111" s="62">
        <v>1.6</v>
      </c>
      <c r="M111" s="62">
        <v>1.5</v>
      </c>
      <c r="N111" s="62">
        <v>1.4</v>
      </c>
      <c r="O111" s="62">
        <v>1.3</v>
      </c>
      <c r="P111" s="62">
        <v>0</v>
      </c>
      <c r="Q111" s="60" t="s">
        <v>816</v>
      </c>
    </row>
    <row r="112" spans="1:17" ht="15">
      <c r="A112" s="59" t="s">
        <v>817</v>
      </c>
      <c r="B112" s="60"/>
      <c r="C112" s="60" t="s">
        <v>818</v>
      </c>
      <c r="D112" s="61">
        <v>1</v>
      </c>
      <c r="E112" s="62">
        <v>10</v>
      </c>
      <c r="F112" s="61">
        <v>50</v>
      </c>
      <c r="G112" s="62">
        <v>118</v>
      </c>
      <c r="H112" s="62">
        <v>2.2000000000000002</v>
      </c>
      <c r="I112" s="62">
        <v>2.2000000000000002</v>
      </c>
      <c r="J112" s="62">
        <v>2.1</v>
      </c>
      <c r="K112" s="62">
        <v>2.1</v>
      </c>
      <c r="L112" s="62">
        <v>2</v>
      </c>
      <c r="M112" s="62">
        <v>1.9</v>
      </c>
      <c r="N112" s="62">
        <v>1.8</v>
      </c>
      <c r="O112" s="62">
        <v>1.7</v>
      </c>
      <c r="P112" s="62">
        <v>0</v>
      </c>
      <c r="Q112" s="60" t="s">
        <v>819</v>
      </c>
    </row>
    <row r="113" spans="1:17" ht="15">
      <c r="A113" s="59" t="s">
        <v>820</v>
      </c>
      <c r="B113" s="60" t="s">
        <v>821</v>
      </c>
      <c r="C113" s="60" t="s">
        <v>822</v>
      </c>
      <c r="D113" s="61">
        <v>1</v>
      </c>
      <c r="E113" s="62">
        <v>10</v>
      </c>
      <c r="F113" s="61">
        <v>50</v>
      </c>
      <c r="G113" s="62">
        <v>103</v>
      </c>
      <c r="H113" s="62">
        <v>1.9</v>
      </c>
      <c r="I113" s="62">
        <v>1.9</v>
      </c>
      <c r="J113" s="62">
        <v>1.8</v>
      </c>
      <c r="K113" s="62">
        <v>1.8</v>
      </c>
      <c r="L113" s="62">
        <v>1.7</v>
      </c>
      <c r="M113" s="62">
        <v>1.6</v>
      </c>
      <c r="N113" s="62">
        <v>1.5</v>
      </c>
      <c r="O113" s="62">
        <v>1.4</v>
      </c>
      <c r="P113" s="62">
        <v>0</v>
      </c>
      <c r="Q113" s="60" t="s">
        <v>823</v>
      </c>
    </row>
    <row r="114" spans="1:17" ht="15">
      <c r="A114" s="59" t="s">
        <v>824</v>
      </c>
      <c r="B114" s="60"/>
      <c r="C114" s="60" t="s">
        <v>825</v>
      </c>
      <c r="D114" s="61">
        <v>1</v>
      </c>
      <c r="E114" s="62">
        <v>10</v>
      </c>
      <c r="F114" s="61">
        <v>50</v>
      </c>
      <c r="G114" s="62">
        <v>123</v>
      </c>
      <c r="H114" s="62">
        <v>2.2999999999999998</v>
      </c>
      <c r="I114" s="62">
        <v>2.2999999999999998</v>
      </c>
      <c r="J114" s="62">
        <v>2.1</v>
      </c>
      <c r="K114" s="62">
        <v>2.1</v>
      </c>
      <c r="L114" s="62">
        <v>2</v>
      </c>
      <c r="M114" s="62">
        <v>1.95</v>
      </c>
      <c r="N114" s="62">
        <v>1.85</v>
      </c>
      <c r="O114" s="62">
        <v>1.75</v>
      </c>
      <c r="P114" s="62">
        <v>0</v>
      </c>
      <c r="Q114" s="60" t="s">
        <v>826</v>
      </c>
    </row>
    <row r="115" spans="1:17" ht="15">
      <c r="A115" s="59" t="s">
        <v>827</v>
      </c>
      <c r="B115" s="60" t="s">
        <v>828</v>
      </c>
      <c r="C115" s="60" t="s">
        <v>829</v>
      </c>
      <c r="D115" s="61">
        <v>1</v>
      </c>
      <c r="E115" s="62">
        <v>10</v>
      </c>
      <c r="F115" s="61">
        <v>50</v>
      </c>
      <c r="G115" s="62">
        <v>93</v>
      </c>
      <c r="H115" s="62">
        <v>1.7</v>
      </c>
      <c r="I115" s="62">
        <v>1.7</v>
      </c>
      <c r="J115" s="62">
        <v>1.5</v>
      </c>
      <c r="K115" s="62">
        <v>1.5</v>
      </c>
      <c r="L115" s="62">
        <v>1.4</v>
      </c>
      <c r="M115" s="62">
        <v>1.3</v>
      </c>
      <c r="N115" s="62">
        <v>1.2</v>
      </c>
      <c r="O115" s="62">
        <v>1.1000000000000001</v>
      </c>
      <c r="P115" s="62">
        <v>0</v>
      </c>
      <c r="Q115" s="60" t="s">
        <v>830</v>
      </c>
    </row>
    <row r="116" spans="1:17" ht="15">
      <c r="A116" s="59" t="s">
        <v>831</v>
      </c>
      <c r="B116" s="60" t="s">
        <v>832</v>
      </c>
      <c r="C116" s="60" t="s">
        <v>833</v>
      </c>
      <c r="D116" s="61">
        <v>1</v>
      </c>
      <c r="E116" s="62">
        <v>10</v>
      </c>
      <c r="F116" s="61">
        <v>50</v>
      </c>
      <c r="G116" s="62">
        <v>84</v>
      </c>
      <c r="H116" s="62">
        <v>1.5</v>
      </c>
      <c r="I116" s="62">
        <v>1.5</v>
      </c>
      <c r="J116" s="62">
        <v>1.3</v>
      </c>
      <c r="K116" s="62">
        <v>1.3</v>
      </c>
      <c r="L116" s="62">
        <v>1.2</v>
      </c>
      <c r="M116" s="62">
        <v>1.1000000000000001</v>
      </c>
      <c r="N116" s="62">
        <v>1</v>
      </c>
      <c r="O116" s="62">
        <v>0.9</v>
      </c>
      <c r="P116" s="62">
        <v>0</v>
      </c>
      <c r="Q116" s="60" t="s">
        <v>834</v>
      </c>
    </row>
    <row r="117" spans="1:17" ht="15">
      <c r="A117" s="59" t="s">
        <v>835</v>
      </c>
      <c r="B117" s="60" t="s">
        <v>836</v>
      </c>
      <c r="C117" s="60" t="s">
        <v>837</v>
      </c>
      <c r="D117" s="61">
        <v>1</v>
      </c>
      <c r="E117" s="62">
        <v>10</v>
      </c>
      <c r="F117" s="61">
        <v>50</v>
      </c>
      <c r="G117" s="62">
        <v>79</v>
      </c>
      <c r="H117" s="62">
        <v>1.4</v>
      </c>
      <c r="I117" s="62">
        <v>1.4</v>
      </c>
      <c r="J117" s="62">
        <v>1.3</v>
      </c>
      <c r="K117" s="62">
        <v>1.3</v>
      </c>
      <c r="L117" s="62">
        <v>1.2</v>
      </c>
      <c r="M117" s="62">
        <v>1.1000000000000001</v>
      </c>
      <c r="N117" s="62">
        <v>1</v>
      </c>
      <c r="O117" s="62">
        <v>0.9</v>
      </c>
      <c r="P117" s="62">
        <v>0</v>
      </c>
      <c r="Q117" s="60" t="s">
        <v>838</v>
      </c>
    </row>
    <row r="118" spans="1:17" ht="15">
      <c r="A118" s="59" t="s">
        <v>839</v>
      </c>
      <c r="B118" s="60" t="s">
        <v>840</v>
      </c>
      <c r="C118" s="60" t="s">
        <v>841</v>
      </c>
      <c r="D118" s="61">
        <v>1</v>
      </c>
      <c r="E118" s="62">
        <v>10</v>
      </c>
      <c r="F118" s="61">
        <v>50</v>
      </c>
      <c r="G118" s="62">
        <v>98</v>
      </c>
      <c r="H118" s="62">
        <v>1.8</v>
      </c>
      <c r="I118" s="62">
        <v>1.8</v>
      </c>
      <c r="J118" s="62">
        <v>1.6</v>
      </c>
      <c r="K118" s="62">
        <v>1.6</v>
      </c>
      <c r="L118" s="62">
        <v>1.5</v>
      </c>
      <c r="M118" s="62">
        <v>1.4</v>
      </c>
      <c r="N118" s="62">
        <v>1.3</v>
      </c>
      <c r="O118" s="62">
        <v>1.2</v>
      </c>
      <c r="P118" s="62">
        <v>0</v>
      </c>
      <c r="Q118" s="60" t="s">
        <v>842</v>
      </c>
    </row>
    <row r="119" spans="1:17" ht="15">
      <c r="A119" s="59" t="s">
        <v>843</v>
      </c>
      <c r="B119" s="60" t="s">
        <v>844</v>
      </c>
      <c r="C119" s="60" t="s">
        <v>845</v>
      </c>
      <c r="D119" s="61">
        <v>1</v>
      </c>
      <c r="E119" s="62">
        <v>10</v>
      </c>
      <c r="F119" s="61">
        <v>50</v>
      </c>
      <c r="G119" s="62">
        <v>84</v>
      </c>
      <c r="H119" s="62">
        <v>1.5</v>
      </c>
      <c r="I119" s="62">
        <v>1.5</v>
      </c>
      <c r="J119" s="62">
        <v>1.3</v>
      </c>
      <c r="K119" s="62">
        <v>1.3</v>
      </c>
      <c r="L119" s="62">
        <v>1.2</v>
      </c>
      <c r="M119" s="62">
        <v>1.1000000000000001</v>
      </c>
      <c r="N119" s="62">
        <v>1</v>
      </c>
      <c r="O119" s="62">
        <v>0.9</v>
      </c>
      <c r="P119" s="62">
        <v>0</v>
      </c>
      <c r="Q119" s="60" t="s">
        <v>846</v>
      </c>
    </row>
    <row r="120" spans="1:17" ht="15">
      <c r="A120" s="59" t="s">
        <v>847</v>
      </c>
      <c r="B120" s="60" t="s">
        <v>848</v>
      </c>
      <c r="C120" s="60" t="s">
        <v>849</v>
      </c>
      <c r="D120" s="61">
        <v>1</v>
      </c>
      <c r="E120" s="62">
        <v>10</v>
      </c>
      <c r="F120" s="61">
        <v>50</v>
      </c>
      <c r="G120" s="62">
        <v>84</v>
      </c>
      <c r="H120" s="62">
        <v>1.5</v>
      </c>
      <c r="I120" s="62">
        <v>1.5</v>
      </c>
      <c r="J120" s="62">
        <v>1.3</v>
      </c>
      <c r="K120" s="62">
        <v>1.3</v>
      </c>
      <c r="L120" s="62">
        <v>1.2</v>
      </c>
      <c r="M120" s="62">
        <v>1.1000000000000001</v>
      </c>
      <c r="N120" s="62">
        <v>1.05</v>
      </c>
      <c r="O120" s="62">
        <v>1</v>
      </c>
      <c r="P120" s="62">
        <v>0</v>
      </c>
      <c r="Q120" s="60" t="s">
        <v>850</v>
      </c>
    </row>
    <row r="121" spans="1:17" ht="15">
      <c r="A121" s="59" t="s">
        <v>851</v>
      </c>
      <c r="B121" s="60" t="s">
        <v>852</v>
      </c>
      <c r="C121" s="60" t="s">
        <v>853</v>
      </c>
      <c r="D121" s="61">
        <v>1</v>
      </c>
      <c r="E121" s="62">
        <v>10</v>
      </c>
      <c r="F121" s="61">
        <v>50</v>
      </c>
      <c r="G121" s="62">
        <v>84</v>
      </c>
      <c r="H121" s="62">
        <v>1.5</v>
      </c>
      <c r="I121" s="62">
        <v>1.5</v>
      </c>
      <c r="J121" s="62">
        <v>1.3</v>
      </c>
      <c r="K121" s="62">
        <v>1.3</v>
      </c>
      <c r="L121" s="62">
        <v>1.2</v>
      </c>
      <c r="M121" s="62">
        <v>1.1000000000000001</v>
      </c>
      <c r="N121" s="62">
        <v>1.05</v>
      </c>
      <c r="O121" s="62">
        <v>1</v>
      </c>
      <c r="P121" s="62">
        <v>0</v>
      </c>
      <c r="Q121" s="60" t="s">
        <v>854</v>
      </c>
    </row>
    <row r="122" spans="1:17" ht="15">
      <c r="A122" s="59" t="s">
        <v>855</v>
      </c>
      <c r="B122" s="60" t="s">
        <v>856</v>
      </c>
      <c r="C122" s="60" t="s">
        <v>857</v>
      </c>
      <c r="D122" s="61">
        <v>1</v>
      </c>
      <c r="E122" s="62">
        <v>10</v>
      </c>
      <c r="F122" s="61">
        <v>50</v>
      </c>
      <c r="G122" s="62">
        <v>113</v>
      </c>
      <c r="H122" s="62">
        <v>2.1</v>
      </c>
      <c r="I122" s="62">
        <v>2.1</v>
      </c>
      <c r="J122" s="62">
        <v>2</v>
      </c>
      <c r="K122" s="62">
        <v>2</v>
      </c>
      <c r="L122" s="62">
        <v>1.9</v>
      </c>
      <c r="M122" s="62">
        <v>1.8</v>
      </c>
      <c r="N122" s="62">
        <v>1.7</v>
      </c>
      <c r="O122" s="62">
        <v>1.6</v>
      </c>
      <c r="P122" s="62">
        <v>0</v>
      </c>
      <c r="Q122" s="60" t="s">
        <v>858</v>
      </c>
    </row>
    <row r="123" spans="1:17" ht="15">
      <c r="A123" s="59" t="s">
        <v>859</v>
      </c>
      <c r="B123" s="60" t="s">
        <v>860</v>
      </c>
      <c r="C123" s="60" t="s">
        <v>861</v>
      </c>
      <c r="D123" s="61">
        <v>1</v>
      </c>
      <c r="E123" s="62">
        <v>10</v>
      </c>
      <c r="F123" s="61">
        <v>50</v>
      </c>
      <c r="G123" s="62">
        <v>118</v>
      </c>
      <c r="H123" s="62">
        <v>2.2000000000000002</v>
      </c>
      <c r="I123" s="62">
        <v>2.2000000000000002</v>
      </c>
      <c r="J123" s="62">
        <v>2.1</v>
      </c>
      <c r="K123" s="62">
        <v>2.1</v>
      </c>
      <c r="L123" s="62">
        <v>2</v>
      </c>
      <c r="M123" s="62">
        <v>1.9</v>
      </c>
      <c r="N123" s="62">
        <v>1.8</v>
      </c>
      <c r="O123" s="62">
        <v>1.7</v>
      </c>
      <c r="P123" s="62">
        <v>0</v>
      </c>
      <c r="Q123" s="60" t="s">
        <v>862</v>
      </c>
    </row>
    <row r="124" spans="1:17" ht="15">
      <c r="A124" s="59" t="s">
        <v>863</v>
      </c>
      <c r="B124" s="60"/>
      <c r="C124" s="60" t="s">
        <v>864</v>
      </c>
      <c r="D124" s="61">
        <v>1</v>
      </c>
      <c r="E124" s="62">
        <v>10</v>
      </c>
      <c r="F124" s="61">
        <v>50</v>
      </c>
      <c r="G124" s="62">
        <v>133</v>
      </c>
      <c r="H124" s="62">
        <v>2.5</v>
      </c>
      <c r="I124" s="62">
        <v>2.5</v>
      </c>
      <c r="J124" s="62">
        <v>2.2999999999999998</v>
      </c>
      <c r="K124" s="62">
        <v>2.2999999999999998</v>
      </c>
      <c r="L124" s="62">
        <v>2.2000000000000002</v>
      </c>
      <c r="M124" s="62">
        <v>2.1</v>
      </c>
      <c r="N124" s="62">
        <v>2</v>
      </c>
      <c r="O124" s="62">
        <v>2</v>
      </c>
      <c r="P124" s="62">
        <v>0</v>
      </c>
      <c r="Q124" s="60" t="s">
        <v>865</v>
      </c>
    </row>
    <row r="125" spans="1:17" ht="15">
      <c r="A125" s="59" t="s">
        <v>866</v>
      </c>
      <c r="B125" s="60" t="s">
        <v>867</v>
      </c>
      <c r="C125" s="60" t="s">
        <v>868</v>
      </c>
      <c r="D125" s="61">
        <v>1</v>
      </c>
      <c r="E125" s="62">
        <v>10</v>
      </c>
      <c r="F125" s="61">
        <v>50</v>
      </c>
      <c r="G125" s="62">
        <v>133</v>
      </c>
      <c r="H125" s="62">
        <v>2.5</v>
      </c>
      <c r="I125" s="62">
        <v>2.5</v>
      </c>
      <c r="J125" s="62">
        <v>2.2999999999999998</v>
      </c>
      <c r="K125" s="62">
        <v>2.2999999999999998</v>
      </c>
      <c r="L125" s="62">
        <v>2.2000000000000002</v>
      </c>
      <c r="M125" s="62">
        <v>2.1</v>
      </c>
      <c r="N125" s="62">
        <v>2</v>
      </c>
      <c r="O125" s="62">
        <v>2</v>
      </c>
      <c r="P125" s="62">
        <v>0</v>
      </c>
      <c r="Q125" s="60" t="s">
        <v>869</v>
      </c>
    </row>
    <row r="126" spans="1:17" ht="15">
      <c r="A126" s="59" t="s">
        <v>870</v>
      </c>
      <c r="B126" s="60" t="s">
        <v>871</v>
      </c>
      <c r="C126" s="60" t="s">
        <v>872</v>
      </c>
      <c r="D126" s="61">
        <v>1</v>
      </c>
      <c r="E126" s="62">
        <v>10</v>
      </c>
      <c r="F126" s="61">
        <v>50</v>
      </c>
      <c r="G126" s="62">
        <v>81</v>
      </c>
      <c r="H126" s="62">
        <v>1.45</v>
      </c>
      <c r="I126" s="62">
        <v>1.45</v>
      </c>
      <c r="J126" s="62">
        <v>1.3</v>
      </c>
      <c r="K126" s="62">
        <v>1.3</v>
      </c>
      <c r="L126" s="62">
        <v>1.2</v>
      </c>
      <c r="M126" s="62">
        <v>1.1000000000000001</v>
      </c>
      <c r="N126" s="62">
        <v>1</v>
      </c>
      <c r="O126" s="62">
        <v>0.9</v>
      </c>
      <c r="P126" s="62">
        <v>0</v>
      </c>
      <c r="Q126" s="60" t="s">
        <v>873</v>
      </c>
    </row>
    <row r="127" spans="1:17" ht="15">
      <c r="A127" s="59" t="s">
        <v>874</v>
      </c>
      <c r="B127" s="60" t="s">
        <v>875</v>
      </c>
      <c r="C127" s="60" t="s">
        <v>876</v>
      </c>
      <c r="D127" s="61">
        <v>1</v>
      </c>
      <c r="E127" s="62">
        <v>10</v>
      </c>
      <c r="F127" s="61">
        <v>50</v>
      </c>
      <c r="G127" s="62">
        <v>86</v>
      </c>
      <c r="H127" s="62">
        <v>1.55</v>
      </c>
      <c r="I127" s="62">
        <v>1.55</v>
      </c>
      <c r="J127" s="62">
        <v>1.35</v>
      </c>
      <c r="K127" s="62">
        <v>1.35</v>
      </c>
      <c r="L127" s="62">
        <v>1.25</v>
      </c>
      <c r="M127" s="62">
        <v>1.1499999999999999</v>
      </c>
      <c r="N127" s="62">
        <v>1.1000000000000001</v>
      </c>
      <c r="O127" s="62">
        <v>1</v>
      </c>
      <c r="P127" s="62">
        <v>0</v>
      </c>
      <c r="Q127" s="60" t="s">
        <v>877</v>
      </c>
    </row>
    <row r="128" spans="1:17" ht="15">
      <c r="A128" s="59" t="s">
        <v>878</v>
      </c>
      <c r="B128" s="60"/>
      <c r="C128" s="60" t="s">
        <v>879</v>
      </c>
      <c r="D128" s="61">
        <v>1</v>
      </c>
      <c r="E128" s="62">
        <v>10</v>
      </c>
      <c r="F128" s="61">
        <v>50</v>
      </c>
      <c r="G128" s="62">
        <v>83</v>
      </c>
      <c r="H128" s="62">
        <v>1.48</v>
      </c>
      <c r="I128" s="62">
        <v>1.48</v>
      </c>
      <c r="J128" s="62">
        <v>1.35</v>
      </c>
      <c r="K128" s="62">
        <v>1.35</v>
      </c>
      <c r="L128" s="62">
        <v>1.25</v>
      </c>
      <c r="M128" s="62">
        <v>1.1499999999999999</v>
      </c>
      <c r="N128" s="62">
        <v>1.05</v>
      </c>
      <c r="O128" s="62">
        <v>0.95</v>
      </c>
      <c r="P128" s="62">
        <v>0</v>
      </c>
      <c r="Q128" s="60" t="s">
        <v>880</v>
      </c>
    </row>
    <row r="129" spans="1:17" ht="15">
      <c r="A129" s="59" t="s">
        <v>881</v>
      </c>
      <c r="B129" s="60"/>
      <c r="C129" s="60" t="s">
        <v>882</v>
      </c>
      <c r="D129" s="61">
        <v>1</v>
      </c>
      <c r="E129" s="62">
        <v>10</v>
      </c>
      <c r="F129" s="61">
        <v>50</v>
      </c>
      <c r="G129" s="62">
        <v>79</v>
      </c>
      <c r="H129" s="62">
        <v>1.4</v>
      </c>
      <c r="I129" s="62">
        <v>1.4</v>
      </c>
      <c r="J129" s="62">
        <v>1.3</v>
      </c>
      <c r="K129" s="62">
        <v>1.3</v>
      </c>
      <c r="L129" s="62">
        <v>1.2</v>
      </c>
      <c r="M129" s="62">
        <v>1.1000000000000001</v>
      </c>
      <c r="N129" s="62">
        <v>1</v>
      </c>
      <c r="O129" s="62">
        <v>0.9</v>
      </c>
      <c r="P129" s="62">
        <v>0</v>
      </c>
      <c r="Q129" s="60" t="s">
        <v>883</v>
      </c>
    </row>
    <row r="130" spans="1:17" ht="15">
      <c r="A130" s="59" t="s">
        <v>884</v>
      </c>
      <c r="B130" s="60" t="s">
        <v>885</v>
      </c>
      <c r="C130" s="60" t="s">
        <v>886</v>
      </c>
      <c r="D130" s="61">
        <v>1</v>
      </c>
      <c r="E130" s="62">
        <v>10</v>
      </c>
      <c r="F130" s="61">
        <v>50</v>
      </c>
      <c r="G130" s="62">
        <v>79</v>
      </c>
      <c r="H130" s="62">
        <v>1.4</v>
      </c>
      <c r="I130" s="62">
        <v>1.4</v>
      </c>
      <c r="J130" s="62">
        <v>1.3</v>
      </c>
      <c r="K130" s="62">
        <v>1.3</v>
      </c>
      <c r="L130" s="62">
        <v>1.2</v>
      </c>
      <c r="M130" s="62">
        <v>1.1000000000000001</v>
      </c>
      <c r="N130" s="62">
        <v>1</v>
      </c>
      <c r="O130" s="62">
        <v>0.9</v>
      </c>
      <c r="P130" s="62">
        <v>0</v>
      </c>
      <c r="Q130" s="60" t="s">
        <v>887</v>
      </c>
    </row>
    <row r="131" spans="1:17" ht="15">
      <c r="A131" s="59" t="s">
        <v>888</v>
      </c>
      <c r="B131" s="60" t="s">
        <v>889</v>
      </c>
      <c r="C131" s="60" t="s">
        <v>890</v>
      </c>
      <c r="D131" s="61">
        <v>1</v>
      </c>
      <c r="E131" s="62">
        <v>10</v>
      </c>
      <c r="F131" s="61">
        <v>50</v>
      </c>
      <c r="G131" s="62">
        <v>79</v>
      </c>
      <c r="H131" s="62">
        <v>1.4</v>
      </c>
      <c r="I131" s="62">
        <v>1.4</v>
      </c>
      <c r="J131" s="62">
        <v>1.3</v>
      </c>
      <c r="K131" s="62">
        <v>1.3</v>
      </c>
      <c r="L131" s="62">
        <v>1.2</v>
      </c>
      <c r="M131" s="62">
        <v>1.1000000000000001</v>
      </c>
      <c r="N131" s="62">
        <v>1</v>
      </c>
      <c r="O131" s="62">
        <v>0.9</v>
      </c>
      <c r="P131" s="62">
        <v>0</v>
      </c>
      <c r="Q131" s="60" t="s">
        <v>891</v>
      </c>
    </row>
    <row r="132" spans="1:17" ht="15">
      <c r="A132" s="59" t="s">
        <v>892</v>
      </c>
      <c r="B132" s="60" t="s">
        <v>893</v>
      </c>
      <c r="C132" s="60" t="s">
        <v>894</v>
      </c>
      <c r="D132" s="61">
        <v>1</v>
      </c>
      <c r="E132" s="62">
        <v>10</v>
      </c>
      <c r="F132" s="61">
        <v>50</v>
      </c>
      <c r="G132" s="62">
        <v>79</v>
      </c>
      <c r="H132" s="62">
        <v>1.4</v>
      </c>
      <c r="I132" s="62">
        <v>1.4</v>
      </c>
      <c r="J132" s="62">
        <v>1.3</v>
      </c>
      <c r="K132" s="62">
        <v>1.3</v>
      </c>
      <c r="L132" s="62">
        <v>1.2</v>
      </c>
      <c r="M132" s="62">
        <v>1.1000000000000001</v>
      </c>
      <c r="N132" s="62">
        <v>1</v>
      </c>
      <c r="O132" s="62">
        <v>0.9</v>
      </c>
      <c r="P132" s="62">
        <v>0</v>
      </c>
      <c r="Q132" s="60" t="s">
        <v>895</v>
      </c>
    </row>
    <row r="133" spans="1:17" ht="15">
      <c r="A133" s="59" t="s">
        <v>896</v>
      </c>
      <c r="B133" s="60"/>
      <c r="C133" s="60" t="s">
        <v>897</v>
      </c>
      <c r="D133" s="61">
        <v>1</v>
      </c>
      <c r="E133" s="62">
        <v>10</v>
      </c>
      <c r="F133" s="61">
        <v>50</v>
      </c>
      <c r="G133" s="62">
        <v>86</v>
      </c>
      <c r="H133" s="62">
        <v>1.55</v>
      </c>
      <c r="I133" s="62">
        <v>1.55</v>
      </c>
      <c r="J133" s="62">
        <v>1.4</v>
      </c>
      <c r="K133" s="62">
        <v>1.4</v>
      </c>
      <c r="L133" s="62">
        <v>1.3</v>
      </c>
      <c r="M133" s="62">
        <v>1.2</v>
      </c>
      <c r="N133" s="62">
        <v>1.1000000000000001</v>
      </c>
      <c r="O133" s="62">
        <v>1</v>
      </c>
      <c r="P133" s="62">
        <v>0</v>
      </c>
      <c r="Q133" s="60" t="s">
        <v>898</v>
      </c>
    </row>
  </sheetData>
  <autoFilter ref="A3:Q133" xr:uid="{00000000-0009-0000-0000-000006000000}"/>
  <mergeCells count="1">
    <mergeCell ref="A1:Q1"/>
  </mergeCells>
  <phoneticPr fontId="15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4101-FDE1-4F13-83E3-6B3E768CE0E9}">
  <sheetPr>
    <outlinePr summaryBelow="0" summaryRight="0"/>
  </sheetPr>
  <dimension ref="A1:J36"/>
  <sheetViews>
    <sheetView showGridLines="0" workbookViewId="0">
      <selection sqref="A1:D1"/>
    </sheetView>
  </sheetViews>
  <sheetFormatPr defaultColWidth="8" defaultRowHeight="13.8"/>
  <cols>
    <col min="1" max="1" width="24" customWidth="1"/>
    <col min="2" max="2" width="18" customWidth="1"/>
  </cols>
  <sheetData>
    <row r="1" spans="1:4" ht="17.399999999999999">
      <c r="A1" s="87" t="s">
        <v>899</v>
      </c>
      <c r="B1" s="87"/>
      <c r="C1" s="87"/>
      <c r="D1" s="87"/>
    </row>
    <row r="3" spans="1:4" ht="15.6">
      <c r="A3" s="88" t="s">
        <v>900</v>
      </c>
      <c r="B3" s="88"/>
      <c r="C3" s="88"/>
      <c r="D3" s="88"/>
    </row>
    <row r="4" spans="1:4" ht="15">
      <c r="A4" s="63" t="s">
        <v>901</v>
      </c>
      <c r="B4" s="64">
        <f>报价汇总!B21</f>
        <v>0</v>
      </c>
    </row>
    <row r="5" spans="1:4" ht="15">
      <c r="A5" s="63" t="s">
        <v>902</v>
      </c>
      <c r="B5" s="64">
        <f>报价汇总!B22</f>
        <v>0</v>
      </c>
    </row>
    <row r="6" spans="1:4" ht="15">
      <c r="A6" s="63" t="s">
        <v>903</v>
      </c>
      <c r="B6" s="64">
        <f>报价汇总!B23</f>
        <v>0</v>
      </c>
    </row>
    <row r="7" spans="1:4" ht="15">
      <c r="A7" s="63" t="s">
        <v>904</v>
      </c>
      <c r="B7" s="65" t="str">
        <f>IF(报价汇总!B16="","",报价汇总!B16+包装计算!$B$39)</f>
        <v/>
      </c>
    </row>
    <row r="8" spans="1:4" ht="15">
      <c r="A8" s="63" t="s">
        <v>905</v>
      </c>
      <c r="B8" s="66">
        <f>包装计算!$B$15</f>
        <v>16</v>
      </c>
    </row>
    <row r="9" spans="1:4" ht="15">
      <c r="A9" s="63" t="s">
        <v>906</v>
      </c>
      <c r="B9" s="64">
        <f>报价汇总!B17</f>
        <v>0</v>
      </c>
    </row>
    <row r="10" spans="1:4" ht="15">
      <c r="A10" s="63" t="s">
        <v>907</v>
      </c>
      <c r="B10" s="67" t="str">
        <f>IF(OR(B6="",B9="",B9=0),"",B6/B9)</f>
        <v/>
      </c>
    </row>
    <row r="11" spans="1:4" ht="15">
      <c r="A11" s="63" t="s">
        <v>908</v>
      </c>
      <c r="B11" s="64" t="str">
        <f>IF(OR(B4="",B5=""),"",B4&amp;"|"&amp;B5)</f>
        <v>0|0</v>
      </c>
    </row>
    <row r="12" spans="1:4" ht="15">
      <c r="A12" s="63" t="s">
        <v>909</v>
      </c>
      <c r="B12" s="66" t="str">
        <f>IF(B11="","",IFERROR(MATCH(B11,跨越费率!$Q$4:$Q$300,0),""))</f>
        <v/>
      </c>
    </row>
    <row r="14" spans="1:4" ht="15.6">
      <c r="A14" s="88" t="s">
        <v>910</v>
      </c>
      <c r="B14" s="88"/>
      <c r="C14" s="88"/>
      <c r="D14" s="88"/>
    </row>
    <row r="15" spans="1:4" ht="15">
      <c r="A15" s="63" t="s">
        <v>911</v>
      </c>
      <c r="B15" s="68" t="str">
        <f>IF(OR(B7="",B6=""),"",B7*B6)</f>
        <v/>
      </c>
    </row>
    <row r="16" spans="1:4" ht="15">
      <c r="A16" s="63" t="s">
        <v>912</v>
      </c>
      <c r="B16" s="68" t="str">
        <f>IF(OR(B8="",B10=""),"",B8*B10/参数!$B$36)</f>
        <v/>
      </c>
    </row>
    <row r="17" spans="1:10" ht="15">
      <c r="A17" s="63" t="s">
        <v>913</v>
      </c>
      <c r="B17" s="68" t="str">
        <f>IF(AND(ISNUMBER(B15),ISNUMBER(B16)),MAX(B15,B16),"")</f>
        <v/>
      </c>
    </row>
    <row r="18" spans="1:10" ht="15">
      <c r="A18" s="63" t="s">
        <v>914</v>
      </c>
      <c r="B18" s="68" t="str">
        <f>IF(B12="","",INDEX(跨越费率!$F$4:$F$300,B12))</f>
        <v/>
      </c>
    </row>
    <row r="19" spans="1:10" ht="15">
      <c r="A19" s="63" t="s">
        <v>915</v>
      </c>
      <c r="B19" s="68" t="str">
        <f>IF(OR(B17="",B18=""),"",MAX(B17,B18))</f>
        <v/>
      </c>
    </row>
    <row r="21" spans="1:10" ht="15.6">
      <c r="A21" s="88" t="s">
        <v>916</v>
      </c>
      <c r="B21" s="88"/>
      <c r="C21" s="88"/>
      <c r="D21" s="88"/>
    </row>
    <row r="22" spans="1:10" ht="15">
      <c r="A22" s="63" t="s">
        <v>917</v>
      </c>
      <c r="B22" s="66" t="str">
        <f>IF(B12="","",INDEX(跨越费率!$D$4:$D$300,B12))</f>
        <v/>
      </c>
    </row>
    <row r="23" spans="1:10" ht="15">
      <c r="A23" s="63" t="s">
        <v>918</v>
      </c>
      <c r="B23" s="68" t="str">
        <f>IF(B12="","",INDEX(跨越费率!$E$4:$E$300,B12))</f>
        <v/>
      </c>
    </row>
    <row r="24" spans="1:10" ht="15">
      <c r="A24" s="63" t="s">
        <v>919</v>
      </c>
      <c r="B24" s="66" t="str">
        <f>IF(OR(B19="",B4=""),"",IF(B4="次日达",MATCH(B19,$B$26:$J$26,1),MATCH(B19,$B$27:$J$27,1)))</f>
        <v/>
      </c>
    </row>
    <row r="25" spans="1:10" ht="15">
      <c r="A25" s="63" t="s">
        <v>920</v>
      </c>
      <c r="B25" s="68" t="str">
        <f>IF(OR(B12="",B24=""),"",INDEX(跨越费率!$H$4:$P$300,B12,B24))</f>
        <v/>
      </c>
    </row>
    <row r="26" spans="1:10" ht="15">
      <c r="A26" s="69" t="s">
        <v>921</v>
      </c>
      <c r="B26" s="70">
        <v>1</v>
      </c>
      <c r="C26" s="70">
        <v>10</v>
      </c>
      <c r="D26" s="70">
        <v>30</v>
      </c>
      <c r="E26" s="70">
        <v>50</v>
      </c>
      <c r="F26" s="70">
        <v>100</v>
      </c>
      <c r="G26" s="70">
        <v>300</v>
      </c>
      <c r="H26" s="70">
        <v>500</v>
      </c>
      <c r="I26" s="70">
        <v>1000</v>
      </c>
      <c r="J26" s="70">
        <v>2000</v>
      </c>
    </row>
    <row r="27" spans="1:10" ht="15">
      <c r="A27" s="69" t="s">
        <v>922</v>
      </c>
      <c r="B27" s="70">
        <v>1</v>
      </c>
      <c r="C27" s="70">
        <v>50</v>
      </c>
      <c r="D27" s="70">
        <v>100</v>
      </c>
      <c r="E27" s="70">
        <v>200</v>
      </c>
      <c r="F27" s="70">
        <v>300</v>
      </c>
      <c r="G27" s="70">
        <v>500</v>
      </c>
      <c r="H27" s="70">
        <v>1000</v>
      </c>
      <c r="I27" s="70">
        <v>2000</v>
      </c>
      <c r="J27" s="70">
        <v>0</v>
      </c>
    </row>
    <row r="28" spans="1:10" ht="15">
      <c r="A28" s="63" t="s">
        <v>923</v>
      </c>
      <c r="B28" s="68" t="str">
        <f>IF(B12="","",INDEX(跨越费率!$G$4:$G$300,B12))</f>
        <v/>
      </c>
    </row>
    <row r="29" spans="1:10" ht="15">
      <c r="A29" s="63" t="s">
        <v>924</v>
      </c>
      <c r="B29" s="68" t="str">
        <f>IF(OR(B23="",B19="",B25="",B28=""),"",MAX(B23+(B19-B22)*B25,B28))</f>
        <v/>
      </c>
    </row>
    <row r="30" spans="1:10" ht="15">
      <c r="A30" s="63" t="s">
        <v>925</v>
      </c>
      <c r="B30" s="66">
        <f>报价汇总!B24</f>
        <v>0</v>
      </c>
    </row>
    <row r="31" spans="1:10" ht="15">
      <c r="A31" s="63" t="s">
        <v>926</v>
      </c>
      <c r="B31" s="68">
        <f>IF(参数!$B$39="是",IF(NOT(ISNUMBER(B30)),"",MAX(参数!$B$37*B30,参数!$B$38)),0)</f>
        <v>0</v>
      </c>
    </row>
    <row r="32" spans="1:10" ht="15">
      <c r="A32" s="63" t="s">
        <v>927</v>
      </c>
      <c r="B32" s="68" t="str">
        <f>IF(OR(B29="",B31=""),"",B29+B31)</f>
        <v/>
      </c>
    </row>
    <row r="33" spans="1:2" ht="15">
      <c r="A33" s="63" t="s">
        <v>928</v>
      </c>
      <c r="B33" s="71" t="str">
        <f>IF(OR(B32="",B6="",B6=0),"",B32/B6)</f>
        <v/>
      </c>
    </row>
    <row r="35" spans="1:2" ht="15">
      <c r="A35" s="69" t="s">
        <v>929</v>
      </c>
    </row>
    <row r="36" spans="1:2" ht="15">
      <c r="A36" s="69" t="s">
        <v>930</v>
      </c>
    </row>
  </sheetData>
  <mergeCells count="4">
    <mergeCell ref="A1:D1"/>
    <mergeCell ref="A21:D21"/>
    <mergeCell ref="A3:D3"/>
    <mergeCell ref="A14:D14"/>
  </mergeCells>
  <phoneticPr fontId="1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报价汇总</vt:lpstr>
      <vt:lpstr>物料明细</vt:lpstr>
      <vt:lpstr>加工及工装</vt:lpstr>
      <vt:lpstr>参数</vt:lpstr>
      <vt:lpstr>包装计算</vt:lpstr>
      <vt:lpstr>跨越费率</vt:lpstr>
      <vt:lpstr>运费计算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HAIER</cp:lastModifiedBy>
  <dcterms:modified xsi:type="dcterms:W3CDTF">2026-10-12T07:12:46Z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{"Label":"1","ContentProducer":"001191110102MACQD9K64010000","ProduceID":"7695675034551815451","ReservedCode1":"","ContentPropagator":"","PropagateID":"","ReservedCode2":""}</vt:lpwstr>
  </property>
</Properties>
</file>