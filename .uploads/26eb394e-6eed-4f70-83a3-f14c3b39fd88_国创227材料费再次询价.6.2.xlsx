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1项目清单\B芯片项目\澳柯玛227\报价\"/>
    </mc:Choice>
  </mc:AlternateContent>
  <xr:revisionPtr revIDLastSave="0" documentId="13_ncr:1_{BAB8DF13-3509-4C76-B013-F322EDDB6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母件结构查询-汇总式_汇总结果" sheetId="1" r:id="rId1"/>
  </sheets>
  <definedNames>
    <definedName name="_xlnm._FilterDatabase" localSheetId="0" hidden="1">'母件结构查询-汇总式_汇总结果'!$A$1:$J$112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13" i="1" l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<sst xmlns="http://schemas.openxmlformats.org/spreadsheetml/2006/main" count="900" uniqueCount="160">
  <si>
    <t>料品形态属性</t>
  </si>
  <si>
    <t>料品</t>
  </si>
  <si>
    <t>品名</t>
  </si>
  <si>
    <t>版本</t>
  </si>
  <si>
    <t>数量</t>
  </si>
  <si>
    <t>单位</t>
  </si>
  <si>
    <t>专项控制</t>
  </si>
  <si>
    <t>项目</t>
  </si>
  <si>
    <t>规格</t>
  </si>
  <si>
    <t>供应地点</t>
  </si>
  <si>
    <t>最新含税单价</t>
  </si>
  <si>
    <t>金额</t>
  </si>
  <si>
    <t>采购件</t>
  </si>
  <si>
    <t>PCB</t>
  </si>
  <si>
    <t/>
  </si>
  <si>
    <t>件</t>
  </si>
  <si>
    <t>PCB-A01-国创227-GC-RFMIB009-V1.2-印制板-N-MARK1-0.85*0.180-1.6mm-FR-4-CTI≥600V，白油-丰利达</t>
  </si>
  <si>
    <t>SMT1线边仓</t>
  </si>
  <si>
    <t>开关、继电器</t>
  </si>
  <si>
    <t>SMD-轻触开关-TS-1045AD-A5B3-D2-CH4mm/6X6X6H-卧贴支架-250gf/Travel-0.25mm-铜盖-盐雾48H-日精电气</t>
  </si>
  <si>
    <t>芯片</t>
  </si>
  <si>
    <t>SMD-电源管理IC-CJ78M15-2L-500mA-TO252-长晶--T</t>
  </si>
  <si>
    <t>贴片电阻</t>
  </si>
  <si>
    <t>SMD-RS-0402-1KΩ±1%-T</t>
  </si>
  <si>
    <t>贴片电容</t>
  </si>
  <si>
    <t>SMD-C-0402-X7R-1nF±10%-50V-T</t>
  </si>
  <si>
    <t>SMD-C-0402-X5R-1uF±10%-25V-T</t>
  </si>
  <si>
    <t>SMD-C-X7R-0402-2.2nF-10%-50V-T</t>
  </si>
  <si>
    <t>SMD-RS-0402-3KΩ±1%-T</t>
  </si>
  <si>
    <t>SMD-RS-0402-4.7KΩ±1%-T</t>
  </si>
  <si>
    <t>SMD-RS-0402-5.1KΩ±1%-T</t>
  </si>
  <si>
    <t>SMD-RS-0402-1/16W-5.6KΩ±1%-T</t>
  </si>
  <si>
    <t>SMD-RS-0402-6.8kΩ-1%-T</t>
  </si>
  <si>
    <t>SMD-RS-0402-10KΩ±1%-T</t>
  </si>
  <si>
    <t>SMD-RS-0402-15KΩ±1%-T</t>
  </si>
  <si>
    <t>SMD-RS-0402-20KΩ±1%-T</t>
  </si>
  <si>
    <t>SMD-RS-0402-47KΩ±1%-T</t>
  </si>
  <si>
    <t>SMD-片式瓷介电容-0402-X7R-100nF-50V±10%-T</t>
  </si>
  <si>
    <t>SMD-C-X7R-0402-100pF-5%-50V-T</t>
  </si>
  <si>
    <t>SMD-RS-0402-110KΩ±1%-T</t>
  </si>
  <si>
    <t>替1100101960</t>
  </si>
  <si>
    <t>SMD-RS-0603-1KΩ±1%-T</t>
  </si>
  <si>
    <t>SMD-片式瓷介电容-0603-X7R-2.2nF±10%-50V-T</t>
  </si>
  <si>
    <t>SMD-RS-0603-10KΩ±1%-T-海龙川110.2100410R0</t>
  </si>
  <si>
    <t>SMD-片式瓷介电容-0603-X5R-10uF±10%-10V-T</t>
  </si>
  <si>
    <t>SMD-厚膜电阻-0603-10Ω±1%-1/10W,100ppm-T</t>
  </si>
  <si>
    <t>替1100101500</t>
  </si>
  <si>
    <t>SMD-RS-0603-100Ω±1%-T</t>
  </si>
  <si>
    <t>SMD-RS-0805-4.7KΩ±1%-T</t>
  </si>
  <si>
    <t>SMD-C-0805-X5R-10uF-10%-35V-T</t>
  </si>
  <si>
    <t>SMD-RS-0805-20Ω±1%-T</t>
  </si>
  <si>
    <t>SMD-片式瓷介电容-0805-X7R-220pF-200V±10%-T</t>
  </si>
  <si>
    <t>SMD-RS-0805-220Ω±1%-T</t>
  </si>
  <si>
    <t>SMD-RS-0805-680Ω±1%-T</t>
  </si>
  <si>
    <t>SMD-RS-1206-1KΩ±1%-T</t>
  </si>
  <si>
    <t>SMD-RS-1206-1.4Ω±1%-T</t>
  </si>
  <si>
    <t>SMD-RS-1206-5.1Ω±1%-T</t>
  </si>
  <si>
    <t>SMD-C-1206-X7R-10uF±10%-50V-T</t>
  </si>
  <si>
    <t>SMD-RS-1206-10Ω±1%-T</t>
  </si>
  <si>
    <t>SMD-RS-1206-30Ω-1%-T</t>
  </si>
  <si>
    <t>SMD-RS-1206-300KΩ±1%-T</t>
  </si>
  <si>
    <t>SMD-RS-1206-300Ω-1%-T</t>
  </si>
  <si>
    <t>SMD-RS-1206-390Ω±1%-T</t>
  </si>
  <si>
    <t>SMD-RS-1206-470KΩ±1%-T</t>
  </si>
  <si>
    <t>SMD-片式采样电阻-2512-100mΩ-1%-2W-国创客供-T</t>
  </si>
  <si>
    <t>贴片晶体管</t>
  </si>
  <si>
    <t>SMD-场效应管（MOS管）P沟道-CJ3401A-30V-4.1A-1.3W-SOT-23-长晶-T</t>
  </si>
  <si>
    <t>SMD-二极管-SOT-23-BAV99-225mW-70V-VF1.25V-长晶-T</t>
  </si>
  <si>
    <t>SMD-SMD稳压二极管-BZT52C18_WL_18V/0.5W SOD-123_塑封 -55~150℃-长晶-T</t>
  </si>
  <si>
    <t>SMD-单向ESD二极管-SOD-323-UNI-L1.7-W1.3-LS2.5-CESD5V0D3-5V-15A-350W-350pF-MDD-T</t>
  </si>
  <si>
    <t>SMD-电源管理IC-SOT-23-CJ431(RKA)-长晶-T</t>
  </si>
  <si>
    <t>SMD-场效应管-P沟道-CJ2309A-60V/2A/1.25W-SOT-23-长晶-T</t>
  </si>
  <si>
    <t>SMD-场效应管-SOT-23-CJ3400-N沟道-30V-5.8A-W-长晶-国创-T</t>
  </si>
  <si>
    <t>SMD-电源管理IC-CJT1117B-3.3-SOT-223-长晶-T</t>
  </si>
  <si>
    <t>SMD-双向晶闸管-SOT-223-F0103-8W-800V/1A/0.5W-国创客供-T</t>
  </si>
  <si>
    <t>贴片电感</t>
  </si>
  <si>
    <t>SMD-功率电感-L5.0-W5.0-CR5040-15uH±20%-2.0A-美创-T</t>
  </si>
  <si>
    <t>SMD-IGBT管-TO-252-GCI06H65T5-650V-6A-国创客供-T</t>
  </si>
  <si>
    <t>SMD-主控IC-QFP-32-0.8-9*9-GD32C231K8T6-M23-48MHz-64kB-12kB-国创客供-T</t>
  </si>
  <si>
    <t>SMD-主控IC-QFP-32-0.8-9*9-GD32E230K8T6-M23/1.8V~3.6V/48MHz/64kB/8kB-国创-T</t>
  </si>
  <si>
    <t>SMD-LED-0603-0.6-蓝光-YY-CITABL-BIN:B6-B7-T-胜天光电</t>
  </si>
  <si>
    <t>SMD-发光二极管-0603-RED-T-永裕光电</t>
  </si>
  <si>
    <t>SMD-二极管-SMA(D0-214AC)-M7-长晶-T</t>
  </si>
  <si>
    <t>SMD-开关二极管-SOD-123-MMSD4148-400mW-100V-200mA-乐山无线电-T</t>
  </si>
  <si>
    <t>SMD-晶体管光耦-EL817C-VF1.2F-Vceo35V/Veco6V-5kV-亿光-T</t>
  </si>
  <si>
    <t>SMD-二极管-SMA(DO-214AC)-RS1M-1A-Vf1.3V-Vr1kV-长晶-T</t>
  </si>
  <si>
    <t>SMD-运放IC-SD76-T/11MHz/Vos4mV/SR8.5V/us//TSSOP8-P6-国创客供-T</t>
  </si>
  <si>
    <t>SMD-电源管理IC-SOT23-6-DCDC-SGM61220-28V-2A-国创客供-T</t>
  </si>
  <si>
    <t>SMD-栅极驱动IC-SOP-8-P6-SiLM2206CA-DG-T</t>
  </si>
  <si>
    <t>SMD-双向TVS二极管-SMAJ5.0CA-5V-DO-214AC/SMA-MDD-T</t>
  </si>
  <si>
    <t>SMD-肖特基二极管-SMA-SS120-920mV-1A-200V-MDD-T</t>
  </si>
  <si>
    <t>SMD-二极管-SMB(DO-214AA)-SS320B-3A/200V-风华-T</t>
  </si>
  <si>
    <t>SMD-三极管-SOT-23-SS8050-1.5A-NPN-T-长晶</t>
  </si>
  <si>
    <t>SMD-二极管-SMA-US1M-1A-长晶-T</t>
  </si>
  <si>
    <t>SMD-发光二极管-YY-2835W90XY-LTC-GK-A5/WHITE/8500K/0.5W/Vf2.7~3.3V/150mA-LED-SMD2835-L3.5-W2.8-永裕光电-T</t>
  </si>
  <si>
    <t>SMD-RS-0402-510KΩ-1%/62.5mW-T</t>
  </si>
  <si>
    <t>无铅锡膏(低银)</t>
  </si>
  <si>
    <t>千克</t>
  </si>
  <si>
    <t>无铅锡膏(低银)-BSD6204HF10A-KG</t>
  </si>
  <si>
    <t>虚拟</t>
  </si>
  <si>
    <t>国创3005002289-BCD-227WPHMDX-SMT</t>
  </si>
  <si>
    <t>DIP1线边仓</t>
  </si>
  <si>
    <t>接插件</t>
  </si>
  <si>
    <t>DIP-250插片-M-PAD-6.3-V3-3-250+D2.5-6.3mm/机插//AI-珠城</t>
  </si>
  <si>
    <t>插件电容</t>
  </si>
  <si>
    <t>DIP-薄膜电容-CBB21-100nF-630V-P10-13.5*8.5-编带-和大</t>
  </si>
  <si>
    <t>DIP-铝电解电容CD263-E-2.5-6.3-11-100uF-25V-105℃-2000h-编带-新峰-海龙川130.4810000R0</t>
  </si>
  <si>
    <t>DIP-铝电解电容CD263-E-5.0-8-1.1-220uF-25V-105℃-2000h-编带-新峰</t>
  </si>
  <si>
    <t>DIP-铝电解电容CD287-E-5.0-8-1.1-100uF-50V-105℃-2000h-编带-新峰</t>
  </si>
  <si>
    <t>DIP-铝电解电容CD287-E-5.0-13-1.1-470uF-50V-105℃-2000h-编带-新峰</t>
  </si>
  <si>
    <t>DIP-瓷介电容-CT7-Y1-P=10-T5.5-1.2-2.2nF-400V-M-AI-和大</t>
  </si>
  <si>
    <t>DIP-瓷介电容-CT81-7.5-T5.5-1.1-2.2nF-2kV-K-7.5AI-和大</t>
  </si>
  <si>
    <t>整流器</t>
  </si>
  <si>
    <t>DIP-桥式整流器-GBU10M-10A-1000V-国创</t>
  </si>
  <si>
    <t>DIP-薄膜电容-22-31*13-HCDB-6uF-10%-DC600V-MI-国创客供</t>
  </si>
  <si>
    <t>DIP-电磁继电器-HF32F-G/012-HS(310)-12V-10A-宏发</t>
  </si>
  <si>
    <t>开关</t>
  </si>
  <si>
    <t>DIP-轻触开关-KAN0611-5mm-250gf-12V/50mA-4.5*6.5-6.8*10-日精电气</t>
  </si>
  <si>
    <t>DIP-薄膜电容-MKP 338 2X2-330nF-10%-a.c275V-na-P10-h5-10-13.5*8.5-和大</t>
  </si>
  <si>
    <t>DIP-电源管理IC-DIP8-2.54*7.62-9.78*6.5-0.8-OB5104T-800V-20W-国创客供-昂宝</t>
  </si>
  <si>
    <t>插件电感</t>
  </si>
  <si>
    <t>DIP-插件电感-L-10.0*13.0-P=5-PK0810-680UH-1.1Ω-420mA-美创-MI</t>
  </si>
  <si>
    <t>DIP-杜邦针-P=2.5mm-A2541WV-4P-带帽-乔讯</t>
  </si>
  <si>
    <t>DIP-立式杜邦针/PZ/5P/带帽/CVT-CN-DP-5-防静电-乔讯</t>
  </si>
  <si>
    <t>光耦可控硅</t>
  </si>
  <si>
    <t>DIP-光耦可控硅-QX3021-CuH-DE-DIP6-400V/1A/330mW/-55~110℃-国创-群芯微</t>
  </si>
  <si>
    <t>DIP-立式插座-RESERVED-XA-4A-B04B-XASS-1-T-WHI-MI-珠城</t>
  </si>
  <si>
    <t>插件电阻</t>
  </si>
  <si>
    <t>DIP-氧化膜电阻-RY27-2W-100K-J-AI-翔胜</t>
  </si>
  <si>
    <t>滤波器、陷波器、整流器</t>
  </si>
  <si>
    <t>DIP-共模电感-M-LL-13*10-25*15-1.2-SQ19C-02F250VA/25mH@1kHz/2A/UEW 0.15*1.5/200mΩ/MI-美磁-</t>
  </si>
  <si>
    <t>DIP-压敏电阻-TVR14561-兴勤(国冶星ML系列、490、国创227，国创621带护套，海龙川530变频,226不需要)-海龙川124.1KD1400R0</t>
  </si>
  <si>
    <t>熔断器</t>
  </si>
  <si>
    <t>DIP-熔断器-L8.4-W4.0-P5.08-D0.6-SBT-T5A-250VAC-塑壳-MI-贝特</t>
  </si>
  <si>
    <t>变压器</t>
  </si>
  <si>
    <t>DIP-开关变压器-TMC-19AE-BX-12-EE19-5+5-1.1mH-MI-美磁</t>
  </si>
  <si>
    <t>DIP-立式插座-VH3-9A6(M2,4,6)-WHI-3.96mm-16~20AWG-珠城-海龙川174.2204981R0</t>
  </si>
  <si>
    <t>DIP-立式插座-VH-5A3-WHI-MI-FAF、珠城</t>
  </si>
  <si>
    <t>DIP-铝电解电容-WH-47uF-450V 105℃-2000h-7.5-16-1.2-新峰</t>
  </si>
  <si>
    <t>DIP-立式插座-XHD-5A-WHI-MI-珠城、FAF</t>
  </si>
  <si>
    <t>DIP-立式插座-XHD-8A-WHI-MI-珠城、FAF</t>
  </si>
  <si>
    <t>助焊剂</t>
  </si>
  <si>
    <t>升</t>
  </si>
  <si>
    <t>无铅免洗助焊剂-JS-808A -L</t>
  </si>
  <si>
    <t>无铅锡条</t>
  </si>
  <si>
    <t>无铅锡条-BSD809-B-KG</t>
  </si>
  <si>
    <t>三防漆</t>
  </si>
  <si>
    <t>剑鑫 三防漆-M58C-1-L</t>
  </si>
  <si>
    <t>涂覆1线边仓</t>
  </si>
  <si>
    <t>RTV硅胶</t>
  </si>
  <si>
    <t>RTV硅胶-透明-半流动-L</t>
  </si>
  <si>
    <t>RTV白硅胶</t>
  </si>
  <si>
    <t>BR-737-9110  2600ML/桶</t>
  </si>
  <si>
    <t>纸箱</t>
  </si>
  <si>
    <t>536WPH-纸箱外尺寸600*510*220mm</t>
  </si>
  <si>
    <t>隔板</t>
  </si>
  <si>
    <t>536WPH-隔板584*195mm  间距：64.5mm 切口3mm 切口数9 切口深度100mm  两边耳朵10mm</t>
  </si>
  <si>
    <t>536WPH-隔板483*195mm  间距：48mm  切口3mm 切口数10 切口深度100mm  两边耳朵10mm</t>
  </si>
  <si>
    <t>防静电气泡袋</t>
  </si>
  <si>
    <t>227产品 防静电气泡袋210*130mm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</si>
</sst>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0.0000_ "/>
    <numFmt numFmtId="179" formatCode="0.000000000_ "/>
  </numFmts>
  <fonts count="4">
    <font>
      <sz val="11"/>
      <color indexed="8"/>
      <name val="宋体"/>
      <charset val="134"/>
      <scheme val="minor"/>
    </font>
    <font>
      <b/>
      <sz val="10"/>
      <name val="SimSun"/>
      <charset val="134"/>
    </font>
    <font>
      <sz val="10"/>
      <name val="SimSun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178" fontId="0" fillId="0" borderId="0" xfId="0" applyNumberFormat="1" applyFont="1" applyAlignment="1">
      <alignment horizontal="left" vertical="center"/>
    </xf>
    <xf numFmtId="178" fontId="0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78" fontId="0" fillId="0" borderId="0" xfId="0" applyNumberFormat="1" applyFont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left"/>
    </xf>
    <xf numFmtId="179" fontId="2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left"/>
    </xf>
    <xf numFmtId="179" fontId="2" fillId="3" borderId="1" xfId="0" applyNumberFormat="1" applyFont="1" applyFill="1" applyBorder="1" applyAlignment="1">
      <alignment horizontal="left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"/>
  <sheetViews>
    <sheetView tabSelected="1" workbookViewId="0">
      <selection activeCell="E6" sqref="E6"/>
    </sheetView>
  </sheetViews>
  <sheetFormatPr defaultColWidth="8.44140625" defaultRowHeight="14.4"/>
  <cols>
    <col min="1" max="1" width="7.88671875" customWidth="1"/>
    <col min="2" max="2" width="12" style="1" customWidth="1"/>
    <col min="3" max="3" width="14.88671875" style="1" customWidth="1"/>
    <col min="4" max="4" width="6.44140625" style="1" customWidth="1"/>
    <col min="5" max="5" width="15" style="1" bestFit="1" customWidth="1"/>
    <col min="6" max="6" width="4.88671875" style="1" customWidth="1"/>
    <col min="7" max="7" width="7.44140625" style="1" customWidth="1"/>
    <col min="8" max="8" width="4.88671875" style="1" customWidth="1"/>
    <col min="9" max="9" width="66.44140625" style="1" customWidth="1"/>
    <col min="10" max="10" width="10.109375" style="1" customWidth="1"/>
    <col min="11" max="11" width="12.6640625" style="2" customWidth="1"/>
    <col min="12" max="12" width="12.6640625" style="3"/>
  </cols>
  <sheetData>
    <row r="1" spans="1:1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6" t="s">
        <v>11</v>
      </c>
    </row>
    <row r="2" spans="1:12">
      <c r="A2" s="7" t="s">
        <v>12</v>
      </c>
      <c r="B2" s="8">
        <v>1101701131</v>
      </c>
      <c r="C2" s="8" t="s">
        <v>13</v>
      </c>
      <c r="D2" s="8" t="s">
        <v>14</v>
      </c>
      <c r="E2" s="9">
        <v>1</v>
      </c>
      <c r="F2" s="8" t="s">
        <v>15</v>
      </c>
      <c r="G2" s="8" t="s">
        <v>14</v>
      </c>
      <c r="H2" s="8" t="s">
        <v>14</v>
      </c>
      <c r="I2" s="8" t="s">
        <v>16</v>
      </c>
      <c r="J2" s="8" t="s">
        <v>17</v>
      </c>
      <c r="K2" s="2">
        <v>5.1499800000000002</v>
      </c>
      <c r="L2" s="3">
        <f>E2*K2</f>
        <v>5.1499800000000002</v>
      </c>
    </row>
    <row r="3" spans="1:12">
      <c r="A3" s="7" t="s">
        <v>12</v>
      </c>
      <c r="B3" s="8">
        <v>1101601130</v>
      </c>
      <c r="C3" s="8" t="s">
        <v>18</v>
      </c>
      <c r="D3" s="8" t="s">
        <v>14</v>
      </c>
      <c r="E3" s="9">
        <v>1</v>
      </c>
      <c r="F3" s="8" t="s">
        <v>15</v>
      </c>
      <c r="G3" s="8" t="s">
        <v>14</v>
      </c>
      <c r="H3" s="8" t="s">
        <v>14</v>
      </c>
      <c r="I3" s="8" t="s">
        <v>19</v>
      </c>
      <c r="J3" s="8" t="s">
        <v>17</v>
      </c>
      <c r="K3" s="2">
        <v>0.29580000000000001</v>
      </c>
      <c r="L3" s="3">
        <f t="shared" ref="L3:L34" si="0">E3*K3</f>
        <v>0.29580000000000001</v>
      </c>
    </row>
    <row r="4" spans="1:12">
      <c r="A4" s="7" t="s">
        <v>12</v>
      </c>
      <c r="B4" s="8">
        <v>1100901750</v>
      </c>
      <c r="C4" s="8" t="s">
        <v>20</v>
      </c>
      <c r="D4" s="8" t="s">
        <v>14</v>
      </c>
      <c r="E4" s="9">
        <v>1</v>
      </c>
      <c r="F4" s="8" t="s">
        <v>15</v>
      </c>
      <c r="G4" s="8" t="s">
        <v>14</v>
      </c>
      <c r="H4" s="8" t="s">
        <v>14</v>
      </c>
      <c r="I4" s="8" t="s">
        <v>21</v>
      </c>
      <c r="J4" s="8" t="s">
        <v>17</v>
      </c>
      <c r="K4" s="2">
        <v>0.3619368</v>
      </c>
      <c r="L4" s="3">
        <f t="shared" si="0"/>
        <v>0.3619368</v>
      </c>
    </row>
    <row r="5" spans="1:12">
      <c r="A5" s="7" t="s">
        <v>12</v>
      </c>
      <c r="B5" s="8">
        <v>1100100960</v>
      </c>
      <c r="C5" s="8" t="s">
        <v>22</v>
      </c>
      <c r="D5" s="8" t="s">
        <v>14</v>
      </c>
      <c r="E5" s="9">
        <v>23</v>
      </c>
      <c r="F5" s="8" t="s">
        <v>15</v>
      </c>
      <c r="G5" s="8" t="s">
        <v>14</v>
      </c>
      <c r="H5" s="8" t="s">
        <v>14</v>
      </c>
      <c r="I5" s="8" t="s">
        <v>23</v>
      </c>
      <c r="J5" s="8" t="s">
        <v>17</v>
      </c>
      <c r="K5" s="2">
        <v>1.8768000000000001E-3</v>
      </c>
      <c r="L5" s="3">
        <f t="shared" si="0"/>
        <v>4.3166400000000001E-2</v>
      </c>
    </row>
    <row r="6" spans="1:12">
      <c r="A6" s="7" t="s">
        <v>12</v>
      </c>
      <c r="B6" s="8">
        <v>1100201020</v>
      </c>
      <c r="C6" s="8" t="s">
        <v>24</v>
      </c>
      <c r="D6" s="8" t="s">
        <v>14</v>
      </c>
      <c r="E6" s="9">
        <v>13</v>
      </c>
      <c r="F6" s="8" t="s">
        <v>15</v>
      </c>
      <c r="G6" s="8" t="s">
        <v>14</v>
      </c>
      <c r="H6" s="8" t="s">
        <v>14</v>
      </c>
      <c r="I6" s="8" t="s">
        <v>25</v>
      </c>
      <c r="J6" s="8" t="s">
        <v>17</v>
      </c>
      <c r="K6" s="2">
        <v>2.856E-3</v>
      </c>
      <c r="L6" s="3">
        <f t="shared" si="0"/>
        <v>3.7128000000000001E-2</v>
      </c>
    </row>
    <row r="7" spans="1:12">
      <c r="A7" s="7" t="s">
        <v>12</v>
      </c>
      <c r="B7" s="8">
        <v>1100200360</v>
      </c>
      <c r="C7" s="8" t="s">
        <v>24</v>
      </c>
      <c r="D7" s="8" t="s">
        <v>14</v>
      </c>
      <c r="E7" s="9">
        <v>2</v>
      </c>
      <c r="F7" s="8" t="s">
        <v>15</v>
      </c>
      <c r="G7" s="8" t="s">
        <v>14</v>
      </c>
      <c r="H7" s="8" t="s">
        <v>14</v>
      </c>
      <c r="I7" s="8" t="s">
        <v>26</v>
      </c>
      <c r="J7" s="8" t="s">
        <v>17</v>
      </c>
      <c r="K7" s="2">
        <v>1.5299999999999999E-2</v>
      </c>
      <c r="L7" s="3">
        <f t="shared" si="0"/>
        <v>3.0599999999999999E-2</v>
      </c>
    </row>
    <row r="8" spans="1:12">
      <c r="A8" s="7" t="s">
        <v>12</v>
      </c>
      <c r="B8" s="8">
        <v>1100201900</v>
      </c>
      <c r="C8" s="8" t="s">
        <v>24</v>
      </c>
      <c r="D8" s="8" t="s">
        <v>14</v>
      </c>
      <c r="E8" s="9">
        <v>2</v>
      </c>
      <c r="F8" s="8" t="s">
        <v>15</v>
      </c>
      <c r="G8" s="8" t="s">
        <v>14</v>
      </c>
      <c r="H8" s="8" t="s">
        <v>14</v>
      </c>
      <c r="I8" s="8" t="s">
        <v>27</v>
      </c>
      <c r="J8" s="8" t="s">
        <v>17</v>
      </c>
      <c r="K8" s="2">
        <v>3.5699999999999998E-3</v>
      </c>
      <c r="L8" s="3">
        <f t="shared" si="0"/>
        <v>7.1399999999999996E-3</v>
      </c>
    </row>
    <row r="9" spans="1:12">
      <c r="A9" s="7" t="s">
        <v>12</v>
      </c>
      <c r="B9" s="8">
        <v>1100101280</v>
      </c>
      <c r="C9" s="8" t="s">
        <v>22</v>
      </c>
      <c r="D9" s="8" t="s">
        <v>14</v>
      </c>
      <c r="E9" s="9">
        <v>6</v>
      </c>
      <c r="F9" s="8" t="s">
        <v>15</v>
      </c>
      <c r="G9" s="8" t="s">
        <v>14</v>
      </c>
      <c r="H9" s="8" t="s">
        <v>14</v>
      </c>
      <c r="I9" s="8" t="s">
        <v>28</v>
      </c>
      <c r="J9" s="8" t="s">
        <v>17</v>
      </c>
      <c r="K9" s="2">
        <v>1.8768000000000001E-3</v>
      </c>
      <c r="L9" s="3">
        <f t="shared" si="0"/>
        <v>1.12608E-2</v>
      </c>
    </row>
    <row r="10" spans="1:12">
      <c r="A10" s="7" t="s">
        <v>12</v>
      </c>
      <c r="B10" s="8">
        <v>1100100940</v>
      </c>
      <c r="C10" s="8" t="s">
        <v>22</v>
      </c>
      <c r="D10" s="8" t="s">
        <v>14</v>
      </c>
      <c r="E10" s="9">
        <v>7</v>
      </c>
      <c r="F10" s="8" t="s">
        <v>15</v>
      </c>
      <c r="G10" s="8" t="s">
        <v>14</v>
      </c>
      <c r="H10" s="8" t="s">
        <v>14</v>
      </c>
      <c r="I10" s="8" t="s">
        <v>29</v>
      </c>
      <c r="J10" s="8" t="s">
        <v>17</v>
      </c>
      <c r="K10" s="2">
        <v>1.8768000000000001E-3</v>
      </c>
      <c r="L10" s="3">
        <f t="shared" si="0"/>
        <v>1.3137599999999999E-2</v>
      </c>
    </row>
    <row r="11" spans="1:12">
      <c r="A11" s="7" t="s">
        <v>12</v>
      </c>
      <c r="B11" s="8">
        <v>1100101610</v>
      </c>
      <c r="C11" s="8" t="s">
        <v>22</v>
      </c>
      <c r="D11" s="8" t="s">
        <v>14</v>
      </c>
      <c r="E11" s="9">
        <v>2</v>
      </c>
      <c r="F11" s="8" t="s">
        <v>15</v>
      </c>
      <c r="G11" s="8" t="s">
        <v>14</v>
      </c>
      <c r="H11" s="8" t="s">
        <v>14</v>
      </c>
      <c r="I11" s="8" t="s">
        <v>30</v>
      </c>
      <c r="J11" s="8" t="s">
        <v>17</v>
      </c>
      <c r="K11" s="2">
        <v>1.8768000000000001E-3</v>
      </c>
      <c r="L11" s="3">
        <f t="shared" si="0"/>
        <v>3.7536000000000002E-3</v>
      </c>
    </row>
    <row r="12" spans="1:12">
      <c r="A12" s="7" t="s">
        <v>12</v>
      </c>
      <c r="B12" s="8">
        <v>1100103110</v>
      </c>
      <c r="C12" s="8" t="s">
        <v>22</v>
      </c>
      <c r="D12" s="8" t="s">
        <v>14</v>
      </c>
      <c r="E12" s="9">
        <v>4</v>
      </c>
      <c r="F12" s="8" t="s">
        <v>15</v>
      </c>
      <c r="G12" s="8" t="s">
        <v>14</v>
      </c>
      <c r="H12" s="8" t="s">
        <v>14</v>
      </c>
      <c r="I12" s="8" t="s">
        <v>31</v>
      </c>
      <c r="J12" s="8" t="s">
        <v>17</v>
      </c>
      <c r="K12" s="2">
        <v>1.8768000000000001E-3</v>
      </c>
      <c r="L12" s="3">
        <f t="shared" si="0"/>
        <v>7.5072000000000003E-3</v>
      </c>
    </row>
    <row r="13" spans="1:12">
      <c r="A13" s="7" t="s">
        <v>12</v>
      </c>
      <c r="B13" s="8">
        <v>1100103770</v>
      </c>
      <c r="C13" s="8" t="s">
        <v>22</v>
      </c>
      <c r="D13" s="8" t="s">
        <v>14</v>
      </c>
      <c r="E13" s="9">
        <v>4</v>
      </c>
      <c r="F13" s="8" t="s">
        <v>15</v>
      </c>
      <c r="G13" s="8" t="s">
        <v>14</v>
      </c>
      <c r="H13" s="8" t="s">
        <v>14</v>
      </c>
      <c r="I13" s="8" t="s">
        <v>32</v>
      </c>
      <c r="J13" s="8" t="s">
        <v>17</v>
      </c>
      <c r="K13" s="2">
        <v>1.8768000000000001E-3</v>
      </c>
      <c r="L13" s="3">
        <f t="shared" si="0"/>
        <v>7.5072000000000003E-3</v>
      </c>
    </row>
    <row r="14" spans="1:12">
      <c r="A14" s="7" t="s">
        <v>12</v>
      </c>
      <c r="B14" s="8">
        <v>1100100950</v>
      </c>
      <c r="C14" s="8" t="s">
        <v>22</v>
      </c>
      <c r="D14" s="8" t="s">
        <v>14</v>
      </c>
      <c r="E14" s="9">
        <v>16</v>
      </c>
      <c r="F14" s="8" t="s">
        <v>15</v>
      </c>
      <c r="G14" s="8" t="s">
        <v>14</v>
      </c>
      <c r="H14" s="8" t="s">
        <v>14</v>
      </c>
      <c r="I14" s="8" t="s">
        <v>33</v>
      </c>
      <c r="J14" s="8" t="s">
        <v>17</v>
      </c>
      <c r="K14" s="2">
        <v>1.8768000000000001E-3</v>
      </c>
      <c r="L14" s="3">
        <f t="shared" si="0"/>
        <v>3.0028800000000001E-2</v>
      </c>
    </row>
    <row r="15" spans="1:12">
      <c r="A15" s="7" t="s">
        <v>12</v>
      </c>
      <c r="B15" s="8">
        <v>1100101630</v>
      </c>
      <c r="C15" s="8" t="s">
        <v>22</v>
      </c>
      <c r="D15" s="8" t="s">
        <v>14</v>
      </c>
      <c r="E15" s="9">
        <v>1</v>
      </c>
      <c r="F15" s="8" t="s">
        <v>15</v>
      </c>
      <c r="G15" s="8" t="s">
        <v>14</v>
      </c>
      <c r="H15" s="8" t="s">
        <v>14</v>
      </c>
      <c r="I15" s="8" t="s">
        <v>34</v>
      </c>
      <c r="J15" s="8" t="s">
        <v>17</v>
      </c>
      <c r="K15" s="2">
        <v>1.8768000000000001E-3</v>
      </c>
      <c r="L15" s="3">
        <f t="shared" si="0"/>
        <v>1.8768000000000001E-3</v>
      </c>
    </row>
    <row r="16" spans="1:12">
      <c r="A16" s="7" t="s">
        <v>12</v>
      </c>
      <c r="B16" s="8">
        <v>1100101850</v>
      </c>
      <c r="C16" s="8" t="s">
        <v>22</v>
      </c>
      <c r="D16" s="8" t="s">
        <v>14</v>
      </c>
      <c r="E16" s="9">
        <v>6</v>
      </c>
      <c r="F16" s="8" t="s">
        <v>15</v>
      </c>
      <c r="G16" s="8" t="s">
        <v>14</v>
      </c>
      <c r="H16" s="8" t="s">
        <v>14</v>
      </c>
      <c r="I16" s="8" t="s">
        <v>35</v>
      </c>
      <c r="J16" s="8" t="s">
        <v>17</v>
      </c>
      <c r="K16" s="2">
        <v>1.8768000000000001E-3</v>
      </c>
      <c r="L16" s="3">
        <f t="shared" si="0"/>
        <v>1.12608E-2</v>
      </c>
    </row>
    <row r="17" spans="1:12">
      <c r="A17" s="7" t="s">
        <v>12</v>
      </c>
      <c r="B17" s="8">
        <v>1100104050</v>
      </c>
      <c r="C17" s="8" t="s">
        <v>22</v>
      </c>
      <c r="D17" s="8" t="s">
        <v>14</v>
      </c>
      <c r="E17" s="9">
        <v>1</v>
      </c>
      <c r="F17" s="8" t="s">
        <v>15</v>
      </c>
      <c r="G17" s="8" t="s">
        <v>14</v>
      </c>
      <c r="H17" s="8" t="s">
        <v>14</v>
      </c>
      <c r="I17" s="8" t="s">
        <v>36</v>
      </c>
      <c r="J17" s="8" t="s">
        <v>17</v>
      </c>
      <c r="K17" s="2">
        <v>1.8768000000000001E-3</v>
      </c>
      <c r="L17" s="3">
        <f t="shared" si="0"/>
        <v>1.8768000000000001E-3</v>
      </c>
    </row>
    <row r="18" spans="1:12">
      <c r="A18" s="7" t="s">
        <v>12</v>
      </c>
      <c r="B18" s="8">
        <v>1100200640</v>
      </c>
      <c r="C18" s="8" t="s">
        <v>24</v>
      </c>
      <c r="D18" s="8" t="s">
        <v>14</v>
      </c>
      <c r="E18" s="9">
        <v>30</v>
      </c>
      <c r="F18" s="8" t="s">
        <v>15</v>
      </c>
      <c r="G18" s="8" t="s">
        <v>14</v>
      </c>
      <c r="H18" s="8" t="s">
        <v>14</v>
      </c>
      <c r="I18" s="8" t="s">
        <v>37</v>
      </c>
      <c r="J18" s="8" t="s">
        <v>17</v>
      </c>
      <c r="K18" s="2">
        <v>5.9160000000000003E-3</v>
      </c>
      <c r="L18" s="3">
        <f t="shared" si="0"/>
        <v>0.17748</v>
      </c>
    </row>
    <row r="19" spans="1:12">
      <c r="A19" s="7" t="s">
        <v>12</v>
      </c>
      <c r="B19" s="8">
        <v>1100201910</v>
      </c>
      <c r="C19" s="8" t="s">
        <v>24</v>
      </c>
      <c r="D19" s="8" t="s">
        <v>14</v>
      </c>
      <c r="E19" s="9">
        <v>3</v>
      </c>
      <c r="F19" s="8" t="s">
        <v>15</v>
      </c>
      <c r="G19" s="8" t="s">
        <v>14</v>
      </c>
      <c r="H19" s="8" t="s">
        <v>14</v>
      </c>
      <c r="I19" s="8" t="s">
        <v>38</v>
      </c>
      <c r="J19" s="8" t="s">
        <v>17</v>
      </c>
      <c r="K19" s="2">
        <v>2.7539999999999999E-3</v>
      </c>
      <c r="L19" s="3">
        <f t="shared" si="0"/>
        <v>8.2620000000000002E-3</v>
      </c>
    </row>
    <row r="20" spans="1:12">
      <c r="A20" s="7" t="s">
        <v>12</v>
      </c>
      <c r="B20" s="8">
        <v>1100101660</v>
      </c>
      <c r="C20" s="8" t="s">
        <v>22</v>
      </c>
      <c r="D20" s="8" t="s">
        <v>14</v>
      </c>
      <c r="E20" s="9">
        <v>3</v>
      </c>
      <c r="F20" s="8" t="s">
        <v>15</v>
      </c>
      <c r="G20" s="8" t="s">
        <v>14</v>
      </c>
      <c r="H20" s="8" t="s">
        <v>14</v>
      </c>
      <c r="I20" s="8" t="s">
        <v>39</v>
      </c>
      <c r="J20" s="8" t="s">
        <v>17</v>
      </c>
      <c r="K20" s="2">
        <v>1.8768000000000001E-3</v>
      </c>
      <c r="L20" s="3">
        <f t="shared" si="0"/>
        <v>5.6303999999999998E-3</v>
      </c>
    </row>
    <row r="21" spans="1:12">
      <c r="A21" s="7" t="s">
        <v>12</v>
      </c>
      <c r="B21" s="8">
        <v>1100100140</v>
      </c>
      <c r="C21" s="8" t="s">
        <v>40</v>
      </c>
      <c r="D21" s="8" t="s">
        <v>14</v>
      </c>
      <c r="E21" s="9">
        <v>12</v>
      </c>
      <c r="F21" s="8" t="s">
        <v>15</v>
      </c>
      <c r="G21" s="8" t="s">
        <v>14</v>
      </c>
      <c r="H21" s="8" t="s">
        <v>14</v>
      </c>
      <c r="I21" s="8" t="s">
        <v>41</v>
      </c>
      <c r="J21" s="8" t="s">
        <v>17</v>
      </c>
      <c r="K21" s="2">
        <v>3.264E-3</v>
      </c>
      <c r="L21" s="3">
        <f t="shared" si="0"/>
        <v>3.9168000000000001E-2</v>
      </c>
    </row>
    <row r="22" spans="1:12">
      <c r="A22" s="7" t="s">
        <v>12</v>
      </c>
      <c r="B22" s="8">
        <v>1100201010</v>
      </c>
      <c r="C22" s="8" t="s">
        <v>24</v>
      </c>
      <c r="D22" s="8" t="s">
        <v>14</v>
      </c>
      <c r="E22" s="9">
        <v>6</v>
      </c>
      <c r="F22" s="8" t="s">
        <v>15</v>
      </c>
      <c r="G22" s="8" t="s">
        <v>14</v>
      </c>
      <c r="H22" s="8" t="s">
        <v>14</v>
      </c>
      <c r="I22" s="8" t="s">
        <v>42</v>
      </c>
      <c r="J22" s="8" t="s">
        <v>17</v>
      </c>
      <c r="K22" s="2">
        <v>7.038E-3</v>
      </c>
      <c r="L22" s="3">
        <f t="shared" si="0"/>
        <v>4.2228000000000002E-2</v>
      </c>
    </row>
    <row r="23" spans="1:12">
      <c r="A23" s="7" t="s">
        <v>12</v>
      </c>
      <c r="B23" s="8">
        <v>1100100130</v>
      </c>
      <c r="C23" s="8" t="s">
        <v>22</v>
      </c>
      <c r="D23" s="8" t="s">
        <v>14</v>
      </c>
      <c r="E23" s="9">
        <v>6</v>
      </c>
      <c r="F23" s="8" t="s">
        <v>15</v>
      </c>
      <c r="G23" s="8" t="s">
        <v>14</v>
      </c>
      <c r="H23" s="8" t="s">
        <v>14</v>
      </c>
      <c r="I23" s="8" t="s">
        <v>43</v>
      </c>
      <c r="J23" s="8" t="s">
        <v>17</v>
      </c>
      <c r="K23" s="2">
        <v>3.264E-3</v>
      </c>
      <c r="L23" s="3">
        <f t="shared" si="0"/>
        <v>1.9584000000000001E-2</v>
      </c>
    </row>
    <row r="24" spans="1:12">
      <c r="A24" s="7" t="s">
        <v>12</v>
      </c>
      <c r="B24" s="8">
        <v>1100200680</v>
      </c>
      <c r="C24" s="8" t="s">
        <v>24</v>
      </c>
      <c r="D24" s="8" t="s">
        <v>14</v>
      </c>
      <c r="E24" s="9">
        <v>3</v>
      </c>
      <c r="F24" s="8" t="s">
        <v>15</v>
      </c>
      <c r="G24" s="8" t="s">
        <v>14</v>
      </c>
      <c r="H24" s="8" t="s">
        <v>14</v>
      </c>
      <c r="I24" s="8" t="s">
        <v>44</v>
      </c>
      <c r="J24" s="8" t="s">
        <v>17</v>
      </c>
      <c r="K24" s="2">
        <v>3.2640000000000002E-2</v>
      </c>
      <c r="L24" s="3">
        <f t="shared" si="0"/>
        <v>9.7919999999999993E-2</v>
      </c>
    </row>
    <row r="25" spans="1:12">
      <c r="A25" s="7" t="s">
        <v>12</v>
      </c>
      <c r="B25" s="8">
        <v>1100102390</v>
      </c>
      <c r="C25" s="8" t="s">
        <v>22</v>
      </c>
      <c r="D25" s="8" t="s">
        <v>14</v>
      </c>
      <c r="E25" s="9">
        <v>3</v>
      </c>
      <c r="F25" s="8" t="s">
        <v>15</v>
      </c>
      <c r="G25" s="8" t="s">
        <v>14</v>
      </c>
      <c r="H25" s="8" t="s">
        <v>14</v>
      </c>
      <c r="I25" s="8" t="s">
        <v>45</v>
      </c>
      <c r="J25" s="8" t="s">
        <v>17</v>
      </c>
      <c r="K25" s="2">
        <v>3.264E-3</v>
      </c>
      <c r="L25" s="3">
        <f t="shared" si="0"/>
        <v>9.7920000000000004E-3</v>
      </c>
    </row>
    <row r="26" spans="1:12">
      <c r="A26" s="7" t="s">
        <v>12</v>
      </c>
      <c r="B26" s="8">
        <v>1100100070</v>
      </c>
      <c r="C26" s="8" t="s">
        <v>46</v>
      </c>
      <c r="D26" s="8" t="s">
        <v>14</v>
      </c>
      <c r="E26" s="9">
        <v>16</v>
      </c>
      <c r="F26" s="8" t="s">
        <v>15</v>
      </c>
      <c r="G26" s="8" t="s">
        <v>14</v>
      </c>
      <c r="H26" s="8" t="s">
        <v>14</v>
      </c>
      <c r="I26" s="8" t="s">
        <v>47</v>
      </c>
      <c r="J26" s="8" t="s">
        <v>17</v>
      </c>
      <c r="K26" s="2">
        <v>3.264E-3</v>
      </c>
      <c r="L26" s="3">
        <f t="shared" si="0"/>
        <v>5.2224E-2</v>
      </c>
    </row>
    <row r="27" spans="1:12">
      <c r="A27" s="7" t="s">
        <v>12</v>
      </c>
      <c r="B27" s="8">
        <v>1100100270</v>
      </c>
      <c r="C27" s="8" t="s">
        <v>22</v>
      </c>
      <c r="D27" s="8" t="s">
        <v>14</v>
      </c>
      <c r="E27" s="9">
        <v>2</v>
      </c>
      <c r="F27" s="8" t="s">
        <v>15</v>
      </c>
      <c r="G27" s="8" t="s">
        <v>14</v>
      </c>
      <c r="H27" s="8" t="s">
        <v>14</v>
      </c>
      <c r="I27" s="8" t="s">
        <v>48</v>
      </c>
      <c r="J27" s="8" t="s">
        <v>17</v>
      </c>
      <c r="K27" s="2">
        <v>5.4365999999999998E-3</v>
      </c>
      <c r="L27" s="3">
        <f t="shared" si="0"/>
        <v>1.08732E-2</v>
      </c>
    </row>
    <row r="28" spans="1:12">
      <c r="A28" s="7" t="s">
        <v>12</v>
      </c>
      <c r="B28" s="8">
        <v>1100201920</v>
      </c>
      <c r="C28" s="8" t="s">
        <v>24</v>
      </c>
      <c r="D28" s="8" t="s">
        <v>14</v>
      </c>
      <c r="E28" s="9">
        <v>9</v>
      </c>
      <c r="F28" s="8" t="s">
        <v>15</v>
      </c>
      <c r="G28" s="8" t="s">
        <v>14</v>
      </c>
      <c r="H28" s="8" t="s">
        <v>14</v>
      </c>
      <c r="I28" s="8" t="s">
        <v>49</v>
      </c>
      <c r="J28" s="8" t="s">
        <v>17</v>
      </c>
      <c r="K28" s="2">
        <v>0.2346</v>
      </c>
      <c r="L28" s="3">
        <f t="shared" si="0"/>
        <v>2.1114000000000002</v>
      </c>
    </row>
    <row r="29" spans="1:12">
      <c r="A29" s="7" t="s">
        <v>12</v>
      </c>
      <c r="B29" s="8">
        <v>1100101830</v>
      </c>
      <c r="C29" s="8" t="s">
        <v>22</v>
      </c>
      <c r="D29" s="8" t="s">
        <v>14</v>
      </c>
      <c r="E29" s="9">
        <v>6</v>
      </c>
      <c r="F29" s="8" t="s">
        <v>15</v>
      </c>
      <c r="G29" s="8" t="s">
        <v>14</v>
      </c>
      <c r="H29" s="8" t="s">
        <v>14</v>
      </c>
      <c r="I29" s="8" t="s">
        <v>50</v>
      </c>
      <c r="J29" s="8" t="s">
        <v>17</v>
      </c>
      <c r="K29" s="2">
        <v>5.4365999999999998E-3</v>
      </c>
      <c r="L29" s="3">
        <f t="shared" si="0"/>
        <v>3.2619599999999999E-2</v>
      </c>
    </row>
    <row r="30" spans="1:12">
      <c r="A30" s="7" t="s">
        <v>12</v>
      </c>
      <c r="B30" s="8">
        <v>1100200720</v>
      </c>
      <c r="C30" s="8" t="s">
        <v>24</v>
      </c>
      <c r="D30" s="8" t="s">
        <v>14</v>
      </c>
      <c r="E30" s="9">
        <v>2</v>
      </c>
      <c r="F30" s="8" t="s">
        <v>15</v>
      </c>
      <c r="G30" s="8" t="s">
        <v>14</v>
      </c>
      <c r="H30" s="8" t="s">
        <v>14</v>
      </c>
      <c r="I30" s="8" t="s">
        <v>51</v>
      </c>
      <c r="J30" s="8" t="s">
        <v>17</v>
      </c>
      <c r="K30" s="2">
        <v>1.9584000000000001E-2</v>
      </c>
      <c r="L30" s="3">
        <f t="shared" si="0"/>
        <v>3.9168000000000001E-2</v>
      </c>
    </row>
    <row r="31" spans="1:12">
      <c r="A31" s="7" t="s">
        <v>12</v>
      </c>
      <c r="B31" s="8">
        <v>1100102160</v>
      </c>
      <c r="C31" s="8" t="s">
        <v>22</v>
      </c>
      <c r="D31" s="8" t="s">
        <v>14</v>
      </c>
      <c r="E31" s="9">
        <v>6</v>
      </c>
      <c r="F31" s="8" t="s">
        <v>15</v>
      </c>
      <c r="G31" s="8" t="s">
        <v>14</v>
      </c>
      <c r="H31" s="8" t="s">
        <v>14</v>
      </c>
      <c r="I31" s="8" t="s">
        <v>52</v>
      </c>
      <c r="J31" s="8" t="s">
        <v>17</v>
      </c>
      <c r="K31" s="2">
        <v>5.4365999999999998E-3</v>
      </c>
      <c r="L31" s="3">
        <f t="shared" si="0"/>
        <v>3.2619599999999999E-2</v>
      </c>
    </row>
    <row r="32" spans="1:12">
      <c r="A32" s="7" t="s">
        <v>12</v>
      </c>
      <c r="B32" s="8">
        <v>1100100410</v>
      </c>
      <c r="C32" s="8" t="s">
        <v>22</v>
      </c>
      <c r="D32" s="8" t="s">
        <v>14</v>
      </c>
      <c r="E32" s="9">
        <v>1</v>
      </c>
      <c r="F32" s="8" t="s">
        <v>15</v>
      </c>
      <c r="G32" s="8" t="s">
        <v>14</v>
      </c>
      <c r="H32" s="8" t="s">
        <v>14</v>
      </c>
      <c r="I32" s="8" t="s">
        <v>53</v>
      </c>
      <c r="J32" s="8" t="s">
        <v>17</v>
      </c>
      <c r="K32" s="2">
        <v>5.4365999999999998E-3</v>
      </c>
      <c r="L32" s="3">
        <f t="shared" si="0"/>
        <v>5.4365999999999998E-3</v>
      </c>
    </row>
    <row r="33" spans="1:12">
      <c r="A33" s="7" t="s">
        <v>12</v>
      </c>
      <c r="B33" s="8">
        <v>1100100340</v>
      </c>
      <c r="C33" s="8" t="s">
        <v>22</v>
      </c>
      <c r="D33" s="8" t="s">
        <v>14</v>
      </c>
      <c r="E33" s="9">
        <v>1</v>
      </c>
      <c r="F33" s="8" t="s">
        <v>15</v>
      </c>
      <c r="G33" s="8" t="s">
        <v>14</v>
      </c>
      <c r="H33" s="8" t="s">
        <v>14</v>
      </c>
      <c r="I33" s="8" t="s">
        <v>54</v>
      </c>
      <c r="J33" s="8" t="s">
        <v>17</v>
      </c>
      <c r="K33" s="2">
        <v>9.6492000000000001E-3</v>
      </c>
      <c r="L33" s="3">
        <f t="shared" si="0"/>
        <v>9.6492000000000001E-3</v>
      </c>
    </row>
    <row r="34" spans="1:12">
      <c r="A34" s="7" t="s">
        <v>12</v>
      </c>
      <c r="B34" s="8">
        <v>1100104140</v>
      </c>
      <c r="C34" s="8" t="s">
        <v>22</v>
      </c>
      <c r="D34" s="8" t="s">
        <v>14</v>
      </c>
      <c r="E34" s="9">
        <v>2</v>
      </c>
      <c r="F34" s="8" t="s">
        <v>15</v>
      </c>
      <c r="G34" s="8" t="s">
        <v>14</v>
      </c>
      <c r="H34" s="8" t="s">
        <v>14</v>
      </c>
      <c r="I34" s="8" t="s">
        <v>55</v>
      </c>
      <c r="J34" s="8" t="s">
        <v>17</v>
      </c>
      <c r="K34" s="2">
        <v>1.5299999999999999E-2</v>
      </c>
      <c r="L34" s="3">
        <f t="shared" si="0"/>
        <v>3.0599999999999999E-2</v>
      </c>
    </row>
    <row r="35" spans="1:12">
      <c r="A35" s="7" t="s">
        <v>12</v>
      </c>
      <c r="B35" s="8">
        <v>1100101730</v>
      </c>
      <c r="C35" s="8" t="s">
        <v>22</v>
      </c>
      <c r="D35" s="8" t="s">
        <v>14</v>
      </c>
      <c r="E35" s="9">
        <v>1</v>
      </c>
      <c r="F35" s="8" t="s">
        <v>15</v>
      </c>
      <c r="G35" s="8" t="s">
        <v>14</v>
      </c>
      <c r="H35" s="8" t="s">
        <v>14</v>
      </c>
      <c r="I35" s="8" t="s">
        <v>56</v>
      </c>
      <c r="J35" s="8" t="s">
        <v>17</v>
      </c>
      <c r="K35" s="2">
        <v>1.5299999999999999E-2</v>
      </c>
      <c r="L35" s="3">
        <f t="shared" ref="L35:L66" si="1">E35*K35</f>
        <v>1.5299999999999999E-2</v>
      </c>
    </row>
    <row r="36" spans="1:12">
      <c r="A36" s="7" t="s">
        <v>12</v>
      </c>
      <c r="B36" s="8">
        <v>1100200160</v>
      </c>
      <c r="C36" s="8" t="s">
        <v>24</v>
      </c>
      <c r="D36" s="8" t="s">
        <v>14</v>
      </c>
      <c r="E36" s="9">
        <v>1</v>
      </c>
      <c r="F36" s="8" t="s">
        <v>15</v>
      </c>
      <c r="G36" s="8" t="s">
        <v>14</v>
      </c>
      <c r="H36" s="8" t="s">
        <v>14</v>
      </c>
      <c r="I36" s="8" t="s">
        <v>57</v>
      </c>
      <c r="J36" s="8" t="s">
        <v>17</v>
      </c>
      <c r="K36" s="2">
        <v>0.28560000000000002</v>
      </c>
      <c r="L36" s="3">
        <f t="shared" si="1"/>
        <v>0.28560000000000002</v>
      </c>
    </row>
    <row r="37" spans="1:12">
      <c r="A37" s="7" t="s">
        <v>12</v>
      </c>
      <c r="B37" s="8">
        <v>1100100520</v>
      </c>
      <c r="C37" s="8" t="s">
        <v>22</v>
      </c>
      <c r="D37" s="8" t="s">
        <v>14</v>
      </c>
      <c r="E37" s="9">
        <v>2</v>
      </c>
      <c r="F37" s="8" t="s">
        <v>15</v>
      </c>
      <c r="G37" s="8" t="s">
        <v>14</v>
      </c>
      <c r="H37" s="8" t="s">
        <v>14</v>
      </c>
      <c r="I37" s="8" t="s">
        <v>58</v>
      </c>
      <c r="J37" s="8" t="s">
        <v>17</v>
      </c>
      <c r="K37" s="2">
        <v>9.6492000000000001E-3</v>
      </c>
      <c r="L37" s="3">
        <f t="shared" si="1"/>
        <v>1.92984E-2</v>
      </c>
    </row>
    <row r="38" spans="1:12">
      <c r="A38" s="7" t="s">
        <v>12</v>
      </c>
      <c r="B38" s="8">
        <v>1100103790</v>
      </c>
      <c r="C38" s="8" t="s">
        <v>22</v>
      </c>
      <c r="D38" s="8" t="s">
        <v>14</v>
      </c>
      <c r="E38" s="9">
        <v>5</v>
      </c>
      <c r="F38" s="8" t="s">
        <v>15</v>
      </c>
      <c r="G38" s="8" t="s">
        <v>14</v>
      </c>
      <c r="H38" s="8" t="s">
        <v>14</v>
      </c>
      <c r="I38" s="8" t="s">
        <v>59</v>
      </c>
      <c r="J38" s="8" t="s">
        <v>17</v>
      </c>
      <c r="K38" s="2">
        <v>9.6492000000000001E-3</v>
      </c>
      <c r="L38" s="3">
        <f t="shared" si="1"/>
        <v>4.8245999999999997E-2</v>
      </c>
    </row>
    <row r="39" spans="1:12">
      <c r="A39" s="7" t="s">
        <v>12</v>
      </c>
      <c r="B39" s="8">
        <v>1100100030</v>
      </c>
      <c r="C39" s="8" t="s">
        <v>22</v>
      </c>
      <c r="D39" s="8" t="s">
        <v>14</v>
      </c>
      <c r="E39" s="9">
        <v>6</v>
      </c>
      <c r="F39" s="8" t="s">
        <v>15</v>
      </c>
      <c r="G39" s="8" t="s">
        <v>14</v>
      </c>
      <c r="H39" s="8" t="s">
        <v>14</v>
      </c>
      <c r="I39" s="8" t="s">
        <v>60</v>
      </c>
      <c r="J39" s="8" t="s">
        <v>17</v>
      </c>
      <c r="K39" s="2">
        <v>9.6492000000000001E-3</v>
      </c>
      <c r="L39" s="3">
        <f t="shared" si="1"/>
        <v>5.7895200000000001E-2</v>
      </c>
    </row>
    <row r="40" spans="1:12">
      <c r="A40" s="7" t="s">
        <v>12</v>
      </c>
      <c r="B40" s="8">
        <v>1100103780</v>
      </c>
      <c r="C40" s="8" t="s">
        <v>22</v>
      </c>
      <c r="D40" s="8" t="s">
        <v>14</v>
      </c>
      <c r="E40" s="9">
        <v>3</v>
      </c>
      <c r="F40" s="8" t="s">
        <v>15</v>
      </c>
      <c r="G40" s="8" t="s">
        <v>14</v>
      </c>
      <c r="H40" s="8" t="s">
        <v>14</v>
      </c>
      <c r="I40" s="8" t="s">
        <v>61</v>
      </c>
      <c r="J40" s="8" t="s">
        <v>17</v>
      </c>
      <c r="K40" s="2">
        <v>9.6492000000000001E-3</v>
      </c>
      <c r="L40" s="3">
        <f t="shared" si="1"/>
        <v>2.89476E-2</v>
      </c>
    </row>
    <row r="41" spans="1:12">
      <c r="A41" s="7" t="s">
        <v>12</v>
      </c>
      <c r="B41" s="8">
        <v>1100100360</v>
      </c>
      <c r="C41" s="8" t="s">
        <v>22</v>
      </c>
      <c r="D41" s="8" t="s">
        <v>14</v>
      </c>
      <c r="E41" s="9">
        <v>2</v>
      </c>
      <c r="F41" s="8" t="s">
        <v>15</v>
      </c>
      <c r="G41" s="8" t="s">
        <v>14</v>
      </c>
      <c r="H41" s="8" t="s">
        <v>14</v>
      </c>
      <c r="I41" s="8" t="s">
        <v>62</v>
      </c>
      <c r="J41" s="8" t="s">
        <v>17</v>
      </c>
      <c r="K41" s="2">
        <v>9.6492000000000001E-3</v>
      </c>
      <c r="L41" s="3">
        <f t="shared" si="1"/>
        <v>1.92984E-2</v>
      </c>
    </row>
    <row r="42" spans="1:12">
      <c r="A42" s="7" t="s">
        <v>12</v>
      </c>
      <c r="B42" s="8">
        <v>1100100020</v>
      </c>
      <c r="C42" s="8" t="s">
        <v>22</v>
      </c>
      <c r="D42" s="8" t="s">
        <v>14</v>
      </c>
      <c r="E42" s="9">
        <v>6</v>
      </c>
      <c r="F42" s="8" t="s">
        <v>15</v>
      </c>
      <c r="G42" s="8" t="s">
        <v>14</v>
      </c>
      <c r="H42" s="8" t="s">
        <v>14</v>
      </c>
      <c r="I42" s="8" t="s">
        <v>63</v>
      </c>
      <c r="J42" s="8" t="s">
        <v>17</v>
      </c>
      <c r="K42" s="2">
        <v>9.6492000000000001E-3</v>
      </c>
      <c r="L42" s="3">
        <f t="shared" si="1"/>
        <v>5.7895200000000001E-2</v>
      </c>
    </row>
    <row r="43" spans="1:12">
      <c r="A43" s="7" t="s">
        <v>12</v>
      </c>
      <c r="B43" s="8">
        <v>1100103641</v>
      </c>
      <c r="C43" s="8" t="s">
        <v>22</v>
      </c>
      <c r="D43" s="8" t="s">
        <v>14</v>
      </c>
      <c r="E43" s="9">
        <v>1</v>
      </c>
      <c r="F43" s="8" t="s">
        <v>15</v>
      </c>
      <c r="G43" s="8" t="s">
        <v>14</v>
      </c>
      <c r="H43" s="8" t="s">
        <v>14</v>
      </c>
      <c r="I43" s="8" t="s">
        <v>64</v>
      </c>
      <c r="J43" s="8" t="s">
        <v>17</v>
      </c>
      <c r="K43" s="2">
        <v>0.126</v>
      </c>
      <c r="L43" s="3">
        <f t="shared" si="1"/>
        <v>0.126</v>
      </c>
    </row>
    <row r="44" spans="1:12">
      <c r="A44" s="7" t="s">
        <v>12</v>
      </c>
      <c r="B44" s="8">
        <v>1100702670</v>
      </c>
      <c r="C44" s="8" t="s">
        <v>65</v>
      </c>
      <c r="D44" s="8" t="s">
        <v>14</v>
      </c>
      <c r="E44" s="9">
        <v>1</v>
      </c>
      <c r="F44" s="8" t="s">
        <v>15</v>
      </c>
      <c r="G44" s="8" t="s">
        <v>14</v>
      </c>
      <c r="H44" s="8" t="s">
        <v>14</v>
      </c>
      <c r="I44" s="8" t="s">
        <v>66</v>
      </c>
      <c r="J44" s="8" t="s">
        <v>17</v>
      </c>
      <c r="K44" s="2">
        <v>9.4350000000000003E-2</v>
      </c>
      <c r="L44" s="3">
        <f t="shared" si="1"/>
        <v>9.4350000000000003E-2</v>
      </c>
    </row>
    <row r="45" spans="1:12">
      <c r="A45" s="7" t="s">
        <v>12</v>
      </c>
      <c r="B45" s="8">
        <v>1100700092</v>
      </c>
      <c r="C45" s="8" t="s">
        <v>65</v>
      </c>
      <c r="D45" s="8" t="s">
        <v>14</v>
      </c>
      <c r="E45" s="9">
        <v>1</v>
      </c>
      <c r="F45" s="8" t="s">
        <v>15</v>
      </c>
      <c r="G45" s="8" t="s">
        <v>14</v>
      </c>
      <c r="H45" s="8" t="s">
        <v>14</v>
      </c>
      <c r="I45" s="8" t="s">
        <v>67</v>
      </c>
      <c r="J45" s="8" t="s">
        <v>17</v>
      </c>
      <c r="K45" s="2">
        <v>3.7229999999999999E-2</v>
      </c>
      <c r="L45" s="3">
        <f t="shared" si="1"/>
        <v>3.7229999999999999E-2</v>
      </c>
    </row>
    <row r="46" spans="1:12">
      <c r="A46" s="7" t="s">
        <v>12</v>
      </c>
      <c r="B46" s="8">
        <v>1100701610</v>
      </c>
      <c r="C46" s="8" t="s">
        <v>65</v>
      </c>
      <c r="D46" s="8" t="s">
        <v>14</v>
      </c>
      <c r="E46" s="9">
        <v>2</v>
      </c>
      <c r="F46" s="8" t="s">
        <v>15</v>
      </c>
      <c r="G46" s="8" t="s">
        <v>14</v>
      </c>
      <c r="H46" s="8" t="s">
        <v>14</v>
      </c>
      <c r="I46" s="8" t="s">
        <v>68</v>
      </c>
      <c r="J46" s="8" t="s">
        <v>17</v>
      </c>
      <c r="K46" s="2">
        <v>5.2631999999999998E-2</v>
      </c>
      <c r="L46" s="3">
        <f t="shared" si="1"/>
        <v>0.105264</v>
      </c>
    </row>
    <row r="47" spans="1:12">
      <c r="A47" s="7" t="s">
        <v>12</v>
      </c>
      <c r="B47" s="8">
        <v>1100700911</v>
      </c>
      <c r="C47" s="8" t="s">
        <v>65</v>
      </c>
      <c r="D47" s="8" t="s">
        <v>14</v>
      </c>
      <c r="E47" s="9">
        <v>2</v>
      </c>
      <c r="F47" s="8" t="s">
        <v>15</v>
      </c>
      <c r="G47" s="8" t="s">
        <v>14</v>
      </c>
      <c r="H47" s="8" t="s">
        <v>14</v>
      </c>
      <c r="I47" s="8" t="s">
        <v>69</v>
      </c>
      <c r="J47" s="8" t="s">
        <v>17</v>
      </c>
      <c r="K47" s="2">
        <v>5.4059999999999997E-2</v>
      </c>
      <c r="L47" s="3">
        <f t="shared" si="1"/>
        <v>0.10811999999999999</v>
      </c>
    </row>
    <row r="48" spans="1:12">
      <c r="A48" s="7" t="s">
        <v>12</v>
      </c>
      <c r="B48" s="8">
        <v>1100900481</v>
      </c>
      <c r="C48" s="8" t="s">
        <v>20</v>
      </c>
      <c r="D48" s="8" t="s">
        <v>14</v>
      </c>
      <c r="E48" s="9">
        <v>1</v>
      </c>
      <c r="F48" s="8" t="s">
        <v>15</v>
      </c>
      <c r="G48" s="8" t="s">
        <v>14</v>
      </c>
      <c r="H48" s="8" t="s">
        <v>14</v>
      </c>
      <c r="I48" s="8" t="s">
        <v>70</v>
      </c>
      <c r="J48" s="8" t="s">
        <v>17</v>
      </c>
      <c r="K48" s="2">
        <v>8.4863999999999995E-2</v>
      </c>
      <c r="L48" s="3">
        <f t="shared" si="1"/>
        <v>8.4863999999999995E-2</v>
      </c>
    </row>
    <row r="49" spans="1:12">
      <c r="A49" s="7" t="s">
        <v>12</v>
      </c>
      <c r="B49" s="8">
        <v>1100702680</v>
      </c>
      <c r="C49" s="8" t="s">
        <v>65</v>
      </c>
      <c r="D49" s="8" t="s">
        <v>14</v>
      </c>
      <c r="E49" s="9">
        <v>1</v>
      </c>
      <c r="F49" s="8" t="s">
        <v>15</v>
      </c>
      <c r="G49" s="8" t="s">
        <v>14</v>
      </c>
      <c r="H49" s="8" t="s">
        <v>14</v>
      </c>
      <c r="I49" s="8" t="s">
        <v>71</v>
      </c>
      <c r="J49" s="8" t="s">
        <v>17</v>
      </c>
      <c r="K49" s="2">
        <v>0.15351000000000001</v>
      </c>
      <c r="L49" s="3">
        <f t="shared" si="1"/>
        <v>0.15351000000000001</v>
      </c>
    </row>
    <row r="50" spans="1:12">
      <c r="A50" s="7" t="s">
        <v>12</v>
      </c>
      <c r="B50" s="8">
        <v>1100700381</v>
      </c>
      <c r="C50" s="8" t="s">
        <v>65</v>
      </c>
      <c r="D50" s="8" t="s">
        <v>14</v>
      </c>
      <c r="E50" s="9">
        <v>1</v>
      </c>
      <c r="F50" s="8" t="s">
        <v>15</v>
      </c>
      <c r="G50" s="8" t="s">
        <v>14</v>
      </c>
      <c r="H50" s="8" t="s">
        <v>14</v>
      </c>
      <c r="I50" s="8" t="s">
        <v>72</v>
      </c>
      <c r="J50" s="8" t="s">
        <v>17</v>
      </c>
      <c r="K50" s="2">
        <v>0.10215200000000001</v>
      </c>
      <c r="L50" s="3">
        <f t="shared" si="1"/>
        <v>0.10215200000000001</v>
      </c>
    </row>
    <row r="51" spans="1:12">
      <c r="A51" s="7" t="s">
        <v>12</v>
      </c>
      <c r="B51" s="8">
        <v>1100901760</v>
      </c>
      <c r="C51" s="8" t="s">
        <v>20</v>
      </c>
      <c r="D51" s="8" t="s">
        <v>14</v>
      </c>
      <c r="E51" s="9">
        <v>1</v>
      </c>
      <c r="F51" s="8" t="s">
        <v>15</v>
      </c>
      <c r="G51" s="8" t="s">
        <v>14</v>
      </c>
      <c r="H51" s="8" t="s">
        <v>14</v>
      </c>
      <c r="I51" s="8" t="s">
        <v>73</v>
      </c>
      <c r="J51" s="8" t="s">
        <v>17</v>
      </c>
      <c r="K51" s="2">
        <v>0.17646000000000001</v>
      </c>
      <c r="L51" s="3">
        <f t="shared" si="1"/>
        <v>0.17646000000000001</v>
      </c>
    </row>
    <row r="52" spans="1:12">
      <c r="A52" s="7" t="s">
        <v>12</v>
      </c>
      <c r="B52" s="8">
        <v>1100702780</v>
      </c>
      <c r="C52" s="8" t="s">
        <v>65</v>
      </c>
      <c r="D52" s="8" t="s">
        <v>14</v>
      </c>
      <c r="E52" s="9">
        <v>1</v>
      </c>
      <c r="F52" s="8" t="s">
        <v>15</v>
      </c>
      <c r="G52" s="8" t="s">
        <v>14</v>
      </c>
      <c r="H52" s="8" t="s">
        <v>14</v>
      </c>
      <c r="I52" s="8" t="s">
        <v>74</v>
      </c>
      <c r="J52" s="8" t="s">
        <v>17</v>
      </c>
      <c r="K52" s="2">
        <v>0.18</v>
      </c>
      <c r="L52" s="3">
        <f t="shared" si="1"/>
        <v>0.18</v>
      </c>
    </row>
    <row r="53" spans="1:12">
      <c r="A53" s="7" t="s">
        <v>12</v>
      </c>
      <c r="B53" s="8">
        <v>1100300090</v>
      </c>
      <c r="C53" s="8" t="s">
        <v>75</v>
      </c>
      <c r="D53" s="8" t="s">
        <v>14</v>
      </c>
      <c r="E53" s="9">
        <v>1</v>
      </c>
      <c r="F53" s="8" t="s">
        <v>15</v>
      </c>
      <c r="G53" s="8" t="s">
        <v>14</v>
      </c>
      <c r="H53" s="8" t="s">
        <v>14</v>
      </c>
      <c r="I53" s="8" t="s">
        <v>76</v>
      </c>
      <c r="J53" s="8" t="s">
        <v>17</v>
      </c>
      <c r="K53" s="2">
        <v>0.18360000000000001</v>
      </c>
      <c r="L53" s="3">
        <f t="shared" si="1"/>
        <v>0.18360000000000001</v>
      </c>
    </row>
    <row r="54" spans="1:12">
      <c r="A54" s="7" t="s">
        <v>12</v>
      </c>
      <c r="B54" s="8">
        <v>1100701540</v>
      </c>
      <c r="C54" s="8" t="s">
        <v>65</v>
      </c>
      <c r="D54" s="8" t="s">
        <v>14</v>
      </c>
      <c r="E54" s="9">
        <v>6</v>
      </c>
      <c r="F54" s="8" t="s">
        <v>15</v>
      </c>
      <c r="G54" s="8" t="s">
        <v>14</v>
      </c>
      <c r="H54" s="8" t="s">
        <v>14</v>
      </c>
      <c r="I54" s="8" t="s">
        <v>77</v>
      </c>
      <c r="J54" s="8" t="s">
        <v>17</v>
      </c>
      <c r="K54" s="2">
        <v>1.75715</v>
      </c>
      <c r="L54" s="3">
        <f t="shared" si="1"/>
        <v>10.542899999999999</v>
      </c>
    </row>
    <row r="55" spans="1:12">
      <c r="A55" s="7" t="s">
        <v>12</v>
      </c>
      <c r="B55" s="8">
        <v>1100901770</v>
      </c>
      <c r="C55" s="8" t="s">
        <v>20</v>
      </c>
      <c r="D55" s="8" t="s">
        <v>14</v>
      </c>
      <c r="E55" s="9">
        <v>1</v>
      </c>
      <c r="F55" s="8" t="s">
        <v>15</v>
      </c>
      <c r="G55" s="8" t="s">
        <v>14</v>
      </c>
      <c r="H55" s="8" t="s">
        <v>14</v>
      </c>
      <c r="I55" s="8" t="s">
        <v>78</v>
      </c>
      <c r="J55" s="8" t="s">
        <v>17</v>
      </c>
      <c r="K55" s="2">
        <v>1.4750000000000001</v>
      </c>
      <c r="L55" s="3">
        <f t="shared" si="1"/>
        <v>1.4750000000000001</v>
      </c>
    </row>
    <row r="56" spans="1:12">
      <c r="A56" s="7" t="s">
        <v>12</v>
      </c>
      <c r="B56" s="8">
        <v>1100901780</v>
      </c>
      <c r="C56" s="8" t="s">
        <v>20</v>
      </c>
      <c r="D56" s="8" t="s">
        <v>14</v>
      </c>
      <c r="E56" s="9">
        <v>1</v>
      </c>
      <c r="F56" s="8" t="s">
        <v>15</v>
      </c>
      <c r="G56" s="8" t="s">
        <v>14</v>
      </c>
      <c r="H56" s="8" t="s">
        <v>14</v>
      </c>
      <c r="I56" s="8" t="s">
        <v>79</v>
      </c>
      <c r="J56" s="8" t="s">
        <v>17</v>
      </c>
      <c r="K56" s="2">
        <v>1.89</v>
      </c>
      <c r="L56" s="3">
        <f t="shared" si="1"/>
        <v>1.89</v>
      </c>
    </row>
    <row r="57" spans="1:12">
      <c r="A57" s="7" t="s">
        <v>12</v>
      </c>
      <c r="B57" s="8">
        <v>1100700660</v>
      </c>
      <c r="C57" s="8" t="s">
        <v>65</v>
      </c>
      <c r="D57" s="8" t="s">
        <v>14</v>
      </c>
      <c r="E57" s="9">
        <v>7</v>
      </c>
      <c r="F57" s="8" t="s">
        <v>15</v>
      </c>
      <c r="G57" s="8" t="s">
        <v>14</v>
      </c>
      <c r="H57" s="8" t="s">
        <v>14</v>
      </c>
      <c r="I57" s="8" t="s">
        <v>80</v>
      </c>
      <c r="J57" s="8" t="s">
        <v>17</v>
      </c>
      <c r="K57" s="2">
        <v>2.5499999999999998E-2</v>
      </c>
      <c r="L57" s="3">
        <f t="shared" si="1"/>
        <v>0.17849999999999999</v>
      </c>
    </row>
    <row r="58" spans="1:12">
      <c r="A58" s="7" t="s">
        <v>12</v>
      </c>
      <c r="B58" s="8">
        <v>1100700881</v>
      </c>
      <c r="C58" s="8" t="s">
        <v>65</v>
      </c>
      <c r="D58" s="8" t="s">
        <v>14</v>
      </c>
      <c r="E58" s="9">
        <v>1</v>
      </c>
      <c r="F58" s="8" t="s">
        <v>15</v>
      </c>
      <c r="G58" s="8" t="s">
        <v>14</v>
      </c>
      <c r="H58" s="8" t="s">
        <v>14</v>
      </c>
      <c r="I58" s="8" t="s">
        <v>81</v>
      </c>
      <c r="J58" s="8" t="s">
        <v>17</v>
      </c>
      <c r="K58" s="2">
        <v>2.1420000000000002E-2</v>
      </c>
      <c r="L58" s="3">
        <f t="shared" si="1"/>
        <v>2.1420000000000002E-2</v>
      </c>
    </row>
    <row r="59" spans="1:12">
      <c r="A59" s="7" t="s">
        <v>12</v>
      </c>
      <c r="B59" s="8">
        <v>1100700022</v>
      </c>
      <c r="C59" s="8" t="s">
        <v>65</v>
      </c>
      <c r="D59" s="8" t="s">
        <v>14</v>
      </c>
      <c r="E59" s="9">
        <v>2</v>
      </c>
      <c r="F59" s="8" t="s">
        <v>15</v>
      </c>
      <c r="G59" s="8" t="s">
        <v>14</v>
      </c>
      <c r="H59" s="8" t="s">
        <v>14</v>
      </c>
      <c r="I59" s="8" t="s">
        <v>82</v>
      </c>
      <c r="J59" s="8" t="s">
        <v>17</v>
      </c>
      <c r="K59" s="2">
        <v>3.3456E-2</v>
      </c>
      <c r="L59" s="3">
        <f t="shared" si="1"/>
        <v>6.6911999999999999E-2</v>
      </c>
    </row>
    <row r="60" spans="1:12">
      <c r="A60" s="7" t="s">
        <v>12</v>
      </c>
      <c r="B60" s="8">
        <v>1100700051</v>
      </c>
      <c r="C60" s="8" t="s">
        <v>65</v>
      </c>
      <c r="D60" s="8" t="s">
        <v>14</v>
      </c>
      <c r="E60" s="9">
        <v>8</v>
      </c>
      <c r="F60" s="8" t="s">
        <v>15</v>
      </c>
      <c r="G60" s="8" t="s">
        <v>14</v>
      </c>
      <c r="H60" s="8" t="s">
        <v>14</v>
      </c>
      <c r="I60" s="8" t="s">
        <v>83</v>
      </c>
      <c r="J60" s="8" t="s">
        <v>17</v>
      </c>
      <c r="K60" s="2">
        <v>3.4271999999999997E-2</v>
      </c>
      <c r="L60" s="3">
        <f t="shared" si="1"/>
        <v>0.27417599999999998</v>
      </c>
    </row>
    <row r="61" spans="1:12">
      <c r="A61" s="7" t="s">
        <v>12</v>
      </c>
      <c r="B61" s="8">
        <v>1100702790</v>
      </c>
      <c r="C61" s="8" t="s">
        <v>65</v>
      </c>
      <c r="D61" s="8" t="s">
        <v>14</v>
      </c>
      <c r="E61" s="9">
        <v>3</v>
      </c>
      <c r="F61" s="8" t="s">
        <v>15</v>
      </c>
      <c r="G61" s="8" t="s">
        <v>14</v>
      </c>
      <c r="H61" s="8" t="s">
        <v>14</v>
      </c>
      <c r="I61" s="8" t="s">
        <v>84</v>
      </c>
      <c r="J61" s="8" t="s">
        <v>17</v>
      </c>
      <c r="K61" s="2">
        <v>0.2346</v>
      </c>
      <c r="L61" s="3">
        <f t="shared" si="1"/>
        <v>0.70379999999999998</v>
      </c>
    </row>
    <row r="62" spans="1:12">
      <c r="A62" s="7" t="s">
        <v>12</v>
      </c>
      <c r="B62" s="8">
        <v>1100700152</v>
      </c>
      <c r="C62" s="8" t="s">
        <v>65</v>
      </c>
      <c r="D62" s="8" t="s">
        <v>14</v>
      </c>
      <c r="E62" s="9">
        <v>1</v>
      </c>
      <c r="F62" s="8" t="s">
        <v>15</v>
      </c>
      <c r="G62" s="8" t="s">
        <v>14</v>
      </c>
      <c r="H62" s="8" t="s">
        <v>14</v>
      </c>
      <c r="I62" s="8" t="s">
        <v>85</v>
      </c>
      <c r="J62" s="8" t="s">
        <v>17</v>
      </c>
      <c r="K62" s="2">
        <v>4.8959999999999997E-2</v>
      </c>
      <c r="L62" s="3">
        <f t="shared" si="1"/>
        <v>4.8959999999999997E-2</v>
      </c>
    </row>
    <row r="63" spans="1:12">
      <c r="A63" s="7" t="s">
        <v>12</v>
      </c>
      <c r="B63" s="8">
        <v>1100901790</v>
      </c>
      <c r="C63" s="8" t="s">
        <v>20</v>
      </c>
      <c r="D63" s="8" t="s">
        <v>14</v>
      </c>
      <c r="E63" s="9">
        <v>1</v>
      </c>
      <c r="F63" s="8" t="s">
        <v>15</v>
      </c>
      <c r="G63" s="8" t="s">
        <v>14</v>
      </c>
      <c r="H63" s="8" t="s">
        <v>14</v>
      </c>
      <c r="I63" s="8" t="s">
        <v>86</v>
      </c>
      <c r="J63" s="8" t="s">
        <v>17</v>
      </c>
      <c r="K63" s="2">
        <v>0.35</v>
      </c>
      <c r="L63" s="3">
        <f t="shared" si="1"/>
        <v>0.35</v>
      </c>
    </row>
    <row r="64" spans="1:12">
      <c r="A64" s="7" t="s">
        <v>12</v>
      </c>
      <c r="B64" s="8">
        <v>1100900530</v>
      </c>
      <c r="C64" s="8" t="s">
        <v>20</v>
      </c>
      <c r="D64" s="8" t="s">
        <v>14</v>
      </c>
      <c r="E64" s="9">
        <v>1</v>
      </c>
      <c r="F64" s="8" t="s">
        <v>15</v>
      </c>
      <c r="G64" s="8" t="s">
        <v>14</v>
      </c>
      <c r="H64" s="8" t="s">
        <v>14</v>
      </c>
      <c r="I64" s="8" t="s">
        <v>87</v>
      </c>
      <c r="J64" s="8" t="s">
        <v>17</v>
      </c>
      <c r="K64" s="2">
        <v>0.58997299999999997</v>
      </c>
      <c r="L64" s="3">
        <f t="shared" si="1"/>
        <v>0.58997299999999997</v>
      </c>
    </row>
    <row r="65" spans="1:12">
      <c r="A65" s="7" t="s">
        <v>12</v>
      </c>
      <c r="B65" s="8">
        <v>1100901920</v>
      </c>
      <c r="C65" s="8" t="s">
        <v>20</v>
      </c>
      <c r="D65" s="8" t="s">
        <v>14</v>
      </c>
      <c r="E65" s="9">
        <v>3</v>
      </c>
      <c r="F65" s="8" t="s">
        <v>15</v>
      </c>
      <c r="G65" s="8" t="s">
        <v>14</v>
      </c>
      <c r="H65" s="8" t="s">
        <v>14</v>
      </c>
      <c r="I65" s="8" t="s">
        <v>88</v>
      </c>
      <c r="J65" s="8" t="s">
        <v>17</v>
      </c>
      <c r="K65" s="2">
        <v>0.58752000000000004</v>
      </c>
      <c r="L65" s="3">
        <f t="shared" si="1"/>
        <v>1.7625599999999999</v>
      </c>
    </row>
    <row r="66" spans="1:12">
      <c r="A66" s="7" t="s">
        <v>12</v>
      </c>
      <c r="B66" s="8">
        <v>1100700891</v>
      </c>
      <c r="C66" s="8" t="s">
        <v>65</v>
      </c>
      <c r="D66" s="8" t="s">
        <v>14</v>
      </c>
      <c r="E66" s="9">
        <v>2</v>
      </c>
      <c r="F66" s="8" t="s">
        <v>15</v>
      </c>
      <c r="G66" s="8" t="s">
        <v>14</v>
      </c>
      <c r="H66" s="8" t="s">
        <v>14</v>
      </c>
      <c r="I66" s="8" t="s">
        <v>89</v>
      </c>
      <c r="J66" s="8" t="s">
        <v>17</v>
      </c>
      <c r="K66" s="2">
        <v>0.17095199999999999</v>
      </c>
      <c r="L66" s="3">
        <f t="shared" si="1"/>
        <v>0.34190399999999999</v>
      </c>
    </row>
    <row r="67" spans="1:12">
      <c r="A67" s="7" t="s">
        <v>12</v>
      </c>
      <c r="B67" s="8">
        <v>1100700921</v>
      </c>
      <c r="C67" s="8" t="s">
        <v>65</v>
      </c>
      <c r="D67" s="8" t="s">
        <v>14</v>
      </c>
      <c r="E67" s="9">
        <v>1</v>
      </c>
      <c r="F67" s="8" t="s">
        <v>15</v>
      </c>
      <c r="G67" s="8" t="s">
        <v>14</v>
      </c>
      <c r="H67" s="8" t="s">
        <v>14</v>
      </c>
      <c r="I67" s="8" t="s">
        <v>90</v>
      </c>
      <c r="J67" s="8" t="s">
        <v>17</v>
      </c>
      <c r="K67" s="2">
        <v>8.9555999999999997E-2</v>
      </c>
      <c r="L67" s="3">
        <f t="shared" ref="L67:L98" si="2">E67*K67</f>
        <v>8.9555999999999997E-2</v>
      </c>
    </row>
    <row r="68" spans="1:12">
      <c r="A68" s="7" t="s">
        <v>12</v>
      </c>
      <c r="B68" s="8">
        <v>1100700630</v>
      </c>
      <c r="C68" s="8" t="s">
        <v>65</v>
      </c>
      <c r="D68" s="8" t="s">
        <v>14</v>
      </c>
      <c r="E68" s="9">
        <v>1</v>
      </c>
      <c r="F68" s="8" t="s">
        <v>15</v>
      </c>
      <c r="G68" s="8" t="s">
        <v>14</v>
      </c>
      <c r="H68" s="8" t="s">
        <v>14</v>
      </c>
      <c r="I68" s="8" t="s">
        <v>91</v>
      </c>
      <c r="J68" s="8" t="s">
        <v>17</v>
      </c>
      <c r="K68" s="2">
        <v>0.17136000000000001</v>
      </c>
      <c r="L68" s="3">
        <f t="shared" si="2"/>
        <v>0.17136000000000001</v>
      </c>
    </row>
    <row r="69" spans="1:12">
      <c r="A69" s="7" t="s">
        <v>12</v>
      </c>
      <c r="B69" s="8">
        <v>1100700081</v>
      </c>
      <c r="C69" s="8" t="s">
        <v>65</v>
      </c>
      <c r="D69" s="8" t="s">
        <v>14</v>
      </c>
      <c r="E69" s="9">
        <v>5</v>
      </c>
      <c r="F69" s="8" t="s">
        <v>15</v>
      </c>
      <c r="G69" s="8" t="s">
        <v>14</v>
      </c>
      <c r="H69" s="8" t="s">
        <v>14</v>
      </c>
      <c r="I69" s="8" t="s">
        <v>92</v>
      </c>
      <c r="J69" s="8" t="s">
        <v>17</v>
      </c>
      <c r="K69" s="2">
        <v>2.8333560000000001E-2</v>
      </c>
      <c r="L69" s="3">
        <f t="shared" si="2"/>
        <v>0.14166780000000001</v>
      </c>
    </row>
    <row r="70" spans="1:12">
      <c r="A70" s="7" t="s">
        <v>12</v>
      </c>
      <c r="B70" s="8">
        <v>1100700041</v>
      </c>
      <c r="C70" s="8" t="s">
        <v>65</v>
      </c>
      <c r="D70" s="8" t="s">
        <v>14</v>
      </c>
      <c r="E70" s="9">
        <v>4</v>
      </c>
      <c r="F70" s="8" t="s">
        <v>15</v>
      </c>
      <c r="G70" s="8" t="s">
        <v>14</v>
      </c>
      <c r="H70" s="8" t="s">
        <v>14</v>
      </c>
      <c r="I70" s="8" t="s">
        <v>93</v>
      </c>
      <c r="J70" s="8" t="s">
        <v>17</v>
      </c>
      <c r="K70" s="2">
        <v>5.5385999999999998E-2</v>
      </c>
      <c r="L70" s="3">
        <f t="shared" si="2"/>
        <v>0.22154399999999999</v>
      </c>
    </row>
    <row r="71" spans="1:12">
      <c r="A71" s="7" t="s">
        <v>12</v>
      </c>
      <c r="B71" s="8">
        <v>1100702640</v>
      </c>
      <c r="C71" s="8" t="s">
        <v>65</v>
      </c>
      <c r="D71" s="8" t="s">
        <v>14</v>
      </c>
      <c r="E71" s="9">
        <v>4</v>
      </c>
      <c r="F71" s="8" t="s">
        <v>15</v>
      </c>
      <c r="G71" s="8" t="s">
        <v>14</v>
      </c>
      <c r="H71" s="8" t="s">
        <v>14</v>
      </c>
      <c r="I71" s="8" t="s">
        <v>94</v>
      </c>
      <c r="J71" s="8" t="s">
        <v>17</v>
      </c>
      <c r="K71" s="2">
        <v>4.6920000000000003E-2</v>
      </c>
      <c r="L71" s="3">
        <f t="shared" si="2"/>
        <v>0.18768000000000001</v>
      </c>
    </row>
    <row r="72" spans="1:12">
      <c r="A72" s="7" t="s">
        <v>12</v>
      </c>
      <c r="B72" s="8">
        <v>1100104150</v>
      </c>
      <c r="C72" s="8" t="s">
        <v>22</v>
      </c>
      <c r="D72" s="8" t="s">
        <v>14</v>
      </c>
      <c r="E72" s="9">
        <v>1</v>
      </c>
      <c r="F72" s="8" t="s">
        <v>15</v>
      </c>
      <c r="G72" s="8" t="s">
        <v>14</v>
      </c>
      <c r="H72" s="8" t="s">
        <v>14</v>
      </c>
      <c r="I72" s="8" t="s">
        <v>95</v>
      </c>
      <c r="J72" s="8" t="s">
        <v>17</v>
      </c>
      <c r="K72" s="2">
        <v>1.8768000000000001E-3</v>
      </c>
      <c r="L72" s="3">
        <f t="shared" si="2"/>
        <v>1.8768000000000001E-3</v>
      </c>
    </row>
    <row r="73" spans="1:12">
      <c r="A73" s="10" t="s">
        <v>12</v>
      </c>
      <c r="B73" s="11">
        <v>1160100260</v>
      </c>
      <c r="C73" s="11" t="s">
        <v>96</v>
      </c>
      <c r="D73" s="11" t="s">
        <v>14</v>
      </c>
      <c r="E73" s="12">
        <v>5.9999999999999995E-4</v>
      </c>
      <c r="F73" s="11" t="s">
        <v>97</v>
      </c>
      <c r="G73" s="11" t="s">
        <v>14</v>
      </c>
      <c r="H73" s="11" t="s">
        <v>14</v>
      </c>
      <c r="I73" s="11" t="s">
        <v>98</v>
      </c>
      <c r="J73" s="11" t="s">
        <v>17</v>
      </c>
      <c r="K73" s="2">
        <v>495.72</v>
      </c>
      <c r="L73" s="3">
        <f t="shared" si="2"/>
        <v>0.29743199999999997</v>
      </c>
    </row>
    <row r="74" spans="1:12">
      <c r="A74" s="10" t="s">
        <v>99</v>
      </c>
      <c r="B74" s="11">
        <v>5045002910</v>
      </c>
      <c r="C74" s="11" t="s">
        <v>100</v>
      </c>
      <c r="D74" s="11" t="s">
        <v>14</v>
      </c>
      <c r="E74" s="12">
        <v>1</v>
      </c>
      <c r="F74" s="11" t="s">
        <v>15</v>
      </c>
      <c r="G74" s="11" t="s">
        <v>14</v>
      </c>
      <c r="H74" s="11" t="s">
        <v>14</v>
      </c>
      <c r="I74" s="11" t="s">
        <v>100</v>
      </c>
      <c r="J74" s="11" t="s">
        <v>101</v>
      </c>
      <c r="K74" s="2">
        <v>0</v>
      </c>
      <c r="L74" s="3">
        <f t="shared" si="2"/>
        <v>0</v>
      </c>
    </row>
    <row r="75" spans="1:12">
      <c r="A75" s="7" t="s">
        <v>12</v>
      </c>
      <c r="B75" s="8">
        <v>1101403890</v>
      </c>
      <c r="C75" s="8" t="s">
        <v>102</v>
      </c>
      <c r="D75" s="8" t="s">
        <v>14</v>
      </c>
      <c r="E75" s="9">
        <v>1</v>
      </c>
      <c r="F75" s="8" t="s">
        <v>15</v>
      </c>
      <c r="G75" s="8" t="s">
        <v>14</v>
      </c>
      <c r="H75" s="8" t="s">
        <v>14</v>
      </c>
      <c r="I75" s="8" t="s">
        <v>103</v>
      </c>
      <c r="J75" s="8" t="s">
        <v>101</v>
      </c>
      <c r="K75" s="2">
        <v>9.894E-2</v>
      </c>
      <c r="L75" s="3">
        <f t="shared" si="2"/>
        <v>9.894E-2</v>
      </c>
    </row>
    <row r="76" spans="1:12">
      <c r="A76" s="7" t="s">
        <v>12</v>
      </c>
      <c r="B76" s="8">
        <v>1100501920</v>
      </c>
      <c r="C76" s="8" t="s">
        <v>104</v>
      </c>
      <c r="D76" s="8" t="s">
        <v>14</v>
      </c>
      <c r="E76" s="9">
        <v>1</v>
      </c>
      <c r="F76" s="8" t="s">
        <v>15</v>
      </c>
      <c r="G76" s="8" t="s">
        <v>14</v>
      </c>
      <c r="H76" s="8" t="s">
        <v>14</v>
      </c>
      <c r="I76" s="8" t="s">
        <v>105</v>
      </c>
      <c r="J76" s="8" t="s">
        <v>101</v>
      </c>
      <c r="K76" s="2">
        <v>0.15809999999999999</v>
      </c>
      <c r="L76" s="3">
        <f t="shared" si="2"/>
        <v>0.15809999999999999</v>
      </c>
    </row>
    <row r="77" spans="1:12">
      <c r="A77" s="7" t="s">
        <v>12</v>
      </c>
      <c r="B77" s="8">
        <v>1100501940</v>
      </c>
      <c r="C77" s="8" t="s">
        <v>104</v>
      </c>
      <c r="D77" s="8" t="s">
        <v>14</v>
      </c>
      <c r="E77" s="9">
        <v>3</v>
      </c>
      <c r="F77" s="8" t="s">
        <v>15</v>
      </c>
      <c r="G77" s="8" t="s">
        <v>14</v>
      </c>
      <c r="H77" s="8" t="s">
        <v>14</v>
      </c>
      <c r="I77" s="8" t="s">
        <v>106</v>
      </c>
      <c r="J77" s="8" t="s">
        <v>101</v>
      </c>
      <c r="K77" s="2">
        <v>8.1600000000000006E-2</v>
      </c>
      <c r="L77" s="3">
        <f t="shared" si="2"/>
        <v>0.24479999999999999</v>
      </c>
    </row>
    <row r="78" spans="1:12">
      <c r="A78" s="7" t="s">
        <v>12</v>
      </c>
      <c r="B78" s="8">
        <v>1100500712</v>
      </c>
      <c r="C78" s="8" t="s">
        <v>104</v>
      </c>
      <c r="D78" s="8" t="s">
        <v>14</v>
      </c>
      <c r="E78" s="9">
        <v>1</v>
      </c>
      <c r="F78" s="8" t="s">
        <v>15</v>
      </c>
      <c r="G78" s="8" t="s">
        <v>14</v>
      </c>
      <c r="H78" s="8" t="s">
        <v>14</v>
      </c>
      <c r="I78" s="8" t="s">
        <v>107</v>
      </c>
      <c r="J78" s="8" t="s">
        <v>101</v>
      </c>
      <c r="K78" s="2">
        <v>7.9560000000000006E-2</v>
      </c>
      <c r="L78" s="3">
        <f t="shared" si="2"/>
        <v>7.9560000000000006E-2</v>
      </c>
    </row>
    <row r="79" spans="1:12">
      <c r="A79" s="7" t="s">
        <v>12</v>
      </c>
      <c r="B79" s="8">
        <v>1100500721</v>
      </c>
      <c r="C79" s="8" t="s">
        <v>104</v>
      </c>
      <c r="D79" s="8" t="s">
        <v>14</v>
      </c>
      <c r="E79" s="9">
        <v>1</v>
      </c>
      <c r="F79" s="8" t="s">
        <v>15</v>
      </c>
      <c r="G79" s="8" t="s">
        <v>14</v>
      </c>
      <c r="H79" s="8" t="s">
        <v>14</v>
      </c>
      <c r="I79" s="8" t="s">
        <v>108</v>
      </c>
      <c r="J79" s="8" t="s">
        <v>101</v>
      </c>
      <c r="K79" s="2">
        <v>0.1071</v>
      </c>
      <c r="L79" s="3">
        <f t="shared" si="2"/>
        <v>0.1071</v>
      </c>
    </row>
    <row r="80" spans="1:12">
      <c r="A80" s="7" t="s">
        <v>12</v>
      </c>
      <c r="B80" s="8">
        <v>1100500731</v>
      </c>
      <c r="C80" s="8" t="s">
        <v>104</v>
      </c>
      <c r="D80" s="8" t="s">
        <v>14</v>
      </c>
      <c r="E80" s="9">
        <v>1</v>
      </c>
      <c r="F80" s="8" t="s">
        <v>15</v>
      </c>
      <c r="G80" s="8" t="s">
        <v>14</v>
      </c>
      <c r="H80" s="8" t="s">
        <v>14</v>
      </c>
      <c r="I80" s="8" t="s">
        <v>109</v>
      </c>
      <c r="J80" s="8" t="s">
        <v>101</v>
      </c>
      <c r="K80" s="2">
        <v>0.28560000000000002</v>
      </c>
      <c r="L80" s="3">
        <f t="shared" si="2"/>
        <v>0.28560000000000002</v>
      </c>
    </row>
    <row r="81" spans="1:12">
      <c r="A81" s="7" t="s">
        <v>12</v>
      </c>
      <c r="B81" s="8">
        <v>1100500740</v>
      </c>
      <c r="C81" s="8" t="s">
        <v>104</v>
      </c>
      <c r="D81" s="8" t="s">
        <v>14</v>
      </c>
      <c r="E81" s="9">
        <v>5</v>
      </c>
      <c r="F81" s="8" t="s">
        <v>15</v>
      </c>
      <c r="G81" s="8" t="s">
        <v>14</v>
      </c>
      <c r="H81" s="8" t="s">
        <v>14</v>
      </c>
      <c r="I81" s="8" t="s">
        <v>110</v>
      </c>
      <c r="J81" s="8" t="s">
        <v>101</v>
      </c>
      <c r="K81" s="2">
        <v>0.12239999999999999</v>
      </c>
      <c r="L81" s="3">
        <f t="shared" si="2"/>
        <v>0.61199999999999999</v>
      </c>
    </row>
    <row r="82" spans="1:12">
      <c r="A82" s="7" t="s">
        <v>12</v>
      </c>
      <c r="B82" s="8">
        <v>1100500750</v>
      </c>
      <c r="C82" s="8" t="s">
        <v>104</v>
      </c>
      <c r="D82" s="8" t="s">
        <v>14</v>
      </c>
      <c r="E82" s="9">
        <v>1</v>
      </c>
      <c r="F82" s="8" t="s">
        <v>15</v>
      </c>
      <c r="G82" s="8" t="s">
        <v>14</v>
      </c>
      <c r="H82" s="8" t="s">
        <v>14</v>
      </c>
      <c r="I82" s="8" t="s">
        <v>111</v>
      </c>
      <c r="J82" s="8" t="s">
        <v>101</v>
      </c>
      <c r="K82" s="2">
        <v>0.13974</v>
      </c>
      <c r="L82" s="3">
        <f t="shared" si="2"/>
        <v>0.13974</v>
      </c>
    </row>
    <row r="83" spans="1:12">
      <c r="A83" s="7" t="s">
        <v>12</v>
      </c>
      <c r="B83" s="8">
        <v>1101500220</v>
      </c>
      <c r="C83" s="8" t="s">
        <v>112</v>
      </c>
      <c r="D83" s="8" t="s">
        <v>14</v>
      </c>
      <c r="E83" s="9">
        <v>1</v>
      </c>
      <c r="F83" s="8" t="s">
        <v>15</v>
      </c>
      <c r="G83" s="8" t="s">
        <v>14</v>
      </c>
      <c r="H83" s="8" t="s">
        <v>14</v>
      </c>
      <c r="I83" s="8" t="s">
        <v>113</v>
      </c>
      <c r="J83" s="8" t="s">
        <v>101</v>
      </c>
      <c r="K83" s="2">
        <v>0.83</v>
      </c>
      <c r="L83" s="3">
        <f t="shared" si="2"/>
        <v>0.83</v>
      </c>
    </row>
    <row r="84" spans="1:12">
      <c r="A84" s="7" t="s">
        <v>12</v>
      </c>
      <c r="B84" s="8">
        <v>1100500920</v>
      </c>
      <c r="C84" s="8" t="s">
        <v>104</v>
      </c>
      <c r="D84" s="8" t="s">
        <v>14</v>
      </c>
      <c r="E84" s="9">
        <v>1</v>
      </c>
      <c r="F84" s="8" t="s">
        <v>15</v>
      </c>
      <c r="G84" s="8" t="s">
        <v>14</v>
      </c>
      <c r="H84" s="8" t="s">
        <v>14</v>
      </c>
      <c r="I84" s="8" t="s">
        <v>114</v>
      </c>
      <c r="J84" s="8" t="s">
        <v>101</v>
      </c>
      <c r="K84" s="2">
        <v>2.1800000000000002</v>
      </c>
      <c r="L84" s="3">
        <f t="shared" si="2"/>
        <v>2.1800000000000002</v>
      </c>
    </row>
    <row r="85" spans="1:12">
      <c r="A85" s="7" t="s">
        <v>12</v>
      </c>
      <c r="B85" s="8">
        <v>1101601050</v>
      </c>
      <c r="C85" s="8" t="s">
        <v>18</v>
      </c>
      <c r="D85" s="8" t="s">
        <v>14</v>
      </c>
      <c r="E85" s="9">
        <v>1</v>
      </c>
      <c r="F85" s="8" t="s">
        <v>15</v>
      </c>
      <c r="G85" s="8" t="s">
        <v>14</v>
      </c>
      <c r="H85" s="8" t="s">
        <v>14</v>
      </c>
      <c r="I85" s="8" t="s">
        <v>115</v>
      </c>
      <c r="J85" s="8" t="s">
        <v>101</v>
      </c>
      <c r="K85" s="2">
        <v>1.734</v>
      </c>
      <c r="L85" s="3">
        <f t="shared" si="2"/>
        <v>1.734</v>
      </c>
    </row>
    <row r="86" spans="1:12">
      <c r="A86" s="7" t="s">
        <v>12</v>
      </c>
      <c r="B86" s="8">
        <v>1101601010</v>
      </c>
      <c r="C86" s="8" t="s">
        <v>116</v>
      </c>
      <c r="D86" s="8" t="s">
        <v>14</v>
      </c>
      <c r="E86" s="9">
        <v>1</v>
      </c>
      <c r="F86" s="8" t="s">
        <v>15</v>
      </c>
      <c r="G86" s="8" t="s">
        <v>14</v>
      </c>
      <c r="H86" s="8" t="s">
        <v>14</v>
      </c>
      <c r="I86" s="8" t="s">
        <v>117</v>
      </c>
      <c r="J86" s="8" t="s">
        <v>101</v>
      </c>
      <c r="K86" s="2">
        <v>6.6299999999999998E-2</v>
      </c>
      <c r="L86" s="3">
        <f t="shared" si="2"/>
        <v>6.6299999999999998E-2</v>
      </c>
    </row>
    <row r="87" spans="1:12">
      <c r="A87" s="7" t="s">
        <v>12</v>
      </c>
      <c r="B87" s="8">
        <v>1100501950</v>
      </c>
      <c r="C87" s="8" t="s">
        <v>104</v>
      </c>
      <c r="D87" s="8" t="s">
        <v>14</v>
      </c>
      <c r="E87" s="9">
        <v>2</v>
      </c>
      <c r="F87" s="8" t="s">
        <v>15</v>
      </c>
      <c r="G87" s="8" t="s">
        <v>14</v>
      </c>
      <c r="H87" s="8" t="s">
        <v>14</v>
      </c>
      <c r="I87" s="8" t="s">
        <v>118</v>
      </c>
      <c r="J87" s="8" t="s">
        <v>101</v>
      </c>
      <c r="K87" s="2">
        <v>0.22439999999999999</v>
      </c>
      <c r="L87" s="3">
        <f t="shared" si="2"/>
        <v>0.44879999999999998</v>
      </c>
    </row>
    <row r="88" spans="1:12">
      <c r="A88" s="7" t="s">
        <v>12</v>
      </c>
      <c r="B88" s="8">
        <v>1100900510</v>
      </c>
      <c r="C88" s="8" t="s">
        <v>20</v>
      </c>
      <c r="D88" s="8" t="s">
        <v>14</v>
      </c>
      <c r="E88" s="9">
        <v>1</v>
      </c>
      <c r="F88" s="8" t="s">
        <v>15</v>
      </c>
      <c r="G88" s="8" t="s">
        <v>14</v>
      </c>
      <c r="H88" s="8" t="s">
        <v>14</v>
      </c>
      <c r="I88" s="8" t="s">
        <v>119</v>
      </c>
      <c r="J88" s="8" t="s">
        <v>101</v>
      </c>
      <c r="K88" s="2">
        <v>1.3223259999999999</v>
      </c>
      <c r="L88" s="3">
        <f t="shared" si="2"/>
        <v>1.3223259999999999</v>
      </c>
    </row>
    <row r="89" spans="1:12">
      <c r="A89" s="7" t="s">
        <v>12</v>
      </c>
      <c r="B89" s="8">
        <v>1100600190</v>
      </c>
      <c r="C89" s="8" t="s">
        <v>120</v>
      </c>
      <c r="D89" s="8" t="s">
        <v>14</v>
      </c>
      <c r="E89" s="9">
        <v>1</v>
      </c>
      <c r="F89" s="8" t="s">
        <v>15</v>
      </c>
      <c r="G89" s="8" t="s">
        <v>14</v>
      </c>
      <c r="H89" s="8" t="s">
        <v>14</v>
      </c>
      <c r="I89" s="8" t="s">
        <v>121</v>
      </c>
      <c r="J89" s="8" t="s">
        <v>101</v>
      </c>
      <c r="K89" s="2">
        <v>0.28560000000000002</v>
      </c>
      <c r="L89" s="3">
        <f t="shared" si="2"/>
        <v>0.28560000000000002</v>
      </c>
    </row>
    <row r="90" spans="1:12">
      <c r="A90" s="7" t="s">
        <v>12</v>
      </c>
      <c r="B90" s="8">
        <v>1101400060</v>
      </c>
      <c r="C90" s="8" t="s">
        <v>102</v>
      </c>
      <c r="D90" s="8" t="s">
        <v>14</v>
      </c>
      <c r="E90" s="9">
        <v>1</v>
      </c>
      <c r="F90" s="8" t="s">
        <v>15</v>
      </c>
      <c r="G90" s="8" t="s">
        <v>14</v>
      </c>
      <c r="H90" s="8" t="s">
        <v>14</v>
      </c>
      <c r="I90" s="8" t="s">
        <v>122</v>
      </c>
      <c r="J90" s="8" t="s">
        <v>101</v>
      </c>
      <c r="K90" s="2">
        <v>0.10761</v>
      </c>
      <c r="L90" s="3">
        <f t="shared" si="2"/>
        <v>0.10761</v>
      </c>
    </row>
    <row r="91" spans="1:12">
      <c r="A91" s="7" t="s">
        <v>12</v>
      </c>
      <c r="B91" s="8">
        <v>1101404030</v>
      </c>
      <c r="C91" s="8" t="s">
        <v>102</v>
      </c>
      <c r="D91" s="8" t="s">
        <v>14</v>
      </c>
      <c r="E91" s="9">
        <v>2</v>
      </c>
      <c r="F91" s="8" t="s">
        <v>15</v>
      </c>
      <c r="G91" s="8" t="s">
        <v>14</v>
      </c>
      <c r="H91" s="8" t="s">
        <v>14</v>
      </c>
      <c r="I91" s="8" t="s">
        <v>123</v>
      </c>
      <c r="J91" s="8" t="s">
        <v>101</v>
      </c>
      <c r="K91" s="2">
        <v>0.13453799999999999</v>
      </c>
      <c r="L91" s="3">
        <f t="shared" si="2"/>
        <v>0.26907599999999998</v>
      </c>
    </row>
    <row r="92" spans="1:12">
      <c r="A92" s="7" t="s">
        <v>12</v>
      </c>
      <c r="B92" s="8">
        <v>1101000160</v>
      </c>
      <c r="C92" s="8" t="s">
        <v>124</v>
      </c>
      <c r="D92" s="8" t="s">
        <v>14</v>
      </c>
      <c r="E92" s="9">
        <v>1</v>
      </c>
      <c r="F92" s="8" t="s">
        <v>15</v>
      </c>
      <c r="G92" s="8" t="s">
        <v>14</v>
      </c>
      <c r="H92" s="8" t="s">
        <v>14</v>
      </c>
      <c r="I92" s="8" t="s">
        <v>125</v>
      </c>
      <c r="J92" s="8" t="s">
        <v>101</v>
      </c>
      <c r="K92" s="2">
        <v>0.52</v>
      </c>
      <c r="L92" s="3">
        <f t="shared" si="2"/>
        <v>0.52</v>
      </c>
    </row>
    <row r="93" spans="1:12">
      <c r="A93" s="7" t="s">
        <v>12</v>
      </c>
      <c r="B93" s="8">
        <v>1101403900</v>
      </c>
      <c r="C93" s="8" t="s">
        <v>102</v>
      </c>
      <c r="D93" s="8" t="s">
        <v>14</v>
      </c>
      <c r="E93" s="9">
        <v>1</v>
      </c>
      <c r="F93" s="8" t="s">
        <v>15</v>
      </c>
      <c r="G93" s="8" t="s">
        <v>14</v>
      </c>
      <c r="H93" s="8" t="s">
        <v>14</v>
      </c>
      <c r="I93" s="8" t="s">
        <v>126</v>
      </c>
      <c r="J93" s="8" t="s">
        <v>101</v>
      </c>
      <c r="K93" s="2">
        <v>7.2419999999999998E-2</v>
      </c>
      <c r="L93" s="3">
        <f t="shared" si="2"/>
        <v>7.2419999999999998E-2</v>
      </c>
    </row>
    <row r="94" spans="1:12">
      <c r="A94" s="7" t="s">
        <v>12</v>
      </c>
      <c r="B94" s="8">
        <v>1100400240</v>
      </c>
      <c r="C94" s="8" t="s">
        <v>127</v>
      </c>
      <c r="D94" s="8" t="s">
        <v>14</v>
      </c>
      <c r="E94" s="9">
        <v>1</v>
      </c>
      <c r="F94" s="8" t="s">
        <v>15</v>
      </c>
      <c r="G94" s="8" t="s">
        <v>14</v>
      </c>
      <c r="H94" s="8" t="s">
        <v>14</v>
      </c>
      <c r="I94" s="8" t="s">
        <v>128</v>
      </c>
      <c r="J94" s="8" t="s">
        <v>101</v>
      </c>
      <c r="K94" s="2">
        <v>0.11985</v>
      </c>
      <c r="L94" s="3">
        <f t="shared" si="2"/>
        <v>0.11985</v>
      </c>
    </row>
    <row r="95" spans="1:12">
      <c r="A95" s="7" t="s">
        <v>12</v>
      </c>
      <c r="B95" s="8">
        <v>1101500070</v>
      </c>
      <c r="C95" s="8" t="s">
        <v>129</v>
      </c>
      <c r="D95" s="8" t="s">
        <v>14</v>
      </c>
      <c r="E95" s="9">
        <v>1</v>
      </c>
      <c r="F95" s="8" t="s">
        <v>15</v>
      </c>
      <c r="G95" s="8" t="s">
        <v>14</v>
      </c>
      <c r="H95" s="8" t="s">
        <v>14</v>
      </c>
      <c r="I95" s="8" t="s">
        <v>130</v>
      </c>
      <c r="J95" s="8" t="s">
        <v>101</v>
      </c>
      <c r="K95" s="2">
        <v>1.7314499999999999</v>
      </c>
      <c r="L95" s="3">
        <f t="shared" si="2"/>
        <v>1.7314499999999999</v>
      </c>
    </row>
    <row r="96" spans="1:12">
      <c r="A96" s="7" t="s">
        <v>12</v>
      </c>
      <c r="B96" s="8">
        <v>1100400081</v>
      </c>
      <c r="C96" s="8" t="s">
        <v>127</v>
      </c>
      <c r="D96" s="8" t="s">
        <v>14</v>
      </c>
      <c r="E96" s="9">
        <v>1</v>
      </c>
      <c r="F96" s="8" t="s">
        <v>15</v>
      </c>
      <c r="G96" s="8" t="s">
        <v>14</v>
      </c>
      <c r="H96" s="8" t="s">
        <v>14</v>
      </c>
      <c r="I96" s="8" t="s">
        <v>131</v>
      </c>
      <c r="J96" s="8" t="s">
        <v>101</v>
      </c>
      <c r="K96" s="2">
        <v>0.42330000000000001</v>
      </c>
      <c r="L96" s="3">
        <f t="shared" si="2"/>
        <v>0.42330000000000001</v>
      </c>
    </row>
    <row r="97" spans="1:12">
      <c r="A97" s="7" t="s">
        <v>12</v>
      </c>
      <c r="B97" s="8">
        <v>1101600125</v>
      </c>
      <c r="C97" s="8" t="s">
        <v>132</v>
      </c>
      <c r="D97" s="8" t="s">
        <v>14</v>
      </c>
      <c r="E97" s="9">
        <v>1</v>
      </c>
      <c r="F97" s="8" t="s">
        <v>15</v>
      </c>
      <c r="G97" s="8" t="s">
        <v>14</v>
      </c>
      <c r="H97" s="8" t="s">
        <v>14</v>
      </c>
      <c r="I97" s="8" t="s">
        <v>133</v>
      </c>
      <c r="J97" s="8" t="s">
        <v>101</v>
      </c>
      <c r="K97" s="2">
        <v>0.13769999999999999</v>
      </c>
      <c r="L97" s="3">
        <f t="shared" si="2"/>
        <v>0.13769999999999999</v>
      </c>
    </row>
    <row r="98" spans="1:12">
      <c r="A98" s="7" t="s">
        <v>12</v>
      </c>
      <c r="B98" s="8">
        <v>1101100120</v>
      </c>
      <c r="C98" s="8" t="s">
        <v>134</v>
      </c>
      <c r="D98" s="8" t="s">
        <v>14</v>
      </c>
      <c r="E98" s="9">
        <v>1</v>
      </c>
      <c r="F98" s="8" t="s">
        <v>15</v>
      </c>
      <c r="G98" s="8" t="s">
        <v>14</v>
      </c>
      <c r="H98" s="8" t="s">
        <v>14</v>
      </c>
      <c r="I98" s="8" t="s">
        <v>135</v>
      </c>
      <c r="J98" s="8" t="s">
        <v>101</v>
      </c>
      <c r="K98" s="2">
        <v>2.6928000000000001</v>
      </c>
      <c r="L98" s="3">
        <f t="shared" si="2"/>
        <v>2.6928000000000001</v>
      </c>
    </row>
    <row r="99" spans="1:12">
      <c r="A99" s="7" t="s">
        <v>12</v>
      </c>
      <c r="B99" s="8">
        <v>1101403910</v>
      </c>
      <c r="C99" s="8" t="s">
        <v>102</v>
      </c>
      <c r="D99" s="8" t="s">
        <v>14</v>
      </c>
      <c r="E99" s="9">
        <v>1</v>
      </c>
      <c r="F99" s="8" t="s">
        <v>15</v>
      </c>
      <c r="G99" s="8" t="s">
        <v>14</v>
      </c>
      <c r="H99" s="8" t="s">
        <v>14</v>
      </c>
      <c r="I99" s="8" t="s">
        <v>136</v>
      </c>
      <c r="J99" s="8" t="s">
        <v>101</v>
      </c>
      <c r="K99" s="2">
        <v>0.27050400000000002</v>
      </c>
      <c r="L99" s="3">
        <f t="shared" ref="L99:L108" si="3">E99*K99</f>
        <v>0.27050400000000002</v>
      </c>
    </row>
    <row r="100" spans="1:12">
      <c r="A100" s="7" t="s">
        <v>12</v>
      </c>
      <c r="B100" s="8">
        <v>1101400161</v>
      </c>
      <c r="C100" s="8" t="s">
        <v>102</v>
      </c>
      <c r="D100" s="8" t="s">
        <v>14</v>
      </c>
      <c r="E100" s="9">
        <v>1</v>
      </c>
      <c r="F100" s="8" t="s">
        <v>15</v>
      </c>
      <c r="G100" s="8" t="s">
        <v>14</v>
      </c>
      <c r="H100" s="8" t="s">
        <v>14</v>
      </c>
      <c r="I100" s="8" t="s">
        <v>137</v>
      </c>
      <c r="J100" s="8" t="s">
        <v>101</v>
      </c>
      <c r="K100" s="2">
        <v>0.1176162</v>
      </c>
      <c r="L100" s="3">
        <f t="shared" si="3"/>
        <v>0.1176162</v>
      </c>
    </row>
    <row r="101" spans="1:12">
      <c r="A101" s="7" t="s">
        <v>12</v>
      </c>
      <c r="B101" s="8">
        <v>1100501930</v>
      </c>
      <c r="C101" s="8" t="s">
        <v>104</v>
      </c>
      <c r="D101" s="8" t="s">
        <v>14</v>
      </c>
      <c r="E101" s="9">
        <v>1</v>
      </c>
      <c r="F101" s="8" t="s">
        <v>15</v>
      </c>
      <c r="G101" s="8" t="s">
        <v>14</v>
      </c>
      <c r="H101" s="8" t="s">
        <v>14</v>
      </c>
      <c r="I101" s="8" t="s">
        <v>138</v>
      </c>
      <c r="J101" s="8" t="s">
        <v>101</v>
      </c>
      <c r="K101" s="2">
        <v>1.1424000000000001</v>
      </c>
      <c r="L101" s="3">
        <f t="shared" si="3"/>
        <v>1.1424000000000001</v>
      </c>
    </row>
    <row r="102" spans="1:12">
      <c r="A102" s="7" t="s">
        <v>12</v>
      </c>
      <c r="B102" s="8">
        <v>1101400700</v>
      </c>
      <c r="C102" s="8" t="s">
        <v>102</v>
      </c>
      <c r="D102" s="8" t="s">
        <v>14</v>
      </c>
      <c r="E102" s="9">
        <v>1</v>
      </c>
      <c r="F102" s="8" t="s">
        <v>15</v>
      </c>
      <c r="G102" s="8" t="s">
        <v>14</v>
      </c>
      <c r="H102" s="8" t="s">
        <v>14</v>
      </c>
      <c r="I102" s="8" t="s">
        <v>139</v>
      </c>
      <c r="J102" s="8" t="s">
        <v>101</v>
      </c>
      <c r="K102" s="2">
        <v>7.1461200000000002E-2</v>
      </c>
      <c r="L102" s="3">
        <f t="shared" si="3"/>
        <v>7.1461200000000002E-2</v>
      </c>
    </row>
    <row r="103" spans="1:12">
      <c r="A103" s="7" t="s">
        <v>12</v>
      </c>
      <c r="B103" s="8">
        <v>1101400720</v>
      </c>
      <c r="C103" s="8" t="s">
        <v>102</v>
      </c>
      <c r="D103" s="8" t="s">
        <v>14</v>
      </c>
      <c r="E103" s="9">
        <v>1</v>
      </c>
      <c r="F103" s="8" t="s">
        <v>15</v>
      </c>
      <c r="G103" s="8" t="s">
        <v>14</v>
      </c>
      <c r="H103" s="8" t="s">
        <v>14</v>
      </c>
      <c r="I103" s="8" t="s">
        <v>140</v>
      </c>
      <c r="J103" s="8" t="s">
        <v>101</v>
      </c>
      <c r="K103" s="2">
        <v>0.1014288</v>
      </c>
      <c r="L103" s="3">
        <f t="shared" si="3"/>
        <v>0.1014288</v>
      </c>
    </row>
    <row r="104" spans="1:12">
      <c r="A104" s="10" t="s">
        <v>12</v>
      </c>
      <c r="B104" s="11">
        <v>1160100020</v>
      </c>
      <c r="C104" s="11" t="s">
        <v>141</v>
      </c>
      <c r="D104" s="11" t="s">
        <v>14</v>
      </c>
      <c r="E104" s="12">
        <v>6.1199999999999996E-3</v>
      </c>
      <c r="F104" s="11" t="s">
        <v>142</v>
      </c>
      <c r="G104" s="11" t="s">
        <v>14</v>
      </c>
      <c r="H104" s="11" t="s">
        <v>14</v>
      </c>
      <c r="I104" s="11" t="s">
        <v>143</v>
      </c>
      <c r="J104" s="11" t="s">
        <v>101</v>
      </c>
      <c r="K104" s="2">
        <v>16.422000000000001</v>
      </c>
      <c r="L104" s="3">
        <f t="shared" si="3"/>
        <v>0.10050264</v>
      </c>
    </row>
    <row r="105" spans="1:12">
      <c r="A105" s="10" t="s">
        <v>12</v>
      </c>
      <c r="B105" s="11">
        <v>1160100080</v>
      </c>
      <c r="C105" s="11" t="s">
        <v>144</v>
      </c>
      <c r="D105" s="11" t="s">
        <v>14</v>
      </c>
      <c r="E105" s="12">
        <v>5.3699999999999998E-3</v>
      </c>
      <c r="F105" s="11" t="s">
        <v>97</v>
      </c>
      <c r="G105" s="11" t="s">
        <v>14</v>
      </c>
      <c r="H105" s="11" t="s">
        <v>14</v>
      </c>
      <c r="I105" s="11" t="s">
        <v>145</v>
      </c>
      <c r="J105" s="11" t="s">
        <v>101</v>
      </c>
      <c r="K105" s="2">
        <v>425.08499999999998</v>
      </c>
      <c r="L105" s="3">
        <f t="shared" si="3"/>
        <v>2.2827064500000001</v>
      </c>
    </row>
    <row r="106" spans="1:12">
      <c r="A106" s="10" t="s">
        <v>12</v>
      </c>
      <c r="B106" s="11">
        <v>1160100040</v>
      </c>
      <c r="C106" s="11" t="s">
        <v>146</v>
      </c>
      <c r="D106" s="11" t="s">
        <v>14</v>
      </c>
      <c r="E106" s="12">
        <v>6.1199999999999996E-3</v>
      </c>
      <c r="F106" s="11" t="s">
        <v>142</v>
      </c>
      <c r="G106" s="11" t="s">
        <v>14</v>
      </c>
      <c r="H106" s="11" t="s">
        <v>14</v>
      </c>
      <c r="I106" s="11" t="s">
        <v>147</v>
      </c>
      <c r="J106" s="11" t="s">
        <v>148</v>
      </c>
      <c r="K106" s="2">
        <v>50.898000000000003</v>
      </c>
      <c r="L106" s="3">
        <f t="shared" si="3"/>
        <v>0.31149576000000001</v>
      </c>
    </row>
    <row r="107" spans="1:12">
      <c r="A107" s="10" t="s">
        <v>12</v>
      </c>
      <c r="B107" s="11">
        <v>1160100150</v>
      </c>
      <c r="C107" s="11" t="s">
        <v>149</v>
      </c>
      <c r="D107" s="11" t="s">
        <v>14</v>
      </c>
      <c r="E107" s="12">
        <v>4.0000000000000002E-4</v>
      </c>
      <c r="F107" s="11" t="s">
        <v>142</v>
      </c>
      <c r="G107" s="11" t="s">
        <v>14</v>
      </c>
      <c r="H107" s="11" t="s">
        <v>14</v>
      </c>
      <c r="I107" s="11" t="s">
        <v>150</v>
      </c>
      <c r="J107" s="11" t="s">
        <v>148</v>
      </c>
      <c r="K107" s="2">
        <v>88.403400000000005</v>
      </c>
      <c r="L107" s="3">
        <f t="shared" si="3"/>
        <v>3.5361360000000001E-2</v>
      </c>
    </row>
    <row r="108" spans="1:12">
      <c r="A108" s="10" t="s">
        <v>12</v>
      </c>
      <c r="B108" s="11">
        <v>1160100180</v>
      </c>
      <c r="C108" s="11" t="s">
        <v>151</v>
      </c>
      <c r="D108" s="11" t="s">
        <v>14</v>
      </c>
      <c r="E108" s="12">
        <v>4.0000000000000001E-3</v>
      </c>
      <c r="F108" s="11" t="s">
        <v>142</v>
      </c>
      <c r="G108" s="11" t="s">
        <v>14</v>
      </c>
      <c r="H108" s="11" t="s">
        <v>14</v>
      </c>
      <c r="I108" s="11" t="s">
        <v>152</v>
      </c>
      <c r="J108" s="11" t="s">
        <v>148</v>
      </c>
      <c r="K108" s="2">
        <v>41.82</v>
      </c>
      <c r="L108" s="3">
        <f t="shared" si="3"/>
        <v>0.16728000000000001</v>
      </c>
    </row>
    <row r="109" spans="1:12">
      <c r="A109" s="10" t="s">
        <v>12</v>
      </c>
      <c r="B109" s="11">
        <v>1160300070</v>
      </c>
      <c r="C109" s="11" t="s">
        <v>153</v>
      </c>
      <c r="D109" s="11" t="s">
        <v>14</v>
      </c>
      <c r="E109" s="12">
        <v>1</v>
      </c>
      <c r="F109" s="11" t="s">
        <v>15</v>
      </c>
      <c r="G109" s="11" t="s">
        <v>14</v>
      </c>
      <c r="H109" s="11" t="s">
        <v>14</v>
      </c>
      <c r="I109" s="11" t="s">
        <v>154</v>
      </c>
      <c r="J109" s="11" t="s">
        <v>148</v>
      </c>
      <c r="K109" s="2">
        <v>5.8175169599999998</v>
      </c>
      <c r="L109" s="3">
        <f>K109*E109/40</f>
        <v>0.145437924</v>
      </c>
    </row>
    <row r="110" spans="1:12">
      <c r="A110" s="10" t="s">
        <v>12</v>
      </c>
      <c r="B110" s="11">
        <v>1160300130</v>
      </c>
      <c r="C110" s="11" t="s">
        <v>155</v>
      </c>
      <c r="D110" s="11" t="s">
        <v>14</v>
      </c>
      <c r="E110" s="12">
        <v>10</v>
      </c>
      <c r="F110" s="11" t="s">
        <v>15</v>
      </c>
      <c r="G110" s="11" t="s">
        <v>14</v>
      </c>
      <c r="H110" s="11" t="s">
        <v>14</v>
      </c>
      <c r="I110" s="11" t="s">
        <v>156</v>
      </c>
      <c r="J110" s="11" t="s">
        <v>148</v>
      </c>
      <c r="K110" s="2">
        <v>0.29039399999999999</v>
      </c>
      <c r="L110" s="3">
        <f>K110*E110/40</f>
        <v>7.2598499999999996E-2</v>
      </c>
    </row>
    <row r="111" spans="1:12">
      <c r="A111" s="10" t="s">
        <v>12</v>
      </c>
      <c r="B111" s="11">
        <v>1160300140</v>
      </c>
      <c r="C111" s="11" t="s">
        <v>155</v>
      </c>
      <c r="D111" s="11" t="s">
        <v>14</v>
      </c>
      <c r="E111" s="12">
        <v>5</v>
      </c>
      <c r="F111" s="11" t="s">
        <v>15</v>
      </c>
      <c r="G111" s="11" t="s">
        <v>14</v>
      </c>
      <c r="H111" s="11" t="s">
        <v>14</v>
      </c>
      <c r="I111" s="11" t="s">
        <v>157</v>
      </c>
      <c r="J111" s="11" t="s">
        <v>148</v>
      </c>
      <c r="K111" s="2">
        <v>0.24017226</v>
      </c>
      <c r="L111" s="3">
        <f>K111*E111/40</f>
        <v>3.00215325E-2</v>
      </c>
    </row>
    <row r="112" spans="1:12">
      <c r="A112" s="10" t="s">
        <v>12</v>
      </c>
      <c r="B112" s="11">
        <v>1160301130</v>
      </c>
      <c r="C112" s="11" t="s">
        <v>158</v>
      </c>
      <c r="D112" s="11" t="s">
        <v>14</v>
      </c>
      <c r="E112" s="12">
        <v>1</v>
      </c>
      <c r="F112" s="11" t="s">
        <v>15</v>
      </c>
      <c r="G112" s="11" t="s">
        <v>14</v>
      </c>
      <c r="H112" s="11" t="s">
        <v>14</v>
      </c>
      <c r="I112" s="11" t="s">
        <v>159</v>
      </c>
      <c r="J112" s="11" t="s">
        <v>148</v>
      </c>
      <c r="K112" s="2">
        <v>7.7214000000000005E-2</v>
      </c>
      <c r="L112" s="3">
        <f>E112*K112</f>
        <v>7.7214000000000005E-2</v>
      </c>
    </row>
    <row r="113" spans="12:12">
      <c r="L113" s="3">
        <f>SUM(L2:L112)</f>
        <v>49.572968166499997</v>
      </c>
    </row>
  </sheetData>
  <autoFilter ref="A1:J112" xr:uid="{00000000-0009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母件结构查询-汇总式_汇总结果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HAIER</cp:lastModifiedBy>
  <dcterms:created xsi:type="dcterms:W3CDTF">2026-05-29T02:48:00Z</dcterms:created>
  <dcterms:modified xsi:type="dcterms:W3CDTF">2026-06-02T07:26:26Z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  <property fmtid="{D5CDD505-2E9C-101B-9397-08002B2CF9AE}" pid="4" name="ICV">
    <vt:lpwstr>36AA2D4C1EFE47C9B36F33E61DCF6410_12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