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文件\"/>
    </mc:Choice>
  </mc:AlternateContent>
  <xr:revisionPtr revIDLastSave="0" documentId="8_{9B692B6E-E850-4C77-AFAE-7DFCC60EDB7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使用说明" sheetId="1" r:id="rId1"/>
    <sheet name="报价汇总" sheetId="2" r:id="rId2"/>
    <sheet name="物料明细" sheetId="3" r:id="rId3"/>
    <sheet name="加工及工装" sheetId="4" r:id="rId4"/>
    <sheet name="参数" sheetId="5" r:id="rId5"/>
    <sheet name="包装计算" sheetId="6" r:id="rId6"/>
    <sheet name="跨越费率" sheetId="7" r:id="rId7"/>
    <sheet name="运费计算" sheetId="8" r:id="rId8"/>
  </sheets>
  <definedNames>
    <definedName name="_xlnm._FilterDatabase" localSheetId="3" hidden="1">加工及工装!$A$4:$H$12</definedName>
    <definedName name="_xlnm._FilterDatabase" localSheetId="6" hidden="1">跨越费率!$A$3:$Q$133</definedName>
    <definedName name="_xlnm._FilterDatabase" localSheetId="2" hidden="1">物料明细!$A$2:$I$102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4" l="1"/>
  <c r="E22" i="4"/>
  <c r="H21" i="4"/>
  <c r="E21" i="4"/>
  <c r="E20" i="4"/>
  <c r="H20" i="4" s="1"/>
  <c r="H19" i="4"/>
  <c r="E19" i="4"/>
  <c r="E18" i="4"/>
  <c r="E23" i="4" s="1"/>
  <c r="G13" i="4"/>
  <c r="F12" i="4"/>
  <c r="H12" i="4" s="1"/>
  <c r="D11" i="4"/>
  <c r="F11" i="4" s="1"/>
  <c r="H11" i="4" s="1"/>
  <c r="F10" i="4"/>
  <c r="H10" i="4" s="1"/>
  <c r="D10" i="4"/>
  <c r="D9" i="4"/>
  <c r="F9" i="4" s="1"/>
  <c r="H9" i="4" s="1"/>
  <c r="D8" i="4"/>
  <c r="F8" i="4" s="1"/>
  <c r="H8" i="4" s="1"/>
  <c r="F7" i="4"/>
  <c r="H7" i="4" s="1"/>
  <c r="F6" i="4"/>
  <c r="H6" i="4" s="1"/>
  <c r="H5" i="4"/>
  <c r="F5" i="4"/>
  <c r="F116" i="3"/>
  <c r="H116" i="3" s="1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F13" i="4" l="1"/>
  <c r="H18" i="4"/>
  <c r="H23" i="4" s="1"/>
  <c r="B34" i="2" l="1"/>
  <c r="B31" i="8"/>
  <c r="B30" i="8"/>
  <c r="B9" i="8"/>
  <c r="B6" i="8"/>
  <c r="B10" i="8" s="1"/>
  <c r="B5" i="8"/>
  <c r="B4" i="8"/>
  <c r="B11" i="8" s="1"/>
  <c r="B12" i="8" s="1"/>
  <c r="B67" i="6"/>
  <c r="B66" i="6"/>
  <c r="B65" i="6"/>
  <c r="C54" i="6"/>
  <c r="C53" i="6"/>
  <c r="C52" i="6"/>
  <c r="C51" i="6"/>
  <c r="C49" i="6"/>
  <c r="C48" i="6"/>
  <c r="C47" i="6"/>
  <c r="B9" i="6"/>
  <c r="B24" i="6" s="1"/>
  <c r="B8" i="6"/>
  <c r="B7" i="6"/>
  <c r="B6" i="6"/>
  <c r="B20" i="6" s="1"/>
  <c r="B5" i="6"/>
  <c r="B4" i="6"/>
  <c r="B33" i="2"/>
  <c r="B32" i="2"/>
  <c r="B35" i="2" s="1"/>
  <c r="B52" i="2"/>
  <c r="B51" i="2"/>
  <c r="B45" i="2"/>
  <c r="B42" i="2"/>
  <c r="B40" i="2"/>
  <c r="B31" i="2"/>
  <c r="B29" i="2"/>
  <c r="B28" i="2"/>
  <c r="D19" i="2"/>
  <c r="B7" i="2"/>
  <c r="B12" i="6" l="1"/>
  <c r="B29" i="6" s="1"/>
  <c r="B30" i="6" s="1"/>
  <c r="B21" i="6"/>
  <c r="B22" i="6" s="1"/>
  <c r="B23" i="6" s="1"/>
  <c r="B27" i="6" s="1"/>
  <c r="B23" i="8"/>
  <c r="B22" i="8"/>
  <c r="B28" i="8"/>
  <c r="B18" i="8"/>
  <c r="B13" i="6"/>
  <c r="B25" i="6" s="1"/>
  <c r="B26" i="6" s="1"/>
  <c r="B39" i="6"/>
  <c r="B33" i="6"/>
  <c r="B14" i="6" l="1"/>
  <c r="B15" i="6"/>
  <c r="B16" i="6"/>
  <c r="B28" i="6" l="1"/>
  <c r="B37" i="6"/>
  <c r="B38" i="6" s="1"/>
  <c r="B40" i="6" s="1"/>
  <c r="B17" i="6"/>
  <c r="B8" i="8" s="1"/>
  <c r="B16" i="8" s="1"/>
  <c r="B31" i="6" l="1"/>
  <c r="B32" i="6" s="1"/>
  <c r="B34" i="6" s="1"/>
  <c r="B43" i="6" s="1"/>
  <c r="B30" i="2" s="1"/>
  <c r="B41" i="6"/>
  <c r="B7" i="8" s="1"/>
  <c r="B15" i="8" s="1"/>
  <c r="B17" i="8" s="1"/>
  <c r="B19" i="8" s="1"/>
  <c r="B24" i="8" s="1"/>
  <c r="B25" i="8" s="1"/>
  <c r="B29" i="8" s="1"/>
  <c r="B32" i="8" s="1"/>
  <c r="B33" i="8" s="1"/>
  <c r="B36" i="2" l="1"/>
  <c r="B41" i="2" s="1"/>
  <c r="B46" i="2" l="1"/>
  <c r="B47" i="2"/>
  <c r="B48" i="2"/>
  <c r="B43" i="2"/>
</calcChain>
</file>

<file path=xl/sharedStrings.xml><?xml version="1.0" encoding="utf-8"?>
<sst xmlns="http://schemas.openxmlformats.org/spreadsheetml/2006/main" count="1437" uniqueCount="918">
  <si>
    <r>
      <rPr>
        <b/>
        <sz val="12"/>
        <color rgb="FFFFFFFF"/>
        <rFont val="Noto Sans CJK SC"/>
        <family val="2"/>
      </rPr>
      <t xml:space="preserve">产品成本测算报价表 </t>
    </r>
    <r>
      <rPr>
        <b/>
        <sz val="12"/>
        <color rgb="FFFFFFFF"/>
        <rFont val="微软雅黑"/>
        <family val="2"/>
        <charset val="1"/>
      </rPr>
      <t xml:space="preserve">· </t>
    </r>
    <r>
      <rPr>
        <b/>
        <sz val="12"/>
        <color rgb="FFFFFFFF"/>
        <rFont val="Noto Sans CJK SC"/>
        <family val="2"/>
      </rPr>
      <t>使用说明</t>
    </r>
  </si>
  <si>
    <t>怎么用</t>
  </si>
  <si>
    <r>
      <rPr>
        <i/>
        <sz val="10"/>
        <color rgb="FF808080"/>
        <rFont val="Noto Sans CJK SC"/>
        <family val="2"/>
      </rPr>
      <t>首页【报价汇总】只填：产品信息、成品尺寸与单台净重、每箱件数、是否带散热器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组装结构、是否含整托、物流产品、目的地、每票件数。包装费与运费全部自动算。黄色底</t>
    </r>
    <r>
      <rPr>
        <i/>
        <sz val="10"/>
        <color rgb="FF808080"/>
        <rFont val="微软雅黑"/>
        <family val="2"/>
        <charset val="1"/>
      </rPr>
      <t>=</t>
    </r>
    <r>
      <rPr>
        <i/>
        <sz val="10"/>
        <color rgb="FF808080"/>
        <rFont val="Noto Sans CJK SC"/>
        <family val="2"/>
      </rPr>
      <t>必填待填，填完后自动变绿。</t>
    </r>
  </si>
  <si>
    <t>包装费</t>
  </si>
  <si>
    <r>
      <rPr>
        <i/>
        <sz val="10"/>
        <color rgb="FF808080"/>
        <rFont val="Noto Sans CJK SC"/>
        <family val="2"/>
      </rPr>
      <t>首页【报价汇总】填【带散热器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组装结构】是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否即可自动选方案：选「是」→大板（</t>
    </r>
    <r>
      <rPr>
        <i/>
        <sz val="10"/>
        <color rgb="FF808080"/>
        <rFont val="微软雅黑"/>
        <family val="2"/>
        <charset val="1"/>
      </rPr>
      <t>EPE</t>
    </r>
    <r>
      <rPr>
        <i/>
        <sz val="10"/>
        <color rgb="FF808080"/>
        <rFont val="Noto Sans CJK SC"/>
        <family val="2"/>
      </rPr>
      <t>珍珠棉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纸箱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护角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托盘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缠绕膜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打包带）；选「否」→小板（防静电气泡袋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隔板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纸箱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护角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托盘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缠绕膜）。带散热器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组装结构（暖通商空大功率驱动板）选「是」，水泵、风机板选「否」。单价与系数在《参数》页改。</t>
    </r>
  </si>
  <si>
    <t>运费</t>
  </si>
  <si>
    <r>
      <rPr>
        <i/>
        <sz val="10"/>
        <color rgb="FF808080"/>
        <rFont val="Noto Sans CJK SC"/>
        <family val="2"/>
      </rPr>
      <t>依据《跨越费率》（源自青岛国创</t>
    </r>
    <r>
      <rPr>
        <i/>
        <sz val="10"/>
        <color rgb="FF808080"/>
        <rFont val="微软雅黑"/>
        <family val="2"/>
        <charset val="1"/>
      </rPr>
      <t>VIP</t>
    </r>
    <r>
      <rPr>
        <i/>
        <sz val="10"/>
        <color rgb="FF808080"/>
        <rFont val="Noto Sans CJK SC"/>
        <family val="2"/>
      </rPr>
      <t>报价表）按 实重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体积重取大→起重→分段单价 计算单票运费，再摊到单件。目的地在首页下拉选择，产品可选次日达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特惠普运。</t>
    </r>
  </si>
  <si>
    <r>
      <rPr>
        <b/>
        <sz val="10"/>
        <color rgb="FF000000"/>
        <rFont val="Noto Sans CJK SC"/>
        <family val="2"/>
      </rPr>
      <t>物料明细</t>
    </r>
    <r>
      <rPr>
        <b/>
        <sz val="10"/>
        <color rgb="FF000000"/>
        <rFont val="微软雅黑"/>
        <family val="2"/>
        <charset val="1"/>
      </rPr>
      <t>/</t>
    </r>
    <r>
      <rPr>
        <b/>
        <sz val="10"/>
        <color rgb="FF000000"/>
        <rFont val="Noto Sans CJK SC"/>
        <family val="2"/>
      </rPr>
      <t>加工及工装</t>
    </r>
  </si>
  <si>
    <r>
      <rPr>
        <i/>
        <sz val="10"/>
        <color rgb="FF808080"/>
        <rFont val="Noto Sans CJK SC"/>
        <family val="2"/>
      </rPr>
      <t>沿用原模板，硬件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结构件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辅助材料与加工费、工装分摊在此填写。</t>
    </r>
  </si>
  <si>
    <t>成本与报价</t>
  </si>
  <si>
    <r>
      <rPr>
        <i/>
        <sz val="10"/>
        <color rgb="FF808080"/>
        <rFont val="Noto Sans CJK SC"/>
        <family val="2"/>
      </rPr>
      <t>总成本</t>
    </r>
    <r>
      <rPr>
        <i/>
        <sz val="10"/>
        <color rgb="FF808080"/>
        <rFont val="微软雅黑"/>
        <family val="2"/>
        <charset val="1"/>
      </rPr>
      <t>=</t>
    </r>
    <r>
      <rPr>
        <i/>
        <sz val="10"/>
        <color rgb="FF808080"/>
        <rFont val="Noto Sans CJK SC"/>
        <family val="2"/>
      </rPr>
      <t>材料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加工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工装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包装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运费</t>
    </r>
    <r>
      <rPr>
        <i/>
        <sz val="10"/>
        <color rgb="FF808080"/>
        <rFont val="微软雅黑"/>
        <family val="2"/>
        <charset val="1"/>
      </rPr>
      <t>+</t>
    </r>
    <r>
      <rPr>
        <i/>
        <sz val="10"/>
        <color rgb="FF808080"/>
        <rFont val="Noto Sans CJK SC"/>
        <family val="2"/>
      </rPr>
      <t>利润；建议报价</t>
    </r>
    <r>
      <rPr>
        <i/>
        <sz val="10"/>
        <color rgb="FF808080"/>
        <rFont val="微软雅黑"/>
        <family val="2"/>
        <charset val="1"/>
      </rPr>
      <t>=</t>
    </r>
    <r>
      <rPr>
        <i/>
        <sz val="10"/>
        <color rgb="FF808080"/>
        <rFont val="Noto Sans CJK SC"/>
        <family val="2"/>
      </rPr>
      <t>总成本</t>
    </r>
    <r>
      <rPr>
        <i/>
        <sz val="10"/>
        <color rgb="FF808080"/>
        <rFont val="微软雅黑"/>
        <family val="2"/>
        <charset val="1"/>
      </rPr>
      <t>/(1-</t>
    </r>
    <r>
      <rPr>
        <i/>
        <sz val="10"/>
        <color rgb="FF808080"/>
        <rFont val="Noto Sans CJK SC"/>
        <family val="2"/>
      </rPr>
      <t>目标毛利率</t>
    </r>
    <r>
      <rPr>
        <i/>
        <sz val="10"/>
        <color rgb="FF808080"/>
        <rFont val="微软雅黑"/>
        <family val="2"/>
        <charset val="1"/>
      </rPr>
      <t>)</t>
    </r>
    <r>
      <rPr>
        <i/>
        <sz val="10"/>
        <color rgb="FF808080"/>
        <rFont val="Noto Sans CJK SC"/>
        <family val="2"/>
      </rPr>
      <t>。毛利率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税率在《参数》页改。</t>
    </r>
  </si>
  <si>
    <t>注意</t>
  </si>
  <si>
    <t>跨越费率为参考价，可在《跨越费率》页直接改；金额默认不含税；包装费按方案清单自动算。</t>
  </si>
  <si>
    <r>
      <rPr>
        <b/>
        <sz val="12"/>
        <color rgb="FFFFFFFF"/>
        <rFont val="Noto Sans CJK SC"/>
        <family val="2"/>
      </rPr>
      <t xml:space="preserve">产品成本测算报价表（包装费 </t>
    </r>
    <r>
      <rPr>
        <b/>
        <sz val="12"/>
        <color rgb="FFFFFFFF"/>
        <rFont val="微软雅黑"/>
        <family val="2"/>
        <charset val="1"/>
      </rPr>
      <t xml:space="preserve">+ </t>
    </r>
    <r>
      <rPr>
        <b/>
        <sz val="12"/>
        <color rgb="FFFFFFFF"/>
        <rFont val="Noto Sans CJK SC"/>
        <family val="2"/>
      </rPr>
      <t>运费自动计算）</t>
    </r>
  </si>
  <si>
    <t>一、产品基础信息（输入）</t>
  </si>
  <si>
    <t>产品代码</t>
  </si>
  <si>
    <r>
      <rPr>
        <sz val="11"/>
        <color rgb="FF000000"/>
        <rFont val="Noto Sans CJK SC"/>
        <family val="2"/>
      </rPr>
      <t>福州市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厦门市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泉州市</t>
    </r>
  </si>
  <si>
    <t>产品名称</t>
  </si>
  <si>
    <r>
      <rPr>
        <sz val="11"/>
        <color rgb="FF000000"/>
        <rFont val="Noto Sans CJK SC"/>
        <family val="2"/>
      </rPr>
      <t>宁德市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莆田市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漳州市</t>
    </r>
  </si>
  <si>
    <t>客户名称</t>
  </si>
  <si>
    <r>
      <rPr>
        <sz val="11"/>
        <color rgb="FF000000"/>
        <rFont val="Noto Sans CJK SC"/>
        <family val="2"/>
      </rPr>
      <t>龙岩市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三明市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南平市</t>
    </r>
  </si>
  <si>
    <t>报价日期</t>
  </si>
  <si>
    <t>拉萨市</t>
  </si>
  <si>
    <r>
      <rPr>
        <sz val="10"/>
        <color rgb="FF000000"/>
        <rFont val="Noto Sans CJK SC"/>
        <family val="2"/>
      </rPr>
      <t>年需求量</t>
    </r>
    <r>
      <rPr>
        <sz val="10"/>
        <color rgb="FF000000"/>
        <rFont val="微软雅黑"/>
        <family val="2"/>
        <charset val="1"/>
      </rPr>
      <t>(PCS)</t>
    </r>
  </si>
  <si>
    <r>
      <rPr>
        <sz val="11"/>
        <color rgb="FF000000"/>
        <rFont val="Noto Sans CJK SC"/>
        <family val="2"/>
      </rPr>
      <t>日喀则市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山南市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林芝市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昌都市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那曲市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阿里地区</t>
    </r>
  </si>
  <si>
    <t>MOQ(PCS)</t>
  </si>
  <si>
    <r>
      <rPr>
        <sz val="11"/>
        <color rgb="FF000000"/>
        <rFont val="Noto Sans CJK SC"/>
        <family val="2"/>
      </rPr>
      <t>贵阳市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遵义市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安顺市</t>
    </r>
  </si>
  <si>
    <t>备注</t>
  </si>
  <si>
    <r>
      <rPr>
        <sz val="11"/>
        <color rgb="FF000000"/>
        <rFont val="Noto Sans CJK SC"/>
        <family val="2"/>
      </rPr>
      <t>黔南布依族苗族自治州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黔东南苗族侗族自治州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铜仁市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毕节市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六盘水市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黔西南布依族苗族自治州</t>
    </r>
  </si>
  <si>
    <r>
      <rPr>
        <sz val="11"/>
        <color rgb="FF000000"/>
        <rFont val="Noto Sans CJK SC"/>
        <family val="2"/>
      </rPr>
      <t>广州市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深圳市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珠海市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中山市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东莞市</t>
    </r>
  </si>
  <si>
    <t>二、产品规格（输入，驱动包装费）</t>
  </si>
  <si>
    <r>
      <rPr>
        <sz val="11"/>
        <color rgb="FF000000"/>
        <rFont val="Noto Sans CJK SC"/>
        <family val="2"/>
      </rPr>
      <t>江门市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惠州市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佛山市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肇庆市</t>
    </r>
  </si>
  <si>
    <r>
      <rPr>
        <sz val="10"/>
        <color rgb="FF000000"/>
        <rFont val="Noto Sans CJK SC"/>
        <family val="2"/>
      </rPr>
      <t>成品长</t>
    </r>
    <r>
      <rPr>
        <sz val="10"/>
        <color rgb="FF000000"/>
        <rFont val="微软雅黑"/>
        <family val="2"/>
        <charset val="1"/>
      </rPr>
      <t>(mm,</t>
    </r>
    <r>
      <rPr>
        <sz val="10"/>
        <color rgb="FF000000"/>
        <rFont val="Noto Sans CJK SC"/>
        <family val="2"/>
      </rPr>
      <t>含散热器</t>
    </r>
    <r>
      <rPr>
        <sz val="10"/>
        <color rgb="FF000000"/>
        <rFont val="微软雅黑"/>
        <family val="2"/>
        <charset val="1"/>
      </rPr>
      <t>)</t>
    </r>
  </si>
  <si>
    <r>
      <rPr>
        <sz val="11"/>
        <color rgb="FF000000"/>
        <rFont val="Noto Sans CJK SC"/>
        <family val="2"/>
      </rPr>
      <t>汕尾市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阳江市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揭阳市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茂名市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韶关市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梅州市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汕头市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湛江市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河源市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清远市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云浮市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潮州市</t>
    </r>
  </si>
  <si>
    <r>
      <rPr>
        <sz val="10"/>
        <color rgb="FF000000"/>
        <rFont val="Noto Sans CJK SC"/>
        <family val="2"/>
      </rPr>
      <t>成品宽</t>
    </r>
    <r>
      <rPr>
        <sz val="10"/>
        <color rgb="FF000000"/>
        <rFont val="微软雅黑"/>
        <family val="2"/>
        <charset val="1"/>
      </rPr>
      <t>(mm)</t>
    </r>
  </si>
  <si>
    <r>
      <rPr>
        <sz val="11"/>
        <color rgb="FF000000"/>
        <rFont val="Noto Sans CJK SC"/>
        <family val="2"/>
      </rPr>
      <t>武汉市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鄂州市</t>
    </r>
  </si>
  <si>
    <r>
      <rPr>
        <sz val="10"/>
        <color rgb="FF000000"/>
        <rFont val="Noto Sans CJK SC"/>
        <family val="2"/>
      </rPr>
      <t>成品高</t>
    </r>
    <r>
      <rPr>
        <sz val="10"/>
        <color rgb="FF000000"/>
        <rFont val="微软雅黑"/>
        <family val="2"/>
        <charset val="1"/>
      </rPr>
      <t>(mm)</t>
    </r>
  </si>
  <si>
    <r>
      <rPr>
        <sz val="11"/>
        <color rgb="FF000000"/>
        <rFont val="Noto Sans CJK SC"/>
        <family val="2"/>
      </rPr>
      <t>襄阳市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孝感市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黄石市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荆州市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宜昌市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神农架林区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十堰市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随州市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荆门市</t>
    </r>
  </si>
  <si>
    <r>
      <rPr>
        <sz val="10"/>
        <color rgb="FF000000"/>
        <rFont val="Noto Sans CJK SC"/>
        <family val="2"/>
      </rPr>
      <t>单台净重</t>
    </r>
    <r>
      <rPr>
        <sz val="10"/>
        <color rgb="FF000000"/>
        <rFont val="微软雅黑"/>
        <family val="2"/>
        <charset val="1"/>
      </rPr>
      <t>(kg)</t>
    </r>
  </si>
  <si>
    <r>
      <rPr>
        <sz val="11"/>
        <color rgb="FF000000"/>
        <rFont val="Noto Sans CJK SC"/>
        <family val="2"/>
      </rPr>
      <t>黄冈市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咸宁市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恩施土家族苗族自治州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潜江市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仙桃市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天门市</t>
    </r>
  </si>
  <si>
    <r>
      <rPr>
        <sz val="10"/>
        <color rgb="FF000000"/>
        <rFont val="Noto Sans CJK SC"/>
        <family val="2"/>
      </rPr>
      <t>每箱件数</t>
    </r>
    <r>
      <rPr>
        <sz val="10"/>
        <color rgb="FF000000"/>
        <rFont val="微软雅黑"/>
        <family val="2"/>
        <charset val="1"/>
      </rPr>
      <t>N</t>
    </r>
  </si>
  <si>
    <r>
      <rPr>
        <sz val="11"/>
        <color rgb="FF000000"/>
        <rFont val="Noto Sans CJK SC"/>
        <family val="2"/>
      </rPr>
      <t>株洲市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长沙市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湘潭市</t>
    </r>
  </si>
  <si>
    <t>是否含整托分摊</t>
  </si>
  <si>
    <t>益阳市</t>
  </si>
  <si>
    <r>
      <rPr>
        <sz val="10"/>
        <color rgb="FF000000"/>
        <rFont val="Noto Sans CJK SC"/>
        <family val="2"/>
      </rPr>
      <t>带散热器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组装结构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是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否</t>
    </r>
    <r>
      <rPr>
        <sz val="10"/>
        <color rgb="FF000000"/>
        <rFont val="微软雅黑"/>
        <family val="2"/>
        <charset val="134"/>
      </rPr>
      <t>)</t>
    </r>
  </si>
  <si>
    <t>否</t>
  </si>
  <si>
    <r>
      <rPr>
        <sz val="11"/>
        <color rgb="FF000000"/>
        <rFont val="Noto Sans CJK SC"/>
        <family val="2"/>
      </rPr>
      <t>岳阳市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衡阳市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郴州市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常德市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娄底市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邵阳市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湘西土家族苗族自治州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张家界市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怀化市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永州市</t>
    </r>
  </si>
  <si>
    <t>三、物流（输入，驱动运费）</t>
  </si>
  <si>
    <t>重庆市</t>
  </si>
  <si>
    <t>物流产品</t>
  </si>
  <si>
    <r>
      <rPr>
        <sz val="11"/>
        <color rgb="FF000000"/>
        <rFont val="Noto Sans CJK SC"/>
        <family val="2"/>
      </rPr>
      <t>成都市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资阳市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眉山市</t>
    </r>
  </si>
  <si>
    <t>目的地</t>
  </si>
  <si>
    <t>绵阳市</t>
  </si>
  <si>
    <r>
      <rPr>
        <sz val="10"/>
        <color rgb="FF000000"/>
        <rFont val="Noto Sans CJK SC"/>
        <family val="2"/>
      </rPr>
      <t>每票件数</t>
    </r>
    <r>
      <rPr>
        <sz val="10"/>
        <color rgb="FF000000"/>
        <rFont val="微软雅黑"/>
        <family val="2"/>
        <charset val="1"/>
      </rPr>
      <t>M</t>
    </r>
  </si>
  <si>
    <r>
      <rPr>
        <sz val="11"/>
        <color rgb="FF000000"/>
        <rFont val="Noto Sans CJK SC"/>
        <family val="2"/>
      </rPr>
      <t>自贡市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南充市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达州市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遂宁市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广安市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巴中市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泸州市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宜宾市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内江市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乐山市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雅安市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德阳市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广元市</t>
    </r>
  </si>
  <si>
    <r>
      <rPr>
        <sz val="10"/>
        <color rgb="FF000000"/>
        <rFont val="Noto Sans CJK SC"/>
        <family val="2"/>
      </rPr>
      <t>声明价值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票</t>
    </r>
    <r>
      <rPr>
        <sz val="10"/>
        <color rgb="FF000000"/>
        <rFont val="微软雅黑"/>
        <family val="2"/>
        <charset val="1"/>
      </rPr>
      <t>,</t>
    </r>
    <r>
      <rPr>
        <sz val="10"/>
        <color rgb="FF000000"/>
        <rFont val="Noto Sans CJK SC"/>
        <family val="2"/>
      </rPr>
      <t>可选</t>
    </r>
    <r>
      <rPr>
        <sz val="10"/>
        <color rgb="FF000000"/>
        <rFont val="微软雅黑"/>
        <family val="2"/>
        <charset val="1"/>
      </rPr>
      <t>)</t>
    </r>
  </si>
  <si>
    <r>
      <rPr>
        <sz val="11"/>
        <color rgb="FF000000"/>
        <rFont val="Noto Sans CJK SC"/>
        <family val="2"/>
      </rPr>
      <t>攀枝花市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凉山彝族自治州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甘孜藏族自治州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阿坝藏族羌族自治州</t>
    </r>
  </si>
  <si>
    <t>注</t>
  </si>
  <si>
    <t>次日达与特惠普运的目的地划分不同，请选择与所选产品一致的目的地；选错该运费显示空白。</t>
  </si>
  <si>
    <r>
      <rPr>
        <sz val="11"/>
        <color rgb="FF000000"/>
        <rFont val="Noto Sans CJK SC"/>
        <family val="2"/>
      </rPr>
      <t>合肥市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芜湖市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马鞍山市</t>
    </r>
  </si>
  <si>
    <r>
      <rPr>
        <b/>
        <sz val="10"/>
        <color rgb="FFFFFFFF"/>
        <rFont val="Noto Sans CJK SC"/>
        <family val="2"/>
      </rPr>
      <t>四、成本构成（未税</t>
    </r>
    <r>
      <rPr>
        <b/>
        <sz val="10"/>
        <color rgb="FFFFFFFF"/>
        <rFont val="微软雅黑"/>
        <family val="2"/>
        <charset val="1"/>
      </rPr>
      <t>/</t>
    </r>
    <r>
      <rPr>
        <b/>
        <sz val="10"/>
        <color rgb="FFFFFFFF"/>
        <rFont val="Noto Sans CJK SC"/>
        <family val="2"/>
      </rPr>
      <t>单台，自动计算）</t>
    </r>
  </si>
  <si>
    <r>
      <rPr>
        <sz val="11"/>
        <color rgb="FF000000"/>
        <rFont val="Noto Sans CJK SC"/>
        <family val="2"/>
      </rPr>
      <t>滁州市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蚌埠市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六安市</t>
    </r>
  </si>
  <si>
    <t>成本项目</t>
  </si>
  <si>
    <t>金额</t>
  </si>
  <si>
    <t>单位</t>
  </si>
  <si>
    <t>公式</t>
  </si>
  <si>
    <r>
      <rPr>
        <sz val="11"/>
        <color rgb="FF000000"/>
        <rFont val="Noto Sans CJK SC"/>
        <family val="2"/>
      </rPr>
      <t>淮南市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安庆市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宿州市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亳州市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阜阳市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黄山市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淮北市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铜陵市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宣城市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池州市</t>
    </r>
  </si>
  <si>
    <t>硬件材料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</si>
  <si>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台</t>
    </r>
  </si>
  <si>
    <t>物料明细</t>
  </si>
  <si>
    <t>乌鲁木齐市</t>
  </si>
  <si>
    <t>结构件</t>
  </si>
  <si>
    <r>
      <rPr>
        <sz val="11"/>
        <color rgb="FF000000"/>
        <rFont val="Noto Sans CJK SC"/>
        <family val="2"/>
      </rPr>
      <t>塔城地区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白杨市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新星市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哈密市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昆玉市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和田地区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北屯市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阿勒泰地区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克孜勒苏柯尔克孜自治州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双河市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博尔塔拉蒙古自治州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克拉玛依市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胡杨河市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石河子市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五家渠市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昌吉回族自治州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吐鲁番市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巴音郭楞蒙古自治州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铁门关市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阿克苏地区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阿拉尔市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图木舒克市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喀什地区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伊犁哈萨克自治州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可克达拉市</t>
    </r>
  </si>
  <si>
    <t>包装材料</t>
  </si>
  <si>
    <t>包装计算（自动）</t>
  </si>
  <si>
    <r>
      <rPr>
        <sz val="11"/>
        <color rgb="FF000000"/>
        <rFont val="Noto Sans CJK SC"/>
        <family val="2"/>
      </rPr>
      <t>南京市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无锡市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苏州市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常州市</t>
    </r>
  </si>
  <si>
    <t>辅助材料</t>
  </si>
  <si>
    <r>
      <rPr>
        <sz val="11"/>
        <color rgb="FF000000"/>
        <rFont val="Noto Sans CJK SC"/>
        <family val="2"/>
      </rPr>
      <t>镇江市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南通市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扬州市</t>
    </r>
  </si>
  <si>
    <t>加工费</t>
  </si>
  <si>
    <t>加工及工装</t>
  </si>
  <si>
    <r>
      <rPr>
        <sz val="11"/>
        <color rgb="FF000000"/>
        <rFont val="Noto Sans CJK SC"/>
        <family val="2"/>
      </rPr>
      <t>盐城市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徐州市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淮安市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连云港市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泰州市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宿迁市</t>
    </r>
  </si>
  <si>
    <t>工装分摊</t>
  </si>
  <si>
    <t>天津市</t>
  </si>
  <si>
    <t>运费计算（跨越费率）</t>
  </si>
  <si>
    <t>长春市</t>
  </si>
  <si>
    <t>利润</t>
  </si>
  <si>
    <t>吉林市</t>
  </si>
  <si>
    <t>总成本未税</t>
  </si>
  <si>
    <t>自动汇总</t>
  </si>
  <si>
    <r>
      <rPr>
        <sz val="11"/>
        <color rgb="FF000000"/>
        <rFont val="Noto Sans CJK SC"/>
        <family val="2"/>
      </rPr>
      <t>延边朝鲜族自治州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四平市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通化市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白城市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辽源市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松原市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白山市</t>
    </r>
  </si>
  <si>
    <t>银川市</t>
  </si>
  <si>
    <t>五、自动报价结果</t>
  </si>
  <si>
    <r>
      <rPr>
        <sz val="11"/>
        <color rgb="FF000000"/>
        <rFont val="Noto Sans CJK SC"/>
        <family val="2"/>
      </rPr>
      <t>石嘴山市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吴忠市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固原市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中卫市</t>
    </r>
  </si>
  <si>
    <t>报价项目</t>
  </si>
  <si>
    <t>结果</t>
  </si>
  <si>
    <r>
      <rPr>
        <sz val="11"/>
        <color rgb="FF000000"/>
        <rFont val="Noto Sans CJK SC"/>
        <family val="2"/>
      </rPr>
      <t>石家庄市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廊坊市</t>
    </r>
  </si>
  <si>
    <t>目标毛利率</t>
  </si>
  <si>
    <t>%</t>
  </si>
  <si>
    <t>参数页可改</t>
  </si>
  <si>
    <r>
      <rPr>
        <sz val="11"/>
        <color rgb="FF000000"/>
        <rFont val="Noto Sans CJK SC"/>
        <family val="2"/>
      </rPr>
      <t>邯郸市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保定市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雄安新区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唐山市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沧州市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秦皇岛市</t>
    </r>
  </si>
  <si>
    <t>建议报价未税</t>
  </si>
  <si>
    <r>
      <rPr>
        <i/>
        <sz val="10"/>
        <color rgb="FF808080"/>
        <rFont val="Noto Sans CJK SC"/>
        <family val="2"/>
      </rPr>
      <t>总成本</t>
    </r>
    <r>
      <rPr>
        <i/>
        <sz val="10"/>
        <color rgb="FF808080"/>
        <rFont val="微软雅黑"/>
        <family val="2"/>
        <charset val="1"/>
      </rPr>
      <t>/(1-</t>
    </r>
    <r>
      <rPr>
        <i/>
        <sz val="10"/>
        <color rgb="FF808080"/>
        <rFont val="Noto Sans CJK SC"/>
        <family val="2"/>
      </rPr>
      <t>毛利率</t>
    </r>
    <r>
      <rPr>
        <i/>
        <sz val="10"/>
        <color rgb="FF808080"/>
        <rFont val="微软雅黑"/>
        <family val="2"/>
        <charset val="1"/>
      </rPr>
      <t>)</t>
    </r>
  </si>
  <si>
    <r>
      <rPr>
        <sz val="11"/>
        <color rgb="FF000000"/>
        <rFont val="Noto Sans CJK SC"/>
        <family val="2"/>
      </rPr>
      <t>张家口市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承德市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衡水市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邢台市</t>
    </r>
  </si>
  <si>
    <t>税率</t>
  </si>
  <si>
    <r>
      <rPr>
        <sz val="11"/>
        <color rgb="FF000000"/>
        <rFont val="Noto Sans CJK SC"/>
        <family val="2"/>
      </rPr>
      <t>开封市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郑州市</t>
    </r>
  </si>
  <si>
    <t>建议报价含税</t>
  </si>
  <si>
    <r>
      <rPr>
        <i/>
        <sz val="10"/>
        <color rgb="FF808080"/>
        <rFont val="Noto Sans CJK SC"/>
        <family val="2"/>
      </rPr>
      <t>未税价</t>
    </r>
    <r>
      <rPr>
        <i/>
        <sz val="10"/>
        <color rgb="FF808080"/>
        <rFont val="微软雅黑"/>
        <family val="2"/>
        <charset val="1"/>
      </rPr>
      <t>×(1+</t>
    </r>
    <r>
      <rPr>
        <i/>
        <sz val="10"/>
        <color rgb="FF808080"/>
        <rFont val="Noto Sans CJK SC"/>
        <family val="2"/>
      </rPr>
      <t>税率</t>
    </r>
    <r>
      <rPr>
        <i/>
        <sz val="10"/>
        <color rgb="FF808080"/>
        <rFont val="微软雅黑"/>
        <family val="2"/>
        <charset val="1"/>
      </rPr>
      <t>)</t>
    </r>
  </si>
  <si>
    <r>
      <rPr>
        <sz val="11"/>
        <color rgb="FF000000"/>
        <rFont val="Noto Sans CJK SC"/>
        <family val="2"/>
      </rPr>
      <t>新乡市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许昌市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信阳市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洛阳市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鹤壁市</t>
    </r>
  </si>
  <si>
    <t>客户目标价</t>
  </si>
  <si>
    <t>手工填写</t>
  </si>
  <si>
    <r>
      <rPr>
        <sz val="11"/>
        <color rgb="FF000000"/>
        <rFont val="Noto Sans CJK SC"/>
        <family val="2"/>
      </rPr>
      <t>商丘市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安阳市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平顶山市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南阳市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焦作市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济源市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濮阳市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周口市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漯河市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驻马店市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三门峡市</t>
    </r>
  </si>
  <si>
    <t>目标价差异</t>
  </si>
  <si>
    <r>
      <rPr>
        <i/>
        <sz val="10"/>
        <color rgb="FF808080"/>
        <rFont val="Noto Sans CJK SC"/>
        <family val="2"/>
      </rPr>
      <t>建议价</t>
    </r>
    <r>
      <rPr>
        <i/>
        <sz val="10"/>
        <color rgb="FF808080"/>
        <rFont val="微软雅黑"/>
        <family val="2"/>
        <charset val="1"/>
      </rPr>
      <t>-</t>
    </r>
    <r>
      <rPr>
        <i/>
        <sz val="10"/>
        <color rgb="FF808080"/>
        <rFont val="Noto Sans CJK SC"/>
        <family val="2"/>
      </rPr>
      <t>目标价</t>
    </r>
  </si>
  <si>
    <r>
      <rPr>
        <sz val="11"/>
        <color rgb="FF000000"/>
        <rFont val="Noto Sans CJK SC"/>
        <family val="2"/>
      </rPr>
      <t>崇左市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南宁市</t>
    </r>
  </si>
  <si>
    <t>报价毛利率</t>
  </si>
  <si>
    <t>自动计算</t>
  </si>
  <si>
    <r>
      <rPr>
        <sz val="11"/>
        <color rgb="FF000000"/>
        <rFont val="Noto Sans CJK SC"/>
        <family val="2"/>
      </rPr>
      <t>柳州市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来宾市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桂林市</t>
    </r>
  </si>
  <si>
    <t>年销售额未税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</si>
  <si>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年</t>
    </r>
  </si>
  <si>
    <r>
      <rPr>
        <sz val="11"/>
        <color rgb="FF000000"/>
        <rFont val="Noto Sans CJK SC"/>
        <family val="2"/>
      </rPr>
      <t>防城港市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梧州市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贺州市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贵港市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玉林市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百色市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钦州市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河池市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北海市</t>
    </r>
  </si>
  <si>
    <t>年毛利额</t>
  </si>
  <si>
    <r>
      <rPr>
        <sz val="11"/>
        <color rgb="FF000000"/>
        <rFont val="Noto Sans CJK SC"/>
        <family val="2"/>
      </rPr>
      <t>屯昌县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五指山市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白沙黎族自治县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东方市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保亭黎族苗族自治县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琼中黎族苗族自治县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定安县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临高县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陵水黎族自治县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文昌市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海口市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万宁市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乐东黎族自治县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琼海市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澄迈县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昌江黎族自治县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儋州市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三亚市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三沙市</t>
    </r>
  </si>
  <si>
    <t>上海市</t>
  </si>
  <si>
    <t>六、风险检查</t>
  </si>
  <si>
    <t>南昌市</t>
  </si>
  <si>
    <t>客供料数量</t>
  </si>
  <si>
    <t>项</t>
  </si>
  <si>
    <r>
      <rPr>
        <sz val="11"/>
        <color rgb="FF000000"/>
        <rFont val="Noto Sans CJK SC"/>
        <family val="2"/>
      </rPr>
      <t>九江市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吉安市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赣州市</t>
    </r>
  </si>
  <si>
    <t>新物料待报价</t>
  </si>
  <si>
    <r>
      <rPr>
        <sz val="11"/>
        <color rgb="FF000000"/>
        <rFont val="Noto Sans CJK SC"/>
        <family val="2"/>
      </rPr>
      <t>鹰潭市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新余市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上饶市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抚州市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宜春市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景德镇市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萍乡市</t>
    </r>
  </si>
  <si>
    <t>昆明市</t>
  </si>
  <si>
    <r>
      <rPr>
        <sz val="11"/>
        <color rgb="FF000000"/>
        <rFont val="Noto Sans CJK SC"/>
        <family val="2"/>
      </rPr>
      <t>大理白族自治州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曲靖市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玉溪市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楚雄彝族自治州</t>
    </r>
  </si>
  <si>
    <r>
      <rPr>
        <sz val="11"/>
        <color rgb="FF000000"/>
        <rFont val="Noto Sans CJK SC"/>
        <family val="2"/>
      </rPr>
      <t>西双版纳傣族自治州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德宏傣族景颇族自治州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昭通市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红河哈尼族彝族自治州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保山市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文山壮族苗族自治州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普洱市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临沧市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怒江傈僳族自治州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迪庆藏族自治州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丽江市</t>
    </r>
  </si>
  <si>
    <t>兰州市</t>
  </si>
  <si>
    <r>
      <rPr>
        <sz val="11"/>
        <color rgb="FF000000"/>
        <rFont val="Noto Sans CJK SC"/>
        <family val="2"/>
      </rPr>
      <t>临夏回族自治州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定西市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平凉市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庆阳市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金昌市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武威市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张掖市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嘉峪关市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酒泉市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陇南市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甘南藏族自治州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白银市</t>
    </r>
  </si>
  <si>
    <r>
      <rPr>
        <sz val="11"/>
        <color rgb="FF000000"/>
        <rFont val="Noto Sans CJK SC"/>
        <family val="2"/>
      </rPr>
      <t>西安市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咸阳市</t>
    </r>
  </si>
  <si>
    <r>
      <rPr>
        <sz val="11"/>
        <color rgb="FF000000"/>
        <rFont val="Noto Sans CJK SC"/>
        <family val="2"/>
      </rPr>
      <t>宝鸡市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铜川市</t>
    </r>
  </si>
  <si>
    <r>
      <rPr>
        <sz val="11"/>
        <color rgb="FF000000"/>
        <rFont val="Noto Sans CJK SC"/>
        <family val="2"/>
      </rPr>
      <t>延安市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榆林市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渭南市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商洛市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安康市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汉中市</t>
    </r>
  </si>
  <si>
    <r>
      <rPr>
        <sz val="11"/>
        <color rgb="FF000000"/>
        <rFont val="Noto Sans CJK SC"/>
        <family val="2"/>
      </rPr>
      <t>杭州市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嘉兴市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宁波市</t>
    </r>
  </si>
  <si>
    <r>
      <rPr>
        <sz val="11"/>
        <color rgb="FF000000"/>
        <rFont val="Noto Sans CJK SC"/>
        <family val="2"/>
      </rPr>
      <t>湖州市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绍兴市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金华市</t>
    </r>
  </si>
  <si>
    <r>
      <rPr>
        <sz val="11"/>
        <color rgb="FF000000"/>
        <rFont val="Noto Sans CJK SC"/>
        <family val="2"/>
      </rPr>
      <t>台州市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温州市</t>
    </r>
  </si>
  <si>
    <r>
      <rPr>
        <sz val="11"/>
        <color rgb="FF000000"/>
        <rFont val="Noto Sans CJK SC"/>
        <family val="2"/>
      </rPr>
      <t>衢州市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丽水市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舟山市</t>
    </r>
  </si>
  <si>
    <t>呼和浩特市</t>
  </si>
  <si>
    <t>包头市</t>
  </si>
  <si>
    <r>
      <rPr>
        <sz val="11"/>
        <color rgb="FF000000"/>
        <rFont val="Noto Sans CJK SC"/>
        <family val="2"/>
      </rPr>
      <t>呼伦贝尔市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乌海市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乌兰察布市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通辽市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赤峰市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鄂尔多斯市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巴彦淖尔市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锡林郭勒盟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兴安盟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阿拉善盟</t>
    </r>
  </si>
  <si>
    <t>西宁市</t>
  </si>
  <si>
    <r>
      <rPr>
        <sz val="11"/>
        <color rgb="FF000000"/>
        <rFont val="Noto Sans CJK SC"/>
        <family val="2"/>
      </rPr>
      <t>海北藏族自治州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海东市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黄南藏族自治州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海南藏族自治州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果洛藏族自治州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玉树藏族自治州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海西蒙古族藏族自治州</t>
    </r>
  </si>
  <si>
    <r>
      <rPr>
        <sz val="11"/>
        <color rgb="FF000000"/>
        <rFont val="Noto Sans CJK SC"/>
        <family val="2"/>
      </rPr>
      <t>抚顺市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本溪市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铁岭市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沈阳市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大连市</t>
    </r>
  </si>
  <si>
    <t>鞍山市</t>
  </si>
  <si>
    <r>
      <rPr>
        <sz val="11"/>
        <color rgb="FF000000"/>
        <rFont val="Noto Sans CJK SC"/>
        <family val="2"/>
      </rPr>
      <t>丹东市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锦州市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营口市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阜新市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辽阳市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朝阳市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盘锦市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葫芦岛市</t>
    </r>
  </si>
  <si>
    <t>哈尔滨市</t>
  </si>
  <si>
    <r>
      <rPr>
        <sz val="11"/>
        <color rgb="FF000000"/>
        <rFont val="Noto Sans CJK SC"/>
        <family val="2"/>
      </rPr>
      <t>齐齐哈尔市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牡丹江市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佳木斯市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绥化市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黑河市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大兴安岭地区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伊春市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大庆市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七台河市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鸡西市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鹤岗市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双鸭山市</t>
    </r>
  </si>
  <si>
    <t>北京市</t>
  </si>
  <si>
    <r>
      <rPr>
        <sz val="11"/>
        <color rgb="FF000000"/>
        <rFont val="Noto Sans CJK SC"/>
        <family val="2"/>
      </rPr>
      <t>太原市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晋中市</t>
    </r>
  </si>
  <si>
    <r>
      <rPr>
        <sz val="11"/>
        <color rgb="FF000000"/>
        <rFont val="Noto Sans CJK SC"/>
        <family val="2"/>
      </rPr>
      <t>朔州市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忻州市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大同市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阳泉市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长治市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晋城市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临汾市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吕梁市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运城市</t>
    </r>
  </si>
  <si>
    <r>
      <rPr>
        <sz val="11"/>
        <color rgb="FF000000"/>
        <rFont val="Noto Sans CJK SC"/>
        <family val="2"/>
      </rPr>
      <t>防城港市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桂林市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贵港市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玉林市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钦州市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北海市</t>
    </r>
  </si>
  <si>
    <t>厦门市</t>
  </si>
  <si>
    <r>
      <rPr>
        <sz val="11"/>
        <color rgb="FF000000"/>
        <rFont val="Noto Sans CJK SC"/>
        <family val="2"/>
      </rPr>
      <t>莆田市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泉州市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漳州市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龙岩市</t>
    </r>
  </si>
  <si>
    <t>福州市</t>
  </si>
  <si>
    <r>
      <rPr>
        <sz val="11"/>
        <color rgb="FF000000"/>
        <rFont val="Noto Sans CJK SC"/>
        <family val="2"/>
      </rPr>
      <t>宁德市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三明市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南平市</t>
    </r>
  </si>
  <si>
    <r>
      <rPr>
        <sz val="11"/>
        <color rgb="FF000000"/>
        <rFont val="Noto Sans CJK SC"/>
        <family val="2"/>
      </rPr>
      <t>邯郸市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保定市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雄安新区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衡水市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邢台市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阳泉市</t>
    </r>
  </si>
  <si>
    <r>
      <rPr>
        <sz val="11"/>
        <color rgb="FF000000"/>
        <rFont val="Noto Sans CJK SC"/>
        <family val="2"/>
      </rPr>
      <t>郴州市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张家界市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怀化市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永州市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铜仁市</t>
    </r>
  </si>
  <si>
    <t>贵阳市</t>
  </si>
  <si>
    <r>
      <rPr>
        <sz val="11"/>
        <color rgb="FF000000"/>
        <rFont val="Noto Sans CJK SC"/>
        <family val="2"/>
      </rPr>
      <t>遵义市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安顺市</t>
    </r>
  </si>
  <si>
    <r>
      <rPr>
        <sz val="11"/>
        <color rgb="FF000000"/>
        <rFont val="Noto Sans CJK SC"/>
        <family val="2"/>
      </rPr>
      <t>鹰潭市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新余市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九江市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上饶市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抚州市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吉安市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赣州市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景德镇市</t>
    </r>
  </si>
  <si>
    <t>武汉市</t>
  </si>
  <si>
    <r>
      <rPr>
        <sz val="11"/>
        <color rgb="FF000000"/>
        <rFont val="Noto Sans CJK SC"/>
        <family val="2"/>
      </rPr>
      <t>襄阳市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荆州市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宜昌市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恩施土家族苗族自治州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神农架林区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十堰市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荆门市</t>
    </r>
  </si>
  <si>
    <r>
      <rPr>
        <sz val="11"/>
        <color rgb="FF000000"/>
        <rFont val="Noto Sans CJK SC"/>
        <family val="2"/>
      </rPr>
      <t>信阳市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鄂州市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孝感市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黄冈市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黄石市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咸宁市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随州市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潜江市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仙桃市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天门市</t>
    </r>
  </si>
  <si>
    <t>滁州市</t>
  </si>
  <si>
    <r>
      <rPr>
        <sz val="11"/>
        <color rgb="FF000000"/>
        <rFont val="Noto Sans CJK SC"/>
        <family val="2"/>
      </rPr>
      <t>绵阳市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乐山市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雅安市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德阳市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广元市</t>
    </r>
  </si>
  <si>
    <r>
      <rPr>
        <sz val="11"/>
        <color rgb="FF000000"/>
        <rFont val="Noto Sans CJK SC"/>
        <family val="2"/>
      </rPr>
      <t>自贡市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南充市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达州市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遂宁市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广安市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巴中市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泸州市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宜宾市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内江市</t>
    </r>
  </si>
  <si>
    <t>盐城市</t>
  </si>
  <si>
    <t>无锡市</t>
  </si>
  <si>
    <t>南京市</t>
  </si>
  <si>
    <t>淮安市</t>
  </si>
  <si>
    <r>
      <rPr>
        <sz val="11"/>
        <color rgb="FF000000"/>
        <rFont val="Noto Sans CJK SC"/>
        <family val="2"/>
      </rPr>
      <t>徐州市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连云港市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宿迁市</t>
    </r>
  </si>
  <si>
    <t>南通市</t>
  </si>
  <si>
    <r>
      <rPr>
        <sz val="11"/>
        <color rgb="FF000000"/>
        <rFont val="Noto Sans CJK SC"/>
        <family val="2"/>
      </rPr>
      <t>抚顺市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本溪市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铁岭市</t>
    </r>
  </si>
  <si>
    <t>沈阳市</t>
  </si>
  <si>
    <r>
      <rPr>
        <sz val="11"/>
        <color rgb="FF000000"/>
        <rFont val="Noto Sans CJK SC"/>
        <family val="2"/>
      </rPr>
      <t>鞍山市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丹东市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营口市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辽阳市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朝阳市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盘锦市</t>
    </r>
  </si>
  <si>
    <t>大连市</t>
  </si>
  <si>
    <r>
      <rPr>
        <sz val="11"/>
        <color rgb="FF000000"/>
        <rFont val="Noto Sans CJK SC"/>
        <family val="2"/>
      </rPr>
      <t>运城市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延安市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渭南市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商洛市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安康市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汉中市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宝鸡市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铜川市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天水市</t>
    </r>
  </si>
  <si>
    <r>
      <rPr>
        <sz val="11"/>
        <color rgb="FF000000"/>
        <rFont val="Noto Sans CJK SC"/>
        <family val="2"/>
      </rPr>
      <t>吉林市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延边朝鲜族自治州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四平市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通化市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白城市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辽源市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松原市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白山市</t>
    </r>
  </si>
  <si>
    <r>
      <rPr>
        <sz val="11"/>
        <color rgb="FF000000"/>
        <rFont val="Noto Sans CJK SC"/>
        <family val="2"/>
      </rPr>
      <t>齐齐哈尔市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牡丹江市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佳木斯市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绥化市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鸡西市</t>
    </r>
  </si>
  <si>
    <r>
      <rPr>
        <sz val="11"/>
        <color rgb="FF000000"/>
        <rFont val="Noto Sans CJK SC"/>
        <family val="2"/>
      </rPr>
      <t>朔州市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忻州市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大同市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长治市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晋城市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吕梁市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榆林市</t>
    </r>
  </si>
  <si>
    <t>石家庄市</t>
  </si>
  <si>
    <r>
      <rPr>
        <sz val="11"/>
        <color rgb="FF000000"/>
        <rFont val="Noto Sans CJK SC"/>
        <family val="2"/>
      </rPr>
      <t>岳阳市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衡阳市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常德市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益阳市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娄底市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邵阳市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宜春市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萍乡市</t>
    </r>
  </si>
  <si>
    <r>
      <rPr>
        <sz val="11"/>
        <color rgb="FF000000"/>
        <rFont val="Noto Sans CJK SC"/>
        <family val="2"/>
      </rPr>
      <t>无锡市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苏州市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南通市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盐城市</t>
    </r>
  </si>
  <si>
    <r>
      <rPr>
        <sz val="11"/>
        <color rgb="FF000000"/>
        <rFont val="Noto Sans CJK SC"/>
        <family val="2"/>
      </rPr>
      <t>柳州市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来宾市</t>
    </r>
  </si>
  <si>
    <r>
      <rPr>
        <sz val="11"/>
        <color rgb="FF000000"/>
        <rFont val="Noto Sans CJK SC"/>
        <family val="2"/>
      </rPr>
      <t>大理白族自治州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红河哈尼族彝族自治州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曲靖市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玉溪市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楚雄彝族自治州</t>
    </r>
  </si>
  <si>
    <r>
      <rPr>
        <sz val="11"/>
        <color rgb="FF000000"/>
        <rFont val="Noto Sans CJK SC"/>
        <family val="2"/>
      </rPr>
      <t>黔南布依族苗族自治州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毕节市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六盘水市</t>
    </r>
  </si>
  <si>
    <r>
      <rPr>
        <sz val="11"/>
        <color rgb="FF000000"/>
        <rFont val="Noto Sans CJK SC"/>
        <family val="2"/>
      </rPr>
      <t>镇江市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扬州市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泰州市</t>
    </r>
  </si>
  <si>
    <r>
      <rPr>
        <sz val="11"/>
        <color rgb="FF000000"/>
        <rFont val="Noto Sans CJK SC"/>
        <family val="2"/>
      </rPr>
      <t>南通市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盐城市</t>
    </r>
  </si>
  <si>
    <r>
      <rPr>
        <sz val="11"/>
        <color rgb="FF000000"/>
        <rFont val="Noto Sans CJK SC"/>
        <family val="2"/>
      </rPr>
      <t>无锡市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苏州市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常州市</t>
    </r>
  </si>
  <si>
    <t>廊坊市</t>
  </si>
  <si>
    <r>
      <rPr>
        <sz val="11"/>
        <color rgb="FF000000"/>
        <rFont val="Noto Sans CJK SC"/>
        <family val="2"/>
      </rPr>
      <t>邯郸市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石家庄市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保定市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雄安新区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张家口市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承德市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唐山市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沧州市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衡水市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邢台市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秦皇岛市</t>
    </r>
  </si>
  <si>
    <t>序号</t>
  </si>
  <si>
    <t>物料分类</t>
  </si>
  <si>
    <t>物料编码</t>
  </si>
  <si>
    <t>物料名称规格</t>
  </si>
  <si>
    <t>单机用量</t>
  </si>
  <si>
    <t>未税单价</t>
  </si>
  <si>
    <t>损耗率</t>
  </si>
  <si>
    <t>是否客供</t>
  </si>
  <si>
    <t>硬件</t>
  </si>
  <si>
    <t>是</t>
  </si>
  <si>
    <t>加工费及工装治具</t>
  </si>
  <si>
    <t>一、加工费</t>
  </si>
  <si>
    <t>类型</t>
  </si>
  <si>
    <t>工序名称</t>
  </si>
  <si>
    <t>数量/点数</t>
  </si>
  <si>
    <t>单价</t>
  </si>
  <si>
    <t>确认</t>
  </si>
  <si>
    <t>费用</t>
  </si>
  <si>
    <t>内部成本</t>
  </si>
  <si>
    <t>差异</t>
  </si>
  <si>
    <t>SMT</t>
  </si>
  <si>
    <t>0402/0603贴片</t>
  </si>
  <si>
    <t>AI</t>
  </si>
  <si>
    <t>机插</t>
  </si>
  <si>
    <t>DIP</t>
  </si>
  <si>
    <t>DIP焊接</t>
  </si>
  <si>
    <t>组装</t>
  </si>
  <si>
    <t>装配人工</t>
  </si>
  <si>
    <t>测试</t>
  </si>
  <si>
    <t>FCT/ICT</t>
  </si>
  <si>
    <t>包装</t>
  </si>
  <si>
    <t>包装人工</t>
  </si>
  <si>
    <t>物流</t>
  </si>
  <si>
    <t>物流费用</t>
  </si>
  <si>
    <t>加工费小计</t>
  </si>
  <si>
    <t>二、工装治具</t>
  </si>
  <si>
    <t>治具名称</t>
  </si>
  <si>
    <t>数量</t>
  </si>
  <si>
    <t>总价</t>
  </si>
  <si>
    <t>分摊数量</t>
  </si>
  <si>
    <t>单台分摊</t>
  </si>
  <si>
    <t>钢网</t>
  </si>
  <si>
    <t>SMT钢网</t>
  </si>
  <si>
    <t>测试工装</t>
  </si>
  <si>
    <t>FCT测试工装</t>
  </si>
  <si>
    <t>模具</t>
  </si>
  <si>
    <t>其他</t>
  </si>
  <si>
    <t>其他一次性费用</t>
  </si>
  <si>
    <t>参数设置</t>
  </si>
  <si>
    <t>参数项</t>
  </si>
  <si>
    <t>参数值</t>
  </si>
  <si>
    <t>说明</t>
  </si>
  <si>
    <t>增值税率，默认13%</t>
  </si>
  <si>
    <t>报价目标毛利率</t>
  </si>
  <si>
    <t>默认损耗率</t>
  </si>
  <si>
    <t>物料未填损耗率时使用</t>
  </si>
  <si>
    <t>默认分摊数量</t>
  </si>
  <si>
    <t>工装治具费用默认分摊数量</t>
  </si>
  <si>
    <t>二、包装与整托参数</t>
  </si>
  <si>
    <t>防静电气泡袋单价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</si>
  <si>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㎡</t>
    </r>
  </si>
  <si>
    <t>气泡袋单边余量</t>
  </si>
  <si>
    <t>mm</t>
  </si>
  <si>
    <t>干燥剂单价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</si>
  <si>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袋</t>
    </r>
  </si>
  <si>
    <t>湿度指示卡单价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</si>
  <si>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</t>
    </r>
  </si>
  <si>
    <r>
      <rPr>
        <sz val="10"/>
        <color rgb="FF000000"/>
        <rFont val="微软雅黑"/>
        <family val="2"/>
        <charset val="1"/>
      </rPr>
      <t>EPE</t>
    </r>
    <r>
      <rPr>
        <sz val="10"/>
        <color rgb="FF000000"/>
        <rFont val="Noto Sans CJK SC"/>
        <family val="2"/>
      </rPr>
      <t>珍珠棉单价</t>
    </r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</si>
  <si>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/m³</t>
    </r>
  </si>
  <si>
    <r>
      <rPr>
        <sz val="10"/>
        <color rgb="FF000000"/>
        <rFont val="微软雅黑"/>
        <family val="2"/>
        <charset val="1"/>
      </rPr>
      <t>EPE</t>
    </r>
    <r>
      <rPr>
        <sz val="10"/>
        <color rgb="FF000000"/>
        <rFont val="Noto Sans CJK SC"/>
        <family val="2"/>
      </rPr>
      <t>珍珠棉密度</t>
    </r>
  </si>
  <si>
    <t>kg/m³</t>
  </si>
  <si>
    <r>
      <rPr>
        <sz val="10"/>
        <color rgb="FF000000"/>
        <rFont val="Noto Sans CJK SC"/>
        <family val="2"/>
      </rPr>
      <t>单瓦楞</t>
    </r>
    <r>
      <rPr>
        <sz val="10"/>
        <color rgb="FF000000"/>
        <rFont val="微软雅黑"/>
        <family val="2"/>
        <charset val="1"/>
      </rPr>
      <t>3</t>
    </r>
    <r>
      <rPr>
        <sz val="10"/>
        <color rgb="FF000000"/>
        <rFont val="Noto Sans CJK SC"/>
        <family val="2"/>
      </rPr>
      <t>层纸板</t>
    </r>
  </si>
  <si>
    <r>
      <rPr>
        <sz val="10"/>
        <color rgb="FF000000"/>
        <rFont val="Noto Sans CJK SC"/>
        <family val="2"/>
      </rPr>
      <t>双瓦楞</t>
    </r>
    <r>
      <rPr>
        <sz val="10"/>
        <color rgb="FF000000"/>
        <rFont val="微软雅黑"/>
        <family val="2"/>
        <charset val="1"/>
      </rPr>
      <t>5</t>
    </r>
    <r>
      <rPr>
        <sz val="10"/>
        <color rgb="FF000000"/>
        <rFont val="Noto Sans CJK SC"/>
        <family val="2"/>
      </rPr>
      <t>层纸板</t>
    </r>
  </si>
  <si>
    <r>
      <rPr>
        <sz val="10"/>
        <color rgb="FF000000"/>
        <rFont val="Noto Sans CJK SC"/>
        <family val="2"/>
      </rPr>
      <t>重型</t>
    </r>
    <r>
      <rPr>
        <sz val="10"/>
        <color rgb="FF000000"/>
        <rFont val="微软雅黑"/>
        <family val="2"/>
        <charset val="1"/>
      </rPr>
      <t>7</t>
    </r>
    <r>
      <rPr>
        <sz val="10"/>
        <color rgb="FF000000"/>
        <rFont val="Noto Sans CJK SC"/>
        <family val="2"/>
      </rPr>
      <t>层纸板</t>
    </r>
  </si>
  <si>
    <t>双瓦楞纸板克重</t>
  </si>
  <si>
    <r>
      <rPr>
        <sz val="10"/>
        <color rgb="FF000000"/>
        <rFont val="微软雅黑"/>
        <family val="2"/>
        <charset val="1"/>
      </rPr>
      <t>g/</t>
    </r>
    <r>
      <rPr>
        <sz val="10"/>
        <color rgb="FF000000"/>
        <rFont val="Noto Sans CJK SC"/>
        <family val="2"/>
      </rPr>
      <t>㎡</t>
    </r>
  </si>
  <si>
    <t>纸箱制箱加工费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</si>
  <si>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个</t>
    </r>
  </si>
  <si>
    <t>材料损耗率</t>
  </si>
  <si>
    <t>比例</t>
  </si>
  <si>
    <t>箱内装配间隙</t>
  </si>
  <si>
    <t>封箱胶带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</si>
  <si>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箱</t>
    </r>
  </si>
  <si>
    <t>标签</t>
  </si>
  <si>
    <t>托盘单价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</si>
  <si>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托</t>
    </r>
  </si>
  <si>
    <t>托盘重复使用次数</t>
  </si>
  <si>
    <t>次</t>
  </si>
  <si>
    <t>缠绕膜单价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</si>
  <si>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/kg</t>
    </r>
  </si>
  <si>
    <t>缠绕膜用量</t>
  </si>
  <si>
    <r>
      <rPr>
        <sz val="10"/>
        <color rgb="FF000000"/>
        <rFont val="微软雅黑"/>
        <family val="2"/>
        <charset val="1"/>
      </rPr>
      <t>kg/</t>
    </r>
    <r>
      <rPr>
        <sz val="10"/>
        <color rgb="FF000000"/>
        <rFont val="Noto Sans CJK SC"/>
        <family val="2"/>
      </rPr>
      <t>托</t>
    </r>
  </si>
  <si>
    <t>护角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</si>
  <si>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套</t>
    </r>
  </si>
  <si>
    <t>打包带</t>
  </si>
  <si>
    <t>托盘有效面积</t>
  </si>
  <si>
    <t>㎡</t>
  </si>
  <si>
    <t>每托层数</t>
  </si>
  <si>
    <t>层</t>
  </si>
  <si>
    <t>三、物流参数</t>
  </si>
  <si>
    <t>体积重系数</t>
  </si>
  <si>
    <r>
      <rPr>
        <i/>
        <sz val="10"/>
        <color rgb="FF808080"/>
        <rFont val="Noto Sans CJK SC"/>
        <family val="2"/>
      </rPr>
      <t>㎝³</t>
    </r>
    <r>
      <rPr>
        <i/>
        <sz val="10"/>
        <color rgb="FF808080"/>
        <rFont val="微软雅黑"/>
        <family val="2"/>
        <charset val="1"/>
      </rPr>
      <t>/kg</t>
    </r>
  </si>
  <si>
    <t>保费费率</t>
  </si>
  <si>
    <r>
      <rPr>
        <i/>
        <sz val="10"/>
        <color rgb="FF808080"/>
        <rFont val="Noto Sans CJK SC"/>
        <family val="2"/>
      </rPr>
      <t>‰即</t>
    </r>
    <r>
      <rPr>
        <i/>
        <sz val="10"/>
        <color rgb="FF808080"/>
        <rFont val="微软雅黑"/>
        <family val="2"/>
        <charset val="1"/>
      </rPr>
      <t>0.4%</t>
    </r>
  </si>
  <si>
    <t>保费最低收费</t>
  </si>
  <si>
    <r>
      <rPr>
        <i/>
        <sz val="10"/>
        <color rgb="FF808080"/>
        <rFont val="Noto Sans CJK SC"/>
        <family val="2"/>
      </rPr>
      <t>元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票</t>
    </r>
  </si>
  <si>
    <t>是否计保费</t>
  </si>
  <si>
    <r>
      <rPr>
        <i/>
        <sz val="10"/>
        <color rgb="FF808080"/>
        <rFont val="Noto Sans CJK SC"/>
        <family val="2"/>
      </rPr>
      <t>是</t>
    </r>
    <r>
      <rPr>
        <i/>
        <sz val="10"/>
        <color rgb="FF808080"/>
        <rFont val="微软雅黑"/>
        <family val="2"/>
        <charset val="1"/>
      </rPr>
      <t>/</t>
    </r>
    <r>
      <rPr>
        <i/>
        <sz val="10"/>
        <color rgb="FF808080"/>
        <rFont val="Noto Sans CJK SC"/>
        <family val="2"/>
      </rPr>
      <t>否</t>
    </r>
  </si>
  <si>
    <r>
      <rPr>
        <b/>
        <sz val="10"/>
        <color rgb="FFFFFFFF"/>
        <rFont val="Noto Sans CJK SC"/>
        <family val="2"/>
      </rPr>
      <t>四、包装方案参数（小板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大板）</t>
    </r>
  </si>
  <si>
    <t>防静电气泡袋克重</t>
  </si>
  <si>
    <r>
      <rPr>
        <sz val="10"/>
        <color rgb="FF000000"/>
        <rFont val="微软雅黑"/>
        <family val="2"/>
        <charset val="134"/>
      </rPr>
      <t>g/</t>
    </r>
    <r>
      <rPr>
        <sz val="10"/>
        <color rgb="FF000000"/>
        <rFont val="Noto Sans CJK SC"/>
        <family val="2"/>
      </rPr>
      <t>㎡</t>
    </r>
  </si>
  <si>
    <t>气泡袋面密度</t>
  </si>
  <si>
    <t>隔板单价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</si>
  <si>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</si>
  <si>
    <t>小板每件隔板</t>
  </si>
  <si>
    <t>隔板克重</t>
  </si>
  <si>
    <r>
      <rPr>
        <sz val="10"/>
        <color rgb="FF000000"/>
        <rFont val="微软雅黑"/>
        <family val="2"/>
        <charset val="134"/>
      </rPr>
      <t>g/</t>
    </r>
    <r>
      <rPr>
        <sz val="10"/>
        <color rgb="FF000000"/>
        <rFont val="Noto Sans CJK SC"/>
        <family val="2"/>
      </rPr>
      <t>件</t>
    </r>
  </si>
  <si>
    <t>小板隔板重量</t>
  </si>
  <si>
    <t>包装费计算（自动，按包装方案清单）</t>
  </si>
  <si>
    <t>一、输入（自动取自报价汇总）</t>
  </si>
  <si>
    <r>
      <rPr>
        <sz val="10"/>
        <color rgb="FF000000"/>
        <rFont val="Noto Sans CJK SC"/>
        <family val="2"/>
      </rPr>
      <t>成品长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</si>
  <si>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成品宽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</si>
  <si>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成品高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</si>
  <si>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每箱件数</t>
    </r>
    <r>
      <rPr>
        <sz val="10"/>
        <color rgb="FF000000"/>
        <rFont val="微软雅黑"/>
        <family val="2"/>
        <charset val="134"/>
      </rPr>
      <t>N</t>
    </r>
  </si>
  <si>
    <t>是否含整托</t>
  </si>
  <si>
    <r>
      <rPr>
        <sz val="10"/>
        <color rgb="FF000000"/>
        <rFont val="Noto Sans CJK SC"/>
        <family val="2"/>
      </rPr>
      <t>包装方案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自动</t>
    </r>
    <r>
      <rPr>
        <sz val="10"/>
        <color rgb="FF000000"/>
        <rFont val="微软雅黑"/>
        <family val="2"/>
        <charset val="134"/>
      </rPr>
      <t>)</t>
    </r>
  </si>
  <si>
    <t>二、包装几何（自动）</t>
  </si>
  <si>
    <r>
      <rPr>
        <sz val="10"/>
        <color rgb="FF000000"/>
        <rFont val="Noto Sans CJK SC"/>
        <family val="2"/>
      </rPr>
      <t>成品最大边长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</si>
  <si>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缓冲厚度</t>
    </r>
    <r>
      <rPr>
        <sz val="10"/>
        <color rgb="FF000000"/>
        <rFont val="微软雅黑"/>
        <family val="2"/>
        <charset val="134"/>
      </rPr>
      <t>t(mm)</t>
    </r>
  </si>
  <si>
    <r>
      <rPr>
        <sz val="10"/>
        <color rgb="FF000000"/>
        <rFont val="Noto Sans CJK SC"/>
        <family val="2"/>
      </rPr>
      <t>箱内长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</si>
  <si>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箱内宽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</si>
  <si>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箱内高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</si>
  <si>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单箱体积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㎝³</t>
    </r>
    <r>
      <rPr>
        <sz val="10"/>
        <color rgb="FF000000"/>
        <rFont val="微软雅黑"/>
        <family val="2"/>
        <charset val="134"/>
      </rPr>
      <t>)</t>
    </r>
  </si>
  <si>
    <t>三、内包装材料费（单件）</t>
  </si>
  <si>
    <r>
      <rPr>
        <sz val="10"/>
        <color rgb="FF000000"/>
        <rFont val="Noto Sans CJK SC"/>
        <family val="2"/>
      </rPr>
      <t>气泡袋长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</si>
  <si>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气泡袋宽</t>
    </r>
    <r>
      <rPr>
        <sz val="10"/>
        <color rgb="FF000000"/>
        <rFont val="微软雅黑"/>
        <family val="2"/>
        <charset val="134"/>
      </rPr>
      <t>(mm)</t>
    </r>
  </si>
  <si>
    <r>
      <rPr>
        <sz val="10"/>
        <color rgb="FF000000"/>
        <rFont val="Noto Sans CJK SC"/>
        <family val="2"/>
      </rPr>
      <t>气泡袋面积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㎡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</si>
  <si>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气泡袋费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</si>
  <si>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隔板费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</si>
  <si>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微软雅黑"/>
        <family val="2"/>
        <charset val="134"/>
      </rPr>
      <t>EPE</t>
    </r>
    <r>
      <rPr>
        <sz val="10"/>
        <color rgb="FF000000"/>
        <rFont val="Noto Sans CJK SC"/>
        <family val="2"/>
      </rPr>
      <t>体积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㎥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</si>
  <si>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微软雅黑"/>
        <family val="2"/>
        <charset val="134"/>
      </rPr>
      <t>EPE</t>
    </r>
    <r>
      <rPr>
        <sz val="10"/>
        <color rgb="FF000000"/>
        <rFont val="Noto Sans CJK SC"/>
        <family val="2"/>
      </rPr>
      <t>费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</si>
  <si>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内包材料费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</si>
  <si>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纸箱用纸面积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㎡</t>
    </r>
    <r>
      <rPr>
        <sz val="10"/>
        <color rgb="FF000000"/>
        <rFont val="微软雅黑"/>
        <family val="2"/>
        <charset val="134"/>
      </rPr>
      <t>)</t>
    </r>
  </si>
  <si>
    <t>瓦楞类型</t>
  </si>
  <si>
    <r>
      <rPr>
        <sz val="10"/>
        <color rgb="FF000000"/>
        <rFont val="Noto Sans CJK SC"/>
        <family val="2"/>
      </rPr>
      <t>纸板单价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㎡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</si>
  <si>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纸箱费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箱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</si>
  <si>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纸箱费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</si>
  <si>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辅料费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</si>
  <si>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b/>
        <sz val="10"/>
        <color rgb="FF000000"/>
        <rFont val="Noto Sans CJK SC"/>
        <family val="2"/>
      </rPr>
      <t>内包装单件费</t>
    </r>
    <r>
      <rPr>
        <b/>
        <sz val="10"/>
        <color rgb="FF000000"/>
        <rFont val="微软雅黑"/>
        <family val="2"/>
        <charset val="134"/>
      </rPr>
      <t>(</t>
    </r>
    <r>
      <rPr>
        <b/>
        <sz val="10"/>
        <color rgb="FF000000"/>
        <rFont val="Noto Sans CJK SC"/>
        <family val="2"/>
      </rPr>
      <t>元</t>
    </r>
    <r>
      <rPr>
        <b/>
        <sz val="10"/>
        <color rgb="FF000000"/>
        <rFont val="微软雅黑"/>
        <family val="2"/>
        <charset val="134"/>
      </rPr>
      <t>)</t>
    </r>
  </si>
  <si>
    <t>四、整托分摊（可选，勾选含整托生效）</t>
  </si>
  <si>
    <r>
      <rPr>
        <sz val="10"/>
        <color rgb="FF000000"/>
        <rFont val="Noto Sans CJK SC"/>
        <family val="2"/>
      </rPr>
      <t>每箱占地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㎡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</si>
  <si>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每托件数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</si>
  <si>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每托包装费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托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</si>
  <si>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整托分摊</t>
    </r>
    <r>
      <rPr>
        <sz val="10"/>
        <color rgb="FF000000"/>
        <rFont val="微软雅黑"/>
        <family val="2"/>
        <charset val="134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</si>
  <si>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sz val="10"/>
        <color rgb="FF000000"/>
        <rFont val="Noto Sans CJK SC"/>
        <family val="2"/>
      </rPr>
      <t>包装增重</t>
    </r>
    <r>
      <rPr>
        <sz val="10"/>
        <color rgb="FF000000"/>
        <rFont val="微软雅黑"/>
        <family val="2"/>
        <charset val="134"/>
      </rPr>
      <t>(kg/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34"/>
      </rPr>
      <t>)</t>
    </r>
  </si>
  <si>
    <r>
      <rPr>
        <b/>
        <sz val="10"/>
        <color rgb="FF000000"/>
        <rFont val="Noto Sans CJK SC"/>
        <family val="2"/>
      </rPr>
      <t>包装费合计</t>
    </r>
    <r>
      <rPr>
        <b/>
        <sz val="10"/>
        <color rgb="FF000000"/>
        <rFont val="微软雅黑"/>
        <family val="2"/>
        <charset val="134"/>
      </rPr>
      <t>(</t>
    </r>
    <r>
      <rPr>
        <b/>
        <sz val="10"/>
        <color rgb="FF000000"/>
        <rFont val="Noto Sans CJK SC"/>
        <family val="2"/>
      </rPr>
      <t>元</t>
    </r>
    <r>
      <rPr>
        <b/>
        <sz val="10"/>
        <color rgb="FF000000"/>
        <rFont val="微软雅黑"/>
        <family val="2"/>
        <charset val="134"/>
      </rPr>
      <t>/</t>
    </r>
    <r>
      <rPr>
        <b/>
        <sz val="10"/>
        <color rgb="FF000000"/>
        <rFont val="Noto Sans CJK SC"/>
        <family val="2"/>
      </rPr>
      <t>件</t>
    </r>
    <r>
      <rPr>
        <b/>
        <sz val="10"/>
        <color rgb="FF000000"/>
        <rFont val="微软雅黑"/>
        <family val="2"/>
        <charset val="134"/>
      </rPr>
      <t>)</t>
    </r>
  </si>
  <si>
    <r>
      <rPr>
        <b/>
        <sz val="10"/>
        <color rgb="FFFFFFFF"/>
        <rFont val="Noto Sans CJK SC"/>
        <family val="2"/>
      </rPr>
      <t>五、包装方案清单对照（√</t>
    </r>
    <r>
      <rPr>
        <b/>
        <sz val="10"/>
        <color rgb="FFFFFFFF"/>
        <rFont val="微软雅黑"/>
        <family val="2"/>
        <charset val="134"/>
      </rPr>
      <t>=</t>
    </r>
    <r>
      <rPr>
        <b/>
        <sz val="10"/>
        <color rgb="FFFFFFFF"/>
        <rFont val="Noto Sans CJK SC"/>
        <family val="2"/>
      </rPr>
      <t>该方案包含）</t>
    </r>
  </si>
  <si>
    <t>包装物料</t>
  </si>
  <si>
    <r>
      <rPr>
        <b/>
        <sz val="10"/>
        <color rgb="FFFFFFFF"/>
        <rFont val="Noto Sans CJK SC"/>
        <family val="2"/>
      </rPr>
      <t>单价</t>
    </r>
    <r>
      <rPr>
        <b/>
        <sz val="10"/>
        <color rgb="FFFFFFFF"/>
        <rFont val="微软雅黑"/>
        <family val="2"/>
        <charset val="134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微软雅黑"/>
        <family val="2"/>
        <charset val="134"/>
      </rPr>
      <t>)</t>
    </r>
  </si>
  <si>
    <t>小板</t>
  </si>
  <si>
    <t>大板</t>
  </si>
  <si>
    <t>防静电气泡袋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</si>
  <si>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㎡</t>
    </r>
  </si>
  <si>
    <t>√</t>
  </si>
  <si>
    <t>—</t>
  </si>
  <si>
    <t>隔板</t>
  </si>
  <si>
    <r>
      <rPr>
        <sz val="10"/>
        <color rgb="FF000000"/>
        <rFont val="微软雅黑"/>
        <family val="2"/>
        <charset val="134"/>
      </rPr>
      <t>EPE</t>
    </r>
    <r>
      <rPr>
        <sz val="10"/>
        <color rgb="FF000000"/>
        <rFont val="Noto Sans CJK SC"/>
        <family val="2"/>
      </rPr>
      <t>珍珠棉</t>
    </r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</si>
  <si>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/m³</t>
    </r>
  </si>
  <si>
    <t>纸箱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</si>
  <si>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箱</t>
    </r>
  </si>
  <si>
    <r>
      <rPr>
        <sz val="10"/>
        <color rgb="FF000000"/>
        <rFont val="Noto Sans CJK SC"/>
        <family val="2"/>
      </rPr>
      <t>按面积</t>
    </r>
    <r>
      <rPr>
        <sz val="10"/>
        <color rgb="FF000000"/>
        <rFont val="微软雅黑"/>
        <family val="2"/>
        <charset val="134"/>
      </rPr>
      <t>×</t>
    </r>
    <r>
      <rPr>
        <sz val="10"/>
        <color rgb="FF000000"/>
        <rFont val="Noto Sans CJK SC"/>
        <family val="2"/>
      </rPr>
      <t>瓦楞</t>
    </r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</si>
  <si>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套</t>
    </r>
  </si>
  <si>
    <t>托盘</t>
  </si>
  <si>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托</t>
    </r>
  </si>
  <si>
    <t>缠绕膜</t>
  </si>
  <si>
    <r>
      <rPr>
        <sz val="10"/>
        <color rgb="FF000000"/>
        <rFont val="Noto Sans CJK SC"/>
        <family val="2"/>
      </rPr>
      <t>口径：气泡袋按袋面积</t>
    </r>
    <r>
      <rPr>
        <sz val="10"/>
        <color rgb="FF000000"/>
        <rFont val="微软雅黑"/>
        <family val="2"/>
        <charset val="134"/>
      </rPr>
      <t>×</t>
    </r>
    <r>
      <rPr>
        <sz val="10"/>
        <color rgb="FF000000"/>
        <rFont val="Noto Sans CJK SC"/>
        <family val="2"/>
      </rPr>
      <t>单价；隔板</t>
    </r>
    <r>
      <rPr>
        <sz val="10"/>
        <color rgb="FF000000"/>
        <rFont val="微软雅黑"/>
        <family val="2"/>
        <charset val="134"/>
      </rPr>
      <t>=(N-1)/N×</t>
    </r>
    <r>
      <rPr>
        <sz val="10"/>
        <color rgb="FF000000"/>
        <rFont val="Noto Sans CJK SC"/>
        <family val="2"/>
      </rPr>
      <t>单价；</t>
    </r>
    <r>
      <rPr>
        <sz val="10"/>
        <color rgb="FF000000"/>
        <rFont val="微软雅黑"/>
        <family val="2"/>
        <charset val="134"/>
      </rPr>
      <t>EPE</t>
    </r>
    <r>
      <rPr>
        <sz val="10"/>
        <color rgb="FF000000"/>
        <rFont val="Noto Sans CJK SC"/>
        <family val="2"/>
      </rPr>
      <t>按体积</t>
    </r>
    <r>
      <rPr>
        <sz val="10"/>
        <color rgb="FF000000"/>
        <rFont val="微软雅黑"/>
        <family val="2"/>
        <charset val="134"/>
      </rPr>
      <t>×</t>
    </r>
    <r>
      <rPr>
        <sz val="10"/>
        <color rgb="FF000000"/>
        <rFont val="Noto Sans CJK SC"/>
        <family val="2"/>
      </rPr>
      <t>单价；纸箱按面积</t>
    </r>
    <r>
      <rPr>
        <sz val="10"/>
        <color rgb="FF000000"/>
        <rFont val="微软雅黑"/>
        <family val="2"/>
        <charset val="134"/>
      </rPr>
      <t>×</t>
    </r>
    <r>
      <rPr>
        <sz val="10"/>
        <color rgb="FF000000"/>
        <rFont val="Noto Sans CJK SC"/>
        <family val="2"/>
      </rPr>
      <t>单价</t>
    </r>
    <r>
      <rPr>
        <sz val="10"/>
        <color rgb="FF000000"/>
        <rFont val="微软雅黑"/>
        <family val="2"/>
        <charset val="134"/>
      </rPr>
      <t>÷N</t>
    </r>
    <r>
      <rPr>
        <sz val="10"/>
        <color rgb="FF000000"/>
        <rFont val="Noto Sans CJK SC"/>
        <family val="2"/>
      </rPr>
      <t>；护角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托盘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缠绕膜</t>
    </r>
    <r>
      <rPr>
        <sz val="10"/>
        <color rgb="FF000000"/>
        <rFont val="微软雅黑"/>
        <family val="2"/>
        <charset val="134"/>
      </rPr>
      <t>/</t>
    </r>
    <r>
      <rPr>
        <sz val="10"/>
        <color rgb="FF000000"/>
        <rFont val="Noto Sans CJK SC"/>
        <family val="2"/>
      </rPr>
      <t>打包带按整托费用</t>
    </r>
    <r>
      <rPr>
        <sz val="10"/>
        <color rgb="FF000000"/>
        <rFont val="微软雅黑"/>
        <family val="2"/>
        <charset val="134"/>
      </rPr>
      <t>÷</t>
    </r>
    <r>
      <rPr>
        <sz val="10"/>
        <color rgb="FF000000"/>
        <rFont val="Noto Sans CJK SC"/>
        <family val="2"/>
      </rPr>
      <t>每托件数。</t>
    </r>
  </si>
  <si>
    <r>
      <rPr>
        <b/>
        <sz val="10"/>
        <color rgb="FFFFFFFF"/>
        <rFont val="Noto Sans CJK SC"/>
        <family val="2"/>
      </rPr>
      <t>六、成品最大边长档位表（自动匹配缓冲厚度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瓦楞）</t>
    </r>
  </si>
  <si>
    <r>
      <rPr>
        <b/>
        <sz val="10"/>
        <color rgb="FFFFFFFF"/>
        <rFont val="Noto Sans CJK SC"/>
        <family val="2"/>
      </rPr>
      <t>下限</t>
    </r>
    <r>
      <rPr>
        <b/>
        <sz val="10"/>
        <color rgb="FFFFFFFF"/>
        <rFont val="微软雅黑"/>
        <family val="2"/>
        <charset val="134"/>
      </rPr>
      <t>mm</t>
    </r>
  </si>
  <si>
    <r>
      <rPr>
        <b/>
        <sz val="10"/>
        <color rgb="FFFFFFFF"/>
        <rFont val="Noto Sans CJK SC"/>
        <family val="2"/>
      </rPr>
      <t>上限</t>
    </r>
    <r>
      <rPr>
        <b/>
        <sz val="10"/>
        <color rgb="FFFFFFFF"/>
        <rFont val="微软雅黑"/>
        <family val="2"/>
        <charset val="134"/>
      </rPr>
      <t>mm</t>
    </r>
  </si>
  <si>
    <r>
      <rPr>
        <b/>
        <sz val="10"/>
        <color rgb="FFFFFFFF"/>
        <rFont val="Noto Sans CJK SC"/>
        <family val="2"/>
      </rPr>
      <t>缓冲厚度</t>
    </r>
    <r>
      <rPr>
        <b/>
        <sz val="10"/>
        <color rgb="FFFFFFFF"/>
        <rFont val="微软雅黑"/>
        <family val="2"/>
        <charset val="134"/>
      </rPr>
      <t>mm</t>
    </r>
  </si>
  <si>
    <t>瓦楞</t>
  </si>
  <si>
    <r>
      <rPr>
        <sz val="10"/>
        <color rgb="FF000000"/>
        <rFont val="Noto Sans CJK SC"/>
        <family val="2"/>
      </rPr>
      <t>单瓦楞</t>
    </r>
    <r>
      <rPr>
        <sz val="10"/>
        <color rgb="FF000000"/>
        <rFont val="微软雅黑"/>
        <family val="2"/>
        <charset val="134"/>
      </rPr>
      <t>3</t>
    </r>
    <r>
      <rPr>
        <sz val="10"/>
        <color rgb="FF000000"/>
        <rFont val="Noto Sans CJK SC"/>
        <family val="2"/>
      </rPr>
      <t>层</t>
    </r>
  </si>
  <si>
    <r>
      <rPr>
        <sz val="10"/>
        <color rgb="FF000000"/>
        <rFont val="Noto Sans CJK SC"/>
        <family val="2"/>
      </rPr>
      <t>双瓦楞</t>
    </r>
    <r>
      <rPr>
        <sz val="10"/>
        <color rgb="FF000000"/>
        <rFont val="微软雅黑"/>
        <family val="2"/>
        <charset val="134"/>
      </rPr>
      <t>5</t>
    </r>
    <r>
      <rPr>
        <sz val="10"/>
        <color rgb="FF000000"/>
        <rFont val="Noto Sans CJK SC"/>
        <family val="2"/>
      </rPr>
      <t>层</t>
    </r>
  </si>
  <si>
    <r>
      <rPr>
        <sz val="10"/>
        <color rgb="FF000000"/>
        <rFont val="Noto Sans CJK SC"/>
        <family val="2"/>
      </rPr>
      <t>重型</t>
    </r>
    <r>
      <rPr>
        <sz val="10"/>
        <color rgb="FF000000"/>
        <rFont val="微软雅黑"/>
        <family val="2"/>
        <charset val="134"/>
      </rPr>
      <t>7</t>
    </r>
    <r>
      <rPr>
        <sz val="10"/>
        <color rgb="FF000000"/>
        <rFont val="Noto Sans CJK SC"/>
        <family val="2"/>
      </rPr>
      <t>层</t>
    </r>
  </si>
  <si>
    <t>七、瓦楞单价映射</t>
  </si>
  <si>
    <r>
      <rPr>
        <b/>
        <sz val="10"/>
        <color rgb="FFFFFFFF"/>
        <rFont val="Noto Sans CJK SC"/>
        <family val="2"/>
      </rPr>
      <t>纸板单价</t>
    </r>
    <r>
      <rPr>
        <b/>
        <sz val="10"/>
        <color rgb="FFFFFFFF"/>
        <rFont val="微软雅黑"/>
        <family val="2"/>
        <charset val="134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㎡</t>
    </r>
    <r>
      <rPr>
        <b/>
        <sz val="10"/>
        <color rgb="FFFFFFFF"/>
        <rFont val="微软雅黑"/>
        <family val="2"/>
        <charset val="134"/>
      </rPr>
      <t>)</t>
    </r>
  </si>
  <si>
    <r>
      <rPr>
        <b/>
        <sz val="12"/>
        <color rgb="FFFFFFFF"/>
        <rFont val="Noto Sans CJK SC"/>
        <family val="2"/>
      </rPr>
      <t>跨越</t>
    </r>
    <r>
      <rPr>
        <b/>
        <sz val="12"/>
        <color rgb="FFFFFFFF"/>
        <rFont val="微软雅黑"/>
        <family val="2"/>
        <charset val="1"/>
      </rPr>
      <t>VIP</t>
    </r>
    <r>
      <rPr>
        <b/>
        <sz val="12"/>
        <color rgb="FFFFFFFF"/>
        <rFont val="Noto Sans CJK SC"/>
        <family val="2"/>
      </rPr>
      <t>运费费率（源自青岛国创</t>
    </r>
    <r>
      <rPr>
        <b/>
        <sz val="12"/>
        <color rgb="FFFFFFFF"/>
        <rFont val="微软雅黑"/>
        <family val="2"/>
        <charset val="1"/>
      </rPr>
      <t>VIP</t>
    </r>
    <r>
      <rPr>
        <b/>
        <sz val="12"/>
        <color rgb="FFFFFFFF"/>
        <rFont val="Noto Sans CJK SC"/>
        <family val="2"/>
      </rPr>
      <t>报价表，可按需改价）</t>
    </r>
  </si>
  <si>
    <t>产品</t>
  </si>
  <si>
    <t>目的省份</t>
  </si>
  <si>
    <t>首重重量</t>
  </si>
  <si>
    <t>首重价格</t>
  </si>
  <si>
    <t>起重</t>
  </si>
  <si>
    <t>最低收费</t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</si>
  <si>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1</t>
    </r>
    <r>
      <rPr>
        <b/>
        <sz val="10"/>
        <color rgb="FFFFFFFF"/>
        <rFont val="Noto Sans CJK SC"/>
        <family val="2"/>
      </rPr>
      <t>单价</t>
    </r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</si>
  <si>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2</t>
    </r>
    <r>
      <rPr>
        <b/>
        <sz val="10"/>
        <color rgb="FFFFFFFF"/>
        <rFont val="Noto Sans CJK SC"/>
        <family val="2"/>
      </rPr>
      <t>单价</t>
    </r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</si>
  <si>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3</t>
    </r>
    <r>
      <rPr>
        <b/>
        <sz val="10"/>
        <color rgb="FFFFFFFF"/>
        <rFont val="Noto Sans CJK SC"/>
        <family val="2"/>
      </rPr>
      <t>单价</t>
    </r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</si>
  <si>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4</t>
    </r>
    <r>
      <rPr>
        <b/>
        <sz val="10"/>
        <color rgb="FFFFFFFF"/>
        <rFont val="Noto Sans CJK SC"/>
        <family val="2"/>
      </rPr>
      <t>单价</t>
    </r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</si>
  <si>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5</t>
    </r>
    <r>
      <rPr>
        <b/>
        <sz val="10"/>
        <color rgb="FFFFFFFF"/>
        <rFont val="Noto Sans CJK SC"/>
        <family val="2"/>
      </rPr>
      <t>单价</t>
    </r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</si>
  <si>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6</t>
    </r>
    <r>
      <rPr>
        <b/>
        <sz val="10"/>
        <color rgb="FFFFFFFF"/>
        <rFont val="Noto Sans CJK SC"/>
        <family val="2"/>
      </rPr>
      <t>单价</t>
    </r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</si>
  <si>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7</t>
    </r>
    <r>
      <rPr>
        <b/>
        <sz val="10"/>
        <color rgb="FFFFFFFF"/>
        <rFont val="Noto Sans CJK SC"/>
        <family val="2"/>
      </rPr>
      <t>单价</t>
    </r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</si>
  <si>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8</t>
    </r>
    <r>
      <rPr>
        <b/>
        <sz val="10"/>
        <color rgb="FFFFFFFF"/>
        <rFont val="Noto Sans CJK SC"/>
        <family val="2"/>
      </rPr>
      <t>单价</t>
    </r>
  </si>
  <si>
    <r>
      <rPr>
        <b/>
        <sz val="10"/>
        <color rgb="FFFFFFFF"/>
        <rFont val="Noto Sans CJK SC"/>
        <family val="2"/>
      </rPr>
      <t>段</t>
    </r>
    <r>
      <rPr>
        <b/>
        <sz val="10"/>
        <color rgb="FFFFFFFF"/>
        <rFont val="微软雅黑"/>
        <family val="2"/>
        <charset val="1"/>
      </rPr>
      <t>9</t>
    </r>
    <r>
      <rPr>
        <b/>
        <sz val="10"/>
        <color rgb="FFFFFFFF"/>
        <rFont val="Noto Sans CJK SC"/>
        <family val="2"/>
      </rPr>
      <t>单价</t>
    </r>
  </si>
  <si>
    <t>匹配键</t>
  </si>
  <si>
    <t>次日达</t>
  </si>
  <si>
    <t>福建省</t>
  </si>
  <si>
    <r>
      <rPr>
        <sz val="10"/>
        <color rgb="FF000000"/>
        <rFont val="Noto Sans CJK SC"/>
        <family val="2"/>
      </rPr>
      <t>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厦门市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泉州市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</si>
  <si>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厦门市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泉州市</t>
    </r>
  </si>
  <si>
    <r>
      <rPr>
        <sz val="10"/>
        <color rgb="FF000000"/>
        <rFont val="Noto Sans CJK SC"/>
        <family val="2"/>
      </rPr>
      <t>宁德市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莆田市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漳州市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</si>
  <si>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宁德市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莆田市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漳州市</t>
    </r>
  </si>
  <si>
    <r>
      <rPr>
        <sz val="10"/>
        <color rgb="FF000000"/>
        <rFont val="Noto Sans CJK SC"/>
        <family val="2"/>
      </rPr>
      <t>龙岩市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南平市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</si>
  <si>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龙岩市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南平市</t>
    </r>
  </si>
  <si>
    <t>西藏自治区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</si>
  <si>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拉萨市</t>
    </r>
  </si>
  <si>
    <r>
      <rPr>
        <sz val="10"/>
        <color rgb="FF000000"/>
        <rFont val="Noto Sans CJK SC"/>
        <family val="2"/>
      </rPr>
      <t>日喀则市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山南市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林芝市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昌都市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那曲市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阿里地区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</si>
  <si>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日喀则市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山南市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林芝市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昌都市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那曲市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阿里地区</t>
    </r>
  </si>
  <si>
    <t>贵州省</t>
  </si>
  <si>
    <r>
      <rPr>
        <sz val="10"/>
        <color rgb="FF000000"/>
        <rFont val="Noto Sans CJK SC"/>
        <family val="2"/>
      </rPr>
      <t>贵阳市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遵义市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安顺市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</si>
  <si>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贵阳市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遵义市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安顺市</t>
    </r>
  </si>
  <si>
    <r>
      <rPr>
        <sz val="10"/>
        <color rgb="FF000000"/>
        <rFont val="Noto Sans CJK SC"/>
        <family val="2"/>
      </rPr>
      <t>黔南布依族苗族自治州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黔东南苗族侗族自治州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毕节市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六盘水市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黔西南布依族苗族自治州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</si>
  <si>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黔南布依族苗族自治州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黔东南苗族侗族自治州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毕节市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六盘水市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黔西南布依族苗族自治州</t>
    </r>
  </si>
  <si>
    <t>广东省</t>
  </si>
  <si>
    <r>
      <rPr>
        <sz val="10"/>
        <color rgb="FF000000"/>
        <rFont val="Noto Sans CJK SC"/>
        <family val="2"/>
      </rPr>
      <t>广州市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深圳市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珠海市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中山市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东莞市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</si>
  <si>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广州市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深圳市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珠海市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中山市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东莞市</t>
    </r>
  </si>
  <si>
    <r>
      <rPr>
        <sz val="10"/>
        <color rgb="FF000000"/>
        <rFont val="Noto Sans CJK SC"/>
        <family val="2"/>
      </rPr>
      <t>江门市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惠州市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佛山市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肇庆市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</si>
  <si>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江门市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惠州市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佛山市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肇庆市</t>
    </r>
  </si>
  <si>
    <r>
      <rPr>
        <sz val="10"/>
        <color rgb="FF000000"/>
        <rFont val="Noto Sans CJK SC"/>
        <family val="2"/>
      </rPr>
      <t>汕尾市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阳江市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揭阳市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茂名市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韶关市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梅州市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汕头市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湛江市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河源市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清远市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云浮市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潮州市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</si>
  <si>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汕尾市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阳江市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揭阳市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茂名市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韶关市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梅州市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汕头市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湛江市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河源市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清远市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云浮市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潮州市</t>
    </r>
  </si>
  <si>
    <t>湖北省</t>
  </si>
  <si>
    <r>
      <rPr>
        <sz val="10"/>
        <color rgb="FF000000"/>
        <rFont val="Noto Sans CJK SC"/>
        <family val="2"/>
      </rPr>
      <t>武汉市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鄂州市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</si>
  <si>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武汉市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鄂州市</t>
    </r>
  </si>
  <si>
    <r>
      <rPr>
        <sz val="10"/>
        <color rgb="FF000000"/>
        <rFont val="Noto Sans CJK SC"/>
        <family val="2"/>
      </rPr>
      <t>襄阳市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孝感市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荆州市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神农架林区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十堰市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荆门市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</si>
  <si>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襄阳市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孝感市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荆州市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神农架林区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十堰市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荆门市</t>
    </r>
  </si>
  <si>
    <r>
      <rPr>
        <sz val="10"/>
        <color rgb="FF000000"/>
        <rFont val="Noto Sans CJK SC"/>
        <family val="2"/>
      </rPr>
      <t>黄冈市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咸宁市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恩施土家族苗族自治州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潜江市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仙桃市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天门市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</si>
  <si>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黄冈市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咸宁市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恩施土家族苗族自治州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潜江市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仙桃市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天门市</t>
    </r>
  </si>
  <si>
    <t>湖南省</t>
  </si>
  <si>
    <r>
      <rPr>
        <sz val="10"/>
        <color rgb="FF000000"/>
        <rFont val="Noto Sans CJK SC"/>
        <family val="2"/>
      </rPr>
      <t>株洲市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长沙市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湘潭市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</si>
  <si>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株洲市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长沙市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湘潭市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</si>
  <si>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益阳市</t>
    </r>
  </si>
  <si>
    <r>
      <rPr>
        <sz val="10"/>
        <color rgb="FF000000"/>
        <rFont val="Noto Sans CJK SC"/>
        <family val="2"/>
      </rPr>
      <t>岳阳市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郴州市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常德市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娄底市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邵阳市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湘西土家族苗族自治州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张家界市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怀化市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永州市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</si>
  <si>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岳阳市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郴州市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常德市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娄底市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邵阳市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湘西土家族苗族自治州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张家界市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怀化市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永州市</t>
    </r>
  </si>
  <si>
    <t>重庆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</si>
  <si>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重庆市</t>
    </r>
  </si>
  <si>
    <t>四川省</t>
  </si>
  <si>
    <r>
      <rPr>
        <sz val="10"/>
        <color rgb="FF000000"/>
        <rFont val="Noto Sans CJK SC"/>
        <family val="2"/>
      </rPr>
      <t>成都市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资阳市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眉山市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</si>
  <si>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成都市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资阳市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眉山市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</si>
  <si>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绵阳市</t>
    </r>
  </si>
  <si>
    <r>
      <rPr>
        <sz val="10"/>
        <color rgb="FF000000"/>
        <rFont val="Noto Sans CJK SC"/>
        <family val="2"/>
      </rPr>
      <t>自贡市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南充市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达州市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遂宁市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广安市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巴中市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泸州市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内江市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乐山市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雅安市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德阳市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广元市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</si>
  <si>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自贡市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南充市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达州市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遂宁市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广安市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巴中市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泸州市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内江市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乐山市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雅安市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德阳市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广元市</t>
    </r>
  </si>
  <si>
    <r>
      <rPr>
        <sz val="10"/>
        <color rgb="FF000000"/>
        <rFont val="Noto Sans CJK SC"/>
        <family val="2"/>
      </rPr>
      <t>攀枝花市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凉山彝族自治州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甘孜藏族自治州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阿坝藏族羌族自治州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</si>
  <si>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攀枝花市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凉山彝族自治州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甘孜藏族自治州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阿坝藏族羌族自治州</t>
    </r>
  </si>
  <si>
    <t>安徽省</t>
  </si>
  <si>
    <r>
      <rPr>
        <sz val="10"/>
        <color rgb="FF000000"/>
        <rFont val="Noto Sans CJK SC"/>
        <family val="2"/>
      </rPr>
      <t>合肥市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芜湖市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马鞍山市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</si>
  <si>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合肥市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芜湖市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马鞍山市</t>
    </r>
  </si>
  <si>
    <r>
      <rPr>
        <sz val="10"/>
        <color rgb="FF000000"/>
        <rFont val="Noto Sans CJK SC"/>
        <family val="2"/>
      </rPr>
      <t>滁州市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蚌埠市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六安市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</si>
  <si>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滁州市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蚌埠市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六安市</t>
    </r>
  </si>
  <si>
    <r>
      <rPr>
        <sz val="10"/>
        <color rgb="FF000000"/>
        <rFont val="Noto Sans CJK SC"/>
        <family val="2"/>
      </rPr>
      <t>淮南市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安庆市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宿州市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亳州市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阜阳市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淮北市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铜陵市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宣城市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池州市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</si>
  <si>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淮南市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安庆市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宿州市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亳州市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阜阳市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淮北市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铜陵市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宣城市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池州市</t>
    </r>
  </si>
  <si>
    <t>新疆维吾尔自治区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</si>
  <si>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乌鲁木齐市</t>
    </r>
  </si>
  <si>
    <r>
      <rPr>
        <sz val="10"/>
        <color rgb="FF000000"/>
        <rFont val="Noto Sans CJK SC"/>
        <family val="2"/>
      </rPr>
      <t>塔城地区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白杨市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新星市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哈密市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昆玉市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和田地区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北屯市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阿勒泰地区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克孜勒苏柯尔克孜自治州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双河市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博尔塔拉蒙古自治州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克拉玛依市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胡杨河市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石河子市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五家渠市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昌吉回族自治州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吐鲁番市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巴音郭楞蒙古自治州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铁门关市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阿克苏地区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阿拉尔市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图木舒克市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喀什地区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伊犁哈萨克自治州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可克达拉市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</si>
  <si>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塔城地区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白杨市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新星市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哈密市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昆玉市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和田地区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北屯市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阿勒泰地区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克孜勒苏柯尔克孜自治州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双河市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博尔塔拉蒙古自治州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克拉玛依市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胡杨河市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石河子市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五家渠市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昌吉回族自治州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吐鲁番市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巴音郭楞蒙古自治州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铁门关市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阿克苏地区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阿拉尔市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图木舒克市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喀什地区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伊犁哈萨克自治州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可克达拉市</t>
    </r>
  </si>
  <si>
    <t>江苏省</t>
  </si>
  <si>
    <r>
      <rPr>
        <sz val="10"/>
        <color rgb="FF000000"/>
        <rFont val="Noto Sans CJK SC"/>
        <family val="2"/>
      </rPr>
      <t>南京市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无锡市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常州市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</si>
  <si>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南京市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无锡市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常州市</t>
    </r>
  </si>
  <si>
    <r>
      <rPr>
        <sz val="10"/>
        <color rgb="FF000000"/>
        <rFont val="Noto Sans CJK SC"/>
        <family val="2"/>
      </rPr>
      <t>镇江市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扬州市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</si>
  <si>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镇江市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扬州市</t>
    </r>
  </si>
  <si>
    <r>
      <rPr>
        <sz val="10"/>
        <color rgb="FF000000"/>
        <rFont val="Noto Sans CJK SC"/>
        <family val="2"/>
      </rPr>
      <t>盐城市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徐州市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淮安市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连云港市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泰州市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宿迁市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</si>
  <si>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盐城市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徐州市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淮安市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连云港市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泰州市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宿迁市</t>
    </r>
  </si>
  <si>
    <t>天津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</si>
  <si>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天津市</t>
    </r>
  </si>
  <si>
    <t>吉林省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</si>
  <si>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长春市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</si>
  <si>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吉林市</t>
    </r>
  </si>
  <si>
    <r>
      <rPr>
        <sz val="10"/>
        <color rgb="FF000000"/>
        <rFont val="Noto Sans CJK SC"/>
        <family val="2"/>
      </rPr>
      <t>延边朝鲜族自治州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四平市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通化市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辽源市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松原市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白山市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</si>
  <si>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延边朝鲜族自治州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四平市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通化市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辽源市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松原市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白山市</t>
    </r>
  </si>
  <si>
    <t>宁夏回族自治区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</si>
  <si>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银川市</t>
    </r>
  </si>
  <si>
    <r>
      <rPr>
        <sz val="10"/>
        <color rgb="FF000000"/>
        <rFont val="Noto Sans CJK SC"/>
        <family val="2"/>
      </rPr>
      <t>石嘴山市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吴忠市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固原市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中卫市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</si>
  <si>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石嘴山市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吴忠市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固原市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中卫市</t>
    </r>
  </si>
  <si>
    <t>河北省</t>
  </si>
  <si>
    <r>
      <rPr>
        <sz val="10"/>
        <color rgb="FF000000"/>
        <rFont val="Noto Sans CJK SC"/>
        <family val="2"/>
      </rPr>
      <t>石家庄市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廊坊市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</si>
  <si>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石家庄市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廊坊市</t>
    </r>
  </si>
  <si>
    <r>
      <rPr>
        <sz val="10"/>
        <color rgb="FF000000"/>
        <rFont val="Noto Sans CJK SC"/>
        <family val="2"/>
      </rPr>
      <t>邯郸市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雄安新区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唐山市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沧州市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秦皇岛市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</si>
  <si>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邯郸市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雄安新区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唐山市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沧州市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秦皇岛市</t>
    </r>
  </si>
  <si>
    <r>
      <rPr>
        <sz val="10"/>
        <color rgb="FF000000"/>
        <rFont val="Noto Sans CJK SC"/>
        <family val="2"/>
      </rPr>
      <t>张家口市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承德市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邢台市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</si>
  <si>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张家口市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承德市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邢台市</t>
    </r>
  </si>
  <si>
    <t>河南省</t>
  </si>
  <si>
    <r>
      <rPr>
        <sz val="10"/>
        <color rgb="FF000000"/>
        <rFont val="Noto Sans CJK SC"/>
        <family val="2"/>
      </rPr>
      <t>开封市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郑州市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</si>
  <si>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开封市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郑州市</t>
    </r>
  </si>
  <si>
    <r>
      <rPr>
        <sz val="10"/>
        <color rgb="FF000000"/>
        <rFont val="Noto Sans CJK SC"/>
        <family val="2"/>
      </rPr>
      <t>新乡市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许昌市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信阳市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洛阳市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鹤壁市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</si>
  <si>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新乡市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许昌市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信阳市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洛阳市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鹤壁市</t>
    </r>
  </si>
  <si>
    <r>
      <rPr>
        <sz val="10"/>
        <color rgb="FF000000"/>
        <rFont val="Noto Sans CJK SC"/>
        <family val="2"/>
      </rPr>
      <t>商丘市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平顶山市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焦作市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济源市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濮阳市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周口市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漯河市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驻马店市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三门峡市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</si>
  <si>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商丘市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平顶山市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焦作市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济源市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濮阳市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周口市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漯河市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驻马店市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三门峡市</t>
    </r>
  </si>
  <si>
    <t>广西壮族自治区</t>
  </si>
  <si>
    <r>
      <rPr>
        <sz val="10"/>
        <color rgb="FF000000"/>
        <rFont val="Noto Sans CJK SC"/>
        <family val="2"/>
      </rPr>
      <t>崇左市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南宁市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</si>
  <si>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崇左市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南宁市</t>
    </r>
  </si>
  <si>
    <r>
      <rPr>
        <sz val="10"/>
        <color rgb="FF000000"/>
        <rFont val="Noto Sans CJK SC"/>
        <family val="2"/>
      </rPr>
      <t>柳州市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来宾市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桂林市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</si>
  <si>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柳州市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来宾市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桂林市</t>
    </r>
  </si>
  <si>
    <r>
      <rPr>
        <sz val="10"/>
        <color rgb="FF000000"/>
        <rFont val="Noto Sans CJK SC"/>
        <family val="2"/>
      </rPr>
      <t>防城港市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梧州市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贺州市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贵港市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百色市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钦州市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河池市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北海市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</si>
  <si>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防城港市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梧州市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贺州市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贵港市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百色市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钦州市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河池市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北海市</t>
    </r>
  </si>
  <si>
    <t>海南省</t>
  </si>
  <si>
    <r>
      <rPr>
        <sz val="10"/>
        <color rgb="FF000000"/>
        <rFont val="Noto Sans CJK SC"/>
        <family val="2"/>
      </rPr>
      <t>屯昌县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五指山市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白沙黎族自治县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东方市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保亭黎族苗族自治县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琼中黎族苗族自治县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定安县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临高县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陵水黎族自治县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文昌市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海口市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万宁市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乐东黎族自治县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琼海市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澄迈县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昌江黎族自治县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儋州市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三沙市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</si>
  <si>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屯昌县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五指山市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白沙黎族自治县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东方市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保亭黎族苗族自治县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琼中黎族苗族自治县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定安县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临高县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陵水黎族自治县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文昌市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海口市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万宁市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乐东黎族自治县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琼海市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澄迈县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昌江黎族自治县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儋州市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三沙市</t>
    </r>
  </si>
  <si>
    <t>上海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</si>
  <si>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上海市</t>
    </r>
  </si>
  <si>
    <t>江西省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</si>
  <si>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南昌市</t>
    </r>
  </si>
  <si>
    <r>
      <rPr>
        <sz val="10"/>
        <color rgb="FF000000"/>
        <rFont val="Noto Sans CJK SC"/>
        <family val="2"/>
      </rPr>
      <t>九江市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吉安市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赣州市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</si>
  <si>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九江市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吉安市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赣州市</t>
    </r>
  </si>
  <si>
    <r>
      <rPr>
        <sz val="10"/>
        <color rgb="FF000000"/>
        <rFont val="Noto Sans CJK SC"/>
        <family val="2"/>
      </rPr>
      <t>鹰潭市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新余市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上饶市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抚州市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宜春市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景德镇市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萍乡市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</si>
  <si>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鹰潭市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新余市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上饶市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抚州市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宜春市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景德镇市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萍乡市</t>
    </r>
  </si>
  <si>
    <t>云南省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</si>
  <si>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昆明市</t>
    </r>
  </si>
  <si>
    <r>
      <rPr>
        <sz val="10"/>
        <color rgb="FF000000"/>
        <rFont val="Noto Sans CJK SC"/>
        <family val="2"/>
      </rPr>
      <t>大理白族自治州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曲靖市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楚雄彝族自治州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</si>
  <si>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大理白族自治州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曲靖市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楚雄彝族自治州</t>
    </r>
  </si>
  <si>
    <r>
      <rPr>
        <sz val="10"/>
        <color rgb="FF000000"/>
        <rFont val="Noto Sans CJK SC"/>
        <family val="2"/>
      </rPr>
      <t>西双版纳傣族自治州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德宏傣族景颇族自治州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昭通市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红河哈尼族彝族自治州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文山壮族苗族自治州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普洱市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临沧市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怒江傈僳族自治州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迪庆藏族自治州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丽江市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</si>
  <si>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西双版纳傣族自治州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德宏傣族景颇族自治州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昭通市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红河哈尼族彝族自治州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文山壮族苗族自治州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普洱市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临沧市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怒江傈僳族自治州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迪庆藏族自治州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丽江市</t>
    </r>
  </si>
  <si>
    <t>甘肃省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</si>
  <si>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兰州市</t>
    </r>
  </si>
  <si>
    <r>
      <rPr>
        <sz val="10"/>
        <color rgb="FF000000"/>
        <rFont val="Noto Sans CJK SC"/>
        <family val="2"/>
      </rPr>
      <t>临夏回族自治州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定西市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平凉市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庆阳市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金昌市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武威市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嘉峪关市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酒泉市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天水市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陇南市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甘南藏族自治州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白银市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</si>
  <si>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临夏回族自治州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定西市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平凉市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庆阳市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金昌市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武威市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嘉峪关市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酒泉市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天水市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陇南市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甘南藏族自治州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白银市</t>
    </r>
  </si>
  <si>
    <t>陕西省</t>
  </si>
  <si>
    <r>
      <rPr>
        <sz val="10"/>
        <color rgb="FF000000"/>
        <rFont val="Noto Sans CJK SC"/>
        <family val="2"/>
      </rPr>
      <t>西安市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咸阳市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</si>
  <si>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西安市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咸阳市</t>
    </r>
  </si>
  <si>
    <r>
      <rPr>
        <sz val="10"/>
        <color rgb="FF000000"/>
        <rFont val="Noto Sans CJK SC"/>
        <family val="2"/>
      </rPr>
      <t>宝鸡市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铜川市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</si>
  <si>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宝鸡市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铜川市</t>
    </r>
  </si>
  <si>
    <r>
      <rPr>
        <sz val="10"/>
        <color rgb="FF000000"/>
        <rFont val="Noto Sans CJK SC"/>
        <family val="2"/>
      </rPr>
      <t>延安市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榆林市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渭南市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商洛市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汉中市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</si>
  <si>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延安市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榆林市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渭南市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商洛市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汉中市</t>
    </r>
  </si>
  <si>
    <t>浙江省</t>
  </si>
  <si>
    <r>
      <rPr>
        <sz val="10"/>
        <color rgb="FF000000"/>
        <rFont val="Noto Sans CJK SC"/>
        <family val="2"/>
      </rPr>
      <t>杭州市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嘉兴市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宁波市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</si>
  <si>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杭州市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嘉兴市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宁波市</t>
    </r>
  </si>
  <si>
    <r>
      <rPr>
        <sz val="10"/>
        <color rgb="FF000000"/>
        <rFont val="Noto Sans CJK SC"/>
        <family val="2"/>
      </rPr>
      <t>湖州市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绍兴市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金华市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</si>
  <si>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湖州市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绍兴市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金华市</t>
    </r>
  </si>
  <si>
    <r>
      <rPr>
        <sz val="10"/>
        <color rgb="FF000000"/>
        <rFont val="Noto Sans CJK SC"/>
        <family val="2"/>
      </rPr>
      <t>台州市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温州市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</si>
  <si>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台州市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温州市</t>
    </r>
  </si>
  <si>
    <r>
      <rPr>
        <sz val="10"/>
        <color rgb="FF000000"/>
        <rFont val="Noto Sans CJK SC"/>
        <family val="2"/>
      </rPr>
      <t>衢州市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丽水市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舟山市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</si>
  <si>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衢州市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丽水市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舟山市</t>
    </r>
  </si>
  <si>
    <t>内蒙古自治区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</si>
  <si>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呼和浩特市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</si>
  <si>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包头市</t>
    </r>
  </si>
  <si>
    <r>
      <rPr>
        <sz val="10"/>
        <color rgb="FF000000"/>
        <rFont val="Noto Sans CJK SC"/>
        <family val="2"/>
      </rPr>
      <t>呼伦贝尔市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乌海市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乌兰察布市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通辽市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赤峰市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鄂尔多斯市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巴彦淖尔市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锡林郭勒盟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兴安盟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阿拉善盟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</si>
  <si>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呼伦贝尔市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乌海市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乌兰察布市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通辽市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赤峰市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鄂尔多斯市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巴彦淖尔市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锡林郭勒盟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兴安盟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阿拉善盟</t>
    </r>
  </si>
  <si>
    <t>青海省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</si>
  <si>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西宁市</t>
    </r>
  </si>
  <si>
    <r>
      <rPr>
        <sz val="10"/>
        <color rgb="FF000000"/>
        <rFont val="Noto Sans CJK SC"/>
        <family val="2"/>
      </rPr>
      <t>海北藏族自治州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海东市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黄南藏族自治州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海南藏族自治州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果洛藏族自治州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玉树藏族自治州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海西蒙古族藏族自治州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</si>
  <si>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海北藏族自治州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海东市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黄南藏族自治州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海南藏族自治州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果洛藏族自治州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玉树藏族自治州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海西蒙古族藏族自治州</t>
    </r>
  </si>
  <si>
    <t>辽宁省</t>
  </si>
  <si>
    <r>
      <rPr>
        <sz val="10"/>
        <color rgb="FF000000"/>
        <rFont val="Noto Sans CJK SC"/>
        <family val="2"/>
      </rPr>
      <t>抚顺市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本溪市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铁岭市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沈阳市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</si>
  <si>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抚顺市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本溪市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铁岭市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沈阳市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大连市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</si>
  <si>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鞍山市</t>
    </r>
  </si>
  <si>
    <r>
      <rPr>
        <sz val="10"/>
        <color rgb="FF000000"/>
        <rFont val="Noto Sans CJK SC"/>
        <family val="2"/>
      </rPr>
      <t>丹东市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锦州市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营口市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阜新市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辽阳市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朝阳市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盘锦市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葫芦岛市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</si>
  <si>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丹东市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锦州市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营口市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阜新市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辽阳市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朝阳市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盘锦市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葫芦岛市</t>
    </r>
  </si>
  <si>
    <t>黑龙江省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</si>
  <si>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哈尔滨市</t>
    </r>
  </si>
  <si>
    <r>
      <rPr>
        <sz val="10"/>
        <color rgb="FF000000"/>
        <rFont val="Noto Sans CJK SC"/>
        <family val="2"/>
      </rPr>
      <t>齐齐哈尔市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牡丹江市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佳木斯市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绥化市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黑河市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大兴安岭地区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伊春市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大庆市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七台河市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鸡西市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鹤岗市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双鸭山市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</si>
  <si>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齐齐哈尔市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牡丹江市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佳木斯市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绥化市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黑河市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大兴安岭地区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伊春市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大庆市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七台河市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鸡西市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鹤岗市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双鸭山市</t>
    </r>
  </si>
  <si>
    <t>北京</t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</si>
  <si>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北京市</t>
    </r>
  </si>
  <si>
    <t>山西省</t>
  </si>
  <si>
    <r>
      <rPr>
        <sz val="10"/>
        <color rgb="FF000000"/>
        <rFont val="Noto Sans CJK SC"/>
        <family val="2"/>
      </rPr>
      <t>太原市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晋中市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</si>
  <si>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太原市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晋中市</t>
    </r>
  </si>
  <si>
    <r>
      <rPr>
        <sz val="10"/>
        <color rgb="FF000000"/>
        <rFont val="Noto Sans CJK SC"/>
        <family val="2"/>
      </rPr>
      <t>朔州市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忻州市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阳泉市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长治市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晋城市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临汾市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吕梁市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运城市</t>
    </r>
  </si>
  <si>
    <r>
      <rPr>
        <sz val="10"/>
        <color rgb="FF000000"/>
        <rFont val="Noto Sans CJK SC"/>
        <family val="2"/>
      </rPr>
      <t>次日达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朔州市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忻州市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阳泉市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长治市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晋城市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临汾市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吕梁市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运城市</t>
    </r>
  </si>
  <si>
    <t>特惠普运</t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</si>
  <si>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崇左市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南宁市</t>
    </r>
  </si>
  <si>
    <r>
      <rPr>
        <sz val="10"/>
        <color rgb="FF000000"/>
        <rFont val="Noto Sans CJK SC"/>
        <family val="2"/>
      </rPr>
      <t>防城港市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桂林市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贵港市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钦州市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北海市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</si>
  <si>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防城港市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桂林市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贵港市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钦州市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北海市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</si>
  <si>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厦门市</t>
    </r>
  </si>
  <si>
    <r>
      <rPr>
        <sz val="10"/>
        <color rgb="FF000000"/>
        <rFont val="Noto Sans CJK SC"/>
        <family val="2"/>
      </rPr>
      <t>莆田市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泉州市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漳州市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龙岩市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</si>
  <si>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莆田市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泉州市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漳州市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龙岩市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</si>
  <si>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福州市</t>
    </r>
  </si>
  <si>
    <r>
      <rPr>
        <sz val="10"/>
        <color rgb="FF000000"/>
        <rFont val="Noto Sans CJK SC"/>
        <family val="2"/>
      </rPr>
      <t>宁德市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南平市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</si>
  <si>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宁德市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三明市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南平市</t>
    </r>
  </si>
  <si>
    <r>
      <rPr>
        <sz val="10"/>
        <color rgb="FF000000"/>
        <rFont val="Noto Sans CJK SC"/>
        <family val="2"/>
      </rPr>
      <t>山西省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河北省</t>
    </r>
  </si>
  <si>
    <r>
      <rPr>
        <sz val="10"/>
        <color rgb="FF000000"/>
        <rFont val="Noto Sans CJK SC"/>
        <family val="2"/>
      </rPr>
      <t>邯郸市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雄安新区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邢台市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阳泉市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</si>
  <si>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邯郸市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雄安新区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邢台市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阳泉市</t>
    </r>
  </si>
  <si>
    <r>
      <rPr>
        <sz val="10"/>
        <color rgb="FF000000"/>
        <rFont val="Noto Sans CJK SC"/>
        <family val="2"/>
      </rPr>
      <t>湖南省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贵州省</t>
    </r>
  </si>
  <si>
    <r>
      <rPr>
        <sz val="10"/>
        <color rgb="FF000000"/>
        <rFont val="Noto Sans CJK SC"/>
        <family val="2"/>
      </rPr>
      <t>郴州市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张家界市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怀化市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永州市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铜仁市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</si>
  <si>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郴州市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张家界市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怀化市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永州市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铜仁市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</si>
  <si>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贵阳市</t>
    </r>
  </si>
  <si>
    <r>
      <rPr>
        <sz val="10"/>
        <color rgb="FF000000"/>
        <rFont val="Noto Sans CJK SC"/>
        <family val="2"/>
      </rPr>
      <t>遵义市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安顺市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</si>
  <si>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遵义市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安顺市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</si>
  <si>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南昌市</t>
    </r>
  </si>
  <si>
    <r>
      <rPr>
        <sz val="10"/>
        <color rgb="FF000000"/>
        <rFont val="Noto Sans CJK SC"/>
        <family val="2"/>
      </rPr>
      <t>鹰潭市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新余市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九江市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上饶市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抚州市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吉安市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赣州市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景德镇市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</si>
  <si>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鹰潭市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新余市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九江市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上饶市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抚州市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吉安市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赣州市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景德镇市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</si>
  <si>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武汉市</t>
    </r>
  </si>
  <si>
    <r>
      <rPr>
        <sz val="10"/>
        <color rgb="FF000000"/>
        <rFont val="Noto Sans CJK SC"/>
        <family val="2"/>
      </rPr>
      <t>襄阳市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荆州市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恩施土家族苗族自治州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神农架林区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十堰市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荆门市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</si>
  <si>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襄阳市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荆州市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恩施土家族苗族自治州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神农架林区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十堰市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荆门市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</si>
  <si>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株洲市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长沙市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湘潭市</t>
    </r>
  </si>
  <si>
    <r>
      <rPr>
        <sz val="10"/>
        <color rgb="FF000000"/>
        <rFont val="Noto Sans CJK SC"/>
        <family val="2"/>
      </rPr>
      <t>河南省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湖北省</t>
    </r>
  </si>
  <si>
    <r>
      <rPr>
        <sz val="10"/>
        <color rgb="FF000000"/>
        <rFont val="Noto Sans CJK SC"/>
        <family val="2"/>
      </rPr>
      <t>信阳市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鄂州市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孝感市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黄冈市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咸宁市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潜江市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仙桃市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天门市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</si>
  <si>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信阳市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鄂州市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孝感市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黄冈市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黄石市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咸宁市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潜江市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仙桃市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天门市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</si>
  <si>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重庆市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</si>
  <si>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滁州市</t>
    </r>
  </si>
  <si>
    <r>
      <rPr>
        <sz val="10"/>
        <color rgb="FF000000"/>
        <rFont val="Noto Sans CJK SC"/>
        <family val="2"/>
      </rPr>
      <t>绵阳市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乐山市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雅安市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德阳市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广元市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</si>
  <si>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绵阳市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乐山市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雅安市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德阳市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广元市</t>
    </r>
  </si>
  <si>
    <r>
      <rPr>
        <sz val="10"/>
        <color rgb="FF000000"/>
        <rFont val="Noto Sans CJK SC"/>
        <family val="2"/>
      </rPr>
      <t>自贡市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南充市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达州市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遂宁市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广安市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巴中市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泸州市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内江市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</si>
  <si>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自贡市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南充市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达州市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遂宁市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广安市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巴中市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泸州市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宜宾市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内江市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</si>
  <si>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成都市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资阳市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眉山市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</si>
  <si>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西安市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咸阳市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</si>
  <si>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盐城市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</si>
  <si>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无锡市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</si>
  <si>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南京市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</si>
  <si>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淮安市</t>
    </r>
  </si>
  <si>
    <r>
      <rPr>
        <sz val="10"/>
        <color rgb="FF000000"/>
        <rFont val="Noto Sans CJK SC"/>
        <family val="2"/>
      </rPr>
      <t>徐州市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连云港市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宿迁市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</si>
  <si>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徐州市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连云港市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宿迁市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</si>
  <si>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南通市</t>
    </r>
  </si>
  <si>
    <r>
      <rPr>
        <sz val="10"/>
        <color rgb="FF000000"/>
        <rFont val="Noto Sans CJK SC"/>
        <family val="2"/>
      </rPr>
      <t>抚顺市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本溪市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铁岭市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</si>
  <si>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抚顺市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本溪市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铁岭市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</si>
  <si>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沈阳市</t>
    </r>
  </si>
  <si>
    <r>
      <rPr>
        <sz val="10"/>
        <color rgb="FF000000"/>
        <rFont val="Noto Sans CJK SC"/>
        <family val="2"/>
      </rPr>
      <t>鞍山市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丹东市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营口市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辽阳市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朝阳市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盘锦市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</si>
  <si>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鞍山市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丹东市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营口市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辽阳市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朝阳市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盘锦市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</si>
  <si>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大连市</t>
    </r>
  </si>
  <si>
    <r>
      <rPr>
        <sz val="10"/>
        <color rgb="FF000000"/>
        <rFont val="Noto Sans CJK SC"/>
        <family val="2"/>
      </rPr>
      <t>山西省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甘肃省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陕西省</t>
    </r>
  </si>
  <si>
    <r>
      <rPr>
        <sz val="10"/>
        <color rgb="FF000000"/>
        <rFont val="Noto Sans CJK SC"/>
        <family val="2"/>
      </rPr>
      <t>运城市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延安市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渭南市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商洛市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汉中市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宝鸡市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铜川市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天水市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</si>
  <si>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运城市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延安市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渭南市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商洛市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安康市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汉中市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宝鸡市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铜川市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天水市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</si>
  <si>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长春市</t>
    </r>
  </si>
  <si>
    <r>
      <rPr>
        <sz val="10"/>
        <color rgb="FF000000"/>
        <rFont val="Noto Sans CJK SC"/>
        <family val="2"/>
      </rPr>
      <t>吉林市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延边朝鲜族自治州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四平市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通化市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辽源市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松原市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白山市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</si>
  <si>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吉林市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延边朝鲜族自治州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四平市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通化市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辽源市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松原市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白山市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</si>
  <si>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哈尔滨市</t>
    </r>
  </si>
  <si>
    <r>
      <rPr>
        <sz val="10"/>
        <color rgb="FF000000"/>
        <rFont val="Noto Sans CJK SC"/>
        <family val="2"/>
      </rPr>
      <t>齐齐哈尔市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牡丹江市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佳木斯市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绥化市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鸡西市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</si>
  <si>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齐齐哈尔市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牡丹江市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佳木斯市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绥化市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鸡西市</t>
    </r>
  </si>
  <si>
    <r>
      <rPr>
        <sz val="10"/>
        <color rgb="FF000000"/>
        <rFont val="Noto Sans CJK SC"/>
        <family val="2"/>
      </rPr>
      <t>山西省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陕西省</t>
    </r>
  </si>
  <si>
    <r>
      <rPr>
        <sz val="10"/>
        <color rgb="FF000000"/>
        <rFont val="Noto Sans CJK SC"/>
        <family val="2"/>
      </rPr>
      <t>朔州市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忻州市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长治市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晋城市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吕梁市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榆林市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</si>
  <si>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朔州市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忻州市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大同市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长治市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晋城市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吕梁市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榆林市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</si>
  <si>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石家庄市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</si>
  <si>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北京市</t>
    </r>
  </si>
  <si>
    <r>
      <rPr>
        <sz val="10"/>
        <color rgb="FF000000"/>
        <rFont val="Noto Sans CJK SC"/>
        <family val="2"/>
      </rPr>
      <t>江西省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湖南省</t>
    </r>
  </si>
  <si>
    <r>
      <rPr>
        <sz val="10"/>
        <color rgb="FF000000"/>
        <rFont val="Noto Sans CJK SC"/>
        <family val="2"/>
      </rPr>
      <t>岳阳市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常德市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益阳市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娄底市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邵阳市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宜春市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萍乡市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</si>
  <si>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岳阳市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常德市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益阳市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娄底市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邵阳市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宜春市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萍乡市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</si>
  <si>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太原市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晋中市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</si>
  <si>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上海市</t>
    </r>
  </si>
  <si>
    <r>
      <rPr>
        <sz val="10"/>
        <color rgb="FF000000"/>
        <rFont val="Noto Sans CJK SC"/>
        <family val="2"/>
      </rPr>
      <t>无锡市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盐城市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</si>
  <si>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无锡市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南通市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盐城市</t>
    </r>
  </si>
  <si>
    <r>
      <rPr>
        <sz val="10"/>
        <color rgb="FF000000"/>
        <rFont val="Noto Sans CJK SC"/>
        <family val="2"/>
      </rPr>
      <t>柳州市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来宾市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</si>
  <si>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柳州市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来宾市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</si>
  <si>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昆明市</t>
    </r>
  </si>
  <si>
    <r>
      <rPr>
        <sz val="10"/>
        <color rgb="FF000000"/>
        <rFont val="Noto Sans CJK SC"/>
        <family val="2"/>
      </rPr>
      <t>大理白族自治州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红河哈尼族彝族自治州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曲靖市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楚雄彝族自治州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</si>
  <si>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大理白族自治州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红河哈尼族彝族自治州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曲靖市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玉溪市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楚雄彝族自治州</t>
    </r>
  </si>
  <si>
    <r>
      <rPr>
        <sz val="10"/>
        <color rgb="FF000000"/>
        <rFont val="Noto Sans CJK SC"/>
        <family val="2"/>
      </rPr>
      <t>黔南布依族苗族自治州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毕节市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六盘水市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</si>
  <si>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黔南布依族苗族自治州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毕节市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六盘水市</t>
    </r>
  </si>
  <si>
    <r>
      <rPr>
        <sz val="10"/>
        <color rgb="FF000000"/>
        <rFont val="Noto Sans CJK SC"/>
        <family val="2"/>
      </rPr>
      <t>镇江市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扬州市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泰州市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</si>
  <si>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镇江市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扬州市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泰州市</t>
    </r>
  </si>
  <si>
    <r>
      <rPr>
        <sz val="10"/>
        <color rgb="FF000000"/>
        <rFont val="Noto Sans CJK SC"/>
        <family val="2"/>
      </rPr>
      <t>南通市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盐城市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</si>
  <si>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南通市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盐城市</t>
    </r>
  </si>
  <si>
    <r>
      <rPr>
        <sz val="10"/>
        <color rgb="FF000000"/>
        <rFont val="Noto Sans CJK SC"/>
        <family val="2"/>
      </rPr>
      <t>无锡市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常州市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</si>
  <si>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无锡市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苏州市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常州市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</si>
  <si>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天津市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</si>
  <si>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廊坊市</t>
    </r>
  </si>
  <si>
    <r>
      <rPr>
        <sz val="10"/>
        <color rgb="FF000000"/>
        <rFont val="Noto Sans CJK SC"/>
        <family val="2"/>
      </rPr>
      <t>邯郸市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石家庄市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雄安新区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张家口市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承德市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唐山市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沧州市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邢台市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秦皇岛市</t>
    </r>
  </si>
  <si>
    <r>
      <rPr>
        <sz val="10"/>
        <color rgb="FF000000"/>
        <rFont val="Noto Sans CJK SC"/>
        <family val="2"/>
      </rPr>
      <t>特惠普运</t>
    </r>
    <r>
      <rPr>
        <sz val="10"/>
        <color rgb="FF000000"/>
        <rFont val="微软雅黑"/>
        <family val="2"/>
        <charset val="1"/>
      </rPr>
      <t>|</t>
    </r>
    <r>
      <rPr>
        <sz val="10"/>
        <color rgb="FF000000"/>
        <rFont val="Noto Sans CJK SC"/>
        <family val="2"/>
      </rPr>
      <t>邯郸市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石家庄市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保定市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雄安新区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张家口市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承德市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唐山市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沧州市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衡水市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邢台市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秦皇岛市</t>
    </r>
  </si>
  <si>
    <r>
      <rPr>
        <b/>
        <sz val="12"/>
        <color rgb="FFFFFFFF"/>
        <rFont val="Noto Sans CJK SC"/>
        <family val="2"/>
      </rPr>
      <t>运费计算（跨越费率，实重</t>
    </r>
    <r>
      <rPr>
        <b/>
        <sz val="12"/>
        <color rgb="FFFFFFFF"/>
        <rFont val="微软雅黑"/>
        <family val="2"/>
        <charset val="1"/>
      </rPr>
      <t>/</t>
    </r>
    <r>
      <rPr>
        <b/>
        <sz val="12"/>
        <color rgb="FFFFFFFF"/>
        <rFont val="Noto Sans CJK SC"/>
        <family val="2"/>
      </rPr>
      <t>体积重取大）</t>
    </r>
  </si>
  <si>
    <t>一、输入与费率定位（自动）</t>
  </si>
  <si>
    <r>
      <rPr>
        <sz val="10"/>
        <color rgb="FF000000"/>
        <rFont val="Noto Sans CJK SC"/>
        <family val="2"/>
      </rPr>
      <t>单台毛重</t>
    </r>
    <r>
      <rPr>
        <sz val="10"/>
        <color rgb="FF000000"/>
        <rFont val="微软雅黑"/>
        <family val="2"/>
        <charset val="1"/>
      </rPr>
      <t>(kg)</t>
    </r>
  </si>
  <si>
    <r>
      <rPr>
        <sz val="10"/>
        <color rgb="FF000000"/>
        <rFont val="Noto Sans CJK SC"/>
        <family val="2"/>
      </rPr>
      <t>单箱体积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Noto Sans CJK SC"/>
        <family val="2"/>
      </rPr>
      <t>㎝³</t>
    </r>
    <r>
      <rPr>
        <sz val="10"/>
        <color rgb="FF000000"/>
        <rFont val="微软雅黑"/>
        <family val="2"/>
        <charset val="1"/>
      </rPr>
      <t>)</t>
    </r>
  </si>
  <si>
    <r>
      <rPr>
        <sz val="10"/>
        <color rgb="FF000000"/>
        <rFont val="Noto Sans CJK SC"/>
        <family val="2"/>
      </rPr>
      <t>箱数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Noto Sans CJK SC"/>
        <family val="2"/>
      </rPr>
      <t>票内</t>
    </r>
    <r>
      <rPr>
        <sz val="10"/>
        <color rgb="FF000000"/>
        <rFont val="微软雅黑"/>
        <family val="2"/>
        <charset val="1"/>
      </rPr>
      <t>)</t>
    </r>
  </si>
  <si>
    <t>费率行号</t>
  </si>
  <si>
    <t>二、计费重量（自动）</t>
  </si>
  <si>
    <r>
      <rPr>
        <sz val="10"/>
        <color rgb="FF000000"/>
        <rFont val="Noto Sans CJK SC"/>
        <family val="2"/>
      </rPr>
      <t>单票实重</t>
    </r>
    <r>
      <rPr>
        <sz val="10"/>
        <color rgb="FF000000"/>
        <rFont val="微软雅黑"/>
        <family val="2"/>
        <charset val="1"/>
      </rPr>
      <t>(kg)</t>
    </r>
  </si>
  <si>
    <r>
      <rPr>
        <sz val="10"/>
        <color rgb="FF000000"/>
        <rFont val="Noto Sans CJK SC"/>
        <family val="2"/>
      </rPr>
      <t>单票体积重</t>
    </r>
    <r>
      <rPr>
        <sz val="10"/>
        <color rgb="FF000000"/>
        <rFont val="微软雅黑"/>
        <family val="2"/>
        <charset val="1"/>
      </rPr>
      <t>(kg)</t>
    </r>
  </si>
  <si>
    <r>
      <rPr>
        <sz val="10"/>
        <color rgb="FF000000"/>
        <rFont val="Noto Sans CJK SC"/>
        <family val="2"/>
      </rPr>
      <t>计费重量</t>
    </r>
    <r>
      <rPr>
        <sz val="10"/>
        <color rgb="FF000000"/>
        <rFont val="微软雅黑"/>
        <family val="2"/>
        <charset val="1"/>
      </rPr>
      <t>(kg)</t>
    </r>
  </si>
  <si>
    <r>
      <rPr>
        <sz val="10"/>
        <color rgb="FF000000"/>
        <rFont val="Noto Sans CJK SC"/>
        <family val="2"/>
      </rPr>
      <t>起重</t>
    </r>
    <r>
      <rPr>
        <sz val="10"/>
        <color rgb="FF000000"/>
        <rFont val="微软雅黑"/>
        <family val="2"/>
        <charset val="1"/>
      </rPr>
      <t>(kg)</t>
    </r>
  </si>
  <si>
    <t>计费重量起重后</t>
  </si>
  <si>
    <t>三、运费（自动）</t>
  </si>
  <si>
    <r>
      <rPr>
        <sz val="10"/>
        <color rgb="FF000000"/>
        <rFont val="Noto Sans CJK SC"/>
        <family val="2"/>
      </rPr>
      <t>段位置</t>
    </r>
    <r>
      <rPr>
        <sz val="10"/>
        <color rgb="FF000000"/>
        <rFont val="微软雅黑"/>
        <family val="2"/>
        <charset val="1"/>
      </rPr>
      <t>idx</t>
    </r>
  </si>
  <si>
    <t>段单价</t>
  </si>
  <si>
    <t>次日达段下限</t>
  </si>
  <si>
    <t>特惠段下限</t>
  </si>
  <si>
    <t>单票运费</t>
  </si>
  <si>
    <r>
      <rPr>
        <sz val="10"/>
        <color rgb="FF000000"/>
        <rFont val="Noto Sans CJK SC"/>
        <family val="2"/>
      </rPr>
      <t>声明价值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票</t>
    </r>
    <r>
      <rPr>
        <sz val="10"/>
        <color rgb="FF000000"/>
        <rFont val="微软雅黑"/>
        <family val="2"/>
        <charset val="1"/>
      </rPr>
      <t>)</t>
    </r>
  </si>
  <si>
    <r>
      <rPr>
        <sz val="10"/>
        <color rgb="FF000000"/>
        <rFont val="Noto Sans CJK SC"/>
        <family val="2"/>
      </rPr>
      <t>保费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Noto Sans CJK SC"/>
        <family val="2"/>
      </rPr>
      <t>可选</t>
    </r>
    <r>
      <rPr>
        <sz val="10"/>
        <color rgb="FF000000"/>
        <rFont val="微软雅黑"/>
        <family val="2"/>
        <charset val="1"/>
      </rPr>
      <t>)</t>
    </r>
  </si>
  <si>
    <t>单票运费合计</t>
  </si>
  <si>
    <r>
      <rPr>
        <sz val="10"/>
        <color rgb="FF000000"/>
        <rFont val="Noto Sans CJK SC"/>
        <family val="2"/>
      </rPr>
      <t>单台运费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Noto Sans CJK SC"/>
        <family val="2"/>
      </rPr>
      <t>元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Noto Sans CJK SC"/>
        <family val="2"/>
      </rPr>
      <t>件</t>
    </r>
    <r>
      <rPr>
        <sz val="10"/>
        <color rgb="FF000000"/>
        <rFont val="微软雅黑"/>
        <family val="2"/>
        <charset val="1"/>
      </rPr>
      <t>)</t>
    </r>
  </si>
  <si>
    <r>
      <rPr>
        <i/>
        <sz val="10"/>
        <color rgb="FF808080"/>
        <rFont val="Noto Sans CJK SC"/>
        <family val="2"/>
      </rPr>
      <t>运费口径：计费重量</t>
    </r>
    <r>
      <rPr>
        <i/>
        <sz val="10"/>
        <color rgb="FF808080"/>
        <rFont val="微软雅黑"/>
        <family val="2"/>
        <charset val="1"/>
      </rPr>
      <t>=MAX(</t>
    </r>
    <r>
      <rPr>
        <i/>
        <sz val="10"/>
        <color rgb="FF808080"/>
        <rFont val="Noto Sans CJK SC"/>
        <family val="2"/>
      </rPr>
      <t>实重</t>
    </r>
    <r>
      <rPr>
        <i/>
        <sz val="10"/>
        <color rgb="FF808080"/>
        <rFont val="微软雅黑"/>
        <family val="2"/>
        <charset val="1"/>
      </rPr>
      <t>,</t>
    </r>
    <r>
      <rPr>
        <i/>
        <sz val="10"/>
        <color rgb="FF808080"/>
        <rFont val="Noto Sans CJK SC"/>
        <family val="2"/>
      </rPr>
      <t>体积重</t>
    </r>
    <r>
      <rPr>
        <i/>
        <sz val="10"/>
        <color rgb="FF808080"/>
        <rFont val="微软雅黑"/>
        <family val="2"/>
        <charset val="1"/>
      </rPr>
      <t>)</t>
    </r>
    <r>
      <rPr>
        <i/>
        <sz val="10"/>
        <color rgb="FF808080"/>
        <rFont val="Noto Sans CJK SC"/>
        <family val="2"/>
      </rPr>
      <t>；体积重</t>
    </r>
    <r>
      <rPr>
        <i/>
        <sz val="10"/>
        <color rgb="FF808080"/>
        <rFont val="微软雅黑"/>
        <family val="2"/>
        <charset val="1"/>
      </rPr>
      <t>=</t>
    </r>
    <r>
      <rPr>
        <i/>
        <sz val="10"/>
        <color rgb="FF808080"/>
        <rFont val="Noto Sans CJK SC"/>
        <family val="2"/>
      </rPr>
      <t>箱体积</t>
    </r>
    <r>
      <rPr>
        <i/>
        <sz val="10"/>
        <color rgb="FF808080"/>
        <rFont val="微软雅黑"/>
        <family val="2"/>
        <charset val="1"/>
      </rPr>
      <t>(</t>
    </r>
    <r>
      <rPr>
        <i/>
        <sz val="10"/>
        <color rgb="FF808080"/>
        <rFont val="Noto Sans CJK SC"/>
        <family val="2"/>
      </rPr>
      <t>㎝³</t>
    </r>
    <r>
      <rPr>
        <i/>
        <sz val="10"/>
        <color rgb="FF808080"/>
        <rFont val="微软雅黑"/>
        <family val="2"/>
        <charset val="1"/>
      </rPr>
      <t>)/</t>
    </r>
    <r>
      <rPr>
        <i/>
        <sz val="10"/>
        <color rgb="FF808080"/>
        <rFont val="Noto Sans CJK SC"/>
        <family val="2"/>
      </rPr>
      <t>体积系数；运费</t>
    </r>
    <r>
      <rPr>
        <i/>
        <sz val="10"/>
        <color rgb="FF808080"/>
        <rFont val="微软雅黑"/>
        <family val="2"/>
        <charset val="1"/>
      </rPr>
      <t>=</t>
    </r>
    <r>
      <rPr>
        <i/>
        <sz val="10"/>
        <color rgb="FF808080"/>
        <rFont val="Noto Sans CJK SC"/>
        <family val="2"/>
      </rPr>
      <t>首重价格</t>
    </r>
    <r>
      <rPr>
        <i/>
        <sz val="10"/>
        <color rgb="FF808080"/>
        <rFont val="微软雅黑"/>
        <family val="2"/>
        <charset val="1"/>
      </rPr>
      <t>+(</t>
    </r>
    <r>
      <rPr>
        <i/>
        <sz val="10"/>
        <color rgb="FF808080"/>
        <rFont val="Noto Sans CJK SC"/>
        <family val="2"/>
      </rPr>
      <t>计费重量</t>
    </r>
    <r>
      <rPr>
        <i/>
        <sz val="10"/>
        <color rgb="FF808080"/>
        <rFont val="微软雅黑"/>
        <family val="2"/>
        <charset val="1"/>
      </rPr>
      <t>-</t>
    </r>
    <r>
      <rPr>
        <i/>
        <sz val="10"/>
        <color rgb="FF808080"/>
        <rFont val="Noto Sans CJK SC"/>
        <family val="2"/>
      </rPr>
      <t>首重重量</t>
    </r>
    <r>
      <rPr>
        <i/>
        <sz val="10"/>
        <color rgb="FF808080"/>
        <rFont val="微软雅黑"/>
        <family val="2"/>
        <charset val="1"/>
      </rPr>
      <t>)×</t>
    </r>
    <r>
      <rPr>
        <i/>
        <sz val="10"/>
        <color rgb="FF808080"/>
        <rFont val="Noto Sans CJK SC"/>
        <family val="2"/>
      </rPr>
      <t>段单价，最低不低于最低收费。</t>
    </r>
  </si>
  <si>
    <t>目的地需与所选物流产品匹配：次日达与特惠普运的目的地划分不同，选错时本表运费显示空白。</t>
  </si>
  <si>
    <t>宁波</t>
    <phoneticPr fontId="27" type="noConversion"/>
  </si>
  <si>
    <t>GCSL-SX-C-01</t>
    <phoneticPr fontId="27" type="noConversion"/>
  </si>
  <si>
    <t>2.5kW水冷机驱动方案</t>
  </si>
  <si>
    <t>新能先锋</t>
  </si>
  <si>
    <t>HW001</t>
  </si>
  <si>
    <t>薄膜电容/30μF/1.1kV/P52.5×4/-40~105℃/MI</t>
  </si>
  <si>
    <t>在线参考|含税→未税</t>
  </si>
  <si>
    <t>HW002</t>
  </si>
  <si>
    <t>片式瓷介电容/0603/1nF/10%/50V/X7R/SMT</t>
  </si>
  <si>
    <t>HW003</t>
  </si>
  <si>
    <t>片式瓷介电容/1206/10uF/10%/50V/X7R/SMT</t>
  </si>
  <si>
    <t>HW004</t>
  </si>
  <si>
    <t>片式瓷介电容/0603/1uF/10%/50V/X7R/SMT</t>
  </si>
  <si>
    <t>HW005</t>
  </si>
  <si>
    <t>片式瓷介电容/0603/100nF/10%/50V/X7R/SMT</t>
  </si>
  <si>
    <t>HW006</t>
  </si>
  <si>
    <t>片式瓷介电容/1206/1nF/10%/200V/X7R/SMT</t>
  </si>
  <si>
    <t>HW007</t>
  </si>
  <si>
    <t>薄膜电容-100nF -1000V</t>
  </si>
  <si>
    <t>HW008</t>
  </si>
  <si>
    <t>片式瓷介电容/0603/100pF/5%/50V/X7R/SMT</t>
  </si>
  <si>
    <t>HW009</t>
  </si>
  <si>
    <t>瓷介电容/CT81/2kV/1000P/K/AI</t>
  </si>
  <si>
    <t>HW010</t>
  </si>
  <si>
    <t>薄膜电容/聚丙烯/220nF/1000V/±10%/L13×H13×T7/P=10/d0.6/-40 ℃ ~ 105 ℃/MI</t>
  </si>
  <si>
    <t>HW011</t>
  </si>
  <si>
    <t>片式瓷介电容/0603/4.7uF/10%/16V/X7R/SMT</t>
  </si>
  <si>
    <t>HW012</t>
  </si>
  <si>
    <t>安规电容/4.7nF/400VAC/Y1/D12.0×T5.5/d0.65/P=10/编带/-40℃~125℃/MI</t>
  </si>
  <si>
    <t>HW013</t>
  </si>
  <si>
    <t>贴片电容/100nF/50V/X7R/±10%/C0603/-55℃~125℃/SMT</t>
  </si>
  <si>
    <t>人工修订|含税→未税</t>
  </si>
  <si>
    <t>HW014</t>
  </si>
  <si>
    <t>安规电容//Y2/2.2nF±20%/250V/SMT</t>
  </si>
  <si>
    <t>HW015</t>
  </si>
  <si>
    <t>贴片电容/680nF/50V/X7R/±10%/C0603/-55℃~125℃/SMT</t>
  </si>
  <si>
    <t>HW016</t>
  </si>
  <si>
    <t>贴片电容1μF/50V/X7R/±10%/C0603/-55℃~125℃/SMT</t>
  </si>
  <si>
    <t>主库规格|未税</t>
  </si>
  <si>
    <t>HW017</t>
  </si>
  <si>
    <t>贴片电容/1nF/50V/X7R/±10%/C0603/-55℃~125℃/SMT</t>
  </si>
  <si>
    <t>HW018</t>
  </si>
  <si>
    <t>贴片电容/100pF/50V/X7R/±5%/C0603/-55℃~125℃/SMT</t>
  </si>
  <si>
    <t>HW019</t>
  </si>
  <si>
    <t>安规电容//CT7/250V/2N2/M/AI</t>
  </si>
  <si>
    <t>HW020</t>
  </si>
  <si>
    <t>瓷介电容/CT81/2kV/10P/K/AI</t>
  </si>
  <si>
    <t>HW021</t>
  </si>
  <si>
    <t>贴片电容/10nF/50V/X7R/±10%/C0603/-55℃~125℃/SMT</t>
  </si>
  <si>
    <t>HW022</t>
  </si>
  <si>
    <t>插片/63824-5/黄铜/L6.3mm×T0.8mm/5.08mm/-40℃~+105℃/MI</t>
  </si>
  <si>
    <t>HW023</t>
  </si>
  <si>
    <t>快恢复二极管/US1Q-TP/1A/1.9V/1.2kV/SMA/SMT,</t>
  </si>
  <si>
    <t>主库型号|未税</t>
  </si>
  <si>
    <t>HW024</t>
  </si>
  <si>
    <t>快恢复二极管/ES1J/35ns/600V/1A/1.7V/SMA/-55℃~150℃/SMT</t>
  </si>
  <si>
    <t>主库型号|含税→未税</t>
  </si>
  <si>
    <t>HW025</t>
  </si>
  <si>
    <t>快恢复二极管/US1M/1A/Vf1.7V/Vr1kV/SMT</t>
  </si>
  <si>
    <t>HW026</t>
  </si>
  <si>
    <t>开关二极管/MMSD4148/400mW/100V/200mA/SMT</t>
  </si>
  <si>
    <t>HW027</t>
  </si>
  <si>
    <t>发光二极管/0603/RED/SMT</t>
  </si>
  <si>
    <t>二极管估算模型|含税→未税</t>
  </si>
  <si>
    <t>HW028</t>
  </si>
  <si>
    <t>TVS二极管/SMAJ20A-13-F/20V/18.5A/100A/200pF/22.2-25.5V/SMB/-55℃~150℃/SMT</t>
  </si>
  <si>
    <t>HW029</t>
  </si>
  <si>
    <t>整流二极管/M7/1000V/1A/1.1V/30A/SMA/-55℃~150℃/SMT, 整流二极管/M7/SMT</t>
  </si>
  <si>
    <t>HW030</t>
  </si>
  <si>
    <t>TVS二极管/SMAJ15CA/15.0V/16.40A/24.40A///16.7V~18.5V/SMA/-55℃ ~ +150℃/SMT, 双向TVS二极管/SMAJ15CA/15V/SMT</t>
  </si>
  <si>
    <t>HW031</t>
  </si>
  <si>
    <t>二极管/BAV99/225mW/70V/VF1.25V/SOT23/SMT</t>
  </si>
  <si>
    <t>HW032</t>
  </si>
  <si>
    <t>开关二极管/1N4148W-TP/4ns/100V/300mA/1.25V/2pF/SOD-123/-65℃~150℃/SMT</t>
  </si>
  <si>
    <t>主库等效型号|含税→未税</t>
  </si>
  <si>
    <t>HW033</t>
  </si>
  <si>
    <t>整流二极管/US1N/SMT</t>
  </si>
  <si>
    <t>HW034</t>
  </si>
  <si>
    <t>贴片铝电解电容/16V/100μF/±20%/10000H/SMD,/-40℃~+105℃/</t>
  </si>
  <si>
    <t>HW035</t>
  </si>
  <si>
    <t>贴片铝电解电容/25V/220μF/±20%/10000H//-40℃~+105℃/SMT, 直插铝电解电容/25V/220μF/±20%/10000H/0.14Ω/D5×H11/P=2.5mm/编带/直插式/-40℃~+105℃/AI, 贴片铝电解电容//35V/220μF/±20%/10000H/-40℃~+105℃</t>
  </si>
  <si>
    <t>HW036</t>
  </si>
  <si>
    <t>贴片铝电解电容/25V/470μF/±20%/10000H/- 40℃ ~ +105℃</t>
  </si>
  <si>
    <t>HW037</t>
  </si>
  <si>
    <t>直插铝电解电容/450V/22μF/20%/15000h/低ESR/D13*L16/5mm/非编带/LL/-25℃~+105℃/MI</t>
  </si>
  <si>
    <t>HW038</t>
  </si>
  <si>
    <t>铝电解电容/CD287/10uF/50V/20%/10000h/105℃//MI</t>
  </si>
  <si>
    <t>HW039</t>
  </si>
  <si>
    <t>电磁继电器/HF115F-25/12-H3TF/12VDC/250VAC/25A/1H/360Ω/F/105℃/MI</t>
  </si>
  <si>
    <t>电阻估算模型|含税→未税</t>
  </si>
  <si>
    <t>HW040</t>
  </si>
  <si>
    <t>片式电感/FTC252012S2R2MBCA/2016/2.2uH/3A/SMT</t>
  </si>
  <si>
    <t>HW041</t>
  </si>
  <si>
    <t>印制板/PCB/FR-4/1.6mm/CTI≥600V/1OZ/喷锡/SMT/167*167mm/绿油 /白字 Tg≥170℃</t>
  </si>
  <si>
    <t>PCB专家模型|含税→未税</t>
  </si>
  <si>
    <t>HW042</t>
  </si>
  <si>
    <t>HW043</t>
  </si>
  <si>
    <t>片式厚膜电阻/1206/30Ω±5%/SMT</t>
  </si>
  <si>
    <t>HW044</t>
  </si>
  <si>
    <t>贴片电阻/1206/22Ω/250mW/±1%/-55℃~155℃/SMT</t>
  </si>
  <si>
    <t>HW045</t>
  </si>
  <si>
    <t>片式厚膜电阻/0603/10KΩ±1%/SMT, 贴片电阻/0603/10KΩ/1%/10kΩ/100mW/±1%/厚膜/R0603/-55℃~155℃/SMT</t>
  </si>
  <si>
    <t>HW046</t>
  </si>
  <si>
    <t>片式厚膜电阻/1206/100Ω/1%//SMT, 贴片电阻/1206/5.1KΩ/1%/5.1kΩ/250mW/±1%/厚膜/R1206/-55℃~155℃/SMT, 贴片电阻/1206/100Ω/1%/100Ω/250mW/±1%/厚膜/R1206/-55℃~155℃/SMT</t>
  </si>
  <si>
    <t>HW047</t>
  </si>
  <si>
    <t>贴片电阻/1206/20Ω/1%/20Ω/250mW/±1%/厚膜/R1206/-55℃~155℃/SMT</t>
  </si>
  <si>
    <t>HW048</t>
  </si>
  <si>
    <t>贴片电阻/0603/300kΩ/1%/300kΩ/100mW/±1%/厚膜/R0603/-55℃~155℃/SMT</t>
  </si>
  <si>
    <t>HW049</t>
  </si>
  <si>
    <t>片式厚膜电阻-0603-100Ω±5%-SMT</t>
  </si>
  <si>
    <t>HW050</t>
  </si>
  <si>
    <t>贴片电阻/1206/30Ω/1%/30Ω/250mW/±1%/厚膜/R1206/-55℃~155℃/SMT</t>
  </si>
  <si>
    <t>HW051</t>
  </si>
  <si>
    <t>贴片电阻/1206/5.1KΩ/1%/5.1kΩ/250mW/±1%/厚膜/R1206/-55℃~155℃/SMT</t>
  </si>
  <si>
    <t>HW052</t>
  </si>
  <si>
    <t>贴片电阻/1206/470kΩ/1%/470kΩ/250mW/±1%/厚膜/R1206/-55℃~155℃/SMT</t>
  </si>
  <si>
    <t>主库参数|含税→未税</t>
  </si>
  <si>
    <t>HW053</t>
  </si>
  <si>
    <t>氧化膜电阻/MOF2W100KJFT4/RY27/100kΩ/2W/±5%/0.68mm/编带/-55℃~235℃/AI</t>
  </si>
  <si>
    <t>HW054</t>
  </si>
  <si>
    <t>片式厚膜电阻/0603/2.5KΩ±1%/SMT,</t>
  </si>
  <si>
    <t>HW055</t>
  </si>
  <si>
    <t>片式厚膜电阻/0603/1KΩ±1%/SMT,</t>
  </si>
  <si>
    <t>HW056</t>
  </si>
  <si>
    <t>贴片电阻/1206/150Ω/1%/150Ω/250mW/±1%/厚膜/R1206/-55℃~155℃/SMT</t>
  </si>
  <si>
    <t>HW057</t>
  </si>
  <si>
    <t>贴片电阻/1206/6.8Ω/5%/6.8Ω/250mW/±5%/厚膜/R1206/-55℃~155℃/SMT</t>
  </si>
  <si>
    <t>HW058</t>
  </si>
  <si>
    <t>片式厚膜电阻/0603/510Ω±1%/SMT</t>
  </si>
  <si>
    <t>HW059</t>
  </si>
  <si>
    <t>贴片电阻/1206/1.8Ω/1%/1.8Ω/250mW/±1%/厚膜/R1206/-55℃~155℃/SMT</t>
  </si>
  <si>
    <t>HW060</t>
  </si>
  <si>
    <t>片式厚膜电阻/0603/40kΩ±1%/SMT</t>
  </si>
  <si>
    <t>HW061</t>
  </si>
  <si>
    <t>片式厚膜电阻/0603/5.1KΩ±1%/SMT</t>
  </si>
  <si>
    <t>主库规格|含税→未税</t>
  </si>
  <si>
    <t>HW062</t>
  </si>
  <si>
    <t>片式采样电阻/2512/2mΩ/3W±1%/SMT</t>
  </si>
  <si>
    <t>HW063</t>
  </si>
  <si>
    <t>片式厚膜电阻/0603/390Ω±1%/SMT</t>
  </si>
  <si>
    <t>HW064</t>
  </si>
  <si>
    <t>贴片电阻/0603/22kΩ/1%/22kΩ/100mW/±1%/厚膜/R0603/-55℃~155℃/SMT</t>
  </si>
  <si>
    <t>HW065</t>
  </si>
  <si>
    <t>贴片电阻/0603/20KΩ/1%/20kΩ/100mW/±1%/厚膜/R0603/-55℃~155℃/SMT</t>
  </si>
  <si>
    <t>HW066</t>
  </si>
  <si>
    <t>贴片电阻/1206/1KΩ/1%/1kΩ/250mW/±1%/厚膜/R1206/-55℃~155℃/SMT</t>
  </si>
  <si>
    <t>HW067</t>
  </si>
  <si>
    <t>贴片电阻/0603/0Ω/1%/0Ω/100mW/±1%/厚膜/R0603/-55℃~155℃/SMT</t>
  </si>
  <si>
    <t>HW068</t>
  </si>
  <si>
    <t>贴片电阻/1206/10KΩ/1%/10kΩ/250mW/±1%/厚膜/R1206/-55℃~155℃/SMT</t>
  </si>
  <si>
    <t>HW069</t>
  </si>
  <si>
    <t>贴片电阻/0603/11KΩ/1%/11kΩ/100mW/±1%/厚膜/R0603/-55℃~155℃/SMT</t>
  </si>
  <si>
    <t>HW070</t>
  </si>
  <si>
    <t>贴片电阻/0805/1MΩ/1%/1MΩ/125mW/±1%/厚膜/R0805/-55℃~155℃/SMT</t>
  </si>
  <si>
    <t>HW071</t>
  </si>
  <si>
    <t>片式厚膜电阻/0603/3KΩ±1%/SMT</t>
  </si>
  <si>
    <t>HW072</t>
  </si>
  <si>
    <t>片式厚膜电阻/0603/100Ω±5%/SMT, 贴片电阻/0603/100Ω/1%/100Ω/100mW/±1%/厚膜/R0603/-55℃~155℃/SMT</t>
  </si>
  <si>
    <t>HW073</t>
  </si>
  <si>
    <t>贴片电阻/0603/100KΩ/1%/100kΩ/100mW/±1%/厚膜/R0603/-55℃~155℃/SMT</t>
  </si>
  <si>
    <t>HW074</t>
  </si>
  <si>
    <t>贴片电阻/0603/82kΩ/1%/82kΩ/100mW/±1%/厚膜/R0603/-55℃~155℃/SMT</t>
  </si>
  <si>
    <t>HW075</t>
  </si>
  <si>
    <t>片式功率电阻/2512/500Ω/1%/3W//SMT</t>
  </si>
  <si>
    <t>HW076</t>
  </si>
  <si>
    <t>贴片电阻/0603/51kΩ/1%/51kΩ/100mW/±1%/厚膜/R0603/-55℃~155℃/SMT</t>
  </si>
  <si>
    <t>HW077</t>
  </si>
  <si>
    <t>贴片电阻/0603/680Ω/1%/680Ω/100mW/±1%/厚膜/R0603/-55℃~155℃/SMT</t>
  </si>
  <si>
    <t>HW078</t>
  </si>
  <si>
    <t>贴片电阻/0603/1.2KΩ/1%/1.2kΩ/100mW/±1%/厚膜/R0603/-55℃~155℃/SMT</t>
  </si>
  <si>
    <t>HW079</t>
  </si>
  <si>
    <t>贴片电阻/0603/3.3kΩ/1%/3.3kΩ/100mW/±1%/厚膜/R0603/-55℃~155℃/SMT</t>
  </si>
  <si>
    <t>HW080</t>
  </si>
  <si>
    <t>贴片电阻/0805/10KΩ/1%/10kΩ/125mW/±1%/厚膜/R0805/-55℃~155℃/SMT</t>
  </si>
  <si>
    <t>HW081</t>
  </si>
  <si>
    <t>贴片电阻/1210/15KΩ/1%/20kΩ/500mW/±1%/厚膜/R1206/-55℃~155℃/SMT</t>
  </si>
  <si>
    <t>HW082</t>
  </si>
  <si>
    <t>片式厚膜电阻/1206/300KΩ±1%/SMT</t>
  </si>
  <si>
    <t>HW083</t>
  </si>
  <si>
    <t>片式厚膜电阻/1206/10Ω±1%/SMT</t>
  </si>
  <si>
    <t>HW084</t>
  </si>
  <si>
    <t>片式厚膜电阻/RC1206/120R/F/SMT</t>
  </si>
  <si>
    <t>HW085</t>
  </si>
  <si>
    <t>片式厚膜电阻/1206/4.7KΩ±1%/SMT</t>
  </si>
  <si>
    <t>HW086</t>
  </si>
  <si>
    <t>片式厚膜电阻/0603/24kΩ/1%//SMT</t>
  </si>
  <si>
    <t>HW087</t>
  </si>
  <si>
    <t>PTC热敏电阻/PTC/15D47/15D/47Ω/10A/MI</t>
  </si>
  <si>
    <t>HW088</t>
  </si>
  <si>
    <t>自恢复保险丝/SMD1206B020TF/24/24V/200mA/420mA/SMD1206/SMT</t>
  </si>
  <si>
    <t>HW089</t>
  </si>
  <si>
    <t>自恢复保险丝-200mA/1206/24V-SMT</t>
  </si>
  <si>
    <t>HW090</t>
  </si>
  <si>
    <t>YKD-EE16-1.4mH（卧式5+4）</t>
  </si>
  <si>
    <t>HW091</t>
  </si>
  <si>
    <t>LDO/CJ7812/30V/12V/1.5A/TO-252-2L/-40℃ ~ 125°C/SMT, LDO/CJ7812/32V/15V/1A/TO-252-2L/-40℃ ~ 125°C/SMT</t>
  </si>
  <si>
    <t>HW092</t>
  </si>
  <si>
    <t>LDO/SGM2217S-3.3XOC2G/TR</t>
  </si>
  <si>
    <t>HW093</t>
  </si>
  <si>
    <t>逻辑IC/ 74LVC1G17XN5G/TR/施密特触发器/推挽/1.65~5.5V/SOT-23-5/SMT/圣邦微</t>
  </si>
  <si>
    <t>主库模糊|含税→未税</t>
  </si>
  <si>
    <t>HW094</t>
  </si>
  <si>
    <t>电源管理芯片-PN8145TNSC-T1-DIP-7</t>
  </si>
  <si>
    <t>主库等效型号|未税</t>
  </si>
  <si>
    <t>HW095</t>
  </si>
  <si>
    <t>光电耦合器-EL817C-VF1.2V-VCE35V-50mA-DIP4</t>
  </si>
  <si>
    <t>HW096</t>
  </si>
  <si>
    <t>运放IC/SD76/TR/轨到轨输出/11MHz/8.5V/μs/2.1V~5.5V/MSOP-8/-40°C ~ 125°C/SMT</t>
  </si>
  <si>
    <t>HW097</t>
  </si>
  <si>
    <t>电压基准芯片/CJ431/36V/SOT-23/-40~+105°C/SMT</t>
  </si>
  <si>
    <t>HW098</t>
  </si>
  <si>
    <t>PIM模块/1200V/35A/EASYPIM2B/MI</t>
  </si>
  <si>
    <t>HW099</t>
  </si>
  <si>
    <t>LDO/78L05/SOT89/36V/5V/100mA/SOT-89/-40 ℃~ 125°C/SMT</t>
  </si>
  <si>
    <t>HW100</t>
  </si>
  <si>
    <t>存储IC/C-TD24C04-R/4KBit/I²C/5.5V/200万次/200年/SOT-23-5L/-40°C ~ +105°C/SMT</t>
  </si>
  <si>
    <t>HW101</t>
  </si>
  <si>
    <t>驱动IC/NSI6601MC-DSPR/3~17V/5A/SOP-8</t>
  </si>
  <si>
    <t>HW102</t>
  </si>
  <si>
    <t>运放IC/SGM721XN5/TR/是/1.4MHz/7V/μs/2.1V ~ 5.5V/SOT-23/-40°C ~ +125°C/SMT</t>
  </si>
  <si>
    <t>HW103</t>
  </si>
  <si>
    <t>接口IC/NSi83085E/3.0V~5.5V/1500Vac/SOW16/SMT</t>
  </si>
  <si>
    <t>HW104</t>
  </si>
  <si>
    <t>逻辑IC/U74LVC1G74G/D触发器/上升沿/1.65~5.5V/200MHz/MSOP8/SMT/UTC</t>
  </si>
  <si>
    <t>HW105</t>
  </si>
  <si>
    <t>运放IC/SGM8273-1AXN5G/TR/是/1.4MHz/7V/μs/4.5V ~ 36V/SOT-23/-40°C ~ +125°C/SMT</t>
  </si>
  <si>
    <t>HW106</t>
  </si>
  <si>
    <t>主控IC/GD32F330CBT7/M4/32bit/64MHz/Flash64kB/SRAM8kB/2.6~3.6V/-40~105℃/LQFP48/SMT</t>
  </si>
  <si>
    <t>HW107</t>
  </si>
  <si>
    <t>三极管/SS8050/1.5A//SMT</t>
  </si>
  <si>
    <t>HW108</t>
  </si>
  <si>
    <t>稳压二极管/1SMA4747A/20V/1W/SMA/-55℃~150℃/SMT</t>
  </si>
  <si>
    <t>HW109</t>
  </si>
  <si>
    <t>三极管-FMMT493-100V-1A500mW-SOT-23-SMT</t>
  </si>
  <si>
    <t>HW110</t>
  </si>
  <si>
    <t>三极管/SS8050/NPN/25V/1.5A/300mW/SOT-23/-55℃～+150℃/SMT</t>
  </si>
  <si>
    <t>HW111</t>
  </si>
  <si>
    <t>立式插座/XHD-4A带扣型/WHI/白/无空脚/2.5mm/2/带锁/M-CN-XH-2A-2.5-0.9/-40℃~+105℃/MI</t>
  </si>
  <si>
    <t>连接器估算模型|含税→未税</t>
  </si>
  <si>
    <t>HW112</t>
  </si>
  <si>
    <t>立式插座/XHD-2A带扣型/WHI/白/无空脚/2.5mm/2/带锁/M-CN-XH-2A-2.5-0.9/-40℃~+105℃/MI</t>
  </si>
  <si>
    <t>HW113</t>
  </si>
  <si>
    <t>立式杜邦针/PZ/4P</t>
  </si>
  <si>
    <t>STR114</t>
  </si>
  <si>
    <t>散热器-160*160</t>
  </si>
  <si>
    <t>工厂利润</t>
    <phoneticPr fontId="27" type="noConversion"/>
  </si>
  <si>
    <t>喷涂治具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</si>
</sst>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-mm\-dd"/>
    <numFmt numFmtId="177" formatCode="0.000"/>
    <numFmt numFmtId="178" formatCode="0.0000"/>
    <numFmt numFmtId="179" formatCode="0.0%"/>
    <numFmt numFmtId="180" formatCode="#,##0.0000;\(#,##0.0000\);\-"/>
    <numFmt numFmtId="181" formatCode="0.0"/>
    <numFmt numFmtId="182" formatCode="0.000000"/>
  </numFmts>
  <fonts count="34">
    <font>
      <sz val="11"/>
      <color theme="1"/>
      <name val="等线"/>
      <family val="2"/>
      <charset val="1"/>
    </font>
    <font>
      <b/>
      <sz val="12"/>
      <color rgb="FFFFFFFF"/>
      <name val="Noto Sans CJK SC"/>
      <family val="2"/>
    </font>
    <font>
      <b/>
      <sz val="12"/>
      <color rgb="FFFFFFFF"/>
      <name val="微软雅黑"/>
      <family val="2"/>
      <charset val="1"/>
    </font>
    <font>
      <b/>
      <sz val="10"/>
      <color rgb="FF000000"/>
      <name val="Noto Sans CJK SC"/>
      <family val="2"/>
    </font>
    <font>
      <i/>
      <sz val="10"/>
      <color rgb="FF808080"/>
      <name val="Noto Sans CJK SC"/>
      <family val="2"/>
    </font>
    <font>
      <i/>
      <sz val="10"/>
      <color rgb="FF808080"/>
      <name val="微软雅黑"/>
      <family val="2"/>
      <charset val="1"/>
    </font>
    <font>
      <b/>
      <sz val="10"/>
      <color rgb="FF000000"/>
      <name val="微软雅黑"/>
      <family val="2"/>
      <charset val="1"/>
    </font>
    <font>
      <b/>
      <sz val="10"/>
      <color rgb="FFFFFFFF"/>
      <name val="Noto Sans CJK SC"/>
      <family val="2"/>
    </font>
    <font>
      <sz val="10"/>
      <color rgb="FF000000"/>
      <name val="Noto Sans CJK SC"/>
      <family val="2"/>
    </font>
    <font>
      <sz val="10"/>
      <color rgb="FF0000FF"/>
      <name val="微软雅黑"/>
      <family val="2"/>
      <charset val="1"/>
    </font>
    <font>
      <sz val="11"/>
      <color rgb="FF000000"/>
      <name val="Noto Sans CJK SC"/>
      <family val="2"/>
    </font>
    <font>
      <sz val="11"/>
      <color rgb="FF000000"/>
      <name val="Calibri"/>
      <family val="2"/>
      <charset val="1"/>
    </font>
    <font>
      <sz val="10"/>
      <color rgb="FF000000"/>
      <name val="微软雅黑"/>
      <family val="2"/>
      <charset val="1"/>
    </font>
    <font>
      <sz val="10"/>
      <color rgb="FF000000"/>
      <name val="微软雅黑"/>
      <family val="2"/>
      <charset val="134"/>
    </font>
    <font>
      <sz val="10"/>
      <color rgb="FF0000FF"/>
      <name val="Noto Sans CJK SC"/>
      <family val="2"/>
    </font>
    <font>
      <sz val="10"/>
      <color rgb="FF008000"/>
      <name val="Noto Sans CJK SC"/>
      <family val="2"/>
    </font>
    <font>
      <b/>
      <sz val="10"/>
      <color rgb="FFFFFFFF"/>
      <name val="微软雅黑"/>
      <family val="2"/>
      <charset val="1"/>
    </font>
    <font>
      <sz val="10"/>
      <color rgb="FF008000"/>
      <name val="微软雅黑"/>
      <family val="2"/>
      <charset val="1"/>
    </font>
    <font>
      <b/>
      <sz val="14"/>
      <color rgb="FFFFFFFF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8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sz val="10"/>
      <name val="Calibri"/>
      <family val="2"/>
    </font>
    <font>
      <i/>
      <sz val="10"/>
      <color rgb="FF808080"/>
      <name val="微软雅黑"/>
      <family val="2"/>
      <charset val="134"/>
    </font>
    <font>
      <b/>
      <sz val="14"/>
      <color rgb="FFFFFFFF"/>
      <name val="Noto Sans CJK SC"/>
      <family val="2"/>
    </font>
    <font>
      <b/>
      <sz val="11"/>
      <color rgb="FFFFFFFF"/>
      <name val="Noto Sans CJK SC"/>
      <family val="2"/>
    </font>
    <font>
      <sz val="10"/>
      <name val="Noto Sans CJK SC"/>
      <family val="2"/>
    </font>
    <font>
      <b/>
      <sz val="11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0F3B5D"/>
        <bgColor rgb="FF1F4E78"/>
      </patternFill>
    </fill>
    <fill>
      <patternFill patternType="solid">
        <fgColor rgb="FF3288B9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F3B5D"/>
      </patternFill>
    </fill>
    <fill>
      <patternFill patternType="solid">
        <fgColor rgb="FFF7F9FC"/>
        <bgColor rgb="FFFFFFFF"/>
      </patternFill>
    </fill>
    <fill>
      <patternFill patternType="solid">
        <fgColor rgb="FFE2F0D9"/>
        <bgColor rgb="FFD9DEE7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E2F0D9"/>
      </patternFill>
    </fill>
    <fill>
      <patternFill patternType="solid">
        <fgColor rgb="FFFFFFFF"/>
        <bgColor rgb="FFF9F9F9"/>
      </patternFill>
    </fill>
    <fill>
      <patternFill patternType="solid">
        <fgColor rgb="FFF7F9FC"/>
        <bgColor rgb="FFF9F9F9"/>
      </patternFill>
    </fill>
    <fill>
      <patternFill patternType="solid">
        <fgColor rgb="FF1F4E78"/>
        <bgColor rgb="FF003366"/>
      </patternFill>
    </fill>
  </fills>
  <borders count="7">
    <border>
      <left/>
      <right/>
      <top/>
      <bottom/>
      <diagonal/>
    </border>
    <border>
      <left/>
      <right/>
      <top style="thin">
        <color rgb="FFD0D8E8"/>
      </top>
      <bottom/>
      <diagonal/>
    </border>
    <border>
      <left/>
      <right/>
      <top style="thin">
        <color rgb="FFD0D8E8"/>
      </top>
      <bottom style="double">
        <color rgb="FF0F3B5D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9" fillId="4" borderId="0" xfId="0" applyFont="1" applyFill="1"/>
    <xf numFmtId="0" fontId="10" fillId="0" borderId="0" xfId="0" applyFont="1"/>
    <xf numFmtId="176" fontId="12" fillId="0" borderId="0" xfId="0" applyNumberFormat="1" applyFont="1"/>
    <xf numFmtId="0" fontId="12" fillId="0" borderId="0" xfId="0" applyFont="1"/>
    <xf numFmtId="0" fontId="9" fillId="0" borderId="0" xfId="0" applyFont="1"/>
    <xf numFmtId="1" fontId="9" fillId="4" borderId="0" xfId="0" applyNumberFormat="1" applyFont="1" applyFill="1"/>
    <xf numFmtId="177" fontId="9" fillId="4" borderId="0" xfId="0" applyNumberFormat="1" applyFont="1" applyFill="1"/>
    <xf numFmtId="0" fontId="14" fillId="4" borderId="0" xfId="0" applyFont="1" applyFill="1" applyAlignment="1">
      <alignment horizontal="left"/>
    </xf>
    <xf numFmtId="0" fontId="15" fillId="0" borderId="0" xfId="0" applyFont="1"/>
    <xf numFmtId="0" fontId="4" fillId="0" borderId="0" xfId="0" applyFont="1"/>
    <xf numFmtId="0" fontId="7" fillId="3" borderId="0" xfId="0" applyFont="1" applyFill="1" applyAlignment="1">
      <alignment horizontal="center" vertical="center"/>
    </xf>
    <xf numFmtId="178" fontId="17" fillId="0" borderId="0" xfId="0" applyNumberFormat="1" applyFont="1"/>
    <xf numFmtId="0" fontId="3" fillId="0" borderId="1" xfId="0" applyFont="1" applyBorder="1"/>
    <xf numFmtId="178" fontId="6" fillId="0" borderId="1" xfId="0" applyNumberFormat="1" applyFont="1" applyBorder="1"/>
    <xf numFmtId="0" fontId="3" fillId="0" borderId="2" xfId="0" applyFont="1" applyBorder="1"/>
    <xf numFmtId="178" fontId="6" fillId="0" borderId="2" xfId="0" applyNumberFormat="1" applyFont="1" applyBorder="1"/>
    <xf numFmtId="179" fontId="17" fillId="0" borderId="0" xfId="0" applyNumberFormat="1" applyFont="1"/>
    <xf numFmtId="178" fontId="9" fillId="0" borderId="0" xfId="0" applyNumberFormat="1" applyFont="1"/>
    <xf numFmtId="1" fontId="17" fillId="0" borderId="0" xfId="0" applyNumberFormat="1" applyFont="1"/>
    <xf numFmtId="0" fontId="19" fillId="5" borderId="3" xfId="0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3" xfId="0" applyFont="1" applyBorder="1" applyAlignment="1">
      <alignment vertical="center" wrapText="1"/>
    </xf>
    <xf numFmtId="0" fontId="21" fillId="6" borderId="3" xfId="0" applyFont="1" applyFill="1" applyBorder="1" applyAlignment="1">
      <alignment vertical="center" wrapText="1"/>
    </xf>
    <xf numFmtId="0" fontId="21" fillId="9" borderId="3" xfId="0" applyFont="1" applyFill="1" applyBorder="1" applyAlignment="1">
      <alignment vertical="center" wrapText="1"/>
    </xf>
    <xf numFmtId="1" fontId="22" fillId="0" borderId="0" xfId="0" applyNumberFormat="1" applyFont="1"/>
    <xf numFmtId="1" fontId="9" fillId="0" borderId="0" xfId="0" applyNumberFormat="1" applyFont="1"/>
    <xf numFmtId="2" fontId="9" fillId="0" borderId="0" xfId="0" applyNumberFormat="1" applyFont="1"/>
    <xf numFmtId="179" fontId="9" fillId="0" borderId="0" xfId="0" applyNumberFormat="1" applyFont="1"/>
    <xf numFmtId="0" fontId="14" fillId="0" borderId="0" xfId="0" applyFont="1"/>
    <xf numFmtId="0" fontId="7" fillId="3" borderId="0" xfId="0" applyFont="1" applyFill="1"/>
    <xf numFmtId="0" fontId="13" fillId="0" borderId="0" xfId="0" applyFont="1"/>
    <xf numFmtId="2" fontId="22" fillId="0" borderId="0" xfId="0" applyNumberFormat="1" applyFont="1"/>
    <xf numFmtId="0" fontId="24" fillId="0" borderId="0" xfId="0" applyFont="1"/>
    <xf numFmtId="1" fontId="25" fillId="0" borderId="0" xfId="0" applyNumberFormat="1" applyFont="1"/>
    <xf numFmtId="178" fontId="25" fillId="0" borderId="0" xfId="0" applyNumberFormat="1" applyFont="1"/>
    <xf numFmtId="2" fontId="25" fillId="0" borderId="0" xfId="0" applyNumberFormat="1" applyFont="1"/>
    <xf numFmtId="0" fontId="8" fillId="0" borderId="1" xfId="0" applyFont="1" applyBorder="1"/>
    <xf numFmtId="178" fontId="25" fillId="0" borderId="1" xfId="0" applyNumberFormat="1" applyFont="1" applyBorder="1"/>
    <xf numFmtId="0" fontId="3" fillId="0" borderId="0" xfId="0" applyFont="1"/>
    <xf numFmtId="178" fontId="26" fillId="0" borderId="0" xfId="0" applyNumberFormat="1" applyFont="1"/>
    <xf numFmtId="177" fontId="25" fillId="0" borderId="0" xfId="0" applyNumberFormat="1" applyFont="1"/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7" fillId="0" borderId="0" xfId="0" applyFont="1"/>
    <xf numFmtId="177" fontId="17" fillId="0" borderId="0" xfId="0" applyNumberFormat="1" applyFont="1"/>
    <xf numFmtId="181" fontId="17" fillId="0" borderId="0" xfId="0" applyNumberFormat="1" applyFont="1"/>
    <xf numFmtId="2" fontId="17" fillId="0" borderId="0" xfId="0" applyNumberFormat="1" applyFont="1"/>
    <xf numFmtId="1" fontId="5" fillId="0" borderId="0" xfId="0" applyNumberFormat="1" applyFont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18" fillId="5" borderId="0" xfId="0" applyFont="1" applyFill="1" applyBorder="1" applyAlignment="1">
      <alignment horizontal="center"/>
    </xf>
    <xf numFmtId="0" fontId="7" fillId="3" borderId="0" xfId="0" applyFont="1" applyFill="1" applyBorder="1"/>
    <xf numFmtId="0" fontId="8" fillId="0" borderId="0" xfId="0" applyFont="1" applyBorder="1"/>
    <xf numFmtId="0" fontId="1" fillId="2" borderId="0" xfId="0" applyFont="1" applyFill="1" applyBorder="1"/>
    <xf numFmtId="0" fontId="28" fillId="10" borderId="4" xfId="0" applyFont="1" applyFill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left" vertical="center" wrapText="1"/>
    </xf>
    <xf numFmtId="1" fontId="28" fillId="10" borderId="4" xfId="0" applyNumberFormat="1" applyFont="1" applyFill="1" applyBorder="1" applyAlignment="1">
      <alignment horizontal="center" vertical="center" wrapText="1"/>
    </xf>
    <xf numFmtId="182" fontId="28" fillId="10" borderId="4" xfId="0" applyNumberFormat="1" applyFont="1" applyFill="1" applyBorder="1" applyAlignment="1">
      <alignment horizontal="center" vertical="center" wrapText="1"/>
    </xf>
    <xf numFmtId="2" fontId="28" fillId="10" borderId="4" xfId="0" applyNumberFormat="1" applyFont="1" applyFill="1" applyBorder="1" applyAlignment="1">
      <alignment horizontal="center" vertical="center" wrapText="1"/>
    </xf>
    <xf numFmtId="178" fontId="28" fillId="10" borderId="4" xfId="0" applyNumberFormat="1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11" borderId="4" xfId="0" applyFont="1" applyFill="1" applyBorder="1" applyAlignment="1">
      <alignment horizontal="center" vertical="center" wrapText="1"/>
    </xf>
    <xf numFmtId="0" fontId="28" fillId="11" borderId="4" xfId="0" applyFont="1" applyFill="1" applyBorder="1" applyAlignment="1">
      <alignment horizontal="left" vertical="center" wrapText="1"/>
    </xf>
    <xf numFmtId="1" fontId="28" fillId="11" borderId="4" xfId="0" applyNumberFormat="1" applyFont="1" applyFill="1" applyBorder="1" applyAlignment="1">
      <alignment horizontal="center" vertical="center" wrapText="1"/>
    </xf>
    <xf numFmtId="182" fontId="28" fillId="11" borderId="4" xfId="0" applyNumberFormat="1" applyFont="1" applyFill="1" applyBorder="1" applyAlignment="1">
      <alignment horizontal="center" vertical="center" wrapText="1"/>
    </xf>
    <xf numFmtId="2" fontId="28" fillId="11" borderId="4" xfId="0" applyNumberFormat="1" applyFont="1" applyFill="1" applyBorder="1" applyAlignment="1">
      <alignment horizontal="center" vertical="center" wrapText="1"/>
    </xf>
    <xf numFmtId="178" fontId="28" fillId="11" borderId="4" xfId="0" applyNumberFormat="1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1" fontId="28" fillId="0" borderId="4" xfId="0" applyNumberFormat="1" applyFont="1" applyBorder="1" applyAlignment="1">
      <alignment horizontal="center" vertical="center" wrapText="1"/>
    </xf>
    <xf numFmtId="182" fontId="28" fillId="0" borderId="4" xfId="0" applyNumberFormat="1" applyFont="1" applyBorder="1" applyAlignment="1">
      <alignment horizontal="center" vertical="center" wrapText="1"/>
    </xf>
    <xf numFmtId="2" fontId="28" fillId="0" borderId="4" xfId="0" applyNumberFormat="1" applyFont="1" applyBorder="1" applyAlignment="1">
      <alignment horizontal="center" vertical="center" wrapText="1"/>
    </xf>
    <xf numFmtId="178" fontId="28" fillId="0" borderId="4" xfId="0" applyNumberFormat="1" applyFont="1" applyBorder="1" applyAlignment="1">
      <alignment horizontal="center" vertical="center" wrapText="1"/>
    </xf>
    <xf numFmtId="0" fontId="29" fillId="0" borderId="0" xfId="0" applyFont="1"/>
    <xf numFmtId="0" fontId="30" fillId="12" borderId="0" xfId="0" applyFont="1" applyFill="1" applyAlignment="1">
      <alignment horizontal="center"/>
    </xf>
    <xf numFmtId="0" fontId="0" fillId="0" borderId="0" xfId="0"/>
    <xf numFmtId="0" fontId="31" fillId="12" borderId="3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12" borderId="3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vertical="center" wrapText="1"/>
    </xf>
    <xf numFmtId="180" fontId="32" fillId="10" borderId="3" xfId="0" applyNumberFormat="1" applyFont="1" applyFill="1" applyBorder="1" applyAlignment="1">
      <alignment vertical="center" wrapText="1"/>
    </xf>
    <xf numFmtId="0" fontId="32" fillId="11" borderId="3" xfId="0" applyFont="1" applyFill="1" applyBorder="1" applyAlignment="1">
      <alignment vertical="center" wrapText="1"/>
    </xf>
    <xf numFmtId="180" fontId="32" fillId="11" borderId="3" xfId="0" applyNumberFormat="1" applyFont="1" applyFill="1" applyBorder="1" applyAlignment="1">
      <alignment vertical="center" wrapText="1"/>
    </xf>
    <xf numFmtId="0" fontId="33" fillId="7" borderId="3" xfId="0" applyFont="1" applyFill="1" applyBorder="1"/>
    <xf numFmtId="0" fontId="31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EE7"/>
      <rgbColor rgb="FF808080"/>
      <rgbColor rgb="FF9999FF"/>
      <rgbColor rgb="FF7030A0"/>
      <rgbColor rgb="FFFFF2CC"/>
      <rgbColor rgb="FFE2F0D9"/>
      <rgbColor rgb="FF660066"/>
      <rgbColor rgb="FFFF8080"/>
      <rgbColor rgb="FF0066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B5D"/>
      <rgbColor rgb="FF3288B9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zoomScaleNormal="100" workbookViewId="0">
      <selection activeCell="E7" sqref="E7"/>
    </sheetView>
  </sheetViews>
  <sheetFormatPr defaultColWidth="8" defaultRowHeight="13.8"/>
  <cols>
    <col min="1" max="1" width="13" customWidth="1"/>
    <col min="2" max="2" width="95" customWidth="1"/>
  </cols>
  <sheetData>
    <row r="1" spans="1:3" ht="17.25" customHeight="1">
      <c r="A1" s="55" t="s">
        <v>0</v>
      </c>
      <c r="B1" s="55"/>
      <c r="C1" s="55"/>
    </row>
    <row r="3" spans="1:3" ht="33.75" customHeight="1">
      <c r="A3" s="1" t="s">
        <v>1</v>
      </c>
      <c r="B3" s="2" t="s">
        <v>2</v>
      </c>
    </row>
    <row r="4" spans="1:3" ht="33.75" customHeight="1">
      <c r="A4" s="1" t="s">
        <v>3</v>
      </c>
      <c r="B4" s="2" t="s">
        <v>4</v>
      </c>
    </row>
    <row r="5" spans="1:3" ht="33.75" customHeight="1">
      <c r="A5" s="1" t="s">
        <v>5</v>
      </c>
      <c r="B5" s="2" t="s">
        <v>6</v>
      </c>
    </row>
    <row r="6" spans="1:3" ht="33.75" customHeight="1">
      <c r="A6" s="1" t="s">
        <v>7</v>
      </c>
      <c r="B6" s="2" t="s">
        <v>8</v>
      </c>
    </row>
    <row r="7" spans="1:3" ht="33.75" customHeight="1">
      <c r="A7" s="1" t="s">
        <v>9</v>
      </c>
      <c r="B7" s="2" t="s">
        <v>10</v>
      </c>
    </row>
    <row r="8" spans="1:3" ht="33.75" customHeight="1">
      <c r="A8" s="1" t="s">
        <v>11</v>
      </c>
      <c r="B8" s="2" t="s">
        <v>12</v>
      </c>
    </row>
  </sheetData>
  <mergeCells count="1">
    <mergeCell ref="A1:C1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8"/>
  <sheetViews>
    <sheetView showGridLines="0" tabSelected="1" zoomScaleNormal="100" workbookViewId="0">
      <selection activeCell="D35" sqref="D35"/>
    </sheetView>
  </sheetViews>
  <sheetFormatPr defaultColWidth="8" defaultRowHeight="13.8"/>
  <cols>
    <col min="1" max="1" width="26" customWidth="1"/>
    <col min="2" max="2" width="16" customWidth="1"/>
    <col min="4" max="4" width="26" customWidth="1"/>
    <col min="26" max="26" width="13" hidden="1" customWidth="1"/>
  </cols>
  <sheetData>
    <row r="1" spans="1:26" ht="17.25" customHeight="1">
      <c r="A1" s="55" t="s">
        <v>13</v>
      </c>
      <c r="B1" s="55"/>
      <c r="C1" s="55"/>
      <c r="D1" s="55"/>
      <c r="E1" s="55"/>
    </row>
    <row r="3" spans="1:26" ht="15" customHeight="1">
      <c r="A3" s="56" t="s">
        <v>14</v>
      </c>
      <c r="B3" s="56"/>
      <c r="C3" s="56"/>
      <c r="D3" s="56"/>
      <c r="E3" s="56"/>
    </row>
    <row r="4" spans="1:26" ht="15" customHeight="1">
      <c r="A4" s="3" t="s">
        <v>15</v>
      </c>
      <c r="B4" s="4" t="s">
        <v>672</v>
      </c>
      <c r="Z4" s="5" t="s">
        <v>16</v>
      </c>
    </row>
    <row r="5" spans="1:26" ht="15" customHeight="1">
      <c r="A5" s="3" t="s">
        <v>17</v>
      </c>
      <c r="B5" s="4" t="s">
        <v>673</v>
      </c>
      <c r="Z5" s="5" t="s">
        <v>18</v>
      </c>
    </row>
    <row r="6" spans="1:26" ht="15" customHeight="1">
      <c r="A6" s="3" t="s">
        <v>19</v>
      </c>
      <c r="B6" s="4" t="s">
        <v>674</v>
      </c>
      <c r="Z6" s="5" t="s">
        <v>20</v>
      </c>
    </row>
    <row r="7" spans="1:26" ht="15" customHeight="1">
      <c r="A7" s="3" t="s">
        <v>21</v>
      </c>
      <c r="B7" s="6">
        <f ca="1">TODAY()</f>
        <v>46307</v>
      </c>
      <c r="Z7" s="5" t="s">
        <v>22</v>
      </c>
    </row>
    <row r="8" spans="1:26" ht="15" customHeight="1">
      <c r="A8" s="3" t="s">
        <v>23</v>
      </c>
      <c r="B8" s="4">
        <v>1000</v>
      </c>
      <c r="Z8" s="5" t="s">
        <v>24</v>
      </c>
    </row>
    <row r="9" spans="1:26" ht="15" customHeight="1">
      <c r="A9" s="7" t="s">
        <v>25</v>
      </c>
      <c r="B9" s="4">
        <v>200</v>
      </c>
      <c r="Z9" s="5" t="s">
        <v>26</v>
      </c>
    </row>
    <row r="10" spans="1:26" ht="15" customHeight="1">
      <c r="A10" s="3" t="s">
        <v>27</v>
      </c>
      <c r="B10" s="8"/>
      <c r="Z10" s="5" t="s">
        <v>28</v>
      </c>
    </row>
    <row r="11" spans="1:26" ht="14.25" customHeight="1">
      <c r="Z11" s="5" t="s">
        <v>29</v>
      </c>
    </row>
    <row r="12" spans="1:26" ht="15" customHeight="1">
      <c r="A12" s="56" t="s">
        <v>30</v>
      </c>
      <c r="B12" s="56"/>
      <c r="C12" s="56"/>
      <c r="D12" s="56"/>
      <c r="E12" s="56"/>
      <c r="Z12" s="5" t="s">
        <v>31</v>
      </c>
    </row>
    <row r="13" spans="1:26" ht="15" customHeight="1">
      <c r="A13" s="3" t="s">
        <v>32</v>
      </c>
      <c r="B13" s="9">
        <v>380</v>
      </c>
      <c r="Z13" s="5" t="s">
        <v>33</v>
      </c>
    </row>
    <row r="14" spans="1:26" ht="15" customHeight="1">
      <c r="A14" s="3" t="s">
        <v>34</v>
      </c>
      <c r="B14" s="9">
        <v>320</v>
      </c>
      <c r="Z14" s="5" t="s">
        <v>35</v>
      </c>
    </row>
    <row r="15" spans="1:26" ht="15" customHeight="1">
      <c r="A15" s="3" t="s">
        <v>36</v>
      </c>
      <c r="B15" s="9">
        <v>150</v>
      </c>
      <c r="Z15" s="5" t="s">
        <v>37</v>
      </c>
    </row>
    <row r="16" spans="1:26" ht="15" customHeight="1">
      <c r="A16" s="3" t="s">
        <v>38</v>
      </c>
      <c r="B16" s="10">
        <v>4</v>
      </c>
      <c r="Z16" s="5" t="s">
        <v>39</v>
      </c>
    </row>
    <row r="17" spans="1:26" ht="15" customHeight="1">
      <c r="A17" s="3" t="s">
        <v>40</v>
      </c>
      <c r="B17" s="9">
        <v>4</v>
      </c>
      <c r="Z17" s="5" t="s">
        <v>41</v>
      </c>
    </row>
    <row r="18" spans="1:26" ht="15" customHeight="1">
      <c r="A18" s="3" t="s">
        <v>42</v>
      </c>
      <c r="B18" s="4" t="s">
        <v>205</v>
      </c>
      <c r="Z18" s="5" t="s">
        <v>43</v>
      </c>
    </row>
    <row r="19" spans="1:26" ht="14.25" customHeight="1">
      <c r="A19" s="3" t="s">
        <v>44</v>
      </c>
      <c r="B19" s="11" t="s">
        <v>205</v>
      </c>
      <c r="D19" s="12" t="str">
        <f>IF(B19="是","自动→大板：EPE珍珠棉+纸箱+护角+托盘+缠绕膜+打包带","自动→小板：防静电气泡袋+隔板+纸箱+护角+托盘+缠绕膜")</f>
        <v>自动→大板：EPE珍珠棉+纸箱+护角+托盘+缠绕膜+打包带</v>
      </c>
      <c r="Z19" s="5" t="s">
        <v>46</v>
      </c>
    </row>
    <row r="20" spans="1:26" ht="15" customHeight="1">
      <c r="A20" s="56" t="s">
        <v>47</v>
      </c>
      <c r="B20" s="56"/>
      <c r="C20" s="56"/>
      <c r="D20" s="56"/>
      <c r="E20" s="56"/>
      <c r="Z20" s="5" t="s">
        <v>48</v>
      </c>
    </row>
    <row r="21" spans="1:26" ht="15" customHeight="1">
      <c r="A21" s="3" t="s">
        <v>49</v>
      </c>
      <c r="B21" s="4" t="s">
        <v>559</v>
      </c>
      <c r="Z21" s="5" t="s">
        <v>50</v>
      </c>
    </row>
    <row r="22" spans="1:26" ht="15" customHeight="1">
      <c r="A22" s="3" t="s">
        <v>51</v>
      </c>
      <c r="B22" s="4" t="s">
        <v>671</v>
      </c>
      <c r="Z22" s="5" t="s">
        <v>52</v>
      </c>
    </row>
    <row r="23" spans="1:26" ht="15" customHeight="1">
      <c r="A23" s="3" t="s">
        <v>53</v>
      </c>
      <c r="B23" s="4">
        <v>50</v>
      </c>
      <c r="Z23" s="5" t="s">
        <v>54</v>
      </c>
    </row>
    <row r="24" spans="1:26" ht="15" customHeight="1">
      <c r="A24" s="3" t="s">
        <v>55</v>
      </c>
      <c r="B24" s="8"/>
      <c r="Z24" s="5" t="s">
        <v>56</v>
      </c>
    </row>
    <row r="25" spans="1:26" ht="15" customHeight="1">
      <c r="A25" s="13" t="s">
        <v>57</v>
      </c>
      <c r="B25" s="13" t="s">
        <v>58</v>
      </c>
      <c r="Z25" s="5" t="s">
        <v>59</v>
      </c>
    </row>
    <row r="26" spans="1:26" ht="15" customHeight="1">
      <c r="A26" s="56" t="s">
        <v>60</v>
      </c>
      <c r="B26" s="56"/>
      <c r="C26" s="56"/>
      <c r="D26" s="56"/>
      <c r="E26" s="56"/>
      <c r="Z26" s="5" t="s">
        <v>61</v>
      </c>
    </row>
    <row r="27" spans="1:26" ht="15" customHeight="1">
      <c r="A27" s="14" t="s">
        <v>62</v>
      </c>
      <c r="B27" s="14" t="s">
        <v>63</v>
      </c>
      <c r="C27" s="14" t="s">
        <v>64</v>
      </c>
      <c r="D27" s="14" t="s">
        <v>27</v>
      </c>
      <c r="E27" s="14" t="s">
        <v>65</v>
      </c>
      <c r="Z27" s="5" t="s">
        <v>66</v>
      </c>
    </row>
    <row r="28" spans="1:26" ht="15" customHeight="1">
      <c r="A28" s="3" t="s">
        <v>67</v>
      </c>
      <c r="B28" s="15">
        <f>SUMIFS(物料明细!$H:$H,物料明细!$B:$B,"硬件")</f>
        <v>161.54000916000001</v>
      </c>
      <c r="C28" s="3" t="s">
        <v>68</v>
      </c>
      <c r="D28" s="13" t="s">
        <v>69</v>
      </c>
      <c r="Z28" s="5" t="s">
        <v>70</v>
      </c>
    </row>
    <row r="29" spans="1:26" ht="15" customHeight="1">
      <c r="A29" s="3" t="s">
        <v>71</v>
      </c>
      <c r="B29" s="15">
        <f>SUMIFS(物料明细!$H:$H,物料明细!$B:$B,"结构件")</f>
        <v>35.398230088495581</v>
      </c>
      <c r="C29" s="3" t="s">
        <v>68</v>
      </c>
      <c r="D29" s="13" t="s">
        <v>69</v>
      </c>
      <c r="Z29" s="5" t="s">
        <v>72</v>
      </c>
    </row>
    <row r="30" spans="1:26" ht="15" customHeight="1">
      <c r="A30" s="3" t="s">
        <v>73</v>
      </c>
      <c r="B30" s="15">
        <f>包装计算!$B$43</f>
        <v>24.745033333333332</v>
      </c>
      <c r="C30" s="3" t="s">
        <v>68</v>
      </c>
      <c r="D30" s="13" t="s">
        <v>74</v>
      </c>
      <c r="Z30" s="5" t="s">
        <v>75</v>
      </c>
    </row>
    <row r="31" spans="1:26" ht="15" customHeight="1">
      <c r="A31" s="3" t="s">
        <v>76</v>
      </c>
      <c r="B31" s="15">
        <f>SUMIFS(物料明细!$H:$H,物料明细!$B:$B,"辅助材料")</f>
        <v>0</v>
      </c>
      <c r="C31" s="3" t="s">
        <v>68</v>
      </c>
      <c r="D31" s="13" t="s">
        <v>69</v>
      </c>
      <c r="Z31" s="5" t="s">
        <v>77</v>
      </c>
    </row>
    <row r="32" spans="1:26" ht="15" customHeight="1">
      <c r="A32" s="3" t="s">
        <v>78</v>
      </c>
      <c r="B32" s="15">
        <f>加工及工装!F13</f>
        <v>16.961333333333336</v>
      </c>
      <c r="C32" s="3" t="s">
        <v>68</v>
      </c>
      <c r="D32" s="13" t="s">
        <v>79</v>
      </c>
      <c r="Z32" s="5" t="s">
        <v>80</v>
      </c>
    </row>
    <row r="33" spans="1:26" ht="15" customHeight="1">
      <c r="A33" s="3" t="s">
        <v>81</v>
      </c>
      <c r="B33" s="15">
        <f>加工及工装!H23</f>
        <v>32.42</v>
      </c>
      <c r="C33" s="3" t="s">
        <v>68</v>
      </c>
      <c r="D33" s="13" t="s">
        <v>79</v>
      </c>
      <c r="Z33" s="5" t="s">
        <v>82</v>
      </c>
    </row>
    <row r="34" spans="1:26" ht="15" customHeight="1">
      <c r="A34" s="3" t="s">
        <v>5</v>
      </c>
      <c r="B34" s="15" t="str">
        <f>运费计算!$B$33</f>
        <v/>
      </c>
      <c r="C34" s="3" t="s">
        <v>68</v>
      </c>
      <c r="D34" s="13" t="s">
        <v>83</v>
      </c>
      <c r="Z34" s="5" t="s">
        <v>84</v>
      </c>
    </row>
    <row r="35" spans="1:26" ht="15" customHeight="1">
      <c r="A35" s="16" t="s">
        <v>85</v>
      </c>
      <c r="B35" s="17">
        <f>SUM(B28:B34)*0.15</f>
        <v>40.659690887274337</v>
      </c>
      <c r="C35" s="3" t="s">
        <v>68</v>
      </c>
      <c r="D35" s="79" t="s">
        <v>916</v>
      </c>
      <c r="Z35" s="5" t="s">
        <v>86</v>
      </c>
    </row>
    <row r="36" spans="1:26" ht="15" customHeight="1">
      <c r="A36" s="18" t="s">
        <v>87</v>
      </c>
      <c r="B36" s="19">
        <f>SUM(B28:B35)</f>
        <v>311.72429680243658</v>
      </c>
      <c r="C36" s="3" t="s">
        <v>68</v>
      </c>
      <c r="D36" s="13" t="s">
        <v>88</v>
      </c>
      <c r="Z36" s="5" t="s">
        <v>89</v>
      </c>
    </row>
    <row r="37" spans="1:26" ht="14.25" customHeight="1">
      <c r="Z37" s="5" t="s">
        <v>90</v>
      </c>
    </row>
    <row r="38" spans="1:26" ht="15" customHeight="1">
      <c r="A38" s="56" t="s">
        <v>91</v>
      </c>
      <c r="B38" s="56"/>
      <c r="C38" s="56"/>
      <c r="D38" s="56"/>
      <c r="E38" s="56"/>
      <c r="Z38" s="5" t="s">
        <v>92</v>
      </c>
    </row>
    <row r="39" spans="1:26" ht="15" customHeight="1">
      <c r="A39" s="14" t="s">
        <v>93</v>
      </c>
      <c r="B39" s="14" t="s">
        <v>94</v>
      </c>
      <c r="C39" s="14" t="s">
        <v>64</v>
      </c>
      <c r="D39" s="14" t="s">
        <v>27</v>
      </c>
      <c r="E39" s="14" t="s">
        <v>65</v>
      </c>
      <c r="Z39" s="5" t="s">
        <v>95</v>
      </c>
    </row>
    <row r="40" spans="1:26" ht="15" customHeight="1">
      <c r="A40" s="3" t="s">
        <v>96</v>
      </c>
      <c r="B40" s="20">
        <f>参数!B4</f>
        <v>0.15</v>
      </c>
      <c r="C40" s="7" t="s">
        <v>97</v>
      </c>
      <c r="D40" s="13" t="s">
        <v>98</v>
      </c>
      <c r="Z40" s="5" t="s">
        <v>99</v>
      </c>
    </row>
    <row r="41" spans="1:26" ht="15" customHeight="1">
      <c r="A41" s="3" t="s">
        <v>100</v>
      </c>
      <c r="B41" s="15">
        <f>IFERROR(B36/(1-B40),0)</f>
        <v>366.73446682639599</v>
      </c>
      <c r="C41" s="3" t="s">
        <v>68</v>
      </c>
      <c r="D41" s="13" t="s">
        <v>101</v>
      </c>
      <c r="Z41" s="5" t="s">
        <v>102</v>
      </c>
    </row>
    <row r="42" spans="1:26" ht="15" customHeight="1">
      <c r="A42" s="3" t="s">
        <v>103</v>
      </c>
      <c r="B42" s="20">
        <f>参数!B3</f>
        <v>0.13</v>
      </c>
      <c r="C42" s="7" t="s">
        <v>97</v>
      </c>
      <c r="D42" s="13" t="s">
        <v>98</v>
      </c>
      <c r="Z42" s="5" t="s">
        <v>104</v>
      </c>
    </row>
    <row r="43" spans="1:26" ht="15" customHeight="1">
      <c r="A43" s="3" t="s">
        <v>105</v>
      </c>
      <c r="B43" s="15">
        <f>B41*(1+B42)</f>
        <v>414.40994751382743</v>
      </c>
      <c r="C43" s="3" t="s">
        <v>68</v>
      </c>
      <c r="D43" s="13" t="s">
        <v>106</v>
      </c>
      <c r="Z43" s="5" t="s">
        <v>107</v>
      </c>
    </row>
    <row r="44" spans="1:26" ht="15" customHeight="1">
      <c r="A44" s="3" t="s">
        <v>108</v>
      </c>
      <c r="B44" s="21"/>
      <c r="C44" s="3" t="s">
        <v>68</v>
      </c>
      <c r="D44" s="13" t="s">
        <v>109</v>
      </c>
      <c r="Z44" s="5" t="s">
        <v>110</v>
      </c>
    </row>
    <row r="45" spans="1:26" ht="15" customHeight="1">
      <c r="A45" s="3" t="s">
        <v>111</v>
      </c>
      <c r="B45" s="20" t="str">
        <f>IF(B44="","",B41-B44)</f>
        <v/>
      </c>
      <c r="C45" s="3" t="s">
        <v>68</v>
      </c>
      <c r="D45" s="13" t="s">
        <v>112</v>
      </c>
      <c r="Z45" s="5" t="s">
        <v>113</v>
      </c>
    </row>
    <row r="46" spans="1:26" ht="15" customHeight="1">
      <c r="A46" s="3" t="s">
        <v>114</v>
      </c>
      <c r="B46" s="15">
        <f>IFERROR((B41-B36)/B41,0)</f>
        <v>0.15000000000000002</v>
      </c>
      <c r="C46" s="7" t="s">
        <v>97</v>
      </c>
      <c r="D46" s="13" t="s">
        <v>115</v>
      </c>
      <c r="Z46" s="5" t="s">
        <v>116</v>
      </c>
    </row>
    <row r="47" spans="1:26" ht="15" customHeight="1">
      <c r="A47" s="3" t="s">
        <v>117</v>
      </c>
      <c r="B47" s="15">
        <f>B41*B8</f>
        <v>366734.466826396</v>
      </c>
      <c r="C47" s="3" t="s">
        <v>118</v>
      </c>
      <c r="D47" s="13" t="s">
        <v>115</v>
      </c>
      <c r="Z47" s="5" t="s">
        <v>119</v>
      </c>
    </row>
    <row r="48" spans="1:26" ht="15" customHeight="1">
      <c r="A48" s="3" t="s">
        <v>120</v>
      </c>
      <c r="B48" s="15">
        <f>IFERROR((B41-B36)*B8,0)</f>
        <v>55010.170023959407</v>
      </c>
      <c r="C48" s="3" t="s">
        <v>118</v>
      </c>
      <c r="D48" s="13" t="s">
        <v>115</v>
      </c>
      <c r="Z48" s="5" t="s">
        <v>121</v>
      </c>
    </row>
    <row r="49" spans="1:26" ht="14.25" customHeight="1">
      <c r="Z49" s="5" t="s">
        <v>122</v>
      </c>
    </row>
    <row r="50" spans="1:26" ht="15" customHeight="1">
      <c r="A50" s="56" t="s">
        <v>123</v>
      </c>
      <c r="B50" s="56"/>
      <c r="C50" s="56"/>
      <c r="D50" s="56"/>
      <c r="E50" s="56"/>
      <c r="Z50" s="5" t="s">
        <v>124</v>
      </c>
    </row>
    <row r="51" spans="1:26" ht="15" customHeight="1">
      <c r="A51" s="3" t="s">
        <v>125</v>
      </c>
      <c r="B51" s="22">
        <f>COUNTIF(物料明细!I:I,"是")</f>
        <v>0</v>
      </c>
      <c r="C51" s="3" t="s">
        <v>126</v>
      </c>
      <c r="Z51" s="5" t="s">
        <v>127</v>
      </c>
    </row>
    <row r="52" spans="1:26" ht="15" customHeight="1">
      <c r="A52" s="3" t="s">
        <v>128</v>
      </c>
      <c r="B52" s="22">
        <f>COUNTIF(物料明细!H:H,0)</f>
        <v>0</v>
      </c>
      <c r="C52" s="3" t="s">
        <v>126</v>
      </c>
      <c r="Z52" s="5" t="s">
        <v>129</v>
      </c>
    </row>
    <row r="53" spans="1:26" ht="14.25" customHeight="1">
      <c r="Z53" s="5" t="s">
        <v>130</v>
      </c>
    </row>
    <row r="54" spans="1:26" ht="14.25" customHeight="1">
      <c r="Z54" s="5" t="s">
        <v>131</v>
      </c>
    </row>
    <row r="55" spans="1:26" ht="14.25" customHeight="1">
      <c r="Z55" s="5" t="s">
        <v>132</v>
      </c>
    </row>
    <row r="56" spans="1:26" ht="14.25" customHeight="1">
      <c r="Z56" s="5" t="s">
        <v>133</v>
      </c>
    </row>
    <row r="57" spans="1:26" ht="14.25" customHeight="1">
      <c r="Z57" s="5" t="s">
        <v>134</v>
      </c>
    </row>
    <row r="58" spans="1:26" ht="14.25" customHeight="1">
      <c r="Z58" s="5" t="s">
        <v>135</v>
      </c>
    </row>
    <row r="59" spans="1:26" ht="14.25" customHeight="1">
      <c r="Z59" s="5" t="s">
        <v>136</v>
      </c>
    </row>
    <row r="60" spans="1:26" ht="14.25" customHeight="1">
      <c r="Z60" s="5" t="s">
        <v>137</v>
      </c>
    </row>
    <row r="61" spans="1:26" ht="14.25" customHeight="1">
      <c r="Z61" s="5" t="s">
        <v>138</v>
      </c>
    </row>
    <row r="62" spans="1:26" ht="14.25" customHeight="1">
      <c r="Z62" s="5" t="s">
        <v>139</v>
      </c>
    </row>
    <row r="63" spans="1:26" ht="14.25" customHeight="1">
      <c r="Z63" s="5" t="s">
        <v>140</v>
      </c>
    </row>
    <row r="64" spans="1:26" ht="14.25" customHeight="1">
      <c r="Z64" s="5" t="s">
        <v>141</v>
      </c>
    </row>
    <row r="65" spans="26:26" ht="14.25" customHeight="1">
      <c r="Z65" s="5" t="s">
        <v>142</v>
      </c>
    </row>
    <row r="66" spans="26:26" ht="14.25" customHeight="1">
      <c r="Z66" s="5" t="s">
        <v>143</v>
      </c>
    </row>
    <row r="67" spans="26:26" ht="14.25" customHeight="1">
      <c r="Z67" s="5" t="s">
        <v>144</v>
      </c>
    </row>
    <row r="68" spans="26:26" ht="14.25" customHeight="1">
      <c r="Z68" s="5" t="s">
        <v>145</v>
      </c>
    </row>
    <row r="69" spans="26:26" ht="14.25" customHeight="1">
      <c r="Z69" s="5" t="s">
        <v>146</v>
      </c>
    </row>
    <row r="70" spans="26:26" ht="14.25" customHeight="1">
      <c r="Z70" s="5" t="s">
        <v>147</v>
      </c>
    </row>
    <row r="71" spans="26:26" ht="14.25" customHeight="1">
      <c r="Z71" s="5" t="s">
        <v>148</v>
      </c>
    </row>
    <row r="72" spans="26:26" ht="14.25" customHeight="1">
      <c r="Z72" s="5" t="s">
        <v>149</v>
      </c>
    </row>
    <row r="73" spans="26:26" ht="14.25" customHeight="1">
      <c r="Z73" s="5" t="s">
        <v>150</v>
      </c>
    </row>
    <row r="74" spans="26:26" ht="14.25" customHeight="1">
      <c r="Z74" s="5" t="s">
        <v>151</v>
      </c>
    </row>
    <row r="75" spans="26:26" ht="14.25" customHeight="1">
      <c r="Z75" s="5" t="s">
        <v>152</v>
      </c>
    </row>
    <row r="76" spans="26:26" ht="14.25" customHeight="1">
      <c r="Z76" s="5" t="s">
        <v>153</v>
      </c>
    </row>
    <row r="77" spans="26:26" ht="14.25" customHeight="1">
      <c r="Z77" s="5" t="s">
        <v>154</v>
      </c>
    </row>
    <row r="78" spans="26:26" ht="14.25" customHeight="1">
      <c r="Z78" s="5" t="s">
        <v>155</v>
      </c>
    </row>
    <row r="79" spans="26:26" ht="14.25" customHeight="1">
      <c r="Z79" s="5" t="s">
        <v>156</v>
      </c>
    </row>
    <row r="80" spans="26:26" ht="14.25" customHeight="1">
      <c r="Z80" s="5" t="s">
        <v>157</v>
      </c>
    </row>
    <row r="81" spans="26:26" ht="14.25" customHeight="1">
      <c r="Z81" s="5" t="s">
        <v>158</v>
      </c>
    </row>
    <row r="82" spans="26:26" ht="14.25" customHeight="1">
      <c r="Z82" s="5" t="s">
        <v>159</v>
      </c>
    </row>
    <row r="83" spans="26:26" ht="14.25" customHeight="1">
      <c r="Z83" s="5" t="s">
        <v>160</v>
      </c>
    </row>
    <row r="84" spans="26:26" ht="14.25" customHeight="1">
      <c r="Z84" s="5" t="s">
        <v>161</v>
      </c>
    </row>
    <row r="85" spans="26:26" ht="14.25" customHeight="1">
      <c r="Z85" s="5" t="s">
        <v>162</v>
      </c>
    </row>
    <row r="86" spans="26:26" ht="14.25" customHeight="1">
      <c r="Z86" s="5" t="s">
        <v>163</v>
      </c>
    </row>
    <row r="87" spans="26:26" ht="14.25" customHeight="1">
      <c r="Z87" s="5" t="s">
        <v>164</v>
      </c>
    </row>
    <row r="88" spans="26:26" ht="14.25" customHeight="1">
      <c r="Z88" s="5" t="s">
        <v>165</v>
      </c>
    </row>
    <row r="89" spans="26:26" ht="14.25" customHeight="1">
      <c r="Z89" s="5" t="s">
        <v>166</v>
      </c>
    </row>
    <row r="90" spans="26:26" ht="14.25" customHeight="1">
      <c r="Z90" s="5" t="s">
        <v>167</v>
      </c>
    </row>
    <row r="91" spans="26:26" ht="14.25" customHeight="1">
      <c r="Z91" s="5" t="s">
        <v>168</v>
      </c>
    </row>
    <row r="92" spans="26:26" ht="14.25" customHeight="1">
      <c r="Z92" s="5" t="s">
        <v>169</v>
      </c>
    </row>
    <row r="93" spans="26:26" ht="14.25" customHeight="1">
      <c r="Z93" s="5" t="s">
        <v>170</v>
      </c>
    </row>
    <row r="94" spans="26:26" ht="14.25" customHeight="1">
      <c r="Z94" s="5" t="s">
        <v>171</v>
      </c>
    </row>
    <row r="95" spans="26:26" ht="14.25" customHeight="1">
      <c r="Z95" s="5" t="s">
        <v>172</v>
      </c>
    </row>
    <row r="96" spans="26:26" ht="14.25" customHeight="1">
      <c r="Z96" s="5" t="s">
        <v>173</v>
      </c>
    </row>
    <row r="97" spans="26:26" ht="14.25" customHeight="1">
      <c r="Z97" s="5" t="s">
        <v>174</v>
      </c>
    </row>
    <row r="98" spans="26:26" ht="14.25" customHeight="1">
      <c r="Z98" s="5" t="s">
        <v>175</v>
      </c>
    </row>
    <row r="99" spans="26:26" ht="14.25" customHeight="1">
      <c r="Z99" s="5" t="s">
        <v>176</v>
      </c>
    </row>
    <row r="100" spans="26:26" ht="14.25" customHeight="1">
      <c r="Z100" s="5" t="s">
        <v>177</v>
      </c>
    </row>
    <row r="101" spans="26:26" ht="14.25" customHeight="1">
      <c r="Z101" s="5" t="s">
        <v>178</v>
      </c>
    </row>
    <row r="102" spans="26:26" ht="14.25" customHeight="1">
      <c r="Z102" s="5" t="s">
        <v>179</v>
      </c>
    </row>
    <row r="103" spans="26:26" ht="14.25" customHeight="1">
      <c r="Z103" s="5" t="s">
        <v>180</v>
      </c>
    </row>
    <row r="104" spans="26:26" ht="14.25" customHeight="1">
      <c r="Z104" s="5" t="s">
        <v>181</v>
      </c>
    </row>
    <row r="105" spans="26:26" ht="14.25" customHeight="1">
      <c r="Z105" s="5" t="s">
        <v>182</v>
      </c>
    </row>
    <row r="106" spans="26:26" ht="14.25" customHeight="1">
      <c r="Z106" s="5" t="s">
        <v>183</v>
      </c>
    </row>
    <row r="107" spans="26:26" ht="14.25" customHeight="1">
      <c r="Z107" s="5" t="s">
        <v>184</v>
      </c>
    </row>
    <row r="108" spans="26:26" ht="14.25" customHeight="1">
      <c r="Z108" s="5" t="s">
        <v>185</v>
      </c>
    </row>
    <row r="109" spans="26:26" ht="14.25" customHeight="1">
      <c r="Z109" s="5" t="s">
        <v>186</v>
      </c>
    </row>
    <row r="110" spans="26:26" ht="14.25" customHeight="1">
      <c r="Z110" s="5" t="s">
        <v>187</v>
      </c>
    </row>
    <row r="111" spans="26:26" ht="14.25" customHeight="1">
      <c r="Z111" s="5" t="s">
        <v>188</v>
      </c>
    </row>
    <row r="112" spans="26:26" ht="14.25" customHeight="1">
      <c r="Z112" s="5" t="s">
        <v>189</v>
      </c>
    </row>
    <row r="113" spans="26:26" ht="14.25" customHeight="1">
      <c r="Z113" s="5" t="s">
        <v>190</v>
      </c>
    </row>
    <row r="114" spans="26:26" ht="14.25" customHeight="1">
      <c r="Z114" s="5" t="s">
        <v>191</v>
      </c>
    </row>
    <row r="115" spans="26:26" ht="14.25" customHeight="1">
      <c r="Z115" s="5" t="s">
        <v>192</v>
      </c>
    </row>
    <row r="116" spans="26:26" ht="14.25" customHeight="1">
      <c r="Z116" s="5" t="s">
        <v>193</v>
      </c>
    </row>
    <row r="117" spans="26:26" ht="14.25" customHeight="1">
      <c r="Z117" s="5" t="s">
        <v>194</v>
      </c>
    </row>
    <row r="118" spans="26:26" ht="14.25" customHeight="1">
      <c r="Z118" s="5" t="s">
        <v>195</v>
      </c>
    </row>
  </sheetData>
  <mergeCells count="7">
    <mergeCell ref="A38:E38"/>
    <mergeCell ref="A50:E50"/>
    <mergeCell ref="A1:E1"/>
    <mergeCell ref="A3:E3"/>
    <mergeCell ref="A12:E12"/>
    <mergeCell ref="A20:E20"/>
    <mergeCell ref="A26:E26"/>
  </mergeCells>
  <phoneticPr fontId="27" type="noConversion"/>
  <conditionalFormatting sqref="B4:B6">
    <cfRule type="expression" dxfId="3" priority="2">
      <formula>LEN(B4)&gt;0</formula>
    </cfRule>
  </conditionalFormatting>
  <conditionalFormatting sqref="B8:B9">
    <cfRule type="expression" dxfId="2" priority="3">
      <formula>LEN(B8)&gt;0</formula>
    </cfRule>
  </conditionalFormatting>
  <conditionalFormatting sqref="B13:B19">
    <cfRule type="expression" dxfId="1" priority="4">
      <formula>LEN(B13)&gt;0</formula>
    </cfRule>
  </conditionalFormatting>
  <conditionalFormatting sqref="B21:B23">
    <cfRule type="expression" dxfId="0" priority="5">
      <formula>LEN(B21)&gt;0</formula>
    </cfRule>
  </conditionalFormatting>
  <dataValidations count="3">
    <dataValidation type="list" allowBlank="1" showErrorMessage="1" sqref="B18" xr:uid="{00000000-0002-0000-0100-000000000000}">
      <formula1>"否,是"</formula1>
      <formula2>0</formula2>
    </dataValidation>
    <dataValidation type="list" allowBlank="1" showErrorMessage="1" sqref="B21" xr:uid="{00000000-0002-0000-0100-000001000000}">
      <formula1>"次日达,特惠普运"</formula1>
      <formula2>0</formula2>
    </dataValidation>
    <dataValidation type="list" sqref="B19" xr:uid="{00000000-0002-0000-0100-000002000000}">
      <formula1>"否,是"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6"/>
  <sheetViews>
    <sheetView showGridLines="0" zoomScaleNormal="100" workbookViewId="0">
      <pane ySplit="2" topLeftCell="A107" activePane="bottomLeft" state="frozen"/>
      <selection pane="bottomLeft" activeCell="A3" sqref="A3:J116"/>
    </sheetView>
  </sheetViews>
  <sheetFormatPr defaultColWidth="8.5546875" defaultRowHeight="13.8"/>
  <cols>
    <col min="1" max="1" width="8" customWidth="1"/>
    <col min="2" max="2" width="14" customWidth="1"/>
    <col min="3" max="3" width="16" customWidth="1"/>
    <col min="4" max="4" width="28" customWidth="1"/>
    <col min="5" max="6" width="12" customWidth="1"/>
    <col min="7" max="7" width="10" customWidth="1"/>
    <col min="8" max="8" width="12" customWidth="1"/>
    <col min="9" max="9" width="10" customWidth="1"/>
    <col min="10" max="10" width="24" customWidth="1"/>
  </cols>
  <sheetData>
    <row r="1" spans="1:10" ht="18" customHeight="1">
      <c r="A1" s="57" t="s">
        <v>69</v>
      </c>
      <c r="B1" s="57"/>
      <c r="C1" s="57"/>
      <c r="D1" s="57"/>
      <c r="E1" s="57"/>
      <c r="F1" s="57"/>
      <c r="G1" s="57"/>
      <c r="H1" s="57"/>
      <c r="I1" s="57"/>
    </row>
    <row r="2" spans="1:10" ht="15" customHeight="1">
      <c r="A2" s="23" t="s">
        <v>196</v>
      </c>
      <c r="B2" s="23" t="s">
        <v>197</v>
      </c>
      <c r="C2" s="23" t="s">
        <v>198</v>
      </c>
      <c r="D2" s="23" t="s">
        <v>199</v>
      </c>
      <c r="E2" s="23" t="s">
        <v>200</v>
      </c>
      <c r="F2" s="23" t="s">
        <v>201</v>
      </c>
      <c r="G2" s="23" t="s">
        <v>202</v>
      </c>
      <c r="H2" s="23" t="s">
        <v>63</v>
      </c>
      <c r="I2" s="23" t="s">
        <v>203</v>
      </c>
      <c r="J2" s="24" t="s">
        <v>27</v>
      </c>
    </row>
    <row r="3" spans="1:10" ht="27.6">
      <c r="A3" s="61">
        <v>1</v>
      </c>
      <c r="B3" s="61" t="s">
        <v>204</v>
      </c>
      <c r="C3" s="61" t="s">
        <v>675</v>
      </c>
      <c r="D3" s="62" t="s">
        <v>676</v>
      </c>
      <c r="E3" s="63">
        <v>1</v>
      </c>
      <c r="F3" s="64">
        <v>11.504424999999999</v>
      </c>
      <c r="G3" s="65">
        <v>0.02</v>
      </c>
      <c r="H3" s="66">
        <f t="shared" ref="H3:H66" si="0">IF(I3="是",0,E3*F3*(1+G3))</f>
        <v>11.7345135</v>
      </c>
      <c r="I3" s="61"/>
      <c r="J3" s="67" t="s">
        <v>677</v>
      </c>
    </row>
    <row r="4" spans="1:10" ht="27.6">
      <c r="A4" s="68">
        <v>2</v>
      </c>
      <c r="B4" s="68" t="s">
        <v>204</v>
      </c>
      <c r="C4" s="68" t="s">
        <v>678</v>
      </c>
      <c r="D4" s="69" t="s">
        <v>679</v>
      </c>
      <c r="E4" s="70">
        <v>22</v>
      </c>
      <c r="F4" s="71">
        <v>1.2389000000000001E-2</v>
      </c>
      <c r="G4" s="72">
        <v>0.02</v>
      </c>
      <c r="H4" s="73">
        <f t="shared" si="0"/>
        <v>0.27800916000000003</v>
      </c>
      <c r="I4" s="68"/>
      <c r="J4" s="67" t="s">
        <v>677</v>
      </c>
    </row>
    <row r="5" spans="1:10" ht="27.6">
      <c r="A5" s="61">
        <v>3</v>
      </c>
      <c r="B5" s="61" t="s">
        <v>204</v>
      </c>
      <c r="C5" s="61" t="s">
        <v>680</v>
      </c>
      <c r="D5" s="62" t="s">
        <v>681</v>
      </c>
      <c r="E5" s="63">
        <v>6</v>
      </c>
      <c r="F5" s="64">
        <v>0.44247799999999998</v>
      </c>
      <c r="G5" s="65">
        <v>0.02</v>
      </c>
      <c r="H5" s="66">
        <f t="shared" si="0"/>
        <v>2.7079653600000002</v>
      </c>
      <c r="I5" s="61"/>
      <c r="J5" s="67" t="s">
        <v>677</v>
      </c>
    </row>
    <row r="6" spans="1:10" ht="15" customHeight="1">
      <c r="A6" s="68">
        <v>4</v>
      </c>
      <c r="B6" s="68" t="s">
        <v>204</v>
      </c>
      <c r="C6" s="68" t="s">
        <v>682</v>
      </c>
      <c r="D6" s="69" t="s">
        <v>683</v>
      </c>
      <c r="E6" s="70">
        <v>11</v>
      </c>
      <c r="F6" s="71">
        <v>4.7787999999999997E-2</v>
      </c>
      <c r="G6" s="72">
        <v>0.02</v>
      </c>
      <c r="H6" s="73">
        <f t="shared" si="0"/>
        <v>0.53618136000000005</v>
      </c>
      <c r="I6" s="68"/>
      <c r="J6" s="67" t="s">
        <v>677</v>
      </c>
    </row>
    <row r="7" spans="1:10" ht="27.6">
      <c r="A7" s="61">
        <v>5</v>
      </c>
      <c r="B7" s="61" t="s">
        <v>204</v>
      </c>
      <c r="C7" s="61" t="s">
        <v>684</v>
      </c>
      <c r="D7" s="62" t="s">
        <v>685</v>
      </c>
      <c r="E7" s="63">
        <v>31</v>
      </c>
      <c r="F7" s="64">
        <v>1.2389000000000001E-2</v>
      </c>
      <c r="G7" s="65">
        <v>0.02</v>
      </c>
      <c r="H7" s="66">
        <f t="shared" si="0"/>
        <v>0.39174018000000005</v>
      </c>
      <c r="I7" s="61"/>
      <c r="J7" s="67" t="s">
        <v>677</v>
      </c>
    </row>
    <row r="8" spans="1:10" ht="27.6">
      <c r="A8" s="68">
        <v>6</v>
      </c>
      <c r="B8" s="68" t="s">
        <v>204</v>
      </c>
      <c r="C8" s="68" t="s">
        <v>686</v>
      </c>
      <c r="D8" s="69" t="s">
        <v>687</v>
      </c>
      <c r="E8" s="70">
        <v>2</v>
      </c>
      <c r="F8" s="71">
        <v>0.123894</v>
      </c>
      <c r="G8" s="72">
        <v>0.02</v>
      </c>
      <c r="H8" s="73">
        <f t="shared" si="0"/>
        <v>0.25274376000000004</v>
      </c>
      <c r="I8" s="68"/>
      <c r="J8" s="67" t="s">
        <v>677</v>
      </c>
    </row>
    <row r="9" spans="1:10">
      <c r="A9" s="61">
        <v>7</v>
      </c>
      <c r="B9" s="61" t="s">
        <v>204</v>
      </c>
      <c r="C9" s="61" t="s">
        <v>688</v>
      </c>
      <c r="D9" s="62" t="s">
        <v>689</v>
      </c>
      <c r="E9" s="63">
        <v>1</v>
      </c>
      <c r="F9" s="64">
        <v>0.56831900000000002</v>
      </c>
      <c r="G9" s="65">
        <v>0.02</v>
      </c>
      <c r="H9" s="66">
        <f t="shared" si="0"/>
        <v>0.57968538000000003</v>
      </c>
      <c r="I9" s="61"/>
      <c r="J9" s="67" t="s">
        <v>677</v>
      </c>
    </row>
    <row r="10" spans="1:10" ht="27.6">
      <c r="A10" s="68">
        <v>8</v>
      </c>
      <c r="B10" s="68" t="s">
        <v>204</v>
      </c>
      <c r="C10" s="68" t="s">
        <v>690</v>
      </c>
      <c r="D10" s="69" t="s">
        <v>691</v>
      </c>
      <c r="E10" s="70">
        <v>7</v>
      </c>
      <c r="F10" s="71">
        <v>1.2389000000000001E-2</v>
      </c>
      <c r="G10" s="72">
        <v>0.02</v>
      </c>
      <c r="H10" s="73">
        <f t="shared" si="0"/>
        <v>8.8457460000000016E-2</v>
      </c>
      <c r="I10" s="68"/>
      <c r="J10" s="67" t="s">
        <v>677</v>
      </c>
    </row>
    <row r="11" spans="1:10">
      <c r="A11" s="61">
        <v>9</v>
      </c>
      <c r="B11" s="61" t="s">
        <v>204</v>
      </c>
      <c r="C11" s="61" t="s">
        <v>692</v>
      </c>
      <c r="D11" s="62" t="s">
        <v>693</v>
      </c>
      <c r="E11" s="63">
        <v>1</v>
      </c>
      <c r="F11" s="64">
        <v>0.10531</v>
      </c>
      <c r="G11" s="65">
        <v>0.02</v>
      </c>
      <c r="H11" s="66">
        <f t="shared" si="0"/>
        <v>0.1074162</v>
      </c>
      <c r="I11" s="61"/>
      <c r="J11" s="67" t="s">
        <v>677</v>
      </c>
    </row>
    <row r="12" spans="1:10" ht="41.4">
      <c r="A12" s="68">
        <v>10</v>
      </c>
      <c r="B12" s="68" t="s">
        <v>204</v>
      </c>
      <c r="C12" s="68" t="s">
        <v>694</v>
      </c>
      <c r="D12" s="69" t="s">
        <v>695</v>
      </c>
      <c r="E12" s="70">
        <v>1</v>
      </c>
      <c r="F12" s="71">
        <v>0.43451299999999998</v>
      </c>
      <c r="G12" s="72">
        <v>0.02</v>
      </c>
      <c r="H12" s="73">
        <f t="shared" si="0"/>
        <v>0.44320325999999999</v>
      </c>
      <c r="I12" s="68"/>
      <c r="J12" s="67" t="s">
        <v>677</v>
      </c>
    </row>
    <row r="13" spans="1:10" ht="27.6">
      <c r="A13" s="61">
        <v>11</v>
      </c>
      <c r="B13" s="61" t="s">
        <v>204</v>
      </c>
      <c r="C13" s="61" t="s">
        <v>696</v>
      </c>
      <c r="D13" s="62" t="s">
        <v>697</v>
      </c>
      <c r="E13" s="63">
        <v>4</v>
      </c>
      <c r="F13" s="64">
        <v>6.5487000000000004E-2</v>
      </c>
      <c r="G13" s="65">
        <v>0.02</v>
      </c>
      <c r="H13" s="66">
        <f t="shared" si="0"/>
        <v>0.26718696000000003</v>
      </c>
      <c r="I13" s="61"/>
      <c r="J13" s="67" t="s">
        <v>677</v>
      </c>
    </row>
    <row r="14" spans="1:10" ht="55.2">
      <c r="A14" s="68">
        <v>12</v>
      </c>
      <c r="B14" s="68" t="s">
        <v>204</v>
      </c>
      <c r="C14" s="68" t="s">
        <v>698</v>
      </c>
      <c r="D14" s="69" t="s">
        <v>699</v>
      </c>
      <c r="E14" s="70">
        <v>1</v>
      </c>
      <c r="F14" s="71">
        <v>0.14283199999999999</v>
      </c>
      <c r="G14" s="72">
        <v>0.02</v>
      </c>
      <c r="H14" s="73">
        <f t="shared" si="0"/>
        <v>0.14568863999999998</v>
      </c>
      <c r="I14" s="68"/>
      <c r="J14" s="67" t="s">
        <v>677</v>
      </c>
    </row>
    <row r="15" spans="1:10" ht="27.6">
      <c r="A15" s="61">
        <v>13</v>
      </c>
      <c r="B15" s="61" t="s">
        <v>204</v>
      </c>
      <c r="C15" s="61" t="s">
        <v>700</v>
      </c>
      <c r="D15" s="62" t="s">
        <v>701</v>
      </c>
      <c r="E15" s="63">
        <v>1</v>
      </c>
      <c r="F15" s="64">
        <v>1.4159E-2</v>
      </c>
      <c r="G15" s="65">
        <v>0.02</v>
      </c>
      <c r="H15" s="66">
        <f t="shared" si="0"/>
        <v>1.4442180000000001E-2</v>
      </c>
      <c r="I15" s="61"/>
      <c r="J15" s="67" t="s">
        <v>702</v>
      </c>
    </row>
    <row r="16" spans="1:10" ht="27.6">
      <c r="A16" s="68">
        <v>14</v>
      </c>
      <c r="B16" s="68" t="s">
        <v>204</v>
      </c>
      <c r="C16" s="68" t="s">
        <v>703</v>
      </c>
      <c r="D16" s="69" t="s">
        <v>704</v>
      </c>
      <c r="E16" s="70">
        <v>2</v>
      </c>
      <c r="F16" s="71">
        <v>0.17699100000000001</v>
      </c>
      <c r="G16" s="72">
        <v>0.02</v>
      </c>
      <c r="H16" s="73">
        <f t="shared" si="0"/>
        <v>0.36106164000000002</v>
      </c>
      <c r="I16" s="68"/>
      <c r="J16" s="67" t="s">
        <v>702</v>
      </c>
    </row>
    <row r="17" spans="1:10" ht="27.6">
      <c r="A17" s="61">
        <v>15</v>
      </c>
      <c r="B17" s="61" t="s">
        <v>204</v>
      </c>
      <c r="C17" s="61" t="s">
        <v>705</v>
      </c>
      <c r="D17" s="62" t="s">
        <v>706</v>
      </c>
      <c r="E17" s="63">
        <v>1</v>
      </c>
      <c r="F17" s="64">
        <v>1.7698999999999999E-2</v>
      </c>
      <c r="G17" s="65">
        <v>0.02</v>
      </c>
      <c r="H17" s="66">
        <f t="shared" si="0"/>
        <v>1.805298E-2</v>
      </c>
      <c r="I17" s="61"/>
      <c r="J17" s="67" t="s">
        <v>702</v>
      </c>
    </row>
    <row r="18" spans="1:10" ht="27.6">
      <c r="A18" s="68">
        <v>16</v>
      </c>
      <c r="B18" s="68" t="s">
        <v>204</v>
      </c>
      <c r="C18" s="68" t="s">
        <v>707</v>
      </c>
      <c r="D18" s="69" t="s">
        <v>708</v>
      </c>
      <c r="E18" s="70">
        <v>1</v>
      </c>
      <c r="F18" s="71">
        <v>2.2124000000000001E-2</v>
      </c>
      <c r="G18" s="72">
        <v>0.02</v>
      </c>
      <c r="H18" s="73">
        <f t="shared" si="0"/>
        <v>2.2566480000000003E-2</v>
      </c>
      <c r="I18" s="68"/>
      <c r="J18" s="67" t="s">
        <v>709</v>
      </c>
    </row>
    <row r="19" spans="1:10" ht="27.6">
      <c r="A19" s="61">
        <v>17</v>
      </c>
      <c r="B19" s="61" t="s">
        <v>204</v>
      </c>
      <c r="C19" s="61" t="s">
        <v>710</v>
      </c>
      <c r="D19" s="62" t="s">
        <v>711</v>
      </c>
      <c r="E19" s="63">
        <v>3</v>
      </c>
      <c r="F19" s="64">
        <v>8.8500000000000002E-3</v>
      </c>
      <c r="G19" s="65">
        <v>0.02</v>
      </c>
      <c r="H19" s="66">
        <f t="shared" si="0"/>
        <v>2.7081000000000001E-2</v>
      </c>
      <c r="I19" s="61"/>
      <c r="J19" s="67" t="s">
        <v>702</v>
      </c>
    </row>
    <row r="20" spans="1:10" ht="27.6">
      <c r="A20" s="68">
        <v>18</v>
      </c>
      <c r="B20" s="68" t="s">
        <v>204</v>
      </c>
      <c r="C20" s="68" t="s">
        <v>712</v>
      </c>
      <c r="D20" s="69" t="s">
        <v>713</v>
      </c>
      <c r="E20" s="70">
        <v>1</v>
      </c>
      <c r="F20" s="71">
        <v>1.7698999999999999E-2</v>
      </c>
      <c r="G20" s="72">
        <v>0.02</v>
      </c>
      <c r="H20" s="73">
        <f t="shared" si="0"/>
        <v>1.805298E-2</v>
      </c>
      <c r="I20" s="68"/>
      <c r="J20" s="67" t="s">
        <v>702</v>
      </c>
    </row>
    <row r="21" spans="1:10">
      <c r="A21" s="61">
        <v>19</v>
      </c>
      <c r="B21" s="61" t="s">
        <v>204</v>
      </c>
      <c r="C21" s="61" t="s">
        <v>714</v>
      </c>
      <c r="D21" s="62" t="s">
        <v>715</v>
      </c>
      <c r="E21" s="63">
        <v>2</v>
      </c>
      <c r="F21" s="64">
        <v>0.18</v>
      </c>
      <c r="G21" s="65">
        <v>0.02</v>
      </c>
      <c r="H21" s="66">
        <f t="shared" si="0"/>
        <v>0.36719999999999997</v>
      </c>
      <c r="I21" s="61"/>
      <c r="J21" s="67" t="s">
        <v>709</v>
      </c>
    </row>
    <row r="22" spans="1:10">
      <c r="A22" s="68">
        <v>20</v>
      </c>
      <c r="B22" s="68" t="s">
        <v>204</v>
      </c>
      <c r="C22" s="68" t="s">
        <v>716</v>
      </c>
      <c r="D22" s="69" t="s">
        <v>717</v>
      </c>
      <c r="E22" s="70">
        <v>1</v>
      </c>
      <c r="F22" s="71">
        <v>1.0531E-2</v>
      </c>
      <c r="G22" s="72">
        <v>0.02</v>
      </c>
      <c r="H22" s="73">
        <f t="shared" si="0"/>
        <v>1.074162E-2</v>
      </c>
      <c r="I22" s="68"/>
      <c r="J22" s="67" t="s">
        <v>677</v>
      </c>
    </row>
    <row r="23" spans="1:10" ht="27.6">
      <c r="A23" s="61">
        <v>21</v>
      </c>
      <c r="B23" s="61" t="s">
        <v>204</v>
      </c>
      <c r="C23" s="61" t="s">
        <v>718</v>
      </c>
      <c r="D23" s="62" t="s">
        <v>719</v>
      </c>
      <c r="E23" s="63">
        <v>1</v>
      </c>
      <c r="F23" s="64">
        <v>1.7698999999999999E-2</v>
      </c>
      <c r="G23" s="65">
        <v>0.02</v>
      </c>
      <c r="H23" s="66">
        <f t="shared" si="0"/>
        <v>1.805298E-2</v>
      </c>
      <c r="I23" s="61"/>
      <c r="J23" s="67" t="s">
        <v>702</v>
      </c>
    </row>
    <row r="24" spans="1:10" ht="41.4">
      <c r="A24" s="68">
        <v>22</v>
      </c>
      <c r="B24" s="68" t="s">
        <v>204</v>
      </c>
      <c r="C24" s="68" t="s">
        <v>720</v>
      </c>
      <c r="D24" s="69" t="s">
        <v>721</v>
      </c>
      <c r="E24" s="70">
        <v>6</v>
      </c>
      <c r="F24" s="71">
        <v>0.470885</v>
      </c>
      <c r="G24" s="72">
        <v>0.02</v>
      </c>
      <c r="H24" s="73">
        <f t="shared" si="0"/>
        <v>2.8818161999999998</v>
      </c>
      <c r="I24" s="68"/>
      <c r="J24" s="67" t="s">
        <v>677</v>
      </c>
    </row>
    <row r="25" spans="1:10" ht="27.6">
      <c r="A25" s="61">
        <v>23</v>
      </c>
      <c r="B25" s="61" t="s">
        <v>204</v>
      </c>
      <c r="C25" s="61" t="s">
        <v>722</v>
      </c>
      <c r="D25" s="62" t="s">
        <v>723</v>
      </c>
      <c r="E25" s="63">
        <v>7</v>
      </c>
      <c r="F25" s="64">
        <v>8.8499999999999995E-2</v>
      </c>
      <c r="G25" s="65">
        <v>0.02</v>
      </c>
      <c r="H25" s="66">
        <f t="shared" si="0"/>
        <v>0.63188999999999995</v>
      </c>
      <c r="I25" s="61"/>
      <c r="J25" s="67" t="s">
        <v>724</v>
      </c>
    </row>
    <row r="26" spans="1:10" ht="41.4">
      <c r="A26" s="68">
        <v>24</v>
      </c>
      <c r="B26" s="68" t="s">
        <v>204</v>
      </c>
      <c r="C26" s="68" t="s">
        <v>725</v>
      </c>
      <c r="D26" s="69" t="s">
        <v>726</v>
      </c>
      <c r="E26" s="70">
        <v>2</v>
      </c>
      <c r="F26" s="71">
        <v>2.2775E-2</v>
      </c>
      <c r="G26" s="72">
        <v>0.02</v>
      </c>
      <c r="H26" s="73">
        <f t="shared" si="0"/>
        <v>4.6461000000000002E-2</v>
      </c>
      <c r="I26" s="68"/>
      <c r="J26" s="67" t="s">
        <v>727</v>
      </c>
    </row>
    <row r="27" spans="1:10" ht="27.6">
      <c r="A27" s="61">
        <v>25</v>
      </c>
      <c r="B27" s="61" t="s">
        <v>204</v>
      </c>
      <c r="C27" s="61" t="s">
        <v>728</v>
      </c>
      <c r="D27" s="62" t="s">
        <v>729</v>
      </c>
      <c r="E27" s="63">
        <v>1</v>
      </c>
      <c r="F27" s="64">
        <v>2.1239000000000001E-2</v>
      </c>
      <c r="G27" s="65">
        <v>0.02</v>
      </c>
      <c r="H27" s="66">
        <f t="shared" si="0"/>
        <v>2.1663780000000001E-2</v>
      </c>
      <c r="I27" s="61"/>
      <c r="J27" s="67" t="s">
        <v>727</v>
      </c>
    </row>
    <row r="28" spans="1:10" ht="41.4">
      <c r="A28" s="68">
        <v>26</v>
      </c>
      <c r="B28" s="68" t="s">
        <v>204</v>
      </c>
      <c r="C28" s="68" t="s">
        <v>730</v>
      </c>
      <c r="D28" s="69" t="s">
        <v>731</v>
      </c>
      <c r="E28" s="70">
        <v>6</v>
      </c>
      <c r="F28" s="71">
        <v>2.8319E-2</v>
      </c>
      <c r="G28" s="72">
        <v>0.02</v>
      </c>
      <c r="H28" s="73">
        <f t="shared" si="0"/>
        <v>0.17331228000000001</v>
      </c>
      <c r="I28" s="68"/>
      <c r="J28" s="67" t="s">
        <v>727</v>
      </c>
    </row>
    <row r="29" spans="1:10" ht="27.6">
      <c r="A29" s="61">
        <v>27</v>
      </c>
      <c r="B29" s="61" t="s">
        <v>204</v>
      </c>
      <c r="C29" s="61" t="s">
        <v>732</v>
      </c>
      <c r="D29" s="62" t="s">
        <v>733</v>
      </c>
      <c r="E29" s="63">
        <v>2</v>
      </c>
      <c r="F29" s="64">
        <v>1.9115E-2</v>
      </c>
      <c r="G29" s="65">
        <v>0.02</v>
      </c>
      <c r="H29" s="66">
        <f t="shared" si="0"/>
        <v>3.8994599999999997E-2</v>
      </c>
      <c r="I29" s="61"/>
      <c r="J29" s="67" t="s">
        <v>734</v>
      </c>
    </row>
    <row r="30" spans="1:10" ht="41.4">
      <c r="A30" s="68">
        <v>28</v>
      </c>
      <c r="B30" s="68" t="s">
        <v>204</v>
      </c>
      <c r="C30" s="68" t="s">
        <v>735</v>
      </c>
      <c r="D30" s="69" t="s">
        <v>736</v>
      </c>
      <c r="E30" s="70">
        <v>3</v>
      </c>
      <c r="F30" s="71">
        <v>0.143097</v>
      </c>
      <c r="G30" s="72">
        <v>0.02</v>
      </c>
      <c r="H30" s="73">
        <f t="shared" si="0"/>
        <v>0.43787682</v>
      </c>
      <c r="I30" s="68"/>
      <c r="J30" s="67" t="s">
        <v>734</v>
      </c>
    </row>
    <row r="31" spans="1:10" ht="55.2">
      <c r="A31" s="61">
        <v>29</v>
      </c>
      <c r="B31" s="61" t="s">
        <v>204</v>
      </c>
      <c r="C31" s="61" t="s">
        <v>737</v>
      </c>
      <c r="D31" s="62" t="s">
        <v>738</v>
      </c>
      <c r="E31" s="63">
        <v>6</v>
      </c>
      <c r="F31" s="64">
        <v>4.2478000000000002E-2</v>
      </c>
      <c r="G31" s="65">
        <v>0.02</v>
      </c>
      <c r="H31" s="66">
        <f t="shared" si="0"/>
        <v>0.25996535999999998</v>
      </c>
      <c r="I31" s="61"/>
      <c r="J31" s="67" t="s">
        <v>724</v>
      </c>
    </row>
    <row r="32" spans="1:10" ht="69">
      <c r="A32" s="68">
        <v>30</v>
      </c>
      <c r="B32" s="68" t="s">
        <v>204</v>
      </c>
      <c r="C32" s="68" t="s">
        <v>739</v>
      </c>
      <c r="D32" s="69" t="s">
        <v>740</v>
      </c>
      <c r="E32" s="70">
        <v>6</v>
      </c>
      <c r="F32" s="71">
        <v>0.139823</v>
      </c>
      <c r="G32" s="72">
        <v>0.02</v>
      </c>
      <c r="H32" s="73">
        <f t="shared" si="0"/>
        <v>0.85571675999999997</v>
      </c>
      <c r="I32" s="68"/>
      <c r="J32" s="67" t="s">
        <v>734</v>
      </c>
    </row>
    <row r="33" spans="1:10" ht="41.4">
      <c r="A33" s="61">
        <v>31</v>
      </c>
      <c r="B33" s="61" t="s">
        <v>204</v>
      </c>
      <c r="C33" s="61" t="s">
        <v>741</v>
      </c>
      <c r="D33" s="62" t="s">
        <v>742</v>
      </c>
      <c r="E33" s="63">
        <v>2</v>
      </c>
      <c r="F33" s="64">
        <v>2.0187E-2</v>
      </c>
      <c r="G33" s="65">
        <v>0.02</v>
      </c>
      <c r="H33" s="66">
        <f t="shared" si="0"/>
        <v>4.1181479999999999E-2</v>
      </c>
      <c r="I33" s="61"/>
      <c r="J33" s="67" t="s">
        <v>727</v>
      </c>
    </row>
    <row r="34" spans="1:10" ht="41.4">
      <c r="A34" s="68">
        <v>32</v>
      </c>
      <c r="B34" s="68" t="s">
        <v>204</v>
      </c>
      <c r="C34" s="68" t="s">
        <v>743</v>
      </c>
      <c r="D34" s="69" t="s">
        <v>744</v>
      </c>
      <c r="E34" s="70">
        <v>1</v>
      </c>
      <c r="F34" s="71">
        <v>1.9911000000000002E-2</v>
      </c>
      <c r="G34" s="72">
        <v>0.02</v>
      </c>
      <c r="H34" s="73">
        <f t="shared" si="0"/>
        <v>2.0309220000000003E-2</v>
      </c>
      <c r="I34" s="68"/>
      <c r="J34" s="67" t="s">
        <v>745</v>
      </c>
    </row>
    <row r="35" spans="1:10" ht="27.6">
      <c r="A35" s="61">
        <v>33</v>
      </c>
      <c r="B35" s="61" t="s">
        <v>204</v>
      </c>
      <c r="C35" s="61" t="s">
        <v>746</v>
      </c>
      <c r="D35" s="62" t="s">
        <v>747</v>
      </c>
      <c r="E35" s="63">
        <v>1</v>
      </c>
      <c r="F35" s="64">
        <v>0.19114999999999999</v>
      </c>
      <c r="G35" s="65">
        <v>0.02</v>
      </c>
      <c r="H35" s="66">
        <f t="shared" si="0"/>
        <v>0.19497299999999998</v>
      </c>
      <c r="I35" s="61"/>
      <c r="J35" s="67" t="s">
        <v>734</v>
      </c>
    </row>
    <row r="36" spans="1:10" ht="41.4">
      <c r="A36" s="68">
        <v>34</v>
      </c>
      <c r="B36" s="68" t="s">
        <v>204</v>
      </c>
      <c r="C36" s="68" t="s">
        <v>748</v>
      </c>
      <c r="D36" s="69" t="s">
        <v>749</v>
      </c>
      <c r="E36" s="70">
        <v>2</v>
      </c>
      <c r="F36" s="71">
        <v>2.8000000000000001E-2</v>
      </c>
      <c r="G36" s="72">
        <v>0.02</v>
      </c>
      <c r="H36" s="73">
        <f t="shared" si="0"/>
        <v>5.7120000000000004E-2</v>
      </c>
      <c r="I36" s="68"/>
      <c r="J36" s="67" t="s">
        <v>709</v>
      </c>
    </row>
    <row r="37" spans="1:10" ht="110.4">
      <c r="A37" s="61">
        <v>35</v>
      </c>
      <c r="B37" s="61" t="s">
        <v>204</v>
      </c>
      <c r="C37" s="61" t="s">
        <v>750</v>
      </c>
      <c r="D37" s="62" t="s">
        <v>751</v>
      </c>
      <c r="E37" s="63">
        <v>4</v>
      </c>
      <c r="F37" s="64">
        <v>8.5000000000000006E-2</v>
      </c>
      <c r="G37" s="65">
        <v>0.02</v>
      </c>
      <c r="H37" s="66">
        <f t="shared" si="0"/>
        <v>0.34680000000000005</v>
      </c>
      <c r="I37" s="61"/>
      <c r="J37" s="67" t="s">
        <v>709</v>
      </c>
    </row>
    <row r="38" spans="1:10" ht="27.6">
      <c r="A38" s="68">
        <v>36</v>
      </c>
      <c r="B38" s="68" t="s">
        <v>204</v>
      </c>
      <c r="C38" s="68" t="s">
        <v>752</v>
      </c>
      <c r="D38" s="69" t="s">
        <v>753</v>
      </c>
      <c r="E38" s="70">
        <v>1</v>
      </c>
      <c r="F38" s="71">
        <v>0.13</v>
      </c>
      <c r="G38" s="72">
        <v>0.02</v>
      </c>
      <c r="H38" s="73">
        <f t="shared" si="0"/>
        <v>0.1326</v>
      </c>
      <c r="I38" s="68"/>
      <c r="J38" s="67" t="s">
        <v>709</v>
      </c>
    </row>
    <row r="39" spans="1:10" ht="55.2">
      <c r="A39" s="61">
        <v>37</v>
      </c>
      <c r="B39" s="61" t="s">
        <v>204</v>
      </c>
      <c r="C39" s="61" t="s">
        <v>754</v>
      </c>
      <c r="D39" s="62" t="s">
        <v>755</v>
      </c>
      <c r="E39" s="63">
        <v>2</v>
      </c>
      <c r="F39" s="64">
        <v>0.5</v>
      </c>
      <c r="G39" s="65">
        <v>0.02</v>
      </c>
      <c r="H39" s="66">
        <f t="shared" si="0"/>
        <v>1.02</v>
      </c>
      <c r="I39" s="61"/>
      <c r="J39" s="67" t="s">
        <v>709</v>
      </c>
    </row>
    <row r="40" spans="1:10" ht="41.4">
      <c r="A40" s="68">
        <v>38</v>
      </c>
      <c r="B40" s="68" t="s">
        <v>204</v>
      </c>
      <c r="C40" s="68" t="s">
        <v>756</v>
      </c>
      <c r="D40" s="69" t="s">
        <v>757</v>
      </c>
      <c r="E40" s="70">
        <v>1</v>
      </c>
      <c r="F40" s="71">
        <v>3.1E-2</v>
      </c>
      <c r="G40" s="72">
        <v>0.02</v>
      </c>
      <c r="H40" s="73">
        <f t="shared" si="0"/>
        <v>3.1620000000000002E-2</v>
      </c>
      <c r="I40" s="68"/>
      <c r="J40" s="67" t="s">
        <v>709</v>
      </c>
    </row>
    <row r="41" spans="1:10" ht="41.4">
      <c r="A41" s="61">
        <v>39</v>
      </c>
      <c r="B41" s="61" t="s">
        <v>204</v>
      </c>
      <c r="C41" s="61" t="s">
        <v>758</v>
      </c>
      <c r="D41" s="62" t="s">
        <v>759</v>
      </c>
      <c r="E41" s="63">
        <v>1</v>
      </c>
      <c r="F41" s="64">
        <v>5.5750000000000001E-3</v>
      </c>
      <c r="G41" s="65">
        <v>0.02</v>
      </c>
      <c r="H41" s="66">
        <f t="shared" si="0"/>
        <v>5.6865000000000006E-3</v>
      </c>
      <c r="I41" s="61"/>
      <c r="J41" s="67" t="s">
        <v>760</v>
      </c>
    </row>
    <row r="42" spans="1:10" ht="41.4">
      <c r="A42" s="68">
        <v>40</v>
      </c>
      <c r="B42" s="68" t="s">
        <v>204</v>
      </c>
      <c r="C42" s="68" t="s">
        <v>761</v>
      </c>
      <c r="D42" s="69" t="s">
        <v>762</v>
      </c>
      <c r="E42" s="70">
        <v>1</v>
      </c>
      <c r="F42" s="71">
        <v>0.132743</v>
      </c>
      <c r="G42" s="72">
        <v>0.02</v>
      </c>
      <c r="H42" s="73">
        <f t="shared" si="0"/>
        <v>0.13539786000000001</v>
      </c>
      <c r="I42" s="68"/>
      <c r="J42" s="67" t="s">
        <v>727</v>
      </c>
    </row>
    <row r="43" spans="1:10" ht="55.2">
      <c r="A43" s="61">
        <v>41</v>
      </c>
      <c r="B43" s="61" t="s">
        <v>204</v>
      </c>
      <c r="C43" s="61" t="s">
        <v>763</v>
      </c>
      <c r="D43" s="62" t="s">
        <v>764</v>
      </c>
      <c r="E43" s="63">
        <v>1</v>
      </c>
      <c r="F43" s="64">
        <v>14.778760999999999</v>
      </c>
      <c r="G43" s="65">
        <v>0.02</v>
      </c>
      <c r="H43" s="66">
        <f t="shared" si="0"/>
        <v>15.074336219999999</v>
      </c>
      <c r="I43" s="61"/>
      <c r="J43" s="67" t="s">
        <v>765</v>
      </c>
    </row>
    <row r="44" spans="1:10" ht="41.4">
      <c r="A44" s="68">
        <v>42</v>
      </c>
      <c r="B44" s="68" t="s">
        <v>204</v>
      </c>
      <c r="C44" s="68" t="s">
        <v>766</v>
      </c>
      <c r="D44" s="69" t="s">
        <v>721</v>
      </c>
      <c r="E44" s="70">
        <v>2</v>
      </c>
      <c r="F44" s="71">
        <v>0.470885</v>
      </c>
      <c r="G44" s="72">
        <v>0.02</v>
      </c>
      <c r="H44" s="73">
        <f t="shared" si="0"/>
        <v>0.96060540000000005</v>
      </c>
      <c r="I44" s="68"/>
      <c r="J44" s="67" t="s">
        <v>677</v>
      </c>
    </row>
    <row r="45" spans="1:10" ht="27.6">
      <c r="A45" s="61">
        <v>43</v>
      </c>
      <c r="B45" s="61" t="s">
        <v>204</v>
      </c>
      <c r="C45" s="61" t="s">
        <v>767</v>
      </c>
      <c r="D45" s="62" t="s">
        <v>768</v>
      </c>
      <c r="E45" s="63">
        <v>3</v>
      </c>
      <c r="F45" s="64">
        <v>6.0000000000000001E-3</v>
      </c>
      <c r="G45" s="65">
        <v>0.02</v>
      </c>
      <c r="H45" s="66">
        <f t="shared" si="0"/>
        <v>1.8360000000000001E-2</v>
      </c>
      <c r="I45" s="61"/>
      <c r="J45" s="67" t="s">
        <v>709</v>
      </c>
    </row>
    <row r="46" spans="1:10" ht="27.6">
      <c r="A46" s="68">
        <v>44</v>
      </c>
      <c r="B46" s="68" t="s">
        <v>204</v>
      </c>
      <c r="C46" s="68" t="s">
        <v>769</v>
      </c>
      <c r="D46" s="69" t="s">
        <v>770</v>
      </c>
      <c r="E46" s="70">
        <v>2</v>
      </c>
      <c r="F46" s="71">
        <v>1.209E-2</v>
      </c>
      <c r="G46" s="72">
        <v>0.02</v>
      </c>
      <c r="H46" s="73">
        <f t="shared" si="0"/>
        <v>2.4663600000000001E-2</v>
      </c>
      <c r="I46" s="68"/>
      <c r="J46" s="67" t="s">
        <v>709</v>
      </c>
    </row>
    <row r="47" spans="1:10" ht="55.2">
      <c r="A47" s="61">
        <v>45</v>
      </c>
      <c r="B47" s="61" t="s">
        <v>204</v>
      </c>
      <c r="C47" s="61" t="s">
        <v>771</v>
      </c>
      <c r="D47" s="62" t="s">
        <v>772</v>
      </c>
      <c r="E47" s="63">
        <v>30</v>
      </c>
      <c r="F47" s="64">
        <v>5.999E-3</v>
      </c>
      <c r="G47" s="65">
        <v>0.02</v>
      </c>
      <c r="H47" s="66">
        <f t="shared" si="0"/>
        <v>0.18356939999999999</v>
      </c>
      <c r="I47" s="61"/>
      <c r="J47" s="67" t="s">
        <v>709</v>
      </c>
    </row>
    <row r="48" spans="1:10" ht="96.6">
      <c r="A48" s="68">
        <v>46</v>
      </c>
      <c r="B48" s="68" t="s">
        <v>204</v>
      </c>
      <c r="C48" s="68" t="s">
        <v>773</v>
      </c>
      <c r="D48" s="69" t="s">
        <v>774</v>
      </c>
      <c r="E48" s="70">
        <v>8</v>
      </c>
      <c r="F48" s="71">
        <v>9.3179999999999999E-3</v>
      </c>
      <c r="G48" s="72">
        <v>0.02</v>
      </c>
      <c r="H48" s="73">
        <f t="shared" si="0"/>
        <v>7.6034879999999999E-2</v>
      </c>
      <c r="I48" s="68"/>
      <c r="J48" s="67" t="s">
        <v>709</v>
      </c>
    </row>
    <row r="49" spans="1:10" ht="41.4">
      <c r="A49" s="61">
        <v>47</v>
      </c>
      <c r="B49" s="61" t="s">
        <v>204</v>
      </c>
      <c r="C49" s="61" t="s">
        <v>775</v>
      </c>
      <c r="D49" s="62" t="s">
        <v>776</v>
      </c>
      <c r="E49" s="63">
        <v>6</v>
      </c>
      <c r="F49" s="64">
        <v>7.4999999999999997E-3</v>
      </c>
      <c r="G49" s="65">
        <v>0.02</v>
      </c>
      <c r="H49" s="66">
        <f t="shared" si="0"/>
        <v>4.5899999999999996E-2</v>
      </c>
      <c r="I49" s="61"/>
      <c r="J49" s="67" t="s">
        <v>709</v>
      </c>
    </row>
    <row r="50" spans="1:10" ht="41.4">
      <c r="A50" s="68">
        <v>48</v>
      </c>
      <c r="B50" s="68" t="s">
        <v>204</v>
      </c>
      <c r="C50" s="68" t="s">
        <v>777</v>
      </c>
      <c r="D50" s="69" t="s">
        <v>778</v>
      </c>
      <c r="E50" s="70">
        <v>1</v>
      </c>
      <c r="F50" s="71">
        <v>2.8E-3</v>
      </c>
      <c r="G50" s="72">
        <v>0.02</v>
      </c>
      <c r="H50" s="73">
        <f t="shared" si="0"/>
        <v>2.856E-3</v>
      </c>
      <c r="I50" s="68"/>
      <c r="J50" s="67" t="s">
        <v>709</v>
      </c>
    </row>
    <row r="51" spans="1:10" ht="27.6">
      <c r="A51" s="61">
        <v>49</v>
      </c>
      <c r="B51" s="61" t="s">
        <v>204</v>
      </c>
      <c r="C51" s="61" t="s">
        <v>779</v>
      </c>
      <c r="D51" s="62" t="s">
        <v>780</v>
      </c>
      <c r="E51" s="63">
        <v>12</v>
      </c>
      <c r="F51" s="64">
        <v>2.2499999999999998E-3</v>
      </c>
      <c r="G51" s="65">
        <v>0.02</v>
      </c>
      <c r="H51" s="66">
        <f t="shared" si="0"/>
        <v>2.7539999999999995E-2</v>
      </c>
      <c r="I51" s="61"/>
      <c r="J51" s="67" t="s">
        <v>709</v>
      </c>
    </row>
    <row r="52" spans="1:10" ht="41.4">
      <c r="A52" s="68">
        <v>50</v>
      </c>
      <c r="B52" s="68" t="s">
        <v>204</v>
      </c>
      <c r="C52" s="68" t="s">
        <v>781</v>
      </c>
      <c r="D52" s="69" t="s">
        <v>782</v>
      </c>
      <c r="E52" s="70">
        <v>6</v>
      </c>
      <c r="F52" s="71">
        <v>9.6615000000000006E-2</v>
      </c>
      <c r="G52" s="72">
        <v>0.02</v>
      </c>
      <c r="H52" s="73">
        <f t="shared" si="0"/>
        <v>0.59128380000000003</v>
      </c>
      <c r="I52" s="68"/>
      <c r="J52" s="67" t="s">
        <v>709</v>
      </c>
    </row>
    <row r="53" spans="1:10" ht="41.4">
      <c r="A53" s="61">
        <v>51</v>
      </c>
      <c r="B53" s="61" t="s">
        <v>204</v>
      </c>
      <c r="C53" s="61" t="s">
        <v>783</v>
      </c>
      <c r="D53" s="62" t="s">
        <v>784</v>
      </c>
      <c r="E53" s="63">
        <v>2</v>
      </c>
      <c r="F53" s="64">
        <v>1.209E-2</v>
      </c>
      <c r="G53" s="65">
        <v>0.02</v>
      </c>
      <c r="H53" s="66">
        <f t="shared" si="0"/>
        <v>2.4663600000000001E-2</v>
      </c>
      <c r="I53" s="61"/>
      <c r="J53" s="67" t="s">
        <v>709</v>
      </c>
    </row>
    <row r="54" spans="1:10" ht="41.4">
      <c r="A54" s="68">
        <v>52</v>
      </c>
      <c r="B54" s="68" t="s">
        <v>204</v>
      </c>
      <c r="C54" s="68" t="s">
        <v>785</v>
      </c>
      <c r="D54" s="69" t="s">
        <v>786</v>
      </c>
      <c r="E54" s="70">
        <v>12</v>
      </c>
      <c r="F54" s="71">
        <v>8.0750000000000006E-3</v>
      </c>
      <c r="G54" s="72">
        <v>0.02</v>
      </c>
      <c r="H54" s="73">
        <f t="shared" si="0"/>
        <v>9.8838000000000009E-2</v>
      </c>
      <c r="I54" s="68"/>
      <c r="J54" s="67" t="s">
        <v>787</v>
      </c>
    </row>
    <row r="55" spans="1:10" ht="55.2">
      <c r="A55" s="61">
        <v>53</v>
      </c>
      <c r="B55" s="61" t="s">
        <v>204</v>
      </c>
      <c r="C55" s="61" t="s">
        <v>788</v>
      </c>
      <c r="D55" s="62" t="s">
        <v>789</v>
      </c>
      <c r="E55" s="63">
        <v>1</v>
      </c>
      <c r="F55" s="64">
        <v>1.5310000000000001E-2</v>
      </c>
      <c r="G55" s="65">
        <v>0.02</v>
      </c>
      <c r="H55" s="66">
        <f t="shared" si="0"/>
        <v>1.56162E-2</v>
      </c>
      <c r="I55" s="61"/>
      <c r="J55" s="67" t="s">
        <v>760</v>
      </c>
    </row>
    <row r="56" spans="1:10" ht="27.6">
      <c r="A56" s="68">
        <v>54</v>
      </c>
      <c r="B56" s="68" t="s">
        <v>204</v>
      </c>
      <c r="C56" s="68" t="s">
        <v>790</v>
      </c>
      <c r="D56" s="69" t="s">
        <v>791</v>
      </c>
      <c r="E56" s="70">
        <v>1</v>
      </c>
      <c r="F56" s="71">
        <v>5.5750000000000001E-3</v>
      </c>
      <c r="G56" s="72">
        <v>0.02</v>
      </c>
      <c r="H56" s="73">
        <f t="shared" si="0"/>
        <v>5.6865000000000006E-3</v>
      </c>
      <c r="I56" s="68"/>
      <c r="J56" s="67" t="s">
        <v>760</v>
      </c>
    </row>
    <row r="57" spans="1:10" ht="27.6">
      <c r="A57" s="61">
        <v>55</v>
      </c>
      <c r="B57" s="61" t="s">
        <v>204</v>
      </c>
      <c r="C57" s="61" t="s">
        <v>792</v>
      </c>
      <c r="D57" s="62" t="s">
        <v>793</v>
      </c>
      <c r="E57" s="63">
        <v>15</v>
      </c>
      <c r="F57" s="64">
        <v>1.9499999999999999E-3</v>
      </c>
      <c r="G57" s="65">
        <v>0.02</v>
      </c>
      <c r="H57" s="66">
        <f t="shared" si="0"/>
        <v>2.9835E-2</v>
      </c>
      <c r="I57" s="61"/>
      <c r="J57" s="67" t="s">
        <v>709</v>
      </c>
    </row>
    <row r="58" spans="1:10" ht="41.4">
      <c r="A58" s="68">
        <v>56</v>
      </c>
      <c r="B58" s="68" t="s">
        <v>204</v>
      </c>
      <c r="C58" s="68" t="s">
        <v>794</v>
      </c>
      <c r="D58" s="69" t="s">
        <v>795</v>
      </c>
      <c r="E58" s="70">
        <v>2</v>
      </c>
      <c r="F58" s="71">
        <v>1.209E-2</v>
      </c>
      <c r="G58" s="72">
        <v>0.02</v>
      </c>
      <c r="H58" s="73">
        <f t="shared" si="0"/>
        <v>2.4663600000000001E-2</v>
      </c>
      <c r="I58" s="68"/>
      <c r="J58" s="67" t="s">
        <v>709</v>
      </c>
    </row>
    <row r="59" spans="1:10" ht="41.4">
      <c r="A59" s="61">
        <v>57</v>
      </c>
      <c r="B59" s="61" t="s">
        <v>204</v>
      </c>
      <c r="C59" s="61" t="s">
        <v>796</v>
      </c>
      <c r="D59" s="62" t="s">
        <v>797</v>
      </c>
      <c r="E59" s="63">
        <v>1</v>
      </c>
      <c r="F59" s="64">
        <v>1.209E-2</v>
      </c>
      <c r="G59" s="65">
        <v>0.02</v>
      </c>
      <c r="H59" s="66">
        <f t="shared" si="0"/>
        <v>1.23318E-2</v>
      </c>
      <c r="I59" s="61"/>
      <c r="J59" s="67" t="s">
        <v>709</v>
      </c>
    </row>
    <row r="60" spans="1:10" ht="27.6">
      <c r="A60" s="68">
        <v>58</v>
      </c>
      <c r="B60" s="68" t="s">
        <v>204</v>
      </c>
      <c r="C60" s="68" t="s">
        <v>798</v>
      </c>
      <c r="D60" s="69" t="s">
        <v>799</v>
      </c>
      <c r="E60" s="70">
        <v>4</v>
      </c>
      <c r="F60" s="71">
        <v>2.856E-3</v>
      </c>
      <c r="G60" s="72">
        <v>0.02</v>
      </c>
      <c r="H60" s="73">
        <f t="shared" si="0"/>
        <v>1.165248E-2</v>
      </c>
      <c r="I60" s="68"/>
      <c r="J60" s="67" t="s">
        <v>709</v>
      </c>
    </row>
    <row r="61" spans="1:10" ht="41.4">
      <c r="A61" s="61">
        <v>59</v>
      </c>
      <c r="B61" s="61" t="s">
        <v>204</v>
      </c>
      <c r="C61" s="61" t="s">
        <v>800</v>
      </c>
      <c r="D61" s="62" t="s">
        <v>801</v>
      </c>
      <c r="E61" s="63">
        <v>2</v>
      </c>
      <c r="F61" s="64">
        <v>1.209E-2</v>
      </c>
      <c r="G61" s="65">
        <v>0.02</v>
      </c>
      <c r="H61" s="66">
        <f t="shared" si="0"/>
        <v>2.4663600000000001E-2</v>
      </c>
      <c r="I61" s="61"/>
      <c r="J61" s="67" t="s">
        <v>709</v>
      </c>
    </row>
    <row r="62" spans="1:10" ht="27.6">
      <c r="A62" s="68">
        <v>60</v>
      </c>
      <c r="B62" s="68" t="s">
        <v>204</v>
      </c>
      <c r="C62" s="68" t="s">
        <v>802</v>
      </c>
      <c r="D62" s="69" t="s">
        <v>803</v>
      </c>
      <c r="E62" s="70">
        <v>4</v>
      </c>
      <c r="F62" s="71">
        <v>5.5750000000000001E-3</v>
      </c>
      <c r="G62" s="72">
        <v>0.02</v>
      </c>
      <c r="H62" s="73">
        <f t="shared" si="0"/>
        <v>2.2746000000000002E-2</v>
      </c>
      <c r="I62" s="68"/>
      <c r="J62" s="67" t="s">
        <v>760</v>
      </c>
    </row>
    <row r="63" spans="1:10" ht="27.6">
      <c r="A63" s="61">
        <v>61</v>
      </c>
      <c r="B63" s="61" t="s">
        <v>204</v>
      </c>
      <c r="C63" s="61" t="s">
        <v>804</v>
      </c>
      <c r="D63" s="62" t="s">
        <v>805</v>
      </c>
      <c r="E63" s="63">
        <v>3</v>
      </c>
      <c r="F63" s="64">
        <v>4.4250000000000001E-3</v>
      </c>
      <c r="G63" s="65">
        <v>0.02</v>
      </c>
      <c r="H63" s="66">
        <f t="shared" si="0"/>
        <v>1.35405E-2</v>
      </c>
      <c r="I63" s="61"/>
      <c r="J63" s="67" t="s">
        <v>806</v>
      </c>
    </row>
    <row r="64" spans="1:10" ht="27.6">
      <c r="A64" s="68">
        <v>62</v>
      </c>
      <c r="B64" s="68" t="s">
        <v>204</v>
      </c>
      <c r="C64" s="68" t="s">
        <v>807</v>
      </c>
      <c r="D64" s="69" t="s">
        <v>808</v>
      </c>
      <c r="E64" s="70">
        <v>3</v>
      </c>
      <c r="F64" s="71">
        <v>0.49557499999999999</v>
      </c>
      <c r="G64" s="72">
        <v>0.02</v>
      </c>
      <c r="H64" s="73">
        <f t="shared" si="0"/>
        <v>1.5164594999999998</v>
      </c>
      <c r="I64" s="68"/>
      <c r="J64" s="67" t="s">
        <v>760</v>
      </c>
    </row>
    <row r="65" spans="1:10" ht="27.6">
      <c r="A65" s="61">
        <v>63</v>
      </c>
      <c r="B65" s="61" t="s">
        <v>204</v>
      </c>
      <c r="C65" s="61" t="s">
        <v>809</v>
      </c>
      <c r="D65" s="62" t="s">
        <v>810</v>
      </c>
      <c r="E65" s="63">
        <v>3</v>
      </c>
      <c r="F65" s="64">
        <v>2.124E-3</v>
      </c>
      <c r="G65" s="65">
        <v>0.02</v>
      </c>
      <c r="H65" s="66">
        <f t="shared" si="0"/>
        <v>6.4994400000000004E-3</v>
      </c>
      <c r="I65" s="61"/>
      <c r="J65" s="67" t="s">
        <v>806</v>
      </c>
    </row>
    <row r="66" spans="1:10" ht="41.4">
      <c r="A66" s="68">
        <v>64</v>
      </c>
      <c r="B66" s="68" t="s">
        <v>204</v>
      </c>
      <c r="C66" s="68" t="s">
        <v>811</v>
      </c>
      <c r="D66" s="69" t="s">
        <v>812</v>
      </c>
      <c r="E66" s="70">
        <v>2</v>
      </c>
      <c r="F66" s="71">
        <v>2.5270000000000002E-3</v>
      </c>
      <c r="G66" s="72">
        <v>0.02</v>
      </c>
      <c r="H66" s="73">
        <f t="shared" si="0"/>
        <v>5.1550800000000003E-3</v>
      </c>
      <c r="I66" s="68"/>
      <c r="J66" s="67" t="s">
        <v>787</v>
      </c>
    </row>
    <row r="67" spans="1:10" ht="41.4">
      <c r="A67" s="61">
        <v>65</v>
      </c>
      <c r="B67" s="61" t="s">
        <v>204</v>
      </c>
      <c r="C67" s="61" t="s">
        <v>813</v>
      </c>
      <c r="D67" s="62" t="s">
        <v>814</v>
      </c>
      <c r="E67" s="63">
        <v>2</v>
      </c>
      <c r="F67" s="64">
        <v>2.856E-3</v>
      </c>
      <c r="G67" s="65">
        <v>0.02</v>
      </c>
      <c r="H67" s="66">
        <f t="shared" ref="H67:H116" si="1">IF(I67="是",0,E67*F67*(1+G67))</f>
        <v>5.8262399999999999E-3</v>
      </c>
      <c r="I67" s="61"/>
      <c r="J67" s="67" t="s">
        <v>709</v>
      </c>
    </row>
    <row r="68" spans="1:10" ht="41.4">
      <c r="A68" s="68">
        <v>66</v>
      </c>
      <c r="B68" s="68" t="s">
        <v>204</v>
      </c>
      <c r="C68" s="68" t="s">
        <v>815</v>
      </c>
      <c r="D68" s="69" t="s">
        <v>816</v>
      </c>
      <c r="E68" s="70">
        <v>2</v>
      </c>
      <c r="F68" s="71">
        <v>9.5E-4</v>
      </c>
      <c r="G68" s="72">
        <v>0.02</v>
      </c>
      <c r="H68" s="73">
        <f t="shared" si="1"/>
        <v>1.9380000000000001E-3</v>
      </c>
      <c r="I68" s="68"/>
      <c r="J68" s="67" t="s">
        <v>724</v>
      </c>
    </row>
    <row r="69" spans="1:10" ht="41.4">
      <c r="A69" s="61">
        <v>67</v>
      </c>
      <c r="B69" s="61" t="s">
        <v>204</v>
      </c>
      <c r="C69" s="61" t="s">
        <v>817</v>
      </c>
      <c r="D69" s="62" t="s">
        <v>818</v>
      </c>
      <c r="E69" s="63">
        <v>3</v>
      </c>
      <c r="F69" s="64">
        <v>3.2390000000000001E-3</v>
      </c>
      <c r="G69" s="65">
        <v>0.02</v>
      </c>
      <c r="H69" s="66">
        <f t="shared" si="1"/>
        <v>9.9113399999999994E-3</v>
      </c>
      <c r="I69" s="61"/>
      <c r="J69" s="67" t="s">
        <v>806</v>
      </c>
    </row>
    <row r="70" spans="1:10" ht="41.4">
      <c r="A70" s="68">
        <v>68</v>
      </c>
      <c r="B70" s="68" t="s">
        <v>204</v>
      </c>
      <c r="C70" s="68" t="s">
        <v>819</v>
      </c>
      <c r="D70" s="69" t="s">
        <v>820</v>
      </c>
      <c r="E70" s="70">
        <v>1</v>
      </c>
      <c r="F70" s="71">
        <v>9.6615000000000006E-2</v>
      </c>
      <c r="G70" s="72">
        <v>0.02</v>
      </c>
      <c r="H70" s="73">
        <f t="shared" si="1"/>
        <v>9.8547300000000004E-2</v>
      </c>
      <c r="I70" s="68"/>
      <c r="J70" s="67" t="s">
        <v>709</v>
      </c>
    </row>
    <row r="71" spans="1:10" ht="41.4">
      <c r="A71" s="61">
        <v>69</v>
      </c>
      <c r="B71" s="61" t="s">
        <v>204</v>
      </c>
      <c r="C71" s="61" t="s">
        <v>821</v>
      </c>
      <c r="D71" s="62" t="s">
        <v>822</v>
      </c>
      <c r="E71" s="63">
        <v>1</v>
      </c>
      <c r="F71" s="64">
        <v>2.2301000000000001E-2</v>
      </c>
      <c r="G71" s="65">
        <v>0.02</v>
      </c>
      <c r="H71" s="66">
        <f t="shared" si="1"/>
        <v>2.2747020000000003E-2</v>
      </c>
      <c r="I71" s="61"/>
      <c r="J71" s="67" t="s">
        <v>760</v>
      </c>
    </row>
    <row r="72" spans="1:10" ht="41.4">
      <c r="A72" s="68">
        <v>70</v>
      </c>
      <c r="B72" s="68" t="s">
        <v>204</v>
      </c>
      <c r="C72" s="68" t="s">
        <v>823</v>
      </c>
      <c r="D72" s="69" t="s">
        <v>824</v>
      </c>
      <c r="E72" s="70">
        <v>1</v>
      </c>
      <c r="F72" s="71">
        <v>3.9646000000000001E-2</v>
      </c>
      <c r="G72" s="72">
        <v>0.02</v>
      </c>
      <c r="H72" s="73">
        <f t="shared" si="1"/>
        <v>4.0438920000000003E-2</v>
      </c>
      <c r="I72" s="68"/>
      <c r="J72" s="67" t="s">
        <v>760</v>
      </c>
    </row>
    <row r="73" spans="1:10" ht="27.6">
      <c r="A73" s="61">
        <v>71</v>
      </c>
      <c r="B73" s="61" t="s">
        <v>204</v>
      </c>
      <c r="C73" s="61" t="s">
        <v>825</v>
      </c>
      <c r="D73" s="62" t="s">
        <v>826</v>
      </c>
      <c r="E73" s="63">
        <v>3</v>
      </c>
      <c r="F73" s="64">
        <v>2.124E-3</v>
      </c>
      <c r="G73" s="65">
        <v>0.02</v>
      </c>
      <c r="H73" s="66">
        <f t="shared" si="1"/>
        <v>6.4994400000000004E-3</v>
      </c>
      <c r="I73" s="61"/>
      <c r="J73" s="67" t="s">
        <v>806</v>
      </c>
    </row>
    <row r="74" spans="1:10" ht="55.2">
      <c r="A74" s="68">
        <v>72</v>
      </c>
      <c r="B74" s="68" t="s">
        <v>204</v>
      </c>
      <c r="C74" s="68" t="s">
        <v>827</v>
      </c>
      <c r="D74" s="69" t="s">
        <v>828</v>
      </c>
      <c r="E74" s="70">
        <v>8</v>
      </c>
      <c r="F74" s="71">
        <v>2.6840000000000002E-3</v>
      </c>
      <c r="G74" s="72">
        <v>0.02</v>
      </c>
      <c r="H74" s="73">
        <f t="shared" si="1"/>
        <v>2.1901440000000001E-2</v>
      </c>
      <c r="I74" s="68"/>
      <c r="J74" s="67" t="s">
        <v>709</v>
      </c>
    </row>
    <row r="75" spans="1:10" ht="41.4">
      <c r="A75" s="61">
        <v>73</v>
      </c>
      <c r="B75" s="61" t="s">
        <v>204</v>
      </c>
      <c r="C75" s="61" t="s">
        <v>829</v>
      </c>
      <c r="D75" s="62" t="s">
        <v>830</v>
      </c>
      <c r="E75" s="63">
        <v>1</v>
      </c>
      <c r="F75" s="64">
        <v>2.7910000000000001E-3</v>
      </c>
      <c r="G75" s="65">
        <v>0.02</v>
      </c>
      <c r="H75" s="66">
        <f t="shared" si="1"/>
        <v>2.8468200000000003E-3</v>
      </c>
      <c r="I75" s="61"/>
      <c r="J75" s="67" t="s">
        <v>709</v>
      </c>
    </row>
    <row r="76" spans="1:10" ht="41.4">
      <c r="A76" s="68">
        <v>74</v>
      </c>
      <c r="B76" s="68" t="s">
        <v>204</v>
      </c>
      <c r="C76" s="68" t="s">
        <v>831</v>
      </c>
      <c r="D76" s="69" t="s">
        <v>832</v>
      </c>
      <c r="E76" s="70">
        <v>1</v>
      </c>
      <c r="F76" s="71">
        <v>2.307E-3</v>
      </c>
      <c r="G76" s="72">
        <v>0.02</v>
      </c>
      <c r="H76" s="73">
        <f t="shared" si="1"/>
        <v>2.3531400000000001E-3</v>
      </c>
      <c r="I76" s="68"/>
      <c r="J76" s="67" t="s">
        <v>709</v>
      </c>
    </row>
    <row r="77" spans="1:10" ht="27.6">
      <c r="A77" s="61">
        <v>75</v>
      </c>
      <c r="B77" s="61" t="s">
        <v>204</v>
      </c>
      <c r="C77" s="61" t="s">
        <v>833</v>
      </c>
      <c r="D77" s="62" t="s">
        <v>834</v>
      </c>
      <c r="E77" s="63">
        <v>1</v>
      </c>
      <c r="F77" s="64">
        <v>0.743363</v>
      </c>
      <c r="G77" s="65">
        <v>0.02</v>
      </c>
      <c r="H77" s="66">
        <f t="shared" si="1"/>
        <v>0.75823026000000004</v>
      </c>
      <c r="I77" s="61"/>
      <c r="J77" s="67" t="s">
        <v>760</v>
      </c>
    </row>
    <row r="78" spans="1:10" ht="41.4">
      <c r="A78" s="68">
        <v>76</v>
      </c>
      <c r="B78" s="68" t="s">
        <v>204</v>
      </c>
      <c r="C78" s="68" t="s">
        <v>835</v>
      </c>
      <c r="D78" s="69" t="s">
        <v>836</v>
      </c>
      <c r="E78" s="70">
        <v>1</v>
      </c>
      <c r="F78" s="71">
        <v>5.999E-3</v>
      </c>
      <c r="G78" s="72">
        <v>0.02</v>
      </c>
      <c r="H78" s="73">
        <f t="shared" si="1"/>
        <v>6.1189800000000004E-3</v>
      </c>
      <c r="I78" s="68"/>
      <c r="J78" s="67" t="s">
        <v>709</v>
      </c>
    </row>
    <row r="79" spans="1:10" ht="41.4">
      <c r="A79" s="61">
        <v>77</v>
      </c>
      <c r="B79" s="61" t="s">
        <v>204</v>
      </c>
      <c r="C79" s="61" t="s">
        <v>837</v>
      </c>
      <c r="D79" s="62" t="s">
        <v>838</v>
      </c>
      <c r="E79" s="63">
        <v>1</v>
      </c>
      <c r="F79" s="64">
        <v>5.999E-3</v>
      </c>
      <c r="G79" s="65">
        <v>0.02</v>
      </c>
      <c r="H79" s="66">
        <f t="shared" si="1"/>
        <v>6.1189800000000004E-3</v>
      </c>
      <c r="I79" s="61"/>
      <c r="J79" s="67" t="s">
        <v>709</v>
      </c>
    </row>
    <row r="80" spans="1:10" ht="41.4">
      <c r="A80" s="68">
        <v>78</v>
      </c>
      <c r="B80" s="68" t="s">
        <v>204</v>
      </c>
      <c r="C80" s="68" t="s">
        <v>839</v>
      </c>
      <c r="D80" s="69" t="s">
        <v>840</v>
      </c>
      <c r="E80" s="70">
        <v>1</v>
      </c>
      <c r="F80" s="71">
        <v>2.6840000000000002E-3</v>
      </c>
      <c r="G80" s="72">
        <v>0.02</v>
      </c>
      <c r="H80" s="73">
        <f t="shared" si="1"/>
        <v>2.7376800000000001E-3</v>
      </c>
      <c r="I80" s="68"/>
      <c r="J80" s="67" t="s">
        <v>709</v>
      </c>
    </row>
    <row r="81" spans="1:10" ht="41.4">
      <c r="A81" s="61">
        <v>79</v>
      </c>
      <c r="B81" s="61" t="s">
        <v>204</v>
      </c>
      <c r="C81" s="61" t="s">
        <v>841</v>
      </c>
      <c r="D81" s="62" t="s">
        <v>842</v>
      </c>
      <c r="E81" s="63">
        <v>1</v>
      </c>
      <c r="F81" s="64">
        <v>2.5270000000000002E-3</v>
      </c>
      <c r="G81" s="65">
        <v>0.02</v>
      </c>
      <c r="H81" s="66">
        <f t="shared" si="1"/>
        <v>2.5775400000000001E-3</v>
      </c>
      <c r="I81" s="61"/>
      <c r="J81" s="67" t="s">
        <v>787</v>
      </c>
    </row>
    <row r="82" spans="1:10" ht="41.4">
      <c r="A82" s="68">
        <v>80</v>
      </c>
      <c r="B82" s="68" t="s">
        <v>204</v>
      </c>
      <c r="C82" s="68" t="s">
        <v>843</v>
      </c>
      <c r="D82" s="69" t="s">
        <v>844</v>
      </c>
      <c r="E82" s="70">
        <v>1</v>
      </c>
      <c r="F82" s="71">
        <v>5.3109999999999997E-3</v>
      </c>
      <c r="G82" s="72">
        <v>0.02</v>
      </c>
      <c r="H82" s="73">
        <f t="shared" si="1"/>
        <v>5.4172199999999995E-3</v>
      </c>
      <c r="I82" s="68"/>
      <c r="J82" s="67" t="s">
        <v>709</v>
      </c>
    </row>
    <row r="83" spans="1:10" ht="41.4">
      <c r="A83" s="61">
        <v>81</v>
      </c>
      <c r="B83" s="61" t="s">
        <v>204</v>
      </c>
      <c r="C83" s="61" t="s">
        <v>845</v>
      </c>
      <c r="D83" s="62" t="s">
        <v>846</v>
      </c>
      <c r="E83" s="63">
        <v>8</v>
      </c>
      <c r="F83" s="64">
        <v>0.17345099999999999</v>
      </c>
      <c r="G83" s="65">
        <v>0.02</v>
      </c>
      <c r="H83" s="66">
        <f t="shared" si="1"/>
        <v>1.4153601599999999</v>
      </c>
      <c r="I83" s="61"/>
      <c r="J83" s="67" t="s">
        <v>760</v>
      </c>
    </row>
    <row r="84" spans="1:10" ht="27.6">
      <c r="A84" s="68">
        <v>82</v>
      </c>
      <c r="B84" s="68" t="s">
        <v>204</v>
      </c>
      <c r="C84" s="68" t="s">
        <v>847</v>
      </c>
      <c r="D84" s="69" t="s">
        <v>848</v>
      </c>
      <c r="E84" s="70">
        <v>12</v>
      </c>
      <c r="F84" s="71">
        <v>8.3999999999999995E-3</v>
      </c>
      <c r="G84" s="72">
        <v>0.02</v>
      </c>
      <c r="H84" s="73">
        <f t="shared" si="1"/>
        <v>0.102816</v>
      </c>
      <c r="I84" s="68"/>
      <c r="J84" s="67" t="s">
        <v>709</v>
      </c>
    </row>
    <row r="85" spans="1:10" ht="27.6">
      <c r="A85" s="61">
        <v>83</v>
      </c>
      <c r="B85" s="61" t="s">
        <v>204</v>
      </c>
      <c r="C85" s="61" t="s">
        <v>849</v>
      </c>
      <c r="D85" s="62" t="s">
        <v>850</v>
      </c>
      <c r="E85" s="63">
        <v>2</v>
      </c>
      <c r="F85" s="64">
        <v>6.6369999999999997E-3</v>
      </c>
      <c r="G85" s="65">
        <v>0.02</v>
      </c>
      <c r="H85" s="66">
        <f t="shared" si="1"/>
        <v>1.353948E-2</v>
      </c>
      <c r="I85" s="61"/>
      <c r="J85" s="67" t="s">
        <v>806</v>
      </c>
    </row>
    <row r="86" spans="1:10" ht="27.6">
      <c r="A86" s="68">
        <v>84</v>
      </c>
      <c r="B86" s="68" t="s">
        <v>204</v>
      </c>
      <c r="C86" s="68" t="s">
        <v>851</v>
      </c>
      <c r="D86" s="69" t="s">
        <v>852</v>
      </c>
      <c r="E86" s="70">
        <v>1</v>
      </c>
      <c r="F86" s="71">
        <v>7.4999999999999997E-3</v>
      </c>
      <c r="G86" s="72">
        <v>0.02</v>
      </c>
      <c r="H86" s="73">
        <f t="shared" si="1"/>
        <v>7.6499999999999997E-3</v>
      </c>
      <c r="I86" s="68"/>
      <c r="J86" s="67" t="s">
        <v>709</v>
      </c>
    </row>
    <row r="87" spans="1:10" ht="27.6">
      <c r="A87" s="61">
        <v>85</v>
      </c>
      <c r="B87" s="61" t="s">
        <v>204</v>
      </c>
      <c r="C87" s="61" t="s">
        <v>853</v>
      </c>
      <c r="D87" s="62" t="s">
        <v>854</v>
      </c>
      <c r="E87" s="63">
        <v>2</v>
      </c>
      <c r="F87" s="64">
        <v>6.6369999999999997E-3</v>
      </c>
      <c r="G87" s="65">
        <v>0.02</v>
      </c>
      <c r="H87" s="66">
        <f t="shared" si="1"/>
        <v>1.353948E-2</v>
      </c>
      <c r="I87" s="61"/>
      <c r="J87" s="67" t="s">
        <v>806</v>
      </c>
    </row>
    <row r="88" spans="1:10" ht="27.6">
      <c r="A88" s="68">
        <v>86</v>
      </c>
      <c r="B88" s="68" t="s">
        <v>204</v>
      </c>
      <c r="C88" s="68" t="s">
        <v>855</v>
      </c>
      <c r="D88" s="69" t="s">
        <v>856</v>
      </c>
      <c r="E88" s="70">
        <v>1</v>
      </c>
      <c r="F88" s="71">
        <v>2.124E-3</v>
      </c>
      <c r="G88" s="72">
        <v>0.02</v>
      </c>
      <c r="H88" s="73">
        <f t="shared" si="1"/>
        <v>2.1664800000000001E-3</v>
      </c>
      <c r="I88" s="68"/>
      <c r="J88" s="67" t="s">
        <v>806</v>
      </c>
    </row>
    <row r="89" spans="1:10" ht="27.6">
      <c r="A89" s="61">
        <v>87</v>
      </c>
      <c r="B89" s="61" t="s">
        <v>204</v>
      </c>
      <c r="C89" s="61" t="s">
        <v>857</v>
      </c>
      <c r="D89" s="62" t="s">
        <v>858</v>
      </c>
      <c r="E89" s="63">
        <v>1</v>
      </c>
      <c r="F89" s="64">
        <v>0.79</v>
      </c>
      <c r="G89" s="65">
        <v>0.02</v>
      </c>
      <c r="H89" s="66">
        <f t="shared" si="1"/>
        <v>0.80580000000000007</v>
      </c>
      <c r="I89" s="61"/>
      <c r="J89" s="67" t="s">
        <v>709</v>
      </c>
    </row>
    <row r="90" spans="1:10" ht="41.4">
      <c r="A90" s="68">
        <v>88</v>
      </c>
      <c r="B90" s="68" t="s">
        <v>204</v>
      </c>
      <c r="C90" s="68" t="s">
        <v>859</v>
      </c>
      <c r="D90" s="69" t="s">
        <v>860</v>
      </c>
      <c r="E90" s="70">
        <v>5</v>
      </c>
      <c r="F90" s="71">
        <v>8.5500000000000007E-2</v>
      </c>
      <c r="G90" s="72">
        <v>0.02</v>
      </c>
      <c r="H90" s="73">
        <f t="shared" si="1"/>
        <v>0.43605000000000005</v>
      </c>
      <c r="I90" s="68"/>
      <c r="J90" s="67" t="s">
        <v>727</v>
      </c>
    </row>
    <row r="91" spans="1:10" ht="27.6">
      <c r="A91" s="61">
        <v>89</v>
      </c>
      <c r="B91" s="61" t="s">
        <v>204</v>
      </c>
      <c r="C91" s="61" t="s">
        <v>861</v>
      </c>
      <c r="D91" s="62" t="s">
        <v>862</v>
      </c>
      <c r="E91" s="63">
        <v>1</v>
      </c>
      <c r="F91" s="64">
        <v>0.17699100000000001</v>
      </c>
      <c r="G91" s="65">
        <v>0.02</v>
      </c>
      <c r="H91" s="66">
        <f t="shared" si="1"/>
        <v>0.18053082000000001</v>
      </c>
      <c r="I91" s="61"/>
      <c r="J91" s="67" t="s">
        <v>702</v>
      </c>
    </row>
    <row r="92" spans="1:10">
      <c r="A92" s="68">
        <v>90</v>
      </c>
      <c r="B92" s="68" t="s">
        <v>204</v>
      </c>
      <c r="C92" s="68" t="s">
        <v>863</v>
      </c>
      <c r="D92" s="69" t="s">
        <v>864</v>
      </c>
      <c r="E92" s="70">
        <v>1</v>
      </c>
      <c r="F92" s="71">
        <v>1.7699119999999999</v>
      </c>
      <c r="G92" s="72">
        <v>0.02</v>
      </c>
      <c r="H92" s="73">
        <f t="shared" si="1"/>
        <v>1.8053102400000001</v>
      </c>
      <c r="I92" s="68"/>
      <c r="J92" s="67" t="s">
        <v>702</v>
      </c>
    </row>
    <row r="93" spans="1:10" ht="55.2">
      <c r="A93" s="61">
        <v>91</v>
      </c>
      <c r="B93" s="61" t="s">
        <v>204</v>
      </c>
      <c r="C93" s="61" t="s">
        <v>865</v>
      </c>
      <c r="D93" s="62" t="s">
        <v>866</v>
      </c>
      <c r="E93" s="63">
        <v>2</v>
      </c>
      <c r="F93" s="64">
        <v>0.11865000000000001</v>
      </c>
      <c r="G93" s="65">
        <v>0.02</v>
      </c>
      <c r="H93" s="66">
        <f t="shared" si="1"/>
        <v>0.24204600000000001</v>
      </c>
      <c r="I93" s="61"/>
      <c r="J93" s="67" t="s">
        <v>724</v>
      </c>
    </row>
    <row r="94" spans="1:10">
      <c r="A94" s="68">
        <v>92</v>
      </c>
      <c r="B94" s="68" t="s">
        <v>204</v>
      </c>
      <c r="C94" s="68" t="s">
        <v>867</v>
      </c>
      <c r="D94" s="69" t="s">
        <v>868</v>
      </c>
      <c r="E94" s="70">
        <v>2</v>
      </c>
      <c r="F94" s="71">
        <v>7.0795999999999998E-2</v>
      </c>
      <c r="G94" s="72">
        <v>0.02</v>
      </c>
      <c r="H94" s="73">
        <f t="shared" si="1"/>
        <v>0.14442384</v>
      </c>
      <c r="I94" s="68"/>
      <c r="J94" s="67" t="s">
        <v>806</v>
      </c>
    </row>
    <row r="95" spans="1:10" ht="41.4">
      <c r="A95" s="61">
        <v>93</v>
      </c>
      <c r="B95" s="61" t="s">
        <v>204</v>
      </c>
      <c r="C95" s="61" t="s">
        <v>869</v>
      </c>
      <c r="D95" s="62" t="s">
        <v>870</v>
      </c>
      <c r="E95" s="63">
        <v>1</v>
      </c>
      <c r="F95" s="64">
        <v>0.156637</v>
      </c>
      <c r="G95" s="65">
        <v>0.02</v>
      </c>
      <c r="H95" s="66">
        <f t="shared" si="1"/>
        <v>0.15976973999999999</v>
      </c>
      <c r="I95" s="61"/>
      <c r="J95" s="67" t="s">
        <v>871</v>
      </c>
    </row>
    <row r="96" spans="1:10" ht="27.6">
      <c r="A96" s="68">
        <v>94</v>
      </c>
      <c r="B96" s="68" t="s">
        <v>204</v>
      </c>
      <c r="C96" s="68" t="s">
        <v>872</v>
      </c>
      <c r="D96" s="69" t="s">
        <v>873</v>
      </c>
      <c r="E96" s="70">
        <v>1</v>
      </c>
      <c r="F96" s="71">
        <v>2.37</v>
      </c>
      <c r="G96" s="72">
        <v>0.02</v>
      </c>
      <c r="H96" s="73">
        <f t="shared" si="1"/>
        <v>2.4174000000000002</v>
      </c>
      <c r="I96" s="68"/>
      <c r="J96" s="67" t="s">
        <v>874</v>
      </c>
    </row>
    <row r="97" spans="1:10" ht="27.6">
      <c r="A97" s="61">
        <v>95</v>
      </c>
      <c r="B97" s="61" t="s">
        <v>204</v>
      </c>
      <c r="C97" s="61" t="s">
        <v>875</v>
      </c>
      <c r="D97" s="62" t="s">
        <v>876</v>
      </c>
      <c r="E97" s="63">
        <v>3</v>
      </c>
      <c r="F97" s="64">
        <v>0.123894</v>
      </c>
      <c r="G97" s="65">
        <v>0.02</v>
      </c>
      <c r="H97" s="66">
        <f t="shared" si="1"/>
        <v>0.37911564000000003</v>
      </c>
      <c r="I97" s="61"/>
      <c r="J97" s="67" t="s">
        <v>727</v>
      </c>
    </row>
    <row r="98" spans="1:10" ht="55.2">
      <c r="A98" s="68">
        <v>96</v>
      </c>
      <c r="B98" s="68" t="s">
        <v>204</v>
      </c>
      <c r="C98" s="68" t="s">
        <v>877</v>
      </c>
      <c r="D98" s="69" t="s">
        <v>878</v>
      </c>
      <c r="E98" s="70">
        <v>2</v>
      </c>
      <c r="F98" s="71">
        <v>0.28123900000000002</v>
      </c>
      <c r="G98" s="72">
        <v>0.02</v>
      </c>
      <c r="H98" s="73">
        <f t="shared" si="1"/>
        <v>0.57372756000000003</v>
      </c>
      <c r="I98" s="68"/>
      <c r="J98" s="67" t="s">
        <v>724</v>
      </c>
    </row>
    <row r="99" spans="1:10" ht="27.6">
      <c r="A99" s="61">
        <v>97</v>
      </c>
      <c r="B99" s="61" t="s">
        <v>204</v>
      </c>
      <c r="C99" s="61" t="s">
        <v>879</v>
      </c>
      <c r="D99" s="62" t="s">
        <v>880</v>
      </c>
      <c r="E99" s="63">
        <v>1</v>
      </c>
      <c r="F99" s="64">
        <v>9.7345000000000001E-2</v>
      </c>
      <c r="G99" s="65">
        <v>0.02</v>
      </c>
      <c r="H99" s="66">
        <f t="shared" si="1"/>
        <v>9.9291900000000002E-2</v>
      </c>
      <c r="I99" s="61"/>
      <c r="J99" s="67" t="s">
        <v>727</v>
      </c>
    </row>
    <row r="100" spans="1:10" ht="27.6">
      <c r="A100" s="68">
        <v>98</v>
      </c>
      <c r="B100" s="68" t="s">
        <v>204</v>
      </c>
      <c r="C100" s="68" t="s">
        <v>881</v>
      </c>
      <c r="D100" s="69" t="s">
        <v>882</v>
      </c>
      <c r="E100" s="70">
        <v>1</v>
      </c>
      <c r="F100" s="71">
        <v>86.725663999999995</v>
      </c>
      <c r="G100" s="72">
        <v>0.02</v>
      </c>
      <c r="H100" s="73">
        <f t="shared" si="1"/>
        <v>88.460177279999996</v>
      </c>
      <c r="I100" s="68"/>
      <c r="J100" s="67" t="s">
        <v>727</v>
      </c>
    </row>
    <row r="101" spans="1:10" ht="27.6">
      <c r="A101" s="61">
        <v>99</v>
      </c>
      <c r="B101" s="61" t="s">
        <v>204</v>
      </c>
      <c r="C101" s="61" t="s">
        <v>883</v>
      </c>
      <c r="D101" s="62" t="s">
        <v>884</v>
      </c>
      <c r="E101" s="63">
        <v>1</v>
      </c>
      <c r="F101" s="64">
        <v>0.110083</v>
      </c>
      <c r="G101" s="65">
        <v>0.02</v>
      </c>
      <c r="H101" s="66">
        <f t="shared" si="1"/>
        <v>0.11228466000000001</v>
      </c>
      <c r="I101" s="61"/>
      <c r="J101" s="67" t="s">
        <v>871</v>
      </c>
    </row>
    <row r="102" spans="1:10" ht="41.4">
      <c r="A102" s="68">
        <v>100</v>
      </c>
      <c r="B102" s="68" t="s">
        <v>204</v>
      </c>
      <c r="C102" s="68" t="s">
        <v>885</v>
      </c>
      <c r="D102" s="69" t="s">
        <v>886</v>
      </c>
      <c r="E102" s="70">
        <v>1</v>
      </c>
      <c r="F102" s="71">
        <v>0.113</v>
      </c>
      <c r="G102" s="72">
        <v>0.02</v>
      </c>
      <c r="H102" s="73">
        <f t="shared" si="1"/>
        <v>0.11526</v>
      </c>
      <c r="I102" s="68"/>
      <c r="J102" s="67" t="s">
        <v>724</v>
      </c>
    </row>
    <row r="103" spans="1:10" ht="27.6">
      <c r="A103" s="74">
        <v>101</v>
      </c>
      <c r="B103" s="74" t="s">
        <v>204</v>
      </c>
      <c r="C103" s="74" t="s">
        <v>887</v>
      </c>
      <c r="D103" s="67" t="s">
        <v>888</v>
      </c>
      <c r="E103" s="75">
        <v>6</v>
      </c>
      <c r="F103" s="76">
        <v>1.7699119999999999</v>
      </c>
      <c r="G103" s="77">
        <v>0.02</v>
      </c>
      <c r="H103" s="78">
        <f t="shared" si="1"/>
        <v>10.831861440000001</v>
      </c>
      <c r="I103" s="74"/>
      <c r="J103" s="67" t="s">
        <v>727</v>
      </c>
    </row>
    <row r="104" spans="1:10" ht="41.4">
      <c r="A104" s="74">
        <v>102</v>
      </c>
      <c r="B104" s="74" t="s">
        <v>204</v>
      </c>
      <c r="C104" s="74" t="s">
        <v>889</v>
      </c>
      <c r="D104" s="67" t="s">
        <v>890</v>
      </c>
      <c r="E104" s="75">
        <v>1</v>
      </c>
      <c r="F104" s="76">
        <v>0.49557499999999999</v>
      </c>
      <c r="G104" s="77">
        <v>0.02</v>
      </c>
      <c r="H104" s="78">
        <f t="shared" si="1"/>
        <v>0.50548649999999995</v>
      </c>
      <c r="I104" s="74"/>
      <c r="J104" s="67" t="s">
        <v>702</v>
      </c>
    </row>
    <row r="105" spans="1:10" ht="41.4">
      <c r="A105" s="74">
        <v>103</v>
      </c>
      <c r="B105" s="74" t="s">
        <v>204</v>
      </c>
      <c r="C105" s="74" t="s">
        <v>891</v>
      </c>
      <c r="D105" s="67" t="s">
        <v>892</v>
      </c>
      <c r="E105" s="75">
        <v>1</v>
      </c>
      <c r="F105" s="76">
        <v>3.2168139999999998</v>
      </c>
      <c r="G105" s="77">
        <v>0.02</v>
      </c>
      <c r="H105" s="78">
        <f t="shared" si="1"/>
        <v>3.2811502799999999</v>
      </c>
      <c r="I105" s="74"/>
      <c r="J105" s="67" t="s">
        <v>727</v>
      </c>
    </row>
    <row r="106" spans="1:10" ht="55.2">
      <c r="A106" s="74">
        <v>104</v>
      </c>
      <c r="B106" s="74" t="s">
        <v>204</v>
      </c>
      <c r="C106" s="74" t="s">
        <v>893</v>
      </c>
      <c r="D106" s="67" t="s">
        <v>894</v>
      </c>
      <c r="E106" s="75">
        <v>1</v>
      </c>
      <c r="F106" s="76">
        <v>0.4</v>
      </c>
      <c r="G106" s="77">
        <v>0.02</v>
      </c>
      <c r="H106" s="78">
        <f t="shared" si="1"/>
        <v>0.40800000000000003</v>
      </c>
      <c r="I106" s="74"/>
      <c r="J106" s="67" t="s">
        <v>724</v>
      </c>
    </row>
    <row r="107" spans="1:10" ht="41.4">
      <c r="A107" s="74">
        <v>105</v>
      </c>
      <c r="B107" s="74" t="s">
        <v>204</v>
      </c>
      <c r="C107" s="74" t="s">
        <v>895</v>
      </c>
      <c r="D107" s="67" t="s">
        <v>896</v>
      </c>
      <c r="E107" s="75">
        <v>1</v>
      </c>
      <c r="F107" s="76">
        <v>0.39115</v>
      </c>
      <c r="G107" s="77">
        <v>0.02</v>
      </c>
      <c r="H107" s="78">
        <f t="shared" si="1"/>
        <v>0.39897300000000002</v>
      </c>
      <c r="I107" s="74"/>
      <c r="J107" s="67" t="s">
        <v>702</v>
      </c>
    </row>
    <row r="108" spans="1:10" ht="55.2">
      <c r="A108" s="74">
        <v>106</v>
      </c>
      <c r="B108" s="74" t="s">
        <v>204</v>
      </c>
      <c r="C108" s="74" t="s">
        <v>897</v>
      </c>
      <c r="D108" s="67" t="s">
        <v>898</v>
      </c>
      <c r="E108" s="75">
        <v>1</v>
      </c>
      <c r="F108" s="76">
        <v>2.166372</v>
      </c>
      <c r="G108" s="77">
        <v>0.02</v>
      </c>
      <c r="H108" s="78">
        <f t="shared" si="1"/>
        <v>2.2096994400000001</v>
      </c>
      <c r="I108" s="74"/>
      <c r="J108" s="67" t="s">
        <v>871</v>
      </c>
    </row>
    <row r="109" spans="1:10">
      <c r="A109" s="74">
        <v>107</v>
      </c>
      <c r="B109" s="74" t="s">
        <v>204</v>
      </c>
      <c r="C109" s="74" t="s">
        <v>899</v>
      </c>
      <c r="D109" s="67" t="s">
        <v>900</v>
      </c>
      <c r="E109" s="75">
        <v>3</v>
      </c>
      <c r="F109" s="76">
        <v>1.9826E-2</v>
      </c>
      <c r="G109" s="77">
        <v>0.02</v>
      </c>
      <c r="H109" s="78">
        <f t="shared" si="1"/>
        <v>6.0667560000000002E-2</v>
      </c>
      <c r="I109" s="74"/>
      <c r="J109" s="67" t="s">
        <v>727</v>
      </c>
    </row>
    <row r="110" spans="1:10" ht="41.4">
      <c r="A110" s="74">
        <v>108</v>
      </c>
      <c r="B110" s="74" t="s">
        <v>204</v>
      </c>
      <c r="C110" s="74" t="s">
        <v>901</v>
      </c>
      <c r="D110" s="67" t="s">
        <v>902</v>
      </c>
      <c r="E110" s="75">
        <v>1</v>
      </c>
      <c r="F110" s="76">
        <v>7.0000000000000007E-2</v>
      </c>
      <c r="G110" s="77">
        <v>0.02</v>
      </c>
      <c r="H110" s="78">
        <f t="shared" si="1"/>
        <v>7.1400000000000005E-2</v>
      </c>
      <c r="I110" s="74"/>
      <c r="J110" s="67" t="s">
        <v>724</v>
      </c>
    </row>
    <row r="111" spans="1:10" ht="27.6">
      <c r="A111" s="74">
        <v>109</v>
      </c>
      <c r="B111" s="74" t="s">
        <v>204</v>
      </c>
      <c r="C111" s="74" t="s">
        <v>903</v>
      </c>
      <c r="D111" s="67" t="s">
        <v>904</v>
      </c>
      <c r="E111" s="75">
        <v>1</v>
      </c>
      <c r="F111" s="76">
        <v>0.17699100000000001</v>
      </c>
      <c r="G111" s="77">
        <v>0.02</v>
      </c>
      <c r="H111" s="78">
        <f t="shared" si="1"/>
        <v>0.18053082000000001</v>
      </c>
      <c r="I111" s="74"/>
      <c r="J111" s="67" t="s">
        <v>702</v>
      </c>
    </row>
    <row r="112" spans="1:10" ht="41.4">
      <c r="A112" s="74">
        <v>110</v>
      </c>
      <c r="B112" s="74" t="s">
        <v>204</v>
      </c>
      <c r="C112" s="74" t="s">
        <v>905</v>
      </c>
      <c r="D112" s="67" t="s">
        <v>906</v>
      </c>
      <c r="E112" s="75">
        <v>1</v>
      </c>
      <c r="F112" s="76">
        <v>1.9826E-2</v>
      </c>
      <c r="G112" s="77">
        <v>0.02</v>
      </c>
      <c r="H112" s="78">
        <f t="shared" si="1"/>
        <v>2.0222520000000001E-2</v>
      </c>
      <c r="I112" s="74"/>
      <c r="J112" s="67" t="s">
        <v>727</v>
      </c>
    </row>
    <row r="113" spans="1:10" ht="41.4">
      <c r="A113" s="74">
        <v>111</v>
      </c>
      <c r="B113" s="74" t="s">
        <v>204</v>
      </c>
      <c r="C113" s="74" t="s">
        <v>907</v>
      </c>
      <c r="D113" s="67" t="s">
        <v>908</v>
      </c>
      <c r="E113" s="75">
        <v>1</v>
      </c>
      <c r="F113" s="76">
        <v>0.20354</v>
      </c>
      <c r="G113" s="77">
        <v>0.02</v>
      </c>
      <c r="H113" s="78">
        <f t="shared" si="1"/>
        <v>0.20761080000000001</v>
      </c>
      <c r="I113" s="74"/>
      <c r="J113" s="67" t="s">
        <v>909</v>
      </c>
    </row>
    <row r="114" spans="1:10" ht="41.4">
      <c r="A114" s="74">
        <v>112</v>
      </c>
      <c r="B114" s="74" t="s">
        <v>204</v>
      </c>
      <c r="C114" s="74" t="s">
        <v>910</v>
      </c>
      <c r="D114" s="67" t="s">
        <v>911</v>
      </c>
      <c r="E114" s="75">
        <v>1</v>
      </c>
      <c r="F114" s="76">
        <v>0.20354</v>
      </c>
      <c r="G114" s="77">
        <v>0.02</v>
      </c>
      <c r="H114" s="78">
        <f t="shared" si="1"/>
        <v>0.20761080000000001</v>
      </c>
      <c r="I114" s="74"/>
      <c r="J114" s="67" t="s">
        <v>909</v>
      </c>
    </row>
    <row r="115" spans="1:10">
      <c r="A115" s="74">
        <v>113</v>
      </c>
      <c r="B115" s="74" t="s">
        <v>204</v>
      </c>
      <c r="C115" s="74" t="s">
        <v>912</v>
      </c>
      <c r="D115" s="67" t="s">
        <v>913</v>
      </c>
      <c r="E115" s="75">
        <v>1</v>
      </c>
      <c r="F115" s="76">
        <v>0.132743</v>
      </c>
      <c r="G115" s="77">
        <v>0.02</v>
      </c>
      <c r="H115" s="78">
        <f t="shared" si="1"/>
        <v>0.13539786000000001</v>
      </c>
      <c r="I115" s="74"/>
      <c r="J115" s="67" t="s">
        <v>727</v>
      </c>
    </row>
    <row r="116" spans="1:10">
      <c r="A116" s="74">
        <v>114</v>
      </c>
      <c r="B116" s="74" t="s">
        <v>71</v>
      </c>
      <c r="C116" s="74" t="s">
        <v>914</v>
      </c>
      <c r="D116" s="67" t="s">
        <v>915</v>
      </c>
      <c r="E116" s="75">
        <v>1</v>
      </c>
      <c r="F116" s="76">
        <f>40/1.13</f>
        <v>35.398230088495581</v>
      </c>
      <c r="G116" s="77">
        <v>0</v>
      </c>
      <c r="H116" s="78">
        <f t="shared" si="1"/>
        <v>35.398230088495581</v>
      </c>
      <c r="I116" s="74"/>
      <c r="J116" s="67" t="s">
        <v>702</v>
      </c>
    </row>
  </sheetData>
  <autoFilter ref="A2:I102" xr:uid="{00000000-0009-0000-0000-000002000000}"/>
  <mergeCells count="1">
    <mergeCell ref="A1:I1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showGridLines="0" zoomScaleNormal="100" workbookViewId="0">
      <pane ySplit="4" topLeftCell="A5" activePane="bottomLeft" state="frozen"/>
      <selection pane="bottomLeft" activeCell="L20" sqref="L20"/>
    </sheetView>
  </sheetViews>
  <sheetFormatPr defaultColWidth="8.5546875" defaultRowHeight="13.8"/>
  <cols>
    <col min="1" max="1" width="12" customWidth="1"/>
    <col min="2" max="2" width="20" customWidth="1"/>
    <col min="3" max="5" width="12" customWidth="1"/>
    <col min="6" max="6" width="10" customWidth="1"/>
    <col min="7" max="8" width="12" customWidth="1"/>
  </cols>
  <sheetData>
    <row r="1" spans="1:8" ht="18" customHeight="1">
      <c r="A1" s="80" t="s">
        <v>206</v>
      </c>
      <c r="B1" s="81"/>
      <c r="C1" s="81"/>
      <c r="D1" s="81"/>
      <c r="E1" s="81"/>
      <c r="F1" s="81"/>
      <c r="G1" s="81"/>
      <c r="H1" s="81"/>
    </row>
    <row r="3" spans="1:8" ht="14.25" customHeight="1">
      <c r="A3" s="82" t="s">
        <v>207</v>
      </c>
      <c r="B3" s="83"/>
      <c r="C3" s="83"/>
      <c r="D3" s="83"/>
      <c r="E3" s="83"/>
      <c r="F3" s="83"/>
      <c r="G3" s="83"/>
      <c r="H3" s="84"/>
    </row>
    <row r="4" spans="1:8">
      <c r="A4" s="85" t="s">
        <v>208</v>
      </c>
      <c r="B4" s="85" t="s">
        <v>209</v>
      </c>
      <c r="C4" s="85" t="s">
        <v>210</v>
      </c>
      <c r="D4" s="85" t="s">
        <v>211</v>
      </c>
      <c r="E4" s="85" t="s">
        <v>212</v>
      </c>
      <c r="F4" s="85" t="s">
        <v>213</v>
      </c>
      <c r="G4" s="85" t="s">
        <v>214</v>
      </c>
      <c r="H4" s="85" t="s">
        <v>215</v>
      </c>
    </row>
    <row r="5" spans="1:8">
      <c r="A5" s="86" t="s">
        <v>216</v>
      </c>
      <c r="B5" s="86" t="s">
        <v>217</v>
      </c>
      <c r="C5" s="87">
        <v>803</v>
      </c>
      <c r="D5" s="87">
        <v>6.0000000000000001E-3</v>
      </c>
      <c r="E5" s="87" t="s">
        <v>205</v>
      </c>
      <c r="F5" s="87">
        <f t="shared" ref="F5:F12" si="0">IF(E5="是",IFERROR(C5*D5,0),0)</f>
        <v>4.8180000000000005</v>
      </c>
      <c r="G5" s="87"/>
      <c r="H5" s="87">
        <f t="shared" ref="H5:H12" si="1">IFERROR(F5-G5,0)</f>
        <v>4.8180000000000005</v>
      </c>
    </row>
    <row r="6" spans="1:8">
      <c r="A6" s="88" t="s">
        <v>218</v>
      </c>
      <c r="B6" s="88" t="s">
        <v>219</v>
      </c>
      <c r="C6" s="89">
        <v>0</v>
      </c>
      <c r="D6" s="89">
        <v>1.7100000000000001E-2</v>
      </c>
      <c r="E6" s="89" t="s">
        <v>205</v>
      </c>
      <c r="F6" s="89">
        <f t="shared" si="0"/>
        <v>0</v>
      </c>
      <c r="G6" s="89"/>
      <c r="H6" s="89">
        <f t="shared" si="1"/>
        <v>0</v>
      </c>
    </row>
    <row r="7" spans="1:8">
      <c r="A7" s="86" t="s">
        <v>220</v>
      </c>
      <c r="B7" s="86" t="s">
        <v>221</v>
      </c>
      <c r="C7" s="87">
        <v>67</v>
      </c>
      <c r="D7" s="87">
        <v>0.03</v>
      </c>
      <c r="E7" s="87" t="s">
        <v>205</v>
      </c>
      <c r="F7" s="87">
        <f t="shared" si="0"/>
        <v>2.0099999999999998</v>
      </c>
      <c r="G7" s="87"/>
      <c r="H7" s="87">
        <f t="shared" si="1"/>
        <v>2.0099999999999998</v>
      </c>
    </row>
    <row r="8" spans="1:8">
      <c r="A8" s="88" t="s">
        <v>222</v>
      </c>
      <c r="B8" s="88" t="s">
        <v>223</v>
      </c>
      <c r="C8" s="89">
        <v>2</v>
      </c>
      <c r="D8" s="89">
        <f>36/60</f>
        <v>0.6</v>
      </c>
      <c r="E8" s="89" t="s">
        <v>205</v>
      </c>
      <c r="F8" s="89">
        <f t="shared" si="0"/>
        <v>1.2</v>
      </c>
      <c r="G8" s="89"/>
      <c r="H8" s="89">
        <f t="shared" si="1"/>
        <v>1.2</v>
      </c>
    </row>
    <row r="9" spans="1:8">
      <c r="A9" s="86" t="s">
        <v>224</v>
      </c>
      <c r="B9" s="86" t="s">
        <v>225</v>
      </c>
      <c r="C9" s="87">
        <v>2</v>
      </c>
      <c r="D9" s="87">
        <f>100/60</f>
        <v>1.6666666666666667</v>
      </c>
      <c r="E9" s="87" t="s">
        <v>205</v>
      </c>
      <c r="F9" s="87">
        <f t="shared" si="0"/>
        <v>3.3333333333333335</v>
      </c>
      <c r="G9" s="87"/>
      <c r="H9" s="87">
        <f t="shared" si="1"/>
        <v>3.3333333333333335</v>
      </c>
    </row>
    <row r="10" spans="1:8">
      <c r="A10" s="88" t="s">
        <v>226</v>
      </c>
      <c r="B10" s="88" t="s">
        <v>227</v>
      </c>
      <c r="C10" s="89">
        <v>1</v>
      </c>
      <c r="D10" s="89">
        <f>36/60</f>
        <v>0.6</v>
      </c>
      <c r="E10" s="89" t="s">
        <v>205</v>
      </c>
      <c r="F10" s="89">
        <f t="shared" si="0"/>
        <v>0.6</v>
      </c>
      <c r="G10" s="89"/>
      <c r="H10" s="89">
        <f t="shared" si="1"/>
        <v>0.6</v>
      </c>
    </row>
    <row r="11" spans="1:8">
      <c r="A11" s="86" t="s">
        <v>228</v>
      </c>
      <c r="B11" s="86" t="s">
        <v>229</v>
      </c>
      <c r="C11" s="87">
        <v>1</v>
      </c>
      <c r="D11" s="87">
        <f>20/4</f>
        <v>5</v>
      </c>
      <c r="E11" s="87" t="s">
        <v>205</v>
      </c>
      <c r="F11" s="87">
        <f t="shared" si="0"/>
        <v>5</v>
      </c>
      <c r="G11" s="87"/>
      <c r="H11" s="87">
        <f t="shared" si="1"/>
        <v>5</v>
      </c>
    </row>
    <row r="12" spans="1:8">
      <c r="A12" s="88"/>
      <c r="B12" s="88"/>
      <c r="C12" s="89"/>
      <c r="D12" s="89"/>
      <c r="E12" s="89"/>
      <c r="F12" s="89">
        <f t="shared" si="0"/>
        <v>0</v>
      </c>
      <c r="G12" s="89"/>
      <c r="H12" s="89">
        <f t="shared" si="1"/>
        <v>0</v>
      </c>
    </row>
    <row r="13" spans="1:8" ht="15" customHeight="1">
      <c r="A13" s="90"/>
      <c r="B13" s="90"/>
      <c r="C13" s="90"/>
      <c r="D13" s="90"/>
      <c r="E13" s="90" t="s">
        <v>230</v>
      </c>
      <c r="F13" s="90">
        <f>SUM(F5:F12)</f>
        <v>16.961333333333336</v>
      </c>
      <c r="G13" s="90">
        <f>SUM(G5:G12)</f>
        <v>0</v>
      </c>
      <c r="H13" s="90"/>
    </row>
    <row r="16" spans="1:8" ht="14.25" customHeight="1">
      <c r="A16" s="91" t="s">
        <v>231</v>
      </c>
      <c r="B16" s="83"/>
      <c r="C16" s="83"/>
      <c r="D16" s="83"/>
      <c r="E16" s="83"/>
      <c r="F16" s="83"/>
      <c r="G16" s="83"/>
      <c r="H16" s="84"/>
    </row>
    <row r="17" spans="1:8">
      <c r="A17" s="92" t="s">
        <v>208</v>
      </c>
      <c r="B17" s="92" t="s">
        <v>232</v>
      </c>
      <c r="C17" s="92" t="s">
        <v>233</v>
      </c>
      <c r="D17" s="92" t="s">
        <v>211</v>
      </c>
      <c r="E17" s="92" t="s">
        <v>234</v>
      </c>
      <c r="F17" s="92" t="s">
        <v>212</v>
      </c>
      <c r="G17" s="92" t="s">
        <v>235</v>
      </c>
      <c r="H17" s="92" t="s">
        <v>236</v>
      </c>
    </row>
    <row r="18" spans="1:8">
      <c r="A18" s="86" t="s">
        <v>237</v>
      </c>
      <c r="B18" s="86" t="s">
        <v>238</v>
      </c>
      <c r="C18" s="87">
        <v>2</v>
      </c>
      <c r="D18" s="87">
        <v>210</v>
      </c>
      <c r="E18" s="87">
        <f>IFERROR(C18*D18,0)</f>
        <v>420</v>
      </c>
      <c r="F18" s="87" t="s">
        <v>205</v>
      </c>
      <c r="G18" s="87">
        <v>1000</v>
      </c>
      <c r="H18" s="87">
        <f>IF(F18="是",IFERROR(E18/G18,0),0)</f>
        <v>0.42</v>
      </c>
    </row>
    <row r="19" spans="1:8">
      <c r="A19" s="88" t="s">
        <v>239</v>
      </c>
      <c r="B19" s="88" t="s">
        <v>240</v>
      </c>
      <c r="C19" s="89">
        <v>4</v>
      </c>
      <c r="D19" s="89">
        <v>6000</v>
      </c>
      <c r="E19" s="89">
        <f>IFERROR(C19*D19,0)</f>
        <v>24000</v>
      </c>
      <c r="F19" s="87" t="s">
        <v>205</v>
      </c>
      <c r="G19" s="87">
        <v>1000</v>
      </c>
      <c r="H19" s="89">
        <f>IF(F19="是",IFERROR(E19/G19,0),0)</f>
        <v>24</v>
      </c>
    </row>
    <row r="20" spans="1:8">
      <c r="A20" s="86" t="s">
        <v>241</v>
      </c>
      <c r="B20" s="86" t="s">
        <v>917</v>
      </c>
      <c r="C20" s="87">
        <v>4</v>
      </c>
      <c r="D20" s="87">
        <v>2000</v>
      </c>
      <c r="E20" s="87">
        <f>IFERROR(C20*D20,0)</f>
        <v>8000</v>
      </c>
      <c r="F20" s="87" t="s">
        <v>205</v>
      </c>
      <c r="G20" s="87">
        <v>1000</v>
      </c>
      <c r="H20" s="87">
        <f>IF(F20="是",IFERROR(E20/G20,0),0)</f>
        <v>8</v>
      </c>
    </row>
    <row r="21" spans="1:8">
      <c r="A21" s="88" t="s">
        <v>242</v>
      </c>
      <c r="B21" s="88" t="s">
        <v>243</v>
      </c>
      <c r="C21" s="89">
        <v>0</v>
      </c>
      <c r="D21" s="89">
        <v>0</v>
      </c>
      <c r="E21" s="89">
        <f>IFERROR(C21*D21,0)</f>
        <v>0</v>
      </c>
      <c r="F21" s="87" t="s">
        <v>205</v>
      </c>
      <c r="G21" s="87">
        <v>1000</v>
      </c>
      <c r="H21" s="89">
        <f>IF(F21="是",IFERROR(E21/G21,0),0)</f>
        <v>0</v>
      </c>
    </row>
    <row r="22" spans="1:8">
      <c r="A22" s="86"/>
      <c r="B22" s="86"/>
      <c r="C22" s="87"/>
      <c r="D22" s="87"/>
      <c r="E22" s="87">
        <f>IFERROR(C22*D22,0)</f>
        <v>0</v>
      </c>
      <c r="F22" s="87"/>
      <c r="G22" s="87"/>
      <c r="H22" s="87">
        <f>IF(F22="是",IFERROR(E22/G22,0),0)</f>
        <v>0</v>
      </c>
    </row>
    <row r="23" spans="1:8" ht="15" customHeight="1">
      <c r="A23" s="90"/>
      <c r="B23" s="90"/>
      <c r="C23" s="90"/>
      <c r="D23" s="90"/>
      <c r="E23" s="90">
        <f>SUM(E18:E22)</f>
        <v>32420</v>
      </c>
      <c r="F23" s="90"/>
      <c r="G23" s="90"/>
      <c r="H23" s="90">
        <f>SUM(H18:H22)</f>
        <v>32.42</v>
      </c>
    </row>
  </sheetData>
  <autoFilter ref="A4:H12" xr:uid="{00000000-0009-0000-0000-000003000000}"/>
  <mergeCells count="3">
    <mergeCell ref="A1:H1"/>
    <mergeCell ref="A3:H3"/>
    <mergeCell ref="A16:H1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showGridLines="0" zoomScaleNormal="100" workbookViewId="0">
      <selection activeCell="J18" sqref="J18"/>
    </sheetView>
  </sheetViews>
  <sheetFormatPr defaultColWidth="8.5546875" defaultRowHeight="13.8"/>
  <cols>
    <col min="1" max="1" width="26.6640625" customWidth="1"/>
    <col min="2" max="2" width="18.44140625" customWidth="1"/>
    <col min="3" max="3" width="35.21875" customWidth="1"/>
    <col min="4" max="4" width="30" customWidth="1"/>
  </cols>
  <sheetData>
    <row r="1" spans="1:4" ht="18" customHeight="1">
      <c r="A1" s="57" t="s">
        <v>244</v>
      </c>
      <c r="B1" s="57"/>
      <c r="C1" s="57"/>
    </row>
    <row r="2" spans="1:4">
      <c r="A2" s="23" t="s">
        <v>245</v>
      </c>
      <c r="B2" s="23" t="s">
        <v>246</v>
      </c>
      <c r="C2" s="23" t="s">
        <v>247</v>
      </c>
    </row>
    <row r="3" spans="1:4" ht="26.25" customHeight="1">
      <c r="A3" s="25" t="s">
        <v>103</v>
      </c>
      <c r="B3" s="27">
        <v>0.13</v>
      </c>
      <c r="C3" s="25" t="s">
        <v>248</v>
      </c>
    </row>
    <row r="4" spans="1:4" ht="26.25" customHeight="1">
      <c r="A4" s="26" t="s">
        <v>96</v>
      </c>
      <c r="B4" s="27">
        <v>0.15</v>
      </c>
      <c r="C4" s="26" t="s">
        <v>249</v>
      </c>
    </row>
    <row r="5" spans="1:4" ht="26.25" customHeight="1">
      <c r="A5" s="25" t="s">
        <v>250</v>
      </c>
      <c r="B5" s="27">
        <v>0.02</v>
      </c>
      <c r="C5" s="25" t="s">
        <v>251</v>
      </c>
    </row>
    <row r="6" spans="1:4" ht="39" customHeight="1">
      <c r="A6" s="26" t="s">
        <v>252</v>
      </c>
      <c r="B6" s="27">
        <v>1000</v>
      </c>
      <c r="C6" s="26" t="s">
        <v>253</v>
      </c>
    </row>
    <row r="8" spans="1:4" ht="15" customHeight="1">
      <c r="A8" s="56" t="s">
        <v>254</v>
      </c>
      <c r="B8" s="56"/>
      <c r="C8" s="56"/>
    </row>
    <row r="9" spans="1:4" ht="15" customHeight="1">
      <c r="A9" s="14" t="s">
        <v>245</v>
      </c>
      <c r="B9" s="14" t="s">
        <v>246</v>
      </c>
      <c r="C9" s="14" t="s">
        <v>64</v>
      </c>
      <c r="D9" s="14" t="s">
        <v>247</v>
      </c>
    </row>
    <row r="10" spans="1:4" ht="15" customHeight="1">
      <c r="A10" s="3" t="s">
        <v>255</v>
      </c>
      <c r="B10" s="28">
        <v>3</v>
      </c>
      <c r="C10" s="3" t="s">
        <v>256</v>
      </c>
    </row>
    <row r="11" spans="1:4" ht="15" customHeight="1">
      <c r="A11" s="3" t="s">
        <v>257</v>
      </c>
      <c r="B11" s="29">
        <v>30</v>
      </c>
      <c r="C11" s="7" t="s">
        <v>258</v>
      </c>
    </row>
    <row r="12" spans="1:4" ht="15" customHeight="1">
      <c r="A12" s="3" t="s">
        <v>259</v>
      </c>
      <c r="B12" s="30">
        <v>0.1</v>
      </c>
      <c r="C12" s="3" t="s">
        <v>260</v>
      </c>
    </row>
    <row r="13" spans="1:4" ht="15" customHeight="1">
      <c r="A13" s="3" t="s">
        <v>261</v>
      </c>
      <c r="B13" s="30">
        <v>0.3</v>
      </c>
      <c r="C13" s="3" t="s">
        <v>262</v>
      </c>
    </row>
    <row r="14" spans="1:4" ht="15" customHeight="1">
      <c r="A14" s="7" t="s">
        <v>263</v>
      </c>
      <c r="B14" s="29">
        <v>1800</v>
      </c>
      <c r="C14" s="3" t="s">
        <v>264</v>
      </c>
    </row>
    <row r="15" spans="1:4" ht="15" customHeight="1">
      <c r="A15" s="7" t="s">
        <v>265</v>
      </c>
      <c r="B15" s="29">
        <v>22</v>
      </c>
      <c r="C15" s="7" t="s">
        <v>266</v>
      </c>
    </row>
    <row r="16" spans="1:4" ht="15" customHeight="1">
      <c r="A16" s="3" t="s">
        <v>267</v>
      </c>
      <c r="B16" s="30">
        <v>2</v>
      </c>
      <c r="C16" s="3" t="s">
        <v>256</v>
      </c>
    </row>
    <row r="17" spans="1:3" ht="15" customHeight="1">
      <c r="A17" s="3" t="s">
        <v>268</v>
      </c>
      <c r="B17" s="30">
        <v>3.2</v>
      </c>
      <c r="C17" s="3" t="s">
        <v>256</v>
      </c>
    </row>
    <row r="18" spans="1:3" ht="15" customHeight="1">
      <c r="A18" s="3" t="s">
        <v>269</v>
      </c>
      <c r="B18" s="30">
        <v>5</v>
      </c>
      <c r="C18" s="3" t="s">
        <v>256</v>
      </c>
    </row>
    <row r="19" spans="1:3" ht="15" customHeight="1">
      <c r="A19" s="3" t="s">
        <v>270</v>
      </c>
      <c r="B19" s="29">
        <v>700</v>
      </c>
      <c r="C19" s="7" t="s">
        <v>271</v>
      </c>
    </row>
    <row r="20" spans="1:3" ht="15" customHeight="1">
      <c r="A20" s="3" t="s">
        <v>272</v>
      </c>
      <c r="B20" s="30">
        <v>1.5</v>
      </c>
      <c r="C20" s="3" t="s">
        <v>273</v>
      </c>
    </row>
    <row r="21" spans="1:3" ht="15" customHeight="1">
      <c r="A21" s="3" t="s">
        <v>274</v>
      </c>
      <c r="B21" s="31">
        <v>0.05</v>
      </c>
      <c r="C21" s="3" t="s">
        <v>275</v>
      </c>
    </row>
    <row r="22" spans="1:3" ht="15" customHeight="1">
      <c r="A22" s="3" t="s">
        <v>276</v>
      </c>
      <c r="B22" s="29">
        <v>10</v>
      </c>
      <c r="C22" s="7" t="s">
        <v>258</v>
      </c>
    </row>
    <row r="23" spans="1:3" ht="15" customHeight="1">
      <c r="A23" s="3" t="s">
        <v>277</v>
      </c>
      <c r="B23" s="30">
        <v>0.3</v>
      </c>
      <c r="C23" s="3" t="s">
        <v>278</v>
      </c>
    </row>
    <row r="24" spans="1:3" ht="15" customHeight="1">
      <c r="A24" s="3" t="s">
        <v>279</v>
      </c>
      <c r="B24" s="30">
        <v>0.05</v>
      </c>
      <c r="C24" s="3" t="s">
        <v>262</v>
      </c>
    </row>
    <row r="25" spans="1:3" ht="15" customHeight="1">
      <c r="A25" s="3" t="s">
        <v>280</v>
      </c>
      <c r="B25" s="29">
        <v>80</v>
      </c>
      <c r="C25" s="3" t="s">
        <v>281</v>
      </c>
    </row>
    <row r="26" spans="1:3" ht="15" customHeight="1">
      <c r="A26" s="3" t="s">
        <v>282</v>
      </c>
      <c r="B26" s="29">
        <v>5</v>
      </c>
      <c r="C26" s="3" t="s">
        <v>283</v>
      </c>
    </row>
    <row r="27" spans="1:3" ht="15" customHeight="1">
      <c r="A27" s="3" t="s">
        <v>284</v>
      </c>
      <c r="B27" s="29">
        <v>9</v>
      </c>
      <c r="C27" s="3" t="s">
        <v>285</v>
      </c>
    </row>
    <row r="28" spans="1:3" ht="15" customHeight="1">
      <c r="A28" s="3" t="s">
        <v>286</v>
      </c>
      <c r="B28" s="30">
        <v>0.8</v>
      </c>
      <c r="C28" s="7" t="s">
        <v>287</v>
      </c>
    </row>
    <row r="29" spans="1:3" ht="15" customHeight="1">
      <c r="A29" s="3" t="s">
        <v>288</v>
      </c>
      <c r="B29" s="29">
        <v>3</v>
      </c>
      <c r="C29" s="3" t="s">
        <v>289</v>
      </c>
    </row>
    <row r="30" spans="1:3" ht="15" customHeight="1">
      <c r="A30" s="3" t="s">
        <v>290</v>
      </c>
      <c r="B30" s="29">
        <v>1</v>
      </c>
      <c r="C30" s="3" t="s">
        <v>281</v>
      </c>
    </row>
    <row r="31" spans="1:3" ht="15" customHeight="1">
      <c r="A31" s="3" t="s">
        <v>291</v>
      </c>
      <c r="B31" s="30">
        <v>1.1000000000000001</v>
      </c>
      <c r="C31" s="3" t="s">
        <v>292</v>
      </c>
    </row>
    <row r="32" spans="1:3" ht="15" customHeight="1">
      <c r="A32" s="3" t="s">
        <v>293</v>
      </c>
      <c r="B32" s="29">
        <v>4</v>
      </c>
      <c r="C32" s="3" t="s">
        <v>294</v>
      </c>
    </row>
    <row r="34" spans="1:4" ht="15" customHeight="1">
      <c r="A34" s="56" t="s">
        <v>295</v>
      </c>
      <c r="B34" s="56"/>
      <c r="C34" s="56"/>
    </row>
    <row r="35" spans="1:4" ht="15" customHeight="1">
      <c r="A35" s="14" t="s">
        <v>245</v>
      </c>
      <c r="B35" s="14" t="s">
        <v>246</v>
      </c>
      <c r="C35" s="14" t="s">
        <v>64</v>
      </c>
      <c r="D35" s="14" t="s">
        <v>247</v>
      </c>
    </row>
    <row r="36" spans="1:4" ht="15" customHeight="1">
      <c r="A36" s="3" t="s">
        <v>296</v>
      </c>
      <c r="B36" s="8">
        <v>6000</v>
      </c>
      <c r="C36" s="13" t="s">
        <v>297</v>
      </c>
    </row>
    <row r="37" spans="1:4" ht="15" customHeight="1">
      <c r="A37" s="3" t="s">
        <v>298</v>
      </c>
      <c r="B37" s="8">
        <v>4.0000000000000001E-3</v>
      </c>
      <c r="C37" s="13" t="s">
        <v>299</v>
      </c>
    </row>
    <row r="38" spans="1:4" ht="15" customHeight="1">
      <c r="A38" s="3" t="s">
        <v>300</v>
      </c>
      <c r="B38" s="8">
        <v>5</v>
      </c>
      <c r="C38" s="13" t="s">
        <v>301</v>
      </c>
    </row>
    <row r="39" spans="1:4" ht="15" customHeight="1">
      <c r="A39" s="3" t="s">
        <v>302</v>
      </c>
      <c r="B39" s="32" t="s">
        <v>45</v>
      </c>
      <c r="C39" s="13" t="s">
        <v>303</v>
      </c>
    </row>
    <row r="41" spans="1:4" ht="15.6">
      <c r="A41" s="58" t="s">
        <v>304</v>
      </c>
      <c r="B41" s="58"/>
      <c r="C41" s="58"/>
    </row>
    <row r="42" spans="1:4">
      <c r="A42" s="33" t="s">
        <v>245</v>
      </c>
      <c r="B42" s="33" t="s">
        <v>246</v>
      </c>
      <c r="C42" s="33" t="s">
        <v>64</v>
      </c>
      <c r="D42" s="33" t="s">
        <v>247</v>
      </c>
    </row>
    <row r="43" spans="1:4" ht="15">
      <c r="A43" s="3" t="s">
        <v>305</v>
      </c>
      <c r="B43" s="28">
        <v>60</v>
      </c>
      <c r="C43" s="34" t="s">
        <v>306</v>
      </c>
      <c r="D43" s="3" t="s">
        <v>307</v>
      </c>
    </row>
    <row r="44" spans="1:4" ht="15">
      <c r="A44" s="3" t="s">
        <v>308</v>
      </c>
      <c r="B44" s="35">
        <v>0.3</v>
      </c>
      <c r="C44" s="3" t="s">
        <v>309</v>
      </c>
      <c r="D44" s="3" t="s">
        <v>310</v>
      </c>
    </row>
    <row r="45" spans="1:4" ht="15">
      <c r="A45" s="3" t="s">
        <v>311</v>
      </c>
      <c r="B45" s="28">
        <v>20</v>
      </c>
      <c r="C45" s="34" t="s">
        <v>312</v>
      </c>
      <c r="D45" s="3" t="s">
        <v>313</v>
      </c>
    </row>
  </sheetData>
  <mergeCells count="4">
    <mergeCell ref="A1:C1"/>
    <mergeCell ref="A8:C8"/>
    <mergeCell ref="A34:C34"/>
    <mergeCell ref="A41:C41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0"/>
  <sheetViews>
    <sheetView showGridLines="0" topLeftCell="A57" zoomScaleNormal="100" workbookViewId="0">
      <selection activeCell="H35" sqref="H35"/>
    </sheetView>
  </sheetViews>
  <sheetFormatPr defaultColWidth="8" defaultRowHeight="13.8"/>
  <cols>
    <col min="1" max="1" width="26" customWidth="1"/>
    <col min="2" max="2" width="16" customWidth="1"/>
    <col min="3" max="4" width="14" customWidth="1"/>
    <col min="5" max="5" width="10" customWidth="1"/>
  </cols>
  <sheetData>
    <row r="1" spans="1:5" ht="17.25" customHeight="1">
      <c r="A1" s="60" t="s">
        <v>314</v>
      </c>
      <c r="B1" s="60"/>
      <c r="C1" s="60"/>
      <c r="D1" s="60"/>
      <c r="E1" s="60"/>
    </row>
    <row r="2" spans="1:5" ht="15">
      <c r="A2" s="36"/>
      <c r="B2" s="36"/>
      <c r="C2" s="36"/>
      <c r="D2" s="36"/>
      <c r="E2" s="36"/>
    </row>
    <row r="3" spans="1:5" ht="15" customHeight="1">
      <c r="A3" s="58" t="s">
        <v>315</v>
      </c>
      <c r="B3" s="58"/>
      <c r="C3" s="58"/>
      <c r="D3" s="58"/>
      <c r="E3" s="58"/>
    </row>
    <row r="4" spans="1:5" ht="15" customHeight="1">
      <c r="A4" s="3" t="s">
        <v>316</v>
      </c>
      <c r="B4" s="37">
        <f>报价汇总!B13</f>
        <v>380</v>
      </c>
      <c r="C4" s="36"/>
      <c r="D4" s="36"/>
      <c r="E4" s="36"/>
    </row>
    <row r="5" spans="1:5" ht="15" customHeight="1">
      <c r="A5" s="3" t="s">
        <v>317</v>
      </c>
      <c r="B5" s="37">
        <f>报价汇总!B14</f>
        <v>320</v>
      </c>
      <c r="C5" s="36"/>
      <c r="D5" s="36"/>
      <c r="E5" s="36"/>
    </row>
    <row r="6" spans="1:5" ht="15" customHeight="1">
      <c r="A6" s="3" t="s">
        <v>318</v>
      </c>
      <c r="B6" s="37">
        <f>报价汇总!B15</f>
        <v>150</v>
      </c>
      <c r="C6" s="36"/>
      <c r="D6" s="36"/>
      <c r="E6" s="36"/>
    </row>
    <row r="7" spans="1:5" ht="15" customHeight="1">
      <c r="A7" s="3" t="s">
        <v>319</v>
      </c>
      <c r="B7" s="37">
        <f>报价汇总!B17</f>
        <v>4</v>
      </c>
      <c r="C7" s="36"/>
      <c r="D7" s="36"/>
      <c r="E7" s="36"/>
    </row>
    <row r="8" spans="1:5" ht="15" customHeight="1">
      <c r="A8" s="3" t="s">
        <v>320</v>
      </c>
      <c r="B8" s="12" t="str">
        <f>报价汇总!B18</f>
        <v>是</v>
      </c>
      <c r="C8" s="36"/>
      <c r="D8" s="36"/>
      <c r="E8" s="36"/>
    </row>
    <row r="9" spans="1:5" ht="15" customHeight="1">
      <c r="A9" s="3" t="s">
        <v>321</v>
      </c>
      <c r="B9" s="12" t="str">
        <f>IF(报价汇总!B19="是","大板","小板")</f>
        <v>大板</v>
      </c>
      <c r="C9" s="36"/>
      <c r="D9" s="36"/>
      <c r="E9" s="36"/>
    </row>
    <row r="10" spans="1:5" ht="15" customHeight="1">
      <c r="A10" s="36"/>
      <c r="B10" s="36"/>
      <c r="C10" s="36"/>
      <c r="D10" s="36"/>
      <c r="E10" s="36"/>
    </row>
    <row r="11" spans="1:5" ht="15" customHeight="1">
      <c r="A11" s="58" t="s">
        <v>322</v>
      </c>
      <c r="B11" s="58"/>
      <c r="C11" s="58"/>
      <c r="D11" s="58"/>
      <c r="E11" s="58"/>
    </row>
    <row r="12" spans="1:5" ht="15" customHeight="1">
      <c r="A12" s="3" t="s">
        <v>323</v>
      </c>
      <c r="B12" s="37">
        <f>MAX(B4:B6)</f>
        <v>380</v>
      </c>
      <c r="C12" s="36"/>
      <c r="D12" s="36"/>
      <c r="E12" s="36"/>
    </row>
    <row r="13" spans="1:5" ht="15" customHeight="1">
      <c r="A13" s="3" t="s">
        <v>324</v>
      </c>
      <c r="B13" s="37">
        <f>VLOOKUP($B$12,$A$58:$D$61,3,TRUE())</f>
        <v>25</v>
      </c>
      <c r="C13" s="36"/>
      <c r="D13" s="36"/>
      <c r="E13" s="36"/>
    </row>
    <row r="14" spans="1:5" ht="15" customHeight="1">
      <c r="A14" s="3" t="s">
        <v>325</v>
      </c>
      <c r="B14" s="37">
        <f>B4+2*B13+参数!$B$22</f>
        <v>440</v>
      </c>
      <c r="C14" s="36"/>
      <c r="D14" s="36"/>
      <c r="E14" s="36"/>
    </row>
    <row r="15" spans="1:5" ht="15" customHeight="1">
      <c r="A15" s="3" t="s">
        <v>326</v>
      </c>
      <c r="B15" s="37">
        <f>B5+2*B13+参数!$B$22</f>
        <v>380</v>
      </c>
      <c r="C15" s="36"/>
      <c r="D15" s="36"/>
      <c r="E15" s="36"/>
    </row>
    <row r="16" spans="1:5" ht="15" customHeight="1">
      <c r="A16" s="3" t="s">
        <v>327</v>
      </c>
      <c r="B16" s="37">
        <f>B7*(B6+2*B13)+参数!$B$22</f>
        <v>810</v>
      </c>
      <c r="C16" s="36"/>
      <c r="D16" s="36"/>
      <c r="E16" s="36"/>
    </row>
    <row r="17" spans="1:5" ht="15" customHeight="1">
      <c r="A17" s="3" t="s">
        <v>328</v>
      </c>
      <c r="B17" s="37">
        <f>B14*B15*B16/1000</f>
        <v>135432</v>
      </c>
      <c r="C17" s="36"/>
      <c r="D17" s="36"/>
      <c r="E17" s="36"/>
    </row>
    <row r="18" spans="1:5" ht="15" customHeight="1">
      <c r="A18" s="36"/>
      <c r="B18" s="36"/>
      <c r="C18" s="36"/>
      <c r="D18" s="36"/>
      <c r="E18" s="36"/>
    </row>
    <row r="19" spans="1:5" ht="15" customHeight="1">
      <c r="A19" s="58" t="s">
        <v>329</v>
      </c>
      <c r="B19" s="58"/>
      <c r="C19" s="58"/>
      <c r="D19" s="58"/>
      <c r="E19" s="58"/>
    </row>
    <row r="20" spans="1:5" ht="15" customHeight="1">
      <c r="A20" s="3" t="s">
        <v>330</v>
      </c>
      <c r="B20" s="37">
        <f>B4+B6+2*参数!$B$11</f>
        <v>590</v>
      </c>
      <c r="C20" s="36"/>
      <c r="D20" s="36"/>
      <c r="E20" s="36"/>
    </row>
    <row r="21" spans="1:5" ht="15" customHeight="1">
      <c r="A21" s="3" t="s">
        <v>331</v>
      </c>
      <c r="B21" s="37">
        <f>B5+B6+2*参数!$B$11</f>
        <v>530</v>
      </c>
      <c r="C21" s="36"/>
      <c r="D21" s="36"/>
      <c r="E21" s="36"/>
    </row>
    <row r="22" spans="1:5" ht="15" customHeight="1">
      <c r="A22" s="3" t="s">
        <v>332</v>
      </c>
      <c r="B22" s="38">
        <f>B20*B21/10^6</f>
        <v>0.31269999999999998</v>
      </c>
      <c r="C22" s="36"/>
      <c r="D22" s="36"/>
      <c r="E22" s="36"/>
    </row>
    <row r="23" spans="1:5" ht="15" customHeight="1">
      <c r="A23" s="3" t="s">
        <v>333</v>
      </c>
      <c r="B23" s="38">
        <f>B22*参数!$B$10</f>
        <v>0.93809999999999993</v>
      </c>
      <c r="C23" s="36"/>
      <c r="D23" s="36"/>
      <c r="E23" s="36"/>
    </row>
    <row r="24" spans="1:5" ht="15" customHeight="1">
      <c r="A24" s="3" t="s">
        <v>334</v>
      </c>
      <c r="B24" s="38">
        <f>IF($B$9="小板",IF(OR($B$7="",$B$7=0),0,参数!$B$44*MAX($B$7-1,0)/$B$7),0)</f>
        <v>0</v>
      </c>
      <c r="C24" s="36"/>
      <c r="D24" s="36"/>
      <c r="E24" s="36"/>
    </row>
    <row r="25" spans="1:5" ht="15" customHeight="1">
      <c r="A25" s="34" t="s">
        <v>335</v>
      </c>
      <c r="B25" s="38">
        <f>2*B13*(B4*B5+B4*B6+B5*B6)/10^9</f>
        <v>1.133E-2</v>
      </c>
      <c r="C25" s="36"/>
      <c r="D25" s="36"/>
      <c r="E25" s="36"/>
    </row>
    <row r="26" spans="1:5" ht="15" customHeight="1">
      <c r="A26" s="34" t="s">
        <v>336</v>
      </c>
      <c r="B26" s="38">
        <f>B25*参数!$B$14</f>
        <v>20.393999999999998</v>
      </c>
      <c r="C26" s="36"/>
      <c r="D26" s="36"/>
      <c r="E26" s="36"/>
    </row>
    <row r="27" spans="1:5" ht="15" customHeight="1">
      <c r="A27" s="3" t="s">
        <v>337</v>
      </c>
      <c r="B27" s="38">
        <f>IF($B$9="小板",B23+B24,B26)</f>
        <v>20.393999999999998</v>
      </c>
      <c r="C27" s="36"/>
      <c r="D27" s="36"/>
      <c r="E27" s="36"/>
    </row>
    <row r="28" spans="1:5" ht="15" customHeight="1">
      <c r="A28" s="3" t="s">
        <v>338</v>
      </c>
      <c r="B28" s="38">
        <f>(B14+B15)*2*(B15+2*B16)/10^6*(1+参数!$B$21)</f>
        <v>3.444</v>
      </c>
      <c r="C28" s="36"/>
      <c r="D28" s="36"/>
      <c r="E28" s="36"/>
    </row>
    <row r="29" spans="1:5" ht="15" customHeight="1">
      <c r="A29" s="3" t="s">
        <v>339</v>
      </c>
      <c r="B29" s="12" t="str">
        <f>VLOOKUP($B$12,$A$58:$D$61,4,TRUE())</f>
        <v>双瓦楞5层</v>
      </c>
      <c r="C29" s="36"/>
      <c r="D29" s="36"/>
      <c r="E29" s="36"/>
    </row>
    <row r="30" spans="1:5" ht="15" customHeight="1">
      <c r="A30" s="3" t="s">
        <v>340</v>
      </c>
      <c r="B30" s="39">
        <f>VLOOKUP(B29,$A$65:$B$67,2,FALSE())</f>
        <v>3.2</v>
      </c>
      <c r="C30" s="36"/>
      <c r="D30" s="36"/>
      <c r="E30" s="36"/>
    </row>
    <row r="31" spans="1:5" ht="15">
      <c r="A31" s="3" t="s">
        <v>341</v>
      </c>
      <c r="B31" s="39">
        <f>B28*B30+参数!$B$20</f>
        <v>12.520800000000001</v>
      </c>
      <c r="C31" s="36"/>
      <c r="D31" s="36"/>
      <c r="E31" s="36"/>
    </row>
    <row r="32" spans="1:5" ht="15" customHeight="1">
      <c r="A32" s="40" t="s">
        <v>342</v>
      </c>
      <c r="B32" s="41">
        <f>IF(OR(B7="",B7=0),0,B31/B7)</f>
        <v>3.1302000000000003</v>
      </c>
      <c r="C32" s="36"/>
      <c r="D32" s="36"/>
      <c r="E32" s="36"/>
    </row>
    <row r="33" spans="1:5" ht="15">
      <c r="A33" s="3" t="s">
        <v>343</v>
      </c>
      <c r="B33" s="38">
        <f>IF(OR(B7="",B7=0),0,(参数!$B$23+参数!$B$24)/B7)</f>
        <v>8.7499999999999994E-2</v>
      </c>
      <c r="C33" s="36"/>
      <c r="D33" s="36"/>
      <c r="E33" s="36"/>
    </row>
    <row r="34" spans="1:5" ht="15" customHeight="1">
      <c r="A34" s="42" t="s">
        <v>344</v>
      </c>
      <c r="B34" s="43">
        <f>B27+B32+B33</f>
        <v>23.611699999999999</v>
      </c>
      <c r="C34" s="36"/>
      <c r="D34" s="36"/>
      <c r="E34" s="36"/>
    </row>
    <row r="35" spans="1:5" ht="15" customHeight="1">
      <c r="A35" s="36"/>
      <c r="B35" s="36"/>
      <c r="C35" s="36"/>
      <c r="D35" s="36"/>
      <c r="E35" s="36"/>
    </row>
    <row r="36" spans="1:5" ht="15" customHeight="1">
      <c r="A36" s="58" t="s">
        <v>345</v>
      </c>
      <c r="B36" s="58"/>
      <c r="C36" s="58"/>
      <c r="D36" s="58"/>
      <c r="E36" s="58"/>
    </row>
    <row r="37" spans="1:5" ht="15" customHeight="1">
      <c r="A37" s="3" t="s">
        <v>346</v>
      </c>
      <c r="B37" s="38">
        <f>B14*B15/10^6</f>
        <v>0.16719999999999999</v>
      </c>
      <c r="C37" s="36"/>
      <c r="D37" s="36"/>
      <c r="E37" s="36"/>
    </row>
    <row r="38" spans="1:5" ht="15" customHeight="1">
      <c r="A38" s="3" t="s">
        <v>347</v>
      </c>
      <c r="B38" s="37">
        <f>IF(OR(B37="",B37=0),0,ROUNDDOWN(参数!$B$31/B37,0)*参数!$B$32)</f>
        <v>24</v>
      </c>
      <c r="C38" s="36"/>
      <c r="D38" s="36"/>
      <c r="E38" s="36"/>
    </row>
    <row r="39" spans="1:5" ht="15" customHeight="1">
      <c r="A39" s="3" t="s">
        <v>348</v>
      </c>
      <c r="B39" s="39">
        <f>参数!$B$29+参数!$B$25/参数!$B$26+参数!$B$27*参数!$B$28+IF($B$9="大板",参数!$B$30,0)</f>
        <v>27.2</v>
      </c>
      <c r="C39" s="36"/>
      <c r="D39" s="36"/>
      <c r="E39" s="36"/>
    </row>
    <row r="40" spans="1:5" ht="15">
      <c r="A40" s="3" t="s">
        <v>349</v>
      </c>
      <c r="B40" s="38">
        <f>IF(OR(B38="",B38=0),0,B39/B38)</f>
        <v>1.1333333333333333</v>
      </c>
      <c r="C40" s="36"/>
      <c r="D40" s="36"/>
      <c r="E40" s="36"/>
    </row>
    <row r="41" spans="1:5" ht="15">
      <c r="A41" s="3" t="s">
        <v>350</v>
      </c>
      <c r="B41" s="44">
        <f>IF(OR(B7="",B7=0),0,IF($B$9="小板",B22*参数!$B$43/1000,B25*参数!$B$15)+B28*参数!$B$19/1000/B7+IF($B$9="小板",参数!$B$45/1000*MAX($B$7-1,0)/$B$7,0)+0.005)</f>
        <v>0.85696000000000006</v>
      </c>
      <c r="C41" s="36"/>
      <c r="D41" s="36"/>
      <c r="E41" s="36"/>
    </row>
    <row r="42" spans="1:5" ht="15" customHeight="1">
      <c r="A42" s="36"/>
      <c r="B42" s="36"/>
      <c r="C42" s="36"/>
      <c r="D42" s="36"/>
      <c r="E42" s="36"/>
    </row>
    <row r="43" spans="1:5" ht="15" customHeight="1">
      <c r="A43" s="42" t="s">
        <v>351</v>
      </c>
      <c r="B43" s="43">
        <f>B34+IF($B$8="是",B40,0)</f>
        <v>24.745033333333332</v>
      </c>
      <c r="C43" s="36"/>
      <c r="D43" s="36"/>
      <c r="E43" s="36"/>
    </row>
    <row r="44" spans="1:5" ht="15" customHeight="1">
      <c r="A44" s="36"/>
      <c r="B44" s="36"/>
      <c r="C44" s="36"/>
      <c r="D44" s="36"/>
      <c r="E44" s="36"/>
    </row>
    <row r="45" spans="1:5" ht="15" customHeight="1">
      <c r="A45" s="58" t="s">
        <v>352</v>
      </c>
      <c r="B45" s="58"/>
      <c r="C45" s="58"/>
      <c r="D45" s="58"/>
      <c r="E45" s="58"/>
    </row>
    <row r="46" spans="1:5" ht="15" customHeight="1">
      <c r="A46" s="33" t="s">
        <v>353</v>
      </c>
      <c r="B46" s="33" t="s">
        <v>64</v>
      </c>
      <c r="C46" s="33" t="s">
        <v>354</v>
      </c>
      <c r="D46" s="33" t="s">
        <v>355</v>
      </c>
      <c r="E46" s="33" t="s">
        <v>356</v>
      </c>
    </row>
    <row r="47" spans="1:5" ht="15" customHeight="1">
      <c r="A47" s="3" t="s">
        <v>357</v>
      </c>
      <c r="B47" s="3" t="s">
        <v>358</v>
      </c>
      <c r="C47" s="39">
        <f>参数!$B$10</f>
        <v>3</v>
      </c>
      <c r="D47" s="34" t="s">
        <v>359</v>
      </c>
      <c r="E47" s="34" t="s">
        <v>360</v>
      </c>
    </row>
    <row r="48" spans="1:5" ht="15">
      <c r="A48" s="3" t="s">
        <v>361</v>
      </c>
      <c r="B48" s="3" t="s">
        <v>309</v>
      </c>
      <c r="C48" s="39">
        <f>参数!$B$44</f>
        <v>0.3</v>
      </c>
      <c r="D48" s="34" t="s">
        <v>359</v>
      </c>
      <c r="E48" s="34" t="s">
        <v>360</v>
      </c>
    </row>
    <row r="49" spans="1:5" ht="15" customHeight="1">
      <c r="A49" s="34" t="s">
        <v>362</v>
      </c>
      <c r="B49" s="3" t="s">
        <v>363</v>
      </c>
      <c r="C49" s="39">
        <f>参数!$B$14</f>
        <v>1800</v>
      </c>
      <c r="D49" s="34" t="s">
        <v>360</v>
      </c>
      <c r="E49" s="34" t="s">
        <v>359</v>
      </c>
    </row>
    <row r="50" spans="1:5" ht="15" customHeight="1">
      <c r="A50" s="3" t="s">
        <v>364</v>
      </c>
      <c r="B50" s="3" t="s">
        <v>365</v>
      </c>
      <c r="C50" s="3" t="s">
        <v>366</v>
      </c>
      <c r="D50" s="34" t="s">
        <v>359</v>
      </c>
      <c r="E50" s="34" t="s">
        <v>359</v>
      </c>
    </row>
    <row r="51" spans="1:5" ht="15" customHeight="1">
      <c r="A51" s="3" t="s">
        <v>288</v>
      </c>
      <c r="B51" s="3" t="s">
        <v>367</v>
      </c>
      <c r="C51" s="39">
        <f>参数!$B$29</f>
        <v>3</v>
      </c>
      <c r="D51" s="34" t="s">
        <v>359</v>
      </c>
      <c r="E51" s="34" t="s">
        <v>359</v>
      </c>
    </row>
    <row r="52" spans="1:5" ht="15" customHeight="1">
      <c r="A52" s="3" t="s">
        <v>368</v>
      </c>
      <c r="B52" s="3" t="s">
        <v>369</v>
      </c>
      <c r="C52" s="39">
        <f>参数!$B$25/参数!$B$26</f>
        <v>16</v>
      </c>
      <c r="D52" s="34" t="s">
        <v>359</v>
      </c>
      <c r="E52" s="34" t="s">
        <v>359</v>
      </c>
    </row>
    <row r="53" spans="1:5" ht="15" customHeight="1">
      <c r="A53" s="3" t="s">
        <v>370</v>
      </c>
      <c r="B53" s="3" t="s">
        <v>369</v>
      </c>
      <c r="C53" s="39">
        <f>参数!$B$27*参数!$B$28</f>
        <v>7.2</v>
      </c>
      <c r="D53" s="34" t="s">
        <v>359</v>
      </c>
      <c r="E53" s="34" t="s">
        <v>359</v>
      </c>
    </row>
    <row r="54" spans="1:5" ht="15">
      <c r="A54" s="3" t="s">
        <v>290</v>
      </c>
      <c r="B54" s="3" t="s">
        <v>369</v>
      </c>
      <c r="C54" s="39">
        <f>参数!$B$30</f>
        <v>1</v>
      </c>
      <c r="D54" s="34" t="s">
        <v>360</v>
      </c>
      <c r="E54" s="34" t="s">
        <v>359</v>
      </c>
    </row>
    <row r="55" spans="1:5" ht="15">
      <c r="A55" s="59" t="s">
        <v>371</v>
      </c>
      <c r="B55" s="59"/>
      <c r="C55" s="59"/>
      <c r="D55" s="59"/>
      <c r="E55" s="59"/>
    </row>
    <row r="56" spans="1:5" ht="15.6">
      <c r="A56" s="58" t="s">
        <v>372</v>
      </c>
      <c r="B56" s="58"/>
      <c r="C56" s="58"/>
      <c r="D56" s="58"/>
      <c r="E56" s="58"/>
    </row>
    <row r="57" spans="1:5" ht="15.6">
      <c r="A57" s="33" t="s">
        <v>373</v>
      </c>
      <c r="B57" s="33" t="s">
        <v>374</v>
      </c>
      <c r="C57" s="33" t="s">
        <v>375</v>
      </c>
      <c r="D57" s="33" t="s">
        <v>376</v>
      </c>
      <c r="E57" s="36"/>
    </row>
    <row r="58" spans="1:5" ht="15">
      <c r="A58" s="3">
        <v>0</v>
      </c>
      <c r="B58" s="3">
        <v>200</v>
      </c>
      <c r="C58" s="3">
        <v>15</v>
      </c>
      <c r="D58" s="3" t="s">
        <v>377</v>
      </c>
      <c r="E58" s="36"/>
    </row>
    <row r="59" spans="1:5" ht="15">
      <c r="A59" s="3">
        <v>200</v>
      </c>
      <c r="B59" s="3">
        <v>350</v>
      </c>
      <c r="C59" s="3">
        <v>20</v>
      </c>
      <c r="D59" s="3" t="s">
        <v>378</v>
      </c>
      <c r="E59" s="36"/>
    </row>
    <row r="60" spans="1:5" ht="15">
      <c r="A60" s="3">
        <v>350</v>
      </c>
      <c r="B60" s="3">
        <v>550</v>
      </c>
      <c r="C60" s="3">
        <v>25</v>
      </c>
      <c r="D60" s="3" t="s">
        <v>378</v>
      </c>
      <c r="E60" s="36"/>
    </row>
    <row r="61" spans="1:5" ht="15">
      <c r="A61" s="3">
        <v>550</v>
      </c>
      <c r="B61" s="3">
        <v>999999</v>
      </c>
      <c r="C61" s="3">
        <v>30</v>
      </c>
      <c r="D61" s="3" t="s">
        <v>379</v>
      </c>
      <c r="E61" s="36"/>
    </row>
    <row r="62" spans="1:5" ht="15">
      <c r="A62" s="36"/>
      <c r="B62" s="36"/>
      <c r="C62" s="36"/>
      <c r="D62" s="36"/>
      <c r="E62" s="36"/>
    </row>
    <row r="63" spans="1:5">
      <c r="A63" s="58" t="s">
        <v>380</v>
      </c>
      <c r="B63" s="58"/>
      <c r="C63" s="58"/>
      <c r="D63" s="58"/>
      <c r="E63" s="58"/>
    </row>
    <row r="64" spans="1:5" ht="15.6">
      <c r="A64" s="33" t="s">
        <v>339</v>
      </c>
      <c r="B64" s="33" t="s">
        <v>381</v>
      </c>
      <c r="C64" s="36"/>
      <c r="D64" s="36"/>
      <c r="E64" s="36"/>
    </row>
    <row r="65" spans="1:5" ht="15">
      <c r="A65" s="3" t="s">
        <v>377</v>
      </c>
      <c r="B65" s="39">
        <f>参数!$B$16</f>
        <v>2</v>
      </c>
      <c r="C65" s="36"/>
      <c r="D65" s="36"/>
      <c r="E65" s="36"/>
    </row>
    <row r="66" spans="1:5" ht="15">
      <c r="A66" s="3" t="s">
        <v>378</v>
      </c>
      <c r="B66" s="39">
        <f>参数!$B$17</f>
        <v>3.2</v>
      </c>
      <c r="C66" s="36"/>
      <c r="D66" s="36"/>
      <c r="E66" s="36"/>
    </row>
    <row r="67" spans="1:5" ht="15">
      <c r="A67" s="3" t="s">
        <v>379</v>
      </c>
      <c r="B67" s="39">
        <f>参数!$B$18</f>
        <v>5</v>
      </c>
      <c r="C67" s="36"/>
      <c r="D67" s="36"/>
      <c r="E67" s="36"/>
    </row>
    <row r="68" spans="1:5" ht="15">
      <c r="A68" s="36"/>
      <c r="B68" s="36"/>
      <c r="C68" s="36"/>
      <c r="D68" s="36"/>
      <c r="E68" s="36"/>
    </row>
    <row r="69" spans="1:5" ht="15">
      <c r="A69" s="36"/>
      <c r="B69" s="36"/>
      <c r="C69" s="36"/>
      <c r="D69" s="36"/>
      <c r="E69" s="36"/>
    </row>
    <row r="70" spans="1:5" ht="15">
      <c r="A70" s="36"/>
      <c r="B70" s="36"/>
      <c r="C70" s="36"/>
      <c r="D70" s="36"/>
      <c r="E70" s="36"/>
    </row>
  </sheetData>
  <mergeCells count="9">
    <mergeCell ref="A45:E45"/>
    <mergeCell ref="A55:E55"/>
    <mergeCell ref="A56:E56"/>
    <mergeCell ref="A63:E63"/>
    <mergeCell ref="A1:E1"/>
    <mergeCell ref="A3:E3"/>
    <mergeCell ref="A11:E11"/>
    <mergeCell ref="A19:E19"/>
    <mergeCell ref="A36:E3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3"/>
  <sheetViews>
    <sheetView showGridLines="0" zoomScaleNormal="100" workbookViewId="0">
      <pane ySplit="3" topLeftCell="A124" activePane="bottomLeft" state="frozen"/>
      <selection pane="bottomLeft" sqref="A1:Q1"/>
    </sheetView>
  </sheetViews>
  <sheetFormatPr defaultColWidth="8" defaultRowHeight="13.8"/>
  <cols>
    <col min="1" max="1" width="10" customWidth="1"/>
    <col min="2" max="2" width="12" customWidth="1"/>
    <col min="3" max="3" width="30" customWidth="1"/>
    <col min="6" max="6" width="6" customWidth="1"/>
    <col min="8" max="16" width="7" customWidth="1"/>
    <col min="17" max="17" width="28" customWidth="1"/>
  </cols>
  <sheetData>
    <row r="1" spans="1:17" ht="17.25" customHeight="1">
      <c r="A1" s="55" t="s">
        <v>382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3" spans="1:17" ht="30.75" customHeight="1">
      <c r="A3" s="45" t="s">
        <v>383</v>
      </c>
      <c r="B3" s="45" t="s">
        <v>384</v>
      </c>
      <c r="C3" s="45" t="s">
        <v>51</v>
      </c>
      <c r="D3" s="45" t="s">
        <v>385</v>
      </c>
      <c r="E3" s="45" t="s">
        <v>386</v>
      </c>
      <c r="F3" s="45" t="s">
        <v>387</v>
      </c>
      <c r="G3" s="45" t="s">
        <v>388</v>
      </c>
      <c r="H3" s="45" t="s">
        <v>389</v>
      </c>
      <c r="I3" s="45" t="s">
        <v>390</v>
      </c>
      <c r="J3" s="45" t="s">
        <v>391</v>
      </c>
      <c r="K3" s="45" t="s">
        <v>392</v>
      </c>
      <c r="L3" s="45" t="s">
        <v>393</v>
      </c>
      <c r="M3" s="45" t="s">
        <v>394</v>
      </c>
      <c r="N3" s="45" t="s">
        <v>395</v>
      </c>
      <c r="O3" s="45" t="s">
        <v>396</v>
      </c>
      <c r="P3" s="45" t="s">
        <v>397</v>
      </c>
      <c r="Q3" s="45" t="s">
        <v>398</v>
      </c>
    </row>
    <row r="4" spans="1:17" ht="15" customHeight="1">
      <c r="A4" s="46" t="s">
        <v>399</v>
      </c>
      <c r="B4" s="47" t="s">
        <v>400</v>
      </c>
      <c r="C4" s="47" t="s">
        <v>401</v>
      </c>
      <c r="D4" s="48">
        <v>1</v>
      </c>
      <c r="E4" s="49">
        <v>20</v>
      </c>
      <c r="F4" s="48">
        <v>30</v>
      </c>
      <c r="G4" s="49">
        <v>255</v>
      </c>
      <c r="H4" s="49">
        <v>8.1</v>
      </c>
      <c r="I4" s="49">
        <v>8.1</v>
      </c>
      <c r="J4" s="49">
        <v>8.1</v>
      </c>
      <c r="K4" s="49">
        <v>8.1</v>
      </c>
      <c r="L4" s="49">
        <v>7.2</v>
      </c>
      <c r="M4" s="49">
        <v>6.3</v>
      </c>
      <c r="N4" s="49">
        <v>6.3</v>
      </c>
      <c r="O4" s="49">
        <v>6.3</v>
      </c>
      <c r="P4" s="49">
        <v>6.3</v>
      </c>
      <c r="Q4" s="47" t="s">
        <v>402</v>
      </c>
    </row>
    <row r="5" spans="1:17" ht="15" customHeight="1">
      <c r="A5" s="46" t="s">
        <v>399</v>
      </c>
      <c r="B5" s="47"/>
      <c r="C5" s="47" t="s">
        <v>403</v>
      </c>
      <c r="D5" s="48">
        <v>1</v>
      </c>
      <c r="E5" s="49">
        <v>20</v>
      </c>
      <c r="F5" s="48">
        <v>30</v>
      </c>
      <c r="G5" s="49">
        <v>255</v>
      </c>
      <c r="H5" s="49">
        <v>8.1</v>
      </c>
      <c r="I5" s="49">
        <v>8.1</v>
      </c>
      <c r="J5" s="49">
        <v>8.1</v>
      </c>
      <c r="K5" s="49">
        <v>8.1</v>
      </c>
      <c r="L5" s="49">
        <v>7.2</v>
      </c>
      <c r="M5" s="49">
        <v>6.3</v>
      </c>
      <c r="N5" s="49">
        <v>6.3</v>
      </c>
      <c r="O5" s="49">
        <v>6.3</v>
      </c>
      <c r="P5" s="49">
        <v>6.3</v>
      </c>
      <c r="Q5" s="47" t="s">
        <v>404</v>
      </c>
    </row>
    <row r="6" spans="1:17" ht="15" customHeight="1">
      <c r="A6" s="46" t="s">
        <v>399</v>
      </c>
      <c r="B6" s="47"/>
      <c r="C6" s="47" t="s">
        <v>405</v>
      </c>
      <c r="D6" s="48">
        <v>1</v>
      </c>
      <c r="E6" s="49">
        <v>20</v>
      </c>
      <c r="F6" s="48">
        <v>30</v>
      </c>
      <c r="G6" s="49">
        <v>255</v>
      </c>
      <c r="H6" s="49">
        <v>8.1</v>
      </c>
      <c r="I6" s="49">
        <v>8.1</v>
      </c>
      <c r="J6" s="49">
        <v>8.1</v>
      </c>
      <c r="K6" s="49">
        <v>8.1</v>
      </c>
      <c r="L6" s="49">
        <v>7.2</v>
      </c>
      <c r="M6" s="49">
        <v>6.3</v>
      </c>
      <c r="N6" s="49">
        <v>6.3</v>
      </c>
      <c r="O6" s="49">
        <v>6.3</v>
      </c>
      <c r="P6" s="49">
        <v>6.3</v>
      </c>
      <c r="Q6" s="47" t="s">
        <v>406</v>
      </c>
    </row>
    <row r="7" spans="1:17" ht="15" customHeight="1">
      <c r="A7" s="46" t="s">
        <v>399</v>
      </c>
      <c r="B7" s="47" t="s">
        <v>407</v>
      </c>
      <c r="C7" s="47" t="s">
        <v>22</v>
      </c>
      <c r="D7" s="48">
        <v>1</v>
      </c>
      <c r="E7" s="49">
        <v>20</v>
      </c>
      <c r="F7" s="48">
        <v>30</v>
      </c>
      <c r="G7" s="49">
        <v>542</v>
      </c>
      <c r="H7" s="49">
        <v>18</v>
      </c>
      <c r="I7" s="49">
        <v>18</v>
      </c>
      <c r="J7" s="49">
        <v>18</v>
      </c>
      <c r="K7" s="49">
        <v>18</v>
      </c>
      <c r="L7" s="49">
        <v>18</v>
      </c>
      <c r="M7" s="49">
        <v>18</v>
      </c>
      <c r="N7" s="49">
        <v>18</v>
      </c>
      <c r="O7" s="49">
        <v>18</v>
      </c>
      <c r="P7" s="49">
        <v>18</v>
      </c>
      <c r="Q7" s="47" t="s">
        <v>408</v>
      </c>
    </row>
    <row r="8" spans="1:17" ht="15" customHeight="1">
      <c r="A8" s="46" t="s">
        <v>399</v>
      </c>
      <c r="B8" s="47"/>
      <c r="C8" s="47" t="s">
        <v>409</v>
      </c>
      <c r="D8" s="48">
        <v>1</v>
      </c>
      <c r="E8" s="49">
        <v>25</v>
      </c>
      <c r="F8" s="48">
        <v>30</v>
      </c>
      <c r="G8" s="49">
        <v>678</v>
      </c>
      <c r="H8" s="49">
        <v>22.5</v>
      </c>
      <c r="I8" s="49">
        <v>22.5</v>
      </c>
      <c r="J8" s="49">
        <v>22.5</v>
      </c>
      <c r="K8" s="49">
        <v>22.5</v>
      </c>
      <c r="L8" s="49">
        <v>22.5</v>
      </c>
      <c r="M8" s="49">
        <v>22.5</v>
      </c>
      <c r="N8" s="49">
        <v>22.5</v>
      </c>
      <c r="O8" s="49">
        <v>22.5</v>
      </c>
      <c r="P8" s="49">
        <v>22.5</v>
      </c>
      <c r="Q8" s="47" t="s">
        <v>410</v>
      </c>
    </row>
    <row r="9" spans="1:17" ht="15" customHeight="1">
      <c r="A9" s="46" t="s">
        <v>399</v>
      </c>
      <c r="B9" s="47" t="s">
        <v>411</v>
      </c>
      <c r="C9" s="47" t="s">
        <v>412</v>
      </c>
      <c r="D9" s="48">
        <v>1</v>
      </c>
      <c r="E9" s="49">
        <v>20</v>
      </c>
      <c r="F9" s="48">
        <v>30</v>
      </c>
      <c r="G9" s="49">
        <v>307</v>
      </c>
      <c r="H9" s="49">
        <v>9.9</v>
      </c>
      <c r="I9" s="49">
        <v>9.9</v>
      </c>
      <c r="J9" s="49">
        <v>9.9</v>
      </c>
      <c r="K9" s="49">
        <v>9</v>
      </c>
      <c r="L9" s="49">
        <v>9</v>
      </c>
      <c r="M9" s="49">
        <v>8.1</v>
      </c>
      <c r="N9" s="49">
        <v>8.1</v>
      </c>
      <c r="O9" s="49">
        <v>8.1</v>
      </c>
      <c r="P9" s="49">
        <v>8.1</v>
      </c>
      <c r="Q9" s="47" t="s">
        <v>413</v>
      </c>
    </row>
    <row r="10" spans="1:17" ht="15" customHeight="1">
      <c r="A10" s="46" t="s">
        <v>399</v>
      </c>
      <c r="B10" s="47"/>
      <c r="C10" s="47" t="s">
        <v>414</v>
      </c>
      <c r="D10" s="48">
        <v>1</v>
      </c>
      <c r="E10" s="49">
        <v>20</v>
      </c>
      <c r="F10" s="48">
        <v>30</v>
      </c>
      <c r="G10" s="49">
        <v>307</v>
      </c>
      <c r="H10" s="49">
        <v>9.9</v>
      </c>
      <c r="I10" s="49">
        <v>9.9</v>
      </c>
      <c r="J10" s="49">
        <v>9.9</v>
      </c>
      <c r="K10" s="49">
        <v>9</v>
      </c>
      <c r="L10" s="49">
        <v>9</v>
      </c>
      <c r="M10" s="49">
        <v>8.1</v>
      </c>
      <c r="N10" s="49">
        <v>8.1</v>
      </c>
      <c r="O10" s="49">
        <v>8.1</v>
      </c>
      <c r="P10" s="49">
        <v>8.1</v>
      </c>
      <c r="Q10" s="47" t="s">
        <v>415</v>
      </c>
    </row>
    <row r="11" spans="1:17" ht="15" customHeight="1">
      <c r="A11" s="46" t="s">
        <v>399</v>
      </c>
      <c r="B11" s="47" t="s">
        <v>416</v>
      </c>
      <c r="C11" s="47" t="s">
        <v>417</v>
      </c>
      <c r="D11" s="48">
        <v>1</v>
      </c>
      <c r="E11" s="49">
        <v>20</v>
      </c>
      <c r="F11" s="48">
        <v>15</v>
      </c>
      <c r="G11" s="49">
        <v>171</v>
      </c>
      <c r="H11" s="49">
        <v>10.8</v>
      </c>
      <c r="I11" s="49">
        <v>10.8</v>
      </c>
      <c r="J11" s="49">
        <v>10.8</v>
      </c>
      <c r="K11" s="49">
        <v>9.9</v>
      </c>
      <c r="L11" s="49">
        <v>9</v>
      </c>
      <c r="M11" s="49">
        <v>8.1</v>
      </c>
      <c r="N11" s="49">
        <v>8.1</v>
      </c>
      <c r="O11" s="49">
        <v>8.1</v>
      </c>
      <c r="P11" s="49">
        <v>8.1</v>
      </c>
      <c r="Q11" s="47" t="s">
        <v>418</v>
      </c>
    </row>
    <row r="12" spans="1:17" ht="15" customHeight="1">
      <c r="A12" s="46" t="s">
        <v>399</v>
      </c>
      <c r="B12" s="47"/>
      <c r="C12" s="47" t="s">
        <v>419</v>
      </c>
      <c r="D12" s="48">
        <v>1</v>
      </c>
      <c r="E12" s="49">
        <v>20</v>
      </c>
      <c r="F12" s="48">
        <v>15</v>
      </c>
      <c r="G12" s="49">
        <v>171</v>
      </c>
      <c r="H12" s="49">
        <v>10.8</v>
      </c>
      <c r="I12" s="49">
        <v>10.8</v>
      </c>
      <c r="J12" s="49">
        <v>10.8</v>
      </c>
      <c r="K12" s="49">
        <v>9.9</v>
      </c>
      <c r="L12" s="49">
        <v>9</v>
      </c>
      <c r="M12" s="49">
        <v>8.1</v>
      </c>
      <c r="N12" s="49">
        <v>8.1</v>
      </c>
      <c r="O12" s="49">
        <v>8.1</v>
      </c>
      <c r="P12" s="49">
        <v>8.1</v>
      </c>
      <c r="Q12" s="47" t="s">
        <v>420</v>
      </c>
    </row>
    <row r="13" spans="1:17" ht="15" customHeight="1">
      <c r="A13" s="46" t="s">
        <v>399</v>
      </c>
      <c r="B13" s="47"/>
      <c r="C13" s="47" t="s">
        <v>421</v>
      </c>
      <c r="D13" s="48">
        <v>1</v>
      </c>
      <c r="E13" s="49">
        <v>20</v>
      </c>
      <c r="F13" s="48">
        <v>15</v>
      </c>
      <c r="G13" s="49">
        <v>171</v>
      </c>
      <c r="H13" s="49">
        <v>10.8</v>
      </c>
      <c r="I13" s="49">
        <v>10.8</v>
      </c>
      <c r="J13" s="49">
        <v>10.8</v>
      </c>
      <c r="K13" s="49">
        <v>9.9</v>
      </c>
      <c r="L13" s="49">
        <v>9</v>
      </c>
      <c r="M13" s="49">
        <v>8.1</v>
      </c>
      <c r="N13" s="49">
        <v>8.1</v>
      </c>
      <c r="O13" s="49">
        <v>8.1</v>
      </c>
      <c r="P13" s="49">
        <v>8.1</v>
      </c>
      <c r="Q13" s="47" t="s">
        <v>422</v>
      </c>
    </row>
    <row r="14" spans="1:17" ht="15" customHeight="1">
      <c r="A14" s="46" t="s">
        <v>399</v>
      </c>
      <c r="B14" s="47" t="s">
        <v>423</v>
      </c>
      <c r="C14" s="47" t="s">
        <v>424</v>
      </c>
      <c r="D14" s="48">
        <v>1</v>
      </c>
      <c r="E14" s="49">
        <v>20</v>
      </c>
      <c r="F14" s="48">
        <v>30</v>
      </c>
      <c r="G14" s="49">
        <v>255</v>
      </c>
      <c r="H14" s="49">
        <v>8.1</v>
      </c>
      <c r="I14" s="49">
        <v>8.1</v>
      </c>
      <c r="J14" s="49">
        <v>8.1</v>
      </c>
      <c r="K14" s="49">
        <v>8.1</v>
      </c>
      <c r="L14" s="49">
        <v>7.2</v>
      </c>
      <c r="M14" s="49">
        <v>6.3</v>
      </c>
      <c r="N14" s="49">
        <v>6.3</v>
      </c>
      <c r="O14" s="49">
        <v>6.3</v>
      </c>
      <c r="P14" s="49">
        <v>6.3</v>
      </c>
      <c r="Q14" s="47" t="s">
        <v>425</v>
      </c>
    </row>
    <row r="15" spans="1:17" ht="15" customHeight="1">
      <c r="A15" s="46" t="s">
        <v>399</v>
      </c>
      <c r="B15" s="47"/>
      <c r="C15" s="47" t="s">
        <v>426</v>
      </c>
      <c r="D15" s="48">
        <v>1</v>
      </c>
      <c r="E15" s="49">
        <v>20</v>
      </c>
      <c r="F15" s="48">
        <v>30</v>
      </c>
      <c r="G15" s="49">
        <v>255</v>
      </c>
      <c r="H15" s="49">
        <v>8.1</v>
      </c>
      <c r="I15" s="49">
        <v>8.1</v>
      </c>
      <c r="J15" s="49">
        <v>8.1</v>
      </c>
      <c r="K15" s="49">
        <v>8.1</v>
      </c>
      <c r="L15" s="49">
        <v>7.2</v>
      </c>
      <c r="M15" s="49">
        <v>6.3</v>
      </c>
      <c r="N15" s="49">
        <v>6.3</v>
      </c>
      <c r="O15" s="49">
        <v>6.3</v>
      </c>
      <c r="P15" s="49">
        <v>6.3</v>
      </c>
      <c r="Q15" s="47" t="s">
        <v>427</v>
      </c>
    </row>
    <row r="16" spans="1:17" ht="15" customHeight="1">
      <c r="A16" s="46" t="s">
        <v>399</v>
      </c>
      <c r="B16" s="47"/>
      <c r="C16" s="47" t="s">
        <v>428</v>
      </c>
      <c r="D16" s="48">
        <v>1</v>
      </c>
      <c r="E16" s="49">
        <v>20</v>
      </c>
      <c r="F16" s="48">
        <v>30</v>
      </c>
      <c r="G16" s="49">
        <v>307</v>
      </c>
      <c r="H16" s="49">
        <v>9.9</v>
      </c>
      <c r="I16" s="49">
        <v>9.9</v>
      </c>
      <c r="J16" s="49">
        <v>9.9</v>
      </c>
      <c r="K16" s="49">
        <v>9.9</v>
      </c>
      <c r="L16" s="49">
        <v>9</v>
      </c>
      <c r="M16" s="49">
        <v>8.1</v>
      </c>
      <c r="N16" s="49">
        <v>8.1</v>
      </c>
      <c r="O16" s="49">
        <v>8.1</v>
      </c>
      <c r="P16" s="49">
        <v>8.1</v>
      </c>
      <c r="Q16" s="47" t="s">
        <v>429</v>
      </c>
    </row>
    <row r="17" spans="1:17" ht="15" customHeight="1">
      <c r="A17" s="46" t="s">
        <v>399</v>
      </c>
      <c r="B17" s="47" t="s">
        <v>430</v>
      </c>
      <c r="C17" s="47" t="s">
        <v>431</v>
      </c>
      <c r="D17" s="48">
        <v>1</v>
      </c>
      <c r="E17" s="49">
        <v>20</v>
      </c>
      <c r="F17" s="48">
        <v>30</v>
      </c>
      <c r="G17" s="49">
        <v>255</v>
      </c>
      <c r="H17" s="49">
        <v>8.1</v>
      </c>
      <c r="I17" s="49">
        <v>8.1</v>
      </c>
      <c r="J17" s="49">
        <v>8.1</v>
      </c>
      <c r="K17" s="49">
        <v>8.1</v>
      </c>
      <c r="L17" s="49">
        <v>7.2</v>
      </c>
      <c r="M17" s="49">
        <v>6.3</v>
      </c>
      <c r="N17" s="49">
        <v>6.3</v>
      </c>
      <c r="O17" s="49">
        <v>6.3</v>
      </c>
      <c r="P17" s="49">
        <v>6.3</v>
      </c>
      <c r="Q17" s="47" t="s">
        <v>432</v>
      </c>
    </row>
    <row r="18" spans="1:17" ht="15" customHeight="1">
      <c r="A18" s="46" t="s">
        <v>399</v>
      </c>
      <c r="B18" s="47"/>
      <c r="C18" s="47" t="s">
        <v>43</v>
      </c>
      <c r="D18" s="48">
        <v>1</v>
      </c>
      <c r="E18" s="49">
        <v>20</v>
      </c>
      <c r="F18" s="48">
        <v>30</v>
      </c>
      <c r="G18" s="49">
        <v>255</v>
      </c>
      <c r="H18" s="49">
        <v>8.1</v>
      </c>
      <c r="I18" s="49">
        <v>8.1</v>
      </c>
      <c r="J18" s="49">
        <v>8.1</v>
      </c>
      <c r="K18" s="49">
        <v>8.1</v>
      </c>
      <c r="L18" s="49">
        <v>7.2</v>
      </c>
      <c r="M18" s="49">
        <v>6.3</v>
      </c>
      <c r="N18" s="49">
        <v>6.3</v>
      </c>
      <c r="O18" s="49">
        <v>6.3</v>
      </c>
      <c r="P18" s="49">
        <v>6.3</v>
      </c>
      <c r="Q18" s="47" t="s">
        <v>433</v>
      </c>
    </row>
    <row r="19" spans="1:17" ht="15" customHeight="1">
      <c r="A19" s="46" t="s">
        <v>399</v>
      </c>
      <c r="B19" s="47"/>
      <c r="C19" s="47" t="s">
        <v>434</v>
      </c>
      <c r="D19" s="48">
        <v>1</v>
      </c>
      <c r="E19" s="49">
        <v>20</v>
      </c>
      <c r="F19" s="48">
        <v>30</v>
      </c>
      <c r="G19" s="49">
        <v>307</v>
      </c>
      <c r="H19" s="49">
        <v>9.9</v>
      </c>
      <c r="I19" s="49">
        <v>9.9</v>
      </c>
      <c r="J19" s="49">
        <v>9.9</v>
      </c>
      <c r="K19" s="49">
        <v>9.9</v>
      </c>
      <c r="L19" s="49">
        <v>9</v>
      </c>
      <c r="M19" s="49">
        <v>8.1</v>
      </c>
      <c r="N19" s="49">
        <v>8.1</v>
      </c>
      <c r="O19" s="49">
        <v>8.1</v>
      </c>
      <c r="P19" s="49">
        <v>8.1</v>
      </c>
      <c r="Q19" s="47" t="s">
        <v>435</v>
      </c>
    </row>
    <row r="20" spans="1:17" ht="15" customHeight="1">
      <c r="A20" s="46" t="s">
        <v>399</v>
      </c>
      <c r="B20" s="47" t="s">
        <v>436</v>
      </c>
      <c r="C20" s="47" t="s">
        <v>48</v>
      </c>
      <c r="D20" s="48">
        <v>1</v>
      </c>
      <c r="E20" s="49">
        <v>20</v>
      </c>
      <c r="F20" s="48">
        <v>30</v>
      </c>
      <c r="G20" s="49">
        <v>255</v>
      </c>
      <c r="H20" s="49">
        <v>8.1</v>
      </c>
      <c r="I20" s="49">
        <v>8.1</v>
      </c>
      <c r="J20" s="49">
        <v>8.1</v>
      </c>
      <c r="K20" s="49">
        <v>8.1</v>
      </c>
      <c r="L20" s="49">
        <v>7.2</v>
      </c>
      <c r="M20" s="49">
        <v>7.2</v>
      </c>
      <c r="N20" s="49">
        <v>7.2</v>
      </c>
      <c r="O20" s="49">
        <v>7.2</v>
      </c>
      <c r="P20" s="49">
        <v>7.2</v>
      </c>
      <c r="Q20" s="47" t="s">
        <v>437</v>
      </c>
    </row>
    <row r="21" spans="1:17" ht="15" customHeight="1">
      <c r="A21" s="46" t="s">
        <v>399</v>
      </c>
      <c r="B21" s="47" t="s">
        <v>438</v>
      </c>
      <c r="C21" s="47" t="s">
        <v>439</v>
      </c>
      <c r="D21" s="48">
        <v>1</v>
      </c>
      <c r="E21" s="49">
        <v>20</v>
      </c>
      <c r="F21" s="48">
        <v>30</v>
      </c>
      <c r="G21" s="49">
        <v>255</v>
      </c>
      <c r="H21" s="49">
        <v>8.1</v>
      </c>
      <c r="I21" s="49">
        <v>8.1</v>
      </c>
      <c r="J21" s="49">
        <v>8.1</v>
      </c>
      <c r="K21" s="49">
        <v>8.1</v>
      </c>
      <c r="L21" s="49">
        <v>7.2</v>
      </c>
      <c r="M21" s="49">
        <v>7.2</v>
      </c>
      <c r="N21" s="49">
        <v>7.2</v>
      </c>
      <c r="O21" s="49">
        <v>7.2</v>
      </c>
      <c r="P21" s="49">
        <v>7.2</v>
      </c>
      <c r="Q21" s="47" t="s">
        <v>440</v>
      </c>
    </row>
    <row r="22" spans="1:17" ht="15" customHeight="1">
      <c r="A22" s="46" t="s">
        <v>399</v>
      </c>
      <c r="B22" s="47"/>
      <c r="C22" s="47" t="s">
        <v>52</v>
      </c>
      <c r="D22" s="48">
        <v>1</v>
      </c>
      <c r="E22" s="49">
        <v>20</v>
      </c>
      <c r="F22" s="48">
        <v>30</v>
      </c>
      <c r="G22" s="49">
        <v>255</v>
      </c>
      <c r="H22" s="49">
        <v>8.1</v>
      </c>
      <c r="I22" s="49">
        <v>8.1</v>
      </c>
      <c r="J22" s="49">
        <v>8.1</v>
      </c>
      <c r="K22" s="49">
        <v>8.1</v>
      </c>
      <c r="L22" s="49">
        <v>7.2</v>
      </c>
      <c r="M22" s="49">
        <v>7.2</v>
      </c>
      <c r="N22" s="49">
        <v>7.2</v>
      </c>
      <c r="O22" s="49">
        <v>7.2</v>
      </c>
      <c r="P22" s="49">
        <v>7.2</v>
      </c>
      <c r="Q22" s="47" t="s">
        <v>441</v>
      </c>
    </row>
    <row r="23" spans="1:17" ht="15" customHeight="1">
      <c r="A23" s="46" t="s">
        <v>399</v>
      </c>
      <c r="B23" s="47"/>
      <c r="C23" s="47" t="s">
        <v>442</v>
      </c>
      <c r="D23" s="48">
        <v>1</v>
      </c>
      <c r="E23" s="49">
        <v>20</v>
      </c>
      <c r="F23" s="48">
        <v>30</v>
      </c>
      <c r="G23" s="49">
        <v>307</v>
      </c>
      <c r="H23" s="49">
        <v>9.9</v>
      </c>
      <c r="I23" s="49">
        <v>9.9</v>
      </c>
      <c r="J23" s="49">
        <v>9.9</v>
      </c>
      <c r="K23" s="49">
        <v>9.9</v>
      </c>
      <c r="L23" s="49">
        <v>9</v>
      </c>
      <c r="M23" s="49">
        <v>9</v>
      </c>
      <c r="N23" s="49">
        <v>9</v>
      </c>
      <c r="O23" s="49">
        <v>9</v>
      </c>
      <c r="P23" s="49">
        <v>9</v>
      </c>
      <c r="Q23" s="47" t="s">
        <v>443</v>
      </c>
    </row>
    <row r="24" spans="1:17" ht="15" customHeight="1">
      <c r="A24" s="46" t="s">
        <v>399</v>
      </c>
      <c r="B24" s="47"/>
      <c r="C24" s="47" t="s">
        <v>444</v>
      </c>
      <c r="D24" s="48">
        <v>1</v>
      </c>
      <c r="E24" s="49">
        <v>20</v>
      </c>
      <c r="F24" s="48">
        <v>30</v>
      </c>
      <c r="G24" s="49">
        <v>385</v>
      </c>
      <c r="H24" s="49">
        <v>12.6</v>
      </c>
      <c r="I24" s="49">
        <v>12.6</v>
      </c>
      <c r="J24" s="49">
        <v>12.6</v>
      </c>
      <c r="K24" s="49">
        <v>12.6</v>
      </c>
      <c r="L24" s="49">
        <v>11.7</v>
      </c>
      <c r="M24" s="49">
        <v>11.7</v>
      </c>
      <c r="N24" s="49">
        <v>11.7</v>
      </c>
      <c r="O24" s="49">
        <v>11.7</v>
      </c>
      <c r="P24" s="49">
        <v>11.7</v>
      </c>
      <c r="Q24" s="47" t="s">
        <v>445</v>
      </c>
    </row>
    <row r="25" spans="1:17" ht="15" customHeight="1">
      <c r="A25" s="46" t="s">
        <v>399</v>
      </c>
      <c r="B25" s="47" t="s">
        <v>446</v>
      </c>
      <c r="C25" s="47" t="s">
        <v>447</v>
      </c>
      <c r="D25" s="48">
        <v>1</v>
      </c>
      <c r="E25" s="49">
        <v>20</v>
      </c>
      <c r="F25" s="48">
        <v>30</v>
      </c>
      <c r="G25" s="49">
        <v>255</v>
      </c>
      <c r="H25" s="49">
        <v>8.1</v>
      </c>
      <c r="I25" s="49">
        <v>8.1</v>
      </c>
      <c r="J25" s="49">
        <v>8.1</v>
      </c>
      <c r="K25" s="49">
        <v>8.1</v>
      </c>
      <c r="L25" s="49">
        <v>7.2</v>
      </c>
      <c r="M25" s="49">
        <v>6.3</v>
      </c>
      <c r="N25" s="49">
        <v>6.3</v>
      </c>
      <c r="O25" s="49">
        <v>6.3</v>
      </c>
      <c r="P25" s="49">
        <v>6.3</v>
      </c>
      <c r="Q25" s="47" t="s">
        <v>448</v>
      </c>
    </row>
    <row r="26" spans="1:17" ht="15" customHeight="1">
      <c r="A26" s="46" t="s">
        <v>399</v>
      </c>
      <c r="B26" s="47"/>
      <c r="C26" s="47" t="s">
        <v>449</v>
      </c>
      <c r="D26" s="48">
        <v>1</v>
      </c>
      <c r="E26" s="49">
        <v>20</v>
      </c>
      <c r="F26" s="48">
        <v>30</v>
      </c>
      <c r="G26" s="49">
        <v>281</v>
      </c>
      <c r="H26" s="49">
        <v>9</v>
      </c>
      <c r="I26" s="49">
        <v>9</v>
      </c>
      <c r="J26" s="49">
        <v>9</v>
      </c>
      <c r="K26" s="49">
        <v>9</v>
      </c>
      <c r="L26" s="49">
        <v>8.1</v>
      </c>
      <c r="M26" s="49">
        <v>7.2</v>
      </c>
      <c r="N26" s="49">
        <v>7.2</v>
      </c>
      <c r="O26" s="49">
        <v>7.2</v>
      </c>
      <c r="P26" s="49">
        <v>7.2</v>
      </c>
      <c r="Q26" s="47" t="s">
        <v>450</v>
      </c>
    </row>
    <row r="27" spans="1:17" ht="15" customHeight="1">
      <c r="A27" s="46" t="s">
        <v>399</v>
      </c>
      <c r="B27" s="47"/>
      <c r="C27" s="47" t="s">
        <v>451</v>
      </c>
      <c r="D27" s="48">
        <v>1</v>
      </c>
      <c r="E27" s="49">
        <v>20</v>
      </c>
      <c r="F27" s="48">
        <v>30</v>
      </c>
      <c r="G27" s="49">
        <v>307</v>
      </c>
      <c r="H27" s="49">
        <v>9.9</v>
      </c>
      <c r="I27" s="49">
        <v>9.9</v>
      </c>
      <c r="J27" s="49">
        <v>9.9</v>
      </c>
      <c r="K27" s="49">
        <v>9.9</v>
      </c>
      <c r="L27" s="49">
        <v>9</v>
      </c>
      <c r="M27" s="49">
        <v>8.1</v>
      </c>
      <c r="N27" s="49">
        <v>8.1</v>
      </c>
      <c r="O27" s="49">
        <v>8.1</v>
      </c>
      <c r="P27" s="49">
        <v>8.1</v>
      </c>
      <c r="Q27" s="47" t="s">
        <v>452</v>
      </c>
    </row>
    <row r="28" spans="1:17" ht="15" customHeight="1">
      <c r="A28" s="46" t="s">
        <v>399</v>
      </c>
      <c r="B28" s="47" t="s">
        <v>453</v>
      </c>
      <c r="C28" s="47" t="s">
        <v>70</v>
      </c>
      <c r="D28" s="48">
        <v>1</v>
      </c>
      <c r="E28" s="49">
        <v>20</v>
      </c>
      <c r="F28" s="48">
        <v>30</v>
      </c>
      <c r="G28" s="49">
        <v>542</v>
      </c>
      <c r="H28" s="49">
        <v>18</v>
      </c>
      <c r="I28" s="49">
        <v>18</v>
      </c>
      <c r="J28" s="49">
        <v>18</v>
      </c>
      <c r="K28" s="49">
        <v>18</v>
      </c>
      <c r="L28" s="49">
        <v>18</v>
      </c>
      <c r="M28" s="49">
        <v>18</v>
      </c>
      <c r="N28" s="49">
        <v>18</v>
      </c>
      <c r="O28" s="49">
        <v>18</v>
      </c>
      <c r="P28" s="49">
        <v>18</v>
      </c>
      <c r="Q28" s="47" t="s">
        <v>454</v>
      </c>
    </row>
    <row r="29" spans="1:17" ht="15" customHeight="1">
      <c r="A29" s="46" t="s">
        <v>399</v>
      </c>
      <c r="B29" s="47"/>
      <c r="C29" s="47" t="s">
        <v>455</v>
      </c>
      <c r="D29" s="48">
        <v>1</v>
      </c>
      <c r="E29" s="49">
        <v>25</v>
      </c>
      <c r="F29" s="48">
        <v>30</v>
      </c>
      <c r="G29" s="49">
        <v>678</v>
      </c>
      <c r="H29" s="49">
        <v>22.5</v>
      </c>
      <c r="I29" s="49">
        <v>22.5</v>
      </c>
      <c r="J29" s="49">
        <v>22.5</v>
      </c>
      <c r="K29" s="49">
        <v>22.5</v>
      </c>
      <c r="L29" s="49">
        <v>22.5</v>
      </c>
      <c r="M29" s="49">
        <v>22.5</v>
      </c>
      <c r="N29" s="49">
        <v>22.5</v>
      </c>
      <c r="O29" s="49">
        <v>22.5</v>
      </c>
      <c r="P29" s="49">
        <v>22.5</v>
      </c>
      <c r="Q29" s="47" t="s">
        <v>456</v>
      </c>
    </row>
    <row r="30" spans="1:17" ht="15" customHeight="1">
      <c r="A30" s="46" t="s">
        <v>399</v>
      </c>
      <c r="B30" s="47" t="s">
        <v>457</v>
      </c>
      <c r="C30" s="47" t="s">
        <v>458</v>
      </c>
      <c r="D30" s="48">
        <v>1</v>
      </c>
      <c r="E30" s="49">
        <v>20</v>
      </c>
      <c r="F30" s="48">
        <v>15</v>
      </c>
      <c r="G30" s="49">
        <v>133</v>
      </c>
      <c r="H30" s="49">
        <v>8.1</v>
      </c>
      <c r="I30" s="49">
        <v>8.1</v>
      </c>
      <c r="J30" s="49">
        <v>8.1</v>
      </c>
      <c r="K30" s="49">
        <v>7.2</v>
      </c>
      <c r="L30" s="49">
        <v>6.3</v>
      </c>
      <c r="M30" s="49">
        <v>6.3</v>
      </c>
      <c r="N30" s="49">
        <v>6.3</v>
      </c>
      <c r="O30" s="49">
        <v>6.3</v>
      </c>
      <c r="P30" s="49">
        <v>6.3</v>
      </c>
      <c r="Q30" s="47" t="s">
        <v>459</v>
      </c>
    </row>
    <row r="31" spans="1:17" ht="15" customHeight="1">
      <c r="A31" s="46" t="s">
        <v>399</v>
      </c>
      <c r="B31" s="47"/>
      <c r="C31" s="47" t="s">
        <v>460</v>
      </c>
      <c r="D31" s="48">
        <v>1</v>
      </c>
      <c r="E31" s="49">
        <v>20</v>
      </c>
      <c r="F31" s="48">
        <v>15</v>
      </c>
      <c r="G31" s="49">
        <v>133</v>
      </c>
      <c r="H31" s="49">
        <v>8.1</v>
      </c>
      <c r="I31" s="49">
        <v>8.1</v>
      </c>
      <c r="J31" s="49">
        <v>8.1</v>
      </c>
      <c r="K31" s="49">
        <v>7.2</v>
      </c>
      <c r="L31" s="49">
        <v>6.3</v>
      </c>
      <c r="M31" s="49">
        <v>6.3</v>
      </c>
      <c r="N31" s="49">
        <v>6.3</v>
      </c>
      <c r="O31" s="49">
        <v>6.3</v>
      </c>
      <c r="P31" s="49">
        <v>6.3</v>
      </c>
      <c r="Q31" s="47" t="s">
        <v>461</v>
      </c>
    </row>
    <row r="32" spans="1:17" ht="15" customHeight="1">
      <c r="A32" s="46" t="s">
        <v>399</v>
      </c>
      <c r="B32" s="47"/>
      <c r="C32" s="47" t="s">
        <v>462</v>
      </c>
      <c r="D32" s="48">
        <v>1</v>
      </c>
      <c r="E32" s="49">
        <v>20</v>
      </c>
      <c r="F32" s="48">
        <v>15</v>
      </c>
      <c r="G32" s="49">
        <v>133</v>
      </c>
      <c r="H32" s="49">
        <v>8.1</v>
      </c>
      <c r="I32" s="49">
        <v>8.1</v>
      </c>
      <c r="J32" s="49">
        <v>8.1</v>
      </c>
      <c r="K32" s="49">
        <v>7.2</v>
      </c>
      <c r="L32" s="49">
        <v>6.3</v>
      </c>
      <c r="M32" s="49">
        <v>6.3</v>
      </c>
      <c r="N32" s="49">
        <v>6.3</v>
      </c>
      <c r="O32" s="49">
        <v>6.3</v>
      </c>
      <c r="P32" s="49">
        <v>6.3</v>
      </c>
      <c r="Q32" s="47" t="s">
        <v>463</v>
      </c>
    </row>
    <row r="33" spans="1:17" ht="15" customHeight="1">
      <c r="A33" s="46" t="s">
        <v>399</v>
      </c>
      <c r="B33" s="47" t="s">
        <v>464</v>
      </c>
      <c r="C33" s="47" t="s">
        <v>82</v>
      </c>
      <c r="D33" s="48">
        <v>1</v>
      </c>
      <c r="E33" s="49">
        <v>20</v>
      </c>
      <c r="F33" s="48">
        <v>20</v>
      </c>
      <c r="G33" s="49">
        <v>157</v>
      </c>
      <c r="H33" s="49">
        <v>7.2</v>
      </c>
      <c r="I33" s="49">
        <v>7.2</v>
      </c>
      <c r="J33" s="49">
        <v>7.2</v>
      </c>
      <c r="K33" s="49">
        <v>7.2</v>
      </c>
      <c r="L33" s="49">
        <v>6.3</v>
      </c>
      <c r="M33" s="49">
        <v>6.3</v>
      </c>
      <c r="N33" s="49">
        <v>6.3</v>
      </c>
      <c r="O33" s="49">
        <v>6.3</v>
      </c>
      <c r="P33" s="49">
        <v>6.3</v>
      </c>
      <c r="Q33" s="47" t="s">
        <v>465</v>
      </c>
    </row>
    <row r="34" spans="1:17" ht="15" customHeight="1">
      <c r="A34" s="46" t="s">
        <v>399</v>
      </c>
      <c r="B34" s="47" t="s">
        <v>466</v>
      </c>
      <c r="C34" s="47" t="s">
        <v>84</v>
      </c>
      <c r="D34" s="48">
        <v>1</v>
      </c>
      <c r="E34" s="49">
        <v>20</v>
      </c>
      <c r="F34" s="48">
        <v>30</v>
      </c>
      <c r="G34" s="49">
        <v>333</v>
      </c>
      <c r="H34" s="49">
        <v>10.8</v>
      </c>
      <c r="I34" s="49">
        <v>10.8</v>
      </c>
      <c r="J34" s="49">
        <v>10.8</v>
      </c>
      <c r="K34" s="49">
        <v>9.9</v>
      </c>
      <c r="L34" s="49">
        <v>9.9</v>
      </c>
      <c r="M34" s="49">
        <v>9</v>
      </c>
      <c r="N34" s="49">
        <v>9</v>
      </c>
      <c r="O34" s="49">
        <v>9</v>
      </c>
      <c r="P34" s="49">
        <v>9</v>
      </c>
      <c r="Q34" s="47" t="s">
        <v>467</v>
      </c>
    </row>
    <row r="35" spans="1:17" ht="15" customHeight="1">
      <c r="A35" s="46" t="s">
        <v>399</v>
      </c>
      <c r="B35" s="47"/>
      <c r="C35" s="47" t="s">
        <v>86</v>
      </c>
      <c r="D35" s="48">
        <v>1</v>
      </c>
      <c r="E35" s="49">
        <v>20</v>
      </c>
      <c r="F35" s="48">
        <v>30</v>
      </c>
      <c r="G35" s="49">
        <v>359</v>
      </c>
      <c r="H35" s="49">
        <v>11.7</v>
      </c>
      <c r="I35" s="49">
        <v>11.7</v>
      </c>
      <c r="J35" s="49">
        <v>11.7</v>
      </c>
      <c r="K35" s="49">
        <v>10.8</v>
      </c>
      <c r="L35" s="49">
        <v>10.8</v>
      </c>
      <c r="M35" s="49">
        <v>9.9</v>
      </c>
      <c r="N35" s="49">
        <v>9.9</v>
      </c>
      <c r="O35" s="49">
        <v>9.9</v>
      </c>
      <c r="P35" s="49">
        <v>9.9</v>
      </c>
      <c r="Q35" s="47" t="s">
        <v>468</v>
      </c>
    </row>
    <row r="36" spans="1:17" ht="15" customHeight="1">
      <c r="A36" s="46" t="s">
        <v>399</v>
      </c>
      <c r="B36" s="47"/>
      <c r="C36" s="47" t="s">
        <v>469</v>
      </c>
      <c r="D36" s="48">
        <v>1</v>
      </c>
      <c r="E36" s="49">
        <v>20</v>
      </c>
      <c r="F36" s="48">
        <v>30</v>
      </c>
      <c r="G36" s="49">
        <v>412</v>
      </c>
      <c r="H36" s="49">
        <v>13.5</v>
      </c>
      <c r="I36" s="49">
        <v>13.5</v>
      </c>
      <c r="J36" s="49">
        <v>13.5</v>
      </c>
      <c r="K36" s="49">
        <v>12.6</v>
      </c>
      <c r="L36" s="49">
        <v>12.6</v>
      </c>
      <c r="M36" s="49">
        <v>11.7</v>
      </c>
      <c r="N36" s="49">
        <v>11.7</v>
      </c>
      <c r="O36" s="49">
        <v>11.7</v>
      </c>
      <c r="P36" s="49">
        <v>11.7</v>
      </c>
      <c r="Q36" s="47" t="s">
        <v>470</v>
      </c>
    </row>
    <row r="37" spans="1:17" ht="15" customHeight="1">
      <c r="A37" s="46" t="s">
        <v>399</v>
      </c>
      <c r="B37" s="47" t="s">
        <v>471</v>
      </c>
      <c r="C37" s="47" t="s">
        <v>90</v>
      </c>
      <c r="D37" s="48">
        <v>1</v>
      </c>
      <c r="E37" s="49">
        <v>20</v>
      </c>
      <c r="F37" s="48">
        <v>30</v>
      </c>
      <c r="G37" s="49">
        <v>490</v>
      </c>
      <c r="H37" s="49">
        <v>16.2</v>
      </c>
      <c r="I37" s="49">
        <v>16.2</v>
      </c>
      <c r="J37" s="49">
        <v>16.2</v>
      </c>
      <c r="K37" s="49">
        <v>14.4</v>
      </c>
      <c r="L37" s="49">
        <v>14.4</v>
      </c>
      <c r="M37" s="49">
        <v>14.4</v>
      </c>
      <c r="N37" s="49">
        <v>13.5</v>
      </c>
      <c r="O37" s="49">
        <v>13.5</v>
      </c>
      <c r="P37" s="49">
        <v>13.5</v>
      </c>
      <c r="Q37" s="47" t="s">
        <v>472</v>
      </c>
    </row>
    <row r="38" spans="1:17" ht="15" customHeight="1">
      <c r="A38" s="46" t="s">
        <v>399</v>
      </c>
      <c r="B38" s="47"/>
      <c r="C38" s="47" t="s">
        <v>473</v>
      </c>
      <c r="D38" s="48">
        <v>1</v>
      </c>
      <c r="E38" s="49">
        <v>20</v>
      </c>
      <c r="F38" s="48">
        <v>30</v>
      </c>
      <c r="G38" s="49">
        <v>542</v>
      </c>
      <c r="H38" s="49">
        <v>18</v>
      </c>
      <c r="I38" s="49">
        <v>18</v>
      </c>
      <c r="J38" s="49">
        <v>18</v>
      </c>
      <c r="K38" s="49">
        <v>16.2</v>
      </c>
      <c r="L38" s="49">
        <v>16.2</v>
      </c>
      <c r="M38" s="49">
        <v>16.2</v>
      </c>
      <c r="N38" s="49">
        <v>15.3</v>
      </c>
      <c r="O38" s="49">
        <v>15.3</v>
      </c>
      <c r="P38" s="49">
        <v>15.3</v>
      </c>
      <c r="Q38" s="47" t="s">
        <v>474</v>
      </c>
    </row>
    <row r="39" spans="1:17" ht="15" customHeight="1">
      <c r="A39" s="46" t="s">
        <v>399</v>
      </c>
      <c r="B39" s="47" t="s">
        <v>475</v>
      </c>
      <c r="C39" s="47" t="s">
        <v>476</v>
      </c>
      <c r="D39" s="48">
        <v>1</v>
      </c>
      <c r="E39" s="49">
        <v>20</v>
      </c>
      <c r="F39" s="48">
        <v>30</v>
      </c>
      <c r="G39" s="49">
        <v>229</v>
      </c>
      <c r="H39" s="49">
        <v>7.2</v>
      </c>
      <c r="I39" s="49">
        <v>7.2</v>
      </c>
      <c r="J39" s="49">
        <v>7.2</v>
      </c>
      <c r="K39" s="49">
        <v>7.2</v>
      </c>
      <c r="L39" s="49">
        <v>7.2</v>
      </c>
      <c r="M39" s="49">
        <v>6.3</v>
      </c>
      <c r="N39" s="49">
        <v>6.3</v>
      </c>
      <c r="O39" s="49">
        <v>6.3</v>
      </c>
      <c r="P39" s="49">
        <v>6.3</v>
      </c>
      <c r="Q39" s="47" t="s">
        <v>477</v>
      </c>
    </row>
    <row r="40" spans="1:17" ht="15" customHeight="1">
      <c r="A40" s="46" t="s">
        <v>399</v>
      </c>
      <c r="B40" s="47"/>
      <c r="C40" s="47" t="s">
        <v>478</v>
      </c>
      <c r="D40" s="48">
        <v>1</v>
      </c>
      <c r="E40" s="49">
        <v>20</v>
      </c>
      <c r="F40" s="48">
        <v>30</v>
      </c>
      <c r="G40" s="49">
        <v>255</v>
      </c>
      <c r="H40" s="49">
        <v>8.1</v>
      </c>
      <c r="I40" s="49">
        <v>8.1</v>
      </c>
      <c r="J40" s="49">
        <v>8.1</v>
      </c>
      <c r="K40" s="49">
        <v>8.1</v>
      </c>
      <c r="L40" s="49">
        <v>8.1</v>
      </c>
      <c r="M40" s="49">
        <v>7.2</v>
      </c>
      <c r="N40" s="49">
        <v>7.2</v>
      </c>
      <c r="O40" s="49">
        <v>7.2</v>
      </c>
      <c r="P40" s="49">
        <v>7.2</v>
      </c>
      <c r="Q40" s="47" t="s">
        <v>479</v>
      </c>
    </row>
    <row r="41" spans="1:17" ht="15" customHeight="1">
      <c r="A41" s="46" t="s">
        <v>399</v>
      </c>
      <c r="B41" s="47"/>
      <c r="C41" s="47" t="s">
        <v>480</v>
      </c>
      <c r="D41" s="48">
        <v>1</v>
      </c>
      <c r="E41" s="49">
        <v>20</v>
      </c>
      <c r="F41" s="48">
        <v>30</v>
      </c>
      <c r="G41" s="49">
        <v>281</v>
      </c>
      <c r="H41" s="49">
        <v>9</v>
      </c>
      <c r="I41" s="49">
        <v>9</v>
      </c>
      <c r="J41" s="49">
        <v>9</v>
      </c>
      <c r="K41" s="49">
        <v>9</v>
      </c>
      <c r="L41" s="49">
        <v>9</v>
      </c>
      <c r="M41" s="49">
        <v>8.1</v>
      </c>
      <c r="N41" s="49">
        <v>8.1</v>
      </c>
      <c r="O41" s="49">
        <v>8.1</v>
      </c>
      <c r="P41" s="49">
        <v>8.1</v>
      </c>
      <c r="Q41" s="47" t="s">
        <v>481</v>
      </c>
    </row>
    <row r="42" spans="1:17" ht="15" customHeight="1">
      <c r="A42" s="46" t="s">
        <v>399</v>
      </c>
      <c r="B42" s="47" t="s">
        <v>482</v>
      </c>
      <c r="C42" s="47" t="s">
        <v>483</v>
      </c>
      <c r="D42" s="48">
        <v>1</v>
      </c>
      <c r="E42" s="49">
        <v>20</v>
      </c>
      <c r="F42" s="48">
        <v>30</v>
      </c>
      <c r="G42" s="49">
        <v>229</v>
      </c>
      <c r="H42" s="49">
        <v>7.2</v>
      </c>
      <c r="I42" s="49">
        <v>7.2</v>
      </c>
      <c r="J42" s="49">
        <v>7.2</v>
      </c>
      <c r="K42" s="49">
        <v>7.2</v>
      </c>
      <c r="L42" s="49">
        <v>7.2</v>
      </c>
      <c r="M42" s="49">
        <v>6.3</v>
      </c>
      <c r="N42" s="49">
        <v>6.3</v>
      </c>
      <c r="O42" s="49">
        <v>6.3</v>
      </c>
      <c r="P42" s="49">
        <v>6.3</v>
      </c>
      <c r="Q42" s="47" t="s">
        <v>484</v>
      </c>
    </row>
    <row r="43" spans="1:17" ht="15" customHeight="1">
      <c r="A43" s="46" t="s">
        <v>399</v>
      </c>
      <c r="B43" s="47"/>
      <c r="C43" s="47" t="s">
        <v>485</v>
      </c>
      <c r="D43" s="48">
        <v>1</v>
      </c>
      <c r="E43" s="49">
        <v>20</v>
      </c>
      <c r="F43" s="48">
        <v>30</v>
      </c>
      <c r="G43" s="49">
        <v>255</v>
      </c>
      <c r="H43" s="49">
        <v>8.1</v>
      </c>
      <c r="I43" s="49">
        <v>8.1</v>
      </c>
      <c r="J43" s="49">
        <v>8.1</v>
      </c>
      <c r="K43" s="49">
        <v>8.1</v>
      </c>
      <c r="L43" s="49">
        <v>8.1</v>
      </c>
      <c r="M43" s="49">
        <v>7.2</v>
      </c>
      <c r="N43" s="49">
        <v>7.2</v>
      </c>
      <c r="O43" s="49">
        <v>7.2</v>
      </c>
      <c r="P43" s="49">
        <v>7.2</v>
      </c>
      <c r="Q43" s="47" t="s">
        <v>486</v>
      </c>
    </row>
    <row r="44" spans="1:17" ht="15" customHeight="1">
      <c r="A44" s="46" t="s">
        <v>399</v>
      </c>
      <c r="B44" s="47"/>
      <c r="C44" s="47" t="s">
        <v>487</v>
      </c>
      <c r="D44" s="48">
        <v>1</v>
      </c>
      <c r="E44" s="49">
        <v>20</v>
      </c>
      <c r="F44" s="48">
        <v>30</v>
      </c>
      <c r="G44" s="49">
        <v>281</v>
      </c>
      <c r="H44" s="49">
        <v>9</v>
      </c>
      <c r="I44" s="49">
        <v>9</v>
      </c>
      <c r="J44" s="49">
        <v>9</v>
      </c>
      <c r="K44" s="49">
        <v>9</v>
      </c>
      <c r="L44" s="49">
        <v>9</v>
      </c>
      <c r="M44" s="49">
        <v>8.1</v>
      </c>
      <c r="N44" s="49">
        <v>8.1</v>
      </c>
      <c r="O44" s="49">
        <v>8.1</v>
      </c>
      <c r="P44" s="49">
        <v>8.1</v>
      </c>
      <c r="Q44" s="47" t="s">
        <v>488</v>
      </c>
    </row>
    <row r="45" spans="1:17" ht="15" customHeight="1">
      <c r="A45" s="46" t="s">
        <v>399</v>
      </c>
      <c r="B45" s="47" t="s">
        <v>489</v>
      </c>
      <c r="C45" s="47" t="s">
        <v>490</v>
      </c>
      <c r="D45" s="48">
        <v>1</v>
      </c>
      <c r="E45" s="49">
        <v>20</v>
      </c>
      <c r="F45" s="48">
        <v>30</v>
      </c>
      <c r="G45" s="49">
        <v>307</v>
      </c>
      <c r="H45" s="49">
        <v>9.9</v>
      </c>
      <c r="I45" s="49">
        <v>9.9</v>
      </c>
      <c r="J45" s="49">
        <v>9.9</v>
      </c>
      <c r="K45" s="49">
        <v>9</v>
      </c>
      <c r="L45" s="49">
        <v>9</v>
      </c>
      <c r="M45" s="49">
        <v>8.1</v>
      </c>
      <c r="N45" s="49">
        <v>8.1</v>
      </c>
      <c r="O45" s="49">
        <v>8.1</v>
      </c>
      <c r="P45" s="49">
        <v>8.1</v>
      </c>
      <c r="Q45" s="47" t="s">
        <v>491</v>
      </c>
    </row>
    <row r="46" spans="1:17" ht="15" customHeight="1">
      <c r="A46" s="46" t="s">
        <v>399</v>
      </c>
      <c r="B46" s="47"/>
      <c r="C46" s="47" t="s">
        <v>492</v>
      </c>
      <c r="D46" s="48">
        <v>1</v>
      </c>
      <c r="E46" s="49">
        <v>20</v>
      </c>
      <c r="F46" s="48">
        <v>30</v>
      </c>
      <c r="G46" s="49">
        <v>333</v>
      </c>
      <c r="H46" s="49">
        <v>10.8</v>
      </c>
      <c r="I46" s="49">
        <v>10.8</v>
      </c>
      <c r="J46" s="49">
        <v>10.8</v>
      </c>
      <c r="K46" s="49">
        <v>9.9</v>
      </c>
      <c r="L46" s="49">
        <v>9.9</v>
      </c>
      <c r="M46" s="49">
        <v>9</v>
      </c>
      <c r="N46" s="49">
        <v>9</v>
      </c>
      <c r="O46" s="49">
        <v>9</v>
      </c>
      <c r="P46" s="49">
        <v>9</v>
      </c>
      <c r="Q46" s="47" t="s">
        <v>493</v>
      </c>
    </row>
    <row r="47" spans="1:17" ht="15" customHeight="1">
      <c r="A47" s="46" t="s">
        <v>399</v>
      </c>
      <c r="B47" s="47"/>
      <c r="C47" s="47" t="s">
        <v>494</v>
      </c>
      <c r="D47" s="48">
        <v>1</v>
      </c>
      <c r="E47" s="49">
        <v>20</v>
      </c>
      <c r="F47" s="48">
        <v>30</v>
      </c>
      <c r="G47" s="49">
        <v>385</v>
      </c>
      <c r="H47" s="49">
        <v>12.6</v>
      </c>
      <c r="I47" s="49">
        <v>12.6</v>
      </c>
      <c r="J47" s="49">
        <v>12.6</v>
      </c>
      <c r="K47" s="49">
        <v>11.7</v>
      </c>
      <c r="L47" s="49">
        <v>11.7</v>
      </c>
      <c r="M47" s="49">
        <v>10.8</v>
      </c>
      <c r="N47" s="49">
        <v>10.8</v>
      </c>
      <c r="O47" s="49">
        <v>10.8</v>
      </c>
      <c r="P47" s="49">
        <v>10.8</v>
      </c>
      <c r="Q47" s="47" t="s">
        <v>495</v>
      </c>
    </row>
    <row r="48" spans="1:17" ht="15" customHeight="1">
      <c r="A48" s="46" t="s">
        <v>399</v>
      </c>
      <c r="B48" s="47" t="s">
        <v>496</v>
      </c>
      <c r="C48" s="47" t="s">
        <v>497</v>
      </c>
      <c r="D48" s="48">
        <v>1</v>
      </c>
      <c r="E48" s="49">
        <v>20</v>
      </c>
      <c r="F48" s="48">
        <v>30</v>
      </c>
      <c r="G48" s="49">
        <v>281</v>
      </c>
      <c r="H48" s="49">
        <v>9</v>
      </c>
      <c r="I48" s="49">
        <v>9</v>
      </c>
      <c r="J48" s="49">
        <v>9</v>
      </c>
      <c r="K48" s="49">
        <v>8.1</v>
      </c>
      <c r="L48" s="49">
        <v>7.2</v>
      </c>
      <c r="M48" s="49">
        <v>7.2</v>
      </c>
      <c r="N48" s="49">
        <v>7.2</v>
      </c>
      <c r="O48" s="49">
        <v>7.2</v>
      </c>
      <c r="P48" s="49">
        <v>7.2</v>
      </c>
      <c r="Q48" s="47" t="s">
        <v>498</v>
      </c>
    </row>
    <row r="49" spans="1:17" ht="15" customHeight="1">
      <c r="A49" s="46" t="s">
        <v>399</v>
      </c>
      <c r="B49" s="47" t="s">
        <v>499</v>
      </c>
      <c r="C49" s="47" t="s">
        <v>122</v>
      </c>
      <c r="D49" s="48">
        <v>1</v>
      </c>
      <c r="E49" s="49">
        <v>20</v>
      </c>
      <c r="F49" s="48">
        <v>15</v>
      </c>
      <c r="G49" s="49">
        <v>133</v>
      </c>
      <c r="H49" s="49">
        <v>8.1</v>
      </c>
      <c r="I49" s="49">
        <v>8.1</v>
      </c>
      <c r="J49" s="49">
        <v>8.1</v>
      </c>
      <c r="K49" s="49">
        <v>7.2</v>
      </c>
      <c r="L49" s="49">
        <v>6.3</v>
      </c>
      <c r="M49" s="49">
        <v>6.3</v>
      </c>
      <c r="N49" s="49">
        <v>6.3</v>
      </c>
      <c r="O49" s="49">
        <v>6.3</v>
      </c>
      <c r="P49" s="49">
        <v>6.3</v>
      </c>
      <c r="Q49" s="47" t="s">
        <v>500</v>
      </c>
    </row>
    <row r="50" spans="1:17" ht="15" customHeight="1">
      <c r="A50" s="46" t="s">
        <v>399</v>
      </c>
      <c r="B50" s="47" t="s">
        <v>501</v>
      </c>
      <c r="C50" s="47" t="s">
        <v>124</v>
      </c>
      <c r="D50" s="48">
        <v>1</v>
      </c>
      <c r="E50" s="49">
        <v>20</v>
      </c>
      <c r="F50" s="48">
        <v>30</v>
      </c>
      <c r="G50" s="49">
        <v>255</v>
      </c>
      <c r="H50" s="49">
        <v>8.1</v>
      </c>
      <c r="I50" s="49">
        <v>8.1</v>
      </c>
      <c r="J50" s="49">
        <v>8.1</v>
      </c>
      <c r="K50" s="49">
        <v>8.1</v>
      </c>
      <c r="L50" s="49">
        <v>7.2</v>
      </c>
      <c r="M50" s="49">
        <v>6.3</v>
      </c>
      <c r="N50" s="49">
        <v>6.3</v>
      </c>
      <c r="O50" s="49">
        <v>6.3</v>
      </c>
      <c r="P50" s="49">
        <v>6.3</v>
      </c>
      <c r="Q50" s="47" t="s">
        <v>502</v>
      </c>
    </row>
    <row r="51" spans="1:17" ht="15" customHeight="1">
      <c r="A51" s="46" t="s">
        <v>399</v>
      </c>
      <c r="B51" s="47"/>
      <c r="C51" s="47" t="s">
        <v>503</v>
      </c>
      <c r="D51" s="48">
        <v>1</v>
      </c>
      <c r="E51" s="49">
        <v>20</v>
      </c>
      <c r="F51" s="48">
        <v>30</v>
      </c>
      <c r="G51" s="49">
        <v>255</v>
      </c>
      <c r="H51" s="49">
        <v>8.1</v>
      </c>
      <c r="I51" s="49">
        <v>8.1</v>
      </c>
      <c r="J51" s="49">
        <v>8.1</v>
      </c>
      <c r="K51" s="49">
        <v>8.1</v>
      </c>
      <c r="L51" s="49">
        <v>7.2</v>
      </c>
      <c r="M51" s="49">
        <v>6.3</v>
      </c>
      <c r="N51" s="49">
        <v>6.3</v>
      </c>
      <c r="O51" s="49">
        <v>6.3</v>
      </c>
      <c r="P51" s="49">
        <v>6.3</v>
      </c>
      <c r="Q51" s="47" t="s">
        <v>504</v>
      </c>
    </row>
    <row r="52" spans="1:17" ht="15" customHeight="1">
      <c r="A52" s="46" t="s">
        <v>399</v>
      </c>
      <c r="B52" s="47"/>
      <c r="C52" s="47" t="s">
        <v>505</v>
      </c>
      <c r="D52" s="48">
        <v>1</v>
      </c>
      <c r="E52" s="49">
        <v>20</v>
      </c>
      <c r="F52" s="48">
        <v>30</v>
      </c>
      <c r="G52" s="49">
        <v>307</v>
      </c>
      <c r="H52" s="49">
        <v>9.9</v>
      </c>
      <c r="I52" s="49">
        <v>9.9</v>
      </c>
      <c r="J52" s="49">
        <v>9.9</v>
      </c>
      <c r="K52" s="49">
        <v>9.9</v>
      </c>
      <c r="L52" s="49">
        <v>9</v>
      </c>
      <c r="M52" s="49">
        <v>8.1</v>
      </c>
      <c r="N52" s="49">
        <v>8.1</v>
      </c>
      <c r="O52" s="49">
        <v>8.1</v>
      </c>
      <c r="P52" s="49">
        <v>8.1</v>
      </c>
      <c r="Q52" s="47" t="s">
        <v>506</v>
      </c>
    </row>
    <row r="53" spans="1:17" ht="15" customHeight="1">
      <c r="A53" s="46" t="s">
        <v>399</v>
      </c>
      <c r="B53" s="47" t="s">
        <v>507</v>
      </c>
      <c r="C53" s="47" t="s">
        <v>130</v>
      </c>
      <c r="D53" s="48">
        <v>1</v>
      </c>
      <c r="E53" s="49">
        <v>20</v>
      </c>
      <c r="F53" s="48">
        <v>30</v>
      </c>
      <c r="G53" s="49">
        <v>307</v>
      </c>
      <c r="H53" s="49">
        <v>9.9</v>
      </c>
      <c r="I53" s="49">
        <v>9.9</v>
      </c>
      <c r="J53" s="49">
        <v>9.9</v>
      </c>
      <c r="K53" s="49">
        <v>9</v>
      </c>
      <c r="L53" s="49">
        <v>9</v>
      </c>
      <c r="M53" s="49">
        <v>8.1</v>
      </c>
      <c r="N53" s="49">
        <v>8.1</v>
      </c>
      <c r="O53" s="49">
        <v>8.1</v>
      </c>
      <c r="P53" s="49">
        <v>8.1</v>
      </c>
      <c r="Q53" s="47" t="s">
        <v>508</v>
      </c>
    </row>
    <row r="54" spans="1:17" ht="15" customHeight="1">
      <c r="A54" s="46" t="s">
        <v>399</v>
      </c>
      <c r="B54" s="47"/>
      <c r="C54" s="47" t="s">
        <v>509</v>
      </c>
      <c r="D54" s="48">
        <v>1</v>
      </c>
      <c r="E54" s="49">
        <v>20</v>
      </c>
      <c r="F54" s="48">
        <v>30</v>
      </c>
      <c r="G54" s="49">
        <v>307</v>
      </c>
      <c r="H54" s="49">
        <v>9.9</v>
      </c>
      <c r="I54" s="49">
        <v>9.9</v>
      </c>
      <c r="J54" s="49">
        <v>9.9</v>
      </c>
      <c r="K54" s="49">
        <v>9</v>
      </c>
      <c r="L54" s="49">
        <v>9</v>
      </c>
      <c r="M54" s="49">
        <v>8.1</v>
      </c>
      <c r="N54" s="49">
        <v>8.1</v>
      </c>
      <c r="O54" s="49">
        <v>8.1</v>
      </c>
      <c r="P54" s="49">
        <v>8.1</v>
      </c>
      <c r="Q54" s="47" t="s">
        <v>510</v>
      </c>
    </row>
    <row r="55" spans="1:17" ht="15" customHeight="1">
      <c r="A55" s="46" t="s">
        <v>399</v>
      </c>
      <c r="B55" s="47"/>
      <c r="C55" s="47" t="s">
        <v>511</v>
      </c>
      <c r="D55" s="48">
        <v>1</v>
      </c>
      <c r="E55" s="49">
        <v>20</v>
      </c>
      <c r="F55" s="48">
        <v>30</v>
      </c>
      <c r="G55" s="49">
        <v>307</v>
      </c>
      <c r="H55" s="49">
        <v>9.9</v>
      </c>
      <c r="I55" s="49">
        <v>9.9</v>
      </c>
      <c r="J55" s="49">
        <v>9.9</v>
      </c>
      <c r="K55" s="49">
        <v>9</v>
      </c>
      <c r="L55" s="49">
        <v>9</v>
      </c>
      <c r="M55" s="49">
        <v>8.1</v>
      </c>
      <c r="N55" s="49">
        <v>8.1</v>
      </c>
      <c r="O55" s="49">
        <v>8.1</v>
      </c>
      <c r="P55" s="49">
        <v>8.1</v>
      </c>
      <c r="Q55" s="47" t="s">
        <v>512</v>
      </c>
    </row>
    <row r="56" spans="1:17" ht="15" customHeight="1">
      <c r="A56" s="46" t="s">
        <v>399</v>
      </c>
      <c r="B56" s="47" t="s">
        <v>513</v>
      </c>
      <c r="C56" s="47" t="s">
        <v>133</v>
      </c>
      <c r="D56" s="48">
        <v>1</v>
      </c>
      <c r="E56" s="49">
        <v>20</v>
      </c>
      <c r="F56" s="48">
        <v>30</v>
      </c>
      <c r="G56" s="49">
        <v>490</v>
      </c>
      <c r="H56" s="49">
        <v>16.2</v>
      </c>
      <c r="I56" s="49">
        <v>16.2</v>
      </c>
      <c r="J56" s="49">
        <v>16.2</v>
      </c>
      <c r="K56" s="49">
        <v>16.2</v>
      </c>
      <c r="L56" s="49">
        <v>16.2</v>
      </c>
      <c r="M56" s="49">
        <v>15.3</v>
      </c>
      <c r="N56" s="49">
        <v>14.4</v>
      </c>
      <c r="O56" s="49">
        <v>14.4</v>
      </c>
      <c r="P56" s="49">
        <v>14.4</v>
      </c>
      <c r="Q56" s="47" t="s">
        <v>514</v>
      </c>
    </row>
    <row r="57" spans="1:17" ht="15" customHeight="1">
      <c r="A57" s="46" t="s">
        <v>399</v>
      </c>
      <c r="B57" s="47"/>
      <c r="C57" s="47" t="s">
        <v>515</v>
      </c>
      <c r="D57" s="48">
        <v>1</v>
      </c>
      <c r="E57" s="49">
        <v>20</v>
      </c>
      <c r="F57" s="48">
        <v>30</v>
      </c>
      <c r="G57" s="49">
        <v>542</v>
      </c>
      <c r="H57" s="49">
        <v>18</v>
      </c>
      <c r="I57" s="49">
        <v>18</v>
      </c>
      <c r="J57" s="49">
        <v>18</v>
      </c>
      <c r="K57" s="49">
        <v>18</v>
      </c>
      <c r="L57" s="49">
        <v>17.100000000000001</v>
      </c>
      <c r="M57" s="49">
        <v>17.100000000000001</v>
      </c>
      <c r="N57" s="49">
        <v>16.2</v>
      </c>
      <c r="O57" s="49">
        <v>16.2</v>
      </c>
      <c r="P57" s="49">
        <v>16.2</v>
      </c>
      <c r="Q57" s="47" t="s">
        <v>516</v>
      </c>
    </row>
    <row r="58" spans="1:17" ht="15" customHeight="1">
      <c r="A58" s="46" t="s">
        <v>399</v>
      </c>
      <c r="B58" s="47" t="s">
        <v>517</v>
      </c>
      <c r="C58" s="47" t="s">
        <v>518</v>
      </c>
      <c r="D58" s="48">
        <v>1</v>
      </c>
      <c r="E58" s="49">
        <v>20</v>
      </c>
      <c r="F58" s="48">
        <v>30</v>
      </c>
      <c r="G58" s="49">
        <v>255</v>
      </c>
      <c r="H58" s="49">
        <v>8.1</v>
      </c>
      <c r="I58" s="49">
        <v>8.1</v>
      </c>
      <c r="J58" s="49">
        <v>8.1</v>
      </c>
      <c r="K58" s="49">
        <v>8.1</v>
      </c>
      <c r="L58" s="49">
        <v>7.2</v>
      </c>
      <c r="M58" s="49">
        <v>7.2</v>
      </c>
      <c r="N58" s="49">
        <v>7.2</v>
      </c>
      <c r="O58" s="49">
        <v>7.2</v>
      </c>
      <c r="P58" s="49">
        <v>7.2</v>
      </c>
      <c r="Q58" s="47" t="s">
        <v>519</v>
      </c>
    </row>
    <row r="59" spans="1:17" ht="15" customHeight="1">
      <c r="A59" s="46" t="s">
        <v>399</v>
      </c>
      <c r="B59" s="47"/>
      <c r="C59" s="47" t="s">
        <v>520</v>
      </c>
      <c r="D59" s="48">
        <v>1</v>
      </c>
      <c r="E59" s="49">
        <v>20</v>
      </c>
      <c r="F59" s="48">
        <v>30</v>
      </c>
      <c r="G59" s="49">
        <v>281</v>
      </c>
      <c r="H59" s="49">
        <v>9</v>
      </c>
      <c r="I59" s="49">
        <v>9</v>
      </c>
      <c r="J59" s="49">
        <v>9</v>
      </c>
      <c r="K59" s="49">
        <v>9</v>
      </c>
      <c r="L59" s="49">
        <v>8.1</v>
      </c>
      <c r="M59" s="49">
        <v>8.1</v>
      </c>
      <c r="N59" s="49">
        <v>8.1</v>
      </c>
      <c r="O59" s="49">
        <v>8.1</v>
      </c>
      <c r="P59" s="49">
        <v>8.1</v>
      </c>
      <c r="Q59" s="47" t="s">
        <v>521</v>
      </c>
    </row>
    <row r="60" spans="1:17" ht="15" customHeight="1">
      <c r="A60" s="46" t="s">
        <v>399</v>
      </c>
      <c r="B60" s="47"/>
      <c r="C60" s="47" t="s">
        <v>522</v>
      </c>
      <c r="D60" s="48">
        <v>1</v>
      </c>
      <c r="E60" s="49">
        <v>20</v>
      </c>
      <c r="F60" s="48">
        <v>30</v>
      </c>
      <c r="G60" s="49">
        <v>307</v>
      </c>
      <c r="H60" s="49">
        <v>9.9</v>
      </c>
      <c r="I60" s="49">
        <v>9.9</v>
      </c>
      <c r="J60" s="49">
        <v>9.9</v>
      </c>
      <c r="K60" s="49">
        <v>9.9</v>
      </c>
      <c r="L60" s="49">
        <v>9</v>
      </c>
      <c r="M60" s="49">
        <v>9</v>
      </c>
      <c r="N60" s="49">
        <v>9</v>
      </c>
      <c r="O60" s="49">
        <v>9</v>
      </c>
      <c r="P60" s="49">
        <v>9</v>
      </c>
      <c r="Q60" s="47" t="s">
        <v>523</v>
      </c>
    </row>
    <row r="61" spans="1:17" ht="15" customHeight="1">
      <c r="A61" s="46" t="s">
        <v>399</v>
      </c>
      <c r="B61" s="47" t="s">
        <v>524</v>
      </c>
      <c r="C61" s="47" t="s">
        <v>525</v>
      </c>
      <c r="D61" s="48">
        <v>1</v>
      </c>
      <c r="E61" s="49">
        <v>20</v>
      </c>
      <c r="F61" s="48">
        <v>15</v>
      </c>
      <c r="G61" s="49">
        <v>133</v>
      </c>
      <c r="H61" s="49">
        <v>8.1</v>
      </c>
      <c r="I61" s="49">
        <v>8.1</v>
      </c>
      <c r="J61" s="49">
        <v>8.1</v>
      </c>
      <c r="K61" s="49">
        <v>7.2</v>
      </c>
      <c r="L61" s="49">
        <v>6.3</v>
      </c>
      <c r="M61" s="49">
        <v>6.3</v>
      </c>
      <c r="N61" s="49">
        <v>6.3</v>
      </c>
      <c r="O61" s="49">
        <v>6.3</v>
      </c>
      <c r="P61" s="49">
        <v>6.3</v>
      </c>
      <c r="Q61" s="47" t="s">
        <v>526</v>
      </c>
    </row>
    <row r="62" spans="1:17" ht="15" customHeight="1">
      <c r="A62" s="46" t="s">
        <v>399</v>
      </c>
      <c r="B62" s="47"/>
      <c r="C62" s="47" t="s">
        <v>527</v>
      </c>
      <c r="D62" s="48">
        <v>1</v>
      </c>
      <c r="E62" s="49">
        <v>20</v>
      </c>
      <c r="F62" s="48">
        <v>15</v>
      </c>
      <c r="G62" s="49">
        <v>133</v>
      </c>
      <c r="H62" s="49">
        <v>8.1</v>
      </c>
      <c r="I62" s="49">
        <v>8.1</v>
      </c>
      <c r="J62" s="49">
        <v>8.1</v>
      </c>
      <c r="K62" s="49">
        <v>7.2</v>
      </c>
      <c r="L62" s="49">
        <v>6.3</v>
      </c>
      <c r="M62" s="49">
        <v>6.3</v>
      </c>
      <c r="N62" s="49">
        <v>6.3</v>
      </c>
      <c r="O62" s="49">
        <v>6.3</v>
      </c>
      <c r="P62" s="49">
        <v>6.3</v>
      </c>
      <c r="Q62" s="47" t="s">
        <v>528</v>
      </c>
    </row>
    <row r="63" spans="1:17" ht="15" customHeight="1">
      <c r="A63" s="46" t="s">
        <v>399</v>
      </c>
      <c r="B63" s="47"/>
      <c r="C63" s="47" t="s">
        <v>529</v>
      </c>
      <c r="D63" s="48">
        <v>1</v>
      </c>
      <c r="E63" s="49">
        <v>20</v>
      </c>
      <c r="F63" s="48">
        <v>15</v>
      </c>
      <c r="G63" s="49">
        <v>159</v>
      </c>
      <c r="H63" s="49">
        <v>9.9</v>
      </c>
      <c r="I63" s="49">
        <v>9.9</v>
      </c>
      <c r="J63" s="49">
        <v>9.9</v>
      </c>
      <c r="K63" s="49">
        <v>9</v>
      </c>
      <c r="L63" s="49">
        <v>8.1</v>
      </c>
      <c r="M63" s="49">
        <v>8.1</v>
      </c>
      <c r="N63" s="49">
        <v>8.1</v>
      </c>
      <c r="O63" s="49">
        <v>8.1</v>
      </c>
      <c r="P63" s="49">
        <v>8.1</v>
      </c>
      <c r="Q63" s="47" t="s">
        <v>530</v>
      </c>
    </row>
    <row r="64" spans="1:17" ht="15" customHeight="1">
      <c r="A64" s="46" t="s">
        <v>399</v>
      </c>
      <c r="B64" s="47"/>
      <c r="C64" s="47" t="s">
        <v>531</v>
      </c>
      <c r="D64" s="48">
        <v>1</v>
      </c>
      <c r="E64" s="49">
        <v>20</v>
      </c>
      <c r="F64" s="48">
        <v>30</v>
      </c>
      <c r="G64" s="49">
        <v>281</v>
      </c>
      <c r="H64" s="49">
        <v>9</v>
      </c>
      <c r="I64" s="49">
        <v>9</v>
      </c>
      <c r="J64" s="49">
        <v>9</v>
      </c>
      <c r="K64" s="49">
        <v>8.1</v>
      </c>
      <c r="L64" s="49">
        <v>7.2</v>
      </c>
      <c r="M64" s="49">
        <v>6.3</v>
      </c>
      <c r="N64" s="49">
        <v>6.3</v>
      </c>
      <c r="O64" s="49">
        <v>6.3</v>
      </c>
      <c r="P64" s="49">
        <v>6.3</v>
      </c>
      <c r="Q64" s="47" t="s">
        <v>532</v>
      </c>
    </row>
    <row r="65" spans="1:17" ht="15" customHeight="1">
      <c r="A65" s="46" t="s">
        <v>399</v>
      </c>
      <c r="B65" s="47" t="s">
        <v>533</v>
      </c>
      <c r="C65" s="47" t="s">
        <v>142</v>
      </c>
      <c r="D65" s="48">
        <v>1</v>
      </c>
      <c r="E65" s="49">
        <v>20</v>
      </c>
      <c r="F65" s="48">
        <v>30</v>
      </c>
      <c r="G65" s="49">
        <v>438</v>
      </c>
      <c r="H65" s="49">
        <v>14.4</v>
      </c>
      <c r="I65" s="49">
        <v>14.4</v>
      </c>
      <c r="J65" s="49">
        <v>14.4</v>
      </c>
      <c r="K65" s="49">
        <v>12.6</v>
      </c>
      <c r="L65" s="49">
        <v>12.6</v>
      </c>
      <c r="M65" s="49">
        <v>12.6</v>
      </c>
      <c r="N65" s="49">
        <v>12.6</v>
      </c>
      <c r="O65" s="49">
        <v>11.7</v>
      </c>
      <c r="P65" s="49">
        <v>11.7</v>
      </c>
      <c r="Q65" s="47" t="s">
        <v>534</v>
      </c>
    </row>
    <row r="66" spans="1:17" ht="15" customHeight="1">
      <c r="A66" s="46" t="s">
        <v>399</v>
      </c>
      <c r="B66" s="47"/>
      <c r="C66" s="47" t="s">
        <v>143</v>
      </c>
      <c r="D66" s="48">
        <v>1</v>
      </c>
      <c r="E66" s="49">
        <v>20</v>
      </c>
      <c r="F66" s="48">
        <v>30</v>
      </c>
      <c r="G66" s="49">
        <v>438</v>
      </c>
      <c r="H66" s="49">
        <v>14.4</v>
      </c>
      <c r="I66" s="49">
        <v>14.4</v>
      </c>
      <c r="J66" s="49">
        <v>14.4</v>
      </c>
      <c r="K66" s="49">
        <v>12.6</v>
      </c>
      <c r="L66" s="49">
        <v>12.6</v>
      </c>
      <c r="M66" s="49">
        <v>12.6</v>
      </c>
      <c r="N66" s="49">
        <v>12.6</v>
      </c>
      <c r="O66" s="49">
        <v>11.7</v>
      </c>
      <c r="P66" s="49">
        <v>11.7</v>
      </c>
      <c r="Q66" s="47" t="s">
        <v>535</v>
      </c>
    </row>
    <row r="67" spans="1:17" ht="15" customHeight="1">
      <c r="A67" s="46" t="s">
        <v>399</v>
      </c>
      <c r="B67" s="47"/>
      <c r="C67" s="47" t="s">
        <v>536</v>
      </c>
      <c r="D67" s="48">
        <v>1</v>
      </c>
      <c r="E67" s="49">
        <v>20</v>
      </c>
      <c r="F67" s="48">
        <v>30</v>
      </c>
      <c r="G67" s="49">
        <v>516</v>
      </c>
      <c r="H67" s="49">
        <v>17.100000000000001</v>
      </c>
      <c r="I67" s="49">
        <v>17.100000000000001</v>
      </c>
      <c r="J67" s="49">
        <v>17.100000000000001</v>
      </c>
      <c r="K67" s="49">
        <v>15.3</v>
      </c>
      <c r="L67" s="49">
        <v>15.3</v>
      </c>
      <c r="M67" s="49">
        <v>15.3</v>
      </c>
      <c r="N67" s="49">
        <v>15.3</v>
      </c>
      <c r="O67" s="49">
        <v>14.4</v>
      </c>
      <c r="P67" s="49">
        <v>14.4</v>
      </c>
      <c r="Q67" s="47" t="s">
        <v>537</v>
      </c>
    </row>
    <row r="68" spans="1:17" ht="15" customHeight="1">
      <c r="A68" s="46" t="s">
        <v>399</v>
      </c>
      <c r="B68" s="47" t="s">
        <v>538</v>
      </c>
      <c r="C68" s="47" t="s">
        <v>145</v>
      </c>
      <c r="D68" s="48">
        <v>1</v>
      </c>
      <c r="E68" s="49">
        <v>20</v>
      </c>
      <c r="F68" s="48">
        <v>30</v>
      </c>
      <c r="G68" s="49">
        <v>490</v>
      </c>
      <c r="H68" s="49">
        <v>16.2</v>
      </c>
      <c r="I68" s="49">
        <v>16.2</v>
      </c>
      <c r="J68" s="49">
        <v>16.2</v>
      </c>
      <c r="K68" s="49">
        <v>14.4</v>
      </c>
      <c r="L68" s="49">
        <v>14.4</v>
      </c>
      <c r="M68" s="49">
        <v>14.4</v>
      </c>
      <c r="N68" s="49">
        <v>13.5</v>
      </c>
      <c r="O68" s="49">
        <v>13.5</v>
      </c>
      <c r="P68" s="49">
        <v>13.5</v>
      </c>
      <c r="Q68" s="47" t="s">
        <v>539</v>
      </c>
    </row>
    <row r="69" spans="1:17" ht="15" customHeight="1">
      <c r="A69" s="46" t="s">
        <v>399</v>
      </c>
      <c r="B69" s="47"/>
      <c r="C69" s="47" t="s">
        <v>540</v>
      </c>
      <c r="D69" s="48">
        <v>1</v>
      </c>
      <c r="E69" s="49">
        <v>20</v>
      </c>
      <c r="F69" s="48">
        <v>30</v>
      </c>
      <c r="G69" s="49">
        <v>542</v>
      </c>
      <c r="H69" s="49">
        <v>18</v>
      </c>
      <c r="I69" s="49">
        <v>18</v>
      </c>
      <c r="J69" s="49">
        <v>18</v>
      </c>
      <c r="K69" s="49">
        <v>16.2</v>
      </c>
      <c r="L69" s="49">
        <v>16.2</v>
      </c>
      <c r="M69" s="49">
        <v>16.2</v>
      </c>
      <c r="N69" s="49">
        <v>15.3</v>
      </c>
      <c r="O69" s="49">
        <v>15.3</v>
      </c>
      <c r="P69" s="49">
        <v>15.3</v>
      </c>
      <c r="Q69" s="47" t="s">
        <v>541</v>
      </c>
    </row>
    <row r="70" spans="1:17" ht="15" customHeight="1">
      <c r="A70" s="46" t="s">
        <v>399</v>
      </c>
      <c r="B70" s="47" t="s">
        <v>542</v>
      </c>
      <c r="C70" s="47" t="s">
        <v>543</v>
      </c>
      <c r="D70" s="48">
        <v>1</v>
      </c>
      <c r="E70" s="49">
        <v>20</v>
      </c>
      <c r="F70" s="48">
        <v>30</v>
      </c>
      <c r="G70" s="49">
        <v>255</v>
      </c>
      <c r="H70" s="49">
        <v>8.1</v>
      </c>
      <c r="I70" s="49">
        <v>8.1</v>
      </c>
      <c r="J70" s="49">
        <v>8.1</v>
      </c>
      <c r="K70" s="49">
        <v>8.1</v>
      </c>
      <c r="L70" s="49">
        <v>8.1</v>
      </c>
      <c r="M70" s="49">
        <v>8.1</v>
      </c>
      <c r="N70" s="49">
        <v>8.1</v>
      </c>
      <c r="O70" s="49">
        <v>8.1</v>
      </c>
      <c r="P70" s="49">
        <v>8.1</v>
      </c>
      <c r="Q70" s="47" t="s">
        <v>544</v>
      </c>
    </row>
    <row r="71" spans="1:17" ht="15" customHeight="1">
      <c r="A71" s="46" t="s">
        <v>399</v>
      </c>
      <c r="B71" s="47"/>
      <c r="C71" s="47" t="s">
        <v>148</v>
      </c>
      <c r="D71" s="48">
        <v>1</v>
      </c>
      <c r="E71" s="49">
        <v>20</v>
      </c>
      <c r="F71" s="48">
        <v>30</v>
      </c>
      <c r="G71" s="49">
        <v>263</v>
      </c>
      <c r="H71" s="49">
        <v>9</v>
      </c>
      <c r="I71" s="49">
        <v>8.1</v>
      </c>
      <c r="J71" s="49">
        <v>8.1</v>
      </c>
      <c r="K71" s="49">
        <v>8.1</v>
      </c>
      <c r="L71" s="49">
        <v>7.2</v>
      </c>
      <c r="M71" s="49">
        <v>7.2</v>
      </c>
      <c r="N71" s="49">
        <v>7.2</v>
      </c>
      <c r="O71" s="49">
        <v>7.2</v>
      </c>
      <c r="P71" s="49">
        <v>7.2</v>
      </c>
      <c r="Q71" s="47" t="s">
        <v>545</v>
      </c>
    </row>
    <row r="72" spans="1:17" ht="15" customHeight="1">
      <c r="A72" s="46" t="s">
        <v>399</v>
      </c>
      <c r="B72" s="47"/>
      <c r="C72" s="47" t="s">
        <v>546</v>
      </c>
      <c r="D72" s="48">
        <v>1</v>
      </c>
      <c r="E72" s="49">
        <v>20</v>
      </c>
      <c r="F72" s="48">
        <v>30</v>
      </c>
      <c r="G72" s="49">
        <v>307</v>
      </c>
      <c r="H72" s="49">
        <v>9.9</v>
      </c>
      <c r="I72" s="49">
        <v>9.9</v>
      </c>
      <c r="J72" s="49">
        <v>9.9</v>
      </c>
      <c r="K72" s="49">
        <v>9.9</v>
      </c>
      <c r="L72" s="49">
        <v>9.9</v>
      </c>
      <c r="M72" s="49">
        <v>9.9</v>
      </c>
      <c r="N72" s="49">
        <v>9.9</v>
      </c>
      <c r="O72" s="49">
        <v>9.9</v>
      </c>
      <c r="P72" s="49">
        <v>9.9</v>
      </c>
      <c r="Q72" s="47" t="s">
        <v>547</v>
      </c>
    </row>
    <row r="73" spans="1:17" ht="15" customHeight="1">
      <c r="A73" s="46" t="s">
        <v>399</v>
      </c>
      <c r="B73" s="47" t="s">
        <v>548</v>
      </c>
      <c r="C73" s="47" t="s">
        <v>150</v>
      </c>
      <c r="D73" s="48">
        <v>1</v>
      </c>
      <c r="E73" s="49">
        <v>20</v>
      </c>
      <c r="F73" s="48">
        <v>30</v>
      </c>
      <c r="G73" s="49">
        <v>333</v>
      </c>
      <c r="H73" s="49">
        <v>10.8</v>
      </c>
      <c r="I73" s="49">
        <v>10.8</v>
      </c>
      <c r="J73" s="49">
        <v>10.8</v>
      </c>
      <c r="K73" s="49">
        <v>9.9</v>
      </c>
      <c r="L73" s="49">
        <v>9.9</v>
      </c>
      <c r="M73" s="49">
        <v>9</v>
      </c>
      <c r="N73" s="49">
        <v>9</v>
      </c>
      <c r="O73" s="49">
        <v>9</v>
      </c>
      <c r="P73" s="49">
        <v>9</v>
      </c>
      <c r="Q73" s="47" t="s">
        <v>549</v>
      </c>
    </row>
    <row r="74" spans="1:17" ht="15" customHeight="1">
      <c r="A74" s="46" t="s">
        <v>399</v>
      </c>
      <c r="B74" s="47"/>
      <c r="C74" s="47" t="s">
        <v>550</v>
      </c>
      <c r="D74" s="48">
        <v>1</v>
      </c>
      <c r="E74" s="49">
        <v>20</v>
      </c>
      <c r="F74" s="48">
        <v>30</v>
      </c>
      <c r="G74" s="49">
        <v>385</v>
      </c>
      <c r="H74" s="49">
        <v>12.6</v>
      </c>
      <c r="I74" s="49">
        <v>12.6</v>
      </c>
      <c r="J74" s="49">
        <v>12.6</v>
      </c>
      <c r="K74" s="49">
        <v>11.7</v>
      </c>
      <c r="L74" s="49">
        <v>11.7</v>
      </c>
      <c r="M74" s="49">
        <v>10.8</v>
      </c>
      <c r="N74" s="49">
        <v>10.8</v>
      </c>
      <c r="O74" s="49">
        <v>10.8</v>
      </c>
      <c r="P74" s="49">
        <v>10.8</v>
      </c>
      <c r="Q74" s="47" t="s">
        <v>551</v>
      </c>
    </row>
    <row r="75" spans="1:17" ht="15" customHeight="1">
      <c r="A75" s="46" t="s">
        <v>399</v>
      </c>
      <c r="B75" s="47" t="s">
        <v>552</v>
      </c>
      <c r="C75" s="47" t="s">
        <v>152</v>
      </c>
      <c r="D75" s="48">
        <v>1</v>
      </c>
      <c r="E75" s="49">
        <v>20</v>
      </c>
      <c r="F75" s="48">
        <v>20</v>
      </c>
      <c r="G75" s="49">
        <v>157</v>
      </c>
      <c r="H75" s="49">
        <v>7.2</v>
      </c>
      <c r="I75" s="49">
        <v>7.2</v>
      </c>
      <c r="J75" s="49">
        <v>7.2</v>
      </c>
      <c r="K75" s="49">
        <v>7.2</v>
      </c>
      <c r="L75" s="49">
        <v>6.3</v>
      </c>
      <c r="M75" s="49">
        <v>6.3</v>
      </c>
      <c r="N75" s="49">
        <v>6.3</v>
      </c>
      <c r="O75" s="49">
        <v>6.3</v>
      </c>
      <c r="P75" s="49">
        <v>6.3</v>
      </c>
      <c r="Q75" s="47" t="s">
        <v>553</v>
      </c>
    </row>
    <row r="76" spans="1:17" ht="15" customHeight="1">
      <c r="A76" s="46" t="s">
        <v>399</v>
      </c>
      <c r="B76" s="47" t="s">
        <v>554</v>
      </c>
      <c r="C76" s="47" t="s">
        <v>555</v>
      </c>
      <c r="D76" s="48">
        <v>1</v>
      </c>
      <c r="E76" s="49">
        <v>20</v>
      </c>
      <c r="F76" s="48">
        <v>30</v>
      </c>
      <c r="G76" s="49">
        <v>307</v>
      </c>
      <c r="H76" s="49">
        <v>9.9</v>
      </c>
      <c r="I76" s="49">
        <v>9.9</v>
      </c>
      <c r="J76" s="49">
        <v>9.9</v>
      </c>
      <c r="K76" s="49">
        <v>9</v>
      </c>
      <c r="L76" s="49">
        <v>9</v>
      </c>
      <c r="M76" s="49">
        <v>9</v>
      </c>
      <c r="N76" s="49">
        <v>9</v>
      </c>
      <c r="O76" s="49">
        <v>9</v>
      </c>
      <c r="P76" s="49">
        <v>9</v>
      </c>
      <c r="Q76" s="47" t="s">
        <v>556</v>
      </c>
    </row>
    <row r="77" spans="1:17" ht="15" customHeight="1">
      <c r="A77" s="46" t="s">
        <v>399</v>
      </c>
      <c r="B77" s="47"/>
      <c r="C77" s="47" t="s">
        <v>557</v>
      </c>
      <c r="D77" s="48">
        <v>1</v>
      </c>
      <c r="E77" s="49">
        <v>20</v>
      </c>
      <c r="F77" s="48">
        <v>30</v>
      </c>
      <c r="G77" s="49">
        <v>359</v>
      </c>
      <c r="H77" s="49">
        <v>11.7</v>
      </c>
      <c r="I77" s="49">
        <v>11.7</v>
      </c>
      <c r="J77" s="49">
        <v>11.7</v>
      </c>
      <c r="K77" s="49">
        <v>10.8</v>
      </c>
      <c r="L77" s="49">
        <v>10.8</v>
      </c>
      <c r="M77" s="49">
        <v>10.8</v>
      </c>
      <c r="N77" s="49">
        <v>10.8</v>
      </c>
      <c r="O77" s="49">
        <v>10.8</v>
      </c>
      <c r="P77" s="49">
        <v>10.8</v>
      </c>
      <c r="Q77" s="47" t="s">
        <v>558</v>
      </c>
    </row>
    <row r="78" spans="1:17" ht="15" customHeight="1">
      <c r="A78" s="46" t="s">
        <v>559</v>
      </c>
      <c r="B78" s="47" t="s">
        <v>489</v>
      </c>
      <c r="C78" s="47" t="s">
        <v>490</v>
      </c>
      <c r="D78" s="48">
        <v>1</v>
      </c>
      <c r="E78" s="49">
        <v>10</v>
      </c>
      <c r="F78" s="48">
        <v>50</v>
      </c>
      <c r="G78" s="49">
        <v>108</v>
      </c>
      <c r="H78" s="49">
        <v>2</v>
      </c>
      <c r="I78" s="49">
        <v>2</v>
      </c>
      <c r="J78" s="49">
        <v>1.9</v>
      </c>
      <c r="K78" s="49">
        <v>1.9</v>
      </c>
      <c r="L78" s="49">
        <v>1.8</v>
      </c>
      <c r="M78" s="49">
        <v>1.7</v>
      </c>
      <c r="N78" s="49">
        <v>1.6</v>
      </c>
      <c r="O78" s="49">
        <v>1.5</v>
      </c>
      <c r="P78" s="49">
        <v>0</v>
      </c>
      <c r="Q78" s="47" t="s">
        <v>560</v>
      </c>
    </row>
    <row r="79" spans="1:17" ht="15" customHeight="1">
      <c r="A79" s="46" t="s">
        <v>559</v>
      </c>
      <c r="B79" s="47"/>
      <c r="C79" s="47" t="s">
        <v>561</v>
      </c>
      <c r="D79" s="48">
        <v>1</v>
      </c>
      <c r="E79" s="49">
        <v>10</v>
      </c>
      <c r="F79" s="48">
        <v>50</v>
      </c>
      <c r="G79" s="49">
        <v>113</v>
      </c>
      <c r="H79" s="49">
        <v>2.1</v>
      </c>
      <c r="I79" s="49">
        <v>2.1</v>
      </c>
      <c r="J79" s="49">
        <v>2</v>
      </c>
      <c r="K79" s="49">
        <v>2</v>
      </c>
      <c r="L79" s="49">
        <v>1.9</v>
      </c>
      <c r="M79" s="49">
        <v>1.8</v>
      </c>
      <c r="N79" s="49">
        <v>1.7</v>
      </c>
      <c r="O79" s="49">
        <v>1.6</v>
      </c>
      <c r="P79" s="49">
        <v>0</v>
      </c>
      <c r="Q79" s="47" t="s">
        <v>562</v>
      </c>
    </row>
    <row r="80" spans="1:17" ht="15" customHeight="1">
      <c r="A80" s="46" t="s">
        <v>559</v>
      </c>
      <c r="B80" s="47" t="s">
        <v>400</v>
      </c>
      <c r="C80" s="47" t="s">
        <v>156</v>
      </c>
      <c r="D80" s="48">
        <v>1</v>
      </c>
      <c r="E80" s="49">
        <v>10</v>
      </c>
      <c r="F80" s="48">
        <v>50</v>
      </c>
      <c r="G80" s="49">
        <v>98</v>
      </c>
      <c r="H80" s="49">
        <v>1.8</v>
      </c>
      <c r="I80" s="49">
        <v>1.8</v>
      </c>
      <c r="J80" s="49">
        <v>1.6</v>
      </c>
      <c r="K80" s="49">
        <v>1.6</v>
      </c>
      <c r="L80" s="49">
        <v>1.5</v>
      </c>
      <c r="M80" s="49">
        <v>1.45</v>
      </c>
      <c r="N80" s="49">
        <v>1.35</v>
      </c>
      <c r="O80" s="49">
        <v>1.25</v>
      </c>
      <c r="P80" s="49">
        <v>0</v>
      </c>
      <c r="Q80" s="47" t="s">
        <v>563</v>
      </c>
    </row>
    <row r="81" spans="1:17" ht="15" customHeight="1">
      <c r="A81" s="46" t="s">
        <v>559</v>
      </c>
      <c r="B81" s="47"/>
      <c r="C81" s="47" t="s">
        <v>564</v>
      </c>
      <c r="D81" s="48">
        <v>1</v>
      </c>
      <c r="E81" s="49">
        <v>10</v>
      </c>
      <c r="F81" s="48">
        <v>50</v>
      </c>
      <c r="G81" s="49">
        <v>98</v>
      </c>
      <c r="H81" s="49">
        <v>1.8</v>
      </c>
      <c r="I81" s="49">
        <v>1.8</v>
      </c>
      <c r="J81" s="49">
        <v>1.7</v>
      </c>
      <c r="K81" s="49">
        <v>1.7</v>
      </c>
      <c r="L81" s="49">
        <v>1.6</v>
      </c>
      <c r="M81" s="49">
        <v>1.5</v>
      </c>
      <c r="N81" s="49">
        <v>1.4</v>
      </c>
      <c r="O81" s="49">
        <v>1.4</v>
      </c>
      <c r="P81" s="49">
        <v>0</v>
      </c>
      <c r="Q81" s="47" t="s">
        <v>565</v>
      </c>
    </row>
    <row r="82" spans="1:17" ht="15" customHeight="1">
      <c r="A82" s="46" t="s">
        <v>559</v>
      </c>
      <c r="B82" s="47"/>
      <c r="C82" s="47" t="s">
        <v>158</v>
      </c>
      <c r="D82" s="48">
        <v>1</v>
      </c>
      <c r="E82" s="49">
        <v>10</v>
      </c>
      <c r="F82" s="48">
        <v>50</v>
      </c>
      <c r="G82" s="49">
        <v>101</v>
      </c>
      <c r="H82" s="49">
        <v>1.85</v>
      </c>
      <c r="I82" s="49">
        <v>1.85</v>
      </c>
      <c r="J82" s="49">
        <v>1.7</v>
      </c>
      <c r="K82" s="49">
        <v>1.7</v>
      </c>
      <c r="L82" s="49">
        <v>1.6</v>
      </c>
      <c r="M82" s="49">
        <v>1.5</v>
      </c>
      <c r="N82" s="49">
        <v>1.4</v>
      </c>
      <c r="O82" s="49">
        <v>1.3</v>
      </c>
      <c r="P82" s="49">
        <v>0</v>
      </c>
      <c r="Q82" s="47" t="s">
        <v>566</v>
      </c>
    </row>
    <row r="83" spans="1:17" ht="15" customHeight="1">
      <c r="A83" s="46" t="s">
        <v>559</v>
      </c>
      <c r="B83" s="47"/>
      <c r="C83" s="47" t="s">
        <v>567</v>
      </c>
      <c r="D83" s="48">
        <v>1</v>
      </c>
      <c r="E83" s="49">
        <v>10</v>
      </c>
      <c r="F83" s="48">
        <v>50</v>
      </c>
      <c r="G83" s="49">
        <v>106</v>
      </c>
      <c r="H83" s="49">
        <v>1.95</v>
      </c>
      <c r="I83" s="49">
        <v>1.95</v>
      </c>
      <c r="J83" s="49">
        <v>1.75</v>
      </c>
      <c r="K83" s="49">
        <v>1.75</v>
      </c>
      <c r="L83" s="49">
        <v>1.65</v>
      </c>
      <c r="M83" s="49">
        <v>1.6</v>
      </c>
      <c r="N83" s="49">
        <v>1.5</v>
      </c>
      <c r="O83" s="49">
        <v>1.4</v>
      </c>
      <c r="P83" s="49">
        <v>0</v>
      </c>
      <c r="Q83" s="47" t="s">
        <v>568</v>
      </c>
    </row>
    <row r="84" spans="1:17" ht="15" customHeight="1">
      <c r="A84" s="46" t="s">
        <v>559</v>
      </c>
      <c r="B84" s="47" t="s">
        <v>569</v>
      </c>
      <c r="C84" s="47" t="s">
        <v>570</v>
      </c>
      <c r="D84" s="48">
        <v>1</v>
      </c>
      <c r="E84" s="49">
        <v>10</v>
      </c>
      <c r="F84" s="48">
        <v>50</v>
      </c>
      <c r="G84" s="49">
        <v>88</v>
      </c>
      <c r="H84" s="49">
        <v>1.6</v>
      </c>
      <c r="I84" s="49">
        <v>1.6</v>
      </c>
      <c r="J84" s="49">
        <v>1.5</v>
      </c>
      <c r="K84" s="49">
        <v>1.5</v>
      </c>
      <c r="L84" s="49">
        <v>1.3</v>
      </c>
      <c r="M84" s="49">
        <v>1.2</v>
      </c>
      <c r="N84" s="49">
        <v>1.1000000000000001</v>
      </c>
      <c r="O84" s="49">
        <v>1</v>
      </c>
      <c r="P84" s="49">
        <v>0</v>
      </c>
      <c r="Q84" s="47" t="s">
        <v>571</v>
      </c>
    </row>
    <row r="85" spans="1:17" ht="15" customHeight="1">
      <c r="A85" s="46" t="s">
        <v>559</v>
      </c>
      <c r="B85" s="47" t="s">
        <v>572</v>
      </c>
      <c r="C85" s="47" t="s">
        <v>573</v>
      </c>
      <c r="D85" s="48">
        <v>1</v>
      </c>
      <c r="E85" s="49">
        <v>10</v>
      </c>
      <c r="F85" s="48">
        <v>50</v>
      </c>
      <c r="G85" s="49">
        <v>103</v>
      </c>
      <c r="H85" s="49">
        <v>1.9</v>
      </c>
      <c r="I85" s="49">
        <v>1.9</v>
      </c>
      <c r="J85" s="49">
        <v>1.7</v>
      </c>
      <c r="K85" s="49">
        <v>1.7</v>
      </c>
      <c r="L85" s="49">
        <v>1.6</v>
      </c>
      <c r="M85" s="49">
        <v>1.5</v>
      </c>
      <c r="N85" s="49">
        <v>1.4</v>
      </c>
      <c r="O85" s="49">
        <v>1.3</v>
      </c>
      <c r="P85" s="49">
        <v>0</v>
      </c>
      <c r="Q85" s="47" t="s">
        <v>574</v>
      </c>
    </row>
    <row r="86" spans="1:17" ht="15" customHeight="1">
      <c r="A86" s="46" t="s">
        <v>559</v>
      </c>
      <c r="B86" s="47" t="s">
        <v>411</v>
      </c>
      <c r="C86" s="47" t="s">
        <v>162</v>
      </c>
      <c r="D86" s="48">
        <v>1</v>
      </c>
      <c r="E86" s="49">
        <v>10</v>
      </c>
      <c r="F86" s="48">
        <v>50</v>
      </c>
      <c r="G86" s="49">
        <v>118</v>
      </c>
      <c r="H86" s="49">
        <v>2.2000000000000002</v>
      </c>
      <c r="I86" s="49">
        <v>2.2000000000000002</v>
      </c>
      <c r="J86" s="49">
        <v>2</v>
      </c>
      <c r="K86" s="49">
        <v>2</v>
      </c>
      <c r="L86" s="49">
        <v>1.9</v>
      </c>
      <c r="M86" s="49">
        <v>1.8</v>
      </c>
      <c r="N86" s="49">
        <v>1.7</v>
      </c>
      <c r="O86" s="49">
        <v>1.7</v>
      </c>
      <c r="P86" s="49">
        <v>0</v>
      </c>
      <c r="Q86" s="47" t="s">
        <v>575</v>
      </c>
    </row>
    <row r="87" spans="1:17" ht="15" customHeight="1">
      <c r="A87" s="46" t="s">
        <v>559</v>
      </c>
      <c r="B87" s="47"/>
      <c r="C87" s="47" t="s">
        <v>576</v>
      </c>
      <c r="D87" s="48">
        <v>1</v>
      </c>
      <c r="E87" s="49">
        <v>10</v>
      </c>
      <c r="F87" s="48">
        <v>50</v>
      </c>
      <c r="G87" s="49">
        <v>123</v>
      </c>
      <c r="H87" s="49">
        <v>2.2999999999999998</v>
      </c>
      <c r="I87" s="49">
        <v>2.2999999999999998</v>
      </c>
      <c r="J87" s="49">
        <v>2.1</v>
      </c>
      <c r="K87" s="49">
        <v>2.1</v>
      </c>
      <c r="L87" s="49">
        <v>2</v>
      </c>
      <c r="M87" s="49">
        <v>1.9</v>
      </c>
      <c r="N87" s="49">
        <v>1.8</v>
      </c>
      <c r="O87" s="49">
        <v>1.8</v>
      </c>
      <c r="P87" s="49">
        <v>0</v>
      </c>
      <c r="Q87" s="47" t="s">
        <v>577</v>
      </c>
    </row>
    <row r="88" spans="1:17" ht="15" customHeight="1">
      <c r="A88" s="46" t="s">
        <v>559</v>
      </c>
      <c r="B88" s="47" t="s">
        <v>501</v>
      </c>
      <c r="C88" s="47" t="s">
        <v>124</v>
      </c>
      <c r="D88" s="48">
        <v>1</v>
      </c>
      <c r="E88" s="49">
        <v>10</v>
      </c>
      <c r="F88" s="48">
        <v>50</v>
      </c>
      <c r="G88" s="49">
        <v>93</v>
      </c>
      <c r="H88" s="49">
        <v>1.7</v>
      </c>
      <c r="I88" s="49">
        <v>1.7</v>
      </c>
      <c r="J88" s="49">
        <v>1.5</v>
      </c>
      <c r="K88" s="49">
        <v>1.5</v>
      </c>
      <c r="L88" s="49">
        <v>1.4</v>
      </c>
      <c r="M88" s="49">
        <v>1.3</v>
      </c>
      <c r="N88" s="49">
        <v>1.2</v>
      </c>
      <c r="O88" s="49">
        <v>1.1000000000000001</v>
      </c>
      <c r="P88" s="49">
        <v>0</v>
      </c>
      <c r="Q88" s="47" t="s">
        <v>578</v>
      </c>
    </row>
    <row r="89" spans="1:17" ht="15" customHeight="1">
      <c r="A89" s="46" t="s">
        <v>559</v>
      </c>
      <c r="B89" s="47"/>
      <c r="C89" s="47" t="s">
        <v>579</v>
      </c>
      <c r="D89" s="48">
        <v>1</v>
      </c>
      <c r="E89" s="49">
        <v>10</v>
      </c>
      <c r="F89" s="48">
        <v>50</v>
      </c>
      <c r="G89" s="49">
        <v>93</v>
      </c>
      <c r="H89" s="49">
        <v>1.7</v>
      </c>
      <c r="I89" s="49">
        <v>1.7</v>
      </c>
      <c r="J89" s="49">
        <v>1.6</v>
      </c>
      <c r="K89" s="49">
        <v>1.6</v>
      </c>
      <c r="L89" s="49">
        <v>1.5</v>
      </c>
      <c r="M89" s="49">
        <v>1.4</v>
      </c>
      <c r="N89" s="49">
        <v>1.3</v>
      </c>
      <c r="O89" s="49">
        <v>1.2</v>
      </c>
      <c r="P89" s="49">
        <v>0</v>
      </c>
      <c r="Q89" s="47" t="s">
        <v>580</v>
      </c>
    </row>
    <row r="90" spans="1:17" ht="15" customHeight="1">
      <c r="A90" s="46" t="s">
        <v>559</v>
      </c>
      <c r="B90" s="47" t="s">
        <v>423</v>
      </c>
      <c r="C90" s="47" t="s">
        <v>165</v>
      </c>
      <c r="D90" s="48">
        <v>1</v>
      </c>
      <c r="E90" s="49">
        <v>10</v>
      </c>
      <c r="F90" s="48">
        <v>50</v>
      </c>
      <c r="G90" s="49">
        <v>84</v>
      </c>
      <c r="H90" s="49">
        <v>1.5</v>
      </c>
      <c r="I90" s="49">
        <v>1.5</v>
      </c>
      <c r="J90" s="49">
        <v>1.4</v>
      </c>
      <c r="K90" s="49">
        <v>1.4</v>
      </c>
      <c r="L90" s="49">
        <v>1.3</v>
      </c>
      <c r="M90" s="49">
        <v>1.2</v>
      </c>
      <c r="N90" s="49">
        <v>1.1000000000000001</v>
      </c>
      <c r="O90" s="49">
        <v>1</v>
      </c>
      <c r="P90" s="49">
        <v>0</v>
      </c>
      <c r="Q90" s="47" t="s">
        <v>581</v>
      </c>
    </row>
    <row r="91" spans="1:17" ht="15" customHeight="1">
      <c r="A91" s="46" t="s">
        <v>559</v>
      </c>
      <c r="B91" s="47"/>
      <c r="C91" s="47" t="s">
        <v>582</v>
      </c>
      <c r="D91" s="48">
        <v>1</v>
      </c>
      <c r="E91" s="49">
        <v>10</v>
      </c>
      <c r="F91" s="48">
        <v>50</v>
      </c>
      <c r="G91" s="49">
        <v>93</v>
      </c>
      <c r="H91" s="49">
        <v>1.7</v>
      </c>
      <c r="I91" s="49">
        <v>1.7</v>
      </c>
      <c r="J91" s="49">
        <v>1.5</v>
      </c>
      <c r="K91" s="49">
        <v>1.5</v>
      </c>
      <c r="L91" s="49">
        <v>1.4</v>
      </c>
      <c r="M91" s="49">
        <v>1.3</v>
      </c>
      <c r="N91" s="49">
        <v>1.2</v>
      </c>
      <c r="O91" s="49">
        <v>1.1000000000000001</v>
      </c>
      <c r="P91" s="49">
        <v>0</v>
      </c>
      <c r="Q91" s="47" t="s">
        <v>583</v>
      </c>
    </row>
    <row r="92" spans="1:17" ht="15" customHeight="1">
      <c r="A92" s="46" t="s">
        <v>559</v>
      </c>
      <c r="B92" s="47" t="s">
        <v>430</v>
      </c>
      <c r="C92" s="47" t="s">
        <v>431</v>
      </c>
      <c r="D92" s="48">
        <v>1</v>
      </c>
      <c r="E92" s="49">
        <v>10</v>
      </c>
      <c r="F92" s="48">
        <v>50</v>
      </c>
      <c r="G92" s="49">
        <v>91</v>
      </c>
      <c r="H92" s="49">
        <v>1.65</v>
      </c>
      <c r="I92" s="49">
        <v>1.65</v>
      </c>
      <c r="J92" s="49">
        <v>1.45</v>
      </c>
      <c r="K92" s="49">
        <v>1.45</v>
      </c>
      <c r="L92" s="49">
        <v>1.35</v>
      </c>
      <c r="M92" s="49">
        <v>1.3</v>
      </c>
      <c r="N92" s="49">
        <v>1.2</v>
      </c>
      <c r="O92" s="49">
        <v>1.1000000000000001</v>
      </c>
      <c r="P92" s="49">
        <v>0</v>
      </c>
      <c r="Q92" s="47" t="s">
        <v>584</v>
      </c>
    </row>
    <row r="93" spans="1:17" ht="15" customHeight="1">
      <c r="A93" s="46" t="s">
        <v>559</v>
      </c>
      <c r="B93" s="47" t="s">
        <v>585</v>
      </c>
      <c r="C93" s="47" t="s">
        <v>586</v>
      </c>
      <c r="D93" s="48">
        <v>1</v>
      </c>
      <c r="E93" s="49">
        <v>10</v>
      </c>
      <c r="F93" s="48">
        <v>50</v>
      </c>
      <c r="G93" s="49">
        <v>88</v>
      </c>
      <c r="H93" s="49">
        <v>1.6</v>
      </c>
      <c r="I93" s="49">
        <v>1.6</v>
      </c>
      <c r="J93" s="49">
        <v>1.45</v>
      </c>
      <c r="K93" s="49">
        <v>1.45</v>
      </c>
      <c r="L93" s="49">
        <v>1.35</v>
      </c>
      <c r="M93" s="49">
        <v>1.25</v>
      </c>
      <c r="N93" s="49">
        <v>1.1499999999999999</v>
      </c>
      <c r="O93" s="49">
        <v>1.05</v>
      </c>
      <c r="P93" s="49">
        <v>0</v>
      </c>
      <c r="Q93" s="47" t="s">
        <v>587</v>
      </c>
    </row>
    <row r="94" spans="1:17" ht="15" customHeight="1">
      <c r="A94" s="46" t="s">
        <v>559</v>
      </c>
      <c r="B94" s="47" t="s">
        <v>436</v>
      </c>
      <c r="C94" s="47" t="s">
        <v>48</v>
      </c>
      <c r="D94" s="48">
        <v>1</v>
      </c>
      <c r="E94" s="49">
        <v>10</v>
      </c>
      <c r="F94" s="48">
        <v>50</v>
      </c>
      <c r="G94" s="49">
        <v>96</v>
      </c>
      <c r="H94" s="49">
        <v>1.75</v>
      </c>
      <c r="I94" s="49">
        <v>1.75</v>
      </c>
      <c r="J94" s="49">
        <v>1.65</v>
      </c>
      <c r="K94" s="49">
        <v>1.6</v>
      </c>
      <c r="L94" s="49">
        <v>1.5</v>
      </c>
      <c r="M94" s="49">
        <v>1.4</v>
      </c>
      <c r="N94" s="49">
        <v>1.35</v>
      </c>
      <c r="O94" s="49">
        <v>1.25</v>
      </c>
      <c r="P94" s="49">
        <v>0</v>
      </c>
      <c r="Q94" s="47" t="s">
        <v>588</v>
      </c>
    </row>
    <row r="95" spans="1:17" ht="15" customHeight="1">
      <c r="A95" s="46" t="s">
        <v>559</v>
      </c>
      <c r="B95" s="47" t="s">
        <v>446</v>
      </c>
      <c r="C95" s="47" t="s">
        <v>168</v>
      </c>
      <c r="D95" s="48">
        <v>1</v>
      </c>
      <c r="E95" s="49">
        <v>10</v>
      </c>
      <c r="F95" s="48">
        <v>50</v>
      </c>
      <c r="G95" s="49">
        <v>84</v>
      </c>
      <c r="H95" s="49">
        <v>1.5</v>
      </c>
      <c r="I95" s="49">
        <v>1.5</v>
      </c>
      <c r="J95" s="49">
        <v>1.35</v>
      </c>
      <c r="K95" s="49">
        <v>1.35</v>
      </c>
      <c r="L95" s="49">
        <v>1.25</v>
      </c>
      <c r="M95" s="49">
        <v>1.1499999999999999</v>
      </c>
      <c r="N95" s="49">
        <v>1.05</v>
      </c>
      <c r="O95" s="49">
        <v>0.95</v>
      </c>
      <c r="P95" s="49">
        <v>0</v>
      </c>
      <c r="Q95" s="47" t="s">
        <v>589</v>
      </c>
    </row>
    <row r="96" spans="1:17" ht="15" customHeight="1">
      <c r="A96" s="46" t="s">
        <v>559</v>
      </c>
      <c r="B96" s="47" t="s">
        <v>438</v>
      </c>
      <c r="C96" s="47" t="s">
        <v>590</v>
      </c>
      <c r="D96" s="48">
        <v>1</v>
      </c>
      <c r="E96" s="49">
        <v>10</v>
      </c>
      <c r="F96" s="48">
        <v>50</v>
      </c>
      <c r="G96" s="49">
        <v>101</v>
      </c>
      <c r="H96" s="49">
        <v>1.85</v>
      </c>
      <c r="I96" s="49">
        <v>1.85</v>
      </c>
      <c r="J96" s="49">
        <v>1.75</v>
      </c>
      <c r="K96" s="49">
        <v>1.7</v>
      </c>
      <c r="L96" s="49">
        <v>1.65</v>
      </c>
      <c r="M96" s="49">
        <v>1.55</v>
      </c>
      <c r="N96" s="49">
        <v>1.45</v>
      </c>
      <c r="O96" s="49">
        <v>1.35</v>
      </c>
      <c r="P96" s="49">
        <v>0</v>
      </c>
      <c r="Q96" s="47" t="s">
        <v>591</v>
      </c>
    </row>
    <row r="97" spans="1:17" ht="15" customHeight="1">
      <c r="A97" s="46" t="s">
        <v>559</v>
      </c>
      <c r="B97" s="47"/>
      <c r="C97" s="47" t="s">
        <v>592</v>
      </c>
      <c r="D97" s="48">
        <v>1</v>
      </c>
      <c r="E97" s="49">
        <v>10</v>
      </c>
      <c r="F97" s="48">
        <v>50</v>
      </c>
      <c r="G97" s="49">
        <v>101</v>
      </c>
      <c r="H97" s="49">
        <v>1.85</v>
      </c>
      <c r="I97" s="49">
        <v>1.85</v>
      </c>
      <c r="J97" s="49">
        <v>1.75</v>
      </c>
      <c r="K97" s="49">
        <v>1.7</v>
      </c>
      <c r="L97" s="49">
        <v>1.6</v>
      </c>
      <c r="M97" s="49">
        <v>1.5</v>
      </c>
      <c r="N97" s="49">
        <v>1.45</v>
      </c>
      <c r="O97" s="49">
        <v>1.35</v>
      </c>
      <c r="P97" s="49">
        <v>0</v>
      </c>
      <c r="Q97" s="47" t="s">
        <v>593</v>
      </c>
    </row>
    <row r="98" spans="1:17" ht="15" customHeight="1">
      <c r="A98" s="46" t="s">
        <v>559</v>
      </c>
      <c r="B98" s="47"/>
      <c r="C98" s="47" t="s">
        <v>439</v>
      </c>
      <c r="D98" s="48">
        <v>1</v>
      </c>
      <c r="E98" s="49">
        <v>10</v>
      </c>
      <c r="F98" s="48">
        <v>50</v>
      </c>
      <c r="G98" s="49">
        <v>96</v>
      </c>
      <c r="H98" s="49">
        <v>1.75</v>
      </c>
      <c r="I98" s="49">
        <v>1.75</v>
      </c>
      <c r="J98" s="49">
        <v>1.65</v>
      </c>
      <c r="K98" s="49">
        <v>1.6</v>
      </c>
      <c r="L98" s="49">
        <v>1.55</v>
      </c>
      <c r="M98" s="49">
        <v>1.45</v>
      </c>
      <c r="N98" s="49">
        <v>1.4</v>
      </c>
      <c r="O98" s="49">
        <v>1.3</v>
      </c>
      <c r="P98" s="49">
        <v>0</v>
      </c>
      <c r="Q98" s="47" t="s">
        <v>594</v>
      </c>
    </row>
    <row r="99" spans="1:17" ht="15" customHeight="1">
      <c r="A99" s="46" t="s">
        <v>559</v>
      </c>
      <c r="B99" s="47" t="s">
        <v>517</v>
      </c>
      <c r="C99" s="47" t="s">
        <v>518</v>
      </c>
      <c r="D99" s="48">
        <v>1</v>
      </c>
      <c r="E99" s="49">
        <v>10</v>
      </c>
      <c r="F99" s="48">
        <v>50</v>
      </c>
      <c r="G99" s="49">
        <v>86</v>
      </c>
      <c r="H99" s="49">
        <v>1.55</v>
      </c>
      <c r="I99" s="49">
        <v>1.55</v>
      </c>
      <c r="J99" s="49">
        <v>1.45</v>
      </c>
      <c r="K99" s="49">
        <v>1.45</v>
      </c>
      <c r="L99" s="49">
        <v>1.35</v>
      </c>
      <c r="M99" s="49">
        <v>1.3</v>
      </c>
      <c r="N99" s="49">
        <v>1.2</v>
      </c>
      <c r="O99" s="49">
        <v>1.1000000000000001</v>
      </c>
      <c r="P99" s="49">
        <v>0</v>
      </c>
      <c r="Q99" s="47" t="s">
        <v>595</v>
      </c>
    </row>
    <row r="100" spans="1:17" ht="15" customHeight="1">
      <c r="A100" s="46" t="s">
        <v>559</v>
      </c>
      <c r="B100" s="47" t="s">
        <v>457</v>
      </c>
      <c r="C100" s="47" t="s">
        <v>171</v>
      </c>
      <c r="D100" s="48">
        <v>1</v>
      </c>
      <c r="E100" s="49">
        <v>10</v>
      </c>
      <c r="F100" s="48">
        <v>50</v>
      </c>
      <c r="G100" s="49">
        <v>79</v>
      </c>
      <c r="H100" s="49">
        <v>1.4</v>
      </c>
      <c r="I100" s="49">
        <v>1.4</v>
      </c>
      <c r="J100" s="49">
        <v>1.3</v>
      </c>
      <c r="K100" s="49">
        <v>1.3</v>
      </c>
      <c r="L100" s="49">
        <v>1.2</v>
      </c>
      <c r="M100" s="49">
        <v>1.1000000000000001</v>
      </c>
      <c r="N100" s="49">
        <v>1</v>
      </c>
      <c r="O100" s="49">
        <v>0.9</v>
      </c>
      <c r="P100" s="49">
        <v>0</v>
      </c>
      <c r="Q100" s="47" t="s">
        <v>596</v>
      </c>
    </row>
    <row r="101" spans="1:17" ht="15" customHeight="1">
      <c r="A101" s="46" t="s">
        <v>559</v>
      </c>
      <c r="B101" s="47"/>
      <c r="C101" s="47" t="s">
        <v>172</v>
      </c>
      <c r="D101" s="48">
        <v>1</v>
      </c>
      <c r="E101" s="49">
        <v>10</v>
      </c>
      <c r="F101" s="48">
        <v>50</v>
      </c>
      <c r="G101" s="49">
        <v>86</v>
      </c>
      <c r="H101" s="49">
        <v>1.55</v>
      </c>
      <c r="I101" s="49">
        <v>1.55</v>
      </c>
      <c r="J101" s="49">
        <v>1.35</v>
      </c>
      <c r="K101" s="49">
        <v>1.35</v>
      </c>
      <c r="L101" s="49">
        <v>1.25</v>
      </c>
      <c r="M101" s="49">
        <v>1.1499999999999999</v>
      </c>
      <c r="N101" s="49">
        <v>1.05</v>
      </c>
      <c r="O101" s="49">
        <v>0.95</v>
      </c>
      <c r="P101" s="49">
        <v>0</v>
      </c>
      <c r="Q101" s="47" t="s">
        <v>597</v>
      </c>
    </row>
    <row r="102" spans="1:17" ht="15" customHeight="1">
      <c r="A102" s="46" t="s">
        <v>559</v>
      </c>
      <c r="B102" s="47"/>
      <c r="C102" s="47" t="s">
        <v>173</v>
      </c>
      <c r="D102" s="48">
        <v>1</v>
      </c>
      <c r="E102" s="49">
        <v>10</v>
      </c>
      <c r="F102" s="48">
        <v>50</v>
      </c>
      <c r="G102" s="49">
        <v>79</v>
      </c>
      <c r="H102" s="49">
        <v>1.4</v>
      </c>
      <c r="I102" s="49">
        <v>1.4</v>
      </c>
      <c r="J102" s="49">
        <v>1.3</v>
      </c>
      <c r="K102" s="49">
        <v>1.3</v>
      </c>
      <c r="L102" s="49">
        <v>1.2</v>
      </c>
      <c r="M102" s="49">
        <v>1.1000000000000001</v>
      </c>
      <c r="N102" s="49">
        <v>1</v>
      </c>
      <c r="O102" s="49">
        <v>0.9</v>
      </c>
      <c r="P102" s="49">
        <v>0</v>
      </c>
      <c r="Q102" s="47" t="s">
        <v>598</v>
      </c>
    </row>
    <row r="103" spans="1:17" ht="15" customHeight="1">
      <c r="A103" s="46" t="s">
        <v>559</v>
      </c>
      <c r="B103" s="47"/>
      <c r="C103" s="47" t="s">
        <v>174</v>
      </c>
      <c r="D103" s="48">
        <v>1</v>
      </c>
      <c r="E103" s="49">
        <v>10</v>
      </c>
      <c r="F103" s="48">
        <v>50</v>
      </c>
      <c r="G103" s="49">
        <v>74</v>
      </c>
      <c r="H103" s="49">
        <v>1.3</v>
      </c>
      <c r="I103" s="49">
        <v>1.3</v>
      </c>
      <c r="J103" s="49">
        <v>1.2</v>
      </c>
      <c r="K103" s="49">
        <v>1.2</v>
      </c>
      <c r="L103" s="49">
        <v>1.1000000000000001</v>
      </c>
      <c r="M103" s="49">
        <v>1</v>
      </c>
      <c r="N103" s="49">
        <v>0.9</v>
      </c>
      <c r="O103" s="49">
        <v>0.9</v>
      </c>
      <c r="P103" s="49">
        <v>0</v>
      </c>
      <c r="Q103" s="47" t="s">
        <v>599</v>
      </c>
    </row>
    <row r="104" spans="1:17" ht="15" customHeight="1">
      <c r="A104" s="46" t="s">
        <v>559</v>
      </c>
      <c r="B104" s="47"/>
      <c r="C104" s="47" t="s">
        <v>600</v>
      </c>
      <c r="D104" s="48">
        <v>1</v>
      </c>
      <c r="E104" s="49">
        <v>10</v>
      </c>
      <c r="F104" s="48">
        <v>50</v>
      </c>
      <c r="G104" s="49">
        <v>84</v>
      </c>
      <c r="H104" s="49">
        <v>1.5</v>
      </c>
      <c r="I104" s="49">
        <v>1.5</v>
      </c>
      <c r="J104" s="49">
        <v>1.3</v>
      </c>
      <c r="K104" s="49">
        <v>1.3</v>
      </c>
      <c r="L104" s="49">
        <v>1.2</v>
      </c>
      <c r="M104" s="49">
        <v>1.1499999999999999</v>
      </c>
      <c r="N104" s="49">
        <v>1.05</v>
      </c>
      <c r="O104" s="49">
        <v>0.95</v>
      </c>
      <c r="P104" s="49">
        <v>0</v>
      </c>
      <c r="Q104" s="47" t="s">
        <v>601</v>
      </c>
    </row>
    <row r="105" spans="1:17" ht="15" customHeight="1">
      <c r="A105" s="46" t="s">
        <v>559</v>
      </c>
      <c r="B105" s="47"/>
      <c r="C105" s="47" t="s">
        <v>176</v>
      </c>
      <c r="D105" s="48">
        <v>1</v>
      </c>
      <c r="E105" s="49">
        <v>10</v>
      </c>
      <c r="F105" s="48">
        <v>50</v>
      </c>
      <c r="G105" s="49">
        <v>79</v>
      </c>
      <c r="H105" s="49">
        <v>1.4</v>
      </c>
      <c r="I105" s="49">
        <v>1.4</v>
      </c>
      <c r="J105" s="49">
        <v>1.3</v>
      </c>
      <c r="K105" s="49">
        <v>1.3</v>
      </c>
      <c r="L105" s="49">
        <v>1.2</v>
      </c>
      <c r="M105" s="49">
        <v>1.1000000000000001</v>
      </c>
      <c r="N105" s="49">
        <v>1</v>
      </c>
      <c r="O105" s="49">
        <v>0.9</v>
      </c>
      <c r="P105" s="49">
        <v>0</v>
      </c>
      <c r="Q105" s="47" t="s">
        <v>602</v>
      </c>
    </row>
    <row r="106" spans="1:17" ht="15" customHeight="1">
      <c r="A106" s="46" t="s">
        <v>559</v>
      </c>
      <c r="B106" s="47" t="s">
        <v>542</v>
      </c>
      <c r="C106" s="47" t="s">
        <v>603</v>
      </c>
      <c r="D106" s="48">
        <v>1</v>
      </c>
      <c r="E106" s="49">
        <v>10</v>
      </c>
      <c r="F106" s="48">
        <v>50</v>
      </c>
      <c r="G106" s="49">
        <v>98</v>
      </c>
      <c r="H106" s="49">
        <v>1.8</v>
      </c>
      <c r="I106" s="49">
        <v>1.8</v>
      </c>
      <c r="J106" s="49">
        <v>1.7</v>
      </c>
      <c r="K106" s="49">
        <v>1.7</v>
      </c>
      <c r="L106" s="49">
        <v>1.6</v>
      </c>
      <c r="M106" s="49">
        <v>1.5</v>
      </c>
      <c r="N106" s="49">
        <v>1.4</v>
      </c>
      <c r="O106" s="49">
        <v>1.3</v>
      </c>
      <c r="P106" s="49">
        <v>0</v>
      </c>
      <c r="Q106" s="47" t="s">
        <v>604</v>
      </c>
    </row>
    <row r="107" spans="1:17" ht="15" customHeight="1">
      <c r="A107" s="46" t="s">
        <v>559</v>
      </c>
      <c r="B107" s="47"/>
      <c r="C107" s="47" t="s">
        <v>178</v>
      </c>
      <c r="D107" s="48">
        <v>1</v>
      </c>
      <c r="E107" s="49">
        <v>10</v>
      </c>
      <c r="F107" s="48">
        <v>50</v>
      </c>
      <c r="G107" s="49">
        <v>93</v>
      </c>
      <c r="H107" s="49">
        <v>1.7</v>
      </c>
      <c r="I107" s="49">
        <v>1.7</v>
      </c>
      <c r="J107" s="49">
        <v>1.55</v>
      </c>
      <c r="K107" s="49">
        <v>1.55</v>
      </c>
      <c r="L107" s="49">
        <v>1.45</v>
      </c>
      <c r="M107" s="49">
        <v>1.35</v>
      </c>
      <c r="N107" s="49">
        <v>1.25</v>
      </c>
      <c r="O107" s="49">
        <v>1.1499999999999999</v>
      </c>
      <c r="P107" s="49">
        <v>0</v>
      </c>
      <c r="Q107" s="47" t="s">
        <v>605</v>
      </c>
    </row>
    <row r="108" spans="1:17" ht="15" customHeight="1">
      <c r="A108" s="46" t="s">
        <v>559</v>
      </c>
      <c r="B108" s="47"/>
      <c r="C108" s="47" t="s">
        <v>606</v>
      </c>
      <c r="D108" s="48">
        <v>1</v>
      </c>
      <c r="E108" s="49">
        <v>10</v>
      </c>
      <c r="F108" s="48">
        <v>50</v>
      </c>
      <c r="G108" s="49">
        <v>98</v>
      </c>
      <c r="H108" s="49">
        <v>1.8</v>
      </c>
      <c r="I108" s="49">
        <v>1.8</v>
      </c>
      <c r="J108" s="49">
        <v>1.6</v>
      </c>
      <c r="K108" s="49">
        <v>1.6</v>
      </c>
      <c r="L108" s="49">
        <v>1.55</v>
      </c>
      <c r="M108" s="49">
        <v>1.45</v>
      </c>
      <c r="N108" s="49">
        <v>1.35</v>
      </c>
      <c r="O108" s="49">
        <v>1.25</v>
      </c>
      <c r="P108" s="49">
        <v>0</v>
      </c>
      <c r="Q108" s="47" t="s">
        <v>607</v>
      </c>
    </row>
    <row r="109" spans="1:17" ht="15" customHeight="1">
      <c r="A109" s="46" t="s">
        <v>559</v>
      </c>
      <c r="B109" s="47"/>
      <c r="C109" s="47" t="s">
        <v>180</v>
      </c>
      <c r="D109" s="48">
        <v>1</v>
      </c>
      <c r="E109" s="49">
        <v>10</v>
      </c>
      <c r="F109" s="48">
        <v>50</v>
      </c>
      <c r="G109" s="49">
        <v>98</v>
      </c>
      <c r="H109" s="49">
        <v>1.8</v>
      </c>
      <c r="I109" s="49">
        <v>1.8</v>
      </c>
      <c r="J109" s="49">
        <v>1.7</v>
      </c>
      <c r="K109" s="49">
        <v>1.7</v>
      </c>
      <c r="L109" s="49">
        <v>1.6</v>
      </c>
      <c r="M109" s="49">
        <v>1.5</v>
      </c>
      <c r="N109" s="49">
        <v>1.4</v>
      </c>
      <c r="O109" s="49">
        <v>1.3</v>
      </c>
      <c r="P109" s="49">
        <v>0</v>
      </c>
      <c r="Q109" s="47" t="s">
        <v>608</v>
      </c>
    </row>
    <row r="110" spans="1:17" ht="15" customHeight="1">
      <c r="A110" s="46" t="s">
        <v>559</v>
      </c>
      <c r="B110" s="47" t="s">
        <v>609</v>
      </c>
      <c r="C110" s="47" t="s">
        <v>610</v>
      </c>
      <c r="D110" s="48">
        <v>1</v>
      </c>
      <c r="E110" s="49">
        <v>10</v>
      </c>
      <c r="F110" s="48">
        <v>50</v>
      </c>
      <c r="G110" s="49">
        <v>93</v>
      </c>
      <c r="H110" s="49">
        <v>1.7</v>
      </c>
      <c r="I110" s="49">
        <v>1.7</v>
      </c>
      <c r="J110" s="49">
        <v>1.6</v>
      </c>
      <c r="K110" s="49">
        <v>1.6</v>
      </c>
      <c r="L110" s="49">
        <v>1.5</v>
      </c>
      <c r="M110" s="49">
        <v>1.4</v>
      </c>
      <c r="N110" s="49">
        <v>1.35</v>
      </c>
      <c r="O110" s="49">
        <v>1.3</v>
      </c>
      <c r="P110" s="49">
        <v>0</v>
      </c>
      <c r="Q110" s="47" t="s">
        <v>611</v>
      </c>
    </row>
    <row r="111" spans="1:17" ht="15" customHeight="1">
      <c r="A111" s="46" t="s">
        <v>559</v>
      </c>
      <c r="B111" s="47" t="s">
        <v>466</v>
      </c>
      <c r="C111" s="47" t="s">
        <v>84</v>
      </c>
      <c r="D111" s="48">
        <v>1</v>
      </c>
      <c r="E111" s="49">
        <v>10</v>
      </c>
      <c r="F111" s="48">
        <v>50</v>
      </c>
      <c r="G111" s="49">
        <v>98</v>
      </c>
      <c r="H111" s="49">
        <v>1.8</v>
      </c>
      <c r="I111" s="49">
        <v>1.8</v>
      </c>
      <c r="J111" s="49">
        <v>1.7</v>
      </c>
      <c r="K111" s="49">
        <v>1.7</v>
      </c>
      <c r="L111" s="49">
        <v>1.6</v>
      </c>
      <c r="M111" s="49">
        <v>1.5</v>
      </c>
      <c r="N111" s="49">
        <v>1.4</v>
      </c>
      <c r="O111" s="49">
        <v>1.3</v>
      </c>
      <c r="P111" s="49">
        <v>0</v>
      </c>
      <c r="Q111" s="47" t="s">
        <v>612</v>
      </c>
    </row>
    <row r="112" spans="1:17" ht="15" customHeight="1">
      <c r="A112" s="46" t="s">
        <v>559</v>
      </c>
      <c r="B112" s="47"/>
      <c r="C112" s="47" t="s">
        <v>613</v>
      </c>
      <c r="D112" s="48">
        <v>1</v>
      </c>
      <c r="E112" s="49">
        <v>10</v>
      </c>
      <c r="F112" s="48">
        <v>50</v>
      </c>
      <c r="G112" s="49">
        <v>118</v>
      </c>
      <c r="H112" s="49">
        <v>2.2000000000000002</v>
      </c>
      <c r="I112" s="49">
        <v>2.2000000000000002</v>
      </c>
      <c r="J112" s="49">
        <v>2.1</v>
      </c>
      <c r="K112" s="49">
        <v>2.1</v>
      </c>
      <c r="L112" s="49">
        <v>2</v>
      </c>
      <c r="M112" s="49">
        <v>1.9</v>
      </c>
      <c r="N112" s="49">
        <v>1.8</v>
      </c>
      <c r="O112" s="49">
        <v>1.7</v>
      </c>
      <c r="P112" s="49">
        <v>0</v>
      </c>
      <c r="Q112" s="47" t="s">
        <v>614</v>
      </c>
    </row>
    <row r="113" spans="1:17" ht="15" customHeight="1">
      <c r="A113" s="46" t="s">
        <v>559</v>
      </c>
      <c r="B113" s="47" t="s">
        <v>548</v>
      </c>
      <c r="C113" s="47" t="s">
        <v>150</v>
      </c>
      <c r="D113" s="48">
        <v>1</v>
      </c>
      <c r="E113" s="49">
        <v>10</v>
      </c>
      <c r="F113" s="48">
        <v>50</v>
      </c>
      <c r="G113" s="49">
        <v>103</v>
      </c>
      <c r="H113" s="49">
        <v>1.9</v>
      </c>
      <c r="I113" s="49">
        <v>1.9</v>
      </c>
      <c r="J113" s="49">
        <v>1.8</v>
      </c>
      <c r="K113" s="49">
        <v>1.8</v>
      </c>
      <c r="L113" s="49">
        <v>1.7</v>
      </c>
      <c r="M113" s="49">
        <v>1.6</v>
      </c>
      <c r="N113" s="49">
        <v>1.5</v>
      </c>
      <c r="O113" s="49">
        <v>1.4</v>
      </c>
      <c r="P113" s="49">
        <v>0</v>
      </c>
      <c r="Q113" s="47" t="s">
        <v>615</v>
      </c>
    </row>
    <row r="114" spans="1:17" ht="15" customHeight="1">
      <c r="A114" s="46" t="s">
        <v>559</v>
      </c>
      <c r="B114" s="47"/>
      <c r="C114" s="47" t="s">
        <v>616</v>
      </c>
      <c r="D114" s="48">
        <v>1</v>
      </c>
      <c r="E114" s="49">
        <v>10</v>
      </c>
      <c r="F114" s="48">
        <v>50</v>
      </c>
      <c r="G114" s="49">
        <v>123</v>
      </c>
      <c r="H114" s="49">
        <v>2.2999999999999998</v>
      </c>
      <c r="I114" s="49">
        <v>2.2999999999999998</v>
      </c>
      <c r="J114" s="49">
        <v>2.1</v>
      </c>
      <c r="K114" s="49">
        <v>2.1</v>
      </c>
      <c r="L114" s="49">
        <v>2</v>
      </c>
      <c r="M114" s="49">
        <v>1.95</v>
      </c>
      <c r="N114" s="49">
        <v>1.85</v>
      </c>
      <c r="O114" s="49">
        <v>1.75</v>
      </c>
      <c r="P114" s="49">
        <v>0</v>
      </c>
      <c r="Q114" s="47" t="s">
        <v>617</v>
      </c>
    </row>
    <row r="115" spans="1:17" ht="15" customHeight="1">
      <c r="A115" s="46" t="s">
        <v>559</v>
      </c>
      <c r="B115" s="47" t="s">
        <v>618</v>
      </c>
      <c r="C115" s="47" t="s">
        <v>619</v>
      </c>
      <c r="D115" s="48">
        <v>1</v>
      </c>
      <c r="E115" s="49">
        <v>10</v>
      </c>
      <c r="F115" s="48">
        <v>50</v>
      </c>
      <c r="G115" s="49">
        <v>93</v>
      </c>
      <c r="H115" s="49">
        <v>1.7</v>
      </c>
      <c r="I115" s="49">
        <v>1.7</v>
      </c>
      <c r="J115" s="49">
        <v>1.5</v>
      </c>
      <c r="K115" s="49">
        <v>1.5</v>
      </c>
      <c r="L115" s="49">
        <v>1.4</v>
      </c>
      <c r="M115" s="49">
        <v>1.3</v>
      </c>
      <c r="N115" s="49">
        <v>1.2</v>
      </c>
      <c r="O115" s="49">
        <v>1.1000000000000001</v>
      </c>
      <c r="P115" s="49">
        <v>0</v>
      </c>
      <c r="Q115" s="47" t="s">
        <v>620</v>
      </c>
    </row>
    <row r="116" spans="1:17" ht="15" customHeight="1">
      <c r="A116" s="46" t="s">
        <v>559</v>
      </c>
      <c r="B116" s="47" t="s">
        <v>475</v>
      </c>
      <c r="C116" s="47" t="s">
        <v>185</v>
      </c>
      <c r="D116" s="48">
        <v>1</v>
      </c>
      <c r="E116" s="49">
        <v>10</v>
      </c>
      <c r="F116" s="48">
        <v>50</v>
      </c>
      <c r="G116" s="49">
        <v>84</v>
      </c>
      <c r="H116" s="49">
        <v>1.5</v>
      </c>
      <c r="I116" s="49">
        <v>1.5</v>
      </c>
      <c r="J116" s="49">
        <v>1.3</v>
      </c>
      <c r="K116" s="49">
        <v>1.3</v>
      </c>
      <c r="L116" s="49">
        <v>1.2</v>
      </c>
      <c r="M116" s="49">
        <v>1.1000000000000001</v>
      </c>
      <c r="N116" s="49">
        <v>1</v>
      </c>
      <c r="O116" s="49">
        <v>0.9</v>
      </c>
      <c r="P116" s="49">
        <v>0</v>
      </c>
      <c r="Q116" s="47" t="s">
        <v>621</v>
      </c>
    </row>
    <row r="117" spans="1:17" ht="15" customHeight="1">
      <c r="A117" s="46" t="s">
        <v>559</v>
      </c>
      <c r="B117" s="47" t="s">
        <v>552</v>
      </c>
      <c r="C117" s="47" t="s">
        <v>152</v>
      </c>
      <c r="D117" s="48">
        <v>1</v>
      </c>
      <c r="E117" s="49">
        <v>10</v>
      </c>
      <c r="F117" s="48">
        <v>50</v>
      </c>
      <c r="G117" s="49">
        <v>79</v>
      </c>
      <c r="H117" s="49">
        <v>1.4</v>
      </c>
      <c r="I117" s="49">
        <v>1.4</v>
      </c>
      <c r="J117" s="49">
        <v>1.3</v>
      </c>
      <c r="K117" s="49">
        <v>1.3</v>
      </c>
      <c r="L117" s="49">
        <v>1.2</v>
      </c>
      <c r="M117" s="49">
        <v>1.1000000000000001</v>
      </c>
      <c r="N117" s="49">
        <v>1</v>
      </c>
      <c r="O117" s="49">
        <v>0.9</v>
      </c>
      <c r="P117" s="49">
        <v>0</v>
      </c>
      <c r="Q117" s="47" t="s">
        <v>622</v>
      </c>
    </row>
    <row r="118" spans="1:17" ht="15" customHeight="1">
      <c r="A118" s="46" t="s">
        <v>559</v>
      </c>
      <c r="B118" s="47" t="s">
        <v>623</v>
      </c>
      <c r="C118" s="47" t="s">
        <v>624</v>
      </c>
      <c r="D118" s="48">
        <v>1</v>
      </c>
      <c r="E118" s="49">
        <v>10</v>
      </c>
      <c r="F118" s="48">
        <v>50</v>
      </c>
      <c r="G118" s="49">
        <v>98</v>
      </c>
      <c r="H118" s="49">
        <v>1.8</v>
      </c>
      <c r="I118" s="49">
        <v>1.8</v>
      </c>
      <c r="J118" s="49">
        <v>1.6</v>
      </c>
      <c r="K118" s="49">
        <v>1.6</v>
      </c>
      <c r="L118" s="49">
        <v>1.5</v>
      </c>
      <c r="M118" s="49">
        <v>1.4</v>
      </c>
      <c r="N118" s="49">
        <v>1.3</v>
      </c>
      <c r="O118" s="49">
        <v>1.2</v>
      </c>
      <c r="P118" s="49">
        <v>0</v>
      </c>
      <c r="Q118" s="47" t="s">
        <v>625</v>
      </c>
    </row>
    <row r="119" spans="1:17" ht="15" customHeight="1">
      <c r="A119" s="46" t="s">
        <v>559</v>
      </c>
      <c r="B119" s="47" t="s">
        <v>554</v>
      </c>
      <c r="C119" s="47" t="s">
        <v>555</v>
      </c>
      <c r="D119" s="48">
        <v>1</v>
      </c>
      <c r="E119" s="49">
        <v>10</v>
      </c>
      <c r="F119" s="48">
        <v>50</v>
      </c>
      <c r="G119" s="49">
        <v>84</v>
      </c>
      <c r="H119" s="49">
        <v>1.5</v>
      </c>
      <c r="I119" s="49">
        <v>1.5</v>
      </c>
      <c r="J119" s="49">
        <v>1.3</v>
      </c>
      <c r="K119" s="49">
        <v>1.3</v>
      </c>
      <c r="L119" s="49">
        <v>1.2</v>
      </c>
      <c r="M119" s="49">
        <v>1.1000000000000001</v>
      </c>
      <c r="N119" s="49">
        <v>1</v>
      </c>
      <c r="O119" s="49">
        <v>0.9</v>
      </c>
      <c r="P119" s="49">
        <v>0</v>
      </c>
      <c r="Q119" s="47" t="s">
        <v>626</v>
      </c>
    </row>
    <row r="120" spans="1:17" ht="15" customHeight="1">
      <c r="A120" s="46" t="s">
        <v>559</v>
      </c>
      <c r="B120" s="47" t="s">
        <v>499</v>
      </c>
      <c r="C120" s="47" t="s">
        <v>122</v>
      </c>
      <c r="D120" s="48">
        <v>1</v>
      </c>
      <c r="E120" s="49">
        <v>10</v>
      </c>
      <c r="F120" s="48">
        <v>50</v>
      </c>
      <c r="G120" s="49">
        <v>84</v>
      </c>
      <c r="H120" s="49">
        <v>1.5</v>
      </c>
      <c r="I120" s="49">
        <v>1.5</v>
      </c>
      <c r="J120" s="49">
        <v>1.3</v>
      </c>
      <c r="K120" s="49">
        <v>1.3</v>
      </c>
      <c r="L120" s="49">
        <v>1.2</v>
      </c>
      <c r="M120" s="49">
        <v>1.1000000000000001</v>
      </c>
      <c r="N120" s="49">
        <v>1.05</v>
      </c>
      <c r="O120" s="49">
        <v>1</v>
      </c>
      <c r="P120" s="49">
        <v>0</v>
      </c>
      <c r="Q120" s="47" t="s">
        <v>627</v>
      </c>
    </row>
    <row r="121" spans="1:17" ht="15" customHeight="1">
      <c r="A121" s="46" t="s">
        <v>559</v>
      </c>
      <c r="B121" s="47" t="s">
        <v>457</v>
      </c>
      <c r="C121" s="47" t="s">
        <v>628</v>
      </c>
      <c r="D121" s="48">
        <v>1</v>
      </c>
      <c r="E121" s="49">
        <v>10</v>
      </c>
      <c r="F121" s="48">
        <v>50</v>
      </c>
      <c r="G121" s="49">
        <v>84</v>
      </c>
      <c r="H121" s="49">
        <v>1.5</v>
      </c>
      <c r="I121" s="49">
        <v>1.5</v>
      </c>
      <c r="J121" s="49">
        <v>1.3</v>
      </c>
      <c r="K121" s="49">
        <v>1.3</v>
      </c>
      <c r="L121" s="49">
        <v>1.2</v>
      </c>
      <c r="M121" s="49">
        <v>1.1000000000000001</v>
      </c>
      <c r="N121" s="49">
        <v>1.05</v>
      </c>
      <c r="O121" s="49">
        <v>1</v>
      </c>
      <c r="P121" s="49">
        <v>0</v>
      </c>
      <c r="Q121" s="47" t="s">
        <v>629</v>
      </c>
    </row>
    <row r="122" spans="1:17" ht="15" customHeight="1">
      <c r="A122" s="46" t="s">
        <v>559</v>
      </c>
      <c r="B122" s="47" t="s">
        <v>489</v>
      </c>
      <c r="C122" s="47" t="s">
        <v>630</v>
      </c>
      <c r="D122" s="48">
        <v>1</v>
      </c>
      <c r="E122" s="49">
        <v>10</v>
      </c>
      <c r="F122" s="48">
        <v>50</v>
      </c>
      <c r="G122" s="49">
        <v>113</v>
      </c>
      <c r="H122" s="49">
        <v>2.1</v>
      </c>
      <c r="I122" s="49">
        <v>2.1</v>
      </c>
      <c r="J122" s="49">
        <v>2</v>
      </c>
      <c r="K122" s="49">
        <v>2</v>
      </c>
      <c r="L122" s="49">
        <v>1.9</v>
      </c>
      <c r="M122" s="49">
        <v>1.8</v>
      </c>
      <c r="N122" s="49">
        <v>1.7</v>
      </c>
      <c r="O122" s="49">
        <v>1.6</v>
      </c>
      <c r="P122" s="49">
        <v>0</v>
      </c>
      <c r="Q122" s="47" t="s">
        <v>631</v>
      </c>
    </row>
    <row r="123" spans="1:17" ht="15" customHeight="1">
      <c r="A123" s="46" t="s">
        <v>559</v>
      </c>
      <c r="B123" s="47" t="s">
        <v>507</v>
      </c>
      <c r="C123" s="47" t="s">
        <v>130</v>
      </c>
      <c r="D123" s="48">
        <v>1</v>
      </c>
      <c r="E123" s="49">
        <v>10</v>
      </c>
      <c r="F123" s="48">
        <v>50</v>
      </c>
      <c r="G123" s="49">
        <v>118</v>
      </c>
      <c r="H123" s="49">
        <v>2.2000000000000002</v>
      </c>
      <c r="I123" s="49">
        <v>2.2000000000000002</v>
      </c>
      <c r="J123" s="49">
        <v>2.1</v>
      </c>
      <c r="K123" s="49">
        <v>2.1</v>
      </c>
      <c r="L123" s="49">
        <v>2</v>
      </c>
      <c r="M123" s="49">
        <v>1.9</v>
      </c>
      <c r="N123" s="49">
        <v>1.8</v>
      </c>
      <c r="O123" s="49">
        <v>1.7</v>
      </c>
      <c r="P123" s="49">
        <v>0</v>
      </c>
      <c r="Q123" s="47" t="s">
        <v>632</v>
      </c>
    </row>
    <row r="124" spans="1:17" ht="15" customHeight="1">
      <c r="A124" s="46" t="s">
        <v>559</v>
      </c>
      <c r="B124" s="47"/>
      <c r="C124" s="47" t="s">
        <v>633</v>
      </c>
      <c r="D124" s="48">
        <v>1</v>
      </c>
      <c r="E124" s="49">
        <v>10</v>
      </c>
      <c r="F124" s="48">
        <v>50</v>
      </c>
      <c r="G124" s="49">
        <v>133</v>
      </c>
      <c r="H124" s="49">
        <v>2.5</v>
      </c>
      <c r="I124" s="49">
        <v>2.5</v>
      </c>
      <c r="J124" s="49">
        <v>2.2999999999999998</v>
      </c>
      <c r="K124" s="49">
        <v>2.2999999999999998</v>
      </c>
      <c r="L124" s="49">
        <v>2.2000000000000002</v>
      </c>
      <c r="M124" s="49">
        <v>2.1</v>
      </c>
      <c r="N124" s="49">
        <v>2</v>
      </c>
      <c r="O124" s="49">
        <v>2</v>
      </c>
      <c r="P124" s="49">
        <v>0</v>
      </c>
      <c r="Q124" s="47" t="s">
        <v>634</v>
      </c>
    </row>
    <row r="125" spans="1:17" ht="15" customHeight="1">
      <c r="A125" s="46" t="s">
        <v>559</v>
      </c>
      <c r="B125" s="47" t="s">
        <v>411</v>
      </c>
      <c r="C125" s="47" t="s">
        <v>635</v>
      </c>
      <c r="D125" s="48">
        <v>1</v>
      </c>
      <c r="E125" s="49">
        <v>10</v>
      </c>
      <c r="F125" s="48">
        <v>50</v>
      </c>
      <c r="G125" s="49">
        <v>133</v>
      </c>
      <c r="H125" s="49">
        <v>2.5</v>
      </c>
      <c r="I125" s="49">
        <v>2.5</v>
      </c>
      <c r="J125" s="49">
        <v>2.2999999999999998</v>
      </c>
      <c r="K125" s="49">
        <v>2.2999999999999998</v>
      </c>
      <c r="L125" s="49">
        <v>2.2000000000000002</v>
      </c>
      <c r="M125" s="49">
        <v>2.1</v>
      </c>
      <c r="N125" s="49">
        <v>2</v>
      </c>
      <c r="O125" s="49">
        <v>2</v>
      </c>
      <c r="P125" s="49">
        <v>0</v>
      </c>
      <c r="Q125" s="47" t="s">
        <v>636</v>
      </c>
    </row>
    <row r="126" spans="1:17" ht="15" customHeight="1">
      <c r="A126" s="46" t="s">
        <v>559</v>
      </c>
      <c r="B126" s="47" t="s">
        <v>499</v>
      </c>
      <c r="C126" s="47" t="s">
        <v>122</v>
      </c>
      <c r="D126" s="48">
        <v>1</v>
      </c>
      <c r="E126" s="49">
        <v>10</v>
      </c>
      <c r="F126" s="48">
        <v>50</v>
      </c>
      <c r="G126" s="49">
        <v>81</v>
      </c>
      <c r="H126" s="49">
        <v>1.45</v>
      </c>
      <c r="I126" s="49">
        <v>1.45</v>
      </c>
      <c r="J126" s="49">
        <v>1.3</v>
      </c>
      <c r="K126" s="49">
        <v>1.3</v>
      </c>
      <c r="L126" s="49">
        <v>1.2</v>
      </c>
      <c r="M126" s="49">
        <v>1.1000000000000001</v>
      </c>
      <c r="N126" s="49">
        <v>1</v>
      </c>
      <c r="O126" s="49">
        <v>0.9</v>
      </c>
      <c r="P126" s="49">
        <v>0</v>
      </c>
      <c r="Q126" s="47" t="s">
        <v>627</v>
      </c>
    </row>
    <row r="127" spans="1:17" ht="15" customHeight="1">
      <c r="A127" s="46" t="s">
        <v>559</v>
      </c>
      <c r="B127" s="47" t="s">
        <v>457</v>
      </c>
      <c r="C127" s="47" t="s">
        <v>637</v>
      </c>
      <c r="D127" s="48">
        <v>1</v>
      </c>
      <c r="E127" s="49">
        <v>10</v>
      </c>
      <c r="F127" s="48">
        <v>50</v>
      </c>
      <c r="G127" s="49">
        <v>86</v>
      </c>
      <c r="H127" s="49">
        <v>1.55</v>
      </c>
      <c r="I127" s="49">
        <v>1.55</v>
      </c>
      <c r="J127" s="49">
        <v>1.35</v>
      </c>
      <c r="K127" s="49">
        <v>1.35</v>
      </c>
      <c r="L127" s="49">
        <v>1.25</v>
      </c>
      <c r="M127" s="49">
        <v>1.1499999999999999</v>
      </c>
      <c r="N127" s="49">
        <v>1.1000000000000001</v>
      </c>
      <c r="O127" s="49">
        <v>1</v>
      </c>
      <c r="P127" s="49">
        <v>0</v>
      </c>
      <c r="Q127" s="47" t="s">
        <v>638</v>
      </c>
    </row>
    <row r="128" spans="1:17" ht="15" customHeight="1">
      <c r="A128" s="46" t="s">
        <v>559</v>
      </c>
      <c r="B128" s="47"/>
      <c r="C128" s="47" t="s">
        <v>639</v>
      </c>
      <c r="D128" s="48">
        <v>1</v>
      </c>
      <c r="E128" s="49">
        <v>10</v>
      </c>
      <c r="F128" s="48">
        <v>50</v>
      </c>
      <c r="G128" s="49">
        <v>83</v>
      </c>
      <c r="H128" s="49">
        <v>1.48</v>
      </c>
      <c r="I128" s="49">
        <v>1.48</v>
      </c>
      <c r="J128" s="49">
        <v>1.35</v>
      </c>
      <c r="K128" s="49">
        <v>1.35</v>
      </c>
      <c r="L128" s="49">
        <v>1.25</v>
      </c>
      <c r="M128" s="49">
        <v>1.1499999999999999</v>
      </c>
      <c r="N128" s="49">
        <v>1.05</v>
      </c>
      <c r="O128" s="49">
        <v>0.95</v>
      </c>
      <c r="P128" s="49">
        <v>0</v>
      </c>
      <c r="Q128" s="47" t="s">
        <v>640</v>
      </c>
    </row>
    <row r="129" spans="1:17" ht="15" customHeight="1">
      <c r="A129" s="46" t="s">
        <v>559</v>
      </c>
      <c r="B129" s="47"/>
      <c r="C129" s="47" t="s">
        <v>641</v>
      </c>
      <c r="D129" s="48">
        <v>1</v>
      </c>
      <c r="E129" s="49">
        <v>10</v>
      </c>
      <c r="F129" s="48">
        <v>50</v>
      </c>
      <c r="G129" s="49">
        <v>79</v>
      </c>
      <c r="H129" s="49">
        <v>1.4</v>
      </c>
      <c r="I129" s="49">
        <v>1.4</v>
      </c>
      <c r="J129" s="49">
        <v>1.3</v>
      </c>
      <c r="K129" s="49">
        <v>1.3</v>
      </c>
      <c r="L129" s="49">
        <v>1.2</v>
      </c>
      <c r="M129" s="49">
        <v>1.1000000000000001</v>
      </c>
      <c r="N129" s="49">
        <v>1</v>
      </c>
      <c r="O129" s="49">
        <v>0.9</v>
      </c>
      <c r="P129" s="49">
        <v>0</v>
      </c>
      <c r="Q129" s="47" t="s">
        <v>642</v>
      </c>
    </row>
    <row r="130" spans="1:17" ht="15" customHeight="1">
      <c r="A130" s="46" t="s">
        <v>559</v>
      </c>
      <c r="B130" s="47" t="s">
        <v>464</v>
      </c>
      <c r="C130" s="47" t="s">
        <v>82</v>
      </c>
      <c r="D130" s="48">
        <v>1</v>
      </c>
      <c r="E130" s="49">
        <v>10</v>
      </c>
      <c r="F130" s="48">
        <v>50</v>
      </c>
      <c r="G130" s="49">
        <v>79</v>
      </c>
      <c r="H130" s="49">
        <v>1.4</v>
      </c>
      <c r="I130" s="49">
        <v>1.4</v>
      </c>
      <c r="J130" s="49">
        <v>1.3</v>
      </c>
      <c r="K130" s="49">
        <v>1.3</v>
      </c>
      <c r="L130" s="49">
        <v>1.2</v>
      </c>
      <c r="M130" s="49">
        <v>1.1000000000000001</v>
      </c>
      <c r="N130" s="49">
        <v>1</v>
      </c>
      <c r="O130" s="49">
        <v>0.9</v>
      </c>
      <c r="P130" s="49">
        <v>0</v>
      </c>
      <c r="Q130" s="47" t="s">
        <v>643</v>
      </c>
    </row>
    <row r="131" spans="1:17" ht="15" customHeight="1">
      <c r="A131" s="46" t="s">
        <v>559</v>
      </c>
      <c r="B131" s="47" t="s">
        <v>552</v>
      </c>
      <c r="C131" s="47" t="s">
        <v>152</v>
      </c>
      <c r="D131" s="48">
        <v>1</v>
      </c>
      <c r="E131" s="49">
        <v>10</v>
      </c>
      <c r="F131" s="48">
        <v>50</v>
      </c>
      <c r="G131" s="49">
        <v>79</v>
      </c>
      <c r="H131" s="49">
        <v>1.4</v>
      </c>
      <c r="I131" s="49">
        <v>1.4</v>
      </c>
      <c r="J131" s="49">
        <v>1.3</v>
      </c>
      <c r="K131" s="49">
        <v>1.3</v>
      </c>
      <c r="L131" s="49">
        <v>1.2</v>
      </c>
      <c r="M131" s="49">
        <v>1.1000000000000001</v>
      </c>
      <c r="N131" s="49">
        <v>1</v>
      </c>
      <c r="O131" s="49">
        <v>0.9</v>
      </c>
      <c r="P131" s="49">
        <v>0</v>
      </c>
      <c r="Q131" s="47" t="s">
        <v>622</v>
      </c>
    </row>
    <row r="132" spans="1:17" ht="15" customHeight="1">
      <c r="A132" s="46" t="s">
        <v>559</v>
      </c>
      <c r="B132" s="47" t="s">
        <v>475</v>
      </c>
      <c r="C132" s="47" t="s">
        <v>194</v>
      </c>
      <c r="D132" s="48">
        <v>1</v>
      </c>
      <c r="E132" s="49">
        <v>10</v>
      </c>
      <c r="F132" s="48">
        <v>50</v>
      </c>
      <c r="G132" s="49">
        <v>79</v>
      </c>
      <c r="H132" s="49">
        <v>1.4</v>
      </c>
      <c r="I132" s="49">
        <v>1.4</v>
      </c>
      <c r="J132" s="49">
        <v>1.3</v>
      </c>
      <c r="K132" s="49">
        <v>1.3</v>
      </c>
      <c r="L132" s="49">
        <v>1.2</v>
      </c>
      <c r="M132" s="49">
        <v>1.1000000000000001</v>
      </c>
      <c r="N132" s="49">
        <v>1</v>
      </c>
      <c r="O132" s="49">
        <v>0.9</v>
      </c>
      <c r="P132" s="49">
        <v>0</v>
      </c>
      <c r="Q132" s="47" t="s">
        <v>644</v>
      </c>
    </row>
    <row r="133" spans="1:17" ht="15" customHeight="1">
      <c r="A133" s="46" t="s">
        <v>559</v>
      </c>
      <c r="B133" s="47"/>
      <c r="C133" s="47" t="s">
        <v>645</v>
      </c>
      <c r="D133" s="48">
        <v>1</v>
      </c>
      <c r="E133" s="49">
        <v>10</v>
      </c>
      <c r="F133" s="48">
        <v>50</v>
      </c>
      <c r="G133" s="49">
        <v>86</v>
      </c>
      <c r="H133" s="49">
        <v>1.55</v>
      </c>
      <c r="I133" s="49">
        <v>1.55</v>
      </c>
      <c r="J133" s="49">
        <v>1.4</v>
      </c>
      <c r="K133" s="49">
        <v>1.4</v>
      </c>
      <c r="L133" s="49">
        <v>1.3</v>
      </c>
      <c r="M133" s="49">
        <v>1.2</v>
      </c>
      <c r="N133" s="49">
        <v>1.1000000000000001</v>
      </c>
      <c r="O133" s="49">
        <v>1</v>
      </c>
      <c r="P133" s="49">
        <v>0</v>
      </c>
      <c r="Q133" s="47" t="s">
        <v>646</v>
      </c>
    </row>
  </sheetData>
  <autoFilter ref="A3:Q133" xr:uid="{00000000-0009-0000-0000-000006000000}"/>
  <mergeCells count="1">
    <mergeCell ref="A1:Q1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"/>
  <sheetViews>
    <sheetView showGridLines="0" zoomScaleNormal="100" workbookViewId="0">
      <selection activeCell="B22" sqref="B22"/>
    </sheetView>
  </sheetViews>
  <sheetFormatPr defaultColWidth="8" defaultRowHeight="13.8"/>
  <cols>
    <col min="1" max="1" width="24" customWidth="1"/>
    <col min="2" max="2" width="18" customWidth="1"/>
  </cols>
  <sheetData>
    <row r="1" spans="1:4" ht="17.25" customHeight="1">
      <c r="A1" s="55" t="s">
        <v>647</v>
      </c>
      <c r="B1" s="55"/>
      <c r="C1" s="55"/>
      <c r="D1" s="55"/>
    </row>
    <row r="3" spans="1:4" ht="15" customHeight="1">
      <c r="A3" s="56" t="s">
        <v>648</v>
      </c>
      <c r="B3" s="56"/>
      <c r="C3" s="56"/>
      <c r="D3" s="56"/>
    </row>
    <row r="4" spans="1:4" ht="15" customHeight="1">
      <c r="A4" s="3" t="s">
        <v>49</v>
      </c>
      <c r="B4" s="50" t="str">
        <f>报价汇总!B21</f>
        <v>特惠普运</v>
      </c>
    </row>
    <row r="5" spans="1:4" ht="15" customHeight="1">
      <c r="A5" s="3" t="s">
        <v>51</v>
      </c>
      <c r="B5" s="50" t="str">
        <f>报价汇总!B22</f>
        <v>宁波</v>
      </c>
    </row>
    <row r="6" spans="1:4" ht="15" customHeight="1">
      <c r="A6" s="3" t="s">
        <v>53</v>
      </c>
      <c r="B6" s="50">
        <f>报价汇总!B23</f>
        <v>50</v>
      </c>
    </row>
    <row r="7" spans="1:4" ht="15" customHeight="1">
      <c r="A7" s="3" t="s">
        <v>649</v>
      </c>
      <c r="B7" s="51">
        <f>IF(报价汇总!B16="","",报价汇总!B16+包装计算!$B$41)</f>
        <v>4.8569599999999999</v>
      </c>
    </row>
    <row r="8" spans="1:4" ht="15" customHeight="1">
      <c r="A8" s="3" t="s">
        <v>650</v>
      </c>
      <c r="B8" s="22">
        <f>包装计算!$B$17</f>
        <v>135432</v>
      </c>
    </row>
    <row r="9" spans="1:4" ht="15" customHeight="1">
      <c r="A9" s="3" t="s">
        <v>40</v>
      </c>
      <c r="B9" s="22">
        <f>报价汇总!B17</f>
        <v>4</v>
      </c>
    </row>
    <row r="10" spans="1:4" ht="15" customHeight="1">
      <c r="A10" s="3" t="s">
        <v>651</v>
      </c>
      <c r="B10" s="52">
        <f>IF(OR(B6="",B9="",B9=0),"",B6/B9)</f>
        <v>12.5</v>
      </c>
    </row>
    <row r="11" spans="1:4" ht="15" customHeight="1">
      <c r="A11" s="3" t="s">
        <v>398</v>
      </c>
      <c r="B11" s="50" t="str">
        <f>IF(OR(B4="",B5=""),"",B4&amp;"|"&amp;B5)</f>
        <v>特惠普运|宁波</v>
      </c>
    </row>
    <row r="12" spans="1:4" ht="15" customHeight="1">
      <c r="A12" s="3" t="s">
        <v>652</v>
      </c>
      <c r="B12" s="22" t="str">
        <f>IF(B11="","",IFERROR(MATCH(B11,跨越费率!$Q$4:$Q$300,0),""))</f>
        <v/>
      </c>
    </row>
    <row r="14" spans="1:4" ht="15" customHeight="1">
      <c r="A14" s="56" t="s">
        <v>653</v>
      </c>
      <c r="B14" s="56"/>
      <c r="C14" s="56"/>
      <c r="D14" s="56"/>
    </row>
    <row r="15" spans="1:4" ht="15" customHeight="1">
      <c r="A15" s="3" t="s">
        <v>654</v>
      </c>
      <c r="B15" s="53">
        <f>IF(OR(B7="",B6=""),"",B7*B6)</f>
        <v>242.84799999999998</v>
      </c>
    </row>
    <row r="16" spans="1:4" ht="15" customHeight="1">
      <c r="A16" s="3" t="s">
        <v>655</v>
      </c>
      <c r="B16" s="53">
        <f>IF(OR(B8="",B10=""),"",B8*B10/参数!$B$36)</f>
        <v>282.14999999999998</v>
      </c>
    </row>
    <row r="17" spans="1:10" ht="15" customHeight="1">
      <c r="A17" s="3" t="s">
        <v>656</v>
      </c>
      <c r="B17" s="53">
        <f>IF(AND(ISNUMBER(B15),ISNUMBER(B16)),MAX(B15,B16),"")</f>
        <v>282.14999999999998</v>
      </c>
    </row>
    <row r="18" spans="1:10" ht="15" customHeight="1">
      <c r="A18" s="3" t="s">
        <v>657</v>
      </c>
      <c r="B18" s="53" t="str">
        <f>IF(B12="","",INDEX(跨越费率!$F$4:$F$300,B12))</f>
        <v/>
      </c>
    </row>
    <row r="19" spans="1:10" ht="15" customHeight="1">
      <c r="A19" s="3" t="s">
        <v>658</v>
      </c>
      <c r="B19" s="53" t="str">
        <f>IF(OR(B17="",B18=""),"",MAX(B17,B18))</f>
        <v/>
      </c>
    </row>
    <row r="21" spans="1:10" ht="15" customHeight="1">
      <c r="A21" s="56" t="s">
        <v>659</v>
      </c>
      <c r="B21" s="56"/>
      <c r="C21" s="56"/>
      <c r="D21" s="56"/>
    </row>
    <row r="22" spans="1:10" ht="15" customHeight="1">
      <c r="A22" s="3" t="s">
        <v>385</v>
      </c>
      <c r="B22" s="22" t="str">
        <f>IF(B12="","",INDEX(跨越费率!$D$4:$D$300,B12))</f>
        <v/>
      </c>
    </row>
    <row r="23" spans="1:10" ht="15" customHeight="1">
      <c r="A23" s="3" t="s">
        <v>386</v>
      </c>
      <c r="B23" s="53" t="str">
        <f>IF(B12="","",INDEX(跨越费率!$E$4:$E$300,B12))</f>
        <v/>
      </c>
    </row>
    <row r="24" spans="1:10" ht="15" customHeight="1">
      <c r="A24" s="3" t="s">
        <v>660</v>
      </c>
      <c r="B24" s="22" t="str">
        <f>IF(OR(B19="",B4=""),"",IF(B4="次日达",MATCH(B19,$B$26:$J$26,1),MATCH(B19,$B$27:$J$27,1)))</f>
        <v/>
      </c>
    </row>
    <row r="25" spans="1:10" ht="15" customHeight="1">
      <c r="A25" s="3" t="s">
        <v>661</v>
      </c>
      <c r="B25" s="53" t="str">
        <f>IF(OR(B12="",B24=""),"",INDEX(跨越费率!$H$4:$P$300,B12,B24))</f>
        <v/>
      </c>
    </row>
    <row r="26" spans="1:10" ht="15" customHeight="1">
      <c r="A26" s="13" t="s">
        <v>662</v>
      </c>
      <c r="B26" s="54">
        <v>1</v>
      </c>
      <c r="C26" s="54">
        <v>10</v>
      </c>
      <c r="D26" s="54">
        <v>30</v>
      </c>
      <c r="E26" s="54">
        <v>50</v>
      </c>
      <c r="F26" s="54">
        <v>100</v>
      </c>
      <c r="G26" s="54">
        <v>300</v>
      </c>
      <c r="H26" s="54">
        <v>500</v>
      </c>
      <c r="I26" s="54">
        <v>1000</v>
      </c>
      <c r="J26" s="54">
        <v>2000</v>
      </c>
    </row>
    <row r="27" spans="1:10" ht="15" customHeight="1">
      <c r="A27" s="13" t="s">
        <v>663</v>
      </c>
      <c r="B27" s="54">
        <v>1</v>
      </c>
      <c r="C27" s="54">
        <v>50</v>
      </c>
      <c r="D27" s="54">
        <v>100</v>
      </c>
      <c r="E27" s="54">
        <v>200</v>
      </c>
      <c r="F27" s="54">
        <v>300</v>
      </c>
      <c r="G27" s="54">
        <v>500</v>
      </c>
      <c r="H27" s="54">
        <v>1000</v>
      </c>
      <c r="I27" s="54">
        <v>2000</v>
      </c>
      <c r="J27" s="54">
        <v>0</v>
      </c>
    </row>
    <row r="28" spans="1:10" ht="15" customHeight="1">
      <c r="A28" s="3" t="s">
        <v>388</v>
      </c>
      <c r="B28" s="53" t="str">
        <f>IF(B12="","",INDEX(跨越费率!$G$4:$G$300,B12))</f>
        <v/>
      </c>
    </row>
    <row r="29" spans="1:10" ht="15" customHeight="1">
      <c r="A29" s="3" t="s">
        <v>664</v>
      </c>
      <c r="B29" s="53" t="str">
        <f>IF(OR(B23="",B19="",B25="",B28=""),"",MAX(B23+(B19-B22)*B25,B28))</f>
        <v/>
      </c>
    </row>
    <row r="30" spans="1:10" ht="15" customHeight="1">
      <c r="A30" s="3" t="s">
        <v>665</v>
      </c>
      <c r="B30" s="22">
        <f>报价汇总!B24</f>
        <v>0</v>
      </c>
    </row>
    <row r="31" spans="1:10" ht="15" customHeight="1">
      <c r="A31" s="3" t="s">
        <v>666</v>
      </c>
      <c r="B31" s="53">
        <f>IF(参数!$B$39="是",IF(NOT(ISNUMBER(B30)),"",MAX(参数!$B$37*B30,参数!$B$38)),0)</f>
        <v>0</v>
      </c>
    </row>
    <row r="32" spans="1:10" ht="15" customHeight="1">
      <c r="A32" s="3" t="s">
        <v>667</v>
      </c>
      <c r="B32" s="53" t="str">
        <f>IF(OR(B29="",B31=""),"",B29+B31)</f>
        <v/>
      </c>
    </row>
    <row r="33" spans="1:2" ht="15" customHeight="1">
      <c r="A33" s="3" t="s">
        <v>668</v>
      </c>
      <c r="B33" s="15" t="str">
        <f>IF(OR(B32="",B6="",B6=0),"",B32/B6)</f>
        <v/>
      </c>
    </row>
    <row r="35" spans="1:2" ht="15" customHeight="1">
      <c r="A35" s="13" t="s">
        <v>669</v>
      </c>
    </row>
    <row r="36" spans="1:2" ht="15" customHeight="1">
      <c r="A36" s="13" t="s">
        <v>670</v>
      </c>
    </row>
  </sheetData>
  <mergeCells count="4">
    <mergeCell ref="A1:D1"/>
    <mergeCell ref="A3:D3"/>
    <mergeCell ref="A14:D14"/>
    <mergeCell ref="A21:D21"/>
  </mergeCells>
  <phoneticPr fontId="2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报价汇总</vt:lpstr>
      <vt:lpstr>物料明细</vt:lpstr>
      <vt:lpstr>加工及工装</vt:lpstr>
      <vt:lpstr>参数</vt:lpstr>
      <vt:lpstr>包装计算</vt:lpstr>
      <vt:lpstr>跨越费率</vt:lpstr>
      <vt:lpstr>运费计算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HAIER</cp:lastModifiedBy>
  <cp:revision>0</cp:revision>
  <dcterms:created xsi:type="dcterms:W3CDTF">2026-10-12T08:27:27Z</dcterms:created>
  <dcterms:modified xsi:type="dcterms:W3CDTF">2026-10-12T10:36:39Z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{"Label":"1","ContentProducer":"001191110102MACQD9K64010000","ProduceID":"7695675034551815451","ReservedCode1":"","ContentPropagator":"","PropagateID":"","ReservedCode2":""}</vt:lpwstr>
  </property>
</Properties>
</file>