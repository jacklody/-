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项目清单\B芯片项目\天加商空\20-26P\报价单\涨价沟通2026-5-18\"/>
    </mc:Choice>
  </mc:AlternateContent>
  <xr:revisionPtr revIDLastSave="0" documentId="13_ncr:1_{0BE26EBF-36C9-473E-BCC0-3FBB7951B9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汇总情况" sheetId="6" r:id="rId2"/>
    <sheet name="Sheet2" sheetId="2" r:id="rId3"/>
    <sheet name="Sheet3" sheetId="3" r:id="rId4"/>
    <sheet name="Sheet4" sheetId="4" r:id="rId5"/>
    <sheet name="客供料" sheetId="5" r:id="rId6"/>
  </sheets>
  <externalReferences>
    <externalReference r:id="rId7"/>
  </externalReferences>
  <definedNames>
    <definedName name="_xlnm._FilterDatabase" localSheetId="2" hidden="1">Sheet2!$A$4:$AI$321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7" i="6" l="1"/>
  <c r="D67" i="6" s="1"/>
  <c r="E67" i="6" s="1"/>
  <c r="G67" i="6" s="1"/>
  <c r="B66" i="6"/>
  <c r="D66" i="6"/>
  <c r="E66" i="6" s="1"/>
  <c r="G66" i="6" s="1"/>
  <c r="B63" i="6"/>
  <c r="B62" i="6"/>
  <c r="D62" i="6" s="1"/>
  <c r="B58" i="6"/>
  <c r="D58" i="6" s="1"/>
  <c r="E58" i="6" s="1"/>
  <c r="G58" i="6" s="1"/>
  <c r="G42" i="1"/>
  <c r="D63" i="6"/>
  <c r="E63" i="6" s="1"/>
  <c r="G63" i="6" s="1"/>
  <c r="B59" i="6"/>
  <c r="D59" i="6" s="1"/>
  <c r="E59" i="6" s="1"/>
  <c r="G59" i="6" s="1"/>
  <c r="D55" i="6"/>
  <c r="E55" i="6" s="1"/>
  <c r="G55" i="6" s="1"/>
  <c r="D54" i="6"/>
  <c r="E54" i="6" s="1"/>
  <c r="G54" i="6" s="1"/>
  <c r="E32" i="6"/>
  <c r="E31" i="6"/>
  <c r="D31" i="6"/>
  <c r="D37" i="6" s="1"/>
  <c r="E30" i="6"/>
  <c r="D30" i="6"/>
  <c r="E15" i="6"/>
  <c r="D15" i="6"/>
  <c r="E14" i="6"/>
  <c r="D14" i="6"/>
  <c r="E13" i="6"/>
  <c r="D13" i="6"/>
  <c r="E12" i="6"/>
  <c r="D12" i="6"/>
  <c r="G59" i="1"/>
  <c r="G58" i="1"/>
  <c r="I58" i="1"/>
  <c r="J58" i="1" s="1"/>
  <c r="L58" i="1" s="1"/>
  <c r="I59" i="1"/>
  <c r="J59" i="1" s="1"/>
  <c r="L59" i="1" s="1"/>
  <c r="L55" i="1"/>
  <c r="L54" i="1"/>
  <c r="J55" i="1"/>
  <c r="J54" i="1"/>
  <c r="I55" i="1"/>
  <c r="I54" i="1"/>
  <c r="O321" i="4"/>
  <c r="O320" i="4"/>
  <c r="O319" i="4"/>
  <c r="O318" i="4"/>
  <c r="Q317" i="4"/>
  <c r="Q316" i="4"/>
  <c r="Q315" i="4"/>
  <c r="O315" i="4"/>
  <c r="Q314" i="4"/>
  <c r="O314" i="4"/>
  <c r="Q313" i="4"/>
  <c r="O313" i="4"/>
  <c r="Q312" i="4"/>
  <c r="O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O292" i="4"/>
  <c r="Q291" i="4"/>
  <c r="O291" i="4"/>
  <c r="Q290" i="4"/>
  <c r="O290" i="4"/>
  <c r="Q289" i="4"/>
  <c r="O289" i="4"/>
  <c r="Q288" i="4"/>
  <c r="O288" i="4"/>
  <c r="Q287" i="4"/>
  <c r="O287" i="4"/>
  <c r="Q286" i="4"/>
  <c r="O286" i="4"/>
  <c r="Q285" i="4"/>
  <c r="O285" i="4"/>
  <c r="Q284" i="4"/>
  <c r="O284" i="4"/>
  <c r="Q283" i="4"/>
  <c r="O283" i="4"/>
  <c r="Q282" i="4"/>
  <c r="O282" i="4"/>
  <c r="Q281" i="4"/>
  <c r="O281" i="4"/>
  <c r="Q280" i="4"/>
  <c r="O280" i="4"/>
  <c r="Q279" i="4"/>
  <c r="O279" i="4"/>
  <c r="Q278" i="4"/>
  <c r="O277" i="4"/>
  <c r="Q276" i="4"/>
  <c r="Q275" i="4"/>
  <c r="O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O245" i="4"/>
  <c r="Q244" i="4"/>
  <c r="Q243" i="4"/>
  <c r="O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O223" i="4"/>
  <c r="Q222" i="4"/>
  <c r="Q221" i="4"/>
  <c r="O221" i="4"/>
  <c r="Q220" i="4"/>
  <c r="Q219" i="4"/>
  <c r="Q218" i="4"/>
  <c r="O218" i="4"/>
  <c r="Q217" i="4"/>
  <c r="O217" i="4"/>
  <c r="Q216" i="4"/>
  <c r="O216" i="4"/>
  <c r="Q215" i="4"/>
  <c r="O215" i="4"/>
  <c r="Q214" i="4"/>
  <c r="O214" i="4"/>
  <c r="Q213" i="4"/>
  <c r="O213" i="4"/>
  <c r="Q212" i="4"/>
  <c r="O212" i="4"/>
  <c r="Q211" i="4"/>
  <c r="Q210" i="4"/>
  <c r="Q209" i="4"/>
  <c r="O209" i="4"/>
  <c r="Q208" i="4"/>
  <c r="O208" i="4"/>
  <c r="Q207" i="4"/>
  <c r="O207" i="4"/>
  <c r="Q206" i="4"/>
  <c r="Q205" i="4"/>
  <c r="Q204" i="4"/>
  <c r="Q203" i="4"/>
  <c r="Q202" i="4"/>
  <c r="Q201" i="4"/>
  <c r="Q200" i="4"/>
  <c r="Q199" i="4"/>
  <c r="Q198" i="4"/>
  <c r="Q197" i="4"/>
  <c r="O197" i="4"/>
  <c r="Q196" i="4"/>
  <c r="O196" i="4"/>
  <c r="Q195" i="4"/>
  <c r="O195" i="4"/>
  <c r="Q194" i="4"/>
  <c r="O194" i="4"/>
  <c r="Q193" i="4"/>
  <c r="O193" i="4"/>
  <c r="Q192" i="4"/>
  <c r="O192" i="4"/>
  <c r="Q191" i="4"/>
  <c r="O191" i="4"/>
  <c r="Q190" i="4"/>
  <c r="O190" i="4"/>
  <c r="Q189" i="4"/>
  <c r="O189" i="4"/>
  <c r="Q188" i="4"/>
  <c r="O188" i="4"/>
  <c r="Q187" i="4"/>
  <c r="O187" i="4"/>
  <c r="Q186" i="4"/>
  <c r="O186" i="4"/>
  <c r="Q185" i="4"/>
  <c r="O185" i="4"/>
  <c r="Q184" i="4"/>
  <c r="O184" i="4"/>
  <c r="Q183" i="4"/>
  <c r="O183" i="4"/>
  <c r="Q182" i="4"/>
  <c r="O182" i="4"/>
  <c r="Q181" i="4"/>
  <c r="O181" i="4"/>
  <c r="Q180" i="4"/>
  <c r="O180" i="4"/>
  <c r="Q179" i="4"/>
  <c r="O179" i="4"/>
  <c r="Q178" i="4"/>
  <c r="O178" i="4"/>
  <c r="Q177" i="4"/>
  <c r="O177" i="4"/>
  <c r="Q176" i="4"/>
  <c r="O176" i="4"/>
  <c r="Q175" i="4"/>
  <c r="O175" i="4"/>
  <c r="Q174" i="4"/>
  <c r="O174" i="4"/>
  <c r="Q173" i="4"/>
  <c r="O173" i="4"/>
  <c r="Q172" i="4"/>
  <c r="O172" i="4"/>
  <c r="Q171" i="4"/>
  <c r="O171" i="4"/>
  <c r="Q170" i="4"/>
  <c r="O170" i="4"/>
  <c r="Q169" i="4"/>
  <c r="O169" i="4"/>
  <c r="Q168" i="4"/>
  <c r="O168" i="4"/>
  <c r="Q167" i="4"/>
  <c r="O167" i="4"/>
  <c r="Q166" i="4"/>
  <c r="O166" i="4"/>
  <c r="Q165" i="4"/>
  <c r="O165" i="4"/>
  <c r="Q164" i="4"/>
  <c r="O164" i="4"/>
  <c r="Q163" i="4"/>
  <c r="O163" i="4"/>
  <c r="Q162" i="4"/>
  <c r="O162" i="4"/>
  <c r="Q161" i="4"/>
  <c r="O161" i="4"/>
  <c r="Q160" i="4"/>
  <c r="O160" i="4"/>
  <c r="Q159" i="4"/>
  <c r="Q158" i="4"/>
  <c r="O158" i="4"/>
  <c r="Q157" i="4"/>
  <c r="O157" i="4"/>
  <c r="Q156" i="4"/>
  <c r="O156" i="4"/>
  <c r="Q155" i="4"/>
  <c r="O155" i="4"/>
  <c r="Q154" i="4"/>
  <c r="Q153" i="4"/>
  <c r="Q152" i="4"/>
  <c r="Q151" i="4"/>
  <c r="Q150" i="4"/>
  <c r="Q149" i="4"/>
  <c r="Q148" i="4"/>
  <c r="Q147" i="4"/>
  <c r="Q146" i="4"/>
  <c r="Q145" i="4"/>
  <c r="O145" i="4"/>
  <c r="Q144" i="4"/>
  <c r="O144" i="4"/>
  <c r="Q143" i="4"/>
  <c r="O143" i="4"/>
  <c r="Q142" i="4"/>
  <c r="O142" i="4"/>
  <c r="Q141" i="4"/>
  <c r="O141" i="4"/>
  <c r="Q140" i="4"/>
  <c r="Q139" i="4"/>
  <c r="Q138" i="4"/>
  <c r="Q137" i="4"/>
  <c r="Q136" i="4"/>
  <c r="Q135" i="4"/>
  <c r="Q134" i="4"/>
  <c r="Q133" i="4"/>
  <c r="Q132" i="4"/>
  <c r="Q131" i="4"/>
  <c r="O131" i="4"/>
  <c r="Q130" i="4"/>
  <c r="Q129" i="4"/>
  <c r="O129" i="4"/>
  <c r="Q128" i="4"/>
  <c r="Q127" i="4"/>
  <c r="O127" i="4"/>
  <c r="Q126" i="4"/>
  <c r="Q125" i="4"/>
  <c r="Q124" i="4"/>
  <c r="O124" i="4"/>
  <c r="Q123" i="4"/>
  <c r="O123" i="4"/>
  <c r="Q122" i="4"/>
  <c r="Q121" i="4"/>
  <c r="Q120" i="4"/>
  <c r="Q119" i="4"/>
  <c r="Q118" i="4"/>
  <c r="Q117" i="4"/>
  <c r="Q116" i="4"/>
  <c r="Q115" i="4"/>
  <c r="Q114" i="4"/>
  <c r="Q113" i="4"/>
  <c r="O113" i="4"/>
  <c r="Q112" i="4"/>
  <c r="O112" i="4"/>
  <c r="Q111" i="4"/>
  <c r="Q110" i="4"/>
  <c r="Q109" i="4"/>
  <c r="Q108" i="4"/>
  <c r="Q107" i="4"/>
  <c r="O107" i="4"/>
  <c r="Q106" i="4"/>
  <c r="O106" i="4"/>
  <c r="Q105" i="4"/>
  <c r="O105" i="4"/>
  <c r="Q104" i="4"/>
  <c r="Q103" i="4"/>
  <c r="O103" i="4"/>
  <c r="Q102" i="4"/>
  <c r="O102" i="4"/>
  <c r="Q101" i="4"/>
  <c r="Q100" i="4"/>
  <c r="Q99" i="4"/>
  <c r="Q98" i="4"/>
  <c r="Q97" i="4"/>
  <c r="O97" i="4"/>
  <c r="Q96" i="4"/>
  <c r="Q95" i="4"/>
  <c r="O95" i="4"/>
  <c r="Q94" i="4"/>
  <c r="Q93" i="4"/>
  <c r="Q92" i="4"/>
  <c r="Q91" i="4"/>
  <c r="Q90" i="4"/>
  <c r="Q89" i="4"/>
  <c r="O89" i="4"/>
  <c r="Q88" i="4"/>
  <c r="O88" i="4"/>
  <c r="Q87" i="4"/>
  <c r="Q86" i="4"/>
  <c r="Q85" i="4"/>
  <c r="O85" i="4"/>
  <c r="Q84" i="4"/>
  <c r="O84" i="4"/>
  <c r="Q83" i="4"/>
  <c r="Q82" i="4"/>
  <c r="O82" i="4"/>
  <c r="Q81" i="4"/>
  <c r="O81" i="4"/>
  <c r="Q80" i="4"/>
  <c r="Q79" i="4"/>
  <c r="O79" i="4"/>
  <c r="Q78" i="4"/>
  <c r="O78" i="4"/>
  <c r="Q77" i="4"/>
  <c r="Q76" i="4"/>
  <c r="Q75" i="4"/>
  <c r="Q74" i="4"/>
  <c r="O74" i="4"/>
  <c r="Q73" i="4"/>
  <c r="Q72" i="4"/>
  <c r="O72" i="4"/>
  <c r="Q71" i="4"/>
  <c r="O71" i="4"/>
  <c r="Q70" i="4"/>
  <c r="O70" i="4"/>
  <c r="Q69" i="4"/>
  <c r="O69" i="4"/>
  <c r="Q68" i="4"/>
  <c r="O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O51" i="4"/>
  <c r="Q50" i="4"/>
  <c r="O50" i="4"/>
  <c r="Q49" i="4"/>
  <c r="O49" i="4"/>
  <c r="Q48" i="4"/>
  <c r="O48" i="4"/>
  <c r="Q47" i="4"/>
  <c r="O47" i="4"/>
  <c r="Q46" i="4"/>
  <c r="O46" i="4"/>
  <c r="Q45" i="4"/>
  <c r="O45" i="4"/>
  <c r="Q44" i="4"/>
  <c r="O44" i="4"/>
  <c r="Q43" i="4"/>
  <c r="O43" i="4"/>
  <c r="Q42" i="4"/>
  <c r="O42" i="4"/>
  <c r="Q41" i="4"/>
  <c r="O41" i="4"/>
  <c r="Q40" i="4"/>
  <c r="O40" i="4"/>
  <c r="Q39" i="4"/>
  <c r="O39" i="4"/>
  <c r="Q38" i="4"/>
  <c r="O38" i="4"/>
  <c r="Q37" i="4"/>
  <c r="Q36" i="4"/>
  <c r="O36" i="4"/>
  <c r="Q35" i="4"/>
  <c r="O35" i="4"/>
  <c r="Q34" i="4"/>
  <c r="O34" i="4"/>
  <c r="Q33" i="4"/>
  <c r="O33" i="4"/>
  <c r="Q32" i="4"/>
  <c r="O32" i="4"/>
  <c r="Q31" i="4"/>
  <c r="O31" i="4"/>
  <c r="Q30" i="4"/>
  <c r="O30" i="4"/>
  <c r="Q29" i="4"/>
  <c r="O29" i="4"/>
  <c r="Q28" i="4"/>
  <c r="O28" i="4"/>
  <c r="Q27" i="4"/>
  <c r="O27" i="4"/>
  <c r="Q26" i="4"/>
  <c r="O26" i="4"/>
  <c r="Q25" i="4"/>
  <c r="O25" i="4"/>
  <c r="Q24" i="4"/>
  <c r="O24" i="4"/>
  <c r="Q23" i="4"/>
  <c r="O23" i="4"/>
  <c r="Q22" i="4"/>
  <c r="O22" i="4"/>
  <c r="Q21" i="4"/>
  <c r="O21" i="4"/>
  <c r="Q20" i="4"/>
  <c r="O20" i="4"/>
  <c r="Q19" i="4"/>
  <c r="Q18" i="4"/>
  <c r="Q17" i="4"/>
  <c r="Q16" i="4"/>
  <c r="Q15" i="4"/>
  <c r="Q277" i="4" s="1"/>
  <c r="Q14" i="4"/>
  <c r="Q13" i="4"/>
  <c r="Q12" i="4"/>
  <c r="O12" i="4"/>
  <c r="Q11" i="4"/>
  <c r="O11" i="4"/>
  <c r="Q10" i="4"/>
  <c r="O10" i="4"/>
  <c r="O322" i="4" s="1"/>
  <c r="Q9" i="4"/>
  <c r="Q8" i="4"/>
  <c r="Q7" i="4"/>
  <c r="Q6" i="4"/>
  <c r="Q5" i="4"/>
  <c r="E30" i="1"/>
  <c r="N111" i="3"/>
  <c r="M103" i="3"/>
  <c r="G86" i="3"/>
  <c r="E32" i="1"/>
  <c r="E31" i="1"/>
  <c r="D30" i="1"/>
  <c r="D12" i="1"/>
  <c r="N131" i="3"/>
  <c r="E131" i="3"/>
  <c r="N130" i="3"/>
  <c r="E130" i="3"/>
  <c r="N129" i="3"/>
  <c r="N132" i="3" s="1"/>
  <c r="E129" i="3"/>
  <c r="E132" i="3" s="1"/>
  <c r="N124" i="3"/>
  <c r="E124" i="3"/>
  <c r="N123" i="3"/>
  <c r="E123" i="3"/>
  <c r="N122" i="3"/>
  <c r="N125" i="3" s="1"/>
  <c r="E122" i="3"/>
  <c r="E125" i="3" s="1"/>
  <c r="N117" i="3"/>
  <c r="E117" i="3"/>
  <c r="N116" i="3"/>
  <c r="E116" i="3"/>
  <c r="N115" i="3"/>
  <c r="N118" i="3" s="1"/>
  <c r="E115" i="3"/>
  <c r="E118" i="3" s="1"/>
  <c r="N110" i="3"/>
  <c r="E110" i="3"/>
  <c r="N109" i="3"/>
  <c r="M109" i="3"/>
  <c r="E109" i="3"/>
  <c r="N108" i="3"/>
  <c r="M108" i="3"/>
  <c r="E108" i="3"/>
  <c r="E111" i="3" s="1"/>
  <c r="D103" i="3"/>
  <c r="P85" i="3"/>
  <c r="G85" i="3"/>
  <c r="P84" i="3"/>
  <c r="G84" i="3"/>
  <c r="P83" i="3"/>
  <c r="G83" i="3"/>
  <c r="P82" i="3"/>
  <c r="G82" i="3"/>
  <c r="P81" i="3"/>
  <c r="G81" i="3"/>
  <c r="P80" i="3"/>
  <c r="G80" i="3"/>
  <c r="P79" i="3"/>
  <c r="G79" i="3"/>
  <c r="P78" i="3"/>
  <c r="G78" i="3"/>
  <c r="P77" i="3"/>
  <c r="G77" i="3"/>
  <c r="P76" i="3"/>
  <c r="G76" i="3"/>
  <c r="P75" i="3"/>
  <c r="G75" i="3"/>
  <c r="P74" i="3"/>
  <c r="G74" i="3"/>
  <c r="P73" i="3"/>
  <c r="G73" i="3"/>
  <c r="P72" i="3"/>
  <c r="G72" i="3"/>
  <c r="P71" i="3"/>
  <c r="G71" i="3"/>
  <c r="P70" i="3"/>
  <c r="P86" i="3" s="1"/>
  <c r="G70" i="3"/>
  <c r="M6" i="3"/>
  <c r="D6" i="3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O354" i="2"/>
  <c r="O353" i="2"/>
  <c r="O352" i="2"/>
  <c r="O351" i="2"/>
  <c r="O350" i="2"/>
  <c r="O349" i="2"/>
  <c r="O348" i="2"/>
  <c r="O347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4" i="2"/>
  <c r="O13" i="2"/>
  <c r="O12" i="2"/>
  <c r="O11" i="2"/>
  <c r="O10" i="2"/>
  <c r="O9" i="2"/>
  <c r="O8" i="2"/>
  <c r="O7" i="2"/>
  <c r="O6" i="2"/>
  <c r="O5" i="2"/>
  <c r="D31" i="1"/>
  <c r="D37" i="1" s="1"/>
  <c r="E15" i="1"/>
  <c r="D15" i="1"/>
  <c r="E14" i="1"/>
  <c r="D14" i="1"/>
  <c r="E13" i="1"/>
  <c r="D13" i="1"/>
  <c r="E12" i="1"/>
  <c r="E37" i="6" l="1"/>
  <c r="D16" i="6"/>
  <c r="D39" i="6" s="1"/>
  <c r="D41" i="6" s="1"/>
  <c r="E16" i="6"/>
  <c r="E39" i="6" s="1"/>
  <c r="E41" i="6" s="1"/>
  <c r="E62" i="6"/>
  <c r="G62" i="6" s="1"/>
  <c r="E37" i="1"/>
  <c r="O321" i="2"/>
  <c r="D16" i="1"/>
  <c r="D39" i="1" s="1"/>
  <c r="D40" i="1" s="1"/>
  <c r="E16" i="1"/>
  <c r="E39" i="1" s="1"/>
  <c r="O15" i="2"/>
  <c r="O288" i="2"/>
  <c r="M342" i="2"/>
  <c r="O355" i="2"/>
  <c r="M375" i="2"/>
  <c r="E40" i="6" l="1"/>
  <c r="E42" i="6" s="1"/>
  <c r="D40" i="6"/>
  <c r="D42" i="6" s="1"/>
  <c r="D44" i="6" s="1"/>
  <c r="E41" i="1"/>
  <c r="D41" i="1"/>
  <c r="D42" i="1" s="1"/>
  <c r="D44" i="1" s="1"/>
  <c r="E40" i="1"/>
  <c r="E44" i="6" l="1"/>
  <c r="B48" i="6"/>
  <c r="E42" i="1"/>
  <c r="G43" i="1" s="1"/>
  <c r="E44" i="1"/>
  <c r="I44" i="1" l="1"/>
  <c r="J44" i="1" s="1"/>
  <c r="I43" i="1"/>
  <c r="J43" i="1" s="1"/>
  <c r="I42" i="1"/>
  <c r="J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zhul</author>
  </authors>
  <commentList>
    <comment ref="E31" authorId="0" shapeId="0" xr:uid="{429CC6F8-1A7D-4750-8F7B-50BAC7F8ABDD}">
      <text>
        <r>
          <rPr>
            <sz val="9"/>
            <rFont val="宋体"/>
            <family val="3"/>
            <charset val="134"/>
          </rPr>
          <t xml:space="preserve">N10305002124与N10305002125共用
</t>
        </r>
      </text>
    </comment>
    <comment ref="E32" authorId="0" shapeId="0" xr:uid="{AFD22C1E-D61C-4A07-8703-11631486E234}">
      <text>
        <r>
          <rPr>
            <sz val="9"/>
            <rFont val="宋体"/>
            <family val="3"/>
            <charset val="134"/>
          </rPr>
          <t xml:space="preserve">N10305002124与N10305002125共用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zhul</author>
  </authors>
  <commentList>
    <comment ref="E31" authorId="0" shapeId="0" xr:uid="{39EDE359-1ECE-4CB0-9A89-55C6A8EB09E8}">
      <text>
        <r>
          <rPr>
            <sz val="9"/>
            <rFont val="宋体"/>
            <family val="3"/>
            <charset val="134"/>
          </rPr>
          <t xml:space="preserve">N10305002124与N10305002125共用
</t>
        </r>
      </text>
    </comment>
    <comment ref="E32" authorId="0" shapeId="0" xr:uid="{E125D52A-82D5-4E9C-9AC7-0A4086FF00D7}">
      <text>
        <r>
          <rPr>
            <sz val="9"/>
            <rFont val="宋体"/>
            <family val="3"/>
            <charset val="134"/>
          </rPr>
          <t xml:space="preserve">N10305002124与N10305002125共用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HAIER</author>
  </authors>
  <commentList>
    <comment ref="O318" authorId="0" shapeId="0" xr:uid="{1F0C8885-14AF-4EF6-8474-2C81B85366B5}">
      <text>
        <r>
          <rPr>
            <b/>
            <sz val="9"/>
            <color indexed="81"/>
            <rFont val="宋体"/>
            <family val="3"/>
            <charset val="134"/>
          </rPr>
          <t>HAIER:</t>
        </r>
        <r>
          <rPr>
            <sz val="9"/>
            <color indexed="81"/>
            <rFont val="宋体"/>
            <family val="3"/>
            <charset val="134"/>
          </rPr>
          <t xml:space="preserve">
华联漏报，要求增加</t>
        </r>
      </text>
    </comment>
  </commentList>
</comments>
</file>

<file path=xl/sharedStrings.xml><?xml version="1.0" encoding="utf-8"?>
<sst xmlns="http://schemas.openxmlformats.org/spreadsheetml/2006/main" count="9691" uniqueCount="2237">
  <si>
    <t>厦门华联电子股份有限公司智能控制器/汽车与工控                                                                                    产品报价单</t>
  </si>
  <si>
    <t>产品报价申请单流程编号</t>
  </si>
  <si>
    <t>销售公司/国内销售部/汽控国内部-产品报价成本核算申请单-2025-10-0713</t>
  </si>
  <si>
    <r>
      <rPr>
        <sz val="11"/>
        <color indexed="0"/>
        <rFont val="黑体"/>
        <family val="3"/>
        <charset val="134"/>
      </rPr>
      <t>产品信息</t>
    </r>
  </si>
  <si>
    <r>
      <rPr>
        <sz val="11"/>
        <color indexed="0"/>
        <rFont val="黑体"/>
        <family val="3"/>
        <charset val="134"/>
      </rPr>
      <t>产品代码</t>
    </r>
  </si>
  <si>
    <t>N10305002124</t>
  </si>
  <si>
    <r>
      <rPr>
        <sz val="11"/>
        <color indexed="0"/>
        <rFont val="黑体"/>
        <family val="3"/>
        <charset val="134"/>
      </rPr>
      <t>产品名称</t>
    </r>
  </si>
  <si>
    <t>DRV-26P-NJTJ(RoHS)中央式空调控制器驱动板组件(D5A13H000000)</t>
  </si>
  <si>
    <t>客户名称</t>
  </si>
  <si>
    <t>青岛国创智能家电研究院有限公司</t>
  </si>
  <si>
    <r>
      <rPr>
        <sz val="11"/>
        <color indexed="0"/>
        <rFont val="黑体"/>
        <family val="3"/>
        <charset val="134"/>
      </rPr>
      <t>报价日期</t>
    </r>
  </si>
  <si>
    <t>2026/1/8更新包装，制造降本</t>
  </si>
  <si>
    <r>
      <rPr>
        <sz val="11"/>
        <color indexed="0"/>
        <rFont val="黑体"/>
        <family val="3"/>
        <charset val="134"/>
      </rPr>
      <t>年需求量</t>
    </r>
  </si>
  <si>
    <t>MOQ</t>
  </si>
  <si>
    <t>MPQ</t>
  </si>
  <si>
    <t>备注</t>
  </si>
  <si>
    <t>工装、模具费直接向客户收取；             已扣除8颗客供料核算成本</t>
  </si>
  <si>
    <t xml:space="preserve">工装、模具费直接向客户收取；(N10305002124与N10305002125共用)             已扣除8颗客供料核算成本  </t>
  </si>
  <si>
    <t>成本及费用组成</t>
  </si>
  <si>
    <r>
      <rPr>
        <sz val="11"/>
        <color indexed="0"/>
        <rFont val="黑体"/>
        <family val="3"/>
        <charset val="134"/>
      </rPr>
      <t>金额</t>
    </r>
  </si>
  <si>
    <r>
      <rPr>
        <sz val="11"/>
        <color indexed="0"/>
        <rFont val="黑体"/>
        <family val="3"/>
        <charset val="134"/>
      </rPr>
      <t>材料成本</t>
    </r>
  </si>
  <si>
    <r>
      <rPr>
        <sz val="11"/>
        <color indexed="0"/>
        <rFont val="黑体"/>
        <family val="3"/>
        <charset val="134"/>
      </rPr>
      <t>硬件</t>
    </r>
  </si>
  <si>
    <t>结构件</t>
  </si>
  <si>
    <t>包装材料</t>
  </si>
  <si>
    <r>
      <rPr>
        <sz val="11"/>
        <color indexed="0"/>
        <rFont val="黑体"/>
        <family val="3"/>
        <charset val="134"/>
      </rPr>
      <t>辅助材料</t>
    </r>
  </si>
  <si>
    <r>
      <rPr>
        <sz val="11"/>
        <color indexed="0"/>
        <rFont val="黑体"/>
        <family val="3"/>
        <charset val="134"/>
      </rPr>
      <t>小计</t>
    </r>
  </si>
  <si>
    <r>
      <rPr>
        <sz val="11"/>
        <color indexed="0"/>
        <rFont val="黑体"/>
        <family val="3"/>
        <charset val="134"/>
      </rPr>
      <t>加工成本</t>
    </r>
  </si>
  <si>
    <t>贴片加工成本</t>
  </si>
  <si>
    <t>机插加工成本</t>
  </si>
  <si>
    <t>预烧写加工成本</t>
  </si>
  <si>
    <t>人工成本</t>
  </si>
  <si>
    <t>折旧（专用）</t>
  </si>
  <si>
    <t>折旧（公共）</t>
  </si>
  <si>
    <t>水电（专用）</t>
  </si>
  <si>
    <t>水电（公共）</t>
  </si>
  <si>
    <t>工装</t>
  </si>
  <si>
    <t>低耗</t>
  </si>
  <si>
    <t>管理人员工资</t>
  </si>
  <si>
    <t>其他</t>
  </si>
  <si>
    <t>检验成本</t>
  </si>
  <si>
    <t>其他费用</t>
  </si>
  <si>
    <t>工装费</t>
  </si>
  <si>
    <t>模具费</t>
  </si>
  <si>
    <t>认证费/实验费</t>
  </si>
  <si>
    <t>硬件开发费</t>
  </si>
  <si>
    <t>软件开发费</t>
  </si>
  <si>
    <t>直接向客户收费小计</t>
  </si>
  <si>
    <t>分摊在产品成本中</t>
  </si>
  <si>
    <t>料工费成本（合计）</t>
  </si>
  <si>
    <t>成本差异</t>
  </si>
  <si>
    <t>运费</t>
  </si>
  <si>
    <t>主营业务成本</t>
  </si>
  <si>
    <t>建议毛利率</t>
  </si>
  <si>
    <t>建议售价</t>
  </si>
  <si>
    <r>
      <rPr>
        <sz val="11"/>
        <color indexed="0"/>
        <rFont val="黑体"/>
        <family val="3"/>
        <charset val="134"/>
      </rPr>
      <t>备注</t>
    </r>
  </si>
  <si>
    <t>＜注意事项＞</t>
  </si>
  <si>
    <r>
      <rPr>
        <sz val="11"/>
        <rFont val="黑体"/>
        <family val="3"/>
        <charset val="134"/>
      </rPr>
      <t xml:space="preserve">1. </t>
    </r>
    <r>
      <rPr>
        <sz val="11"/>
        <color indexed="8"/>
        <rFont val="黑体"/>
        <family val="3"/>
        <charset val="134"/>
      </rPr>
      <t>以上报价均为不含税价；</t>
    </r>
  </si>
  <si>
    <r>
      <rPr>
        <sz val="11"/>
        <rFont val="黑体"/>
        <family val="3"/>
        <charset val="134"/>
      </rPr>
      <t>2. 软/</t>
    </r>
    <r>
      <rPr>
        <sz val="11"/>
        <color indexed="8"/>
        <rFont val="黑体"/>
        <family val="3"/>
        <charset val="134"/>
      </rPr>
      <t>硬件开发费用不包含设计源文件；</t>
    </r>
  </si>
  <si>
    <r>
      <rPr>
        <sz val="11"/>
        <rFont val="黑体"/>
        <family val="3"/>
        <charset val="134"/>
      </rPr>
      <t xml:space="preserve">3. </t>
    </r>
    <r>
      <rPr>
        <sz val="11"/>
        <color rgb="FF000000"/>
        <rFont val="黑体"/>
        <family val="3"/>
        <charset val="134"/>
      </rPr>
      <t>因客户变更、原材料涨价、汇率变化等导致成本上涨，需重新报价；</t>
    </r>
  </si>
  <si>
    <t>4. 建议毛利率：以《年度事业部毛利率管控线》为准。</t>
  </si>
  <si>
    <t>项目名称</t>
  </si>
  <si>
    <t>汽车与工控控制器-DRV-20P-NJTJ(RoHS)中央式空调控制器驱动板组件(D5A13G000000)--二次重新报价！！</t>
  </si>
  <si>
    <t>报价项目类型</t>
  </si>
  <si>
    <t>已立项产品报价</t>
  </si>
  <si>
    <t>王前良</t>
  </si>
  <si>
    <t>销售公司/国内销售部/汽控国内部</t>
  </si>
  <si>
    <t>产品编码</t>
  </si>
  <si>
    <t>产品名称</t>
  </si>
  <si>
    <t>硬件设计师</t>
  </si>
  <si>
    <t>李沁峰</t>
  </si>
  <si>
    <t>陈可璜</t>
  </si>
  <si>
    <t>硬件</t>
  </si>
  <si>
    <t>序号</t>
  </si>
  <si>
    <t>物料类型</t>
  </si>
  <si>
    <t>物料编码</t>
  </si>
  <si>
    <t>物料名称</t>
  </si>
  <si>
    <t>物料级别</t>
  </si>
  <si>
    <t>装配形式</t>
  </si>
  <si>
    <t>单机用量</t>
  </si>
  <si>
    <t>最低价物料编码</t>
  </si>
  <si>
    <t>最低价物料名称</t>
  </si>
  <si>
    <t>采购员</t>
  </si>
  <si>
    <t>供应商代码</t>
  </si>
  <si>
    <t>供应商名称</t>
  </si>
  <si>
    <t>未税单价</t>
  </si>
  <si>
    <t>损耗率</t>
  </si>
  <si>
    <t>金额</t>
  </si>
  <si>
    <t>提前期</t>
  </si>
  <si>
    <t>最小订货量</t>
  </si>
  <si>
    <t>最小包装量</t>
  </si>
  <si>
    <t>模具费（含税13%）</t>
  </si>
  <si>
    <t>价格说明</t>
  </si>
  <si>
    <t>位号</t>
  </si>
  <si>
    <t>替代料编码1</t>
  </si>
  <si>
    <t>替代料名称1</t>
  </si>
  <si>
    <t>未税单价1</t>
  </si>
  <si>
    <t>替代料编码2</t>
  </si>
  <si>
    <t>替代料名称2</t>
  </si>
  <si>
    <t>未税单价2</t>
  </si>
  <si>
    <t>替代料编码3</t>
  </si>
  <si>
    <t>替代料名称3</t>
  </si>
  <si>
    <t>未税单价3</t>
  </si>
  <si>
    <t>包装组件</t>
  </si>
  <si>
    <t>4013430R</t>
  </si>
  <si>
    <t>塑胶线夹 3.6X300 (尼龙扣)(正顺达)(RoHS)</t>
  </si>
  <si>
    <t>AB级替换</t>
  </si>
  <si>
    <t>N/A</t>
  </si>
  <si>
    <t>塑胶线夹 3.6X300 (尼龙扣)(RoHS)</t>
  </si>
  <si>
    <t>沈艺聪</t>
  </si>
  <si>
    <t>XMZSD</t>
  </si>
  <si>
    <t>厦门正顺达电子有限公司</t>
  </si>
  <si>
    <t>2025-10-13包装方案</t>
  </si>
  <si>
    <t>N40501000374</t>
  </si>
  <si>
    <t>纸箱 670X387X406 (RoHS)</t>
  </si>
  <si>
    <t>PKG</t>
  </si>
  <si>
    <t>512</t>
  </si>
  <si>
    <t>11363</t>
  </si>
  <si>
    <t>厦门比瑞特包装科技有限公司</t>
  </si>
  <si>
    <t>N40505000136</t>
  </si>
  <si>
    <t>塑料袋 355X245 (凹凸)(RoHS)</t>
  </si>
  <si>
    <t>N40512000278</t>
  </si>
  <si>
    <t>泡沫棉 660X377X374 (泡沫盒底座)(防静电)(RoHS)</t>
  </si>
  <si>
    <t>10379</t>
  </si>
  <si>
    <t>厦门市达唯工贸有限公司</t>
  </si>
  <si>
    <t>N40512000279</t>
  </si>
  <si>
    <t>泡沫棉 660X377X110 (泡沫盒上盖)(防静电)(RoHS)</t>
  </si>
  <si>
    <t>N40512000280</t>
  </si>
  <si>
    <t>泡沫棉 50X45X200 (左侧EVA棉块)(高密度)(防静电)(RoHS)</t>
  </si>
  <si>
    <t>N40512000281</t>
  </si>
  <si>
    <t>泡沫棉 50X45X200 (右侧EVA棉块1)(高密度)(防静电)(RoHS)</t>
  </si>
  <si>
    <t>N40512000282</t>
  </si>
  <si>
    <t>泡沫棉 40X20X199 (右侧EVA棉块2)(高密度)(防静电)(RoHS)</t>
  </si>
  <si>
    <t>N40517000012</t>
  </si>
  <si>
    <t>纸护角 50X50X403 (RoHS)</t>
  </si>
  <si>
    <t>N60703001395</t>
  </si>
  <si>
    <t>标签 BQ12080W001-HL (格式标签)(1寸卷芯,外径83mm)(RoHS)</t>
  </si>
  <si>
    <t>贴装</t>
  </si>
  <si>
    <t>标签 BQ12080W001-HL (格式标签)(1寸卷芯,外径83mm)(宏鹭华)(RoHS)</t>
  </si>
  <si>
    <t>吴桃春</t>
  </si>
  <si>
    <t>DWQK2</t>
  </si>
  <si>
    <t>东莞市全科电子材料有限公司</t>
  </si>
  <si>
    <t>包装成本</t>
  </si>
  <si>
    <t>301H030491</t>
  </si>
  <si>
    <t>片式电阻 RC0805FR-07300KL/0805W8F3003T5E 1/8W,300KΩ,1%,0805(国巨/厚声)(编带)(RoHS)</t>
  </si>
  <si>
    <t>SMT</t>
  </si>
  <si>
    <t>N30101005840</t>
  </si>
  <si>
    <t>片式电阻 RC0805FR-07300KL 1/8W,300KΩ,1%,0805(国巨)(编带)(RoHS)</t>
  </si>
  <si>
    <t>196386</t>
  </si>
  <si>
    <t>10266</t>
  </si>
  <si>
    <t>深圳市超利维实业有限公司</t>
  </si>
  <si>
    <t/>
  </si>
  <si>
    <t>R163-168,178,179,182-191</t>
  </si>
  <si>
    <t>N30101007034</t>
  </si>
  <si>
    <t>片式电阻 0805W8F3003T5E 1/8W,300KΩ,1%,0805(厚声)(编带)(RoHS)</t>
  </si>
  <si>
    <t>报价中</t>
  </si>
  <si>
    <t>306110396</t>
  </si>
  <si>
    <t>高压陶瓷电容 HGK3AF103ZG3AW 10nF,1KV,P=7.5(万明)(编带)(RoHS)</t>
  </si>
  <si>
    <t>插焊</t>
  </si>
  <si>
    <t>10423</t>
  </si>
  <si>
    <t>厦门万明电子有限公司</t>
  </si>
  <si>
    <t>生产后按万明回复交期出货，不接受按贵司需求数量出货</t>
  </si>
  <si>
    <t>C50A</t>
  </si>
  <si>
    <t>3155US1M</t>
  </si>
  <si>
    <t>超快恢复二极管 US1M 1A,1KV,SMA(强茂)(编带)(RoHS)</t>
  </si>
  <si>
    <t>N31511000061</t>
  </si>
  <si>
    <t>超快恢复二极管 US1M 1A,1KV,SMA(晶导微)(编带)(RoHS)</t>
  </si>
  <si>
    <t>514</t>
  </si>
  <si>
    <t>10382</t>
  </si>
  <si>
    <t>厦门镁富莱工贸有限公司</t>
  </si>
  <si>
    <t>V16</t>
  </si>
  <si>
    <t>604B03VHZ51R</t>
  </si>
  <si>
    <t>端子 B3P-VH (JST)(RoHS)</t>
  </si>
  <si>
    <t>王临泽</t>
  </si>
  <si>
    <t>HYDZ2</t>
  </si>
  <si>
    <t>深圳市恒有电子有限公司</t>
  </si>
  <si>
    <t>X5</t>
  </si>
  <si>
    <t>604B05VHZ51R</t>
  </si>
  <si>
    <t>端子 B5P-VH (JST)(RoHS)</t>
  </si>
  <si>
    <t>X12,16</t>
  </si>
  <si>
    <t>N30101000615</t>
  </si>
  <si>
    <t>片式电阻 RC1206JR-0775RL/1206W4J0750T5E 1/4W,75Ω,5%,1206(国巨/厚声)(编带)(RoHS)</t>
  </si>
  <si>
    <t>N30101006583</t>
  </si>
  <si>
    <t>片式电阻 1206W4J0750T5E 1/4W,75Ω,5%,1206(厚声)(编带)(RoHS)</t>
  </si>
  <si>
    <t>罗城</t>
  </si>
  <si>
    <t>10648</t>
  </si>
  <si>
    <t>厚声国际贸易（昆山）有限公司</t>
  </si>
  <si>
    <t>R118</t>
  </si>
  <si>
    <t>N30101005467</t>
  </si>
  <si>
    <t>片式电阻 RC1206JR-0775RL 1/4W,75Ω,5%,1206(国巨)(编带)(RoHS)</t>
  </si>
  <si>
    <t>N30101000894</t>
  </si>
  <si>
    <t>片式电阻 RC1206FR-0722RL/1206W4F220JT5E 1/4W,22Ω,1%,1206(国巨/厚声)(编带)(RoHS)</t>
  </si>
  <si>
    <t>N30101006783</t>
  </si>
  <si>
    <t>片式电阻 1206W4F220JT5E 1/4W,22Ω,1%,1206(厚声)(编带)(RoHS)</t>
  </si>
  <si>
    <t>R10,30</t>
  </si>
  <si>
    <t>N30101005525</t>
  </si>
  <si>
    <t>片式电阻 RC1206FR-0722RL 1/4W,22Ω,1%,1206(国巨)(编带)(RoHS)</t>
  </si>
  <si>
    <t>N30101001049</t>
  </si>
  <si>
    <t>片式电阻 RC1206FR-076R8L/1206W4F680KT5E 1/4W,6.8Ω,1%,1206(国巨/厚声)(编带)(RoHS)</t>
  </si>
  <si>
    <t>N30101006696</t>
  </si>
  <si>
    <t>片式电阻 1206W4F680KT5E 1/4W,6.8Ω,1%,1206(厚声)(编带)(RoHS)</t>
  </si>
  <si>
    <t>R47,65</t>
  </si>
  <si>
    <t>N30101005600</t>
  </si>
  <si>
    <t>片式电阻 RC1206FR-076R8L 1/4W,6.8Ω,1%,1206(国巨)(编带)(RoHS)</t>
  </si>
  <si>
    <t>N30101005306</t>
  </si>
  <si>
    <t>片式电阻 GMR320HJCFAR100 7W,100mΩ,1%,2817(Rohm)(编带)(RoHS)</t>
  </si>
  <si>
    <t>521</t>
  </si>
  <si>
    <t>10265</t>
  </si>
  <si>
    <t>北天星电子(深圳)有限公司</t>
  </si>
  <si>
    <t>R92,241</t>
  </si>
  <si>
    <t>N30101005309</t>
  </si>
  <si>
    <t>片式电阻 1210W2F3003T5E 1/2W,300KΩ,1%,1210(厚声)(编带)(RoHS)</t>
  </si>
  <si>
    <t>R192-199</t>
  </si>
  <si>
    <t>N30103000520</t>
  </si>
  <si>
    <t>金属膜电阻 MF02SJJ0364A10 2WS,360KΩ,5%(厚声)(HF;RoHS)</t>
  </si>
  <si>
    <t>R295,296,365</t>
  </si>
  <si>
    <t>N30103000526</t>
  </si>
  <si>
    <t>金属膜电阻 MF01WFF3003A10 1W,300KΩ,1%(厚声)(编带)(HF;RoHS)</t>
  </si>
  <si>
    <t>金属膜电阻 MF01WFF3003A10 1W,300KΩ,1%(厚声)(编带)(RoHS)</t>
  </si>
  <si>
    <t>陈虹</t>
  </si>
  <si>
    <t>HSMY2</t>
  </si>
  <si>
    <t>R11</t>
  </si>
  <si>
    <t>N30103000527</t>
  </si>
  <si>
    <t>金属膜电阻 MF02WJJ0753A10 2W,75KΩ,5%(厚声)(编带)(HF;RoHS)</t>
  </si>
  <si>
    <t>R34</t>
  </si>
  <si>
    <t>N30111000138</t>
  </si>
  <si>
    <t>合金电阻 DSLR-K-7-3F 7W,3mΩ,1%,5930(业展)(编带)(REACH;RoHS)</t>
  </si>
  <si>
    <t>R87,89,90</t>
  </si>
  <si>
    <t>N30111000139</t>
  </si>
  <si>
    <t>合金电阻 LR123WF200LT4E 3W,200mΩ,1%,2512(厚声)(编带)(RoHS)</t>
  </si>
  <si>
    <t>R233-236,293,294,297,298</t>
  </si>
  <si>
    <t>N30199000015</t>
  </si>
  <si>
    <t>片式电阻 1/4W,0Ω,5%,1206(编带)(RoHS)(互换件)</t>
  </si>
  <si>
    <t>N30101002864</t>
  </si>
  <si>
    <t>片式电阻 RS-06000JT 1/4W,0Ω,5%,1206(风华)(编带)(RoHS)</t>
  </si>
  <si>
    <t>MHDZ2</t>
  </si>
  <si>
    <t>厦门美赫电子有限公司</t>
  </si>
  <si>
    <t>R144</t>
  </si>
  <si>
    <t>N30101006682</t>
  </si>
  <si>
    <t>片式电阻 1206W4J0000T5E 1/4W,0Ω,5%,1206(厚声)(编带)(RoHS)</t>
  </si>
  <si>
    <t>N30101005366</t>
  </si>
  <si>
    <t>片式电阻 RC1206JR-070RL 1/4W,0Ω,5%,1206(国巨)(编带)(RoHS)</t>
  </si>
  <si>
    <t>N30101002359</t>
  </si>
  <si>
    <t>片式电阻 CR1206J40000G 1/4W,0Ω,5%,1206(丽智)(编带)(RoHS)</t>
  </si>
  <si>
    <t>N30199000022</t>
  </si>
  <si>
    <t>片式电阻 1/10W,10KΩ,1%,0603(编带)(RoHS)(互换件)</t>
  </si>
  <si>
    <t>N30101002483</t>
  </si>
  <si>
    <t>片式电阻 0603WAF1002T5E 1/10W,10KΩ,1%,0603(厚声)(编带)(RoHS)</t>
  </si>
  <si>
    <t>R4,5,7,14,16,20,21,23,26,27,31,38,39,42,52,62,63,73,75,77,80,82,83,98-100,112-114,116,141-143,145,200-202,218-223,225-227,231,232,260</t>
  </si>
  <si>
    <t>N30101002583</t>
  </si>
  <si>
    <t>片式电阻 RS-03K1002FT 1/10W,10KΩ,1%,0603(风华)(编带)(RoHS)</t>
  </si>
  <si>
    <t>301H0103H1</t>
  </si>
  <si>
    <t>片式电阻 RC0603FR-0710KL 1/10W,10KΩ,1%,0603(国巨)(编带)(RoHS)</t>
  </si>
  <si>
    <t>N30101002366</t>
  </si>
  <si>
    <t>片式电阻 CR0603FA1002G 1/10W,10KΩ,1%,0603(丽智)(编带)(RoHS)</t>
  </si>
  <si>
    <t>N30199000047</t>
  </si>
  <si>
    <t>片式电阻 1/10W,1KΩ,1%,0603(编带)(RoHS)(互换件)</t>
  </si>
  <si>
    <t>N30101002910</t>
  </si>
  <si>
    <t>片式电阻 RS-03K1001FT 1/10W,1KΩ,1%,0603(风华)(编带)(RoHS)</t>
  </si>
  <si>
    <t>R6,12,41,43-45,58,60,64,67-71,76,93-97,224,261,270,299,456</t>
  </si>
  <si>
    <t>N30101007519</t>
  </si>
  <si>
    <t>片式电阻 0603WAF1001T5E 1/10W,1KΩ,1%,0603(厚声)(编带)(RoHS)</t>
  </si>
  <si>
    <t>N30101006259</t>
  </si>
  <si>
    <t>片式电阻 RC0603FR-071KL 1/10W,1KΩ,1%,0603(国巨)(编带)(RoHS)</t>
  </si>
  <si>
    <t>N30101002909</t>
  </si>
  <si>
    <t>片式电阻 CR0603FA1001G 1/10W,1KΩ,1%,0603(丽智)(编带)(RoHS)</t>
  </si>
  <si>
    <t>N30199000075</t>
  </si>
  <si>
    <t>片式电阻 1/10W,4.7KΩ,1%,0603(编带)(RoHS)(互换件)</t>
  </si>
  <si>
    <t>N30101002965</t>
  </si>
  <si>
    <t>片式电阻 RS-03K4701FT 1/10W,4.7KΩ,1%,0603(风华)(编带)(RoHS)</t>
  </si>
  <si>
    <t>R2,8,46,49-51,103-105</t>
  </si>
  <si>
    <t>N30101007321</t>
  </si>
  <si>
    <t>片式电阻 0603WAF4701T5E 1/10W,4.7KΩ,1%,0603(厚声)(编带)(RoHS)</t>
  </si>
  <si>
    <t>N30101006127</t>
  </si>
  <si>
    <t>片式电阻 RC0603FR-074K7L 1/10W,4.7KΩ,1%,0603(国巨)(编带)(RoHS)</t>
  </si>
  <si>
    <t>N30101002964</t>
  </si>
  <si>
    <t>片式电阻 CR0603FA4701G 1/10W,4.7KΩ,1%,0603(丽智)(编带)(RoHS)</t>
  </si>
  <si>
    <t>N30199000085</t>
  </si>
  <si>
    <t>片式电阻 1/10W,20KΩ,1%,0603(编带)(RoHS)(互换件)</t>
  </si>
  <si>
    <t>N30101002985</t>
  </si>
  <si>
    <t>片式电阻 RS-03K2002FT 1/10W,20KΩ,1%,0603(风华)(编带)(RoHS)</t>
  </si>
  <si>
    <t>R74,81</t>
  </si>
  <si>
    <t>N30101007433</t>
  </si>
  <si>
    <t>片式电阻 0603WAF2002T5E 1/10W,20KΩ,1%,0603(厚声)(编带)(RoHS)</t>
  </si>
  <si>
    <t>N30101006246</t>
  </si>
  <si>
    <t>片式电阻 RC0603FR-0720KL 1/10W,20KΩ,1%,0603(国巨)(编带)(RoHS)</t>
  </si>
  <si>
    <t>N30101002984</t>
  </si>
  <si>
    <t>片式电阻 CR0603FA2002G 1/10W,20KΩ,1%,0603(丽智)(编带)(RoHS)</t>
  </si>
  <si>
    <t>N30199000101</t>
  </si>
  <si>
    <t>片式电阻 1/10W,2.2KΩ,1%,0603(编带)(RoHS)(互换件)</t>
  </si>
  <si>
    <t>N30101003017</t>
  </si>
  <si>
    <t>片式电阻 RS-03K2201FT 1/10W,2.2KΩ,1%,0603(风华)(编带)(RoHS)</t>
  </si>
  <si>
    <t>R17,22,28,29,35,40,117</t>
  </si>
  <si>
    <t>N30101007423</t>
  </si>
  <si>
    <t>片式电阻 0603WAF2201T5E 1/10W,2.2KΩ,1%,0603(厚声)(编带)(RoHS)</t>
  </si>
  <si>
    <t>N30101006208</t>
  </si>
  <si>
    <t>片式电阻 RC0603FR-072K2L 1/10W,2.2KΩ,1%,0603(国巨)(编带)(RoHS)</t>
  </si>
  <si>
    <t>N30101003016</t>
  </si>
  <si>
    <t>片式电阻 CR0603FA2201G 1/10W,2.2KΩ,1%,0603(丽智)(编带)(RoHS)</t>
  </si>
  <si>
    <t>N30199000108</t>
  </si>
  <si>
    <t>片式电阻 1/10W,22KΩ,1%,0603(编带)(RoHS)(互换件)</t>
  </si>
  <si>
    <t>N30101003031</t>
  </si>
  <si>
    <t>片式电阻 RS-03K2202FT 1/10W,22KΩ,1%,0603(风华)(编带)(RoHS)</t>
  </si>
  <si>
    <t>虞思旻</t>
  </si>
  <si>
    <t>R56,61</t>
  </si>
  <si>
    <t>N30101007422</t>
  </si>
  <si>
    <t>片式电阻 0603WAF2202T5E 1/10W,22KΩ,1%,0603(厚声)(编带)(RoHS)</t>
  </si>
  <si>
    <t>N30101006238</t>
  </si>
  <si>
    <t>片式电阻 RC0603FR-0722KL 1/10W,22KΩ,1%,0603(国巨)(编带)(RoHS)</t>
  </si>
  <si>
    <t>N30101003030</t>
  </si>
  <si>
    <t>片式电阻 CR0603FA2202G 1/10W,22KΩ,1%,0603(丽智)(编带)(RoHS)</t>
  </si>
  <si>
    <t>N30199000111</t>
  </si>
  <si>
    <t>片式电阻 1/10W,15KΩ,1%,0603(编带)(RoHS)(互换件)</t>
  </si>
  <si>
    <t>N30101003071</t>
  </si>
  <si>
    <t>片式电阻 RS-03K1502FT 1/10W,15KΩ,1%,0603(风华)(编带)(RoHS)</t>
  </si>
  <si>
    <t>R148,149,174,175,248,249,274,275</t>
  </si>
  <si>
    <t>N30101007468</t>
  </si>
  <si>
    <t>片式电阻 0603WAF1502T5E 1/10W,15KΩ,1%,0603(厚声)(编带)(RoHS)</t>
  </si>
  <si>
    <t>N30101006296</t>
  </si>
  <si>
    <t>片式电阻 RC0603FR-0715KL 1/10W,15KΩ,1%,0603(国巨)(编带)(RoHS)</t>
  </si>
  <si>
    <t>N30101003070</t>
  </si>
  <si>
    <t>片式电阻 CR0603FA1502G 1/10W,15KΩ,1%,0603(丽智)(编带)(RoHS)</t>
  </si>
  <si>
    <t>N30199000117</t>
  </si>
  <si>
    <t>片式电阻 1/4W,100Ω,5%,1206(编带)(RoHS)(互换件)</t>
  </si>
  <si>
    <t>N30101003083</t>
  </si>
  <si>
    <t>片式电阻 RS-06K101JT 1/4W,100Ω,5%,1206(风华)(编带)(RoHS)</t>
  </si>
  <si>
    <t>R228,230</t>
  </si>
  <si>
    <t>N30101006680</t>
  </si>
  <si>
    <t>片式电阻 1206W4J0101T5E 1/4W,100Ω,5%,1206(厚声)(编带)(RoHS)</t>
  </si>
  <si>
    <t>N30101005376</t>
  </si>
  <si>
    <t>片式电阻 RC1206JR-07100RL 1/4W,100Ω,5%,1206(国巨)(编带)(RoHS)</t>
  </si>
  <si>
    <t>N30101003082</t>
  </si>
  <si>
    <t>片式电阻 CR1206J40101G 1/4W,100Ω,5%,1206(丽智)(编带)(RoHS)</t>
  </si>
  <si>
    <t>N30199000127</t>
  </si>
  <si>
    <t>片式电阻 1/10W,5.6KΩ,1%,0603(编带)(RoHS)(互换件)</t>
  </si>
  <si>
    <t>N30101003103</t>
  </si>
  <si>
    <t>片式电阻 RS-03K5601FT 1/10W,5.6KΩ,1%,0603(风华)(编带)(RoHS)</t>
  </si>
  <si>
    <t>R84</t>
  </si>
  <si>
    <t>N30101007296</t>
  </si>
  <si>
    <t>片式电阻 0603WAF5601T5E 1/10W,5.6KΩ,1%,0603(厚声)(编带)(RoHS)</t>
  </si>
  <si>
    <t>N30101006101</t>
  </si>
  <si>
    <t>片式电阻 RC0603FR-075K6L 1/10W,5.6KΩ,1%,0603(国巨)(编带)(RoHS)</t>
  </si>
  <si>
    <t>N30101003102</t>
  </si>
  <si>
    <t>片式电阻 CR0603FA5601G 1/10W,5.6KΩ,1%,0603(丽智)(编带)(RoHS)</t>
  </si>
  <si>
    <t>N30199000137</t>
  </si>
  <si>
    <t>片式电阻 1/10W,470Ω,1%,0603(编带)(RoHS)(互换件)</t>
  </si>
  <si>
    <t>N30101007322</t>
  </si>
  <si>
    <t>片式电阻 0603WAF4700T5E 1/10W,470Ω,1%,0603(厚声)(编带)(RoHS)</t>
  </si>
  <si>
    <t>R13</t>
  </si>
  <si>
    <t>N30101006140</t>
  </si>
  <si>
    <t>片式电阻 RC0603FR-07470RL 1/10W,470Ω,1%,0603(国巨)(编带)(RoHS)</t>
  </si>
  <si>
    <t>N30101003123</t>
  </si>
  <si>
    <t>片式电阻 RS-03K4700FT 1/10W,470Ω,1%,0603(风华)(编带)(RoHS)</t>
  </si>
  <si>
    <t>301H0471H1</t>
  </si>
  <si>
    <t>片式电阻 RC0603FR-07470RL/0603WAF4700T5E 1/10W,470Ω,1%,0603(国巨/厚声)(编带)(RoHS)</t>
  </si>
  <si>
    <t>N30199000146</t>
  </si>
  <si>
    <t>片式电阻 1/10W,3KΩ,1%,0603(编带)(RoHS)(互换件)</t>
  </si>
  <si>
    <t>N30101003140</t>
  </si>
  <si>
    <t>片式电阻 RS-03K3001FT 1/10W,3KΩ,1%,0603(风华)(编带)(RoHS)</t>
  </si>
  <si>
    <t>R146,147,150,151,172,173,176,177</t>
  </si>
  <si>
    <t>N30101007384</t>
  </si>
  <si>
    <t>片式电阻 0603WAF3001T5E 1/10W,3KΩ,1%,0603(厚声)(编带)(RoHS)</t>
  </si>
  <si>
    <t>N30101006156</t>
  </si>
  <si>
    <t>片式电阻 RC0603FR-073KL 1/10W,3KΩ,1%,0603(国巨)(编带)(RoHS)</t>
  </si>
  <si>
    <t>301H0033H1</t>
  </si>
  <si>
    <t>片式电阻 RC0603FR-073KL/0603WAF3001T5E 1/10W,3KΩ,1%,0603(国巨/厚声)(编带)(RoHS)</t>
  </si>
  <si>
    <t>N30199000171</t>
  </si>
  <si>
    <t>片式电阻 1/10W,5.1KΩ,1%,0603(编带)(RoHS)(互换件)</t>
  </si>
  <si>
    <t>N30101007306</t>
  </si>
  <si>
    <t>片式电阻 0603WAF5101T5E 1/10W,5.1KΩ,1%,0603(厚声)(编带)(RoHS)</t>
  </si>
  <si>
    <t>R137,138</t>
  </si>
  <si>
    <t>N30101003189</t>
  </si>
  <si>
    <t>片式电阻 RS-03K5101FT 1/10W,5.1KΩ,1%,0603(风华)(编带)(RoHS)</t>
  </si>
  <si>
    <t>N30101006104</t>
  </si>
  <si>
    <t>片式电阻 RC0603FR-075K1L 1/10W,5.1KΩ,1%,0603(国巨)(编带)(RoHS)</t>
  </si>
  <si>
    <t>301H0512H1</t>
  </si>
  <si>
    <t>片式电阻 RC0603FR-075K1L/0603WAF5101T5E 1/10W,5.1KΩ,1%,0603(国巨/厚声)(编带)(RoHS)</t>
  </si>
  <si>
    <t>N30199000219</t>
  </si>
  <si>
    <t>片式电阻 1/10W,100Ω,1%,0603(编带)(RoHS)(互换件)</t>
  </si>
  <si>
    <t>N30101003284</t>
  </si>
  <si>
    <t>片式电阻 RS-03K1000FT 1/10W,100Ω,1%,0603(风华)(编带)(RoHS)</t>
  </si>
  <si>
    <t>R18,24,25,32,33,106-111,119-130,212-217</t>
  </si>
  <si>
    <t>N30101007520</t>
  </si>
  <si>
    <t>片式电阻 0603WAF1000T5E 1/10W,100Ω,1%,0603(厚声)(编带)(RoHS)</t>
  </si>
  <si>
    <t>N30101006338</t>
  </si>
  <si>
    <t>片式电阻 RC0603FR-07100RL 1/10W,100Ω,1%,0603(国巨)(编带)(RoHS)</t>
  </si>
  <si>
    <t>301H0101H1</t>
  </si>
  <si>
    <t>片式电阻 RC0603FR-07100RL/0603WAF1000T5E 1/10W,100Ω,1%,0603(国巨/厚声)(编带)(RoHS)</t>
  </si>
  <si>
    <t>N30199000237</t>
  </si>
  <si>
    <t>片式电阻 1/10W,510Ω,1%,0603(编带)(RoHS)(互换件)</t>
  </si>
  <si>
    <t>N30101003319</t>
  </si>
  <si>
    <t>片式电阻 RS-03K5100FT 1/10W,510Ω,1%,0603(风华)(编带)(RoHS)</t>
  </si>
  <si>
    <t>R66,78</t>
  </si>
  <si>
    <t>N30101007307</t>
  </si>
  <si>
    <t>片式电阻 0603WAF5100T5E 1/10W,510Ω,1%,0603(厚声)(编带)(RoHS)</t>
  </si>
  <si>
    <t>N30101006120</t>
  </si>
  <si>
    <t>片式电阻 RC0603FR-07510RL 1/10W,510Ω,1%,0603(国巨)(编带)(RoHS)</t>
  </si>
  <si>
    <t>301H0511H1</t>
  </si>
  <si>
    <t>片式电阻 RC0603FR-07510RL/0603WAF5100T5E 1/10W,510Ω,1%,0603(国巨/厚声)(编带)(RoHS)</t>
  </si>
  <si>
    <t>N30199000335</t>
  </si>
  <si>
    <t>片式电阻 1/10W,1.5KΩ,1%,0603(编带)(RoHS)(互换件)</t>
  </si>
  <si>
    <t>N30101003511</t>
  </si>
  <si>
    <t>片式电阻 RS-03K1501FT 1/10W,1.5KΩ,1%,0603(风华)(编带)(RoHS)</t>
  </si>
  <si>
    <t>R54</t>
  </si>
  <si>
    <t>N30101007469</t>
  </si>
  <si>
    <t>片式电阻 0603WAF1501T5E 1/10W,1.5KΩ,1%,0603(厚声)(编带)(RoHS)</t>
  </si>
  <si>
    <t>N30101006268</t>
  </si>
  <si>
    <t>片式电阻 RC0603FR-071K5L 1/10W,1.5KΩ,1%,0603(国巨)(编带)(RoHS)</t>
  </si>
  <si>
    <t>N30101003510</t>
  </si>
  <si>
    <t>片式电阻 CR0603FA1501G 1/10W,1.5KΩ,1%,0603(丽智)(编带)(RoHS)</t>
  </si>
  <si>
    <t>N30199000342</t>
  </si>
  <si>
    <t>片式电阻 1/10W,51KΩ,1%,0603(编带)(RoHS)(互换件)</t>
  </si>
  <si>
    <t>N30101003525</t>
  </si>
  <si>
    <t>片式电阻 RS-03K5102FT 1/10W,51KΩ,1%,0603(风华)(编带)(RoHS)</t>
  </si>
  <si>
    <t>R15,36</t>
  </si>
  <si>
    <t>N30101007305</t>
  </si>
  <si>
    <t>片式电阻 0603WAF5102T5E 1/10W,51KΩ,1%,0603(厚声)(编带)(RoHS)</t>
  </si>
  <si>
    <t>N30101006118</t>
  </si>
  <si>
    <t>片式电阻 RC0603FR-0751KL 1/10W,51KΩ,1%,0603(国巨)(编带)(RoHS)</t>
  </si>
  <si>
    <t>N30101003524</t>
  </si>
  <si>
    <t>片式电阻 CR0603FA5102G 1/10W,51KΩ,1%,0603(丽智)(编带)(RoHS)</t>
  </si>
  <si>
    <t>N30199000397</t>
  </si>
  <si>
    <t>片式电阻 1/4W,20KΩ,1%,1206(编带)(RoHS)(互换件)</t>
  </si>
  <si>
    <t>N30101006792</t>
  </si>
  <si>
    <t>片式电阻 1206W4F2002T5E 1/4W,20KΩ,1%,1206(厚声)(编带)(RoHS)</t>
  </si>
  <si>
    <t>R57</t>
  </si>
  <si>
    <t>N30101003634</t>
  </si>
  <si>
    <t>片式电阻 RS-06K2002FT 1/4W,20KΩ,1%,1206(风华)(编带)(RoHS)</t>
  </si>
  <si>
    <t>N30101005517</t>
  </si>
  <si>
    <t>片式电阻 RC1206FR-0720KL 1/4W,20KΩ,1%,1206(国巨)(编带)(RoHS)</t>
  </si>
  <si>
    <t>N30101003633</t>
  </si>
  <si>
    <t>片式电阻 CR1206F42002G 1/4W,20KΩ,1%,1206(丽智)(编带)(RoHS)</t>
  </si>
  <si>
    <t>N30199000444</t>
  </si>
  <si>
    <t>片式电阻 1/10W,6.2KΩ,1%,0603(编带)(RoHS)(互换件)</t>
  </si>
  <si>
    <t>N30101001125</t>
  </si>
  <si>
    <t>片式电阻 0603WAF6201T5E 1/10W,6.2KΩ,1%,0603(厚声)(编带)(RoHS)</t>
  </si>
  <si>
    <t>R79</t>
  </si>
  <si>
    <t>N30101003728</t>
  </si>
  <si>
    <t>片式电阻 RS-03K6201FT 1/10W,6.2KΩ,1%,0603(风华)(编带)(RoHS)</t>
  </si>
  <si>
    <t>301H0622H1</t>
  </si>
  <si>
    <t>片式电阻 RC0603FR-076K2L 1/10W,6.2KΩ,1%,0603(国巨)(编带)(RoHS)</t>
  </si>
  <si>
    <t>N30101003727</t>
  </si>
  <si>
    <t>片式电阻 CR0603FA6201G 1/10W,6.2KΩ,1%,0603(丽智)(编带)(RoHS)</t>
  </si>
  <si>
    <t>N30199000493</t>
  </si>
  <si>
    <t>片式电阻 1/4W,120Ω,5%,1206(编带)(RoHS)(互换件)</t>
  </si>
  <si>
    <t>N30101003826</t>
  </si>
  <si>
    <t>片式电阻 RS-06K121JT 1/4W,120Ω,5%,1206(风华)(编带)(RoHS)</t>
  </si>
  <si>
    <t>R19,229</t>
  </si>
  <si>
    <t>N30101006672</t>
  </si>
  <si>
    <t>片式电阻 1206W4J0121T5E 1/4W,120Ω,5%,1206(厚声)(编带)(RoHS)</t>
  </si>
  <si>
    <t>N30101005381</t>
  </si>
  <si>
    <t>片式电阻 RC1206JR-07120RL 1/4W,120Ω,5%,1206(国巨)(编带)(RoHS)</t>
  </si>
  <si>
    <t>301H012185</t>
  </si>
  <si>
    <t>片式电阻 RC1206JR-07120RL/1206W4J0121T5E 1/4W,120Ω,5%,1206(国巨/厚声)(编带)(RoHS)</t>
  </si>
  <si>
    <t>N30199000523</t>
  </si>
  <si>
    <t>片式电阻 1/4W,1KΩ,1%,1206(编带)(RoHS)(互换件)</t>
  </si>
  <si>
    <t>N30101003885</t>
  </si>
  <si>
    <t>片式电阻 RS-06K1001FT 1/4W,1KΩ,1%,1206(风华)(编带)(RoHS)</t>
  </si>
  <si>
    <t>R37,86,88,91</t>
  </si>
  <si>
    <t>N30101006828</t>
  </si>
  <si>
    <t>片式电阻 1206W4F1001T5E 1/4W,1KΩ,1%,1206(厚声)(编带)(RoHS)</t>
  </si>
  <si>
    <t>N30101005505</t>
  </si>
  <si>
    <t>片式电阻 RC1206FR-071KL 1/4W,1KΩ,1%,1206(国巨)(编带)(RoHS)</t>
  </si>
  <si>
    <t>N30101003884</t>
  </si>
  <si>
    <t>片式电阻 CR1206F41001G 1/4W,1KΩ,1%,1206(丽智)(编带)(RoHS)</t>
  </si>
  <si>
    <t>N30199000561</t>
  </si>
  <si>
    <t>片式电阻 1/4W,47Ω,1%,1206(编带)(RoHS)(互换件)</t>
  </si>
  <si>
    <t>N30101006724</t>
  </si>
  <si>
    <t>片式电阻 1206W4F470JT5E 1/4W,47Ω,1%,1206(厚声)(编带)(RoHS)</t>
  </si>
  <si>
    <t>R1,3,59,72,131,133,135,204,206,208</t>
  </si>
  <si>
    <t>N30101003958</t>
  </si>
  <si>
    <t>片式电阻 RS-06K47R0FT 1/4W,47Ω,1%,1206(风华)(编带)(RoHS)</t>
  </si>
  <si>
    <t>N30101005579</t>
  </si>
  <si>
    <t>片式电阻 RC1206FR-0747RL 1/4W,47Ω,1%,1206(国巨)(编带)(RoHS)</t>
  </si>
  <si>
    <t>N30101003957</t>
  </si>
  <si>
    <t>片式电阻 CR1206F447R0G 1/4W,47Ω,1%,1206(丽智)(编带)(RoHS)</t>
  </si>
  <si>
    <t>N30199000577</t>
  </si>
  <si>
    <t>片式电阻 1/4W,300KΩ,1%,1206(编带)(RoHS)(互换件)</t>
  </si>
  <si>
    <t>N30101006758</t>
  </si>
  <si>
    <t>片式电阻 1206W4F3003T5E 1/4W,300KΩ,1%,1206(厚声)(编带)(RoHS)</t>
  </si>
  <si>
    <t>R101,102,115,152,169-171,180,181</t>
  </si>
  <si>
    <t>N30101003990</t>
  </si>
  <si>
    <t>片式电阻 RS-06K3003FT 1/4W,300KΩ,1%,1206(风华)(编带)(RoHS)</t>
  </si>
  <si>
    <t>N30101005551</t>
  </si>
  <si>
    <t>片式电阻 RC1206FR-07300KL 1/4W,300KΩ,1%,1206(国巨)(编带)(RoHS)</t>
  </si>
  <si>
    <t>N30101000672</t>
  </si>
  <si>
    <t>片式电阻 RC1206FR-07300KL/1206W4F3003T5E 1/4W,300KΩ,1%,1206(国巨/厚声)(编带)(RoHS)</t>
  </si>
  <si>
    <t>N30199000605</t>
  </si>
  <si>
    <t>片式电阻 1/4W,10Ω,1%,1206(编带)(RoHS)(互换件)</t>
  </si>
  <si>
    <t>N30101006824</t>
  </si>
  <si>
    <t>片式电阻 1206W4F100JT5E 1/4W,10Ω,1%,1206(厚声)(编带)(RoHS)</t>
  </si>
  <si>
    <t>R132,134,136,203,205,207</t>
  </si>
  <si>
    <t>N30101004045</t>
  </si>
  <si>
    <t>片式电阻 RS-06K10R0FT 1/4W,10Ω,1%,1206(风华)(编带)(RoHS)</t>
  </si>
  <si>
    <t>N30101005488</t>
  </si>
  <si>
    <t>片式电阻 RC1206FR-0710RL 1/4W,10Ω,1%,1206(国巨)(编带)(RoHS)</t>
  </si>
  <si>
    <t>N30101004044</t>
  </si>
  <si>
    <t>片式电阻 CR1206F410R0G 1/4W,10Ω,1%,1206(丽智)(编带)(RoHS)</t>
  </si>
  <si>
    <t>N30199000614</t>
  </si>
  <si>
    <t>片式电阻 1/10W,7.5KΩ,1%,0603(编带)(RoHS)(互换件)</t>
  </si>
  <si>
    <t>N30101007264</t>
  </si>
  <si>
    <t>片式电阻 0603WAF7501T5E 1/10W,7.5KΩ,1%,0603(厚声)(编带)(RoHS)</t>
  </si>
  <si>
    <t>R53,55,85,139,140,157-162,239,240</t>
  </si>
  <si>
    <t>N30101004063</t>
  </si>
  <si>
    <t>片式电阻 RS-03K7501FT 1/10W,7.5KΩ,1%,0603(风华)(编带)(RoHS)</t>
  </si>
  <si>
    <t>N30101006068</t>
  </si>
  <si>
    <t>片式电阻 RC0603FR-077K5L 1/10W,7.5KΩ,1%,0603(国巨)(编带)(RoHS)</t>
  </si>
  <si>
    <t>N30101001061</t>
  </si>
  <si>
    <t>片式电阻 RC0603FR-077K5L/0603WAF7501T5E 1/10W,7.5KΩ,1%,0603(国巨/厚声)(编带)(RoHS)</t>
  </si>
  <si>
    <t>N30199000619</t>
  </si>
  <si>
    <t>片式电阻 1/10W,10.5KΩ,1%,0603(编带)(RoHS)(互换件)</t>
  </si>
  <si>
    <t>N30101007511</t>
  </si>
  <si>
    <t>片式电阻 0603WAF1052T5E 1/10W,10.5KΩ,1%,0603(厚声)(编带)(RoHS)</t>
  </si>
  <si>
    <t>R48</t>
  </si>
  <si>
    <t>N30101004220</t>
  </si>
  <si>
    <t>片式电阻 RS-03K1052FT 1/10W,10.5KΩ,1%,0603(风华)(编带)(RoHS)</t>
  </si>
  <si>
    <t>N30101006332</t>
  </si>
  <si>
    <t>片式电阻 RC0603FR-0710K5L 1/10W,10.5KΩ,1%,0603(国巨)(编带)(RoHS)</t>
  </si>
  <si>
    <t>N30101001496</t>
  </si>
  <si>
    <t>片式电阻 RC0603FR-0710K5L/0603WAF1052T5E 1/10W,10.5KΩ,1%,0603(国巨/厚声)(编带)(RoHS)</t>
  </si>
  <si>
    <t>N30199000620</t>
  </si>
  <si>
    <t>片式电阻 1/10W,1.2KΩ,1%,0603(编带)(RoHS)(互换件)</t>
  </si>
  <si>
    <t>N30101007498</t>
  </si>
  <si>
    <t>片式电阻 0603WAF1201T5E 1/10W,1.2KΩ,1%,0603(厚声)(编带)(RoHS)</t>
  </si>
  <si>
    <t>R154,156</t>
  </si>
  <si>
    <t>N30101004224</t>
  </si>
  <si>
    <t>片式电阻 RS-03K1201FT 1/10W,1.2KΩ,1%,0603(风华)(编带)(RoHS)</t>
  </si>
  <si>
    <t>N30101006272</t>
  </si>
  <si>
    <t>片式电阻 RC0603FR-071K2L 1/10W,1.2KΩ,1%,0603(国巨)(编带)(RoHS)</t>
  </si>
  <si>
    <t>301H0122H1</t>
  </si>
  <si>
    <t>片式电阻 RC0603FR-071K2L/0603WAF1201T5E 1/10W,1.2KΩ,1%,0603(国巨/厚声)(编带)(RoHS)</t>
  </si>
  <si>
    <t>N30199000693</t>
  </si>
  <si>
    <t>片式电阻 1/10W,0Ω,1%,0603(编带)(RoHS)(互换件)</t>
  </si>
  <si>
    <t>N30101004568</t>
  </si>
  <si>
    <t>片式电阻 RS-03K000FT 1/10W,0Ω,1%,0603(风华)(编带)(RoHS)</t>
  </si>
  <si>
    <t>A0,R0,,R79A</t>
  </si>
  <si>
    <t>N30101004534</t>
  </si>
  <si>
    <t>片式电阻 0603WAF0000T5E 1/10W,0Ω,1%,0603(厚声)(编带)(RoHS)</t>
  </si>
  <si>
    <t>N30101002504</t>
  </si>
  <si>
    <t>片式电阻 RC0603FR-070RL 1/10W,0Ω,1%,0603(国巨)(编带)(RoHS)</t>
  </si>
  <si>
    <t>N30199000804</t>
  </si>
  <si>
    <t>片式电阻 1/4W,30Ω,1%,1206(编带)(RoHS)(互换件)</t>
  </si>
  <si>
    <t>N30101004863</t>
  </si>
  <si>
    <t>片式电阻 1206W4F300JT5E 1/4W,30Ω,1%,1206(厚声)(编带)(RoHS)</t>
  </si>
  <si>
    <t>江华媛</t>
  </si>
  <si>
    <t>R209-211</t>
  </si>
  <si>
    <t>N30101004973</t>
  </si>
  <si>
    <t>片式电阻 RS-06K30R0FT 1/4W,30Ω,1%,1206(风华)(编带)(RoHS)</t>
  </si>
  <si>
    <t>N30101002273</t>
  </si>
  <si>
    <t>片式电阻 RC1206FR-0730RL 1/4W,30Ω,1%,1206(国巨)(编带)(RoHS)</t>
  </si>
  <si>
    <t>N30199000819</t>
  </si>
  <si>
    <t>片式电阻 1/10W,910Ω,1%,0603(编带)(RoHS)(互换件)</t>
  </si>
  <si>
    <t>N30101004847</t>
  </si>
  <si>
    <t>片式电阻 0603WAF9100T5E 1/10W,910Ω,1%,0603(厚声)(编带)(RoHS)</t>
  </si>
  <si>
    <t>R153,155</t>
  </si>
  <si>
    <t>N30101004970</t>
  </si>
  <si>
    <t>片式电阻 RS-03K9100FT 1/10W,910Ω,1%,0603(风华)(编带)(RoHS)</t>
  </si>
  <si>
    <t>N30101002401</t>
  </si>
  <si>
    <t>片式电阻 RC0603FR-07910RL 1/10W,910Ω,1%,0603(国巨)(编带)(RoHS)</t>
  </si>
  <si>
    <t>N30301000078</t>
  </si>
  <si>
    <t>压敏电阻 561KD14 (君耀)(RoHS)</t>
  </si>
  <si>
    <t>RV5,6</t>
  </si>
  <si>
    <t>N30301000122</t>
  </si>
  <si>
    <t>压敏电阻 911KD14-TR 550Vac,10%,P=7.5,Φ14(175J)(君耀)(编带)(RoHS)</t>
  </si>
  <si>
    <t>RV2-4</t>
  </si>
  <si>
    <t>N30303000192</t>
  </si>
  <si>
    <t>PTC热敏电阻 MZ32-47RHAGD03-C 280Vac,7A,47Ω,25%,P=8.5(安培龙)(RoHS)</t>
  </si>
  <si>
    <t>10666</t>
  </si>
  <si>
    <t>深圳安培龙科技股份有限公司</t>
  </si>
  <si>
    <t>R405</t>
  </si>
  <si>
    <t>N30303000193</t>
  </si>
  <si>
    <t>PTC热敏电阻 MZ32-68RNAGD01-C 440Vac,27A,68Ω,30%,P=8.5(安培龙)(RoHS)</t>
  </si>
  <si>
    <t>R404</t>
  </si>
  <si>
    <t>N30309000009</t>
  </si>
  <si>
    <t>电流传感器 STK-50PL (希磁)(JCI 专用)(RoHS)</t>
  </si>
  <si>
    <t>BBXC2</t>
  </si>
  <si>
    <t>安徽希磁科技股份有限公司（特采)</t>
  </si>
  <si>
    <t>H1</t>
  </si>
  <si>
    <t>N30501000394</t>
  </si>
  <si>
    <t>安规薄膜电容 (X2) HQX225K0275NAYCCL15S 2.2uF,10%,275Vac,26.5X13X23,P=22.5(昱电)(RoHS)</t>
  </si>
  <si>
    <t>10656</t>
  </si>
  <si>
    <t>厦门大毅电子有限公司</t>
  </si>
  <si>
    <t>C130,131,133</t>
  </si>
  <si>
    <t>N30503000105</t>
  </si>
  <si>
    <t>聚丙烯膜电容 C372J105J6SC000 1uF,5%,630V,P=15(法拉)(RoHS)</t>
  </si>
  <si>
    <t>10715</t>
  </si>
  <si>
    <t>厦门法拉电子股份有限公司</t>
  </si>
  <si>
    <t>C98,99,208</t>
  </si>
  <si>
    <t>N30503000217</t>
  </si>
  <si>
    <t>聚丙烯膜电容 C322J222J30A301 2.2nF,5%,630Vdc,P=7.5(法拉)(编带)(RoHS)</t>
  </si>
  <si>
    <t>聚丙烯膜电容 C322J222J30C000 2.2nF,5%,630Vdc,P=7.5(法拉)(编带)(RoHS)</t>
  </si>
  <si>
    <t>C10</t>
  </si>
  <si>
    <t>N30503000218</t>
  </si>
  <si>
    <t>聚丙烯膜电容 C822J102J30A301 1nF,5%,630Vdc,P=7.5(法拉)(编带)(RoHS)</t>
  </si>
  <si>
    <t>聚丙烯膜电容 C822J102J30C000 1nF,5%,630Vdc,P=7.5(法拉)(编带)(RoHS)</t>
  </si>
  <si>
    <t>C124</t>
  </si>
  <si>
    <t>N30503000219</t>
  </si>
  <si>
    <t>聚丙烯膜电容 MKP21-1000V474K 470nF,10%,1KVdc,P=22.5(NJTJ专用)(华裕)(RoHS)</t>
  </si>
  <si>
    <t>10250</t>
  </si>
  <si>
    <t>深圳市黑快能科技发展有限公司</t>
  </si>
  <si>
    <t>C50</t>
  </si>
  <si>
    <t>N30503000244</t>
  </si>
  <si>
    <t>聚丙烯膜电容 EZPV1B406MTC 40uF,10%,1.1KVdc,57.5X56X35,P=52.5(国创提供)(符合AEC-Q200)(Panasonic)(RoHS)</t>
  </si>
  <si>
    <t>20251014业务邮件通知客供料</t>
  </si>
  <si>
    <t>客供料</t>
  </si>
  <si>
    <t>C125-127</t>
  </si>
  <si>
    <t>N30506000898</t>
  </si>
  <si>
    <t>铝电解电容 YXJ 16YXJ220MT16.3X11 220uF,20%,16V,105℃,6.3X11,P=2.5(Rubycon)(编带)(RoHS)</t>
  </si>
  <si>
    <t>XMAEH</t>
  </si>
  <si>
    <t>厦门埃尔华进出口有限公司</t>
  </si>
  <si>
    <t>C143,147</t>
  </si>
  <si>
    <t>N30506001051</t>
  </si>
  <si>
    <t>铝电解电容 35YXJ100MT16.3X11 100uF,20%,35V,105℃,6.3X11,P=2.5(Rubycon)(编带)(RoHS)</t>
  </si>
  <si>
    <t>陈伟环</t>
  </si>
  <si>
    <t>10364</t>
  </si>
  <si>
    <t>C150,158</t>
  </si>
  <si>
    <t>N30506001064</t>
  </si>
  <si>
    <t>铝电解电容 35YXJ470MT810X16 470uF,20%,35V,105℃,10X16,P=5(Rubycon)(编带)(RoHS)</t>
  </si>
  <si>
    <t>xmaeh</t>
  </si>
  <si>
    <t>C140,144-146</t>
  </si>
  <si>
    <t>N30506001069</t>
  </si>
  <si>
    <t>铝电解电容 50YXF47MT16.3X11 47uF,20%,50V,105℃,6.3X11,P=2.5(Rubycon)(编带)(RoHS)</t>
  </si>
  <si>
    <t>C138,139</t>
  </si>
  <si>
    <t>N30506002046</t>
  </si>
  <si>
    <t>铝电解电容 LB1E471MF160B35CE0 470uF,20%,25V,105℃,8X16,P=3.5,6000h(华威)(编带)(RoHS)</t>
  </si>
  <si>
    <t>铝电解电容 LB1E471MF160B35CE0 470uF,20%,25V,105℃,8X16,P=3.5(华威)(编带)(RoHS)</t>
  </si>
  <si>
    <t>10033</t>
  </si>
  <si>
    <t>常州华威电子有限公司</t>
  </si>
  <si>
    <t>C141</t>
  </si>
  <si>
    <t>N30506002166</t>
  </si>
  <si>
    <t>铝电解电容 ELT2WM152Y80LTSP 1500uF,20%,450V,105℃,40X80,P=14.2,5000h(艾华)(RoHS)</t>
  </si>
  <si>
    <t>105935</t>
  </si>
  <si>
    <t>10003</t>
  </si>
  <si>
    <t>湖南艾华集团股份有限公司</t>
  </si>
  <si>
    <t>C132</t>
  </si>
  <si>
    <t>N30508000060</t>
  </si>
  <si>
    <t>安规陶瓷电容 (X1Y1) CD45-E2GA222M-VKA 2.2nF,20%,(X1)440Vac,(Y1)400Vac,P=10(TDK)(编带)(RoHS)</t>
  </si>
  <si>
    <t>10758</t>
  </si>
  <si>
    <t>瑞瑜国际贸易（上海）有限公司</t>
  </si>
  <si>
    <t>C136,137</t>
  </si>
  <si>
    <t>N30515002473</t>
  </si>
  <si>
    <t>片式瓷介电容 0805B475K500NT X7R,4.7uF,10%,50V,0805(风华)(编带)(RoHS)</t>
  </si>
  <si>
    <t>10178</t>
  </si>
  <si>
    <t>C9,20</t>
  </si>
  <si>
    <t>N30599000004</t>
  </si>
  <si>
    <t>片式瓷介电容 X7R,100nF,10%,50V,0603(编带)(RoHS)(互换件)</t>
  </si>
  <si>
    <t>N30515001005</t>
  </si>
  <si>
    <t>片式瓷介电容 0603B104K500NT X7R,100nF,10%,50V,0603(风华)(编带)(RoHS)</t>
  </si>
  <si>
    <t>C1,3,5-8,13,16-18,21-24,26-31,33-35,37,43,45,47,48,65-70,78-80,88,109-111,122,123,160,188</t>
  </si>
  <si>
    <t>N30515000714</t>
  </si>
  <si>
    <t>片式瓷介电容 TCC0603X7R104K500CT X7R,100nF,10%,50V,0603(三环)(编带)(RoHS)</t>
  </si>
  <si>
    <t>N30515000736</t>
  </si>
  <si>
    <t>片式瓷介电容 0603B104K500CT X7R,100nF,10%,50V,0603(华新科技)(编带)(RoHS)</t>
  </si>
  <si>
    <t>N30515000279</t>
  </si>
  <si>
    <t>片式瓷介电容 CC0603KRX7R9BB104 X7R,100nF,10%,50V,0603(国巨)(编带)(RoHS)</t>
  </si>
  <si>
    <t>N30599000010</t>
  </si>
  <si>
    <t>片式瓷介电容 NP0,100pF,5%,50V,0603(编带)(RoHS)(互换件)</t>
  </si>
  <si>
    <t>N30515001156</t>
  </si>
  <si>
    <t>片式瓷介电容 0603CG101J500NT NP0,100pF,5%,50V,0603(风华)(编带)(RoHS)</t>
  </si>
  <si>
    <t>C14,56-61,72-77,82-87,91-93,100-102,115-120</t>
  </si>
  <si>
    <t>N30515001358</t>
  </si>
  <si>
    <t>片式瓷介电容 TCC0603COG101J500CT NP0,100pF,5%,50V,0603(三环)(编带)(RoHS)</t>
  </si>
  <si>
    <t>31012101J4N01</t>
  </si>
  <si>
    <t>片式瓷介电容 CC0603JRNPO9BN101 NP0,100pF,5%,50V,0603(国巨)(编带)(RoHS)</t>
  </si>
  <si>
    <t>N30515002843</t>
  </si>
  <si>
    <t>片式瓷介电容 C1608C0G1H101J080AA C0G,100pF,5%,50V,0603(TDK)(编带)(RoHS)</t>
  </si>
  <si>
    <t>N30599000011</t>
  </si>
  <si>
    <t>片式瓷介电容 X7R,1nF,10%,50V,0603(编带)(RoHS)(互换件)</t>
  </si>
  <si>
    <t>N30515001074</t>
  </si>
  <si>
    <t>片式瓷介电容 0603B102K500NT X7R,1nF,10%,50V,0603(风华)(编带)(RoHS)</t>
  </si>
  <si>
    <t>C15,32,38,42,44,55,94,95,142,155</t>
  </si>
  <si>
    <t>31012102K4X01</t>
  </si>
  <si>
    <t>片式瓷介电容 CC0603KRX7R9BB102 X7R,1nF,10%,50V,0603(国巨)(编带)(RoHS)</t>
  </si>
  <si>
    <t>N30515000613</t>
  </si>
  <si>
    <t>片式瓷介电容 0603B102K500CT X7R,1nF,10%,50V,0603(华新科技)(编带)(RoHS)</t>
  </si>
  <si>
    <t>N30515000782</t>
  </si>
  <si>
    <t>片式瓷介电容 TCC0603X7R102K500CT X7R,1nF,10%,50V,0603(三环)(编带)(RoHS)</t>
  </si>
  <si>
    <t>N30599000014</t>
  </si>
  <si>
    <t>片式瓷介电容 X7R,10nF,10%,50V,0603(编带)(RoHS)(互换件)</t>
  </si>
  <si>
    <t>N30515001150</t>
  </si>
  <si>
    <t>片式瓷介电容 0603B103K500NT X7R,10nF,10%,50V,0603(风华)(编带)(RoHS)</t>
  </si>
  <si>
    <t>C39-41,51-54</t>
  </si>
  <si>
    <t>31011031-1</t>
  </si>
  <si>
    <t>片式瓷介电容 CC0603KRX7R9BB103 X7R,10nF,10%,50V,0603(国巨)(编带)(RoHS)</t>
  </si>
  <si>
    <t>N30515000735</t>
  </si>
  <si>
    <t>片式瓷介电容 0603B103K500CT X7R,10nF,10%,50V,0603(华新科技)(编带)(RoHS)</t>
  </si>
  <si>
    <t>N30515000713</t>
  </si>
  <si>
    <t>片式瓷介电容 TCC0603X7R103K500CT X7R,10nF,10%,50V,0603(三环)(编带)(RoHS)</t>
  </si>
  <si>
    <t>N30599000017</t>
  </si>
  <si>
    <t>片式瓷介电容 X7R,100nF,10%,50V,1206(编带)(RoHS)(互换件)</t>
  </si>
  <si>
    <t>N30515001169</t>
  </si>
  <si>
    <t>片式瓷介电容 1206B104K500NT X7R,100nF,10%,50V,1206(风华)(编带)(RoHS)</t>
  </si>
  <si>
    <t>C25</t>
  </si>
  <si>
    <t>N30515001366</t>
  </si>
  <si>
    <t>片式瓷介电容 TCC1206X7R104K500DT X7R,100nF,10%,50V,1206(三环)(编带)(RoHS)</t>
  </si>
  <si>
    <t>N30515002509</t>
  </si>
  <si>
    <t>片式瓷介电容 1206B104K500CT X7R,100nF,10%,50V,1206(华新科技)(编带)(RoHS)</t>
  </si>
  <si>
    <t>N30515002520</t>
  </si>
  <si>
    <t>片式瓷介电容 CC1206KRX7R9BB104 X7R,100nF,10%,50V,1206(国巨)(编带)(RoHS)</t>
  </si>
  <si>
    <t>N30599000047</t>
  </si>
  <si>
    <t>片式瓷介电容 X7R,3.3nF,10%,50V,0603(编带)(RoHS)(互换件)</t>
  </si>
  <si>
    <t>N30515001415</t>
  </si>
  <si>
    <t>片式瓷介电容 0603B332K500NT X7R,3.3nF,10%,50V,0603(风华)(编带)(RoHS)</t>
  </si>
  <si>
    <t>C46,49</t>
  </si>
  <si>
    <t>N30515002529</t>
  </si>
  <si>
    <t>片式瓷介电容 CC0603KRX7R9BB332 X7R,3.3nF,10%,50V,0603(国巨)(编带)(RoHS)</t>
  </si>
  <si>
    <t>N30515001414</t>
  </si>
  <si>
    <t>片式瓷介电容 TCC0603X7R332K500CT X7R,3.3nF,10%,50V,0603(三环)(编带)(RoHS)</t>
  </si>
  <si>
    <t>N30515002511</t>
  </si>
  <si>
    <t>片式瓷介电容 0603B332K500CT X7R,3.3nF,10%,50V,0603(华新科技)(编带)(RoHS)</t>
  </si>
  <si>
    <t>N30599000063</t>
  </si>
  <si>
    <t>片式瓷介电容 X7R,220nF,10%,50V,0603(编带)(RoHS)(互换件)</t>
  </si>
  <si>
    <t>N30515001445</t>
  </si>
  <si>
    <t>片式瓷介电容 0603B224K500NT X7R,220nF,10%,50V,0603(风华)(编带)(RoHS)</t>
  </si>
  <si>
    <t>SJC2</t>
  </si>
  <si>
    <t>深圳市集财实业有限公司（ZZ）</t>
  </si>
  <si>
    <t>C71,81</t>
  </si>
  <si>
    <t>N30515000358</t>
  </si>
  <si>
    <t>片式瓷介电容 CC0603KRX7R9BB224 X7R,220nF,10%,50V,0603(国巨)(编带)(RoHS)</t>
  </si>
  <si>
    <t>N30515001444</t>
  </si>
  <si>
    <t>片式瓷介电容 TCC0603X7R224K500CT X7R,220nF,10%,50V,0603(三环)(编带)(RoHS)</t>
  </si>
  <si>
    <t>N30515000948</t>
  </si>
  <si>
    <t>片式瓷介电容 GRM188R71H224KAC4D X7R,220nF,10%,50V,0603(Murata)(编带)(RoHS)</t>
  </si>
  <si>
    <t>N30599000084</t>
  </si>
  <si>
    <t>片式瓷介电容 X7R,470pF,10%,250V,1206(编带)(RoHS)(互换件)</t>
  </si>
  <si>
    <t>N30515001484</t>
  </si>
  <si>
    <t>片式瓷介电容 TCC1206X7R471K251DT X7R,470pF,10%,250V,1206(三环)(编带)(RoHS)</t>
  </si>
  <si>
    <t>504</t>
  </si>
  <si>
    <t>10829</t>
  </si>
  <si>
    <t>厦门翔烨云供应链科技有限公司</t>
  </si>
  <si>
    <t>C2,19</t>
  </si>
  <si>
    <t>N30515001175</t>
  </si>
  <si>
    <t>片式瓷介电容 1206B471K251NT X7R,470pF,10%,250V,1206(风华)(编带)(RoHS)</t>
  </si>
  <si>
    <t>N30515000572</t>
  </si>
  <si>
    <t>片式瓷介电容 CC1206KRX7RYBB471 X7R,470pF,10%,250V,1206(国巨)(编带)(RoHS)</t>
  </si>
  <si>
    <t>N30599000125</t>
  </si>
  <si>
    <t>片式瓷介电容 X7R,1uF,10%,50V,0603(编带)(RoHS)(互换件)</t>
  </si>
  <si>
    <t>N30515001987</t>
  </si>
  <si>
    <t>片式瓷介电容 CL10B105KB8NQNC X7R,1uF,10%,50V,0603(Samsung)(编带)(RoHS)</t>
  </si>
  <si>
    <t>C4,11,62-64,112-114</t>
  </si>
  <si>
    <t>N30515001569</t>
  </si>
  <si>
    <t>片式瓷介电容 0603B105K500NT X7R,1uF,10%,50V,0603(风华)(编带)(RoHS)</t>
  </si>
  <si>
    <t>N30515001106</t>
  </si>
  <si>
    <t>片式瓷介电容 UMK107AB7105KA-T X7R,1uF,10%,50V,0603(Taiyo Yuden)(编带)(RoHS)</t>
  </si>
  <si>
    <t>N30515001568</t>
  </si>
  <si>
    <t>片式瓷介电容 TCC0603X7R105K500CT X7R,1uF,10%,50V,0603(三环)(编带)(RoHS)</t>
  </si>
  <si>
    <t>N30599000312</t>
  </si>
  <si>
    <t>片式瓷介电容 X7R,470pF,10%,50V,0603(编带)(RoHS)(互换件)</t>
  </si>
  <si>
    <t>N30515002089</t>
  </si>
  <si>
    <t>片式瓷介电容 CC0603KRX7R9BB471 X7R,470pF,10%,50V,0603(国巨)(编带)(RoHS)</t>
  </si>
  <si>
    <t>SZCLW2</t>
  </si>
  <si>
    <t>C12</t>
  </si>
  <si>
    <t>N30515002299</t>
  </si>
  <si>
    <t>片式瓷介电容 0603B471K500NT X7R,470pF,10%,50V,0603(风华)(编带)(RoHS)</t>
  </si>
  <si>
    <t>N30515002326</t>
  </si>
  <si>
    <t>片式瓷介电容 C1608X7R1H471KT000N X7R,470pF,10%,50V,0603(TDK)(编带)(RoHS)</t>
  </si>
  <si>
    <t>N30599000342</t>
  </si>
  <si>
    <t>片式瓷介电容 X6S,10uF,10%,35V,0805(编带)(RoHS)(互换件)</t>
  </si>
  <si>
    <t>N30515002399</t>
  </si>
  <si>
    <t>片式瓷介电容 TCC0805X6S106K350FT X6S,10uF,10%,35V,0805(三环)(编带)(RoHS)</t>
  </si>
  <si>
    <t>10667</t>
  </si>
  <si>
    <t>苏州巨宏达电工科技有限公司</t>
  </si>
  <si>
    <t>C103,,C103AA,C104,,C104AA,C105,,C105AA,C106,,C106AA,C107,,C107AA,C108,,C108AA,C121,,C121A,C148,,C148A,C149,,C149A,C151,,C151AA,C152,,C152AA,C153,,C153AA,C154,,C154AA,C156,,C156A</t>
  </si>
  <si>
    <t>N30515000642</t>
  </si>
  <si>
    <t>片式瓷介电容 GRM21BC8YA106KE11L X6S,10uF,10%,35V,0805(Murata)(编带)(RoHS)</t>
  </si>
  <si>
    <t>N31301000176</t>
  </si>
  <si>
    <t>光耦 PC817X3NIP SOP4(RankC)(Sharp)(编带)(RoHS)</t>
  </si>
  <si>
    <t>B1,2</t>
  </si>
  <si>
    <t>N31306000294</t>
  </si>
  <si>
    <t>发光二极管 LTST-C191KRKT-EL 红色,0603(亮度:M,N,波长:630nm,电压:ALL)(光宝)(编带)(RoHS)</t>
  </si>
  <si>
    <t>V54,56</t>
  </si>
  <si>
    <t>N31306000469</t>
  </si>
  <si>
    <t>发光二极管 LTST-C191TBKT-5A 蓝色,0603(亮度:M1/M2,波长:ALL,电压:ALL)(光宝)(编带)(RoHS)</t>
  </si>
  <si>
    <t>196656</t>
  </si>
  <si>
    <t>10848</t>
  </si>
  <si>
    <t>PAN Elektron (Hong-Kong) Co., Limited</t>
  </si>
  <si>
    <t>V20,22,39,59</t>
  </si>
  <si>
    <t>N31306000791</t>
  </si>
  <si>
    <t>发光二极管 RF-GNB191TS-CF 翠绿色,0603(亮度:430-1000mcd,波长:520-526nm,电压:2.7-3.3V)(瑞丰)(编带)(RoHS)</t>
  </si>
  <si>
    <t>SZRFGD2</t>
  </si>
  <si>
    <t>深圳市瑞丰光电子股份有限公司（ZZ）</t>
  </si>
  <si>
    <t>V55,57</t>
  </si>
  <si>
    <t>N31501000361</t>
  </si>
  <si>
    <t>超快恢复二极管 US1D 1A,200V,SMA(强茂)(编带)(RoHS)</t>
  </si>
  <si>
    <t>吴巧明</t>
  </si>
  <si>
    <t>GZGY2</t>
  </si>
  <si>
    <t>广州市洲光源电子有限公司（ZZ）</t>
  </si>
  <si>
    <t>V3,6,12,13,18,23-26</t>
  </si>
  <si>
    <t>N31503000090</t>
  </si>
  <si>
    <t>整流桥 GBJ25M 25A,1KV(固锝)(RoHS)</t>
  </si>
  <si>
    <t>赖淑琴</t>
  </si>
  <si>
    <t>XMLD2</t>
  </si>
  <si>
    <t>厦门立锝电子有限公司</t>
  </si>
  <si>
    <t>V15</t>
  </si>
  <si>
    <t>N31504000059</t>
  </si>
  <si>
    <t>开关二极管 1N4148WX-TP 150mA,100V,SOD323(MCC)(编带)(RoHS)</t>
  </si>
  <si>
    <t>XMKL2</t>
  </si>
  <si>
    <t>厦门科力通电子科技有公司（ZZ）</t>
  </si>
  <si>
    <t>V27,30,33,36-38</t>
  </si>
  <si>
    <t>N31504000155</t>
  </si>
  <si>
    <t>开关二极管 BAV99 200mA,70V,SOT23(晶导微)(编带)(RoHS)</t>
  </si>
  <si>
    <t>V7,11,44-47,51-53</t>
  </si>
  <si>
    <t>N31507000185</t>
  </si>
  <si>
    <t>TVS SMBJ20A-13 600W,20V,SMB(Diodes)(编带)(RoHS)</t>
  </si>
  <si>
    <t>N31507000578</t>
  </si>
  <si>
    <t>TVS SMBJ20A 600W,20V,SMB(扬杰)(编带)(RoHS)</t>
  </si>
  <si>
    <t>1100</t>
  </si>
  <si>
    <t>10084</t>
  </si>
  <si>
    <t>厦门格亚电子科技有限公司</t>
  </si>
  <si>
    <t>V28,31,34</t>
  </si>
  <si>
    <t>N31507000282</t>
  </si>
  <si>
    <t>TVS P6SMB200A 600W,171V,SMB(固锝)(编带)(RoHS)</t>
  </si>
  <si>
    <t>SWSC2</t>
  </si>
  <si>
    <t>深圳市威斯创电子有限公司（ZZ）</t>
  </si>
  <si>
    <t>V17</t>
  </si>
  <si>
    <t>N31507000241</t>
  </si>
  <si>
    <t>TVS P6SMB200A 600W,171V,SMB(强茂)(编带)(RoHS)</t>
  </si>
  <si>
    <t>N31507000686</t>
  </si>
  <si>
    <t>TVS SMF20CA 200W,20V,SOD123FL(扬杰)(编带)(RoHS)</t>
  </si>
  <si>
    <t>TVS SMF20CA 200W,20V,SOD-123FL(扬杰)(RoHS)</t>
  </si>
  <si>
    <t>朱建南</t>
  </si>
  <si>
    <t>V41-43,48-50</t>
  </si>
  <si>
    <t>N31511000054</t>
  </si>
  <si>
    <t>超快恢复二极管 US1Q-TP 1A,1.2KV,SMA(MCC)(编带)(RoHS)</t>
  </si>
  <si>
    <t>106166</t>
  </si>
  <si>
    <t>V8-10,29,32,35</t>
  </si>
  <si>
    <t>N31513000020</t>
  </si>
  <si>
    <t>ESD保护二极管 ASM712H 12V,SOT23(扬杰)(编带)(RoHS)</t>
  </si>
  <si>
    <t>V1,2</t>
  </si>
  <si>
    <t>N31599000074</t>
  </si>
  <si>
    <t>超快恢复二极管 ES2D 2A,200V,SMB(编带)(RoHS)(互换件)</t>
  </si>
  <si>
    <t>N31511000048</t>
  </si>
  <si>
    <t>超快恢复二极管 ES2D 2A,200V,SMB(扬杰)(编带)(RoHS)</t>
  </si>
  <si>
    <t>V19,21</t>
  </si>
  <si>
    <t>N31511000028</t>
  </si>
  <si>
    <t>超快恢复二极管 ES2DHE3_A/H 2A,200V,SMB(符合AEC-Q101)(Vishay)(编带)(RoHS)</t>
  </si>
  <si>
    <t>N31502000078</t>
  </si>
  <si>
    <t>超快恢复二极管 STTH2R02U 2A,200V,SMB(ST)(RoHS)</t>
  </si>
  <si>
    <t>N31701000323</t>
  </si>
  <si>
    <t>三极管 DTC143ECA-TP SOT23,NPN(内置电阻4.7K)(MCC)(编带)(RoHS)</t>
  </si>
  <si>
    <t>10804</t>
  </si>
  <si>
    <t>厦门科力通电子科技有限公司</t>
  </si>
  <si>
    <t>V40</t>
  </si>
  <si>
    <t>N31701000290</t>
  </si>
  <si>
    <t>三极管 DDTC143ECA-7-F NPN,SOT23(内置电阻4.7K)(Diodes)(RoHS)</t>
  </si>
  <si>
    <t>N31701000756</t>
  </si>
  <si>
    <t>三极管 SS8050-H NPN,25V,HFE=200-350,1.5A,SOT23(晶导微)(编带)(RoHS)</t>
  </si>
  <si>
    <t>V4,5,14</t>
  </si>
  <si>
    <t>N31800000736</t>
  </si>
  <si>
    <t>N1,2</t>
  </si>
  <si>
    <t>N31801001593</t>
  </si>
  <si>
    <t>微处理器 R5F526T8ADFM LFQFP64(国创提供)(Renesas)(盘式)(RoHS)</t>
  </si>
  <si>
    <t>105878</t>
  </si>
  <si>
    <t>N22,23</t>
  </si>
  <si>
    <t>N31805000269</t>
  </si>
  <si>
    <t>存贮器 M24C08-RMN6TP SO8(ST)(编带)(RoHS)</t>
  </si>
  <si>
    <t>10867</t>
  </si>
  <si>
    <t>WT MICROELECTRONICS SINGAPORE PTE. LTD.</t>
  </si>
  <si>
    <t>N21</t>
  </si>
  <si>
    <t>N31805000274</t>
  </si>
  <si>
    <t>存贮器 M24C16-RMN6TP SO8(ST)(编带)(RoHS)</t>
  </si>
  <si>
    <t>N20</t>
  </si>
  <si>
    <t>N31806000081</t>
  </si>
  <si>
    <t>稳压器 L78M05ABDT-TR DPAK(ST)(RoHS)</t>
  </si>
  <si>
    <t>N5,7</t>
  </si>
  <si>
    <t>N31806000148</t>
  </si>
  <si>
    <t>稳压器 L78M15ABDT DPAK(ST)(RoHS)</t>
  </si>
  <si>
    <t>506</t>
  </si>
  <si>
    <t>N4</t>
  </si>
  <si>
    <t>N31806000726</t>
  </si>
  <si>
    <t>稳压器 TL432AIDBZR SOT23-3(TI)(编带)(RoHS)</t>
  </si>
  <si>
    <t>稳压器 TL432AIDBZR SOT23(TI)(编带)(RoHS)</t>
  </si>
  <si>
    <t>HGAR2</t>
  </si>
  <si>
    <t>华联国际投资有限公司-艾睿电子中国有限公司（特采）</t>
  </si>
  <si>
    <t>N6</t>
  </si>
  <si>
    <t>N31807000929</t>
  </si>
  <si>
    <t>电源管理电路 TOP264KG-TL eSOP-12(国创提供)(PI)(编带)(RoHS)</t>
  </si>
  <si>
    <t>N3</t>
  </si>
  <si>
    <t>N31808000384</t>
  </si>
  <si>
    <t>逻辑电路 74LVC1G74DP,125 TSSOP8(Nexperia)(编带)(RoHS)</t>
  </si>
  <si>
    <t>10219</t>
  </si>
  <si>
    <t>深圳法本电子股份有限公司</t>
  </si>
  <si>
    <t>N14</t>
  </si>
  <si>
    <t>N31808000385</t>
  </si>
  <si>
    <t>逻辑电路 74LVC1G17GV,125 SC74A(Nexperia)(编带)(RoHS)</t>
  </si>
  <si>
    <t>逻辑电路 74LVC1G17GV SOT23-5(Nexperia)(RoHS)</t>
  </si>
  <si>
    <t>SFB2</t>
  </si>
  <si>
    <t>N15</t>
  </si>
  <si>
    <t>N31809000044</t>
  </si>
  <si>
    <t>运放电路 TLV2772IDR SOIC8(TI)(编带)(RoHS)</t>
  </si>
  <si>
    <t>运放电路 TLV2772IDR SOIC8(TI)(编带)</t>
  </si>
  <si>
    <t>196423</t>
  </si>
  <si>
    <t>10852</t>
  </si>
  <si>
    <t>Arrow Electronics China Ltd</t>
  </si>
  <si>
    <t>N17-19</t>
  </si>
  <si>
    <t>N31813000522</t>
  </si>
  <si>
    <t>驱动电路 1EDI20I12MF DSO8(国创提供)(Infineon)(编带)(RoHS)</t>
  </si>
  <si>
    <t>N8-13</t>
  </si>
  <si>
    <t>N31814000162</t>
  </si>
  <si>
    <t>运放电路 LM393BIDR SOIC8(TI)(编带)(RoHS)</t>
  </si>
  <si>
    <t>N16</t>
  </si>
  <si>
    <t>N32202000746</t>
  </si>
  <si>
    <t>开关变压器 XZM-E22296 (1.2mH)(赛特勒)(RoHS)</t>
  </si>
  <si>
    <t>502</t>
  </si>
  <si>
    <t>10450</t>
  </si>
  <si>
    <t>厦门赛特勒磁电有限公司</t>
  </si>
  <si>
    <t>T1</t>
  </si>
  <si>
    <t>N32303000311</t>
  </si>
  <si>
    <t>工字型电感 XZM-B0810250-BD 10uH,1A,10X14,P=5(24h盐雾)(赛特勒)(编带)(RoHS)</t>
  </si>
  <si>
    <t>L1</t>
  </si>
  <si>
    <t>N32316000110</t>
  </si>
  <si>
    <t>共模滤波器 CM10100ZJ-1 15mH,15mΩ,10A(国创提供)(菲尔泰科)(RoHS)</t>
  </si>
  <si>
    <t>共模滤波器 CM10100ZJ-1 15mH,9A(NJTJ提供)(菲尔泰科)(RoHS)</t>
  </si>
  <si>
    <t>陈智煌</t>
  </si>
  <si>
    <t>L2</t>
  </si>
  <si>
    <t>N32401000632</t>
  </si>
  <si>
    <t>功率继电器 HF115FK/12-HS1PT 12V(防爆)(宏发)(RoHS)</t>
  </si>
  <si>
    <t>HFDS2</t>
  </si>
  <si>
    <t>厦门宏发电声销售有限公司</t>
  </si>
  <si>
    <t>K1,3,4</t>
  </si>
  <si>
    <t>N32401000645</t>
  </si>
  <si>
    <t>功率继电器 HF167F/12-HTF 12V(宏发)(RoHS)</t>
  </si>
  <si>
    <t>K2</t>
  </si>
  <si>
    <t>N32503000070</t>
  </si>
  <si>
    <t>拨码开关 DM-01-V-T/R (圜达)(编带)(RoHS)</t>
  </si>
  <si>
    <t>SZBE</t>
  </si>
  <si>
    <t>深圳市安捷诚电子有限公司</t>
  </si>
  <si>
    <t>S1</t>
  </si>
  <si>
    <t>N60103000205</t>
  </si>
  <si>
    <t>延时熔断器 TSCT20AH250V/T20A 20A,250V(引线型)(华德)(RoHS)</t>
  </si>
  <si>
    <t>卡接</t>
  </si>
  <si>
    <t>10596</t>
  </si>
  <si>
    <t>帕太国际贸易（上海）有限公司</t>
  </si>
  <si>
    <t>F6</t>
  </si>
  <si>
    <t>N60203001214</t>
  </si>
  <si>
    <t>强电接插件 JCQ01-10-184 (红色)(爱瑞克)(RoHS)</t>
  </si>
  <si>
    <t>插接</t>
  </si>
  <si>
    <t>503</t>
  </si>
  <si>
    <t>10366</t>
  </si>
  <si>
    <t>厦门爱瑞克电子有限公司</t>
  </si>
  <si>
    <t>N60601000984</t>
  </si>
  <si>
    <t>端子 XH-2A (48h盐雾)(FAF)(RoHS)</t>
  </si>
  <si>
    <t>LQHF2</t>
  </si>
  <si>
    <t>乐清市嘉得电子有限公司</t>
  </si>
  <si>
    <t>X3</t>
  </si>
  <si>
    <t>N60601000993</t>
  </si>
  <si>
    <t>端子 XH-4A (48h盐雾)(FAF)(RoHS)</t>
  </si>
  <si>
    <t>X1,2</t>
  </si>
  <si>
    <t>N60601000994</t>
  </si>
  <si>
    <t>端子 XH-4A 红色(48h盐雾)(FAF)(RoHS)</t>
  </si>
  <si>
    <t>PRO1,2</t>
  </si>
  <si>
    <t>N60601000998</t>
  </si>
  <si>
    <t>端子 XH-5A (48h盐雾)(FAF)(RoHS)</t>
  </si>
  <si>
    <t>EE1,2</t>
  </si>
  <si>
    <t>N60601005279</t>
  </si>
  <si>
    <t>端子 AT561415-LS (6.0X3PX2)(合璧)(RoHS)</t>
  </si>
  <si>
    <t>508</t>
  </si>
  <si>
    <t>10562</t>
  </si>
  <si>
    <t>上海合璧电子元件有限公司</t>
  </si>
  <si>
    <t>X4,8-10,19,20</t>
  </si>
  <si>
    <t>N60601005308</t>
  </si>
  <si>
    <t>端子 PR9-455 (6.0X2PX2)(72h盐雾)(合璧)(RoHS)</t>
  </si>
  <si>
    <t>X7</t>
  </si>
  <si>
    <t>N60812000142</t>
  </si>
  <si>
    <t>功率模块 FP100R12N2T7 (1.2KV,100A)(PIM模块)(国创提供)(Infineon)(RoHS)</t>
  </si>
  <si>
    <t>A1</t>
  </si>
  <si>
    <t>N60812000144</t>
  </si>
  <si>
    <t>功率模块 RCI20C60D6U (20A,600V)(IPM模块)(国创提供)(银河边缘)(条管)(RoHS)</t>
  </si>
  <si>
    <t>A2,3</t>
  </si>
  <si>
    <t>N70901000291</t>
  </si>
  <si>
    <t>螺丝组件 4X8PM 304不锈钢(带平垫、弹垫)(72h盐雾)(新沪厦)(RoHS)</t>
  </si>
  <si>
    <t>锁接</t>
  </si>
  <si>
    <t>螺丝组件 4X8PM 304不锈钢(带平垫、弹垫)(72H盐雾)(新沪厦)(RoHS)</t>
  </si>
  <si>
    <t>XXHX2</t>
  </si>
  <si>
    <t>厦门新沪厦五金工贸有限公司</t>
  </si>
  <si>
    <t>N</t>
  </si>
  <si>
    <t>N70901000512</t>
  </si>
  <si>
    <t>螺丝 5X10PM 不锈钢(带平垫、弹垫)(磊峰)(RoHS)</t>
  </si>
  <si>
    <t>105691</t>
  </si>
  <si>
    <t>10165</t>
  </si>
  <si>
    <t>厦门磊峰五金弹簧有限公司</t>
  </si>
  <si>
    <t>R,,S,,T,,U,,V,,W</t>
  </si>
  <si>
    <t>N70906000473</t>
  </si>
  <si>
    <t>散热片 SR6.5X5X1 (48h盐雾)(斯泰普)(RoHS)</t>
  </si>
  <si>
    <t>515</t>
  </si>
  <si>
    <t>10293</t>
  </si>
  <si>
    <t>深圳市日升达电子有限公司</t>
  </si>
  <si>
    <t>R242-247,250-259,262-269,271-273,276-292,300-340,342-352,354-364,366-372,374-392</t>
  </si>
  <si>
    <t>N71002000023</t>
  </si>
  <si>
    <t>元件护套 D14(压敏电阻套) (符合REACH)(中田)(RoHS)</t>
  </si>
  <si>
    <t>组装</t>
  </si>
  <si>
    <t>ZJZT2</t>
  </si>
  <si>
    <t>浙江中田电子护套有限公司（特采L）</t>
  </si>
  <si>
    <t>RV2-6</t>
  </si>
  <si>
    <t>N71104006877</t>
  </si>
  <si>
    <t>FR4印制板 GC-ACIB005 双层,喷锡,350X220X2,1拼板(RoHS)</t>
  </si>
  <si>
    <t>基板</t>
  </si>
  <si>
    <t>陈智超</t>
  </si>
  <si>
    <t>10129</t>
  </si>
  <si>
    <t>惠州市永隆电路有限公司</t>
  </si>
  <si>
    <t>R1-3</t>
  </si>
  <si>
    <t>R4-7</t>
  </si>
  <si>
    <t>C1,4,5,8,11,12</t>
  </si>
  <si>
    <t>N30508000119</t>
  </si>
  <si>
    <t>安规陶瓷电容 (X1Y1) CD45-E2GA472M-NKA 4.7nF,20%,400Vac,P=10(TDK)(RoHS)</t>
  </si>
  <si>
    <t>C2,3,6,7,9,10</t>
  </si>
  <si>
    <t>N31509000045</t>
  </si>
  <si>
    <t>气体放电管 2RK3600L-5 (3.6KV,3KA)(君耀)(编带)(RoHS)</t>
  </si>
  <si>
    <t>气体放电管 2RK3600L-5 (3.6KV,3KA)(君耀)(RoHS)</t>
  </si>
  <si>
    <t>10197</t>
  </si>
  <si>
    <t>南京商络电子股份有限公司</t>
  </si>
  <si>
    <t>AS1</t>
  </si>
  <si>
    <t>N32316000109</t>
  </si>
  <si>
    <t>共模滤波器 CMF50F04GC 4mH,5mΩ,50A(国创提供)(菲尔泰科)(RoHS)</t>
  </si>
  <si>
    <t>共模滤波器 CMF50F04QX1 4mH,50A(NJTJ提供)(菲尔泰科)(RoHS)</t>
  </si>
  <si>
    <t>L1,2</t>
  </si>
  <si>
    <t>N60203001201</t>
  </si>
  <si>
    <t>强电接插件 JCQ01-60-055 (黄绿)(爱瑞克)(RoHS)</t>
  </si>
  <si>
    <t>强电接插件 JCQ01-20-324 (黄绿)(爱瑞克)(RoHS)</t>
  </si>
  <si>
    <t>X9</t>
  </si>
  <si>
    <t>X1-8</t>
  </si>
  <si>
    <t>N60603000051</t>
  </si>
  <si>
    <t>插片 63824-5 (250,10.2X0.8)(TE)(编带)(RoHS)</t>
  </si>
  <si>
    <t>182203</t>
  </si>
  <si>
    <t>11276</t>
  </si>
  <si>
    <t>上海史安微电子有限公司</t>
  </si>
  <si>
    <t>X10-23</t>
  </si>
  <si>
    <t>N71104006878</t>
  </si>
  <si>
    <t>FR4印制板 GC-ACFB001 双层,喷锡,180.1X120X2,2拼板(RoHS)</t>
  </si>
  <si>
    <t>301H000A85</t>
  </si>
  <si>
    <t>片式电阻 RC1206JR-070RL/1206W4J0000T5E 1/4W,0Ω,5%,1206(国巨/厚声)(编带)(RoHS)</t>
  </si>
  <si>
    <t>R101,102</t>
  </si>
  <si>
    <t>301H036085</t>
  </si>
  <si>
    <t>片式电阻 RC1206JR-0736RL/1206W4J0360T5E 1/4W,36Ω,5%,1206(国巨/厚声)(编带)(RoHS)</t>
  </si>
  <si>
    <t>N30101006617</t>
  </si>
  <si>
    <t>片式电阻 1206W4J0360T5E 1/4W,36Ω,5%,1206(厚声)(编带)(RoHS)</t>
  </si>
  <si>
    <t>N30101005432</t>
  </si>
  <si>
    <t>片式电阻 RC1206JR-0736RL 1/4W,36Ω,5%,1206(国巨)(编带)(RoHS)</t>
  </si>
  <si>
    <t>3033056102</t>
  </si>
  <si>
    <t>压敏电阻 JVR10N561K87PAY 350VAC,P=7.5(直脚)(久尹)(编带)(RoHS)</t>
  </si>
  <si>
    <t>10445</t>
  </si>
  <si>
    <t>ZNR1</t>
  </si>
  <si>
    <t>3033056106</t>
  </si>
  <si>
    <t>压敏电阻 TVR10561KSAROQY 350VAC,P=7.5(兴勤)(编带)(RoHS)</t>
  </si>
  <si>
    <t>3052104B6-3</t>
  </si>
  <si>
    <t>安规薄膜电容 MCY104KLD2YX20 100nF,10%,275Vac,P=15(暄泰)(RoHS)</t>
  </si>
  <si>
    <t>C5</t>
  </si>
  <si>
    <t>3052104MB01R</t>
  </si>
  <si>
    <t>安规薄膜电容 (X2) MKP62 C42P2104M60A605 100nF,20%,275Vac,P=15(法拉)(编带)(RoHS)</t>
  </si>
  <si>
    <t>3062102K9003</t>
  </si>
  <si>
    <t>高压陶瓷电容 CK45-B3AD102KYVNA 1nF,10%,1KV,P=5(TDK)(编带)(RoHS)</t>
  </si>
  <si>
    <t>C57</t>
  </si>
  <si>
    <t>N30509000103</t>
  </si>
  <si>
    <t>高压陶瓷电容 S102K33X7RN6TJ5R 1nF,10%,1KV,P=5(Vishay)(RoHS)</t>
  </si>
  <si>
    <t>3152SD106</t>
  </si>
  <si>
    <t>整流桥 SDB106 800V,SDB-1(MCC)(编带)(RoHS)</t>
  </si>
  <si>
    <t>DB1</t>
  </si>
  <si>
    <t>3252JTP1230A</t>
  </si>
  <si>
    <t>轻触开关 JTP1230A/JT1230A (6X6X5)(Namae)(RoHS)</t>
  </si>
  <si>
    <t>QDHYF2</t>
  </si>
  <si>
    <t>青岛朗正电子科技有限公司</t>
  </si>
  <si>
    <t>KEY1-4,,RESET</t>
  </si>
  <si>
    <t>4015001R</t>
  </si>
  <si>
    <t>元件护套 D10 (压敏电阻套)(RoHS)</t>
  </si>
  <si>
    <t>10581</t>
  </si>
  <si>
    <t>厦门联胜鑫电子有限公司</t>
  </si>
  <si>
    <t>604B02Z3906</t>
  </si>
  <si>
    <t>端子 VH-2A (48h盐雾)(CWB)(RoHS)</t>
  </si>
  <si>
    <t>X30A,,X32A</t>
  </si>
  <si>
    <t>N60601000987</t>
  </si>
  <si>
    <t>端子 VH-2A (48h盐雾)(FAF)(RoHS)</t>
  </si>
  <si>
    <t>604B03Z3206</t>
  </si>
  <si>
    <t>端子 VH-3A 红色(去第2针)(48h盐雾)(CWB)(RoHS)</t>
  </si>
  <si>
    <t>HRDZ2</t>
  </si>
  <si>
    <t>乐清市合润电子科技有限公司</t>
  </si>
  <si>
    <t>X16A</t>
  </si>
  <si>
    <t>N60601003471</t>
  </si>
  <si>
    <t>端子 VH-3A 红色(去第2针)(48h盐雾)(FAF)(RoHS)</t>
  </si>
  <si>
    <t>604B03Z3606R</t>
  </si>
  <si>
    <t>端子 VH-3A 蓝色(去第2针)(48h盐雾)(CWB)(RoHS)</t>
  </si>
  <si>
    <t>X12A,,X19A</t>
  </si>
  <si>
    <t>N60601004521</t>
  </si>
  <si>
    <t>端子 VH-3A 蓝色(3.96X3P)(去第2针)(48h盐雾)(FAF)(RoHS)</t>
  </si>
  <si>
    <t>604B07Z3906A</t>
  </si>
  <si>
    <t>端子 VH-7A-4 (CWB)(RoHS)</t>
  </si>
  <si>
    <t>X38A</t>
  </si>
  <si>
    <t>N60601002795</t>
  </si>
  <si>
    <t>端子 VH-7A (去第2,4,6针)(48h盐雾)(FAF)(RoHS)</t>
  </si>
  <si>
    <t>708101525R</t>
  </si>
  <si>
    <t>散热片 10X15X25 (永荣生)(RoHS)</t>
  </si>
  <si>
    <t>105527</t>
  </si>
  <si>
    <t>10460</t>
  </si>
  <si>
    <t>厦门市永荣生工贸有限公司</t>
  </si>
  <si>
    <t>D5</t>
  </si>
  <si>
    <t>N30101001433</t>
  </si>
  <si>
    <t>片式电阻 RC0402FR-0751RL/0402WGF510JTCE 1/16W,51Ω,1%,0402(国巨/厚声)(编带)(RoHS)</t>
  </si>
  <si>
    <t>N30101007609</t>
  </si>
  <si>
    <t>片式电阻 0402WGF510JTCE 1/16W,51Ω,1%,0402(厚声)(编带)(RoHS)</t>
  </si>
  <si>
    <t>R23</t>
  </si>
  <si>
    <t>N30101006430</t>
  </si>
  <si>
    <t>片式电阻 RC0402FR-0751RL 1/16W,51Ω,1%,0402(国巨)(编带)(RoHS)</t>
  </si>
  <si>
    <t>N30101001525</t>
  </si>
  <si>
    <t>片式电阻 RC0402FR-0720KL/0402WGF2002TCE 1/16W,20KΩ,1%,0402(国巨/厚声)(编带)(RoHS)</t>
  </si>
  <si>
    <t>N30101007672</t>
  </si>
  <si>
    <t>片式电阻 0402WGF2002TCE 1/16W,20KΩ,1%,0402(厚声)(编带)(RoHS)</t>
  </si>
  <si>
    <t>R1,3,16,18,20,21,24,26,54,150,152</t>
  </si>
  <si>
    <t>N30101006495</t>
  </si>
  <si>
    <t>片式电阻 RC0402FR-0720KL 1/16W,20KΩ,1%,0402(国巨)(编带)(RoHS)</t>
  </si>
  <si>
    <t>N30101002081</t>
  </si>
  <si>
    <t>片式电阻 RC0402JR-07510RL/0402WGJ0511TCE 1/16W,510Ω,5%,0402(国巨/厚声)(编带)(RoHS)</t>
  </si>
  <si>
    <t>N30101007533</t>
  </si>
  <si>
    <t>片式电阻 0402WGJ0511TCE 1/16W,510Ω,5%,0402(厚声)(编带)(RoHS)</t>
  </si>
  <si>
    <t>R8,71,97,99,100</t>
  </si>
  <si>
    <t>N30101006353</t>
  </si>
  <si>
    <t>片式电阻 RC0402JR-07510RL 1/16W,510Ω,5%,0402(国巨)(编带)(RoHS)</t>
  </si>
  <si>
    <t>N30101002248</t>
  </si>
  <si>
    <t>片式电阻 RC0402FR-073K4L/0402WGF3401TCE 1/16W,3.4KΩ,1%,0402(国巨/厚声)(编带)(RoHS)</t>
  </si>
  <si>
    <t>N30101007636</t>
  </si>
  <si>
    <t>片式电阻 0402WGF3401TCE 1/16W,3.4KΩ,1%,0402(厚声)(编带)(RoHS)</t>
  </si>
  <si>
    <t>R13,15,167,171</t>
  </si>
  <si>
    <t>N30101006453</t>
  </si>
  <si>
    <t>片式电阻 RC0402FR-073K4L 1/16W,3.4KΩ,1%,0402(国巨)(编带)(RoHS)</t>
  </si>
  <si>
    <t>N30104000124</t>
  </si>
  <si>
    <t>金属氧化膜电阻 MOR02SJ0683A10 2W,68KΩ,5%(厚声)(编带)(RoHS)</t>
  </si>
  <si>
    <t>R82</t>
  </si>
  <si>
    <t>N30199000018</t>
  </si>
  <si>
    <t>片式电阻 1/8W,1KΩ,5%,0805(编带)(RoHS)(互换件)</t>
  </si>
  <si>
    <t>N30101002574</t>
  </si>
  <si>
    <t>片式电阻 RS-05K102JT 1/8W,1KΩ,5%,0805(风华)(编带)(RoHS)</t>
  </si>
  <si>
    <t>R183</t>
  </si>
  <si>
    <t>N30101006930</t>
  </si>
  <si>
    <t>片式电阻 0805W8J0102T5E 1/8W,1KΩ,5%,0805(厚声)(编带)(RoHS)</t>
  </si>
  <si>
    <t>N30101005702</t>
  </si>
  <si>
    <t>片式电阻 RC0805JR-071KL 1/8W,1KΩ,5%,0805(国巨)(编带)(RoHS)</t>
  </si>
  <si>
    <t>N30101002362</t>
  </si>
  <si>
    <t>片式电阻 CR0805J80102G 1/8W,1KΩ,5%,0805(丽智)(编带)(RoHS)</t>
  </si>
  <si>
    <t>N30199000019</t>
  </si>
  <si>
    <t>片式电阻 1/8W,10KΩ,5%,0805(编带)(RoHS)(互换件)</t>
  </si>
  <si>
    <t>N30101002572</t>
  </si>
  <si>
    <t>片式电阻 RS-05K103JT 1/8W,10KΩ,5%,0805(风华)(编带)(RoHS)</t>
  </si>
  <si>
    <t>R157</t>
  </si>
  <si>
    <t>N30101006929</t>
  </si>
  <si>
    <t>片式电阻 0805W8J0103T5E 1/8W,10KΩ,5%,0805(厚声)(编带)(RoHS)</t>
  </si>
  <si>
    <t>N30101005728</t>
  </si>
  <si>
    <t>片式电阻 RC0805JR-0710KL 1/8W,10KΩ,5%,0805(国巨)(编带)(RoHS)</t>
  </si>
  <si>
    <t>N30101002363</t>
  </si>
  <si>
    <t>片式电阻 CR0805J80103G 1/8W,10KΩ,5%,0805(丽智)(编带)(RoHS)</t>
  </si>
  <si>
    <t>N30199000020</t>
  </si>
  <si>
    <t>片式电阻 1/10W,10KΩ,5%,0603(编带)(RoHS)(互换件)</t>
  </si>
  <si>
    <t>N30101002569</t>
  </si>
  <si>
    <t>片式电阻 RS-03K103JT 1/10W,10KΩ,5%,0603(风华)(编带)(RoHS)</t>
  </si>
  <si>
    <t>R186</t>
  </si>
  <si>
    <t>N30101005294</t>
  </si>
  <si>
    <t>片式电阻 0603WAJ0103T5E 1/10W,10KΩ,5%,0603(厚声)(编带)(RoHS)</t>
  </si>
  <si>
    <t>N30101005293</t>
  </si>
  <si>
    <t>片式电阻 RC0603JR-0710KL 1/10W,10KΩ,5%,0603(国巨)(编带)(RoHS)</t>
  </si>
  <si>
    <t>N30101002364</t>
  </si>
  <si>
    <t>片式电阻 CR0603JA0103G 1/10W,10KΩ,5%,0603(丽智)(编带)(RoHS)</t>
  </si>
  <si>
    <t>N30199000026</t>
  </si>
  <si>
    <t>片式电阻 1/10W,1KΩ,5%,0603(编带)(RoHS)(互换件)</t>
  </si>
  <si>
    <t>301H0102H5</t>
  </si>
  <si>
    <t>片式电阻 0603WAJ0102T5E 1/10W,1KΩ,5%,0603(厚声)(编带)(RoHS)</t>
  </si>
  <si>
    <t>R182</t>
  </si>
  <si>
    <t>N30101002570</t>
  </si>
  <si>
    <t>片式电阻 RS-03K102JT 1/10W,1KΩ,5%,0603(风华)(编带)(RoHS)</t>
  </si>
  <si>
    <t>N30101002297</t>
  </si>
  <si>
    <t>片式电阻 RC0603JR-071KL 1/10W,1KΩ,5%,0603(国巨)(编带)(RoHS)</t>
  </si>
  <si>
    <t>N30101002589</t>
  </si>
  <si>
    <t>片式电阻 CR0603JA0102G 1/10W,1KΩ,5%,0603(丽智)(编带)(RoHS)</t>
  </si>
  <si>
    <t>N30199000027</t>
  </si>
  <si>
    <t>片式电阻 1/4W,10KΩ,5%,1206(编带)(RoHS)(互换件)</t>
  </si>
  <si>
    <t>N30101002576</t>
  </si>
  <si>
    <t>片式电阻 RS-06K103JT 1/4W,10KΩ,5%,1206(风华)(编带)(RoHS)</t>
  </si>
  <si>
    <t>R10,141,160,163</t>
  </si>
  <si>
    <t>N30101006678</t>
  </si>
  <si>
    <t>片式电阻 1206W4J0103T5E 1/4W,10KΩ,5%,1206(厚声)(编带)(RoHS)</t>
  </si>
  <si>
    <t>N30101005377</t>
  </si>
  <si>
    <t>片式电阻 RC1206JR-0710KL 1/4W,10KΩ,5%,1206(国巨)(编带)(RoHS)</t>
  </si>
  <si>
    <t>301H010385</t>
  </si>
  <si>
    <t>片式电阻 RC1206JR-0710KL/1206W4J0103T5E 1/4W,10KΩ,5%,1206(国巨/厚声)(编带)(RoHS)</t>
  </si>
  <si>
    <t>N30199000032</t>
  </si>
  <si>
    <t>片式电阻 1/16W,10KΩ,5%,0402(编带)(RoHS)(互换件)</t>
  </si>
  <si>
    <t>N30101002578</t>
  </si>
  <si>
    <t>片式电阻 RC-02K103JT 1/16W,10KΩ,5%,0402(风华)(编带)(RoHS)</t>
  </si>
  <si>
    <t>R12,27,28,35,40,51,52,80,90,106,121,136,137,140,155,158,162,174,184,200,202,204,205,207,208,232-234,236,237,239-241,243-245</t>
  </si>
  <si>
    <t>N30101007573</t>
  </si>
  <si>
    <t>片式电阻 0402WGJ0103TCE 1/16W,10KΩ,5%,0402(厚声)(编带)(RoHS)</t>
  </si>
  <si>
    <t>N30101006394</t>
  </si>
  <si>
    <t>片式电阻 RC0402JR-0710KL 1/16W,10KΩ,5%,0402(国巨)(编带)(RoHS)</t>
  </si>
  <si>
    <t>N30101002595</t>
  </si>
  <si>
    <t>片式电阻 CR0402JF0103G 1/16W,10KΩ,5%,0402(丽智)(编带)(RoHS)</t>
  </si>
  <si>
    <t>N30199000034</t>
  </si>
  <si>
    <t>片式电阻 1/16W,4.7KΩ,5%,0402(编带)(RoHS)(互换件)</t>
  </si>
  <si>
    <t>N30101002588</t>
  </si>
  <si>
    <t>片式电阻 RC-02K472JT 1/16W,4.7KΩ,5%,0402(风华)(编带)(RoHS)</t>
  </si>
  <si>
    <t>R169,189</t>
  </si>
  <si>
    <t>N30101007536</t>
  </si>
  <si>
    <t>片式电阻 0402WGJ0472TCE 1/16W,4.7KΩ,5%,0402(厚声)(编带)(RoHS)</t>
  </si>
  <si>
    <t>N30101006355</t>
  </si>
  <si>
    <t>片式电阻 RC0402JR-074K7L 1/16W,4.7KΩ,5%,0402(国巨)(编带)(RoHS)</t>
  </si>
  <si>
    <t>N30101002597</t>
  </si>
  <si>
    <t>片式电阻 CR0402JF0472G 1/16W,4.7KΩ,5%,0402(丽智)(编带)(RoHS)</t>
  </si>
  <si>
    <t>R154</t>
  </si>
  <si>
    <t>301H0013H1</t>
  </si>
  <si>
    <t>片式电阻 RC0603FR-071KL/0603WAF1001T5E 1/10W,1KΩ,1%,0603(国巨/厚声)(编带)(RoHS)</t>
  </si>
  <si>
    <t>N30199000051</t>
  </si>
  <si>
    <t>片式电阻 1/16W,1KΩ,5%,0402(编带)(RoHS)(互换件)</t>
  </si>
  <si>
    <t>N30101002918</t>
  </si>
  <si>
    <t>片式电阻 RC-02K102JT 1/16W,1KΩ,5%,0402(风华)(编带)(RoHS)</t>
  </si>
  <si>
    <t>R2,4,6,9,17,19,25,74,129,132,135,143,148,151,153,156,159,161,164,175,185,187,193,195,201,203</t>
  </si>
  <si>
    <t>N30101007574</t>
  </si>
  <si>
    <t>片式电阻 0402WGJ0102TCE 1/16W,1KΩ,5%,0402(厚声)(编带)(RoHS)</t>
  </si>
  <si>
    <t>N30101006385</t>
  </si>
  <si>
    <t>片式电阻 RC0402JR-071KL 1/16W,1KΩ,5%,0402(国巨)(编带)(RoHS)</t>
  </si>
  <si>
    <t>N30101002917</t>
  </si>
  <si>
    <t>片式电阻 CR0402JF0102G 1/16W,1KΩ,5%,0402(丽智)(编带)(RoHS)</t>
  </si>
  <si>
    <t>N30199000058</t>
  </si>
  <si>
    <t>片式电阻 1/10W,100KΩ,5%,0603(编带)(RoHS)(互换件)</t>
  </si>
  <si>
    <t>N30101002931</t>
  </si>
  <si>
    <t>片式电阻 RS-03K104JT 1/10W,100KΩ,5%,0603(风华)(编带)(RoHS)</t>
  </si>
  <si>
    <t>R191</t>
  </si>
  <si>
    <t>N30101007226</t>
  </si>
  <si>
    <t>片式电阻 0603WAJ0104T5E 1/10W,100KΩ,5%,0603(厚声)(编带)(RoHS)</t>
  </si>
  <si>
    <t>N30101006038</t>
  </si>
  <si>
    <t>片式电阻 RC0603JR-07100KL 1/10W,100KΩ,5%,0603(国巨)(编带)(RoHS)</t>
  </si>
  <si>
    <t>301H0104H5</t>
  </si>
  <si>
    <t>片式电阻 RC0603JR-07100KL/0603WAJ0104T5E 1/10W,100KΩ,5%,0603(国巨/厚声)(编带)(RoHS)</t>
  </si>
  <si>
    <t>N30199000065</t>
  </si>
  <si>
    <t>片式电阻 1/8W,1.5KΩ,5%,0805(编带)(RoHS)(互换件)</t>
  </si>
  <si>
    <t>N30101002945</t>
  </si>
  <si>
    <t>片式电阻 RS-05K152JT 1/8W,1.5KΩ,5%,0805(风华)(编带)(RoHS)</t>
  </si>
  <si>
    <t>R37,42,73</t>
  </si>
  <si>
    <t>N30101006914</t>
  </si>
  <si>
    <t>片式电阻 0805W8J0152T5E 1/8W,1.5KΩ,5%,0805(厚声)(编带)(RoHS)</t>
  </si>
  <si>
    <t>N30101005705</t>
  </si>
  <si>
    <t>片式电阻 RC0805JR-071K5L 1/8W,1.5KΩ,5%,0805(国巨)(编带)(RoHS)</t>
  </si>
  <si>
    <t>301H015295</t>
  </si>
  <si>
    <t>片式电阻 RC0805JR-071K5L/0805W8J0152T5E 1/8W,1.5KΩ,5%,0805(国巨/厚声)(编带)(RoHS)</t>
  </si>
  <si>
    <t>N30199000069</t>
  </si>
  <si>
    <t>片式电阻 1/16W,100Ω,5%,0402(编带)(RoHS)(互换件)</t>
  </si>
  <si>
    <t>N30101002953</t>
  </si>
  <si>
    <t>片式电阻 RC-02K101JT 1/16W,100Ω,5%,0402(风华)(编带)(RoHS)</t>
  </si>
  <si>
    <t>R199</t>
  </si>
  <si>
    <t>N30101007575</t>
  </si>
  <si>
    <t>片式电阻 0402WGJ0101TCE 1/16W,100Ω,5%,0402(厚声)(编带)(RoHS)</t>
  </si>
  <si>
    <t>N30101004636</t>
  </si>
  <si>
    <t>片式电阻 RC0402JR-07100RL 1/16W,100Ω,5%,0402(国巨)(编带)(RoHS)</t>
  </si>
  <si>
    <t>N30101002952</t>
  </si>
  <si>
    <t>片式电阻 CR0402JF0101G 1/16W,100Ω,5%,0402(丽智)(编带)(RoHS)</t>
  </si>
  <si>
    <t>R210</t>
  </si>
  <si>
    <t>N30199000076</t>
  </si>
  <si>
    <t>片式电阻 1/4W,510KΩ,5%,1206(编带)(RoHS)(互换件)</t>
  </si>
  <si>
    <t>N30101002967</t>
  </si>
  <si>
    <t>片式电阻 RS-06K514JT 1/4W,510KΩ,5%,1206(风华)(编带)(RoHS)</t>
  </si>
  <si>
    <t>R7,45</t>
  </si>
  <si>
    <t>N30101006600</t>
  </si>
  <si>
    <t>片式电阻 1206W4J0514T5E 1/4W,510KΩ,5%,1206(厚声)(编带)(RoHS)</t>
  </si>
  <si>
    <t>N30101005448</t>
  </si>
  <si>
    <t>片式电阻 RC1206JR-07510KL 1/4W,510KΩ,5%,1206(国巨)(编带)(RoHS)</t>
  </si>
  <si>
    <t>N30101002966</t>
  </si>
  <si>
    <t>片式电阻 CR1206J40514G 1/4W,510KΩ,5%,1206(丽智)(编带)(RoHS)</t>
  </si>
  <si>
    <t>N30199000084</t>
  </si>
  <si>
    <t>片式电阻 1/8W,100Ω,5%,0805(编带)(RoHS)(互换件)</t>
  </si>
  <si>
    <t>N30101002983</t>
  </si>
  <si>
    <t>片式电阻 RS-05K101JT 1/8W,100Ω,5%,0805(风华)(编带)(RoHS)</t>
  </si>
  <si>
    <t>R181</t>
  </si>
  <si>
    <t>N30101006931</t>
  </si>
  <si>
    <t>片式电阻 0805W8J0101T5E 1/8W,100Ω,5%,0805(厚声)(编带)(RoHS)</t>
  </si>
  <si>
    <t>N30101005729</t>
  </si>
  <si>
    <t>片式电阻 RC0805JR-07100RL 1/8W,100Ω,5%,0805(国巨)(编带)(RoHS)</t>
  </si>
  <si>
    <t>301H010195</t>
  </si>
  <si>
    <t>片式电阻 RC0805JR-07100RL/0805W8J0101T5E 1/8W,100Ω,5%,0805(国巨/厚声)(编带)(RoHS)</t>
  </si>
  <si>
    <t>R111,112</t>
  </si>
  <si>
    <t>301H010085</t>
  </si>
  <si>
    <t>片式电阻 RC1206JR-07100RL/1206W4J0101T5E 1/4W,100Ω,5%,1206(国巨/厚声)(编带)(RoHS)</t>
  </si>
  <si>
    <t>N30199000126</t>
  </si>
  <si>
    <t>片式电阻 1/4W,20Ω,5%,1206(编带)(RoHS)(互换件)</t>
  </si>
  <si>
    <t>N30101006652</t>
  </si>
  <si>
    <t>片式电阻 1206W4J0200T5E 1/4W,20Ω,5%,1206(厚声)(编带)(RoHS)</t>
  </si>
  <si>
    <t>R58,60,66,67,81,83</t>
  </si>
  <si>
    <t>N30101003101</t>
  </si>
  <si>
    <t>片式电阻 RS-06K200JT 1/4W,20Ω,5%,1206(风华)(编带)(RoHS)</t>
  </si>
  <si>
    <t>N30101005405</t>
  </si>
  <si>
    <t>片式电阻 RC1206JR-0720RL 1/4W,20Ω,5%,1206(国巨)(编带)(RoHS)</t>
  </si>
  <si>
    <t>301H020085</t>
  </si>
  <si>
    <t>片式电阻 RC1206JR-0720RL/1206W4J0200T5E 1/4W,20Ω,5%,1206(国巨/厚声)(编带)(RoHS)</t>
  </si>
  <si>
    <t>N30199000134</t>
  </si>
  <si>
    <t>片式电阻 1/4W,150KΩ,5%,1206(编带)(RoHS)(互换件)</t>
  </si>
  <si>
    <t>N30101003117</t>
  </si>
  <si>
    <t>片式电阻 RS-06K154JT 1/4W,150KΩ,5%,1206(风华)(编带)(RoHS)</t>
  </si>
  <si>
    <t>R228</t>
  </si>
  <si>
    <t>N30101006661</t>
  </si>
  <si>
    <t>片式电阻 1206W4J0154T5E 1/4W,150KΩ,5%,1206(厚声)(编带)(RoHS)</t>
  </si>
  <si>
    <t>N30101005386</t>
  </si>
  <si>
    <t>片式电阻 RC1206JR-07150KL 1/4W,150KΩ,5%,1206(国巨)(编带)(RoHS)</t>
  </si>
  <si>
    <t>N30101003116</t>
  </si>
  <si>
    <t>片式电阻 CR1206J40154G 1/4W,150KΩ,5%,1206(丽智)(编带)(RoHS)</t>
  </si>
  <si>
    <t>N30199000163</t>
  </si>
  <si>
    <t>片式电阻 1/16W,470Ω,5%,0402(编带)(RoHS)(互换件)</t>
  </si>
  <si>
    <t>N30101003173</t>
  </si>
  <si>
    <t>片式电阻 RC-02K471JT 1/16W,470Ω,5%,0402(风华)(编带)(RoHS)</t>
  </si>
  <si>
    <t>R93,198</t>
  </si>
  <si>
    <t>N30101007537</t>
  </si>
  <si>
    <t>片式电阻 0402WGJ0471TCE 1/16W,470Ω,5%,0402(厚声)(编带)(RoHS)</t>
  </si>
  <si>
    <t>N30101006358</t>
  </si>
  <si>
    <t>片式电阻 RC0402JR-07470RL 1/16W,470Ω,5%,0402(国巨)(编带)(RoHS)</t>
  </si>
  <si>
    <t>N30101001066</t>
  </si>
  <si>
    <t>片式电阻 RC0402JR-07470RL/0402WGJ0471TCE 1/16W,470Ω,5%,0402(国巨/厚声)(编带)(RoHS)</t>
  </si>
  <si>
    <t>N30199000227</t>
  </si>
  <si>
    <t>片式电阻 1/4W,10Ω,5%,1206(编带)(RoHS)(互换件)</t>
  </si>
  <si>
    <t>N30101003300</t>
  </si>
  <si>
    <t>片式电阻 RS-06K100JT 1/4W,10Ω,5%,1206(风华)(编带)(RoHS)</t>
  </si>
  <si>
    <t>R85</t>
  </si>
  <si>
    <t>N30101006681</t>
  </si>
  <si>
    <t>片式电阻 1206W4J0100T5E 1/4W,10Ω,5%,1206(厚声)(编带)(RoHS)</t>
  </si>
  <si>
    <t>N30101005379</t>
  </si>
  <si>
    <t>片式电阻 RC1206JR-0710RL 1/4W,10Ω,5%,1206(国巨)(编带)(RoHS)</t>
  </si>
  <si>
    <t>301H010185</t>
  </si>
  <si>
    <t>片式电阻 RC1206JR-0710RL/1206W4J0100T5E 1/4W,10Ω,5%,1206(国巨/厚声)(编带)(RoHS)</t>
  </si>
  <si>
    <t>N30199000245</t>
  </si>
  <si>
    <t>片式电阻 1/16W,10Ω,5%,0402(编带)(RoHS)(互换件)</t>
  </si>
  <si>
    <t>N30101003335</t>
  </si>
  <si>
    <t>片式电阻 RC-02K100JT 1/16W,10Ω,5%,0402(风华)(编带)(RoHS)</t>
  </si>
  <si>
    <t>R56,57</t>
  </si>
  <si>
    <t>N30101007576</t>
  </si>
  <si>
    <t>片式电阻 0402WGJ0100TCE 1/16W,10Ω,5%,0402(厚声)(编带)(RoHS)</t>
  </si>
  <si>
    <t>N30101006392</t>
  </si>
  <si>
    <t>片式电阻 RC0402JR-0710RL 1/16W,10Ω,5%,0402(国巨)(编带)(RoHS)</t>
  </si>
  <si>
    <t>N30101000737</t>
  </si>
  <si>
    <t>片式电阻 RC0402JR-0710RL/0402WGJ0100TCE 1/16W,10Ω,5%,0402(国巨/厚声)(编带)(RoHS)</t>
  </si>
  <si>
    <t>N30199000253</t>
  </si>
  <si>
    <t>片式电阻 1/16W,10KΩ,1%,0402(编带)(RoHS)(互换件)</t>
  </si>
  <si>
    <t>N30101003351</t>
  </si>
  <si>
    <t>片式电阻 RC-02K1002FT 1/16W,10KΩ,1%,0402(风华)(编带)(RoHS)</t>
  </si>
  <si>
    <t>R116-119,142</t>
  </si>
  <si>
    <t>N30101007709</t>
  </si>
  <si>
    <t>片式电阻 0402WGF1002TCE 1/16W,10KΩ,1%,0402(厚声)(编带)(RoHS)</t>
  </si>
  <si>
    <t>N30101004669</t>
  </si>
  <si>
    <t>片式电阻 RC0402FR-0710KL 1/16W,10KΩ,1%,0402(国巨)(编带)(RoHS)</t>
  </si>
  <si>
    <t>N30101003350</t>
  </si>
  <si>
    <t>片式电阻 CR0402FF1002G 1/16W,10KΩ,1%,0402(丽智)(编带)(RoHS)</t>
  </si>
  <si>
    <t>N30199000254</t>
  </si>
  <si>
    <t>片式电阻 1/10W,40.2KΩ,1%,0603(编带)(RoHS)(互换件)</t>
  </si>
  <si>
    <t>N30101003353</t>
  </si>
  <si>
    <t>片式电阻 RS-03K4022FT 1/10W,40.2KΩ,1%,0603(风华)(编带)(RoHS)</t>
  </si>
  <si>
    <t>R196</t>
  </si>
  <si>
    <t>N30101007338</t>
  </si>
  <si>
    <t>片式电阻 0603WAF4022T5E 1/10W,40.2KΩ,1%,0603(厚声)(编带)(RoHS)</t>
  </si>
  <si>
    <t>N30101006152</t>
  </si>
  <si>
    <t>片式电阻 RC0603FR-0740K2L 1/10W,40.2KΩ,1%,0603(国巨)(编带)(RoHS)</t>
  </si>
  <si>
    <t>N30101003352</t>
  </si>
  <si>
    <t>片式电阻 CR0603FA4022G 1/10W,40.2KΩ,1%,0603(丽智)(编带)(RoHS)</t>
  </si>
  <si>
    <t>N30199000325</t>
  </si>
  <si>
    <t>片式电阻 1/10W,30KΩ,5%,0603(编带)(RoHS)(互换件)</t>
  </si>
  <si>
    <t>N30101003492</t>
  </si>
  <si>
    <t>片式电阻 RS-03K303JT 1/10W,30KΩ,5%,0603(风华)(编带)(RoHS)</t>
  </si>
  <si>
    <t>R192</t>
  </si>
  <si>
    <t>N30101007177</t>
  </si>
  <si>
    <t>片式电阻 0603WAJ0303T5E 1/10W,30KΩ,5%,0603(厚声)(编带)(RoHS)</t>
  </si>
  <si>
    <t>N30101005988</t>
  </si>
  <si>
    <t>片式电阻 RC0603JR-0730KL 1/10W,30KΩ,5%,0603(国巨)(编带)(RoHS)</t>
  </si>
  <si>
    <t>301H0303H5</t>
  </si>
  <si>
    <t>片式电阻 RC0603JR-0730KL/0603WAJ0303T5E 1/10W,30KΩ,5%,0603(国巨/厚声)(编带)(RoHS)</t>
  </si>
  <si>
    <t>N30199000344</t>
  </si>
  <si>
    <t>片式电阻 1/4W,1.5Ω,1%,1206(编带)(RoHS)(互换件)</t>
  </si>
  <si>
    <t>N30101006801</t>
  </si>
  <si>
    <t>片式电阻 1206W4F150KT5E 1/4W,1.5Ω,1%,1206(厚声)(编带)(RoHS)</t>
  </si>
  <si>
    <t>R176-178</t>
  </si>
  <si>
    <t>N30101003529</t>
  </si>
  <si>
    <t>片式电阻 RS-06L1R50FT 1/4W,1.5Ω,1%,1206(风华)(编带)(RoHS)</t>
  </si>
  <si>
    <t>N30101005479</t>
  </si>
  <si>
    <t>片式电阻 RC1206FR-071R5L 1/4W,1.5Ω,1%,1206(国巨)(编带)(RoHS)</t>
  </si>
  <si>
    <t>N30101001573</t>
  </si>
  <si>
    <t>片式电阻 RC1206FR-071R5L/1206W4F150KT5E 1/4W,1.5Ω,1%,1206(国巨/厚声)(编带)(RoHS)</t>
  </si>
  <si>
    <t>N30199000347</t>
  </si>
  <si>
    <t>片式电阻 1/10W,39KΩ,5%,0603(编带)(RoHS)(互换件)</t>
  </si>
  <si>
    <t>N30101003535</t>
  </si>
  <si>
    <t>片式电阻 RS-03K393JT 1/10W,39KΩ,5%,0603(风华)(编带)(RoHS)</t>
  </si>
  <si>
    <t>R211</t>
  </si>
  <si>
    <t>N30101007165</t>
  </si>
  <si>
    <t>片式电阻 0603WAJ0393T5E 1/10W,39KΩ,5%,0603(厚声)(编带)(RoHS)</t>
  </si>
  <si>
    <t>N30101005980</t>
  </si>
  <si>
    <t>片式电阻 RC0603JR-0739KL 1/10W,39KΩ,5%,0603(国巨)(编带)(RoHS)</t>
  </si>
  <si>
    <t>301H0393H5R</t>
  </si>
  <si>
    <t>片式电阻 RC0603JR-0739KL/0603WAJ0393T5E 1/10W,39KΩ,5%,0603(国巨/厚声)(编带)(RoHS)</t>
  </si>
  <si>
    <t>N30199000369</t>
  </si>
  <si>
    <t>片式电阻 1/16W,680Ω,5%,0402(编带)(RoHS)(互换件)</t>
  </si>
  <si>
    <t>N30101003578</t>
  </si>
  <si>
    <t>片式电阻 RC-02K681JT 1/16W,680Ω,5%,0402(风华)(编带)(RoHS)</t>
  </si>
  <si>
    <t>R36,41,43,44,64,87,98,230,231,235,238,242</t>
  </si>
  <si>
    <t>N30101007526</t>
  </si>
  <si>
    <t>片式电阻 0402WGJ0681TCE 1/16W,680Ω,5%,0402(厚声)(编带)(RoHS)</t>
  </si>
  <si>
    <t>N30101006346</t>
  </si>
  <si>
    <t>片式电阻 RC0402JR-07680RL 1/16W,680Ω,5%,0402(国巨)(编带)(RoHS)</t>
  </si>
  <si>
    <t>N30101003577</t>
  </si>
  <si>
    <t>片式电阻 CR0402JF0681G 1/16W,680Ω,5%,0402(丽智)(编带)(RoHS)</t>
  </si>
  <si>
    <t>N30199000378</t>
  </si>
  <si>
    <t>片式电阻 1/10W,75KΩ,1%,0603(编带)(RoHS)(互换件)</t>
  </si>
  <si>
    <t>N30101003596</t>
  </si>
  <si>
    <t>片式电阻 RS-03K7502FT 1/10W,75KΩ,1%,0603(风华)(编带)(RoHS)</t>
  </si>
  <si>
    <t>R194</t>
  </si>
  <si>
    <t>N30101007263</t>
  </si>
  <si>
    <t>片式电阻 0603WAF7502T5E 1/10W,75KΩ,1%,0603(厚声)(编带)(RoHS)</t>
  </si>
  <si>
    <t>N30101006075</t>
  </si>
  <si>
    <t>片式电阻 RC0603FR-0775KL 1/10W,75KΩ,1%,0603(国巨)(编带)(RoHS)</t>
  </si>
  <si>
    <t>N30101000977</t>
  </si>
  <si>
    <t>片式电阻 RC0603FR-0775KL/0603WAF7502T5E 1/10W,75KΩ,1%,0603(国巨/厚声)(编带)(RoHS)</t>
  </si>
  <si>
    <t>N30199000414</t>
  </si>
  <si>
    <t>片式电阻 1/10W,18KΩ,1%,0603(编带)(RoHS)(互换件)</t>
  </si>
  <si>
    <t>N30101003668</t>
  </si>
  <si>
    <t>片式电阻 RS-03K1802FT 1/10W,18KΩ,1%,0603(风华)(编带)(RoHS)</t>
  </si>
  <si>
    <t>R212</t>
  </si>
  <si>
    <t>N30101007447</t>
  </si>
  <si>
    <t>片式电阻 0603WAF1802T5E 1/10W,18KΩ,1%,0603(厚声)(编带)(RoHS)</t>
  </si>
  <si>
    <t>N30101006280</t>
  </si>
  <si>
    <t>片式电阻 RC0603FR-0718KL 1/10W,18KΩ,1%,0603(国巨)(编带)(RoHS)</t>
  </si>
  <si>
    <t>301H0183H1</t>
  </si>
  <si>
    <t>片式电阻 RC0603FR-0718KL/0603WAF1802T5E 1/10W,18KΩ,1%,0603(国巨/厚声)(编带)(RoHS)</t>
  </si>
  <si>
    <t>N30199000419</t>
  </si>
  <si>
    <t>片式电阻 1/16W,6.8KΩ,1%,0402(编带)(RoHS)(互换件)</t>
  </si>
  <si>
    <t>N30101003678</t>
  </si>
  <si>
    <t>片式电阻 RC-02K6801FT 1/16W,6.8KΩ,1%,0402(风华)(编带)(RoHS)</t>
  </si>
  <si>
    <t>R5,14,168,188</t>
  </si>
  <si>
    <t>N30101007596</t>
  </si>
  <si>
    <t>片式电阻 0402WGF6801TCE 1/16W,6.8KΩ,1%,0402(厚声)(编带)(RoHS)</t>
  </si>
  <si>
    <t>N30101006412</t>
  </si>
  <si>
    <t>片式电阻 RC0402FR-076K8L 1/16W,6.8KΩ,1%,0402(国巨)(编带)(RoHS)</t>
  </si>
  <si>
    <t>N30101002249</t>
  </si>
  <si>
    <t>片式电阻 RC0402FR-076K8L/0402WGF6801TCE 1/16W,6.8KΩ,1%,0402(国巨/厚声)(编带)(RoHS)</t>
  </si>
  <si>
    <t>N30199000473</t>
  </si>
  <si>
    <t>片式电阻 1/16W,2KΩ,5%,0402(编带)(RoHS)(互换件)</t>
  </si>
  <si>
    <t>N30101003786</t>
  </si>
  <si>
    <t>片式电阻 RC-02K202JT 1/16W,2KΩ,5%,0402(风华)(编带)(RoHS)</t>
  </si>
  <si>
    <t>R105,107,109,120</t>
  </si>
  <si>
    <t>N30101007561</t>
  </si>
  <si>
    <t>片式电阻 0402WGJ0202TCE 1/16W,2KΩ,5%,0402(厚声)(编带)(RoHS)</t>
  </si>
  <si>
    <t>N30101006372</t>
  </si>
  <si>
    <t>片式电阻 RC0402JR-072KL 1/16W,2KΩ,5%,0402(国巨)(编带)(RoHS)</t>
  </si>
  <si>
    <t>N30101003785</t>
  </si>
  <si>
    <t>片式电阻 CR0402JF0202G 1/16W,2KΩ,5%,0402(丽智)(编带)(RoHS)</t>
  </si>
  <si>
    <t>N30199000478</t>
  </si>
  <si>
    <t>片式电阻 1/16W,3.3KΩ,5%,0402(编带)(RoHS)(互换件)</t>
  </si>
  <si>
    <t>N30101003796</t>
  </si>
  <si>
    <t>片式电阻 RC-02K332JT 1/16W,3.3KΩ,5%,0402(风华)(编带)(RoHS)</t>
  </si>
  <si>
    <t>R61,62,68,69,88,89,103,104</t>
  </si>
  <si>
    <t>N30101007544</t>
  </si>
  <si>
    <t>片式电阻 0402WGJ0332TCE 1/16W,3.3KΩ,5%,0402(厚声)(编带)(RoHS)</t>
  </si>
  <si>
    <t>N30101006363</t>
  </si>
  <si>
    <t>片式电阻 RC0402JR-073K3L 1/16W,3.3KΩ,5%,0402(国巨)(编带)(RoHS)</t>
  </si>
  <si>
    <t>N30101003795</t>
  </si>
  <si>
    <t>片式电阻 CR0402JF0332G 1/16W,3.3KΩ,5%,0402(丽智)(编带)(RoHS)</t>
  </si>
  <si>
    <t>N30199000483</t>
  </si>
  <si>
    <t>片式电阻 1/10W,13KΩ,1%,0603(编带)(RoHS)(互换件)</t>
  </si>
  <si>
    <t>N30101003806</t>
  </si>
  <si>
    <t>片式电阻 RS-03K1302FT 1/10W,13KΩ,1%,0603(风华)(编带)(RoHS)</t>
  </si>
  <si>
    <t>R197</t>
  </si>
  <si>
    <t>N30101007482</t>
  </si>
  <si>
    <t>片式电阻 0603WAF1302T5E 1/10W,13KΩ,1%,0603(厚声)(编带)(RoHS)</t>
  </si>
  <si>
    <t>N30101006307</t>
  </si>
  <si>
    <t>片式电阻 RC0603FR-0713KL 1/10W,13KΩ,1%,0603(国巨)(编带)(RoHS)</t>
  </si>
  <si>
    <t>N30101003805</t>
  </si>
  <si>
    <t>片式电阻 CR0603FA1302G 1/10W,13KΩ,1%,0603(丽智)(编带)(RoHS)</t>
  </si>
  <si>
    <t>N30199000518</t>
  </si>
  <si>
    <t>片式电阻 1/16W,5.1KΩ,5%,0402(编带)(RoHS)(互换件)</t>
  </si>
  <si>
    <t>N30101003876</t>
  </si>
  <si>
    <t>片式电阻 RC-02K512JT 1/16W,5.1KΩ,5%,0402(风华)(编带)(RoHS)</t>
  </si>
  <si>
    <t>N30101007532</t>
  </si>
  <si>
    <t>片式电阻 0402WGJ0512TCE 1/16W,5.1KΩ,5%,0402(厚声)(编带)(RoHS)</t>
  </si>
  <si>
    <t>N30101006349</t>
  </si>
  <si>
    <t>片式电阻 RC0402JR-075K1L 1/16W,5.1KΩ,5%,0402(国巨)(编带)(RoHS)</t>
  </si>
  <si>
    <t>N30101001811</t>
  </si>
  <si>
    <t>片式电阻 RC0402JR-075K1L/0402WGJ0512TCE 1/16W,5.1KΩ,5%,0402(国巨/厚声)(编带)(RoHS)</t>
  </si>
  <si>
    <t>N30199000586</t>
  </si>
  <si>
    <t>片式电阻 1/16W,15KΩ,5%,0402(编带)(RoHS)(互换件)</t>
  </si>
  <si>
    <t>N30101004008</t>
  </si>
  <si>
    <t>片式电阻 RC-02K153JT 1/16W,15KΩ,5%,0402(风华)(编带)(RoHS)</t>
  </si>
  <si>
    <t>R59,92</t>
  </si>
  <si>
    <t>N30101007565</t>
  </si>
  <si>
    <t>片式电阻 0402WGJ0153TCE 1/16W,15KΩ,5%,0402(厚声)(编带)(RoHS)</t>
  </si>
  <si>
    <t>N30101006388</t>
  </si>
  <si>
    <t>片式电阻 RC0402JR-0715KL 1/16W,15KΩ,5%,0402(国巨)(编带)(RoHS)</t>
  </si>
  <si>
    <t>N30101004007</t>
  </si>
  <si>
    <t>片式电阻 CR0402JF0153G 1/16W,15KΩ,5%,0402(丽智)(编带)(RoHS)</t>
  </si>
  <si>
    <t>N30199000618</t>
  </si>
  <si>
    <t>片式电阻 1/16W,200Ω,5%,0402(编带)(RoHS)(互换件)</t>
  </si>
  <si>
    <t>N30101007562</t>
  </si>
  <si>
    <t>片式电阻 0402WGJ0201TCE 1/16W,200Ω,5%,0402(厚声)(编带)(RoHS)</t>
  </si>
  <si>
    <t>R91,138,139,209</t>
  </si>
  <si>
    <t>N30101004219</t>
  </si>
  <si>
    <t>片式电阻 RC-02W201JT 1/16W,200Ω,5%,0402(风华)(编带)(RoHS)</t>
  </si>
  <si>
    <t>N30101006381</t>
  </si>
  <si>
    <t>片式电阻 RC0402JR-07200RL 1/16W,200Ω,5%,0402(国巨)(编带)(RoHS)</t>
  </si>
  <si>
    <t>N30101004329</t>
  </si>
  <si>
    <t>片式电阻 CR0402JF0201G 1/16W,200Ω,5%,0402(丽智)(编带)(RoHS)</t>
  </si>
  <si>
    <t>N30199000666</t>
  </si>
  <si>
    <t>片式电阻 3/4W,68KΩ,5%,2010(编带)(RoHS)(互换件)</t>
  </si>
  <si>
    <t>N30101004272</t>
  </si>
  <si>
    <t>片式电阻 RS-10K683JT 3/4W,68KΩ,5%,2010(风华)(编带)(RoHS)</t>
  </si>
  <si>
    <t>R29-34,38,39,75-78</t>
  </si>
  <si>
    <t>N30101006539</t>
  </si>
  <si>
    <t>片式电阻 201007J0683T4E 3/4W,68KΩ,5%,2010(厚声)(编带)(RoHS)</t>
  </si>
  <si>
    <t>N30101005321</t>
  </si>
  <si>
    <t>片式电阻 RC2010JK-0768KL 3/4W,68KΩ,5%,2010(国巨)(编带)(RoHS)</t>
  </si>
  <si>
    <t>N30101001357</t>
  </si>
  <si>
    <t>片式电阻 RC2010JK-0768KL/201007J0683T4E 3/4W,68KΩ,5%,2010(国巨/厚声)(编带)(RoHS)</t>
  </si>
  <si>
    <t>N30302000104</t>
  </si>
  <si>
    <t>NTC热敏电阻 SCK08053MSY008 3A,R25=5Ω(20%,φ8)(兴勤)(编带)(HF;RoHS)</t>
  </si>
  <si>
    <t>10652</t>
  </si>
  <si>
    <t>东莞为勤电子有限公司</t>
  </si>
  <si>
    <t>NTC1</t>
  </si>
  <si>
    <t>N30503000098</t>
  </si>
  <si>
    <t>聚丙烯膜电容 C312J222K3SA31A 2.2nF,10%,630Vdc,P=7.5(法拉)(编带)(RoHS)</t>
  </si>
  <si>
    <t>XMFL</t>
  </si>
  <si>
    <t>C1</t>
  </si>
  <si>
    <t>N30506000690</t>
  </si>
  <si>
    <t>铝电解电容 RGA330M2WBK-1620 33uF,20%,450V,105℃,16X20,P=7.5(立隆)(RoHS)</t>
  </si>
  <si>
    <t>N30506001414</t>
  </si>
  <si>
    <t>铝电解电容 EHS2WM330L20OT 33uF,20%,450V,105℃,16X20,P=7.5,5000h(艾华)(RoHS)</t>
  </si>
  <si>
    <t>AHJT2</t>
  </si>
  <si>
    <t>E1</t>
  </si>
  <si>
    <t>N30506000801</t>
  </si>
  <si>
    <t>铝电解电容 VEJ470M1HTR-0607 47uF,20%,50V,6.3X7.7,SMD(立隆)(RoHS)</t>
  </si>
  <si>
    <t>10348</t>
  </si>
  <si>
    <t>厦门安瑞信电子科技有限公司</t>
  </si>
  <si>
    <t>E2</t>
  </si>
  <si>
    <t>N30506001404</t>
  </si>
  <si>
    <t>铝电解电容 UWT1H470MCL1GS 47uF,20%,50V,105℃,6.3X7.7,SMD,1000h(AEC-Q200)(Nichicon)(编带)(RoHS)</t>
  </si>
  <si>
    <t>N30506000937</t>
  </si>
  <si>
    <t>铝电解电容 VEJ101M1ETR-0607 100uF,20%,25V,105℃,6.3X7.7,SMT(立隆)(编带)(RoHS)</t>
  </si>
  <si>
    <t>E5,8,10,12,14,16</t>
  </si>
  <si>
    <t>N30506000603</t>
  </si>
  <si>
    <t>铝电解电容 VEJ101M1VTR-0607 100uF,20%,35V,105℃,6.3X7.7,SMD,2000h(立隆)(编带)(RoHS)</t>
  </si>
  <si>
    <t>N30506000717</t>
  </si>
  <si>
    <t>铝电解电容 VZH101M1VTR-0607 100uF,20%,35V,105℃,6.3X7.7,SMD,2000h(立隆)(编带)(RoHS)</t>
  </si>
  <si>
    <t>N30506000994</t>
  </si>
  <si>
    <t>铝电解电容 VEJ221M1CTR-0607 220uF,20%,16V,6.3X7.7,SMD(立隆)(RoHS)</t>
  </si>
  <si>
    <t>E3,4,6,9,11,13</t>
  </si>
  <si>
    <t>N30506001801</t>
  </si>
  <si>
    <t>铝电解电容 VZH221M1CTR-0607 220uF,20%,16V,105℃,6.3X7.7,SMD,5000h(立隆)(编带)(RoHS)</t>
  </si>
  <si>
    <t>N30506001383</t>
  </si>
  <si>
    <t>铝电解电容 UUD1C221MCL1GS 220uF,20%,16V,105℃,6.3X7.7,SMD(Nichicon)(编带)(RoHS)</t>
  </si>
  <si>
    <t>N30506001223</t>
  </si>
  <si>
    <t>铝电解电容 ERJ1EM102G20B50T 1000uF,20%,25V,105℃,10X20,P=5,10000h(艾华)(编带)(RoHS)</t>
  </si>
  <si>
    <t>铝电解电容 ERJ1EM102G20B50T 1000uF,20%,25V,105℃,10X20,P=5(低ESR,寿命10000h)(艾华)(编带)(RoHS)</t>
  </si>
  <si>
    <t>E7,15</t>
  </si>
  <si>
    <t>N30506001238</t>
  </si>
  <si>
    <t>铝电解电容 VEJ100M1CTR-0405 10uF,20%,16V,105℃,4X5.3,SMD(立隆)(编带)(RoHS)</t>
  </si>
  <si>
    <t>N30506001239</t>
  </si>
  <si>
    <t>铝电解电容 VEJ100M1ETR-0405 10uF,20%,25V,105℃,4X5.3,SMD(立隆)(编带)(RoHS)</t>
  </si>
  <si>
    <t>E17</t>
  </si>
  <si>
    <t>N30508000057</t>
  </si>
  <si>
    <t>安规陶瓷电容 DE1E3KX222MN4AN01F 2.2nF,20%,250Vac,P=10(Murata)(编带)(RoHS)</t>
  </si>
  <si>
    <t>XLDZ2</t>
  </si>
  <si>
    <t>深圳市仁天芯科技有限公司</t>
  </si>
  <si>
    <t>C77</t>
  </si>
  <si>
    <t>N30508000036</t>
  </si>
  <si>
    <t>安规陶瓷电容(X1Y1) CD12-E2GA222MYPSA 2.2nF,20%,250Vac,P=10(TDK)(编带)(RoHS)</t>
  </si>
  <si>
    <t>N30515002148</t>
  </si>
  <si>
    <t>片式瓷介电容 CC0402KRNPO9BN150 NP0,15pF,10%,50V,0402(国巨)(编带)(RoHS)</t>
  </si>
  <si>
    <t>NJSL2</t>
  </si>
  <si>
    <t>C45,46</t>
  </si>
  <si>
    <t>C50,150,151</t>
  </si>
  <si>
    <t>N30599000005</t>
  </si>
  <si>
    <t>片式瓷介电容 X7R,100nF,10%,50V,0805(编带)(RoHS)(互换件)</t>
  </si>
  <si>
    <t>N30515000994</t>
  </si>
  <si>
    <t>片式瓷介电容 0805B104K500NT X7R,100nF,10%,50V,0805(风华)(编带)(RoHS)</t>
  </si>
  <si>
    <t>C26,28,72,81</t>
  </si>
  <si>
    <t>N30515000716</t>
  </si>
  <si>
    <t>片式瓷介电容 TCC0805X7R104K500DT X7R,100nF,10%,50V,0805(三环)(编带)(RoHS)</t>
  </si>
  <si>
    <t>N30515000823</t>
  </si>
  <si>
    <t>片式瓷介电容 GRM21BR71H104KA01L X7R,100nF,10%,50V,0805(Murata)(编带)(RoHS)</t>
  </si>
  <si>
    <t>N30515000607</t>
  </si>
  <si>
    <t>片式瓷介电容 0805B104K500CT X7R,100nF,10%,50V,0805(华新科技)(编带)(RoHS)</t>
  </si>
  <si>
    <t>N30599000006</t>
  </si>
  <si>
    <t>片式瓷介电容 X7R,100nF,10%,25V,0402(编带)(RoHS)(互换件)</t>
  </si>
  <si>
    <t>N30515001354</t>
  </si>
  <si>
    <t>片式瓷介电容 0402B104K250NT X7R,100nF,10%,25V,0402(风华)(编带)(RoHS)</t>
  </si>
  <si>
    <t>C2,3,6-13,15,16,18-21,23-25,27,30,31,33,34,36,38,41,47,51-53,58,59,62,67,75,76,78-80,83-85,89,90,92,94,98,101,105-113,115,117,118,120,121,123,124,126,127,129-136,139,141-148,153,154,161</t>
  </si>
  <si>
    <t>N30515000509</t>
  </si>
  <si>
    <t>片式瓷介电容 CC0402KRX7R8BB104 X7R,100nF,10%,25V,0402(国巨)(编带)(RoHS)</t>
  </si>
  <si>
    <t>N30515001353</t>
  </si>
  <si>
    <t>片式瓷介电容 TCC0402X7R104K250AT X7R,100nF,10%,25V,0402(三环)(编带)(RoHS)</t>
  </si>
  <si>
    <t>N30599000012</t>
  </si>
  <si>
    <t>片式瓷介电容 X7R,1nF,10%,50V,0402(编带)(RoHS)(互换件)</t>
  </si>
  <si>
    <t>N30515001360</t>
  </si>
  <si>
    <t>片式瓷介电容 0402B102K500NT X7R,1nF,10%,50V,0402(风华)(编带)(RoHS)</t>
  </si>
  <si>
    <t>C39,40,42,43,48,49,60,64,82,95,102,137</t>
  </si>
  <si>
    <t>N30515001359</t>
  </si>
  <si>
    <t>片式瓷介电容 TCC0402X7R102K500AT X7R,1nF,10%,50V,0402(三环)(编带)(RoHS)</t>
  </si>
  <si>
    <t>N30515000267</t>
  </si>
  <si>
    <t>片式瓷介电容 CC0402KRX7R9BB102 X7R,1nF,10%,50V,0402(国巨)(编带)(RoHS)</t>
  </si>
  <si>
    <t>N30515002846</t>
  </si>
  <si>
    <t>片式瓷介电容 UMK105 B7102KVHF X7R,1nF,10%,50V,0402(Taiyo Yuden)(编带)(RoHS)</t>
  </si>
  <si>
    <t>N30599000031</t>
  </si>
  <si>
    <t>片式瓷介电容 X7R,220nF,10%,25V,0603(编带)(RoHS)(互换件)</t>
  </si>
  <si>
    <t>N30515001389</t>
  </si>
  <si>
    <t>片式瓷介电容 0603B224K250NT X7R,220nF,10%,25V,0603(风华)(编带)(RoHS)</t>
  </si>
  <si>
    <t>C157,158</t>
  </si>
  <si>
    <t>N30515001388</t>
  </si>
  <si>
    <t>片式瓷介电容 TCC0603X7R224K250CT X7R,220nF,10%,25V,0603(三环)(编带)(RoHS)</t>
  </si>
  <si>
    <t>31012241</t>
  </si>
  <si>
    <t>片式瓷介电容 CC0603KRX7R8BB224 X7R,220nF,10%,25V,0603(国巨)(编带)(RoHS)</t>
  </si>
  <si>
    <t>N30515002322</t>
  </si>
  <si>
    <t>片式瓷介电容 C1608X7R1E224KT000N X7R,220nF,10%,25V,0603(TDK)(编带)(RoHS)</t>
  </si>
  <si>
    <t>C91</t>
  </si>
  <si>
    <t>N30599000207</t>
  </si>
  <si>
    <t>片式瓷介电容 X5R,1uF,10%,50V,0603(编带)(RoHS)(互换件)</t>
  </si>
  <si>
    <t>N30515001894</t>
  </si>
  <si>
    <t>片式瓷介电容 0603X105K500NT X5R,1uF,10%,50V,0603(风华)(编带)(RoHS)</t>
  </si>
  <si>
    <t>C14,17,29,32,35,37,54,55,65,66,70,74,86,88,93,96,97,116,119,122,140</t>
  </si>
  <si>
    <t>N30515001949</t>
  </si>
  <si>
    <t>片式瓷介电容 TCC0603X5R105K500CT X5R,1uF,10%,50V,0603(三环)(编带)(RoHS)</t>
  </si>
  <si>
    <t>N30515001986</t>
  </si>
  <si>
    <t>片式瓷介电容 CL10A105KB8NNNC X5R,1uF,10%,50V,0603(Samsung)(编带)(RoHS)</t>
  </si>
  <si>
    <t>N30515000314</t>
  </si>
  <si>
    <t>片式瓷介电容 UMK107BJ105KA-T X5R,1uF,10%,50V,0603(Taiyo Yuden)(编带)(RoHS)</t>
  </si>
  <si>
    <t>N30599000240</t>
  </si>
  <si>
    <t>片式瓷介电容 X7R,1uF,10%,16V,0805(编带)(RoHS)(互换件)</t>
  </si>
  <si>
    <t>N30515001787</t>
  </si>
  <si>
    <t>片式瓷介电容 0805B105K160NT X7R,1uF,10%,16V,0805(风华)(编带)(RoHS)</t>
  </si>
  <si>
    <t>C149</t>
  </si>
  <si>
    <t>N30515001755</t>
  </si>
  <si>
    <t>片式瓷介电容 TCC0805X7R105K160DT X7R,1uF,10%,16V,0805(三环)(编带)(RoHS)</t>
  </si>
  <si>
    <t>N30515002014</t>
  </si>
  <si>
    <t>片式瓷介电容 CL21B105KOFNNNE X7R,1uF,10%,16V,0805(Samsung)(编带)(RoHS)</t>
  </si>
  <si>
    <t>N30515001811</t>
  </si>
  <si>
    <t>片式瓷介电容 CC0805KKX7R7BB105 X7R,1uF,10%,16V,0805(国巨)(编带)(RoHS)</t>
  </si>
  <si>
    <t>N30599000250</t>
  </si>
  <si>
    <t>片式瓷介电容 X7R,10uF,10%,25V,1206(编带)(RoHS)(互换件)</t>
  </si>
  <si>
    <t>N30515001824</t>
  </si>
  <si>
    <t>片式瓷介电容 1206B106K250NT X7R,10uF,10%,25V,1206(风华)(编带)(RoHS)</t>
  </si>
  <si>
    <t>C22,152</t>
  </si>
  <si>
    <t>N30515001865</t>
  </si>
  <si>
    <t>片式瓷介电容 TCC1206X7R106K250HT X7R,10uF,10%,25V,1206(三环)(编带)(RoHS)</t>
  </si>
  <si>
    <t>N30515001302</t>
  </si>
  <si>
    <t>片式瓷介电容 CL31B106KAHNNNE X7R,10uF,10%,25V,1206(Samsung)(编带)(RoHS)</t>
  </si>
  <si>
    <t>N30515000385</t>
  </si>
  <si>
    <t>片式瓷介电容 TMK316B7106KL-TD X7R,10uF,10%,25V,1206(Taiyo Yuden)(编带)(RoHS)</t>
  </si>
  <si>
    <t>N31301000157</t>
  </si>
  <si>
    <t>光耦 LTV-816S-TA1-D-Cu SOP4(CTR=300-600)(光宝)(编带)(RoHS)</t>
  </si>
  <si>
    <t>SHPY2</t>
  </si>
  <si>
    <t>上海潘亚电子有限公司</t>
  </si>
  <si>
    <t>U15,20,23,25</t>
  </si>
  <si>
    <t>N31301000156</t>
  </si>
  <si>
    <t>光耦 LTV-816STA1-D SMD(CTR=300~600)(光宝)(RoHS)</t>
  </si>
  <si>
    <t>LED5</t>
  </si>
  <si>
    <t>N31306000669</t>
  </si>
  <si>
    <t>发光二极管 LTST-C191KRKT-EL 红色,0603(亮度:M,N,波长:630nm,电压:3)(光宝)(编带)(RoHS)</t>
  </si>
  <si>
    <t>N31306000307</t>
  </si>
  <si>
    <t>发光二极管 LTST-C190GKT-EL 绿色,0603(亮度:ALL,波长:570nm,电压:2.1V)(光宝)(编带)(RoHS)</t>
  </si>
  <si>
    <t>LED1-4</t>
  </si>
  <si>
    <t>N31306000361</t>
  </si>
  <si>
    <t>发光二极管 LTST-C191KGKT-ELX 绿色,0603(亮度:ALL,波长:ALL,电压:ALL)(光宝)(编带)(RoHS)</t>
  </si>
  <si>
    <t>N31502000138</t>
  </si>
  <si>
    <t>肖特基二极管 MBR10200FCT 10A,200V,ITO-220AB(MCC)(RoHS)</t>
  </si>
  <si>
    <t>N31502000149</t>
  </si>
  <si>
    <t>肖特基二极管 MBR10200FCT 10A,200V,ITO220AB(强茂)(条管)(RoHS)</t>
  </si>
  <si>
    <t>N31504000110</t>
  </si>
  <si>
    <t>开关二极管 1SS181 100mA,80V,SOT23(MCC)(编带)(RoHS)</t>
  </si>
  <si>
    <t>Q17-26</t>
  </si>
  <si>
    <t>N31507000109</t>
  </si>
  <si>
    <t>TVS UDD32C05L01 350W,5V,SOD323(君耀)(RoHS)</t>
  </si>
  <si>
    <t>D22,23</t>
  </si>
  <si>
    <t>N31507000425</t>
  </si>
  <si>
    <t>TVS P6SMB6.8CA 600W,6.8V,SMB(君耀)(编带)(RoHS)</t>
  </si>
  <si>
    <t>N31507000237</t>
  </si>
  <si>
    <t>TVS P6SMB6.8CA 600W,6.8V,SMB(扬杰)(编带)(RoHS)</t>
  </si>
  <si>
    <t>D1,2,6,7,10,13-15,26-29</t>
  </si>
  <si>
    <t>N31599000008</t>
  </si>
  <si>
    <t>整流管 M7 1A,1KV,SMA(编带)(RoHS)(互换件)</t>
  </si>
  <si>
    <t>N31501000459</t>
  </si>
  <si>
    <t>整流管 M7 1A,1KV,SMA(晶导微)(编带)(RoHS)</t>
  </si>
  <si>
    <t>D3,18,20,21</t>
  </si>
  <si>
    <t>315SM4007</t>
  </si>
  <si>
    <t>整流管 M7 1A,1KV,SMA(扬杰)(编带)(RoHS)</t>
  </si>
  <si>
    <t>N31501000319</t>
  </si>
  <si>
    <t>整流管 M7 1A,1KV,SMA(固锝)(编带)(RoHS)</t>
  </si>
  <si>
    <t>N31599000010</t>
  </si>
  <si>
    <t>开关二极管 BAV99 SOT23(编带)(RoHS)(互换件)</t>
  </si>
  <si>
    <t>Q2,3,13,14</t>
  </si>
  <si>
    <t>N31504000053</t>
  </si>
  <si>
    <t>开关二极管 LBAV99LT1G 215mA,70V,SOT23(双开关二极管)(LRC)(RoHS)</t>
  </si>
  <si>
    <t>N31504000065</t>
  </si>
  <si>
    <t>开关二极管 BAV99-TP 200mA,70V,SOT23(MCC)(编带)(RoHS)</t>
  </si>
  <si>
    <t>N31504000030</t>
  </si>
  <si>
    <t>开关二极管 BAV99 150mA,75V,SOT23(强茂)(编带)(RoHS)</t>
  </si>
  <si>
    <t>N31599000011</t>
  </si>
  <si>
    <t>超快恢复二极管 US1M 1A,1KV,SMA(编带)(RoHS)(互换件)</t>
  </si>
  <si>
    <t>D4,9</t>
  </si>
  <si>
    <t>N31511000063</t>
  </si>
  <si>
    <t>超快恢复二极管 US1M 1A,1KV,SMA(扬杰)(编带)(RoHS)</t>
  </si>
  <si>
    <t>N31511000062</t>
  </si>
  <si>
    <t>超快恢复二极管 US1M 1A,1KV,SMAG(长晶)(编带)(RoHS)</t>
  </si>
  <si>
    <t>N31502000199</t>
  </si>
  <si>
    <t>超快恢复二极管 US1M 1A,1KV,SMA(固锝)(编带)(RoHS)</t>
  </si>
  <si>
    <t>N31599000026</t>
  </si>
  <si>
    <t>开关二极管 1N4148W 150mA,100V,SOD123(编带)(RoHS)(互换件)</t>
  </si>
  <si>
    <t>N31504000139</t>
  </si>
  <si>
    <t>开关二极管 T-1N4148WA 150mA,100V,SOD123W(晶导微)(编带)(RoHS)</t>
  </si>
  <si>
    <t>D8,11,12,19</t>
  </si>
  <si>
    <t>N31504000076</t>
  </si>
  <si>
    <t>开关二极管 1N4148W-TP 150mA,100V,SOD123(MCC)(编带)(RoHS)</t>
  </si>
  <si>
    <t>N31504000138</t>
  </si>
  <si>
    <t>开关二极管 1N4148W 150mA,100V,SOD123(扬杰)(编带)(RoHS)</t>
  </si>
  <si>
    <t>N31504000142</t>
  </si>
  <si>
    <t>开关二极管 1N4148W 200mA,100V,SOD123(强茂)(编带)(RoHS)</t>
  </si>
  <si>
    <t>N31601000170</t>
  </si>
  <si>
    <t>数码管 BSR0941YBK 红色(共阴极,4位)(48h盐雾)(倍司特)(RoHS)</t>
  </si>
  <si>
    <t>XMBST2</t>
  </si>
  <si>
    <t>厦门倍司特电子有限公司</t>
  </si>
  <si>
    <t>LED7</t>
  </si>
  <si>
    <t>N31701000313</t>
  </si>
  <si>
    <t>三极管 S9013-H NPN,25V,HFE=200-350,500mA,SOT23(长电)(RoHS)</t>
  </si>
  <si>
    <t>3179013ST</t>
  </si>
  <si>
    <t>三极管 9013ST NPN,HFE=200-350,SOT23(Kesenes)(RoHS)</t>
  </si>
  <si>
    <t>XBTS2</t>
  </si>
  <si>
    <t>厦门博天晟电子科技有限公司（ZZ）</t>
  </si>
  <si>
    <t>Q8-10</t>
  </si>
  <si>
    <t>N31800000311</t>
  </si>
  <si>
    <t>驱动电路 ULN2003G-S16-R SOP16(30V,500mA)(UTC)(RoHS)</t>
  </si>
  <si>
    <t>N31813000104</t>
  </si>
  <si>
    <t>驱动电路 ULN2003D1013TR SOP16(30V,500mA)(ST)(编带)(RoHS)</t>
  </si>
  <si>
    <t>U1,4,9</t>
  </si>
  <si>
    <t>N31800000332</t>
  </si>
  <si>
    <t>集成电路 MAX13085EESA SO8(Maxim)(RoHS)</t>
  </si>
  <si>
    <t>U7,8,11,18</t>
  </si>
  <si>
    <t>N31801000628</t>
  </si>
  <si>
    <t>微处理器 STM32F407ZGT6 LQFP144(ST)(RoHS)</t>
  </si>
  <si>
    <t>U28</t>
  </si>
  <si>
    <t>N31805000073</t>
  </si>
  <si>
    <t>存贮器 BR24G02FJ-3GTE2 SOP-J8(Rohm)(编带)(RoHS)</t>
  </si>
  <si>
    <t>U27</t>
  </si>
  <si>
    <t>N31805000051</t>
  </si>
  <si>
    <t>存贮器 AT24C02C-SSHM-T SOIC8(Atmel)(RoHS)</t>
  </si>
  <si>
    <t>N31806000199</t>
  </si>
  <si>
    <t>稳压器 KIA7805AF-RTF/P(H) DPAK(KEC)(编带)(RoHS)</t>
  </si>
  <si>
    <t>SZHND2</t>
  </si>
  <si>
    <t>深圳市怡海能达有限公司</t>
  </si>
  <si>
    <t>U2</t>
  </si>
  <si>
    <t>N31806000127</t>
  </si>
  <si>
    <t>稳压器 L7805CDT-TR DPAK(ST)(编带)(RoHS)</t>
  </si>
  <si>
    <t>N31806000208</t>
  </si>
  <si>
    <t>稳压器 LD1117S50CTR SOT223(ST)(RoHS)</t>
  </si>
  <si>
    <t>319ADLD1117L</t>
  </si>
  <si>
    <t>稳压器 LD1117AG-50-AA3-A-R,1A SOT223(UTC)(编带)(RoHS)</t>
  </si>
  <si>
    <t>10461</t>
  </si>
  <si>
    <t>厦门元顺微电子技术有限公司</t>
  </si>
  <si>
    <t>U39</t>
  </si>
  <si>
    <t>N31806000341</t>
  </si>
  <si>
    <t>稳压器 TL431NSG-AE2-R SOT23-3(2.5V,0.5%,脚位:C-R-A)(UTC)(编带)(HF;RoHS)</t>
  </si>
  <si>
    <t>Q1</t>
  </si>
  <si>
    <t>N31806000138</t>
  </si>
  <si>
    <t>稳压器 TL431AQDBZR SOT23(2.495V,1%,脚位:C-R-A)(TI)(编带)(RoHS)</t>
  </si>
  <si>
    <t>N31807000094</t>
  </si>
  <si>
    <t>电源管理电路 MP1470GJ-Z TSOT23-6(MPS)(编带)(RoHS)</t>
  </si>
  <si>
    <t>10873</t>
  </si>
  <si>
    <t>Eastern International (HK) Limited</t>
  </si>
  <si>
    <t>U26</t>
  </si>
  <si>
    <t>N31807000377</t>
  </si>
  <si>
    <t>电源管理电路 OB2365TAP-H DIP8(铱科专用)(昂宝)(HF;RoHS)</t>
  </si>
  <si>
    <t>10443</t>
  </si>
  <si>
    <t>厦门亿思达电子有限公司</t>
  </si>
  <si>
    <t>U3</t>
  </si>
  <si>
    <t>N31813000096</t>
  </si>
  <si>
    <t>驱动电路 TBD62003APG DIP16(Toshiba)(RoHS)</t>
  </si>
  <si>
    <t>N31813000097</t>
  </si>
  <si>
    <t>驱动电路 ULN2003AA DIP-16L(ST)(RoHS)</t>
  </si>
  <si>
    <t>10874</t>
  </si>
  <si>
    <t>AVNET SUNRISE LTD</t>
  </si>
  <si>
    <t>U5,6</t>
  </si>
  <si>
    <t>N31813000155</t>
  </si>
  <si>
    <t>驱动电路 TM1650 SOP16(天微)(天加专用)(编带)(RoHS)</t>
  </si>
  <si>
    <t>U10</t>
  </si>
  <si>
    <t>N32002000072</t>
  </si>
  <si>
    <t>晶体谐振器 SZJF-4.000-9S/SM-20-1-10-P-T&amp;R 4MHz,10ppm,20pF,SMD(晶峰)(编带)(RoHS)</t>
  </si>
  <si>
    <t>10279</t>
  </si>
  <si>
    <t>深圳市晶峰晶体科技有限公司</t>
  </si>
  <si>
    <t>Y1</t>
  </si>
  <si>
    <t>N32202000441</t>
  </si>
  <si>
    <t>开关变压器 EE28-66-6V (华联科技)(RoHS)</t>
  </si>
  <si>
    <t>XMXY2</t>
  </si>
  <si>
    <t>厦门华联电子科技有限公司</t>
  </si>
  <si>
    <t>TR1</t>
  </si>
  <si>
    <t>N32304000139</t>
  </si>
  <si>
    <t>片式线绕电感 VLS252012HBX-6R8M-1 (TDK)(RoHS)</t>
  </si>
  <si>
    <t>L3</t>
  </si>
  <si>
    <t>N32304000313</t>
  </si>
  <si>
    <t>片式线绕电感 SWPA8040S330MT 33uH,2.4A(顺络)(编带)(RoHS)</t>
  </si>
  <si>
    <t>N32306000044</t>
  </si>
  <si>
    <t>带骨架电感 LB20ET-03 22mH,1A(扼流圈)(新纪元)(RoHS)</t>
  </si>
  <si>
    <t>N32401000217</t>
  </si>
  <si>
    <t>功率继电器 HF46F/12-HS1 (宏发)(RoHS)</t>
  </si>
  <si>
    <t>K1-10</t>
  </si>
  <si>
    <t>N32503000117</t>
  </si>
  <si>
    <t>拨码开关 YAD-08HR-2 (72h盐雾)(优高)(编带)(RoHS)</t>
  </si>
  <si>
    <t>N32503000063</t>
  </si>
  <si>
    <t>拨码开关 DM-08-V-T/R (圜达)(编带)(RoHS)</t>
  </si>
  <si>
    <t>N32503000118</t>
  </si>
  <si>
    <t>拨码开关 YAD-06HR-2 (72h盐雾)(优高)(编带)(RoHS)</t>
  </si>
  <si>
    <t>YGDZ2</t>
  </si>
  <si>
    <t>深圳优高电子有限公司（ZZ）</t>
  </si>
  <si>
    <t>S2,3</t>
  </si>
  <si>
    <t>N32503000062</t>
  </si>
  <si>
    <t>拨码开关 DM-06-V-T/R (圜达)(编带)(RoHS)</t>
  </si>
  <si>
    <t>N60103000079</t>
  </si>
  <si>
    <t>延时熔断器 50CT050H 5A,250V,Φ5.2X20(陶瓷管无引线)(好利)(RoHS)</t>
  </si>
  <si>
    <t>XMNL</t>
  </si>
  <si>
    <t>好利来（厦门）电路保护科技有限公司</t>
  </si>
  <si>
    <t>F2</t>
  </si>
  <si>
    <t>N60601001310</t>
  </si>
  <si>
    <t>端子 TJC2508-5A 黑色(CWB)(RoHS)</t>
  </si>
  <si>
    <t>X33A,,X39A</t>
  </si>
  <si>
    <t>N60601001317</t>
  </si>
  <si>
    <t>端子 TJC2508-5A (CWB)(RoHS)</t>
  </si>
  <si>
    <t>X42A</t>
  </si>
  <si>
    <t>N60601001318</t>
  </si>
  <si>
    <t>端子 TJC2508-5A 蓝色(2.5X5P)(CWB)(RoHS)</t>
  </si>
  <si>
    <t>X41A</t>
  </si>
  <si>
    <t>N60601001375</t>
  </si>
  <si>
    <t>端子 TJC2508-4A (CWB)(RoHS)</t>
  </si>
  <si>
    <t>X36A</t>
  </si>
  <si>
    <t>N60601001389</t>
  </si>
  <si>
    <t>端子 VH-3A 红色(48h盐雾)(CWB)(RoHS)</t>
  </si>
  <si>
    <t>X8A</t>
  </si>
  <si>
    <t>N60601000989</t>
  </si>
  <si>
    <t>端子 VH-3A 红色(48h盐雾)(FAF)(RoHS)</t>
  </si>
  <si>
    <t>N60601001390</t>
  </si>
  <si>
    <t>端子 VH-3A 蓝色(48h盐雾)(CWB)(RoHS)</t>
  </si>
  <si>
    <t>X7A</t>
  </si>
  <si>
    <t>N60601001438</t>
  </si>
  <si>
    <t>端子 B04B-XARK-1 红(JST)(RoHS)</t>
  </si>
  <si>
    <t>N60601002727</t>
  </si>
  <si>
    <t>端子 TJC2509-4A 红色(CWB)(RoHS)</t>
  </si>
  <si>
    <t>X9A</t>
  </si>
  <si>
    <t>N60601001586</t>
  </si>
  <si>
    <t>端子 TJC2509-2A (CWB)(RoHS)</t>
  </si>
  <si>
    <t>N60601003573</t>
  </si>
  <si>
    <t>端子 XA-2A 白色(48h盐雾)(FAF)(RoHS)</t>
  </si>
  <si>
    <t>X2A</t>
  </si>
  <si>
    <t>N60601001588</t>
  </si>
  <si>
    <t>端子 TJC2509-4A (CWB)(RoHS)</t>
  </si>
  <si>
    <t>N60601003584</t>
  </si>
  <si>
    <t>端子 XA-4A 白色(48h盐雾)(FAF)(RoHS)</t>
  </si>
  <si>
    <t>X4A</t>
  </si>
  <si>
    <t>N60601001590</t>
  </si>
  <si>
    <t>端子 TJC2509-6A (CWB)(RoHS)</t>
  </si>
  <si>
    <t>N60601003582</t>
  </si>
  <si>
    <t>端子 XA-6A 白色(48h盐雾)(FAF)(RoHS)</t>
  </si>
  <si>
    <t>X6A</t>
  </si>
  <si>
    <t>N60601001592</t>
  </si>
  <si>
    <t>端子 TJC2509-8A (CWB)(RoHS)</t>
  </si>
  <si>
    <t>X5A</t>
  </si>
  <si>
    <t>N60601001594</t>
  </si>
  <si>
    <t>端子 TJC2509-10A (CWB)(RoHS)</t>
  </si>
  <si>
    <t>N60601003580</t>
  </si>
  <si>
    <t>端子 XA-10A 白色(48h盐雾)(FAF)(RoHS)</t>
  </si>
  <si>
    <t>X3A</t>
  </si>
  <si>
    <t>N60601001619</t>
  </si>
  <si>
    <t>端子 VH-3A(去第2针) (48h盐雾)(CWB)(RoHS)</t>
  </si>
  <si>
    <t>X14A</t>
  </si>
  <si>
    <t>N60601002792</t>
  </si>
  <si>
    <t>端子 VH-3A (去第2针)(48h盐雾)(FAF)(RoHS)</t>
  </si>
  <si>
    <t>N60601001620</t>
  </si>
  <si>
    <t>端子 VH-3A(去第2针) 黑色(48h盐雾)(CWB)(RoHS)</t>
  </si>
  <si>
    <t>X13A,,X20A</t>
  </si>
  <si>
    <t>N60601004522</t>
  </si>
  <si>
    <t>端子 VH-3A 黑色(3.96X3P)(去第2针)(48h盐雾)(FAF)(RoHS)</t>
  </si>
  <si>
    <t>N60601001672</t>
  </si>
  <si>
    <t>端子 VH-3A 黄色(去第2针)(48h盐雾)(CWB)(RoHS)</t>
  </si>
  <si>
    <t>X17A</t>
  </si>
  <si>
    <t>N60601001775</t>
  </si>
  <si>
    <t>端子 TJC2508-5A 红色(CWB)(RoHS)</t>
  </si>
  <si>
    <t>X40A</t>
  </si>
  <si>
    <t>N60601002095</t>
  </si>
  <si>
    <t>端子 VH-3A 绿色(去第2针)(CWB)(RoHS)</t>
  </si>
  <si>
    <t>X15A</t>
  </si>
  <si>
    <t>N60601002533</t>
  </si>
  <si>
    <t>端子 VH-2A 绿色(CWB)(RoHS)</t>
  </si>
  <si>
    <t>X31A</t>
  </si>
  <si>
    <t>N60601004530</t>
  </si>
  <si>
    <t>端子 VH-2A 绿色(3.96X2P)(48h盐雾)(FAF)(RoHS)</t>
  </si>
  <si>
    <t>N60601002724</t>
  </si>
  <si>
    <t>端子 TJC2509-2A 红色(CWB)(RoHS)</t>
  </si>
  <si>
    <t>N60601003575</t>
  </si>
  <si>
    <t>端子 XA-2A 红色(48h盐雾)(FAF)(RoHS)</t>
  </si>
  <si>
    <t>X1A</t>
  </si>
  <si>
    <t>N60601003395</t>
  </si>
  <si>
    <t>端子 TJC2508-4A 红色(2.5X4P)(CWB)(RoHS)</t>
  </si>
  <si>
    <t>X35A</t>
  </si>
  <si>
    <t>N60601003512</t>
  </si>
  <si>
    <t>端子 VH-3A 橙色(去第2针)(CWB)(RoHS)</t>
  </si>
  <si>
    <t>X11A,,X18A</t>
  </si>
  <si>
    <t>N60602000254</t>
  </si>
  <si>
    <t>接线排 YK3030903002G (Anytek)(RoHS)</t>
  </si>
  <si>
    <t>XRFDZ2</t>
  </si>
  <si>
    <t>厦门市向荣发电子有限公司</t>
  </si>
  <si>
    <t>X37</t>
  </si>
  <si>
    <t>N60604000340</t>
  </si>
  <si>
    <t>插座 1734366-2 (USB座,立式)(TE)(RoHS)</t>
  </si>
  <si>
    <t>X34A</t>
  </si>
  <si>
    <t>N60606000043</t>
  </si>
  <si>
    <t>卡座 KH172-A,P＝6.5 (保险丝卡座D5X20)(磊峰)(RoHS)</t>
  </si>
  <si>
    <t>LFWJ2</t>
  </si>
  <si>
    <t>N70901000288</t>
  </si>
  <si>
    <t>螺丝组件 3X8PM 304不锈钢(带平垫、弹垫)(72h盐雾)(新沪厦)(RoHS)</t>
  </si>
  <si>
    <t>螺丝组件 3X8PM 304不锈钢(带平垫、弹垫)(72H盐雾)(新沪厦)(RoHS)</t>
  </si>
  <si>
    <t>N71002000022</t>
  </si>
  <si>
    <t>元件护套 D5X20(保险丝套管) (符合REACH)(中田)(RoHS)</t>
  </si>
  <si>
    <t>N71104006605</t>
  </si>
  <si>
    <t>FR4印制板 TE1003 双层,喷锡,200X200X1.6,1拼板(永隆)(RoHS)</t>
  </si>
  <si>
    <t>N60703001638</t>
  </si>
  <si>
    <t>标签 BQ300200W002-NJTJ (26P电气原理图)(D5A13H500001)(背胶)(RoHS)</t>
  </si>
  <si>
    <t>10457</t>
  </si>
  <si>
    <t>厦门亿华辉工贸有限公司</t>
  </si>
  <si>
    <t>硬件成本</t>
  </si>
  <si>
    <t>结构</t>
  </si>
  <si>
    <t>N31805000286</t>
  </si>
  <si>
    <t>存贮器 SX770 (U盘)(32G)(联想)(RoHS)</t>
  </si>
  <si>
    <t>10837</t>
  </si>
  <si>
    <t>增利(上海)电子科技有限公司</t>
  </si>
  <si>
    <t>N60202002907</t>
  </si>
  <si>
    <t>弱电接插件 JCR04-70-036 (朝宏)(RoHS)</t>
  </si>
  <si>
    <t>10024</t>
  </si>
  <si>
    <t>厦门市朝宏电子科技有限公司</t>
  </si>
  <si>
    <t>N60202002908</t>
  </si>
  <si>
    <t>弱电接插件 JCR02-10-131 (朝宏)(RoHS)</t>
  </si>
  <si>
    <t>N60202002909</t>
  </si>
  <si>
    <t>弱电接插件 JCR01-150-004 (朝宏)(RoHS)</t>
  </si>
  <si>
    <t>N60203001231</t>
  </si>
  <si>
    <t>强电接插件 JCQ04-70-006 (朝宏)(RoHS)</t>
  </si>
  <si>
    <t>N60203001232</t>
  </si>
  <si>
    <t>强电接插件 JCQ03-180-001 (朝宏)(RoHS)</t>
  </si>
  <si>
    <t>N60203001257</t>
  </si>
  <si>
    <t>强电接插件 JCQ01-60-058 (20P电源线)(驱动接滤波)(N)(RoHS)</t>
  </si>
  <si>
    <t>N60203001261</t>
  </si>
  <si>
    <t>强电接插件 JCQ01-20-334 (20P电源线)(滤波接线排)(N)(RoHS)</t>
  </si>
  <si>
    <t>N60203001262</t>
  </si>
  <si>
    <t>强电接插件 JCQ01-60-059 (26P电源线)(驱动接滤波)(R)(RoHS)</t>
  </si>
  <si>
    <t>N60203001263</t>
  </si>
  <si>
    <t>强电接插件 JCQ01-60-060 (26P电源线)(驱动接滤波)(S)(RoHS)</t>
  </si>
  <si>
    <t>N60203001264</t>
  </si>
  <si>
    <t>强电接插件 JCQ01-60-061 (26P电源线)(驱动接滤波)(T)(RoHS)</t>
  </si>
  <si>
    <t>N60203001266</t>
  </si>
  <si>
    <t>强电接插件 JCQ01-10-190 (26P电源线)(滤波接线排)(R)(RoHS)</t>
  </si>
  <si>
    <t>N60203001267</t>
  </si>
  <si>
    <t>强电接插件 JCQ01-10-191 (26P电源线)(滤波接线排)(S)(RoHS)</t>
  </si>
  <si>
    <t>N60203001268</t>
  </si>
  <si>
    <t>强电接插件 JCQ01-10-192 (26P电源线)(滤波接线排)(T)(RoHS)</t>
  </si>
  <si>
    <t>N60602000345</t>
  </si>
  <si>
    <t>接线排 T1601-2 (28.8X4P)(B00000004772)(天加专用))(黄中电器)(RoHS)</t>
  </si>
  <si>
    <t>10430</t>
  </si>
  <si>
    <t>N60703001632</t>
  </si>
  <si>
    <t>标签 BQ5525Y001-NJTJ (警告标识)(B21101QZ)(背胶)(RoHS)</t>
  </si>
  <si>
    <t>N60703001633</t>
  </si>
  <si>
    <t>标签 BQ297210W001-NJTJ (参数查询标识)(B2110213)(背胶)(RoHS)</t>
  </si>
  <si>
    <t>N70901000396</t>
  </si>
  <si>
    <t>螺丝组件 4X12PM 304不锈钢(带平垫、弹垫)(72h盐雾)(新沪厦/磊峰)(RoHS)</t>
  </si>
  <si>
    <t>N70901000683</t>
  </si>
  <si>
    <t>螺丝 4X25PA SUS304(72h盐雾)(新沪厦)(RoHS)</t>
  </si>
  <si>
    <t>螺丝 4X25PA SUS304(72h盐雾)(RoHS)</t>
  </si>
  <si>
    <t>10452</t>
  </si>
  <si>
    <t>N70901000686</t>
  </si>
  <si>
    <t>螺丝 4X30PM SUS304(72h盐雾)(新沪厦)(RoHS)</t>
  </si>
  <si>
    <t>螺丝 4X30PM SUS304(72h盐雾)(RoHS)</t>
  </si>
  <si>
    <t>N70901000687</t>
  </si>
  <si>
    <t>螺丝组件 PM5X10-D10 H65黄铜(4.8,100HV)(黄铜平垫)(新沪厦)(RoHS)</t>
  </si>
  <si>
    <t>螺丝组件 PM5X10-D10 H65黄铜(4.8,100HV)(黄铜平垫)(RoHS)</t>
  </si>
  <si>
    <t>N70917000057</t>
  </si>
  <si>
    <t>金属架 NJTJ (20P)(电控驱动安装板组件)(P7B2D6300008)(广汇田)(RoHS)</t>
  </si>
  <si>
    <t>10812</t>
  </si>
  <si>
    <t>厦门旺永机械有限公司</t>
  </si>
  <si>
    <t>N70917000058</t>
  </si>
  <si>
    <t>金属架 NJTJ (20P)(电控主控安装板组件)(P7B2D6300010)(广汇田)(RoHS)</t>
  </si>
  <si>
    <t>N70917000070</t>
  </si>
  <si>
    <t>金属架 NJTJ (散热器固定架)(RoHS)</t>
  </si>
  <si>
    <t>林小海</t>
  </si>
  <si>
    <t>N71010002861</t>
  </si>
  <si>
    <t>塑胶壳 N302D5200001-NJTJ (主控制板底托)(天加专用)(依友)(RoHS)</t>
  </si>
  <si>
    <t>509</t>
  </si>
  <si>
    <t>10200</t>
  </si>
  <si>
    <t>南京依友空调配件有限公司</t>
  </si>
  <si>
    <t>N71010002954</t>
  </si>
  <si>
    <t>塑胶壳 P70046200009-NJTJ (下压线扣)(天加专用)(依友)(RoHS)</t>
  </si>
  <si>
    <t>N71010002955</t>
  </si>
  <si>
    <t>塑胶壳 P70046200010-NJTJ (上压线扣)(天加专用)(依友)(RoHS)</t>
  </si>
  <si>
    <t>N71012000335</t>
  </si>
  <si>
    <t>塑胶座 U型线卡 (P71468600001)(天加专用)(RoHS)</t>
  </si>
  <si>
    <t>塑胶座 U型线卡 (P71468600001)(RoHS)</t>
  </si>
  <si>
    <t>杨涛</t>
  </si>
  <si>
    <t>10405</t>
  </si>
  <si>
    <t>厦门罗克科技有限公司</t>
  </si>
  <si>
    <t>N71014000079</t>
  </si>
  <si>
    <t>塑胶线夹 5X150 (插销自锁式)(孔径5)(广汇田)(RoHS)</t>
  </si>
  <si>
    <t>10384</t>
  </si>
  <si>
    <t>厦门广汇田电子设备有限公司</t>
  </si>
  <si>
    <t>N71014000080</t>
  </si>
  <si>
    <t>塑胶线夹 CHA-5 白色(插销式线夹)(罗克)(RoHS)</t>
  </si>
  <si>
    <t>结构成本</t>
  </si>
  <si>
    <t>2025-10-13 辅料成本</t>
  </si>
  <si>
    <t>物料代码</t>
  </si>
  <si>
    <t>数量</t>
  </si>
  <si>
    <t>单位</t>
  </si>
  <si>
    <t>单价</t>
  </si>
  <si>
    <t>N40719000013</t>
  </si>
  <si>
    <t>锡膏 TF-2600(DN代码:9YC89C1) (Sn96.5Ag3.0Cu0.5)(RoHS)</t>
  </si>
  <si>
    <t>KG</t>
  </si>
  <si>
    <t>N40716000018</t>
  </si>
  <si>
    <t>锡丝 BSD620-W Sn0.3Ag0.7Cu(φ3.0)(博士达)(RoHS)</t>
  </si>
  <si>
    <t>N40716000015</t>
  </si>
  <si>
    <t>锡丝 YTW101 Sn0.7Cu,Flux2.4％(φ0.8)(亚通)(RoHS)</t>
  </si>
  <si>
    <t>按V3.0计算用量</t>
  </si>
  <si>
    <t>458F007</t>
  </si>
  <si>
    <t>助焊剂 TF-328 (深圳同方)(RoHS)</t>
  </si>
  <si>
    <t>L</t>
  </si>
  <si>
    <t>409012</t>
  </si>
  <si>
    <t>导热硅脂 HZ-KS101 (百合花)(RoHS)</t>
  </si>
  <si>
    <t>BOT</t>
  </si>
  <si>
    <t>N40703000010</t>
  </si>
  <si>
    <t>硅胶 SB4568W (瞬利)(RoHS)</t>
  </si>
  <si>
    <t>G</t>
  </si>
  <si>
    <t>N40701000019</t>
  </si>
  <si>
    <t>绝缘漆 EA9187LH (道康宁)(RoHS)</t>
  </si>
  <si>
    <t>已按V3.0更新用量</t>
  </si>
  <si>
    <t>N40701000020</t>
  </si>
  <si>
    <t>绝缘漆 EA9187LUV (道康宁)(RoHS)</t>
  </si>
  <si>
    <t>已按V3.0版本报价</t>
  </si>
  <si>
    <t>合计</t>
  </si>
  <si>
    <t>2026-1-8包装方案</t>
  </si>
  <si>
    <t>N40501000405</t>
  </si>
  <si>
    <t>纸箱 665X393X405 (RoHS)</t>
  </si>
  <si>
    <t>N40505000140</t>
  </si>
  <si>
    <t>塑料袋 372X322X700 (防静电,厚度0.1mm)(RoHS)</t>
  </si>
  <si>
    <t>N40511000095</t>
  </si>
  <si>
    <t>泡沫 660×399×115 (EPS料,右侧，DRV-20P,26P包装用)(RoHS)</t>
  </si>
  <si>
    <t>10447</t>
  </si>
  <si>
    <t>厦门鹏源鑫工贸有限公司</t>
  </si>
  <si>
    <t>N40511000096</t>
  </si>
  <si>
    <t>泡沫 660×399×146 (EPS料,左侧，DRV-20P,26P包装用)(RoHS)</t>
  </si>
  <si>
    <t>XYHH2</t>
  </si>
  <si>
    <t>厦门亿华辉工贸有限公司（ZZ）</t>
  </si>
  <si>
    <t>新包装成本</t>
  </si>
  <si>
    <t>2026-1-8 辅料成本</t>
  </si>
  <si>
    <t>(Q251020183811524 / N10305002124 / DRV-26P-NJTJ(RoHS)中央式空调控制器驱动板组件(D5A13H000000))产品加工成本核算报表</t>
  </si>
  <si>
    <t>(Q260105085808046 / N10305002124 / DRV-26P-NJTJ(RoHS)中央式空调控制器驱动板组件(D5A13H000000))产品加工成本核算报表</t>
  </si>
  <si>
    <t>贴片、机插加工成本</t>
  </si>
  <si>
    <t>工序</t>
  </si>
  <si>
    <t>点数</t>
  </si>
  <si>
    <t>单点成本</t>
  </si>
  <si>
    <t>贴片</t>
  </si>
  <si>
    <t>机插</t>
  </si>
  <si>
    <t>预烧写</t>
  </si>
  <si>
    <t>分段名称</t>
  </si>
  <si>
    <t>工序类别</t>
  </si>
  <si>
    <t>生产定额</t>
  </si>
  <si>
    <t>人数</t>
  </si>
  <si>
    <t>装配段</t>
  </si>
  <si>
    <t>装配</t>
  </si>
  <si>
    <t>/</t>
  </si>
  <si>
    <t>FCT</t>
  </si>
  <si>
    <t>外观检验</t>
  </si>
  <si>
    <t>OQC</t>
  </si>
  <si>
    <t>产前准备</t>
  </si>
  <si>
    <t>杂项设备</t>
  </si>
  <si>
    <t>维修清尾</t>
  </si>
  <si>
    <t>包装</t>
  </si>
  <si>
    <t>插焊段</t>
  </si>
  <si>
    <t>插件</t>
  </si>
  <si>
    <t>焊接</t>
  </si>
  <si>
    <t>喷漆</t>
  </si>
  <si>
    <t>波峰焊</t>
  </si>
  <si>
    <t>整形</t>
  </si>
  <si>
    <t>ICT</t>
  </si>
  <si>
    <t>在线烧写</t>
  </si>
  <si>
    <t>插焊段2</t>
  </si>
  <si>
    <t>测试段</t>
  </si>
  <si>
    <t>总人工成本（含辅助人员）</t>
  </si>
  <si>
    <t>工装成本</t>
  </si>
  <si>
    <t>工艺</t>
  </si>
  <si>
    <t>工装名称</t>
  </si>
  <si>
    <t>年需求</t>
  </si>
  <si>
    <t>装配工装</t>
  </si>
  <si>
    <t>自动测试</t>
  </si>
  <si>
    <t>测试工装</t>
  </si>
  <si>
    <t>波峰焊托盘</t>
  </si>
  <si>
    <t>双面喷漆</t>
  </si>
  <si>
    <t>喷漆托盘</t>
  </si>
  <si>
    <t>自动测试工装</t>
  </si>
  <si>
    <t>ICT针床</t>
  </si>
  <si>
    <t>自动焊锡机</t>
  </si>
  <si>
    <t>自动焊接</t>
  </si>
  <si>
    <t>单面喷漆</t>
  </si>
  <si>
    <t>直接向客户收取</t>
  </si>
  <si>
    <t>加工成本汇总</t>
  </si>
  <si>
    <t>成本组成</t>
  </si>
  <si>
    <t>贴片、机插</t>
  </si>
  <si>
    <t>1</t>
  </si>
  <si>
    <t>2</t>
  </si>
  <si>
    <t>插焊、测试及其他工序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</si>
  <si>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</si>
  <si>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</si>
  <si>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</si>
  <si>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</si>
  <si>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</si>
  <si>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</si>
  <si>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</si>
  <si>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</si>
  <si>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</si>
  <si>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</si>
  <si>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r>
      <rPr>
        <sz val="10"/>
        <color theme="1"/>
        <rFont val="宋体"/>
        <family val="3"/>
        <charset val="134"/>
      </rPr>
      <t>模具开发费用</t>
    </r>
  </si>
  <si>
    <t>用量</t>
  </si>
  <si>
    <r>
      <rPr>
        <sz val="10"/>
        <color theme="1"/>
        <rFont val="宋体"/>
        <family val="3"/>
        <charset val="134"/>
      </rPr>
      <t>金额</t>
    </r>
  </si>
  <si>
    <r>
      <rPr>
        <sz val="10"/>
        <rFont val="宋体"/>
        <family val="3"/>
        <charset val="134"/>
      </rPr>
      <t>合计</t>
    </r>
  </si>
  <si>
    <t>软件开发费用</t>
  </si>
  <si>
    <r>
      <rPr>
        <sz val="10"/>
        <color theme="1"/>
        <rFont val="宋体"/>
        <family val="3"/>
        <charset val="134"/>
      </rPr>
      <t>序号</t>
    </r>
  </si>
  <si>
    <r>
      <rPr>
        <sz val="10"/>
        <color theme="1"/>
        <rFont val="宋体"/>
        <family val="3"/>
        <charset val="134"/>
      </rPr>
      <t>项目</t>
    </r>
  </si>
  <si>
    <r>
      <rPr>
        <sz val="10"/>
        <color theme="1"/>
        <rFont val="宋体"/>
        <family val="3"/>
        <charset val="134"/>
      </rPr>
      <t>工作量（人天</t>
    </r>
    <r>
      <rPr>
        <sz val="10"/>
        <color theme="1"/>
        <rFont val="Microsoft Sans Serif"/>
        <family val="2"/>
      </rPr>
      <t>)</t>
    </r>
  </si>
  <si>
    <t>单价(元/人天)</t>
  </si>
  <si>
    <r>
      <rPr>
        <sz val="10"/>
        <color theme="1"/>
        <rFont val="宋体"/>
        <family val="3"/>
        <charset val="134"/>
      </rPr>
      <t>硬件开发费用</t>
    </r>
  </si>
  <si>
    <t>工作量（人天)</t>
  </si>
  <si>
    <r>
      <rPr>
        <sz val="10"/>
        <color theme="1"/>
        <rFont val="宋体"/>
        <family val="3"/>
        <charset val="134"/>
      </rPr>
      <t>实验费用</t>
    </r>
  </si>
  <si>
    <t>时间（小时)</t>
  </si>
  <si>
    <t>微处理器 STM32F407ZGT6 LQFP144(ST)(RoHS)</t>
    <phoneticPr fontId="3" type="noConversion"/>
  </si>
  <si>
    <t>利润</t>
    <phoneticPr fontId="3" type="noConversion"/>
  </si>
  <si>
    <t>成本</t>
    <phoneticPr fontId="3" type="noConversion"/>
  </si>
  <si>
    <t>报价</t>
    <phoneticPr fontId="3" type="noConversion"/>
  </si>
  <si>
    <t>毛利</t>
    <phoneticPr fontId="3" type="noConversion"/>
  </si>
  <si>
    <t>金属架 NJTJ (20P)(电控驱动安装板组件)(P7B2D6300008)(广汇田)(RoHS)</t>
    <phoneticPr fontId="3" type="noConversion"/>
  </si>
  <si>
    <t>艾华报价</t>
    <phoneticPr fontId="3" type="noConversion"/>
  </si>
  <si>
    <t>希磁代理</t>
    <phoneticPr fontId="3" type="noConversion"/>
  </si>
  <si>
    <t>通信电路 ISO3082DWR SOIC16(TI)(编带)(RoHS)</t>
    <phoneticPr fontId="3" type="noConversion"/>
  </si>
  <si>
    <t>功率继电器 HF167F/12-HTF 12V(宏发)(RoHS)</t>
    <phoneticPr fontId="3" type="noConversion"/>
  </si>
  <si>
    <t>FR4印制板 GC-ACFB001 双层,喷锡,180.1X120X2,2拼板(RoHS)</t>
    <phoneticPr fontId="3" type="noConversion"/>
  </si>
  <si>
    <t>通信电路 ISO3082DWR SOIC16(TI)(编带)(RoHS)</t>
  </si>
  <si>
    <t>电流传感器 STK-50PL (希磁)(JCI 专用)(RoHS)</t>
    <phoneticPr fontId="3" type="noConversion"/>
  </si>
  <si>
    <t>存贮器 SX770 (U盘)(32G)(联想)(RoHS)</t>
    <phoneticPr fontId="3" type="noConversion"/>
  </si>
  <si>
    <t>片式电阻 RC0805FR-07300KL/0805W8F3003T5E 1/8W,300KΩ,1%,0805(国巨/厚声)(编带)(RoHS)</t>
    <phoneticPr fontId="3" type="noConversion"/>
  </si>
  <si>
    <t>片式电阻 GMR320HJCFAR100 7W,100mΩ,1%,2817(Rohm)(编带)(RoHS)</t>
    <phoneticPr fontId="3" type="noConversion"/>
  </si>
  <si>
    <t>逻辑电路 74LVC1G74DP,125 TSSOP8(Nexperia)(编带)(RoHS)</t>
    <phoneticPr fontId="3" type="noConversion"/>
  </si>
  <si>
    <t>最新未税单价</t>
  </si>
  <si>
    <t>涨价合计金额</t>
  </si>
  <si>
    <t>转配件</t>
    <phoneticPr fontId="3" type="noConversion"/>
  </si>
  <si>
    <t>散热器</t>
    <phoneticPr fontId="3" type="noConversion"/>
  </si>
  <si>
    <t>华联漏报要求增加</t>
    <phoneticPr fontId="3" type="noConversion"/>
  </si>
  <si>
    <t>滤波板底托</t>
    <phoneticPr fontId="3" type="noConversion"/>
  </si>
  <si>
    <t>驱动板底托</t>
    <phoneticPr fontId="3" type="noConversion"/>
  </si>
  <si>
    <t>螺丝</t>
    <phoneticPr fontId="3" type="noConversion"/>
  </si>
  <si>
    <t>原材料涨幅
66.09</t>
    <phoneticPr fontId="3" type="noConversion"/>
  </si>
  <si>
    <t>散热器+底托+螺丝105</t>
    <phoneticPr fontId="3" type="noConversion"/>
  </si>
  <si>
    <t>宏联</t>
    <phoneticPr fontId="3" type="noConversion"/>
  </si>
  <si>
    <t>26P</t>
  </si>
  <si>
    <t>D5A13H000000</t>
  </si>
  <si>
    <t>TIMS735EXV/9A4A</t>
  </si>
  <si>
    <t>8月</t>
  </si>
  <si>
    <t>9月</t>
  </si>
  <si>
    <t>10月</t>
  </si>
  <si>
    <t>11月</t>
  </si>
  <si>
    <t>12月</t>
  </si>
  <si>
    <t>物料</t>
  </si>
  <si>
    <t>型号</t>
  </si>
  <si>
    <t>品牌</t>
  </si>
  <si>
    <t>渠道</t>
  </si>
  <si>
    <t>交期</t>
  </si>
  <si>
    <t>降后价</t>
  </si>
  <si>
    <t>供应商</t>
  </si>
  <si>
    <t>2026-3-24降价</t>
  </si>
  <si>
    <t>累计降幅</t>
  </si>
  <si>
    <t>薄膜电容</t>
  </si>
  <si>
    <t>40μF/1100V/4Pin</t>
  </si>
  <si>
    <t>C125, C126, C127</t>
  </si>
  <si>
    <t>HI</t>
  </si>
  <si>
    <t>松下</t>
  </si>
  <si>
    <t>家中机也用</t>
  </si>
  <si>
    <t>港德</t>
  </si>
  <si>
    <t>4W</t>
  </si>
  <si>
    <t>共模滤波器</t>
  </si>
  <si>
    <t>CMF50F04QX1 4mH,50A(赛特勒)(RoHS)</t>
  </si>
  <si>
    <t>N32302000353</t>
  </si>
  <si>
    <t>菲尔泰科</t>
  </si>
  <si>
    <t>3W</t>
  </si>
  <si>
    <t>共模电感</t>
  </si>
  <si>
    <t>CM10100ZJ-1/9A/15mH</t>
  </si>
  <si>
    <t>2W</t>
  </si>
  <si>
    <t>PIM</t>
  </si>
  <si>
    <t>100A/1200V/FP100R12N2T7</t>
  </si>
  <si>
    <t>英飞凌</t>
  </si>
  <si>
    <t>晶川</t>
  </si>
  <si>
    <t>4-6W</t>
  </si>
  <si>
    <t>芯硕</t>
  </si>
  <si>
    <t>晶川2026-3-24降价</t>
  </si>
  <si>
    <t>栅极驱动IC</t>
  </si>
  <si>
    <t>1EDI20I12MF/SOP-8</t>
  </si>
  <si>
    <t>N8, N9, N10, N11, N12, N13</t>
  </si>
  <si>
    <t>IPM</t>
  </si>
  <si>
    <t>功率模块 RCI20C60D6U (20A,600V)(IPM模块)(NJTJ专用)(银河边缘)(RoHS)</t>
  </si>
  <si>
    <t>A2, A3</t>
  </si>
  <si>
    <t>国创</t>
  </si>
  <si>
    <t>银河</t>
  </si>
  <si>
    <t>2026-3-26降价 由银河转京西</t>
  </si>
  <si>
    <t>ACDC</t>
  </si>
  <si>
    <t>TOP264K/ESOP-12B</t>
  </si>
  <si>
    <t>PI</t>
  </si>
  <si>
    <t>北高智</t>
  </si>
  <si>
    <t>MCU</t>
  </si>
  <si>
    <t>R5F526T8ADFM/LQFP64</t>
  </si>
  <si>
    <t>N22, N23</t>
  </si>
  <si>
    <t>瑞萨</t>
  </si>
  <si>
    <t>　家中机也用</t>
  </si>
  <si>
    <t>新晔</t>
  </si>
  <si>
    <t>12W</t>
  </si>
  <si>
    <t>20P</t>
  </si>
  <si>
    <t>D5A13G000000</t>
  </si>
  <si>
    <t>TIMS560EXV9B4A</t>
  </si>
  <si>
    <t>家中机通用</t>
  </si>
  <si>
    <t>功率模块 FP75R12N2T7 (1.2KV,75A)(PIM模块)(Infineon)(RoHS)</t>
  </si>
  <si>
    <t>20P总成本</t>
    <phoneticPr fontId="3" type="noConversion"/>
  </si>
  <si>
    <t>26P总成本</t>
    <phoneticPr fontId="3" type="noConversion"/>
  </si>
  <si>
    <t>华联</t>
    <phoneticPr fontId="3" type="noConversion"/>
  </si>
  <si>
    <t>客供</t>
    <phoneticPr fontId="3" type="noConversion"/>
  </si>
  <si>
    <t>合计</t>
    <phoneticPr fontId="3" type="noConversion"/>
  </si>
  <si>
    <t>当前成本</t>
    <phoneticPr fontId="3" type="noConversion"/>
  </si>
  <si>
    <t>涨价后成本</t>
    <phoneticPr fontId="3" type="noConversion"/>
  </si>
  <si>
    <t>国创毛利</t>
    <phoneticPr fontId="3" type="noConversion"/>
  </si>
  <si>
    <t>售价（含税）</t>
    <phoneticPr fontId="3" type="noConversion"/>
  </si>
  <si>
    <t>成本（含税）</t>
    <phoneticPr fontId="3" type="noConversion"/>
  </si>
  <si>
    <t>成本</t>
  </si>
  <si>
    <t>报价</t>
  </si>
  <si>
    <t>利润</t>
  </si>
  <si>
    <t>毛利</t>
  </si>
  <si>
    <t>散热器+底托+螺丝105</t>
  </si>
  <si>
    <t>华联毛利</t>
    <phoneticPr fontId="3" type="noConversion"/>
  </si>
  <si>
    <t>成本
（含税）</t>
    <phoneticPr fontId="3" type="noConversion"/>
  </si>
  <si>
    <t>售价
（含税）</t>
    <phoneticPr fontId="3" type="noConversion"/>
  </si>
  <si>
    <t>毛利率</t>
    <phoneticPr fontId="3" type="noConversion"/>
  </si>
  <si>
    <t>涨价95</t>
    <phoneticPr fontId="3" type="noConversion"/>
  </si>
  <si>
    <t>涨价105</t>
    <phoneticPr fontId="3" type="noConversion"/>
  </si>
  <si>
    <t>涨价80</t>
    <phoneticPr fontId="3" type="noConversion"/>
  </si>
  <si>
    <t>聚丙烯膜电容 EZPV1B406MTC 40uF,10%,1.1KVdc,57.5X56X35,P=52.5(国创提供)(符合AEC-Q200)(Panasonic)(RoHS)</t>
    <phoneticPr fontId="3" type="noConversion"/>
  </si>
  <si>
    <t>涨价70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</si>
</sst>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0.0000_ "/>
    <numFmt numFmtId="177" formatCode="0.000_ "/>
    <numFmt numFmtId="178" formatCode="yyyy/m/d;@"/>
    <numFmt numFmtId="179" formatCode="0.0000_);[Red]\(0.0000\)"/>
    <numFmt numFmtId="180" formatCode="0.0%"/>
    <numFmt numFmtId="181" formatCode="0.00_ "/>
  </numFmts>
  <fonts count="39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theme="1"/>
      <name val="黑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Microsoft Sans Serif"/>
      <family val="2"/>
    </font>
    <font>
      <sz val="11"/>
      <color indexed="0"/>
      <name val="黑体"/>
      <family val="3"/>
      <charset val="134"/>
    </font>
    <font>
      <sz val="11"/>
      <color rgb="FF000000"/>
      <name val="黑体"/>
      <family val="3"/>
      <charset val="134"/>
    </font>
    <font>
      <sz val="11"/>
      <color rgb="FFFF0000"/>
      <name val="Microsoft Sans Serif"/>
      <family val="2"/>
    </font>
    <font>
      <sz val="11"/>
      <color theme="1"/>
      <name val="宋体"/>
      <family val="3"/>
      <charset val="134"/>
    </font>
    <font>
      <sz val="11"/>
      <name val="黑体"/>
      <family val="3"/>
      <charset val="134"/>
    </font>
    <font>
      <sz val="9"/>
      <color rgb="FFFF0000"/>
      <name val="Microsoft YaHei"/>
      <charset val="134"/>
    </font>
    <font>
      <sz val="11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indexed="8"/>
      <name val="黑体"/>
      <family val="3"/>
      <charset val="134"/>
    </font>
    <font>
      <sz val="9"/>
      <name val="宋体"/>
      <family val="3"/>
      <charset val="134"/>
    </font>
    <font>
      <strike/>
      <sz val="11"/>
      <color rgb="FFFF0000"/>
      <name val="等线"/>
      <family val="3"/>
      <charset val="134"/>
      <scheme val="minor"/>
    </font>
    <font>
      <sz val="10"/>
      <color theme="1"/>
      <name val="Microsoft Sans Serif"/>
      <family val="2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Microsoft Sans Serif"/>
      <family val="2"/>
    </font>
    <font>
      <sz val="10"/>
      <color rgb="FFFF0000"/>
      <name val="Microsoft Sans Serif"/>
      <family val="2"/>
    </font>
    <font>
      <b/>
      <sz val="10"/>
      <color theme="1"/>
      <name val="Microsoft Sans Serif"/>
      <family val="2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黑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/>
  </cellStyleXfs>
  <cellXfs count="251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7" fontId="14" fillId="0" borderId="1" xfId="2" applyNumberFormat="1" applyFont="1" applyFill="1" applyBorder="1" applyAlignment="1" applyProtection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right" vertical="center" wrapText="1"/>
    </xf>
    <xf numFmtId="176" fontId="17" fillId="0" borderId="1" xfId="0" applyNumberFormat="1" applyFont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" xfId="3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176" fontId="22" fillId="0" borderId="1" xfId="1" applyNumberFormat="1" applyFont="1" applyFill="1" applyBorder="1" applyAlignment="1">
      <alignment horizontal="center"/>
    </xf>
    <xf numFmtId="0" fontId="23" fillId="0" borderId="1" xfId="0" applyFont="1" applyBorder="1" applyAlignment="1" applyProtection="1">
      <alignment horizontal="center" vertical="center"/>
      <protection locked="0"/>
    </xf>
    <xf numFmtId="0" fontId="22" fillId="0" borderId="3" xfId="0" applyFont="1" applyBorder="1" applyAlignment="1">
      <alignment horizontal="center" vertical="center" wrapText="1"/>
    </xf>
    <xf numFmtId="176" fontId="22" fillId="0" borderId="1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2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right" vertical="center" wrapText="1"/>
    </xf>
    <xf numFmtId="176" fontId="0" fillId="0" borderId="1" xfId="0" applyNumberFormat="1" applyFont="1" applyBorder="1" applyAlignment="1">
      <alignment vertical="center" wrapText="1"/>
    </xf>
    <xf numFmtId="0" fontId="0" fillId="4" borderId="1" xfId="0" applyFont="1" applyFill="1" applyBorder="1" applyAlignment="1">
      <alignment horizontal="right" vertical="center" wrapText="1"/>
    </xf>
    <xf numFmtId="0" fontId="0" fillId="5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right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4" fillId="7" borderId="17" xfId="0" applyFont="1" applyFill="1" applyBorder="1" applyAlignment="1">
      <alignment horizontal="center" vertical="center" wrapText="1"/>
    </xf>
    <xf numFmtId="176" fontId="4" fillId="7" borderId="17" xfId="0" applyNumberFormat="1" applyFont="1" applyFill="1" applyBorder="1" applyAlignment="1">
      <alignment horizontal="center" vertical="center" wrapText="1"/>
    </xf>
    <xf numFmtId="10" fontId="4" fillId="7" borderId="17" xfId="2" applyNumberFormat="1" applyFont="1" applyFill="1" applyBorder="1" applyAlignment="1">
      <alignment horizontal="center" vertical="center" wrapText="1"/>
    </xf>
    <xf numFmtId="180" fontId="4" fillId="7" borderId="17" xfId="2" applyNumberFormat="1" applyFont="1" applyFill="1" applyBorder="1" applyAlignment="1">
      <alignment horizontal="center" vertical="center" wrapText="1"/>
    </xf>
    <xf numFmtId="181" fontId="4" fillId="7" borderId="17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right" vertical="center" wrapText="1"/>
    </xf>
    <xf numFmtId="57" fontId="4" fillId="9" borderId="2" xfId="0" applyNumberFormat="1" applyFont="1" applyFill="1" applyBorder="1" applyAlignment="1">
      <alignment horizontal="center" vertical="center" wrapText="1"/>
    </xf>
    <xf numFmtId="57" fontId="4" fillId="5" borderId="2" xfId="0" applyNumberFormat="1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25" fillId="7" borderId="17" xfId="0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right" vertical="center" wrapText="1"/>
    </xf>
    <xf numFmtId="0" fontId="0" fillId="7" borderId="17" xfId="0" applyFont="1" applyFill="1" applyBorder="1" applyAlignment="1">
      <alignment horizontal="right" vertical="center" wrapText="1"/>
    </xf>
    <xf numFmtId="0" fontId="0" fillId="7" borderId="0" xfId="0" applyFont="1" applyFill="1" applyAlignment="1">
      <alignment vertical="center" wrapText="1"/>
    </xf>
    <xf numFmtId="0" fontId="0" fillId="7" borderId="0" xfId="0" applyFont="1" applyFill="1"/>
    <xf numFmtId="14" fontId="0" fillId="7" borderId="17" xfId="0" applyNumberFormat="1" applyFont="1" applyFill="1" applyBorder="1" applyAlignment="1">
      <alignment horizontal="right" vertical="center" wrapText="1"/>
    </xf>
    <xf numFmtId="0" fontId="0" fillId="2" borderId="17" xfId="0" applyFont="1" applyFill="1" applyBorder="1" applyAlignment="1">
      <alignment horizontal="right" vertical="center" wrapText="1"/>
    </xf>
    <xf numFmtId="0" fontId="27" fillId="0" borderId="18" xfId="0" applyFont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28" fillId="0" borderId="0" xfId="0" applyFont="1" applyAlignment="1">
      <alignment horizontal="right" vertical="center" wrapText="1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vertical="center" wrapText="1"/>
    </xf>
    <xf numFmtId="0" fontId="28" fillId="10" borderId="18" xfId="0" applyFont="1" applyFill="1" applyBorder="1" applyAlignment="1">
      <alignment vertical="center" wrapText="1"/>
    </xf>
    <xf numFmtId="0" fontId="28" fillId="10" borderId="18" xfId="0" applyFont="1" applyFill="1" applyBorder="1" applyAlignment="1">
      <alignment horizontal="right" vertical="center" wrapText="1"/>
    </xf>
    <xf numFmtId="0" fontId="12" fillId="10" borderId="18" xfId="0" applyFont="1" applyFill="1" applyBorder="1" applyAlignment="1">
      <alignment horizontal="right" vertical="center" wrapText="1"/>
    </xf>
    <xf numFmtId="0" fontId="28" fillId="0" borderId="18" xfId="0" applyFont="1" applyBorder="1" applyAlignment="1">
      <alignment horizontal="right" vertical="center" wrapText="1"/>
    </xf>
    <xf numFmtId="176" fontId="28" fillId="0" borderId="18" xfId="0" applyNumberFormat="1" applyFont="1" applyBorder="1" applyAlignment="1">
      <alignment vertical="center" wrapText="1"/>
    </xf>
    <xf numFmtId="0" fontId="12" fillId="0" borderId="18" xfId="0" applyFont="1" applyBorder="1" applyAlignment="1">
      <alignment horizontal="right" vertical="center" wrapText="1"/>
    </xf>
    <xf numFmtId="0" fontId="28" fillId="11" borderId="18" xfId="0" applyFont="1" applyFill="1" applyBorder="1" applyAlignment="1">
      <alignment horizontal="right" vertical="center" wrapText="1"/>
    </xf>
    <xf numFmtId="0" fontId="28" fillId="5" borderId="18" xfId="0" applyFont="1" applyFill="1" applyBorder="1" applyAlignment="1">
      <alignment vertical="center" wrapText="1"/>
    </xf>
    <xf numFmtId="0" fontId="28" fillId="2" borderId="18" xfId="0" applyFont="1" applyFill="1" applyBorder="1" applyAlignment="1">
      <alignment vertical="center" wrapText="1"/>
    </xf>
    <xf numFmtId="0" fontId="28" fillId="2" borderId="18" xfId="0" applyFont="1" applyFill="1" applyBorder="1" applyAlignment="1">
      <alignment horizontal="right" vertical="center" wrapText="1"/>
    </xf>
    <xf numFmtId="0" fontId="12" fillId="2" borderId="18" xfId="0" applyFont="1" applyFill="1" applyBorder="1" applyAlignment="1">
      <alignment horizontal="right" vertical="center" wrapText="1"/>
    </xf>
    <xf numFmtId="0" fontId="0" fillId="0" borderId="17" xfId="0" applyBorder="1" applyAlignment="1">
      <alignment vertical="center"/>
    </xf>
    <xf numFmtId="0" fontId="13" fillId="0" borderId="17" xfId="0" applyFont="1" applyBorder="1" applyAlignment="1">
      <alignment vertical="center"/>
    </xf>
    <xf numFmtId="0" fontId="31" fillId="0" borderId="17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9" fontId="5" fillId="12" borderId="1" xfId="0" applyNumberFormat="1" applyFont="1" applyFill="1" applyBorder="1" applyAlignment="1">
      <alignment horizontal="center" vertical="center"/>
    </xf>
    <xf numFmtId="176" fontId="5" fillId="12" borderId="9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176" fontId="0" fillId="0" borderId="17" xfId="0" applyNumberFormat="1" applyBorder="1" applyAlignment="1">
      <alignment vertical="center"/>
    </xf>
    <xf numFmtId="57" fontId="4" fillId="12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5" fillId="2" borderId="22" xfId="0" applyFont="1" applyFill="1" applyBorder="1" applyAlignment="1">
      <alignment vertical="center"/>
    </xf>
    <xf numFmtId="0" fontId="35" fillId="2" borderId="25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7" fillId="0" borderId="22" xfId="0" applyFont="1" applyBorder="1" applyAlignment="1">
      <alignment vertical="center"/>
    </xf>
    <xf numFmtId="0" fontId="36" fillId="0" borderId="18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7" xfId="0" applyFont="1" applyBorder="1" applyAlignment="1">
      <alignment horizontal="right" vertical="center"/>
    </xf>
    <xf numFmtId="0" fontId="37" fillId="0" borderId="27" xfId="0" applyFont="1" applyBorder="1" applyAlignment="1">
      <alignment horizontal="center" vertical="center"/>
    </xf>
    <xf numFmtId="0" fontId="36" fillId="0" borderId="18" xfId="0" applyFont="1" applyBorder="1" applyAlignment="1">
      <alignment horizontal="left" vertical="center"/>
    </xf>
    <xf numFmtId="0" fontId="38" fillId="0" borderId="18" xfId="0" applyFont="1" applyBorder="1" applyAlignment="1">
      <alignment horizontal="center" vertical="center"/>
    </xf>
    <xf numFmtId="0" fontId="36" fillId="0" borderId="23" xfId="0" applyFont="1" applyBorder="1" applyAlignment="1">
      <alignment vertical="center"/>
    </xf>
    <xf numFmtId="0" fontId="36" fillId="0" borderId="27" xfId="0" applyFont="1" applyBorder="1" applyAlignment="1">
      <alignment horizontal="right"/>
    </xf>
    <xf numFmtId="0" fontId="36" fillId="0" borderId="28" xfId="0" applyFont="1" applyBorder="1" applyAlignment="1">
      <alignment horizontal="center" vertical="center"/>
    </xf>
    <xf numFmtId="0" fontId="36" fillId="0" borderId="27" xfId="0" applyFont="1" applyBorder="1"/>
    <xf numFmtId="0" fontId="36" fillId="0" borderId="18" xfId="0" applyFont="1" applyBorder="1" applyAlignment="1">
      <alignment vertical="center"/>
    </xf>
    <xf numFmtId="0" fontId="36" fillId="0" borderId="29" xfId="0" applyFont="1" applyBorder="1" applyAlignment="1">
      <alignment horizontal="right" vertical="center"/>
    </xf>
    <xf numFmtId="0" fontId="36" fillId="0" borderId="29" xfId="0" applyFont="1" applyBorder="1" applyAlignment="1">
      <alignment horizontal="center" vertical="center"/>
    </xf>
    <xf numFmtId="0" fontId="37" fillId="0" borderId="27" xfId="0" applyFont="1" applyBorder="1" applyAlignment="1">
      <alignment vertical="center"/>
    </xf>
    <xf numFmtId="0" fontId="36" fillId="0" borderId="18" xfId="0" applyFont="1" applyBorder="1" applyAlignment="1">
      <alignment horizontal="right" vertical="center"/>
    </xf>
    <xf numFmtId="0" fontId="36" fillId="11" borderId="18" xfId="0" applyFont="1" applyFill="1" applyBorder="1" applyAlignment="1">
      <alignment horizontal="center" vertical="center"/>
    </xf>
    <xf numFmtId="0" fontId="36" fillId="11" borderId="23" xfId="0" applyFont="1" applyFill="1" applyBorder="1" applyAlignment="1">
      <alignment horizontal="center" vertical="center"/>
    </xf>
    <xf numFmtId="0" fontId="36" fillId="11" borderId="27" xfId="0" applyFont="1" applyFill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18" xfId="0" applyFont="1" applyBorder="1" applyAlignment="1">
      <alignment horizontal="right"/>
    </xf>
    <xf numFmtId="0" fontId="36" fillId="0" borderId="18" xfId="0" applyFont="1" applyBorder="1"/>
    <xf numFmtId="0" fontId="36" fillId="0" borderId="23" xfId="0" applyFont="1" applyBorder="1"/>
    <xf numFmtId="0" fontId="36" fillId="5" borderId="27" xfId="0" applyFont="1" applyFill="1" applyBorder="1"/>
    <xf numFmtId="0" fontId="35" fillId="2" borderId="27" xfId="0" applyFont="1" applyFill="1" applyBorder="1" applyAlignment="1">
      <alignment horizontal="center" vertical="center"/>
    </xf>
    <xf numFmtId="0" fontId="35" fillId="0" borderId="22" xfId="0" applyFont="1" applyBorder="1" applyAlignment="1">
      <alignment vertical="center"/>
    </xf>
    <xf numFmtId="0" fontId="35" fillId="0" borderId="18" xfId="0" applyFont="1" applyBorder="1" applyAlignment="1">
      <alignment vertical="center"/>
    </xf>
    <xf numFmtId="0" fontId="36" fillId="0" borderId="30" xfId="0" applyFont="1" applyBorder="1" applyAlignment="1">
      <alignment horizontal="center" vertical="center"/>
    </xf>
    <xf numFmtId="0" fontId="36" fillId="0" borderId="27" xfId="0" applyFont="1" applyBorder="1" applyAlignment="1">
      <alignment vertical="center"/>
    </xf>
    <xf numFmtId="0" fontId="36" fillId="0" borderId="26" xfId="0" applyFont="1" applyBorder="1" applyAlignment="1">
      <alignment horizontal="left" vertical="center"/>
    </xf>
    <xf numFmtId="0" fontId="36" fillId="0" borderId="31" xfId="0" applyFont="1" applyBorder="1" applyAlignment="1">
      <alignment horizontal="center" vertical="center"/>
    </xf>
    <xf numFmtId="0" fontId="36" fillId="0" borderId="26" xfId="0" applyFont="1" applyBorder="1" applyAlignment="1">
      <alignment horizontal="right" vertical="center"/>
    </xf>
    <xf numFmtId="0" fontId="36" fillId="0" borderId="32" xfId="0" applyFont="1" applyBorder="1" applyAlignment="1">
      <alignment horizontal="center" vertical="center"/>
    </xf>
    <xf numFmtId="0" fontId="36" fillId="0" borderId="32" xfId="0" applyFont="1" applyBorder="1" applyAlignment="1">
      <alignment vertical="center"/>
    </xf>
    <xf numFmtId="0" fontId="36" fillId="0" borderId="32" xfId="0" applyFont="1" applyBorder="1"/>
    <xf numFmtId="0" fontId="37" fillId="0" borderId="32" xfId="0" applyFont="1" applyBorder="1" applyAlignment="1">
      <alignment vertical="center"/>
    </xf>
    <xf numFmtId="0" fontId="36" fillId="0" borderId="27" xfId="0" applyFont="1" applyBorder="1" applyAlignment="1">
      <alignment horizontal="left" vertical="center"/>
    </xf>
    <xf numFmtId="0" fontId="36" fillId="0" borderId="22" xfId="0" applyFont="1" applyBorder="1" applyAlignment="1">
      <alignment horizontal="right"/>
    </xf>
    <xf numFmtId="0" fontId="37" fillId="0" borderId="33" xfId="0" applyFont="1" applyBorder="1" applyAlignment="1">
      <alignment vertical="center"/>
    </xf>
    <xf numFmtId="0" fontId="36" fillId="0" borderId="33" xfId="0" applyFont="1" applyBorder="1"/>
    <xf numFmtId="0" fontId="0" fillId="2" borderId="17" xfId="0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0" fillId="2" borderId="17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0" fontId="0" fillId="0" borderId="0" xfId="2" applyNumberFormat="1" applyFont="1" applyAlignment="1">
      <alignment horizontal="right" vertical="center"/>
    </xf>
    <xf numFmtId="181" fontId="4" fillId="7" borderId="17" xfId="0" applyNumberFormat="1" applyFont="1" applyFill="1" applyBorder="1" applyAlignment="1">
      <alignment horizontal="right" vertical="center" wrapText="1"/>
    </xf>
    <xf numFmtId="181" fontId="0" fillId="0" borderId="17" xfId="0" applyNumberFormat="1" applyBorder="1" applyAlignment="1">
      <alignment horizontal="right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/>
    <xf numFmtId="0" fontId="25" fillId="0" borderId="0" xfId="0" applyFont="1" applyAlignment="1">
      <alignment vertical="center"/>
    </xf>
    <xf numFmtId="0" fontId="0" fillId="2" borderId="17" xfId="0" applyFill="1" applyBorder="1" applyAlignment="1">
      <alignment horizontal="center" vertical="center" wrapText="1"/>
    </xf>
    <xf numFmtId="2" fontId="0" fillId="0" borderId="17" xfId="0" applyNumberFormat="1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10" fontId="0" fillId="0" borderId="17" xfId="2" applyNumberFormat="1" applyFont="1" applyBorder="1" applyAlignment="1">
      <alignment horizontal="right" vertical="center"/>
    </xf>
    <xf numFmtId="176" fontId="0" fillId="0" borderId="17" xfId="0" applyNumberFormat="1" applyBorder="1" applyAlignment="1">
      <alignment horizontal="right" vertical="center"/>
    </xf>
    <xf numFmtId="10" fontId="0" fillId="0" borderId="17" xfId="0" applyNumberFormat="1" applyBorder="1" applyAlignment="1">
      <alignment horizontal="right" vertical="center"/>
    </xf>
    <xf numFmtId="57" fontId="0" fillId="0" borderId="17" xfId="0" applyNumberFormat="1" applyBorder="1" applyAlignment="1">
      <alignment horizontal="right" vertical="center"/>
    </xf>
    <xf numFmtId="180" fontId="0" fillId="0" borderId="17" xfId="0" applyNumberFormat="1" applyBorder="1" applyAlignment="1">
      <alignment horizontal="right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5" fillId="2" borderId="17" xfId="0" applyFont="1" applyFill="1" applyBorder="1" applyAlignment="1">
      <alignment horizontal="center" vertical="center"/>
    </xf>
    <xf numFmtId="9" fontId="5" fillId="12" borderId="17" xfId="0" applyNumberFormat="1" applyFont="1" applyFill="1" applyBorder="1" applyAlignment="1">
      <alignment horizontal="center" vertical="center"/>
    </xf>
    <xf numFmtId="176" fontId="5" fillId="12" borderId="1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 vertical="center" wrapText="1"/>
    </xf>
    <xf numFmtId="179" fontId="13" fillId="0" borderId="2" xfId="0" applyNumberFormat="1" applyFont="1" applyBorder="1" applyAlignment="1">
      <alignment horizontal="center" vertical="center" wrapText="1"/>
    </xf>
    <xf numFmtId="179" fontId="13" fillId="0" borderId="5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8" fillId="6" borderId="0" xfId="0" applyFont="1" applyFill="1" applyAlignment="1">
      <alignment horizontal="center" vertical="center" wrapText="1"/>
    </xf>
    <xf numFmtId="179" fontId="27" fillId="0" borderId="18" xfId="0" applyNumberFormat="1" applyFont="1" applyBorder="1" applyAlignment="1">
      <alignment horizontal="center" vertical="center" wrapText="1"/>
    </xf>
    <xf numFmtId="0" fontId="28" fillId="0" borderId="20" xfId="0" applyFont="1" applyBorder="1"/>
    <xf numFmtId="0" fontId="28" fillId="0" borderId="19" xfId="0" applyFont="1" applyBorder="1"/>
    <xf numFmtId="0" fontId="27" fillId="0" borderId="18" xfId="0" applyFont="1" applyBorder="1" applyAlignment="1">
      <alignment horizontal="center" vertical="center" wrapText="1"/>
    </xf>
    <xf numFmtId="0" fontId="12" fillId="0" borderId="20" xfId="0" applyFont="1" applyBorder="1"/>
    <xf numFmtId="178" fontId="27" fillId="0" borderId="18" xfId="0" applyNumberFormat="1" applyFont="1" applyBorder="1" applyAlignment="1">
      <alignment horizontal="center" vertical="center" wrapText="1"/>
    </xf>
    <xf numFmtId="179" fontId="28" fillId="0" borderId="18" xfId="0" applyNumberFormat="1" applyFont="1" applyBorder="1" applyAlignment="1">
      <alignment horizontal="center" vertical="center" wrapText="1"/>
    </xf>
    <xf numFmtId="0" fontId="35" fillId="2" borderId="21" xfId="0" applyFont="1" applyFill="1" applyBorder="1" applyAlignment="1">
      <alignment horizontal="center" vertical="center"/>
    </xf>
    <xf numFmtId="0" fontId="35" fillId="2" borderId="20" xfId="0" applyFont="1" applyFill="1" applyBorder="1" applyAlignment="1">
      <alignment horizontal="center" vertical="center"/>
    </xf>
    <xf numFmtId="0" fontId="35" fillId="2" borderId="19" xfId="0" applyFont="1" applyFill="1" applyBorder="1" applyAlignment="1">
      <alignment horizontal="center" vertical="center"/>
    </xf>
    <xf numFmtId="0" fontId="35" fillId="2" borderId="24" xfId="0" applyFont="1" applyFill="1" applyBorder="1" applyAlignment="1">
      <alignment horizontal="center" vertical="center"/>
    </xf>
    <xf numFmtId="0" fontId="35" fillId="2" borderId="34" xfId="0" applyFont="1" applyFill="1" applyBorder="1" applyAlignment="1">
      <alignment horizontal="center" vertical="center"/>
    </xf>
  </cellXfs>
  <cellStyles count="4">
    <cellStyle name="Normal_05-05-31 BOM_ERF2500_REL_PRE 2" xfId="3" xr:uid="{1C5309C1-1837-4B7E-99CD-352AFDD74DB2}"/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13516</xdr:rowOff>
    </xdr:from>
    <xdr:to>
      <xdr:col>0</xdr:col>
      <xdr:colOff>568960</xdr:colOff>
      <xdr:row>0</xdr:row>
      <xdr:rowOff>166279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CF18C292-9128-4CA9-80AD-5DD5279A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16"/>
          <a:ext cx="568960" cy="152763"/>
        </a:xfrm>
        <a:prstGeom prst="rect">
          <a:avLst/>
        </a:prstGeom>
      </xdr:spPr>
    </xdr:pic>
    <xdr:clientData/>
  </xdr:twoCellAnchor>
  <xdr:oneCellAnchor>
    <xdr:from>
      <xdr:col>11</xdr:col>
      <xdr:colOff>502284</xdr:colOff>
      <xdr:row>1</xdr:row>
      <xdr:rowOff>0</xdr:rowOff>
    </xdr:from>
    <xdr:ext cx="7239635" cy="8381365"/>
    <xdr:pic>
      <xdr:nvPicPr>
        <xdr:cNvPr id="3" name="图片 2">
          <a:extLst>
            <a:ext uri="{FF2B5EF4-FFF2-40B4-BE49-F238E27FC236}">
              <a16:creationId xmlns:a16="http://schemas.microsoft.com/office/drawing/2014/main" id="{F470F313-0790-4D6F-852A-80FED4109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3844" y="198120"/>
          <a:ext cx="7239635" cy="838136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13516</xdr:rowOff>
    </xdr:from>
    <xdr:to>
      <xdr:col>0</xdr:col>
      <xdr:colOff>568960</xdr:colOff>
      <xdr:row>0</xdr:row>
      <xdr:rowOff>166279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A30608F-3528-46EA-88CF-697801A7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16"/>
          <a:ext cx="568960" cy="1527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0108&#25104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10305002124报价单"/>
      <sheetName val="N10305002124原材料报价单"/>
      <sheetName val="N10305002124制造成本"/>
    </sheetNames>
    <sheetDataSet>
      <sheetData sheetId="0" refreshError="1"/>
      <sheetData sheetId="1" refreshError="1">
        <row r="15">
          <cell r="O15">
            <v>96.670199999999994</v>
          </cell>
        </row>
        <row r="288">
          <cell r="O288">
            <v>358.46316100000001</v>
          </cell>
        </row>
        <row r="321">
          <cell r="O321">
            <v>416.47980000000001</v>
          </cell>
        </row>
        <row r="342">
          <cell r="M342">
            <v>37.854900835814597</v>
          </cell>
        </row>
        <row r="355">
          <cell r="O355">
            <v>63.776499999999999</v>
          </cell>
        </row>
        <row r="375">
          <cell r="M375">
            <v>37.943115052160401</v>
          </cell>
        </row>
      </sheetData>
      <sheetData sheetId="2" refreshError="1">
        <row r="86">
          <cell r="G86">
            <v>48700</v>
          </cell>
          <cell r="P86">
            <v>48700</v>
          </cell>
        </row>
        <row r="111">
          <cell r="N111">
            <v>29499.115044247799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opLeftCell="A31" zoomScale="70" zoomScaleNormal="70" workbookViewId="0">
      <selection activeCell="G43" sqref="G43"/>
    </sheetView>
  </sheetViews>
  <sheetFormatPr defaultRowHeight="13.8"/>
  <cols>
    <col min="2" max="2" width="3.77734375" bestFit="1" customWidth="1"/>
    <col min="3" max="3" width="18.33203125" bestFit="1" customWidth="1"/>
    <col min="4" max="4" width="38.88671875" customWidth="1"/>
    <col min="5" max="5" width="39.21875" customWidth="1"/>
    <col min="6" max="6" width="14.33203125" customWidth="1"/>
    <col min="7" max="7" width="13.109375" bestFit="1" customWidth="1"/>
    <col min="8" max="8" width="7" customWidth="1"/>
    <col min="9" max="9" width="10.109375" customWidth="1"/>
    <col min="10" max="11" width="14.5546875" bestFit="1" customWidth="1"/>
  </cols>
  <sheetData>
    <row r="1" spans="1:11" ht="15.6">
      <c r="A1" s="203" t="s">
        <v>0</v>
      </c>
      <c r="B1" s="204"/>
      <c r="C1" s="204"/>
      <c r="D1" s="204"/>
      <c r="E1" s="205"/>
      <c r="F1" s="1"/>
      <c r="G1" s="1"/>
      <c r="H1" s="1"/>
      <c r="I1" s="1"/>
      <c r="J1" s="1"/>
      <c r="K1" s="1"/>
    </row>
    <row r="2" spans="1:11" ht="43.2">
      <c r="A2" s="2" t="s">
        <v>1</v>
      </c>
      <c r="B2" s="206" t="s">
        <v>2</v>
      </c>
      <c r="C2" s="207"/>
      <c r="D2" s="207"/>
      <c r="E2" s="208"/>
      <c r="F2" s="1"/>
      <c r="G2" s="1"/>
      <c r="H2" s="1"/>
      <c r="I2" s="1"/>
      <c r="J2" s="1"/>
      <c r="K2" s="1"/>
    </row>
    <row r="3" spans="1:11" ht="14.4">
      <c r="A3" s="209" t="s">
        <v>3</v>
      </c>
      <c r="B3" s="3">
        <v>1</v>
      </c>
      <c r="C3" s="3" t="s">
        <v>4</v>
      </c>
      <c r="D3" s="4" t="s">
        <v>5</v>
      </c>
      <c r="E3" s="4" t="s">
        <v>5</v>
      </c>
      <c r="F3" s="1"/>
      <c r="G3" s="1"/>
      <c r="H3" s="1"/>
      <c r="I3" s="1"/>
      <c r="J3" s="1"/>
      <c r="K3" s="1"/>
    </row>
    <row r="4" spans="1:11" ht="28.8">
      <c r="A4" s="210"/>
      <c r="B4" s="5">
        <v>2</v>
      </c>
      <c r="C4" s="5" t="s">
        <v>6</v>
      </c>
      <c r="D4" s="2" t="s">
        <v>7</v>
      </c>
      <c r="E4" s="2" t="s">
        <v>7</v>
      </c>
      <c r="F4" s="1"/>
      <c r="G4" s="1"/>
      <c r="H4" s="1"/>
      <c r="I4" s="1"/>
      <c r="J4" s="1"/>
      <c r="K4" s="1"/>
    </row>
    <row r="5" spans="1:11" ht="14.4">
      <c r="A5" s="210"/>
      <c r="B5" s="5">
        <v>3</v>
      </c>
      <c r="C5" s="6" t="s">
        <v>8</v>
      </c>
      <c r="D5" s="2" t="s">
        <v>9</v>
      </c>
      <c r="E5" s="2" t="s">
        <v>9</v>
      </c>
      <c r="F5" s="1"/>
      <c r="G5" s="1"/>
      <c r="H5" s="1"/>
      <c r="I5" s="1"/>
      <c r="J5" s="1"/>
      <c r="K5" s="1"/>
    </row>
    <row r="6" spans="1:11" ht="14.4">
      <c r="A6" s="210"/>
      <c r="B6" s="5">
        <v>4</v>
      </c>
      <c r="C6" s="5" t="s">
        <v>10</v>
      </c>
      <c r="D6" s="7">
        <v>45943.739764548598</v>
      </c>
      <c r="E6" s="8" t="s">
        <v>11</v>
      </c>
      <c r="F6" s="1"/>
      <c r="G6" s="1"/>
      <c r="H6" s="1"/>
      <c r="I6" s="1"/>
      <c r="J6" s="1"/>
      <c r="K6" s="1"/>
    </row>
    <row r="7" spans="1:11" ht="14.4">
      <c r="A7" s="210"/>
      <c r="B7" s="5">
        <v>5</v>
      </c>
      <c r="C7" s="5" t="s">
        <v>12</v>
      </c>
      <c r="D7" s="9">
        <v>5000</v>
      </c>
      <c r="E7" s="9">
        <v>5000</v>
      </c>
      <c r="F7" s="1"/>
      <c r="G7" s="1"/>
      <c r="H7" s="1"/>
      <c r="I7" s="1"/>
      <c r="J7" s="1"/>
      <c r="K7" s="1"/>
    </row>
    <row r="8" spans="1:11" ht="14.4">
      <c r="A8" s="210"/>
      <c r="B8" s="5">
        <v>6</v>
      </c>
      <c r="C8" s="10" t="s">
        <v>13</v>
      </c>
      <c r="D8" s="10">
        <v>50</v>
      </c>
      <c r="E8" s="10">
        <v>50</v>
      </c>
      <c r="F8" s="1"/>
      <c r="G8" s="1"/>
      <c r="H8" s="1"/>
      <c r="I8" s="1"/>
      <c r="J8" s="1"/>
      <c r="K8" s="1"/>
    </row>
    <row r="9" spans="1:11" ht="14.4">
      <c r="A9" s="210"/>
      <c r="B9" s="5">
        <v>7</v>
      </c>
      <c r="C9" s="10" t="s">
        <v>14</v>
      </c>
      <c r="D9" s="10"/>
      <c r="E9" s="10"/>
      <c r="F9" s="1"/>
      <c r="G9" s="1"/>
      <c r="H9" s="1"/>
      <c r="I9" s="1"/>
      <c r="J9" s="1"/>
      <c r="K9" s="1"/>
    </row>
    <row r="10" spans="1:11" ht="43.2">
      <c r="A10" s="211"/>
      <c r="B10" s="5">
        <v>8</v>
      </c>
      <c r="C10" s="9" t="s">
        <v>15</v>
      </c>
      <c r="D10" s="11" t="s">
        <v>16</v>
      </c>
      <c r="E10" s="11" t="s">
        <v>17</v>
      </c>
      <c r="F10" s="1"/>
      <c r="G10" s="1"/>
      <c r="H10" s="1"/>
      <c r="I10" s="1"/>
      <c r="J10" s="1"/>
      <c r="K10" s="1"/>
    </row>
    <row r="11" spans="1:11" ht="14.4">
      <c r="A11" s="192" t="s">
        <v>18</v>
      </c>
      <c r="B11" s="212"/>
      <c r="C11" s="193"/>
      <c r="D11" s="5" t="s">
        <v>19</v>
      </c>
      <c r="E11" s="5" t="s">
        <v>19</v>
      </c>
      <c r="F11" s="1"/>
      <c r="G11" s="1"/>
      <c r="H11" s="1"/>
      <c r="I11" s="1"/>
      <c r="J11" s="1"/>
      <c r="K11" s="1"/>
    </row>
    <row r="12" spans="1:11" ht="14.4">
      <c r="A12" s="209" t="s">
        <v>20</v>
      </c>
      <c r="B12" s="5">
        <v>1</v>
      </c>
      <c r="C12" s="5" t="s">
        <v>21</v>
      </c>
      <c r="D12" s="12">
        <f>[1]N10305002124原材料报价单!O288</f>
        <v>358.46316100000001</v>
      </c>
      <c r="E12" s="12">
        <f>[1]N10305002124原材料报价单!O288</f>
        <v>358.46316100000001</v>
      </c>
      <c r="F12" s="1"/>
      <c r="G12" s="1"/>
      <c r="H12" s="1"/>
      <c r="I12" s="1"/>
      <c r="J12" s="1"/>
      <c r="K12" s="1"/>
    </row>
    <row r="13" spans="1:11" ht="14.4">
      <c r="A13" s="210"/>
      <c r="B13" s="5">
        <v>2</v>
      </c>
      <c r="C13" s="6" t="s">
        <v>22</v>
      </c>
      <c r="D13" s="12">
        <f>[1]N10305002124原材料报价单!O321</f>
        <v>416.47980000000001</v>
      </c>
      <c r="E13" s="12">
        <f>[1]N10305002124原材料报价单!O321</f>
        <v>416.47980000000001</v>
      </c>
      <c r="F13" s="1"/>
      <c r="G13" s="1"/>
      <c r="H13" s="1"/>
      <c r="I13" s="1"/>
      <c r="J13" s="1"/>
      <c r="K13" s="1"/>
    </row>
    <row r="14" spans="1:11" ht="14.4">
      <c r="A14" s="210"/>
      <c r="B14" s="5">
        <v>3</v>
      </c>
      <c r="C14" s="6" t="s">
        <v>23</v>
      </c>
      <c r="D14" s="12">
        <f>[1]N10305002124原材料报价单!O15</f>
        <v>96.670199999999994</v>
      </c>
      <c r="E14" s="13">
        <f>[1]N10305002124原材料报价单!O355</f>
        <v>63.776499999999999</v>
      </c>
      <c r="F14" s="1"/>
      <c r="G14" s="1"/>
      <c r="H14" s="1"/>
      <c r="I14" s="1"/>
      <c r="J14" s="1"/>
      <c r="K14" s="1"/>
    </row>
    <row r="15" spans="1:11" ht="14.4">
      <c r="A15" s="210"/>
      <c r="B15" s="5">
        <v>4</v>
      </c>
      <c r="C15" s="5" t="s">
        <v>24</v>
      </c>
      <c r="D15" s="12">
        <f>[1]N10305002124原材料报价单!M342</f>
        <v>37.854900835814597</v>
      </c>
      <c r="E15" s="13">
        <f>[1]N10305002124原材料报价单!M375</f>
        <v>37.943115052160401</v>
      </c>
      <c r="F15" s="1"/>
      <c r="G15" s="1"/>
      <c r="H15" s="1"/>
      <c r="I15" s="1"/>
      <c r="J15" s="1"/>
      <c r="K15" s="1"/>
    </row>
    <row r="16" spans="1:11" ht="14.4">
      <c r="A16" s="211"/>
      <c r="B16" s="213" t="s">
        <v>25</v>
      </c>
      <c r="C16" s="214"/>
      <c r="D16" s="12">
        <f>SUM(D12:D15)</f>
        <v>909.46806183581464</v>
      </c>
      <c r="E16" s="12">
        <f>SUM(E12:E15)</f>
        <v>876.66257605216026</v>
      </c>
      <c r="F16" s="1"/>
      <c r="G16" s="1"/>
      <c r="H16" s="1"/>
      <c r="I16" s="1"/>
      <c r="J16" s="1"/>
      <c r="K16" s="1"/>
    </row>
    <row r="17" spans="1:11" ht="14.4">
      <c r="A17" s="209" t="s">
        <v>26</v>
      </c>
      <c r="B17" s="5">
        <v>5</v>
      </c>
      <c r="C17" s="14" t="s">
        <v>27</v>
      </c>
      <c r="D17" s="12">
        <v>6.1656000000000004</v>
      </c>
      <c r="E17" s="12">
        <v>6.1656000000000004</v>
      </c>
      <c r="F17" s="1"/>
      <c r="G17" s="1"/>
      <c r="H17" s="1"/>
      <c r="I17" s="1"/>
      <c r="J17" s="1"/>
      <c r="K17" s="1"/>
    </row>
    <row r="18" spans="1:11" ht="14.4">
      <c r="A18" s="210"/>
      <c r="B18" s="5">
        <v>6</v>
      </c>
      <c r="C18" s="14" t="s">
        <v>28</v>
      </c>
      <c r="D18" s="12">
        <v>0.2394</v>
      </c>
      <c r="E18" s="12">
        <v>0.2394</v>
      </c>
      <c r="F18" s="1"/>
      <c r="G18" s="1"/>
      <c r="H18" s="1"/>
      <c r="I18" s="1"/>
      <c r="J18" s="1"/>
      <c r="K18" s="1"/>
    </row>
    <row r="19" spans="1:11" ht="14.4">
      <c r="A19" s="210"/>
      <c r="B19" s="5">
        <v>7</v>
      </c>
      <c r="C19" s="14" t="s">
        <v>29</v>
      </c>
      <c r="D19" s="12">
        <v>0</v>
      </c>
      <c r="E19" s="12">
        <v>0</v>
      </c>
      <c r="F19" s="1"/>
      <c r="G19" s="1"/>
      <c r="H19" s="1"/>
      <c r="I19" s="1"/>
      <c r="J19" s="1"/>
      <c r="K19" s="1"/>
    </row>
    <row r="20" spans="1:11" ht="14.4">
      <c r="A20" s="210"/>
      <c r="B20" s="5">
        <v>8</v>
      </c>
      <c r="C20" s="14" t="s">
        <v>30</v>
      </c>
      <c r="D20" s="12">
        <v>111.0501</v>
      </c>
      <c r="E20" s="12">
        <v>82.088200000000001</v>
      </c>
      <c r="F20" s="1"/>
      <c r="G20" s="1"/>
      <c r="H20" s="1"/>
      <c r="I20" s="1"/>
      <c r="J20" s="1"/>
      <c r="K20" s="1"/>
    </row>
    <row r="21" spans="1:11" ht="14.4">
      <c r="A21" s="210"/>
      <c r="B21" s="5">
        <v>9</v>
      </c>
      <c r="C21" s="14" t="s">
        <v>31</v>
      </c>
      <c r="D21" s="12">
        <v>0.84240000000000004</v>
      </c>
      <c r="E21" s="12">
        <v>0.84240000000000004</v>
      </c>
      <c r="F21" s="1"/>
      <c r="G21" s="1"/>
      <c r="H21" s="1"/>
      <c r="I21" s="1"/>
      <c r="J21" s="1"/>
      <c r="K21" s="1"/>
    </row>
    <row r="22" spans="1:11" ht="14.4">
      <c r="A22" s="210"/>
      <c r="B22" s="5">
        <v>10</v>
      </c>
      <c r="C22" s="14" t="s">
        <v>32</v>
      </c>
      <c r="D22" s="12">
        <v>2.9761000000000002</v>
      </c>
      <c r="E22" s="12">
        <v>2.2000000000000002</v>
      </c>
      <c r="F22" s="1"/>
      <c r="G22" s="1"/>
      <c r="H22" s="1"/>
      <c r="I22" s="1"/>
      <c r="J22" s="1"/>
      <c r="K22" s="1"/>
    </row>
    <row r="23" spans="1:11" ht="14.4">
      <c r="A23" s="210"/>
      <c r="B23" s="5">
        <v>11</v>
      </c>
      <c r="C23" s="14" t="s">
        <v>33</v>
      </c>
      <c r="D23" s="12">
        <v>1.4744999999999999</v>
      </c>
      <c r="E23" s="12">
        <v>1.4744999999999999</v>
      </c>
      <c r="F23" s="1"/>
      <c r="G23" s="1"/>
      <c r="H23" s="1"/>
      <c r="I23" s="1"/>
      <c r="J23" s="1"/>
      <c r="K23" s="1"/>
    </row>
    <row r="24" spans="1:11" ht="14.4">
      <c r="A24" s="210"/>
      <c r="B24" s="5">
        <v>12</v>
      </c>
      <c r="C24" s="14" t="s">
        <v>34</v>
      </c>
      <c r="D24" s="12">
        <v>1.9988999999999999</v>
      </c>
      <c r="E24" s="12">
        <v>1.4776</v>
      </c>
      <c r="F24" s="1"/>
      <c r="G24" s="1"/>
      <c r="H24" s="1"/>
      <c r="I24" s="1"/>
      <c r="J24" s="1"/>
      <c r="K24" s="1"/>
    </row>
    <row r="25" spans="1:11" ht="14.4">
      <c r="A25" s="210"/>
      <c r="B25" s="5">
        <v>13</v>
      </c>
      <c r="C25" s="14" t="s">
        <v>35</v>
      </c>
      <c r="D25" s="12">
        <v>0</v>
      </c>
      <c r="E25" s="12">
        <v>0</v>
      </c>
      <c r="F25" s="1"/>
      <c r="G25" s="1"/>
      <c r="H25" s="1"/>
      <c r="I25" s="1"/>
      <c r="J25" s="1"/>
      <c r="K25" s="1"/>
    </row>
    <row r="26" spans="1:11" ht="14.4">
      <c r="A26" s="210"/>
      <c r="B26" s="5">
        <v>14</v>
      </c>
      <c r="C26" s="14" t="s">
        <v>36</v>
      </c>
      <c r="D26" s="12">
        <v>6.1521999999999997</v>
      </c>
      <c r="E26" s="12">
        <v>4.5476999999999999</v>
      </c>
      <c r="F26" s="1"/>
      <c r="G26" s="1"/>
      <c r="H26" s="1"/>
      <c r="I26" s="1"/>
      <c r="J26" s="1"/>
      <c r="K26" s="1"/>
    </row>
    <row r="27" spans="1:11" ht="14.4">
      <c r="A27" s="210"/>
      <c r="B27" s="5">
        <v>15</v>
      </c>
      <c r="C27" s="14" t="s">
        <v>37</v>
      </c>
      <c r="D27" s="12">
        <v>31.971299999999999</v>
      </c>
      <c r="E27" s="12">
        <v>21.367599999999999</v>
      </c>
      <c r="F27" s="1"/>
      <c r="G27" s="1"/>
      <c r="H27" s="1"/>
      <c r="I27" s="1"/>
      <c r="J27" s="1"/>
      <c r="K27" s="1"/>
    </row>
    <row r="28" spans="1:11" ht="14.4">
      <c r="A28" s="210"/>
      <c r="B28" s="5">
        <v>16</v>
      </c>
      <c r="C28" s="14" t="s">
        <v>38</v>
      </c>
      <c r="D28" s="12">
        <v>8.1510999999999996</v>
      </c>
      <c r="E28" s="12">
        <v>6.0252999999999997</v>
      </c>
      <c r="F28" s="1"/>
      <c r="G28" s="1"/>
      <c r="H28" s="1"/>
      <c r="I28" s="1"/>
      <c r="J28" s="1"/>
      <c r="K28" s="1"/>
    </row>
    <row r="29" spans="1:11" ht="14.4">
      <c r="A29" s="210"/>
      <c r="B29" s="5">
        <v>17</v>
      </c>
      <c r="C29" s="15" t="s">
        <v>39</v>
      </c>
      <c r="D29" s="12">
        <v>0</v>
      </c>
      <c r="E29" s="12">
        <v>0</v>
      </c>
      <c r="F29" s="1"/>
      <c r="G29" s="1"/>
      <c r="H29" s="1"/>
      <c r="I29" s="1"/>
      <c r="J29" s="1"/>
      <c r="K29" s="1"/>
    </row>
    <row r="30" spans="1:11" ht="14.4">
      <c r="A30" s="211"/>
      <c r="B30" s="200" t="s">
        <v>25</v>
      </c>
      <c r="C30" s="202"/>
      <c r="D30" s="12">
        <f>SUM(D17:D29)</f>
        <v>171.02159999999998</v>
      </c>
      <c r="E30" s="13">
        <f>SUM(E17:E29)</f>
        <v>126.42830000000001</v>
      </c>
      <c r="F30" s="1"/>
      <c r="G30" s="1"/>
      <c r="H30" s="1"/>
      <c r="I30" s="1"/>
      <c r="J30" s="1"/>
      <c r="K30" s="1"/>
    </row>
    <row r="31" spans="1:11" ht="14.4">
      <c r="A31" s="215" t="s">
        <v>40</v>
      </c>
      <c r="B31" s="5">
        <v>18</v>
      </c>
      <c r="C31" s="16" t="s">
        <v>41</v>
      </c>
      <c r="D31" s="12">
        <f>[1]N10305002124制造成本!G86</f>
        <v>48700</v>
      </c>
      <c r="E31" s="12">
        <f>[1]N10305002124制造成本!P86</f>
        <v>48700</v>
      </c>
      <c r="F31" s="1"/>
      <c r="G31" s="1"/>
      <c r="H31" s="1"/>
      <c r="I31" s="1"/>
      <c r="J31" s="1"/>
      <c r="K31" s="1"/>
    </row>
    <row r="32" spans="1:11" ht="14.4">
      <c r="A32" s="216"/>
      <c r="B32" s="5">
        <v>19</v>
      </c>
      <c r="C32" s="16" t="s">
        <v>42</v>
      </c>
      <c r="D32" s="12"/>
      <c r="E32" s="13">
        <f>[1]N10305002124制造成本!N111</f>
        <v>29499.115044247799</v>
      </c>
      <c r="F32" s="1"/>
      <c r="G32" s="1"/>
      <c r="H32" s="1"/>
      <c r="I32" s="1"/>
      <c r="J32" s="1"/>
      <c r="K32" s="1"/>
    </row>
    <row r="33" spans="1:11" ht="14.4">
      <c r="A33" s="216"/>
      <c r="B33" s="5">
        <v>20</v>
      </c>
      <c r="C33" s="17" t="s">
        <v>43</v>
      </c>
      <c r="D33" s="12"/>
      <c r="E33" s="12"/>
      <c r="F33" s="1"/>
      <c r="G33" s="1"/>
      <c r="H33" s="1"/>
      <c r="I33" s="1"/>
      <c r="J33" s="1"/>
      <c r="K33" s="1"/>
    </row>
    <row r="34" spans="1:11" ht="14.4">
      <c r="A34" s="216"/>
      <c r="B34" s="5">
        <v>21</v>
      </c>
      <c r="C34" s="9" t="s">
        <v>44</v>
      </c>
      <c r="D34" s="12"/>
      <c r="E34" s="12"/>
      <c r="F34" s="1"/>
      <c r="G34" s="1"/>
      <c r="H34" s="1"/>
      <c r="I34" s="1"/>
      <c r="J34" s="1"/>
      <c r="K34" s="1"/>
    </row>
    <row r="35" spans="1:11" ht="14.4">
      <c r="A35" s="216"/>
      <c r="B35" s="5">
        <v>22</v>
      </c>
      <c r="C35" s="9" t="s">
        <v>45</v>
      </c>
      <c r="D35" s="12"/>
      <c r="E35" s="12"/>
      <c r="F35" s="1"/>
      <c r="G35" s="1"/>
      <c r="H35" s="1"/>
      <c r="I35" s="1"/>
      <c r="J35" s="1"/>
      <c r="K35" s="1"/>
    </row>
    <row r="36" spans="1:11" ht="14.4">
      <c r="A36" s="216"/>
      <c r="B36" s="5">
        <v>23</v>
      </c>
      <c r="C36" s="17" t="s">
        <v>43</v>
      </c>
      <c r="D36" s="12"/>
      <c r="E36" s="12"/>
      <c r="F36" s="1"/>
      <c r="G36" s="1"/>
      <c r="H36" s="1"/>
      <c r="I36" s="1"/>
      <c r="J36" s="1"/>
      <c r="K36" s="1"/>
    </row>
    <row r="37" spans="1:11" ht="14.4">
      <c r="A37" s="216"/>
      <c r="B37" s="194" t="s">
        <v>46</v>
      </c>
      <c r="C37" s="196"/>
      <c r="D37" s="12">
        <f>SUM(D31:D36)</f>
        <v>48700</v>
      </c>
      <c r="E37" s="12">
        <f>SUM(E31:E36)</f>
        <v>78199.115044247796</v>
      </c>
      <c r="F37" s="1"/>
      <c r="G37" s="1"/>
      <c r="H37" s="1"/>
      <c r="I37" s="1"/>
      <c r="J37" s="1"/>
      <c r="K37" s="1"/>
    </row>
    <row r="38" spans="1:11" ht="14.4">
      <c r="A38" s="217"/>
      <c r="B38" s="5">
        <v>24</v>
      </c>
      <c r="C38" s="18" t="s">
        <v>47</v>
      </c>
      <c r="D38" s="12"/>
      <c r="E38" s="12"/>
      <c r="F38" s="1"/>
      <c r="G38" s="1"/>
      <c r="H38" s="1"/>
      <c r="I38" s="1"/>
      <c r="J38" s="1"/>
      <c r="K38" s="1"/>
    </row>
    <row r="39" spans="1:11" ht="14.4">
      <c r="A39" s="194" t="s">
        <v>48</v>
      </c>
      <c r="B39" s="195"/>
      <c r="C39" s="196"/>
      <c r="D39" s="12">
        <f>SUM(D16,D30,D38)</f>
        <v>1080.4896618358146</v>
      </c>
      <c r="E39" s="12">
        <f>SUM(E16,E30,E38)</f>
        <v>1003.0908760521603</v>
      </c>
      <c r="F39" s="1"/>
      <c r="G39" s="1"/>
      <c r="H39" s="1"/>
      <c r="I39" s="1"/>
      <c r="J39" s="1"/>
      <c r="K39" s="1"/>
    </row>
    <row r="40" spans="1:11" ht="14.4">
      <c r="A40" s="6"/>
      <c r="B40" s="192" t="s">
        <v>49</v>
      </c>
      <c r="C40" s="193"/>
      <c r="D40" s="12">
        <f>D39*1.35%</f>
        <v>14.586610434783498</v>
      </c>
      <c r="E40" s="12">
        <f>E39*1.35%</f>
        <v>13.541726826704165</v>
      </c>
      <c r="F40" s="1"/>
      <c r="H40" s="1"/>
      <c r="I40" s="1"/>
      <c r="J40" s="1"/>
      <c r="K40" s="1"/>
    </row>
    <row r="41" spans="1:11" ht="24.6" customHeight="1">
      <c r="A41" s="6"/>
      <c r="B41" s="192" t="s">
        <v>50</v>
      </c>
      <c r="C41" s="193"/>
      <c r="D41" s="19">
        <f>D39*1.1587794709673%</f>
        <v>12.520492387277422</v>
      </c>
      <c r="E41" s="19">
        <f>E39*1.1587794709673%</f>
        <v>11.62361114683848</v>
      </c>
      <c r="F41" s="74"/>
      <c r="G41" s="75" t="s">
        <v>2122</v>
      </c>
      <c r="H41" s="74" t="s">
        <v>2123</v>
      </c>
      <c r="I41" s="74" t="s">
        <v>2121</v>
      </c>
      <c r="J41" s="74" t="s">
        <v>2124</v>
      </c>
      <c r="K41" s="1"/>
    </row>
    <row r="42" spans="1:11" ht="28.8">
      <c r="A42" s="194" t="s">
        <v>51</v>
      </c>
      <c r="B42" s="195"/>
      <c r="C42" s="196"/>
      <c r="D42" s="12">
        <f>SUM(D39:D41)</f>
        <v>1107.5967646578756</v>
      </c>
      <c r="E42" s="12">
        <f>SUM(E39:E41)</f>
        <v>1028.256214025703</v>
      </c>
      <c r="F42" s="74" t="s">
        <v>2146</v>
      </c>
      <c r="G42" s="172">
        <f>E42+103</f>
        <v>1131.256214025703</v>
      </c>
      <c r="H42" s="74">
        <v>1180</v>
      </c>
      <c r="I42" s="78">
        <f>H42-G42</f>
        <v>48.743785974296998</v>
      </c>
      <c r="J42" s="76">
        <f>I42/H42</f>
        <v>4.1308293198556778E-2</v>
      </c>
      <c r="K42" s="81">
        <v>45931</v>
      </c>
    </row>
    <row r="43" spans="1:11" ht="29.4" customHeight="1">
      <c r="A43" s="197" t="s">
        <v>52</v>
      </c>
      <c r="B43" s="198"/>
      <c r="C43" s="199"/>
      <c r="D43" s="115">
        <v>0.3</v>
      </c>
      <c r="E43" s="115">
        <v>0.3</v>
      </c>
      <c r="F43" s="117" t="s">
        <v>2145</v>
      </c>
      <c r="G43" s="173">
        <f>G42+66.09</f>
        <v>1197.3462140257029</v>
      </c>
      <c r="H43" s="110">
        <v>1180</v>
      </c>
      <c r="I43" s="118">
        <f>H43-G43</f>
        <v>-17.34621402570292</v>
      </c>
      <c r="J43" s="76">
        <f>I43/H43</f>
        <v>-1.4700181377714339E-2</v>
      </c>
      <c r="K43" s="119">
        <v>46174</v>
      </c>
    </row>
    <row r="44" spans="1:11" ht="28.2" customHeight="1">
      <c r="A44" s="197" t="s">
        <v>53</v>
      </c>
      <c r="B44" s="198"/>
      <c r="C44" s="199"/>
      <c r="D44" s="116">
        <f>D42/(1-D43)</f>
        <v>1582.2810923683937</v>
      </c>
      <c r="E44" s="116">
        <f>E42/(1-E43)</f>
        <v>1468.9374486081472</v>
      </c>
      <c r="F44" s="74"/>
      <c r="G44" s="74"/>
      <c r="H44" s="74">
        <v>1285</v>
      </c>
      <c r="I44" s="78">
        <f>H44-G43</f>
        <v>87.65378597429708</v>
      </c>
      <c r="J44" s="77">
        <f>I44/H44</f>
        <v>6.8213063015017186E-2</v>
      </c>
      <c r="K44" s="80">
        <v>46204</v>
      </c>
    </row>
    <row r="45" spans="1:11" ht="14.4">
      <c r="A45" s="200" t="s">
        <v>54</v>
      </c>
      <c r="B45" s="201"/>
      <c r="C45" s="202"/>
      <c r="D45" s="20"/>
      <c r="E45" s="20"/>
      <c r="F45" s="1"/>
      <c r="G45" s="1"/>
      <c r="H45" s="1"/>
      <c r="I45" s="1"/>
      <c r="J45" s="1"/>
      <c r="K45" s="1"/>
    </row>
    <row r="46" spans="1:11" ht="14.4">
      <c r="A46" s="21" t="s">
        <v>55</v>
      </c>
      <c r="B46" s="22"/>
      <c r="C46" s="23"/>
      <c r="D46" s="23"/>
      <c r="E46" s="24"/>
      <c r="F46" s="1"/>
      <c r="G46" s="1"/>
      <c r="H46" s="1"/>
      <c r="I46" s="1"/>
      <c r="J46" s="1"/>
      <c r="K46" s="1"/>
    </row>
    <row r="47" spans="1:11" ht="14.4">
      <c r="A47" s="25" t="s">
        <v>56</v>
      </c>
      <c r="B47" s="26"/>
      <c r="C47" s="27"/>
      <c r="D47" s="27"/>
      <c r="E47" s="28"/>
      <c r="F47" s="1"/>
      <c r="G47" s="1"/>
      <c r="H47" s="1"/>
      <c r="I47" s="1"/>
      <c r="J47" s="1"/>
      <c r="K47" s="1"/>
    </row>
    <row r="48" spans="1:11" ht="14.4">
      <c r="A48" s="25" t="s">
        <v>57</v>
      </c>
      <c r="B48" s="26"/>
      <c r="C48" s="27"/>
      <c r="D48" s="27"/>
      <c r="E48" s="28"/>
      <c r="F48" s="1"/>
      <c r="G48" s="1"/>
      <c r="H48" s="1"/>
      <c r="I48" s="1"/>
      <c r="J48" s="1"/>
      <c r="K48" s="1"/>
    </row>
    <row r="49" spans="1:12" ht="14.4">
      <c r="A49" s="25" t="s">
        <v>58</v>
      </c>
      <c r="B49" s="26"/>
      <c r="C49" s="27"/>
      <c r="D49" s="27"/>
      <c r="E49" s="28"/>
      <c r="F49" s="1"/>
      <c r="G49" s="1"/>
      <c r="H49" s="1"/>
      <c r="I49" s="1"/>
      <c r="J49" s="1"/>
      <c r="K49" s="1"/>
    </row>
    <row r="50" spans="1:12" ht="14.4">
      <c r="A50" s="25" t="s">
        <v>59</v>
      </c>
      <c r="B50" s="26"/>
      <c r="C50" s="26"/>
      <c r="D50" s="26"/>
      <c r="E50" s="28"/>
      <c r="F50" s="1"/>
      <c r="G50" s="1"/>
      <c r="H50" s="1"/>
      <c r="I50" s="1"/>
      <c r="J50" s="1"/>
      <c r="K50" s="1"/>
    </row>
    <row r="51" spans="1:12" ht="14.4">
      <c r="A51" s="29"/>
      <c r="B51" s="30"/>
      <c r="C51" s="30"/>
      <c r="D51" s="30"/>
      <c r="E51" s="31"/>
      <c r="F51" s="1"/>
      <c r="G51" s="1"/>
      <c r="H51" s="1"/>
      <c r="I51" s="1"/>
      <c r="J51" s="1"/>
      <c r="K51" s="1"/>
    </row>
    <row r="53" spans="1:12" ht="20.399999999999999" customHeight="1">
      <c r="E53" s="44" t="s">
        <v>2220</v>
      </c>
      <c r="F53" s="167" t="s">
        <v>2218</v>
      </c>
      <c r="G53" s="167" t="s">
        <v>2215</v>
      </c>
      <c r="H53" s="167" t="s">
        <v>2216</v>
      </c>
      <c r="I53" s="167" t="s">
        <v>2217</v>
      </c>
      <c r="J53" s="175" t="s">
        <v>2222</v>
      </c>
      <c r="K53" s="174" t="s">
        <v>2221</v>
      </c>
    </row>
    <row r="54" spans="1:12" ht="18.600000000000001" customHeight="1">
      <c r="F54" s="167" t="s">
        <v>2214</v>
      </c>
      <c r="G54" s="167">
        <v>1180</v>
      </c>
      <c r="H54" s="168">
        <v>414.1146</v>
      </c>
      <c r="I54" s="169">
        <f>G54+H54</f>
        <v>1594.1145999999999</v>
      </c>
      <c r="J54" s="176">
        <f>I54*1.13</f>
        <v>1801.3494979999996</v>
      </c>
      <c r="K54" s="170">
        <v>2351.25</v>
      </c>
      <c r="L54" s="171">
        <f>1-J54/K54</f>
        <v>0.23387581158958015</v>
      </c>
    </row>
    <row r="55" spans="1:12" ht="20.399999999999999" customHeight="1">
      <c r="F55" s="167" t="s">
        <v>2213</v>
      </c>
      <c r="G55" s="167">
        <v>1180</v>
      </c>
      <c r="H55" s="168">
        <v>385.79599999999999</v>
      </c>
      <c r="I55" s="169">
        <f>G55+H55</f>
        <v>1565.796</v>
      </c>
      <c r="J55" s="176">
        <f>I55*1.13</f>
        <v>1769.3494799999999</v>
      </c>
      <c r="K55" s="170">
        <v>2313.25</v>
      </c>
      <c r="L55" s="171">
        <f>1-J55/K55</f>
        <v>0.23512396844266725</v>
      </c>
    </row>
    <row r="56" spans="1:12">
      <c r="J56" s="177"/>
    </row>
    <row r="57" spans="1:12" ht="21" customHeight="1">
      <c r="E57" s="44" t="s">
        <v>2220</v>
      </c>
      <c r="F57" s="167" t="s">
        <v>2219</v>
      </c>
      <c r="G57" s="167" t="s">
        <v>2215</v>
      </c>
      <c r="H57" s="167" t="s">
        <v>2216</v>
      </c>
      <c r="I57" s="167" t="s">
        <v>2217</v>
      </c>
      <c r="J57" s="177"/>
    </row>
    <row r="58" spans="1:12" ht="21" customHeight="1">
      <c r="F58" s="167" t="s">
        <v>2214</v>
      </c>
      <c r="G58" s="167">
        <f>1180+95</f>
        <v>1275</v>
      </c>
      <c r="H58" s="168">
        <v>414.1146</v>
      </c>
      <c r="I58" s="169">
        <f>G58+H58</f>
        <v>1689.1145999999999</v>
      </c>
      <c r="J58" s="176">
        <f>I58*1.13</f>
        <v>1908.6994979999997</v>
      </c>
      <c r="K58" s="170">
        <v>2351.25</v>
      </c>
      <c r="L58" s="171">
        <f>1-J58/K58</f>
        <v>0.18821924593301442</v>
      </c>
    </row>
    <row r="59" spans="1:12" ht="21" customHeight="1">
      <c r="F59" s="167" t="s">
        <v>2213</v>
      </c>
      <c r="G59" s="167">
        <f>1180+95</f>
        <v>1275</v>
      </c>
      <c r="H59" s="168">
        <v>385.79599999999999</v>
      </c>
      <c r="I59" s="169">
        <f>G59+H59</f>
        <v>1660.796</v>
      </c>
      <c r="J59" s="176">
        <f>I59*1.13</f>
        <v>1876.6994799999998</v>
      </c>
      <c r="K59" s="170">
        <v>2313.25</v>
      </c>
      <c r="L59" s="171">
        <f>1-J59/K59</f>
        <v>0.18871739760077821</v>
      </c>
    </row>
  </sheetData>
  <mergeCells count="17">
    <mergeCell ref="B40:C40"/>
    <mergeCell ref="A1:E1"/>
    <mergeCell ref="B2:E2"/>
    <mergeCell ref="A3:A10"/>
    <mergeCell ref="A11:C11"/>
    <mergeCell ref="A12:A16"/>
    <mergeCell ref="B16:C16"/>
    <mergeCell ref="A17:A30"/>
    <mergeCell ref="B30:C30"/>
    <mergeCell ref="A31:A38"/>
    <mergeCell ref="B37:C37"/>
    <mergeCell ref="A39:C39"/>
    <mergeCell ref="B41:C41"/>
    <mergeCell ref="A42:C42"/>
    <mergeCell ref="A43:C43"/>
    <mergeCell ref="A44:C44"/>
    <mergeCell ref="A45:C45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4EB9-15C6-441B-AFA7-8479496615DD}">
  <sheetPr>
    <pageSetUpPr fitToPage="1"/>
  </sheetPr>
  <dimension ref="A1:G67"/>
  <sheetViews>
    <sheetView tabSelected="1" workbookViewId="0">
      <selection activeCell="K55" sqref="K55"/>
    </sheetView>
  </sheetViews>
  <sheetFormatPr defaultRowHeight="13.8"/>
  <cols>
    <col min="1" max="1" width="14" customWidth="1"/>
    <col min="2" max="2" width="10.44140625" customWidth="1"/>
    <col min="3" max="3" width="16.109375" customWidth="1"/>
    <col min="4" max="4" width="26.88671875" customWidth="1"/>
    <col min="5" max="5" width="28" customWidth="1"/>
    <col min="6" max="6" width="11.5546875" customWidth="1"/>
  </cols>
  <sheetData>
    <row r="1" spans="1:5" ht="30" customHeight="1">
      <c r="A1" s="203" t="s">
        <v>0</v>
      </c>
      <c r="B1" s="204"/>
      <c r="C1" s="204"/>
      <c r="D1" s="204"/>
      <c r="E1" s="205"/>
    </row>
    <row r="2" spans="1:5" ht="28.8">
      <c r="A2" s="2" t="s">
        <v>1</v>
      </c>
      <c r="B2" s="206" t="s">
        <v>2</v>
      </c>
      <c r="C2" s="207"/>
      <c r="D2" s="207"/>
      <c r="E2" s="208"/>
    </row>
    <row r="3" spans="1:5" ht="14.4">
      <c r="A3" s="209" t="s">
        <v>3</v>
      </c>
      <c r="B3" s="120">
        <v>1</v>
      </c>
      <c r="C3" s="120" t="s">
        <v>4</v>
      </c>
      <c r="D3" s="121" t="s">
        <v>5</v>
      </c>
      <c r="E3" s="121" t="s">
        <v>5</v>
      </c>
    </row>
    <row r="4" spans="1:5" ht="43.2">
      <c r="A4" s="210"/>
      <c r="B4" s="5">
        <v>2</v>
      </c>
      <c r="C4" s="5" t="s">
        <v>6</v>
      </c>
      <c r="D4" s="2" t="s">
        <v>7</v>
      </c>
      <c r="E4" s="2" t="s">
        <v>7</v>
      </c>
    </row>
    <row r="5" spans="1:5" ht="28.8">
      <c r="A5" s="210"/>
      <c r="B5" s="5">
        <v>3</v>
      </c>
      <c r="C5" s="6" t="s">
        <v>8</v>
      </c>
      <c r="D5" s="2" t="s">
        <v>9</v>
      </c>
      <c r="E5" s="2" t="s">
        <v>9</v>
      </c>
    </row>
    <row r="6" spans="1:5" ht="14.4">
      <c r="A6" s="210"/>
      <c r="B6" s="5">
        <v>4</v>
      </c>
      <c r="C6" s="5" t="s">
        <v>10</v>
      </c>
      <c r="D6" s="7">
        <v>45943.739764548598</v>
      </c>
      <c r="E6" s="8" t="s">
        <v>11</v>
      </c>
    </row>
    <row r="7" spans="1:5" ht="14.4">
      <c r="A7" s="210"/>
      <c r="B7" s="5">
        <v>5</v>
      </c>
      <c r="C7" s="5" t="s">
        <v>12</v>
      </c>
      <c r="D7" s="9">
        <v>5000</v>
      </c>
      <c r="E7" s="9">
        <v>5000</v>
      </c>
    </row>
    <row r="8" spans="1:5">
      <c r="A8" s="210"/>
      <c r="B8" s="5">
        <v>6</v>
      </c>
      <c r="C8" s="10" t="s">
        <v>13</v>
      </c>
      <c r="D8" s="10">
        <v>50</v>
      </c>
      <c r="E8" s="10">
        <v>50</v>
      </c>
    </row>
    <row r="9" spans="1:5">
      <c r="A9" s="210"/>
      <c r="B9" s="5">
        <v>7</v>
      </c>
      <c r="C9" s="10" t="s">
        <v>14</v>
      </c>
      <c r="D9" s="10"/>
      <c r="E9" s="10"/>
    </row>
    <row r="10" spans="1:5" ht="57.6">
      <c r="A10" s="211"/>
      <c r="B10" s="5">
        <v>8</v>
      </c>
      <c r="C10" s="9" t="s">
        <v>15</v>
      </c>
      <c r="D10" s="11" t="s">
        <v>16</v>
      </c>
      <c r="E10" s="11" t="s">
        <v>17</v>
      </c>
    </row>
    <row r="11" spans="1:5" ht="14.4">
      <c r="A11" s="192" t="s">
        <v>18</v>
      </c>
      <c r="B11" s="212"/>
      <c r="C11" s="193"/>
      <c r="D11" s="5" t="s">
        <v>19</v>
      </c>
      <c r="E11" s="5" t="s">
        <v>19</v>
      </c>
    </row>
    <row r="12" spans="1:5" ht="14.4">
      <c r="A12" s="209" t="s">
        <v>20</v>
      </c>
      <c r="B12" s="5">
        <v>1</v>
      </c>
      <c r="C12" s="5" t="s">
        <v>21</v>
      </c>
      <c r="D12" s="12">
        <f>[1]N10305002124原材料报价单!O288</f>
        <v>358.46316100000001</v>
      </c>
      <c r="E12" s="12">
        <f>[1]N10305002124原材料报价单!O288</f>
        <v>358.46316100000001</v>
      </c>
    </row>
    <row r="13" spans="1:5" ht="14.4">
      <c r="A13" s="210"/>
      <c r="B13" s="5">
        <v>2</v>
      </c>
      <c r="C13" s="6" t="s">
        <v>22</v>
      </c>
      <c r="D13" s="12">
        <f>[1]N10305002124原材料报价单!O321</f>
        <v>416.47980000000001</v>
      </c>
      <c r="E13" s="12">
        <f>[1]N10305002124原材料报价单!O321</f>
        <v>416.47980000000001</v>
      </c>
    </row>
    <row r="14" spans="1:5" ht="14.4">
      <c r="A14" s="210"/>
      <c r="B14" s="5">
        <v>3</v>
      </c>
      <c r="C14" s="6" t="s">
        <v>23</v>
      </c>
      <c r="D14" s="12">
        <f>[1]N10305002124原材料报价单!O15</f>
        <v>96.670199999999994</v>
      </c>
      <c r="E14" s="13">
        <f>[1]N10305002124原材料报价单!O355</f>
        <v>63.776499999999999</v>
      </c>
    </row>
    <row r="15" spans="1:5" ht="14.4">
      <c r="A15" s="210"/>
      <c r="B15" s="5">
        <v>4</v>
      </c>
      <c r="C15" s="5" t="s">
        <v>24</v>
      </c>
      <c r="D15" s="12">
        <f>[1]N10305002124原材料报价单!M342</f>
        <v>37.854900835814597</v>
      </c>
      <c r="E15" s="13">
        <f>[1]N10305002124原材料报价单!M375</f>
        <v>37.943115052160401</v>
      </c>
    </row>
    <row r="16" spans="1:5" ht="14.4">
      <c r="A16" s="211"/>
      <c r="B16" s="213" t="s">
        <v>25</v>
      </c>
      <c r="C16" s="214"/>
      <c r="D16" s="12">
        <f>SUM(D12:D15)</f>
        <v>909.46806183581464</v>
      </c>
      <c r="E16" s="12">
        <f>SUM(E12:E15)</f>
        <v>876.66257605216026</v>
      </c>
    </row>
    <row r="17" spans="1:5" ht="14.4">
      <c r="A17" s="209" t="s">
        <v>26</v>
      </c>
      <c r="B17" s="5">
        <v>5</v>
      </c>
      <c r="C17" s="14" t="s">
        <v>27</v>
      </c>
      <c r="D17" s="12">
        <v>6.1656000000000004</v>
      </c>
      <c r="E17" s="12">
        <v>6.1656000000000004</v>
      </c>
    </row>
    <row r="18" spans="1:5" ht="14.4">
      <c r="A18" s="210"/>
      <c r="B18" s="5">
        <v>6</v>
      </c>
      <c r="C18" s="14" t="s">
        <v>28</v>
      </c>
      <c r="D18" s="12">
        <v>0.2394</v>
      </c>
      <c r="E18" s="12">
        <v>0.2394</v>
      </c>
    </row>
    <row r="19" spans="1:5" ht="14.4">
      <c r="A19" s="210"/>
      <c r="B19" s="5">
        <v>7</v>
      </c>
      <c r="C19" s="14" t="s">
        <v>29</v>
      </c>
      <c r="D19" s="12">
        <v>0</v>
      </c>
      <c r="E19" s="12">
        <v>0</v>
      </c>
    </row>
    <row r="20" spans="1:5" ht="14.4">
      <c r="A20" s="210"/>
      <c r="B20" s="5">
        <v>8</v>
      </c>
      <c r="C20" s="14" t="s">
        <v>30</v>
      </c>
      <c r="D20" s="12">
        <v>111.0501</v>
      </c>
      <c r="E20" s="12">
        <v>82.088200000000001</v>
      </c>
    </row>
    <row r="21" spans="1:5" ht="14.4">
      <c r="A21" s="210"/>
      <c r="B21" s="5">
        <v>9</v>
      </c>
      <c r="C21" s="14" t="s">
        <v>31</v>
      </c>
      <c r="D21" s="12">
        <v>0.84240000000000004</v>
      </c>
      <c r="E21" s="12">
        <v>0.84240000000000004</v>
      </c>
    </row>
    <row r="22" spans="1:5" ht="14.4">
      <c r="A22" s="210"/>
      <c r="B22" s="5">
        <v>10</v>
      </c>
      <c r="C22" s="14" t="s">
        <v>32</v>
      </c>
      <c r="D22" s="12">
        <v>2.9761000000000002</v>
      </c>
      <c r="E22" s="12">
        <v>2.2000000000000002</v>
      </c>
    </row>
    <row r="23" spans="1:5" ht="14.4">
      <c r="A23" s="210"/>
      <c r="B23" s="5">
        <v>11</v>
      </c>
      <c r="C23" s="14" t="s">
        <v>33</v>
      </c>
      <c r="D23" s="12">
        <v>1.4744999999999999</v>
      </c>
      <c r="E23" s="12">
        <v>1.4744999999999999</v>
      </c>
    </row>
    <row r="24" spans="1:5" ht="14.4">
      <c r="A24" s="210"/>
      <c r="B24" s="5">
        <v>12</v>
      </c>
      <c r="C24" s="14" t="s">
        <v>34</v>
      </c>
      <c r="D24" s="12">
        <v>1.9988999999999999</v>
      </c>
      <c r="E24" s="12">
        <v>1.4776</v>
      </c>
    </row>
    <row r="25" spans="1:5" ht="14.4">
      <c r="A25" s="210"/>
      <c r="B25" s="5">
        <v>13</v>
      </c>
      <c r="C25" s="14" t="s">
        <v>35</v>
      </c>
      <c r="D25" s="12">
        <v>0</v>
      </c>
      <c r="E25" s="12">
        <v>0</v>
      </c>
    </row>
    <row r="26" spans="1:5" ht="14.4">
      <c r="A26" s="210"/>
      <c r="B26" s="5">
        <v>14</v>
      </c>
      <c r="C26" s="14" t="s">
        <v>36</v>
      </c>
      <c r="D26" s="12">
        <v>6.1521999999999997</v>
      </c>
      <c r="E26" s="12">
        <v>4.5476999999999999</v>
      </c>
    </row>
    <row r="27" spans="1:5" ht="14.4">
      <c r="A27" s="210"/>
      <c r="B27" s="5">
        <v>15</v>
      </c>
      <c r="C27" s="14" t="s">
        <v>37</v>
      </c>
      <c r="D27" s="12">
        <v>31.971299999999999</v>
      </c>
      <c r="E27" s="12">
        <v>21.367599999999999</v>
      </c>
    </row>
    <row r="28" spans="1:5" ht="14.4">
      <c r="A28" s="210"/>
      <c r="B28" s="5">
        <v>16</v>
      </c>
      <c r="C28" s="14" t="s">
        <v>38</v>
      </c>
      <c r="D28" s="12">
        <v>8.1510999999999996</v>
      </c>
      <c r="E28" s="12">
        <v>6.0252999999999997</v>
      </c>
    </row>
    <row r="29" spans="1:5" ht="14.4">
      <c r="A29" s="210"/>
      <c r="B29" s="5">
        <v>17</v>
      </c>
      <c r="C29" s="15" t="s">
        <v>39</v>
      </c>
      <c r="D29" s="12">
        <v>0</v>
      </c>
      <c r="E29" s="12">
        <v>0</v>
      </c>
    </row>
    <row r="30" spans="1:5" ht="14.4">
      <c r="A30" s="211"/>
      <c r="B30" s="200" t="s">
        <v>25</v>
      </c>
      <c r="C30" s="202"/>
      <c r="D30" s="12">
        <f>SUM(D17:D29)</f>
        <v>171.02159999999998</v>
      </c>
      <c r="E30" s="13">
        <f>SUM(E17:E29)</f>
        <v>126.42830000000001</v>
      </c>
    </row>
    <row r="31" spans="1:5" ht="14.4">
      <c r="A31" s="215" t="s">
        <v>40</v>
      </c>
      <c r="B31" s="5">
        <v>18</v>
      </c>
      <c r="C31" s="16" t="s">
        <v>41</v>
      </c>
      <c r="D31" s="12">
        <f>[1]N10305002124制造成本!G86</f>
        <v>48700</v>
      </c>
      <c r="E31" s="12">
        <f>[1]N10305002124制造成本!P86</f>
        <v>48700</v>
      </c>
    </row>
    <row r="32" spans="1:5" ht="14.4">
      <c r="A32" s="216"/>
      <c r="B32" s="5">
        <v>19</v>
      </c>
      <c r="C32" s="16" t="s">
        <v>42</v>
      </c>
      <c r="D32" s="12"/>
      <c r="E32" s="13">
        <f>[1]N10305002124制造成本!N111</f>
        <v>29499.115044247799</v>
      </c>
    </row>
    <row r="33" spans="1:6">
      <c r="A33" s="216"/>
      <c r="B33" s="5">
        <v>20</v>
      </c>
      <c r="C33" s="17" t="s">
        <v>43</v>
      </c>
      <c r="D33" s="12"/>
      <c r="E33" s="12"/>
    </row>
    <row r="34" spans="1:6" ht="14.4">
      <c r="A34" s="216"/>
      <c r="B34" s="5">
        <v>21</v>
      </c>
      <c r="C34" s="9" t="s">
        <v>44</v>
      </c>
      <c r="D34" s="12"/>
      <c r="E34" s="12"/>
    </row>
    <row r="35" spans="1:6" ht="14.4">
      <c r="A35" s="216"/>
      <c r="B35" s="5">
        <v>22</v>
      </c>
      <c r="C35" s="9" t="s">
        <v>45</v>
      </c>
      <c r="D35" s="12"/>
      <c r="E35" s="12"/>
    </row>
    <row r="36" spans="1:6">
      <c r="A36" s="216"/>
      <c r="B36" s="5">
        <v>23</v>
      </c>
      <c r="C36" s="17" t="s">
        <v>43</v>
      </c>
      <c r="D36" s="12"/>
      <c r="E36" s="12"/>
    </row>
    <row r="37" spans="1:6" ht="14.4">
      <c r="A37" s="216"/>
      <c r="B37" s="194" t="s">
        <v>46</v>
      </c>
      <c r="C37" s="196"/>
      <c r="D37" s="12">
        <f>SUM(D31:D36)</f>
        <v>48700</v>
      </c>
      <c r="E37" s="12">
        <f>SUM(E31:E36)</f>
        <v>78199.115044247796</v>
      </c>
    </row>
    <row r="38" spans="1:6" ht="14.4">
      <c r="A38" s="217"/>
      <c r="B38" s="5">
        <v>24</v>
      </c>
      <c r="C38" s="18" t="s">
        <v>47</v>
      </c>
      <c r="D38" s="12"/>
      <c r="E38" s="12"/>
    </row>
    <row r="39" spans="1:6" ht="14.4">
      <c r="A39" s="194" t="s">
        <v>48</v>
      </c>
      <c r="B39" s="195"/>
      <c r="C39" s="196"/>
      <c r="D39" s="12">
        <f>SUM(D16,D30,D38)</f>
        <v>1080.4896618358146</v>
      </c>
      <c r="E39" s="12">
        <f>SUM(E16,E30,E38)</f>
        <v>1003.0908760521603</v>
      </c>
    </row>
    <row r="40" spans="1:6" ht="14.4">
      <c r="A40" s="6"/>
      <c r="B40" s="192" t="s">
        <v>49</v>
      </c>
      <c r="C40" s="193"/>
      <c r="D40" s="12">
        <f>D39*1.35%</f>
        <v>14.586610434783498</v>
      </c>
      <c r="E40" s="12">
        <f>E39*1.35%</f>
        <v>13.541726826704165</v>
      </c>
    </row>
    <row r="41" spans="1:6" ht="15.6">
      <c r="A41" s="6"/>
      <c r="B41" s="192" t="s">
        <v>50</v>
      </c>
      <c r="C41" s="193"/>
      <c r="D41" s="19">
        <f>D39*1.1587794709673%</f>
        <v>12.520492387277422</v>
      </c>
      <c r="E41" s="19">
        <f>E39*1.1587794709673%</f>
        <v>11.62361114683848</v>
      </c>
    </row>
    <row r="42" spans="1:6" ht="14.4">
      <c r="A42" s="194" t="s">
        <v>51</v>
      </c>
      <c r="B42" s="195"/>
      <c r="C42" s="196"/>
      <c r="D42" s="12">
        <f>SUM(D39:D41)</f>
        <v>1107.5967646578756</v>
      </c>
      <c r="E42" s="12">
        <f>SUM(E39:E41)</f>
        <v>1028.256214025703</v>
      </c>
    </row>
    <row r="43" spans="1:6" ht="14.4">
      <c r="A43" s="197" t="s">
        <v>52</v>
      </c>
      <c r="B43" s="198"/>
      <c r="C43" s="199"/>
      <c r="D43" s="190">
        <v>0.3</v>
      </c>
      <c r="E43" s="190">
        <v>0.3</v>
      </c>
    </row>
    <row r="44" spans="1:6" ht="14.4">
      <c r="A44" s="197" t="s">
        <v>53</v>
      </c>
      <c r="B44" s="198"/>
      <c r="C44" s="199"/>
      <c r="D44" s="191">
        <f>D42/(1-D43)</f>
        <v>1582.2810923683937</v>
      </c>
      <c r="E44" s="191">
        <f>E42/(1-E43)</f>
        <v>1468.9374486081472</v>
      </c>
    </row>
    <row r="47" spans="1:6" ht="21" customHeight="1">
      <c r="A47" s="189" t="s">
        <v>2228</v>
      </c>
      <c r="B47" s="183" t="s">
        <v>2223</v>
      </c>
      <c r="C47" s="181" t="s">
        <v>2224</v>
      </c>
      <c r="D47" s="181" t="s">
        <v>2225</v>
      </c>
      <c r="E47" s="181" t="s">
        <v>2226</v>
      </c>
      <c r="F47" s="181"/>
    </row>
    <row r="48" spans="1:6" ht="28.2" customHeight="1">
      <c r="A48" s="187" t="s">
        <v>2227</v>
      </c>
      <c r="B48" s="173">
        <f>E42+103</f>
        <v>1131.256214025703</v>
      </c>
      <c r="C48" s="181">
        <v>1180</v>
      </c>
      <c r="D48" s="173">
        <v>48.743785974296998</v>
      </c>
      <c r="E48" s="184">
        <v>4.1308293198556778E-2</v>
      </c>
      <c r="F48" s="185">
        <v>45931</v>
      </c>
    </row>
    <row r="49" spans="1:7" ht="28.2" customHeight="1">
      <c r="A49" s="187" t="s">
        <v>2145</v>
      </c>
      <c r="B49" s="173">
        <v>1197.3462140257</v>
      </c>
      <c r="C49" s="181">
        <v>1180</v>
      </c>
      <c r="D49" s="183">
        <v>-17.34621402570292</v>
      </c>
      <c r="E49" s="184">
        <v>-1.4700181377714339E-2</v>
      </c>
      <c r="F49" s="185">
        <v>46174</v>
      </c>
    </row>
    <row r="50" spans="1:7" ht="28.2" customHeight="1">
      <c r="A50" s="188" t="s">
        <v>2233</v>
      </c>
      <c r="B50" s="181"/>
      <c r="C50" s="181">
        <v>1285</v>
      </c>
      <c r="D50" s="173">
        <v>87.65378597429708</v>
      </c>
      <c r="E50" s="186">
        <v>6.8213063015017186E-2</v>
      </c>
      <c r="F50" s="185">
        <v>46204</v>
      </c>
    </row>
    <row r="52" spans="1:7" ht="25.05" customHeight="1">
      <c r="A52" s="178" t="s">
        <v>2220</v>
      </c>
    </row>
    <row r="53" spans="1:7" ht="25.05" customHeight="1">
      <c r="A53" s="189" t="s">
        <v>2218</v>
      </c>
      <c r="B53" s="167" t="s">
        <v>2215</v>
      </c>
      <c r="C53" s="167" t="s">
        <v>2216</v>
      </c>
      <c r="D53" s="167" t="s">
        <v>2217</v>
      </c>
      <c r="E53" s="179" t="s">
        <v>2229</v>
      </c>
      <c r="F53" s="179" t="s">
        <v>2230</v>
      </c>
      <c r="G53" s="167" t="s">
        <v>2231</v>
      </c>
    </row>
    <row r="54" spans="1:7" ht="25.05" customHeight="1">
      <c r="A54" s="167" t="s">
        <v>2214</v>
      </c>
      <c r="B54" s="167">
        <v>1180</v>
      </c>
      <c r="C54" s="168">
        <v>414.1146</v>
      </c>
      <c r="D54" s="169">
        <f>B54+C54</f>
        <v>1594.1145999999999</v>
      </c>
      <c r="E54" s="180">
        <f>D54*1.13</f>
        <v>1801.3494979999996</v>
      </c>
      <c r="F54" s="181">
        <v>2351.25</v>
      </c>
      <c r="G54" s="182">
        <f>1-E54/F54</f>
        <v>0.23387581158958015</v>
      </c>
    </row>
    <row r="55" spans="1:7" ht="25.05" customHeight="1">
      <c r="A55" s="167" t="s">
        <v>2213</v>
      </c>
      <c r="B55" s="167">
        <v>1180</v>
      </c>
      <c r="C55" s="168">
        <v>385.79599999999999</v>
      </c>
      <c r="D55" s="169">
        <f>B55+C55</f>
        <v>1565.796</v>
      </c>
      <c r="E55" s="180">
        <f>D55*1.13</f>
        <v>1769.3494799999999</v>
      </c>
      <c r="F55" s="181">
        <v>2313.25</v>
      </c>
      <c r="G55" s="182">
        <f>1-E55/F55</f>
        <v>0.23512396844266725</v>
      </c>
    </row>
    <row r="56" spans="1:7" ht="25.05" customHeight="1">
      <c r="A56" s="178" t="s">
        <v>2220</v>
      </c>
      <c r="E56" s="177"/>
    </row>
    <row r="57" spans="1:7" ht="25.05" customHeight="1">
      <c r="A57" s="189" t="s">
        <v>2232</v>
      </c>
      <c r="B57" s="167" t="s">
        <v>2215</v>
      </c>
      <c r="C57" s="167" t="s">
        <v>2216</v>
      </c>
      <c r="D57" s="167" t="s">
        <v>2217</v>
      </c>
      <c r="E57" s="179" t="s">
        <v>2229</v>
      </c>
      <c r="F57" s="179" t="s">
        <v>2230</v>
      </c>
      <c r="G57" s="167" t="s">
        <v>2231</v>
      </c>
    </row>
    <row r="58" spans="1:7" ht="25.05" customHeight="1">
      <c r="A58" s="167" t="s">
        <v>2214</v>
      </c>
      <c r="B58" s="167">
        <f>1180+95</f>
        <v>1275</v>
      </c>
      <c r="C58" s="168">
        <v>414.1146</v>
      </c>
      <c r="D58" s="169">
        <f>B58+C58</f>
        <v>1689.1145999999999</v>
      </c>
      <c r="E58" s="180">
        <f>D58*1.13</f>
        <v>1908.6994979999997</v>
      </c>
      <c r="F58" s="181">
        <v>2351.25</v>
      </c>
      <c r="G58" s="182">
        <f>1-E58/F58</f>
        <v>0.18821924593301442</v>
      </c>
    </row>
    <row r="59" spans="1:7" ht="25.05" customHeight="1">
      <c r="A59" s="167" t="s">
        <v>2213</v>
      </c>
      <c r="B59" s="167">
        <f>1180+95</f>
        <v>1275</v>
      </c>
      <c r="C59" s="168">
        <v>385.79599999999999</v>
      </c>
      <c r="D59" s="169">
        <f>B59+C59</f>
        <v>1660.796</v>
      </c>
      <c r="E59" s="180">
        <f>D59*1.13</f>
        <v>1876.6994799999998</v>
      </c>
      <c r="F59" s="181">
        <v>2313.25</v>
      </c>
      <c r="G59" s="182">
        <f>1-E59/F59</f>
        <v>0.18871739760077821</v>
      </c>
    </row>
    <row r="60" spans="1:7" ht="25.05" customHeight="1">
      <c r="A60" s="178" t="s">
        <v>2220</v>
      </c>
    </row>
    <row r="61" spans="1:7" ht="25.05" customHeight="1">
      <c r="A61" s="189" t="s">
        <v>2234</v>
      </c>
      <c r="B61" s="167" t="s">
        <v>2215</v>
      </c>
      <c r="C61" s="167" t="s">
        <v>2216</v>
      </c>
      <c r="D61" s="167" t="s">
        <v>2217</v>
      </c>
      <c r="E61" s="179" t="s">
        <v>2229</v>
      </c>
      <c r="F61" s="179" t="s">
        <v>2230</v>
      </c>
      <c r="G61" s="167" t="s">
        <v>2231</v>
      </c>
    </row>
    <row r="62" spans="1:7" ht="25.05" customHeight="1">
      <c r="A62" s="167" t="s">
        <v>2214</v>
      </c>
      <c r="B62" s="167">
        <f>1180+80</f>
        <v>1260</v>
      </c>
      <c r="C62" s="168">
        <v>414.1146</v>
      </c>
      <c r="D62" s="169">
        <f>B62+C62</f>
        <v>1674.1145999999999</v>
      </c>
      <c r="E62" s="180">
        <f>D62*1.13</f>
        <v>1891.7494979999997</v>
      </c>
      <c r="F62" s="181">
        <v>2351.25</v>
      </c>
      <c r="G62" s="182">
        <f>1-E62/F62</f>
        <v>0.1954281773524722</v>
      </c>
    </row>
    <row r="63" spans="1:7" ht="25.05" customHeight="1">
      <c r="A63" s="167" t="s">
        <v>2213</v>
      </c>
      <c r="B63" s="167">
        <f>1180+80</f>
        <v>1260</v>
      </c>
      <c r="C63" s="168">
        <v>385.79599999999999</v>
      </c>
      <c r="D63" s="169">
        <f>B63+C63</f>
        <v>1645.796</v>
      </c>
      <c r="E63" s="180">
        <f>D63*1.13</f>
        <v>1859.7494799999999</v>
      </c>
      <c r="F63" s="181">
        <v>2313.25</v>
      </c>
      <c r="G63" s="182">
        <f>1-E63/F63</f>
        <v>0.19604475089160278</v>
      </c>
    </row>
    <row r="64" spans="1:7" ht="25.05" customHeight="1">
      <c r="A64" s="178" t="s">
        <v>2220</v>
      </c>
    </row>
    <row r="65" spans="1:7" ht="25.05" customHeight="1">
      <c r="A65" s="189" t="s">
        <v>2236</v>
      </c>
      <c r="B65" s="167" t="s">
        <v>2215</v>
      </c>
      <c r="C65" s="167" t="s">
        <v>2216</v>
      </c>
      <c r="D65" s="167" t="s">
        <v>2217</v>
      </c>
      <c r="E65" s="179" t="s">
        <v>2229</v>
      </c>
      <c r="F65" s="179" t="s">
        <v>2230</v>
      </c>
      <c r="G65" s="167" t="s">
        <v>2231</v>
      </c>
    </row>
    <row r="66" spans="1:7" ht="25.05" customHeight="1">
      <c r="A66" s="167" t="s">
        <v>2214</v>
      </c>
      <c r="B66" s="167">
        <f>1180+70</f>
        <v>1250</v>
      </c>
      <c r="C66" s="168">
        <v>414.1146</v>
      </c>
      <c r="D66" s="169">
        <f>B66+C66</f>
        <v>1664.1145999999999</v>
      </c>
      <c r="E66" s="180">
        <f>D66*1.13</f>
        <v>1880.4494979999997</v>
      </c>
      <c r="F66" s="181">
        <v>2351.25</v>
      </c>
      <c r="G66" s="182">
        <f>1-E66/F66</f>
        <v>0.20023413163211068</v>
      </c>
    </row>
    <row r="67" spans="1:7" ht="25.05" customHeight="1">
      <c r="A67" s="167" t="s">
        <v>2213</v>
      </c>
      <c r="B67" s="167">
        <f>1180+70</f>
        <v>1250</v>
      </c>
      <c r="C67" s="168">
        <v>385.79599999999999</v>
      </c>
      <c r="D67" s="169">
        <f>B67+C67</f>
        <v>1635.796</v>
      </c>
      <c r="E67" s="180">
        <f>D67*1.13</f>
        <v>1848.44948</v>
      </c>
      <c r="F67" s="181">
        <v>2313.25</v>
      </c>
      <c r="G67" s="182">
        <f>1-E67/F67</f>
        <v>0.20092965308548583</v>
      </c>
    </row>
  </sheetData>
  <mergeCells count="16">
    <mergeCell ref="B41:C41"/>
    <mergeCell ref="A42:C42"/>
    <mergeCell ref="A43:C43"/>
    <mergeCell ref="A44:C44"/>
    <mergeCell ref="A17:A30"/>
    <mergeCell ref="B30:C30"/>
    <mergeCell ref="A31:A38"/>
    <mergeCell ref="B37:C37"/>
    <mergeCell ref="A39:C39"/>
    <mergeCell ref="B40:C40"/>
    <mergeCell ref="A1:E1"/>
    <mergeCell ref="B2:E2"/>
    <mergeCell ref="A3:A10"/>
    <mergeCell ref="A11:C11"/>
    <mergeCell ref="A12:A16"/>
    <mergeCell ref="B16:C16"/>
  </mergeCells>
  <phoneticPr fontId="3" type="noConversion"/>
  <pageMargins left="0.7" right="0.7" top="0.75" bottom="0.75" header="0.3" footer="0.3"/>
  <pageSetup paperSize="9" scale="67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3835-FA5B-49E1-8DAD-A6F0D7302B7E}">
  <dimension ref="A1:AI433"/>
  <sheetViews>
    <sheetView zoomScale="70" zoomScaleNormal="70" workbookViewId="0">
      <pane ySplit="4" topLeftCell="A5" activePane="bottomLeft" state="frozen"/>
      <selection activeCell="A4" sqref="A4"/>
      <selection pane="bottomLeft" activeCell="Q326" sqref="Q326"/>
    </sheetView>
  </sheetViews>
  <sheetFormatPr defaultRowHeight="22.05" customHeight="1"/>
  <cols>
    <col min="1" max="1" width="4.33203125" style="60" customWidth="1"/>
    <col min="2" max="2" width="8.88671875" style="60"/>
    <col min="3" max="3" width="18.77734375" style="60" customWidth="1"/>
    <col min="4" max="4" width="71.77734375" style="60" customWidth="1"/>
    <col min="5" max="6" width="0" style="60" hidden="1" customWidth="1"/>
    <col min="7" max="7" width="4.109375" style="60" hidden="1" customWidth="1"/>
    <col min="8" max="8" width="19.44140625" style="60" hidden="1" customWidth="1"/>
    <col min="9" max="9" width="24.33203125" style="60" customWidth="1"/>
    <col min="10" max="10" width="14.6640625" style="60" bestFit="1" customWidth="1"/>
    <col min="11" max="11" width="8.88671875" style="60"/>
    <col min="12" max="12" width="35.6640625" style="60" customWidth="1"/>
    <col min="13" max="13" width="14.6640625" style="60" bestFit="1" customWidth="1"/>
    <col min="14" max="14" width="9" style="60" bestFit="1" customWidth="1"/>
    <col min="15" max="15" width="13.33203125" style="60" bestFit="1" customWidth="1"/>
    <col min="16" max="19" width="13.33203125" style="87" customWidth="1"/>
    <col min="20" max="23" width="9" style="60" bestFit="1" customWidth="1"/>
    <col min="24" max="28" width="8.88671875" style="60"/>
    <col min="29" max="29" width="10.5546875" style="60" bestFit="1" customWidth="1"/>
    <col min="30" max="31" width="8.88671875" style="60"/>
    <col min="32" max="32" width="10.5546875" style="60" bestFit="1" customWidth="1"/>
    <col min="33" max="34" width="8.88671875" style="60"/>
    <col min="35" max="35" width="9" style="60" bestFit="1" customWidth="1"/>
    <col min="36" max="16384" width="8.88671875" style="60"/>
  </cols>
  <sheetData>
    <row r="1" spans="1:35" ht="22.05" hidden="1" customHeight="1">
      <c r="A1" s="221" t="s">
        <v>60</v>
      </c>
      <c r="B1" s="221"/>
      <c r="C1" s="221" t="s">
        <v>61</v>
      </c>
      <c r="D1" s="221"/>
      <c r="E1" s="41" t="s">
        <v>8</v>
      </c>
      <c r="F1" s="230" t="s">
        <v>9</v>
      </c>
      <c r="G1" s="231"/>
      <c r="H1" s="231"/>
      <c r="I1" s="231"/>
      <c r="J1" s="232"/>
      <c r="K1" s="41" t="s">
        <v>62</v>
      </c>
      <c r="L1" s="230" t="s">
        <v>63</v>
      </c>
      <c r="M1" s="231"/>
      <c r="N1" s="232"/>
      <c r="O1" s="41" t="s">
        <v>64</v>
      </c>
      <c r="P1" s="82"/>
      <c r="Q1" s="82"/>
      <c r="R1" s="82"/>
      <c r="S1" s="82"/>
      <c r="T1" s="221"/>
      <c r="U1" s="221"/>
      <c r="V1" s="221"/>
      <c r="W1" s="41" t="s">
        <v>65</v>
      </c>
      <c r="X1" s="221"/>
      <c r="Y1" s="221"/>
      <c r="Z1" s="221"/>
      <c r="AA1" s="59"/>
      <c r="AB1" s="2"/>
      <c r="AC1" s="32"/>
      <c r="AD1" s="59"/>
      <c r="AE1" s="2"/>
      <c r="AF1" s="32"/>
      <c r="AG1" s="59"/>
      <c r="AH1" s="2"/>
      <c r="AI1" s="32"/>
    </row>
    <row r="2" spans="1:35" ht="22.05" hidden="1" customHeight="1">
      <c r="A2" s="221" t="s">
        <v>66</v>
      </c>
      <c r="B2" s="221"/>
      <c r="C2" s="221" t="s">
        <v>5</v>
      </c>
      <c r="D2" s="221"/>
      <c r="E2" s="41" t="s">
        <v>67</v>
      </c>
      <c r="F2" s="230" t="s">
        <v>7</v>
      </c>
      <c r="G2" s="231"/>
      <c r="H2" s="231"/>
      <c r="I2" s="231"/>
      <c r="J2" s="232"/>
      <c r="K2" s="41" t="s">
        <v>68</v>
      </c>
      <c r="L2" s="230" t="s">
        <v>69</v>
      </c>
      <c r="M2" s="231"/>
      <c r="N2" s="232"/>
      <c r="O2" s="41" t="s">
        <v>70</v>
      </c>
      <c r="P2" s="82"/>
      <c r="Q2" s="82"/>
      <c r="R2" s="82"/>
      <c r="S2" s="82"/>
      <c r="T2" s="221"/>
      <c r="U2" s="221"/>
      <c r="V2" s="221"/>
      <c r="W2" s="41">
        <v>45950</v>
      </c>
      <c r="X2" s="233"/>
      <c r="Y2" s="233"/>
      <c r="Z2" s="233"/>
      <c r="AA2" s="59"/>
      <c r="AB2" s="2"/>
      <c r="AC2" s="32"/>
      <c r="AD2" s="59"/>
      <c r="AE2" s="2"/>
      <c r="AF2" s="32"/>
      <c r="AG2" s="59"/>
      <c r="AH2" s="2"/>
      <c r="AI2" s="32"/>
    </row>
    <row r="3" spans="1:35" ht="22.05" hidden="1" customHeight="1">
      <c r="A3" s="221" t="s">
        <v>71</v>
      </c>
      <c r="B3" s="221"/>
      <c r="C3" s="226"/>
      <c r="D3" s="226"/>
      <c r="E3" s="41" t="s">
        <v>22</v>
      </c>
      <c r="F3" s="227"/>
      <c r="G3" s="228"/>
      <c r="H3" s="228"/>
      <c r="I3" s="228"/>
      <c r="J3" s="229"/>
      <c r="K3" s="41" t="s">
        <v>23</v>
      </c>
      <c r="L3" s="227"/>
      <c r="M3" s="228"/>
      <c r="N3" s="229"/>
      <c r="O3" s="41"/>
      <c r="P3" s="82"/>
      <c r="Q3" s="82"/>
      <c r="R3" s="82"/>
      <c r="S3" s="82"/>
      <c r="T3" s="226">
        <v>0</v>
      </c>
      <c r="U3" s="226"/>
      <c r="V3" s="226"/>
      <c r="W3" s="41"/>
      <c r="X3" s="226">
        <v>0</v>
      </c>
      <c r="Y3" s="226"/>
      <c r="Z3" s="226"/>
      <c r="AA3" s="59"/>
      <c r="AB3" s="33"/>
      <c r="AC3" s="34"/>
      <c r="AD3" s="59"/>
      <c r="AE3" s="33"/>
      <c r="AF3" s="34"/>
      <c r="AG3" s="59"/>
      <c r="AH3" s="33"/>
      <c r="AI3" s="34"/>
    </row>
    <row r="4" spans="1:35" ht="22.05" customHeight="1">
      <c r="A4" s="61" t="s">
        <v>72</v>
      </c>
      <c r="B4" s="61" t="s">
        <v>73</v>
      </c>
      <c r="C4" s="61" t="s">
        <v>74</v>
      </c>
      <c r="D4" s="61" t="s">
        <v>75</v>
      </c>
      <c r="E4" s="61" t="s">
        <v>76</v>
      </c>
      <c r="F4" s="61" t="s">
        <v>77</v>
      </c>
      <c r="G4" s="61" t="s">
        <v>78</v>
      </c>
      <c r="H4" s="61" t="s">
        <v>79</v>
      </c>
      <c r="I4" s="61" t="s">
        <v>80</v>
      </c>
      <c r="J4" s="61" t="s">
        <v>81</v>
      </c>
      <c r="K4" s="61" t="s">
        <v>82</v>
      </c>
      <c r="L4" s="61" t="s">
        <v>83</v>
      </c>
      <c r="M4" s="61" t="s">
        <v>84</v>
      </c>
      <c r="N4" s="61" t="s">
        <v>85</v>
      </c>
      <c r="O4" s="61" t="s">
        <v>86</v>
      </c>
      <c r="P4" s="83"/>
      <c r="Q4" s="83"/>
      <c r="R4" s="83"/>
      <c r="S4" s="83"/>
      <c r="T4" s="61" t="s">
        <v>87</v>
      </c>
      <c r="U4" s="61" t="s">
        <v>88</v>
      </c>
      <c r="V4" s="61" t="s">
        <v>89</v>
      </c>
      <c r="W4" s="61" t="s">
        <v>90</v>
      </c>
      <c r="X4" s="61" t="s">
        <v>91</v>
      </c>
      <c r="Y4" s="61" t="s">
        <v>15</v>
      </c>
      <c r="Z4" s="61" t="s">
        <v>92</v>
      </c>
      <c r="AA4" s="61" t="s">
        <v>93</v>
      </c>
      <c r="AB4" s="61" t="s">
        <v>94</v>
      </c>
      <c r="AC4" s="61" t="s">
        <v>95</v>
      </c>
      <c r="AD4" s="61" t="s">
        <v>96</v>
      </c>
      <c r="AE4" s="61" t="s">
        <v>97</v>
      </c>
      <c r="AF4" s="61" t="s">
        <v>98</v>
      </c>
      <c r="AG4" s="61" t="s">
        <v>99</v>
      </c>
      <c r="AH4" s="61" t="s">
        <v>100</v>
      </c>
      <c r="AI4" s="61" t="s">
        <v>101</v>
      </c>
    </row>
    <row r="5" spans="1:35" ht="22.05" customHeight="1">
      <c r="A5" s="40">
        <v>6</v>
      </c>
      <c r="B5" s="35" t="s">
        <v>102</v>
      </c>
      <c r="C5" s="35" t="s">
        <v>103</v>
      </c>
      <c r="D5" s="35" t="s">
        <v>104</v>
      </c>
      <c r="E5" s="35" t="s">
        <v>105</v>
      </c>
      <c r="F5" s="35" t="s">
        <v>106</v>
      </c>
      <c r="G5" s="35">
        <v>3</v>
      </c>
      <c r="H5" s="35" t="s">
        <v>103</v>
      </c>
      <c r="I5" s="35" t="s">
        <v>107</v>
      </c>
      <c r="J5" s="35" t="s">
        <v>108</v>
      </c>
      <c r="K5" s="35" t="s">
        <v>109</v>
      </c>
      <c r="L5" s="35" t="s">
        <v>110</v>
      </c>
      <c r="M5" s="36">
        <v>9.9000000000000005E-2</v>
      </c>
      <c r="N5" s="36">
        <v>0</v>
      </c>
      <c r="O5" s="36">
        <f t="shared" ref="O5:O14" si="0">G5*M5</f>
        <v>0.29700000000000004</v>
      </c>
      <c r="P5" s="84"/>
      <c r="Q5" s="84"/>
      <c r="R5" s="84"/>
      <c r="S5" s="84"/>
      <c r="T5" s="35">
        <v>21</v>
      </c>
      <c r="U5" s="35">
        <v>10000</v>
      </c>
      <c r="V5" s="35"/>
      <c r="W5" s="35"/>
      <c r="X5" s="37"/>
      <c r="Y5" s="218" t="s">
        <v>111</v>
      </c>
      <c r="Z5" s="62"/>
      <c r="AA5" s="62"/>
      <c r="AB5" s="62"/>
      <c r="AC5" s="63"/>
      <c r="AD5" s="62"/>
      <c r="AE5" s="62"/>
      <c r="AF5" s="63"/>
      <c r="AG5" s="62"/>
      <c r="AH5" s="62"/>
      <c r="AI5" s="63"/>
    </row>
    <row r="6" spans="1:35" ht="22.05" customHeight="1">
      <c r="A6" s="40">
        <v>7</v>
      </c>
      <c r="B6" s="35" t="s">
        <v>102</v>
      </c>
      <c r="C6" s="35" t="s">
        <v>112</v>
      </c>
      <c r="D6" s="35" t="s">
        <v>113</v>
      </c>
      <c r="E6" s="35" t="s">
        <v>105</v>
      </c>
      <c r="F6" s="35" t="s">
        <v>114</v>
      </c>
      <c r="G6" s="35">
        <v>1</v>
      </c>
      <c r="H6" s="35" t="s">
        <v>112</v>
      </c>
      <c r="I6" s="35" t="s">
        <v>113</v>
      </c>
      <c r="J6" s="35" t="s">
        <v>115</v>
      </c>
      <c r="K6" s="35" t="s">
        <v>116</v>
      </c>
      <c r="L6" s="35" t="s">
        <v>117</v>
      </c>
      <c r="M6" s="36">
        <v>7.1593</v>
      </c>
      <c r="N6" s="36">
        <v>0</v>
      </c>
      <c r="O6" s="36">
        <f t="shared" si="0"/>
        <v>7.1593</v>
      </c>
      <c r="P6" s="84"/>
      <c r="Q6" s="84"/>
      <c r="R6" s="84"/>
      <c r="S6" s="84"/>
      <c r="T6" s="35">
        <v>14</v>
      </c>
      <c r="U6" s="35">
        <v>1</v>
      </c>
      <c r="V6" s="35">
        <v>1</v>
      </c>
      <c r="W6" s="35"/>
      <c r="X6" s="37"/>
      <c r="Y6" s="219"/>
      <c r="Z6" s="62"/>
      <c r="AA6" s="62"/>
      <c r="AB6" s="62"/>
      <c r="AC6" s="63"/>
      <c r="AD6" s="62"/>
      <c r="AE6" s="62"/>
      <c r="AF6" s="63"/>
      <c r="AG6" s="62"/>
      <c r="AH6" s="62"/>
      <c r="AI6" s="63"/>
    </row>
    <row r="7" spans="1:35" ht="22.05" customHeight="1">
      <c r="A7" s="40">
        <v>8</v>
      </c>
      <c r="B7" s="35" t="s">
        <v>102</v>
      </c>
      <c r="C7" s="35" t="s">
        <v>118</v>
      </c>
      <c r="D7" s="35" t="s">
        <v>119</v>
      </c>
      <c r="E7" s="35" t="s">
        <v>105</v>
      </c>
      <c r="F7" s="35" t="s">
        <v>114</v>
      </c>
      <c r="G7" s="35">
        <v>1</v>
      </c>
      <c r="H7" s="35" t="s">
        <v>118</v>
      </c>
      <c r="I7" s="35" t="s">
        <v>119</v>
      </c>
      <c r="J7" s="35" t="s">
        <v>115</v>
      </c>
      <c r="K7" s="35" t="s">
        <v>116</v>
      </c>
      <c r="L7" s="35" t="s">
        <v>117</v>
      </c>
      <c r="M7" s="36">
        <v>0.25</v>
      </c>
      <c r="N7" s="36">
        <v>0</v>
      </c>
      <c r="O7" s="36">
        <f t="shared" si="0"/>
        <v>0.25</v>
      </c>
      <c r="P7" s="84"/>
      <c r="Q7" s="84"/>
      <c r="R7" s="84"/>
      <c r="S7" s="84"/>
      <c r="T7" s="35">
        <v>14</v>
      </c>
      <c r="U7" s="35">
        <v>1000</v>
      </c>
      <c r="V7" s="35">
        <v>1000</v>
      </c>
      <c r="W7" s="35"/>
      <c r="X7" s="37"/>
      <c r="Y7" s="219"/>
      <c r="Z7" s="62"/>
      <c r="AA7" s="62"/>
      <c r="AB7" s="62"/>
      <c r="AC7" s="63"/>
      <c r="AD7" s="62"/>
      <c r="AE7" s="62"/>
      <c r="AF7" s="63"/>
      <c r="AG7" s="62"/>
      <c r="AH7" s="62"/>
      <c r="AI7" s="63"/>
    </row>
    <row r="8" spans="1:35" ht="22.05" customHeight="1">
      <c r="A8" s="40">
        <v>9</v>
      </c>
      <c r="B8" s="35" t="s">
        <v>102</v>
      </c>
      <c r="C8" s="35" t="s">
        <v>120</v>
      </c>
      <c r="D8" s="35" t="s">
        <v>121</v>
      </c>
      <c r="E8" s="35" t="s">
        <v>105</v>
      </c>
      <c r="F8" s="35" t="s">
        <v>114</v>
      </c>
      <c r="G8" s="35">
        <v>1</v>
      </c>
      <c r="H8" s="35" t="s">
        <v>120</v>
      </c>
      <c r="I8" s="35" t="s">
        <v>121</v>
      </c>
      <c r="J8" s="35" t="s">
        <v>115</v>
      </c>
      <c r="K8" s="35" t="s">
        <v>122</v>
      </c>
      <c r="L8" s="35" t="s">
        <v>123</v>
      </c>
      <c r="M8" s="36">
        <v>69.557500000000005</v>
      </c>
      <c r="N8" s="36">
        <v>0</v>
      </c>
      <c r="O8" s="36">
        <f t="shared" si="0"/>
        <v>69.557500000000005</v>
      </c>
      <c r="P8" s="84"/>
      <c r="Q8" s="84"/>
      <c r="R8" s="84"/>
      <c r="S8" s="84"/>
      <c r="T8" s="35">
        <v>14</v>
      </c>
      <c r="U8" s="35">
        <v>1</v>
      </c>
      <c r="V8" s="35">
        <v>1</v>
      </c>
      <c r="W8" s="35"/>
      <c r="X8" s="37"/>
      <c r="Y8" s="219"/>
      <c r="Z8" s="62"/>
      <c r="AA8" s="62"/>
      <c r="AB8" s="62"/>
      <c r="AC8" s="63"/>
      <c r="AD8" s="62"/>
      <c r="AE8" s="62"/>
      <c r="AF8" s="63"/>
      <c r="AG8" s="62"/>
      <c r="AH8" s="62"/>
      <c r="AI8" s="63"/>
    </row>
    <row r="9" spans="1:35" ht="22.05" customHeight="1">
      <c r="A9" s="40">
        <v>10</v>
      </c>
      <c r="B9" s="35" t="s">
        <v>102</v>
      </c>
      <c r="C9" s="35" t="s">
        <v>124</v>
      </c>
      <c r="D9" s="35" t="s">
        <v>125</v>
      </c>
      <c r="E9" s="35" t="s">
        <v>105</v>
      </c>
      <c r="F9" s="35" t="s">
        <v>114</v>
      </c>
      <c r="G9" s="35">
        <v>1</v>
      </c>
      <c r="H9" s="35" t="s">
        <v>124</v>
      </c>
      <c r="I9" s="35" t="s">
        <v>125</v>
      </c>
      <c r="J9" s="35" t="s">
        <v>115</v>
      </c>
      <c r="K9" s="35" t="s">
        <v>122</v>
      </c>
      <c r="L9" s="35" t="s">
        <v>123</v>
      </c>
      <c r="M9" s="36">
        <v>8.6725999999999992</v>
      </c>
      <c r="N9" s="36">
        <v>0</v>
      </c>
      <c r="O9" s="36">
        <f t="shared" si="0"/>
        <v>8.6725999999999992</v>
      </c>
      <c r="P9" s="84"/>
      <c r="Q9" s="84"/>
      <c r="R9" s="84"/>
      <c r="S9" s="84"/>
      <c r="T9" s="35">
        <v>14</v>
      </c>
      <c r="U9" s="35">
        <v>1</v>
      </c>
      <c r="V9" s="35">
        <v>1</v>
      </c>
      <c r="W9" s="35"/>
      <c r="X9" s="37"/>
      <c r="Y9" s="219"/>
      <c r="Z9" s="62"/>
      <c r="AA9" s="62"/>
      <c r="AB9" s="62"/>
      <c r="AC9" s="63"/>
      <c r="AD9" s="62"/>
      <c r="AE9" s="62"/>
      <c r="AF9" s="63"/>
      <c r="AG9" s="62"/>
      <c r="AH9" s="62"/>
      <c r="AI9" s="63"/>
    </row>
    <row r="10" spans="1:35" ht="22.05" customHeight="1">
      <c r="A10" s="40">
        <v>11</v>
      </c>
      <c r="B10" s="35" t="s">
        <v>102</v>
      </c>
      <c r="C10" s="35" t="s">
        <v>126</v>
      </c>
      <c r="D10" s="35" t="s">
        <v>127</v>
      </c>
      <c r="E10" s="35" t="s">
        <v>105</v>
      </c>
      <c r="F10" s="35" t="s">
        <v>114</v>
      </c>
      <c r="G10" s="35">
        <v>1</v>
      </c>
      <c r="H10" s="35" t="s">
        <v>126</v>
      </c>
      <c r="I10" s="35" t="s">
        <v>127</v>
      </c>
      <c r="J10" s="35" t="s">
        <v>115</v>
      </c>
      <c r="K10" s="35" t="s">
        <v>122</v>
      </c>
      <c r="L10" s="35" t="s">
        <v>123</v>
      </c>
      <c r="M10" s="36">
        <v>2.2654999999999998</v>
      </c>
      <c r="N10" s="36">
        <v>0</v>
      </c>
      <c r="O10" s="36">
        <f t="shared" si="0"/>
        <v>2.2654999999999998</v>
      </c>
      <c r="P10" s="84"/>
      <c r="Q10" s="84"/>
      <c r="R10" s="84"/>
      <c r="S10" s="84"/>
      <c r="T10" s="35">
        <v>14</v>
      </c>
      <c r="U10" s="35">
        <v>1</v>
      </c>
      <c r="V10" s="35">
        <v>1</v>
      </c>
      <c r="W10" s="35"/>
      <c r="X10" s="37"/>
      <c r="Y10" s="219"/>
      <c r="Z10" s="62"/>
      <c r="AA10" s="62"/>
      <c r="AB10" s="62"/>
      <c r="AC10" s="63"/>
      <c r="AD10" s="62"/>
      <c r="AE10" s="62"/>
      <c r="AF10" s="63"/>
      <c r="AG10" s="62"/>
      <c r="AH10" s="62"/>
      <c r="AI10" s="63"/>
    </row>
    <row r="11" spans="1:35" ht="22.05" customHeight="1">
      <c r="A11" s="40">
        <v>12</v>
      </c>
      <c r="B11" s="35" t="s">
        <v>102</v>
      </c>
      <c r="C11" s="35" t="s">
        <v>128</v>
      </c>
      <c r="D11" s="35" t="s">
        <v>129</v>
      </c>
      <c r="E11" s="35" t="s">
        <v>105</v>
      </c>
      <c r="F11" s="35" t="s">
        <v>114</v>
      </c>
      <c r="G11" s="35">
        <v>1</v>
      </c>
      <c r="H11" s="35" t="s">
        <v>128</v>
      </c>
      <c r="I11" s="35" t="s">
        <v>129</v>
      </c>
      <c r="J11" s="35" t="s">
        <v>115</v>
      </c>
      <c r="K11" s="35" t="s">
        <v>122</v>
      </c>
      <c r="L11" s="35" t="s">
        <v>123</v>
      </c>
      <c r="M11" s="36">
        <v>2.2654999999999998</v>
      </c>
      <c r="N11" s="36">
        <v>0</v>
      </c>
      <c r="O11" s="36">
        <f t="shared" si="0"/>
        <v>2.2654999999999998</v>
      </c>
      <c r="P11" s="84"/>
      <c r="Q11" s="84"/>
      <c r="R11" s="84"/>
      <c r="S11" s="84"/>
      <c r="T11" s="35">
        <v>14</v>
      </c>
      <c r="U11" s="35">
        <v>1</v>
      </c>
      <c r="V11" s="35">
        <v>1</v>
      </c>
      <c r="W11" s="35"/>
      <c r="X11" s="37"/>
      <c r="Y11" s="219"/>
      <c r="Z11" s="62"/>
      <c r="AA11" s="62"/>
      <c r="AB11" s="62"/>
      <c r="AC11" s="63"/>
      <c r="AD11" s="62"/>
      <c r="AE11" s="62"/>
      <c r="AF11" s="63"/>
      <c r="AG11" s="62"/>
      <c r="AH11" s="62"/>
      <c r="AI11" s="63"/>
    </row>
    <row r="12" spans="1:35" ht="22.05" customHeight="1">
      <c r="A12" s="40">
        <v>13</v>
      </c>
      <c r="B12" s="35" t="s">
        <v>102</v>
      </c>
      <c r="C12" s="35" t="s">
        <v>130</v>
      </c>
      <c r="D12" s="35" t="s">
        <v>131</v>
      </c>
      <c r="E12" s="35" t="s">
        <v>105</v>
      </c>
      <c r="F12" s="35" t="s">
        <v>114</v>
      </c>
      <c r="G12" s="35">
        <v>3</v>
      </c>
      <c r="H12" s="35" t="s">
        <v>130</v>
      </c>
      <c r="I12" s="35" t="s">
        <v>131</v>
      </c>
      <c r="J12" s="35" t="s">
        <v>115</v>
      </c>
      <c r="K12" s="35" t="s">
        <v>122</v>
      </c>
      <c r="L12" s="35" t="s">
        <v>123</v>
      </c>
      <c r="M12" s="36">
        <v>1.0619000000000001</v>
      </c>
      <c r="N12" s="36">
        <v>0</v>
      </c>
      <c r="O12" s="36">
        <f t="shared" si="0"/>
        <v>3.1857000000000002</v>
      </c>
      <c r="P12" s="84"/>
      <c r="Q12" s="84"/>
      <c r="R12" s="84"/>
      <c r="S12" s="84"/>
      <c r="T12" s="35">
        <v>14</v>
      </c>
      <c r="U12" s="35">
        <v>1</v>
      </c>
      <c r="V12" s="35">
        <v>1</v>
      </c>
      <c r="W12" s="35"/>
      <c r="X12" s="37"/>
      <c r="Y12" s="219"/>
      <c r="Z12" s="62"/>
      <c r="AA12" s="62"/>
      <c r="AB12" s="62"/>
      <c r="AC12" s="63"/>
      <c r="AD12" s="62"/>
      <c r="AE12" s="62"/>
      <c r="AF12" s="63"/>
      <c r="AG12" s="62"/>
      <c r="AH12" s="62"/>
      <c r="AI12" s="63"/>
    </row>
    <row r="13" spans="1:35" ht="22.05" customHeight="1">
      <c r="A13" s="40">
        <v>14</v>
      </c>
      <c r="B13" s="35" t="s">
        <v>102</v>
      </c>
      <c r="C13" s="35" t="s">
        <v>132</v>
      </c>
      <c r="D13" s="35" t="s">
        <v>133</v>
      </c>
      <c r="E13" s="35" t="s">
        <v>105</v>
      </c>
      <c r="F13" s="35" t="s">
        <v>114</v>
      </c>
      <c r="G13" s="35">
        <v>4</v>
      </c>
      <c r="H13" s="35" t="s">
        <v>132</v>
      </c>
      <c r="I13" s="35" t="s">
        <v>133</v>
      </c>
      <c r="J13" s="35" t="s">
        <v>115</v>
      </c>
      <c r="K13" s="35" t="s">
        <v>116</v>
      </c>
      <c r="L13" s="35" t="s">
        <v>117</v>
      </c>
      <c r="M13" s="36">
        <v>0.74560000000000004</v>
      </c>
      <c r="N13" s="36">
        <v>0</v>
      </c>
      <c r="O13" s="36">
        <f t="shared" si="0"/>
        <v>2.9824000000000002</v>
      </c>
      <c r="P13" s="84"/>
      <c r="Q13" s="84"/>
      <c r="R13" s="84"/>
      <c r="S13" s="84"/>
      <c r="T13" s="35">
        <v>14</v>
      </c>
      <c r="U13" s="35">
        <v>1</v>
      </c>
      <c r="V13" s="35">
        <v>1</v>
      </c>
      <c r="W13" s="35"/>
      <c r="X13" s="37"/>
      <c r="Y13" s="219"/>
      <c r="Z13" s="62"/>
      <c r="AA13" s="62"/>
      <c r="AB13" s="62"/>
      <c r="AC13" s="63"/>
      <c r="AD13" s="62"/>
      <c r="AE13" s="62"/>
      <c r="AF13" s="63"/>
      <c r="AG13" s="62"/>
      <c r="AH13" s="62"/>
      <c r="AI13" s="63"/>
    </row>
    <row r="14" spans="1:35" ht="22.05" customHeight="1">
      <c r="A14" s="40">
        <v>15</v>
      </c>
      <c r="B14" s="35" t="s">
        <v>102</v>
      </c>
      <c r="C14" s="35" t="s">
        <v>134</v>
      </c>
      <c r="D14" s="35" t="s">
        <v>135</v>
      </c>
      <c r="E14" s="35" t="s">
        <v>105</v>
      </c>
      <c r="F14" s="35" t="s">
        <v>136</v>
      </c>
      <c r="G14" s="35">
        <v>1</v>
      </c>
      <c r="H14" s="35" t="s">
        <v>134</v>
      </c>
      <c r="I14" s="35" t="s">
        <v>137</v>
      </c>
      <c r="J14" s="35" t="s">
        <v>138</v>
      </c>
      <c r="K14" s="35" t="s">
        <v>139</v>
      </c>
      <c r="L14" s="35" t="s">
        <v>140</v>
      </c>
      <c r="M14" s="36">
        <v>3.4700000000000002E-2</v>
      </c>
      <c r="N14" s="36">
        <v>0</v>
      </c>
      <c r="O14" s="36">
        <f t="shared" si="0"/>
        <v>3.4700000000000002E-2</v>
      </c>
      <c r="P14" s="84"/>
      <c r="Q14" s="84"/>
      <c r="R14" s="84"/>
      <c r="S14" s="84"/>
      <c r="T14" s="35">
        <v>14</v>
      </c>
      <c r="U14" s="35">
        <v>3000</v>
      </c>
      <c r="V14" s="35"/>
      <c r="W14" s="35"/>
      <c r="X14" s="37"/>
      <c r="Y14" s="219"/>
      <c r="Z14" s="62"/>
      <c r="AA14" s="62"/>
      <c r="AB14" s="62"/>
      <c r="AC14" s="63"/>
      <c r="AD14" s="62"/>
      <c r="AE14" s="62"/>
      <c r="AF14" s="63"/>
      <c r="AG14" s="62"/>
      <c r="AH14" s="62"/>
      <c r="AI14" s="63"/>
    </row>
    <row r="15" spans="1:35" ht="22.05" customHeight="1">
      <c r="A15" s="40"/>
      <c r="B15" s="35"/>
      <c r="C15" s="35"/>
      <c r="D15" s="35"/>
      <c r="E15" s="35"/>
      <c r="F15" s="35"/>
      <c r="G15" s="35"/>
      <c r="H15" s="35"/>
      <c r="I15" s="38" t="s">
        <v>141</v>
      </c>
      <c r="J15" s="38"/>
      <c r="K15" s="38"/>
      <c r="L15" s="38"/>
      <c r="M15" s="39"/>
      <c r="N15" s="39"/>
      <c r="O15" s="39">
        <f>SUM(O5:O14)</f>
        <v>96.670200000000008</v>
      </c>
      <c r="P15" s="84"/>
      <c r="Q15" s="84"/>
      <c r="R15" s="84"/>
      <c r="S15" s="84"/>
      <c r="T15" s="35"/>
      <c r="U15" s="35"/>
      <c r="V15" s="35"/>
      <c r="W15" s="35"/>
      <c r="X15" s="37"/>
      <c r="Y15" s="220"/>
      <c r="Z15" s="62"/>
      <c r="AA15" s="62"/>
      <c r="AB15" s="62"/>
      <c r="AC15" s="63"/>
      <c r="AD15" s="62"/>
      <c r="AE15" s="62"/>
      <c r="AF15" s="63"/>
      <c r="AG15" s="62"/>
      <c r="AH15" s="62"/>
      <c r="AI15" s="63"/>
    </row>
    <row r="16" spans="1:35" ht="22.05" customHeight="1">
      <c r="A16" s="64">
        <v>16</v>
      </c>
      <c r="B16" s="62" t="s">
        <v>71</v>
      </c>
      <c r="C16" s="62" t="s">
        <v>142</v>
      </c>
      <c r="D16" s="62" t="s">
        <v>2134</v>
      </c>
      <c r="E16" s="62" t="s">
        <v>105</v>
      </c>
      <c r="F16" s="62" t="s">
        <v>144</v>
      </c>
      <c r="G16" s="62">
        <v>18</v>
      </c>
      <c r="H16" s="65" t="s">
        <v>145</v>
      </c>
      <c r="I16" s="62" t="s">
        <v>146</v>
      </c>
      <c r="J16" s="62" t="s">
        <v>147</v>
      </c>
      <c r="K16" s="62" t="s">
        <v>148</v>
      </c>
      <c r="L16" s="62" t="s">
        <v>149</v>
      </c>
      <c r="M16" s="66">
        <v>4.4999999999999997E-3</v>
      </c>
      <c r="N16" s="63">
        <v>0</v>
      </c>
      <c r="O16" s="63">
        <f>G16*M16</f>
        <v>8.0999999999999989E-2</v>
      </c>
      <c r="P16" s="85"/>
      <c r="Q16" s="85"/>
      <c r="R16" s="85"/>
      <c r="S16" s="85"/>
      <c r="T16" s="62">
        <v>56</v>
      </c>
      <c r="U16" s="62">
        <v>5000</v>
      </c>
      <c r="V16" s="62">
        <v>5000</v>
      </c>
      <c r="W16" s="62"/>
      <c r="X16" s="67"/>
      <c r="Y16" s="62" t="s">
        <v>150</v>
      </c>
      <c r="Z16" s="62" t="s">
        <v>151</v>
      </c>
      <c r="AA16" s="62" t="s">
        <v>152</v>
      </c>
      <c r="AB16" s="62" t="s">
        <v>153</v>
      </c>
      <c r="AC16" s="63">
        <v>4.8999999999999998E-3</v>
      </c>
      <c r="AD16" s="62" t="s">
        <v>142</v>
      </c>
      <c r="AE16" s="62" t="s">
        <v>143</v>
      </c>
      <c r="AF16" s="66" t="s">
        <v>154</v>
      </c>
      <c r="AG16" s="62"/>
      <c r="AH16" s="62"/>
      <c r="AI16" s="63"/>
    </row>
    <row r="17" spans="1:35" ht="22.05" customHeight="1">
      <c r="A17" s="64">
        <v>17</v>
      </c>
      <c r="B17" s="62" t="s">
        <v>71</v>
      </c>
      <c r="C17" s="62" t="s">
        <v>155</v>
      </c>
      <c r="D17" s="62" t="s">
        <v>156</v>
      </c>
      <c r="E17" s="62" t="s">
        <v>105</v>
      </c>
      <c r="F17" s="62" t="s">
        <v>157</v>
      </c>
      <c r="G17" s="62">
        <v>1</v>
      </c>
      <c r="H17" s="62">
        <v>306110396</v>
      </c>
      <c r="I17" s="62" t="s">
        <v>156</v>
      </c>
      <c r="J17" s="62" t="s">
        <v>147</v>
      </c>
      <c r="K17" s="62" t="s">
        <v>158</v>
      </c>
      <c r="L17" s="62" t="s">
        <v>159</v>
      </c>
      <c r="M17" s="66">
        <v>0.1331</v>
      </c>
      <c r="N17" s="63">
        <v>0</v>
      </c>
      <c r="O17" s="63">
        <f t="shared" ref="O17:O80" si="1">G17*M17</f>
        <v>0.1331</v>
      </c>
      <c r="P17" s="85"/>
      <c r="Q17" s="85"/>
      <c r="R17" s="85"/>
      <c r="S17" s="85"/>
      <c r="T17" s="62">
        <v>50</v>
      </c>
      <c r="U17" s="62">
        <v>20000</v>
      </c>
      <c r="V17" s="62">
        <v>2000</v>
      </c>
      <c r="W17" s="62"/>
      <c r="X17" s="67"/>
      <c r="Y17" s="62" t="s">
        <v>160</v>
      </c>
      <c r="Z17" s="62" t="s">
        <v>161</v>
      </c>
      <c r="AA17" s="62"/>
      <c r="AB17" s="62"/>
      <c r="AC17" s="63"/>
      <c r="AD17" s="62"/>
      <c r="AE17" s="62"/>
      <c r="AF17" s="63"/>
      <c r="AG17" s="62"/>
      <c r="AH17" s="62"/>
      <c r="AI17" s="63"/>
    </row>
    <row r="18" spans="1:35" ht="22.05" customHeight="1">
      <c r="A18" s="64">
        <v>18</v>
      </c>
      <c r="B18" s="62" t="s">
        <v>71</v>
      </c>
      <c r="C18" s="62" t="s">
        <v>162</v>
      </c>
      <c r="D18" s="62" t="s">
        <v>163</v>
      </c>
      <c r="E18" s="62" t="s">
        <v>105</v>
      </c>
      <c r="F18" s="62" t="s">
        <v>144</v>
      </c>
      <c r="G18" s="62">
        <v>1</v>
      </c>
      <c r="H18" s="65" t="s">
        <v>164</v>
      </c>
      <c r="I18" s="62" t="s">
        <v>165</v>
      </c>
      <c r="J18" s="62" t="s">
        <v>166</v>
      </c>
      <c r="K18" s="62" t="s">
        <v>167</v>
      </c>
      <c r="L18" s="62" t="s">
        <v>168</v>
      </c>
      <c r="M18" s="63">
        <v>2.7400000000000001E-2</v>
      </c>
      <c r="N18" s="63">
        <v>0</v>
      </c>
      <c r="O18" s="63">
        <f t="shared" si="1"/>
        <v>2.7400000000000001E-2</v>
      </c>
      <c r="P18" s="85"/>
      <c r="Q18" s="85"/>
      <c r="R18" s="85"/>
      <c r="S18" s="85"/>
      <c r="T18" s="62">
        <v>35</v>
      </c>
      <c r="U18" s="62">
        <v>1</v>
      </c>
      <c r="V18" s="62">
        <v>1</v>
      </c>
      <c r="W18" s="62"/>
      <c r="X18" s="67"/>
      <c r="Y18" s="62"/>
      <c r="Z18" s="62" t="s">
        <v>169</v>
      </c>
      <c r="AA18" s="62" t="s">
        <v>162</v>
      </c>
      <c r="AB18" s="62" t="s">
        <v>163</v>
      </c>
      <c r="AC18" s="63">
        <v>8.4000000000000005E-2</v>
      </c>
      <c r="AD18" s="62"/>
      <c r="AE18" s="62"/>
      <c r="AF18" s="63"/>
      <c r="AG18" s="62"/>
      <c r="AH18" s="62"/>
      <c r="AI18" s="63"/>
    </row>
    <row r="19" spans="1:35" ht="22.05" customHeight="1">
      <c r="A19" s="64">
        <v>19</v>
      </c>
      <c r="B19" s="62" t="s">
        <v>71</v>
      </c>
      <c r="C19" s="62" t="s">
        <v>170</v>
      </c>
      <c r="D19" s="62" t="s">
        <v>171</v>
      </c>
      <c r="E19" s="62" t="s">
        <v>105</v>
      </c>
      <c r="F19" s="62" t="s">
        <v>157</v>
      </c>
      <c r="G19" s="62">
        <v>1</v>
      </c>
      <c r="H19" s="62" t="s">
        <v>170</v>
      </c>
      <c r="I19" s="62" t="s">
        <v>171</v>
      </c>
      <c r="J19" s="62" t="s">
        <v>172</v>
      </c>
      <c r="K19" s="62" t="s">
        <v>173</v>
      </c>
      <c r="L19" s="62" t="s">
        <v>174</v>
      </c>
      <c r="M19" s="63">
        <v>0.222</v>
      </c>
      <c r="N19" s="63">
        <v>0</v>
      </c>
      <c r="O19" s="63">
        <f t="shared" si="1"/>
        <v>0.222</v>
      </c>
      <c r="P19" s="85"/>
      <c r="Q19" s="85"/>
      <c r="R19" s="85"/>
      <c r="S19" s="85"/>
      <c r="T19" s="62">
        <v>150</v>
      </c>
      <c r="U19" s="62">
        <v>1000</v>
      </c>
      <c r="V19" s="62"/>
      <c r="W19" s="62"/>
      <c r="X19" s="67"/>
      <c r="Y19" s="62"/>
      <c r="Z19" s="62" t="s">
        <v>175</v>
      </c>
      <c r="AA19" s="62"/>
      <c r="AB19" s="62"/>
      <c r="AC19" s="63"/>
      <c r="AD19" s="62"/>
      <c r="AE19" s="62"/>
      <c r="AF19" s="63"/>
      <c r="AG19" s="62"/>
      <c r="AH19" s="62"/>
      <c r="AI19" s="63"/>
    </row>
    <row r="20" spans="1:35" ht="22.05" customHeight="1">
      <c r="A20" s="64">
        <v>20</v>
      </c>
      <c r="B20" s="62" t="s">
        <v>71</v>
      </c>
      <c r="C20" s="62" t="s">
        <v>176</v>
      </c>
      <c r="D20" s="62" t="s">
        <v>177</v>
      </c>
      <c r="E20" s="62" t="s">
        <v>105</v>
      </c>
      <c r="F20" s="62" t="s">
        <v>157</v>
      </c>
      <c r="G20" s="62">
        <v>2</v>
      </c>
      <c r="H20" s="62" t="s">
        <v>176</v>
      </c>
      <c r="I20" s="62" t="s">
        <v>177</v>
      </c>
      <c r="J20" s="62" t="s">
        <v>172</v>
      </c>
      <c r="K20" s="62" t="s">
        <v>173</v>
      </c>
      <c r="L20" s="62" t="s">
        <v>174</v>
      </c>
      <c r="M20" s="63">
        <v>0.32200000000000001</v>
      </c>
      <c r="N20" s="63">
        <v>0</v>
      </c>
      <c r="O20" s="63">
        <f t="shared" si="1"/>
        <v>0.64400000000000002</v>
      </c>
      <c r="P20" s="85"/>
      <c r="Q20" s="85"/>
      <c r="R20" s="85"/>
      <c r="S20" s="85"/>
      <c r="T20" s="62">
        <v>112</v>
      </c>
      <c r="U20" s="62">
        <v>1000</v>
      </c>
      <c r="V20" s="62"/>
      <c r="W20" s="62"/>
      <c r="X20" s="67"/>
      <c r="Y20" s="62"/>
      <c r="Z20" s="62" t="s">
        <v>178</v>
      </c>
      <c r="AA20" s="62"/>
      <c r="AB20" s="62"/>
      <c r="AC20" s="63"/>
      <c r="AD20" s="62"/>
      <c r="AE20" s="62"/>
      <c r="AF20" s="63"/>
      <c r="AG20" s="62"/>
      <c r="AH20" s="62"/>
      <c r="AI20" s="63"/>
    </row>
    <row r="21" spans="1:35" ht="22.05" customHeight="1">
      <c r="A21" s="64">
        <v>21</v>
      </c>
      <c r="B21" s="62" t="s">
        <v>71</v>
      </c>
      <c r="C21" s="62" t="s">
        <v>179</v>
      </c>
      <c r="D21" s="62" t="s">
        <v>180</v>
      </c>
      <c r="E21" s="62" t="s">
        <v>105</v>
      </c>
      <c r="F21" s="62" t="s">
        <v>144</v>
      </c>
      <c r="G21" s="62">
        <v>1</v>
      </c>
      <c r="H21" s="65" t="s">
        <v>181</v>
      </c>
      <c r="I21" s="62" t="s">
        <v>182</v>
      </c>
      <c r="J21" s="62" t="s">
        <v>183</v>
      </c>
      <c r="K21" s="62" t="s">
        <v>184</v>
      </c>
      <c r="L21" s="62" t="s">
        <v>185</v>
      </c>
      <c r="M21" s="63">
        <v>4.4999999999999997E-3</v>
      </c>
      <c r="N21" s="63">
        <v>0</v>
      </c>
      <c r="O21" s="63">
        <f t="shared" si="1"/>
        <v>4.4999999999999997E-3</v>
      </c>
      <c r="P21" s="85"/>
      <c r="Q21" s="85"/>
      <c r="R21" s="85"/>
      <c r="S21" s="85"/>
      <c r="T21" s="62">
        <v>56</v>
      </c>
      <c r="U21" s="62">
        <v>0</v>
      </c>
      <c r="V21" s="62">
        <v>5000</v>
      </c>
      <c r="W21" s="62"/>
      <c r="X21" s="67"/>
      <c r="Y21" s="62"/>
      <c r="Z21" s="62" t="s">
        <v>186</v>
      </c>
      <c r="AA21" s="62" t="s">
        <v>187</v>
      </c>
      <c r="AB21" s="62" t="s">
        <v>188</v>
      </c>
      <c r="AC21" s="66">
        <v>7.7000000000000002E-3</v>
      </c>
      <c r="AD21" s="62" t="s">
        <v>179</v>
      </c>
      <c r="AE21" s="62" t="s">
        <v>180</v>
      </c>
      <c r="AF21" s="66" t="s">
        <v>154</v>
      </c>
      <c r="AG21" s="62"/>
      <c r="AH21" s="62"/>
      <c r="AI21" s="63"/>
    </row>
    <row r="22" spans="1:35" ht="22.05" customHeight="1">
      <c r="A22" s="64">
        <v>22</v>
      </c>
      <c r="B22" s="62" t="s">
        <v>71</v>
      </c>
      <c r="C22" s="62" t="s">
        <v>189</v>
      </c>
      <c r="D22" s="62" t="s">
        <v>190</v>
      </c>
      <c r="E22" s="62" t="s">
        <v>105</v>
      </c>
      <c r="F22" s="62" t="s">
        <v>144</v>
      </c>
      <c r="G22" s="62">
        <v>2</v>
      </c>
      <c r="H22" s="65" t="s">
        <v>191</v>
      </c>
      <c r="I22" s="62" t="s">
        <v>192</v>
      </c>
      <c r="J22" s="62" t="s">
        <v>183</v>
      </c>
      <c r="K22" s="62" t="s">
        <v>184</v>
      </c>
      <c r="L22" s="62" t="s">
        <v>185</v>
      </c>
      <c r="M22" s="63">
        <v>5.7999999999999996E-3</v>
      </c>
      <c r="N22" s="63">
        <v>0</v>
      </c>
      <c r="O22" s="63">
        <f t="shared" si="1"/>
        <v>1.1599999999999999E-2</v>
      </c>
      <c r="P22" s="85"/>
      <c r="Q22" s="85"/>
      <c r="R22" s="85"/>
      <c r="S22" s="85"/>
      <c r="T22" s="62">
        <v>56</v>
      </c>
      <c r="U22" s="62">
        <v>0</v>
      </c>
      <c r="V22" s="62">
        <v>5000</v>
      </c>
      <c r="W22" s="62"/>
      <c r="X22" s="67"/>
      <c r="Y22" s="62"/>
      <c r="Z22" s="62" t="s">
        <v>193</v>
      </c>
      <c r="AA22" s="62" t="s">
        <v>194</v>
      </c>
      <c r="AB22" s="62" t="s">
        <v>195</v>
      </c>
      <c r="AC22" s="66">
        <v>8.6E-3</v>
      </c>
      <c r="AD22" s="62" t="s">
        <v>189</v>
      </c>
      <c r="AE22" s="62" t="s">
        <v>190</v>
      </c>
      <c r="AF22" s="66" t="s">
        <v>154</v>
      </c>
      <c r="AG22" s="62"/>
      <c r="AH22" s="62"/>
      <c r="AI22" s="63"/>
    </row>
    <row r="23" spans="1:35" ht="22.05" customHeight="1">
      <c r="A23" s="64">
        <v>23</v>
      </c>
      <c r="B23" s="62" t="s">
        <v>71</v>
      </c>
      <c r="C23" s="62" t="s">
        <v>196</v>
      </c>
      <c r="D23" s="62" t="s">
        <v>197</v>
      </c>
      <c r="E23" s="62" t="s">
        <v>105</v>
      </c>
      <c r="F23" s="62" t="s">
        <v>144</v>
      </c>
      <c r="G23" s="62">
        <v>2</v>
      </c>
      <c r="H23" s="65" t="s">
        <v>198</v>
      </c>
      <c r="I23" s="62" t="s">
        <v>199</v>
      </c>
      <c r="J23" s="62" t="s">
        <v>183</v>
      </c>
      <c r="K23" s="62" t="s">
        <v>184</v>
      </c>
      <c r="L23" s="62" t="s">
        <v>185</v>
      </c>
      <c r="M23" s="63">
        <v>8.3000000000000001E-3</v>
      </c>
      <c r="N23" s="63">
        <v>0</v>
      </c>
      <c r="O23" s="63">
        <f t="shared" si="1"/>
        <v>1.66E-2</v>
      </c>
      <c r="P23" s="85"/>
      <c r="Q23" s="85"/>
      <c r="R23" s="85"/>
      <c r="S23" s="85"/>
      <c r="T23" s="62">
        <v>56</v>
      </c>
      <c r="U23" s="62">
        <v>0</v>
      </c>
      <c r="V23" s="62">
        <v>5000</v>
      </c>
      <c r="W23" s="62"/>
      <c r="X23" s="67"/>
      <c r="Y23" s="62"/>
      <c r="Z23" s="62" t="s">
        <v>200</v>
      </c>
      <c r="AA23" s="62" t="s">
        <v>201</v>
      </c>
      <c r="AB23" s="62" t="s">
        <v>202</v>
      </c>
      <c r="AC23" s="66">
        <v>2.7900000000000001E-2</v>
      </c>
      <c r="AD23" s="62" t="s">
        <v>196</v>
      </c>
      <c r="AE23" s="62" t="s">
        <v>197</v>
      </c>
      <c r="AF23" s="66" t="s">
        <v>154</v>
      </c>
      <c r="AG23" s="62"/>
      <c r="AH23" s="62"/>
      <c r="AI23" s="63"/>
    </row>
    <row r="24" spans="1:35" ht="22.05" customHeight="1">
      <c r="A24" s="64">
        <v>24</v>
      </c>
      <c r="B24" s="62" t="s">
        <v>71</v>
      </c>
      <c r="C24" s="62" t="s">
        <v>203</v>
      </c>
      <c r="D24" s="62" t="s">
        <v>2135</v>
      </c>
      <c r="E24" s="62" t="s">
        <v>105</v>
      </c>
      <c r="F24" s="62" t="s">
        <v>144</v>
      </c>
      <c r="G24" s="62">
        <v>2</v>
      </c>
      <c r="H24" s="62" t="s">
        <v>203</v>
      </c>
      <c r="I24" s="62" t="s">
        <v>204</v>
      </c>
      <c r="J24" s="62" t="s">
        <v>205</v>
      </c>
      <c r="K24" s="62" t="s">
        <v>206</v>
      </c>
      <c r="L24" s="62" t="s">
        <v>207</v>
      </c>
      <c r="M24" s="63">
        <v>2.38</v>
      </c>
      <c r="N24" s="63">
        <v>0</v>
      </c>
      <c r="O24" s="63">
        <f t="shared" si="1"/>
        <v>4.76</v>
      </c>
      <c r="P24" s="85"/>
      <c r="Q24" s="85"/>
      <c r="R24" s="85"/>
      <c r="S24" s="85"/>
      <c r="T24" s="62">
        <v>120</v>
      </c>
      <c r="U24" s="62">
        <v>1</v>
      </c>
      <c r="V24" s="62">
        <v>1</v>
      </c>
      <c r="W24" s="62"/>
      <c r="X24" s="67"/>
      <c r="Y24" s="62"/>
      <c r="Z24" s="62" t="s">
        <v>208</v>
      </c>
      <c r="AA24" s="62"/>
      <c r="AB24" s="62"/>
      <c r="AC24" s="63"/>
      <c r="AD24" s="62"/>
      <c r="AE24" s="62"/>
      <c r="AF24" s="63"/>
      <c r="AG24" s="62"/>
      <c r="AH24" s="62"/>
      <c r="AI24" s="63"/>
    </row>
    <row r="25" spans="1:35" ht="22.05" customHeight="1">
      <c r="A25" s="64">
        <v>25</v>
      </c>
      <c r="B25" s="62" t="s">
        <v>71</v>
      </c>
      <c r="C25" s="62" t="s">
        <v>209</v>
      </c>
      <c r="D25" s="62" t="s">
        <v>210</v>
      </c>
      <c r="E25" s="62" t="s">
        <v>105</v>
      </c>
      <c r="F25" s="62" t="s">
        <v>144</v>
      </c>
      <c r="G25" s="62">
        <v>8</v>
      </c>
      <c r="H25" s="62" t="s">
        <v>209</v>
      </c>
      <c r="I25" s="62" t="s">
        <v>210</v>
      </c>
      <c r="J25" s="62" t="s">
        <v>183</v>
      </c>
      <c r="K25" s="62" t="s">
        <v>184</v>
      </c>
      <c r="L25" s="62" t="s">
        <v>185</v>
      </c>
      <c r="M25" s="63">
        <v>2.3E-2</v>
      </c>
      <c r="N25" s="63">
        <v>0</v>
      </c>
      <c r="O25" s="63">
        <f t="shared" si="1"/>
        <v>0.184</v>
      </c>
      <c r="P25" s="85"/>
      <c r="Q25" s="85"/>
      <c r="R25" s="85"/>
      <c r="S25" s="85"/>
      <c r="T25" s="62">
        <v>91</v>
      </c>
      <c r="U25" s="62">
        <v>0</v>
      </c>
      <c r="V25" s="62">
        <v>20000</v>
      </c>
      <c r="W25" s="62"/>
      <c r="X25" s="67"/>
      <c r="Y25" s="62"/>
      <c r="Z25" s="62" t="s">
        <v>211</v>
      </c>
      <c r="AA25" s="62"/>
      <c r="AB25" s="62"/>
      <c r="AC25" s="63"/>
      <c r="AD25" s="62"/>
      <c r="AE25" s="62"/>
      <c r="AF25" s="63"/>
      <c r="AG25" s="62"/>
      <c r="AH25" s="62"/>
      <c r="AI25" s="63"/>
    </row>
    <row r="26" spans="1:35" ht="22.05" customHeight="1">
      <c r="A26" s="64">
        <v>26</v>
      </c>
      <c r="B26" s="62" t="s">
        <v>71</v>
      </c>
      <c r="C26" s="62" t="s">
        <v>212</v>
      </c>
      <c r="D26" s="62" t="s">
        <v>213</v>
      </c>
      <c r="E26" s="62" t="s">
        <v>105</v>
      </c>
      <c r="F26" s="62" t="s">
        <v>157</v>
      </c>
      <c r="G26" s="62">
        <v>3</v>
      </c>
      <c r="H26" s="62" t="s">
        <v>212</v>
      </c>
      <c r="I26" s="62" t="s">
        <v>213</v>
      </c>
      <c r="J26" s="62" t="s">
        <v>183</v>
      </c>
      <c r="K26" s="62" t="s">
        <v>184</v>
      </c>
      <c r="L26" s="62" t="s">
        <v>185</v>
      </c>
      <c r="M26" s="63">
        <v>6.5000000000000002E-2</v>
      </c>
      <c r="N26" s="63">
        <v>0</v>
      </c>
      <c r="O26" s="63">
        <f t="shared" si="1"/>
        <v>0.19500000000000001</v>
      </c>
      <c r="P26" s="85"/>
      <c r="Q26" s="85"/>
      <c r="R26" s="85"/>
      <c r="S26" s="85"/>
      <c r="T26" s="62">
        <v>91</v>
      </c>
      <c r="U26" s="62">
        <v>0</v>
      </c>
      <c r="V26" s="62">
        <v>20000</v>
      </c>
      <c r="W26" s="62"/>
      <c r="X26" s="67"/>
      <c r="Y26" s="62"/>
      <c r="Z26" s="62" t="s">
        <v>214</v>
      </c>
      <c r="AA26" s="62"/>
      <c r="AB26" s="62"/>
      <c r="AC26" s="63"/>
      <c r="AD26" s="62"/>
      <c r="AE26" s="62"/>
      <c r="AF26" s="63"/>
      <c r="AG26" s="62"/>
      <c r="AH26" s="62"/>
      <c r="AI26" s="63"/>
    </row>
    <row r="27" spans="1:35" ht="22.05" customHeight="1">
      <c r="A27" s="64">
        <v>27</v>
      </c>
      <c r="B27" s="62" t="s">
        <v>71</v>
      </c>
      <c r="C27" s="62" t="s">
        <v>215</v>
      </c>
      <c r="D27" s="62" t="s">
        <v>216</v>
      </c>
      <c r="E27" s="62" t="s">
        <v>105</v>
      </c>
      <c r="F27" s="62" t="s">
        <v>157</v>
      </c>
      <c r="G27" s="62">
        <v>1</v>
      </c>
      <c r="H27" s="62" t="s">
        <v>215</v>
      </c>
      <c r="I27" s="62" t="s">
        <v>217</v>
      </c>
      <c r="J27" s="62" t="s">
        <v>218</v>
      </c>
      <c r="K27" s="62" t="s">
        <v>219</v>
      </c>
      <c r="L27" s="62" t="s">
        <v>185</v>
      </c>
      <c r="M27" s="63">
        <v>8.2799999999999999E-2</v>
      </c>
      <c r="N27" s="63">
        <v>0</v>
      </c>
      <c r="O27" s="63">
        <f t="shared" si="1"/>
        <v>8.2799999999999999E-2</v>
      </c>
      <c r="P27" s="85"/>
      <c r="Q27" s="85"/>
      <c r="R27" s="85"/>
      <c r="S27" s="85"/>
      <c r="T27" s="62">
        <v>42</v>
      </c>
      <c r="U27" s="62">
        <v>1000</v>
      </c>
      <c r="V27" s="62">
        <v>1000</v>
      </c>
      <c r="W27" s="62"/>
      <c r="X27" s="67"/>
      <c r="Y27" s="62" t="s">
        <v>150</v>
      </c>
      <c r="Z27" s="62" t="s">
        <v>220</v>
      </c>
      <c r="AA27" s="62"/>
      <c r="AB27" s="62"/>
      <c r="AC27" s="63"/>
      <c r="AD27" s="62"/>
      <c r="AE27" s="62"/>
      <c r="AF27" s="63"/>
      <c r="AG27" s="62"/>
      <c r="AH27" s="62"/>
      <c r="AI27" s="63"/>
    </row>
    <row r="28" spans="1:35" ht="22.05" customHeight="1">
      <c r="A28" s="64">
        <v>28</v>
      </c>
      <c r="B28" s="62" t="s">
        <v>71</v>
      </c>
      <c r="C28" s="62" t="s">
        <v>221</v>
      </c>
      <c r="D28" s="62" t="s">
        <v>222</v>
      </c>
      <c r="E28" s="62" t="s">
        <v>105</v>
      </c>
      <c r="F28" s="62" t="s">
        <v>157</v>
      </c>
      <c r="G28" s="62">
        <v>1</v>
      </c>
      <c r="H28" s="62" t="s">
        <v>221</v>
      </c>
      <c r="I28" s="62" t="s">
        <v>222</v>
      </c>
      <c r="J28" s="62" t="s">
        <v>183</v>
      </c>
      <c r="K28" s="62" t="s">
        <v>184</v>
      </c>
      <c r="L28" s="62" t="s">
        <v>185</v>
      </c>
      <c r="M28" s="63">
        <v>9.1999999999999998E-2</v>
      </c>
      <c r="N28" s="63">
        <v>0</v>
      </c>
      <c r="O28" s="63">
        <f t="shared" si="1"/>
        <v>9.1999999999999998E-2</v>
      </c>
      <c r="P28" s="85"/>
      <c r="Q28" s="85"/>
      <c r="R28" s="85"/>
      <c r="S28" s="85"/>
      <c r="T28" s="62">
        <v>91</v>
      </c>
      <c r="U28" s="62">
        <v>0</v>
      </c>
      <c r="V28" s="62">
        <v>20000</v>
      </c>
      <c r="W28" s="62"/>
      <c r="X28" s="67"/>
      <c r="Y28" s="62"/>
      <c r="Z28" s="62" t="s">
        <v>223</v>
      </c>
      <c r="AA28" s="62"/>
      <c r="AB28" s="62"/>
      <c r="AC28" s="63"/>
      <c r="AD28" s="62"/>
      <c r="AE28" s="62"/>
      <c r="AF28" s="63"/>
      <c r="AG28" s="62"/>
      <c r="AH28" s="62"/>
      <c r="AI28" s="63"/>
    </row>
    <row r="29" spans="1:35" ht="22.05" customHeight="1">
      <c r="A29" s="64">
        <v>29</v>
      </c>
      <c r="B29" s="62" t="s">
        <v>71</v>
      </c>
      <c r="C29" s="62" t="s">
        <v>224</v>
      </c>
      <c r="D29" s="62" t="s">
        <v>225</v>
      </c>
      <c r="E29" s="62" t="s">
        <v>105</v>
      </c>
      <c r="F29" s="62" t="s">
        <v>144</v>
      </c>
      <c r="G29" s="62">
        <v>3</v>
      </c>
      <c r="H29" s="62" t="s">
        <v>224</v>
      </c>
      <c r="I29" s="62" t="s">
        <v>225</v>
      </c>
      <c r="J29" s="62" t="s">
        <v>205</v>
      </c>
      <c r="K29" s="62" t="s">
        <v>206</v>
      </c>
      <c r="L29" s="62" t="s">
        <v>207</v>
      </c>
      <c r="M29" s="63">
        <v>0.9</v>
      </c>
      <c r="N29" s="63">
        <v>0</v>
      </c>
      <c r="O29" s="63">
        <f t="shared" si="1"/>
        <v>2.7</v>
      </c>
      <c r="P29" s="85"/>
      <c r="Q29" s="85"/>
      <c r="R29" s="85"/>
      <c r="S29" s="85"/>
      <c r="T29" s="62">
        <v>120</v>
      </c>
      <c r="U29" s="62">
        <v>1</v>
      </c>
      <c r="V29" s="62">
        <v>1</v>
      </c>
      <c r="W29" s="62"/>
      <c r="X29" s="67"/>
      <c r="Y29" s="62"/>
      <c r="Z29" s="62" t="s">
        <v>226</v>
      </c>
      <c r="AA29" s="62"/>
      <c r="AB29" s="62"/>
      <c r="AC29" s="63"/>
      <c r="AD29" s="62"/>
      <c r="AE29" s="62"/>
      <c r="AF29" s="63"/>
      <c r="AG29" s="62"/>
      <c r="AH29" s="62"/>
      <c r="AI29" s="63"/>
    </row>
    <row r="30" spans="1:35" ht="22.05" customHeight="1">
      <c r="A30" s="64">
        <v>30</v>
      </c>
      <c r="B30" s="62" t="s">
        <v>71</v>
      </c>
      <c r="C30" s="62" t="s">
        <v>227</v>
      </c>
      <c r="D30" s="62" t="s">
        <v>228</v>
      </c>
      <c r="E30" s="62" t="s">
        <v>105</v>
      </c>
      <c r="F30" s="62" t="s">
        <v>144</v>
      </c>
      <c r="G30" s="62">
        <v>8</v>
      </c>
      <c r="H30" s="62" t="s">
        <v>227</v>
      </c>
      <c r="I30" s="62" t="s">
        <v>228</v>
      </c>
      <c r="J30" s="62" t="s">
        <v>205</v>
      </c>
      <c r="K30" s="62" t="s">
        <v>184</v>
      </c>
      <c r="L30" s="62" t="s">
        <v>185</v>
      </c>
      <c r="M30" s="63">
        <v>0.22</v>
      </c>
      <c r="N30" s="63">
        <v>0</v>
      </c>
      <c r="O30" s="63">
        <f t="shared" si="1"/>
        <v>1.76</v>
      </c>
      <c r="P30" s="85"/>
      <c r="Q30" s="85"/>
      <c r="R30" s="85"/>
      <c r="S30" s="85"/>
      <c r="T30" s="62">
        <v>1</v>
      </c>
      <c r="U30" s="62">
        <v>1</v>
      </c>
      <c r="V30" s="62">
        <v>4000</v>
      </c>
      <c r="W30" s="62"/>
      <c r="X30" s="67"/>
      <c r="Y30" s="62"/>
      <c r="Z30" s="62" t="s">
        <v>229</v>
      </c>
      <c r="AA30" s="62"/>
      <c r="AB30" s="62"/>
      <c r="AC30" s="63"/>
      <c r="AD30" s="62"/>
      <c r="AE30" s="62"/>
      <c r="AF30" s="63"/>
      <c r="AG30" s="62"/>
      <c r="AH30" s="62"/>
      <c r="AI30" s="63"/>
    </row>
    <row r="31" spans="1:35" ht="22.05" customHeight="1">
      <c r="A31" s="64">
        <v>31</v>
      </c>
      <c r="B31" s="62" t="s">
        <v>71</v>
      </c>
      <c r="C31" s="62" t="s">
        <v>230</v>
      </c>
      <c r="D31" s="62" t="s">
        <v>231</v>
      </c>
      <c r="E31" s="62" t="s">
        <v>105</v>
      </c>
      <c r="F31" s="62" t="s">
        <v>144</v>
      </c>
      <c r="G31" s="62">
        <v>1</v>
      </c>
      <c r="H31" s="65" t="s">
        <v>232</v>
      </c>
      <c r="I31" s="62" t="s">
        <v>233</v>
      </c>
      <c r="J31" s="62" t="s">
        <v>218</v>
      </c>
      <c r="K31" s="62" t="s">
        <v>234</v>
      </c>
      <c r="L31" s="62" t="s">
        <v>235</v>
      </c>
      <c r="M31" s="63">
        <v>4.1999999999999997E-3</v>
      </c>
      <c r="N31" s="63">
        <v>0</v>
      </c>
      <c r="O31" s="63">
        <f t="shared" si="1"/>
        <v>4.1999999999999997E-3</v>
      </c>
      <c r="P31" s="85"/>
      <c r="Q31" s="85"/>
      <c r="R31" s="85"/>
      <c r="S31" s="85"/>
      <c r="T31" s="62">
        <v>56</v>
      </c>
      <c r="U31" s="62">
        <v>5000</v>
      </c>
      <c r="V31" s="62"/>
      <c r="W31" s="62"/>
      <c r="X31" s="67"/>
      <c r="Y31" s="62"/>
      <c r="Z31" s="62" t="s">
        <v>236</v>
      </c>
      <c r="AA31" s="62" t="s">
        <v>237</v>
      </c>
      <c r="AB31" s="62" t="s">
        <v>238</v>
      </c>
      <c r="AC31" s="63">
        <v>4.1999999999999997E-3</v>
      </c>
      <c r="AD31" s="62" t="s">
        <v>239</v>
      </c>
      <c r="AE31" s="62" t="s">
        <v>240</v>
      </c>
      <c r="AF31" s="66">
        <v>7.4999999999999997E-3</v>
      </c>
      <c r="AG31" s="62" t="s">
        <v>241</v>
      </c>
      <c r="AH31" s="62" t="s">
        <v>242</v>
      </c>
      <c r="AI31" s="66" t="s">
        <v>154</v>
      </c>
    </row>
    <row r="32" spans="1:35" ht="22.05" customHeight="1">
      <c r="A32" s="64">
        <v>32</v>
      </c>
      <c r="B32" s="62" t="s">
        <v>71</v>
      </c>
      <c r="C32" s="62" t="s">
        <v>243</v>
      </c>
      <c r="D32" s="62" t="s">
        <v>244</v>
      </c>
      <c r="E32" s="62" t="s">
        <v>105</v>
      </c>
      <c r="F32" s="62" t="s">
        <v>144</v>
      </c>
      <c r="G32" s="62">
        <v>49</v>
      </c>
      <c r="H32" s="65" t="s">
        <v>245</v>
      </c>
      <c r="I32" s="62" t="s">
        <v>246</v>
      </c>
      <c r="J32" s="62" t="s">
        <v>218</v>
      </c>
      <c r="K32" s="62" t="s">
        <v>219</v>
      </c>
      <c r="L32" s="62" t="s">
        <v>185</v>
      </c>
      <c r="M32" s="63">
        <v>1.8E-3</v>
      </c>
      <c r="N32" s="63">
        <v>0</v>
      </c>
      <c r="O32" s="63">
        <f t="shared" si="1"/>
        <v>8.8200000000000001E-2</v>
      </c>
      <c r="P32" s="85"/>
      <c r="Q32" s="85"/>
      <c r="R32" s="85"/>
      <c r="S32" s="85"/>
      <c r="T32" s="62">
        <v>56</v>
      </c>
      <c r="U32" s="62">
        <v>5000</v>
      </c>
      <c r="V32" s="62"/>
      <c r="W32" s="62"/>
      <c r="X32" s="67"/>
      <c r="Y32" s="62"/>
      <c r="Z32" s="62" t="s">
        <v>247</v>
      </c>
      <c r="AA32" s="62" t="s">
        <v>248</v>
      </c>
      <c r="AB32" s="62" t="s">
        <v>249</v>
      </c>
      <c r="AC32" s="63">
        <v>1.8E-3</v>
      </c>
      <c r="AD32" s="62" t="s">
        <v>250</v>
      </c>
      <c r="AE32" s="62" t="s">
        <v>251</v>
      </c>
      <c r="AF32" s="63">
        <v>2.5000000000000001E-3</v>
      </c>
      <c r="AG32" s="62" t="s">
        <v>252</v>
      </c>
      <c r="AH32" s="62" t="s">
        <v>253</v>
      </c>
      <c r="AI32" s="66" t="s">
        <v>154</v>
      </c>
    </row>
    <row r="33" spans="1:35" ht="22.05" customHeight="1">
      <c r="A33" s="64">
        <v>33</v>
      </c>
      <c r="B33" s="62" t="s">
        <v>71</v>
      </c>
      <c r="C33" s="62" t="s">
        <v>254</v>
      </c>
      <c r="D33" s="62" t="s">
        <v>255</v>
      </c>
      <c r="E33" s="62" t="s">
        <v>105</v>
      </c>
      <c r="F33" s="62" t="s">
        <v>144</v>
      </c>
      <c r="G33" s="62">
        <v>25</v>
      </c>
      <c r="H33" s="65" t="s">
        <v>256</v>
      </c>
      <c r="I33" s="62" t="s">
        <v>257</v>
      </c>
      <c r="J33" s="62" t="s">
        <v>218</v>
      </c>
      <c r="K33" s="62" t="s">
        <v>234</v>
      </c>
      <c r="L33" s="62" t="s">
        <v>235</v>
      </c>
      <c r="M33" s="63">
        <v>1.8E-3</v>
      </c>
      <c r="N33" s="63">
        <v>0</v>
      </c>
      <c r="O33" s="63">
        <f t="shared" si="1"/>
        <v>4.4999999999999998E-2</v>
      </c>
      <c r="P33" s="85"/>
      <c r="Q33" s="85"/>
      <c r="R33" s="85"/>
      <c r="S33" s="85"/>
      <c r="T33" s="62">
        <v>56</v>
      </c>
      <c r="U33" s="62">
        <v>5000</v>
      </c>
      <c r="V33" s="62"/>
      <c r="W33" s="62"/>
      <c r="X33" s="67"/>
      <c r="Y33" s="62"/>
      <c r="Z33" s="62" t="s">
        <v>258</v>
      </c>
      <c r="AA33" s="62" t="s">
        <v>259</v>
      </c>
      <c r="AB33" s="62" t="s">
        <v>260</v>
      </c>
      <c r="AC33" s="63">
        <v>1.8E-3</v>
      </c>
      <c r="AD33" s="62" t="s">
        <v>261</v>
      </c>
      <c r="AE33" s="62" t="s">
        <v>262</v>
      </c>
      <c r="AF33" s="63">
        <v>2.5000000000000001E-3</v>
      </c>
      <c r="AG33" s="62" t="s">
        <v>263</v>
      </c>
      <c r="AH33" s="62" t="s">
        <v>264</v>
      </c>
      <c r="AI33" s="66" t="s">
        <v>154</v>
      </c>
    </row>
    <row r="34" spans="1:35" ht="22.05" customHeight="1">
      <c r="A34" s="64">
        <v>34</v>
      </c>
      <c r="B34" s="62" t="s">
        <v>71</v>
      </c>
      <c r="C34" s="62" t="s">
        <v>265</v>
      </c>
      <c r="D34" s="62" t="s">
        <v>266</v>
      </c>
      <c r="E34" s="62" t="s">
        <v>105</v>
      </c>
      <c r="F34" s="62" t="s">
        <v>144</v>
      </c>
      <c r="G34" s="62">
        <v>9</v>
      </c>
      <c r="H34" s="65" t="s">
        <v>267</v>
      </c>
      <c r="I34" s="62" t="s">
        <v>268</v>
      </c>
      <c r="J34" s="62" t="s">
        <v>218</v>
      </c>
      <c r="K34" s="62" t="s">
        <v>234</v>
      </c>
      <c r="L34" s="62" t="s">
        <v>235</v>
      </c>
      <c r="M34" s="63">
        <v>1.8E-3</v>
      </c>
      <c r="N34" s="63">
        <v>0</v>
      </c>
      <c r="O34" s="63">
        <f t="shared" si="1"/>
        <v>1.6199999999999999E-2</v>
      </c>
      <c r="P34" s="85"/>
      <c r="Q34" s="85"/>
      <c r="R34" s="85"/>
      <c r="S34" s="85"/>
      <c r="T34" s="62">
        <v>56</v>
      </c>
      <c r="U34" s="62">
        <v>5000</v>
      </c>
      <c r="V34" s="62"/>
      <c r="W34" s="62"/>
      <c r="X34" s="67"/>
      <c r="Y34" s="62"/>
      <c r="Z34" s="62" t="s">
        <v>269</v>
      </c>
      <c r="AA34" s="62" t="s">
        <v>270</v>
      </c>
      <c r="AB34" s="62" t="s">
        <v>271</v>
      </c>
      <c r="AC34" s="63">
        <v>1.8E-3</v>
      </c>
      <c r="AD34" s="62" t="s">
        <v>272</v>
      </c>
      <c r="AE34" s="62" t="s">
        <v>273</v>
      </c>
      <c r="AF34" s="63">
        <v>2.5999999999999999E-3</v>
      </c>
      <c r="AG34" s="62" t="s">
        <v>274</v>
      </c>
      <c r="AH34" s="62" t="s">
        <v>275</v>
      </c>
      <c r="AI34" s="66" t="s">
        <v>154</v>
      </c>
    </row>
    <row r="35" spans="1:35" ht="22.05" customHeight="1">
      <c r="A35" s="64">
        <v>35</v>
      </c>
      <c r="B35" s="62" t="s">
        <v>71</v>
      </c>
      <c r="C35" s="62" t="s">
        <v>276</v>
      </c>
      <c r="D35" s="62" t="s">
        <v>277</v>
      </c>
      <c r="E35" s="62" t="s">
        <v>105</v>
      </c>
      <c r="F35" s="62" t="s">
        <v>144</v>
      </c>
      <c r="G35" s="62">
        <v>2</v>
      </c>
      <c r="H35" s="65" t="s">
        <v>278</v>
      </c>
      <c r="I35" s="62" t="s">
        <v>279</v>
      </c>
      <c r="J35" s="62" t="s">
        <v>218</v>
      </c>
      <c r="K35" s="62" t="s">
        <v>234</v>
      </c>
      <c r="L35" s="62" t="s">
        <v>235</v>
      </c>
      <c r="M35" s="63">
        <v>1.8E-3</v>
      </c>
      <c r="N35" s="63">
        <v>0</v>
      </c>
      <c r="O35" s="63">
        <f t="shared" si="1"/>
        <v>3.5999999999999999E-3</v>
      </c>
      <c r="P35" s="85"/>
      <c r="Q35" s="85"/>
      <c r="R35" s="85"/>
      <c r="S35" s="85"/>
      <c r="T35" s="62">
        <v>56</v>
      </c>
      <c r="U35" s="62">
        <v>5000</v>
      </c>
      <c r="V35" s="62"/>
      <c r="W35" s="62"/>
      <c r="X35" s="67"/>
      <c r="Y35" s="62"/>
      <c r="Z35" s="62" t="s">
        <v>280</v>
      </c>
      <c r="AA35" s="62" t="s">
        <v>281</v>
      </c>
      <c r="AB35" s="62" t="s">
        <v>282</v>
      </c>
      <c r="AC35" s="63">
        <v>1.8E-3</v>
      </c>
      <c r="AD35" s="62" t="s">
        <v>283</v>
      </c>
      <c r="AE35" s="62" t="s">
        <v>284</v>
      </c>
      <c r="AF35" s="66">
        <v>2.5999999999999999E-3</v>
      </c>
      <c r="AG35" s="62" t="s">
        <v>285</v>
      </c>
      <c r="AH35" s="62" t="s">
        <v>286</v>
      </c>
      <c r="AI35" s="66" t="s">
        <v>154</v>
      </c>
    </row>
    <row r="36" spans="1:35" ht="22.05" customHeight="1">
      <c r="A36" s="64">
        <v>36</v>
      </c>
      <c r="B36" s="62" t="s">
        <v>71</v>
      </c>
      <c r="C36" s="62" t="s">
        <v>287</v>
      </c>
      <c r="D36" s="62" t="s">
        <v>288</v>
      </c>
      <c r="E36" s="62" t="s">
        <v>105</v>
      </c>
      <c r="F36" s="62" t="s">
        <v>144</v>
      </c>
      <c r="G36" s="62">
        <v>7</v>
      </c>
      <c r="H36" s="65" t="s">
        <v>289</v>
      </c>
      <c r="I36" s="62" t="s">
        <v>290</v>
      </c>
      <c r="J36" s="62" t="s">
        <v>218</v>
      </c>
      <c r="K36" s="62" t="s">
        <v>234</v>
      </c>
      <c r="L36" s="62" t="s">
        <v>235</v>
      </c>
      <c r="M36" s="63">
        <v>1.8E-3</v>
      </c>
      <c r="N36" s="63">
        <v>0</v>
      </c>
      <c r="O36" s="63">
        <f t="shared" si="1"/>
        <v>1.26E-2</v>
      </c>
      <c r="P36" s="85"/>
      <c r="Q36" s="85"/>
      <c r="R36" s="85"/>
      <c r="S36" s="85"/>
      <c r="T36" s="62">
        <v>56</v>
      </c>
      <c r="U36" s="62">
        <v>5000</v>
      </c>
      <c r="V36" s="62"/>
      <c r="W36" s="62"/>
      <c r="X36" s="67"/>
      <c r="Y36" s="62"/>
      <c r="Z36" s="62" t="s">
        <v>291</v>
      </c>
      <c r="AA36" s="62" t="s">
        <v>292</v>
      </c>
      <c r="AB36" s="62" t="s">
        <v>293</v>
      </c>
      <c r="AC36" s="63">
        <v>1.8E-3</v>
      </c>
      <c r="AD36" s="62" t="s">
        <v>294</v>
      </c>
      <c r="AE36" s="62" t="s">
        <v>295</v>
      </c>
      <c r="AF36" s="66">
        <v>2.5000000000000001E-3</v>
      </c>
      <c r="AG36" s="62" t="s">
        <v>296</v>
      </c>
      <c r="AH36" s="62" t="s">
        <v>297</v>
      </c>
      <c r="AI36" s="66" t="s">
        <v>154</v>
      </c>
    </row>
    <row r="37" spans="1:35" ht="22.05" customHeight="1">
      <c r="A37" s="64">
        <v>37</v>
      </c>
      <c r="B37" s="62" t="s">
        <v>71</v>
      </c>
      <c r="C37" s="62" t="s">
        <v>298</v>
      </c>
      <c r="D37" s="62" t="s">
        <v>299</v>
      </c>
      <c r="E37" s="62" t="s">
        <v>105</v>
      </c>
      <c r="F37" s="62" t="s">
        <v>144</v>
      </c>
      <c r="G37" s="62">
        <v>2</v>
      </c>
      <c r="H37" s="65" t="s">
        <v>300</v>
      </c>
      <c r="I37" s="62" t="s">
        <v>301</v>
      </c>
      <c r="J37" s="62" t="s">
        <v>302</v>
      </c>
      <c r="K37" s="62" t="s">
        <v>234</v>
      </c>
      <c r="L37" s="62" t="s">
        <v>235</v>
      </c>
      <c r="M37" s="63">
        <v>1.8E-3</v>
      </c>
      <c r="N37" s="63">
        <v>0</v>
      </c>
      <c r="O37" s="63">
        <f t="shared" si="1"/>
        <v>3.5999999999999999E-3</v>
      </c>
      <c r="P37" s="85"/>
      <c r="Q37" s="85"/>
      <c r="R37" s="85"/>
      <c r="S37" s="85"/>
      <c r="T37" s="62">
        <v>56</v>
      </c>
      <c r="U37" s="62">
        <v>5000</v>
      </c>
      <c r="V37" s="62"/>
      <c r="W37" s="62"/>
      <c r="X37" s="67"/>
      <c r="Y37" s="62"/>
      <c r="Z37" s="62" t="s">
        <v>303</v>
      </c>
      <c r="AA37" s="62" t="s">
        <v>304</v>
      </c>
      <c r="AB37" s="62" t="s">
        <v>305</v>
      </c>
      <c r="AC37" s="63">
        <v>1.8E-3</v>
      </c>
      <c r="AD37" s="62" t="s">
        <v>306</v>
      </c>
      <c r="AE37" s="62" t="s">
        <v>307</v>
      </c>
      <c r="AF37" s="66">
        <v>2.5999999999999999E-3</v>
      </c>
      <c r="AG37" s="62" t="s">
        <v>308</v>
      </c>
      <c r="AH37" s="62" t="s">
        <v>309</v>
      </c>
      <c r="AI37" s="66" t="s">
        <v>154</v>
      </c>
    </row>
    <row r="38" spans="1:35" ht="22.05" customHeight="1">
      <c r="A38" s="64">
        <v>38</v>
      </c>
      <c r="B38" s="62" t="s">
        <v>71</v>
      </c>
      <c r="C38" s="62" t="s">
        <v>310</v>
      </c>
      <c r="D38" s="62" t="s">
        <v>311</v>
      </c>
      <c r="E38" s="62" t="s">
        <v>105</v>
      </c>
      <c r="F38" s="62" t="s">
        <v>144</v>
      </c>
      <c r="G38" s="62">
        <v>8</v>
      </c>
      <c r="H38" s="65" t="s">
        <v>312</v>
      </c>
      <c r="I38" s="62" t="s">
        <v>313</v>
      </c>
      <c r="J38" s="62" t="s">
        <v>218</v>
      </c>
      <c r="K38" s="62" t="s">
        <v>234</v>
      </c>
      <c r="L38" s="62" t="s">
        <v>235</v>
      </c>
      <c r="M38" s="63">
        <v>1.8E-3</v>
      </c>
      <c r="N38" s="63">
        <v>0</v>
      </c>
      <c r="O38" s="63">
        <f t="shared" si="1"/>
        <v>1.44E-2</v>
      </c>
      <c r="P38" s="85"/>
      <c r="Q38" s="85"/>
      <c r="R38" s="85"/>
      <c r="S38" s="85"/>
      <c r="T38" s="62">
        <v>56</v>
      </c>
      <c r="U38" s="62">
        <v>5000</v>
      </c>
      <c r="V38" s="62"/>
      <c r="W38" s="62"/>
      <c r="X38" s="67"/>
      <c r="Y38" s="62"/>
      <c r="Z38" s="62" t="s">
        <v>314</v>
      </c>
      <c r="AA38" s="62" t="s">
        <v>315</v>
      </c>
      <c r="AB38" s="62" t="s">
        <v>316</v>
      </c>
      <c r="AC38" s="63">
        <v>1.8E-3</v>
      </c>
      <c r="AD38" s="62" t="s">
        <v>317</v>
      </c>
      <c r="AE38" s="62" t="s">
        <v>318</v>
      </c>
      <c r="AF38" s="66">
        <v>2.5999999999999999E-3</v>
      </c>
      <c r="AG38" s="62" t="s">
        <v>319</v>
      </c>
      <c r="AH38" s="62" t="s">
        <v>320</v>
      </c>
      <c r="AI38" s="66" t="s">
        <v>154</v>
      </c>
    </row>
    <row r="39" spans="1:35" ht="22.05" customHeight="1">
      <c r="A39" s="64">
        <v>39</v>
      </c>
      <c r="B39" s="62" t="s">
        <v>71</v>
      </c>
      <c r="C39" s="62" t="s">
        <v>321</v>
      </c>
      <c r="D39" s="62" t="s">
        <v>322</v>
      </c>
      <c r="E39" s="62" t="s">
        <v>105</v>
      </c>
      <c r="F39" s="62" t="s">
        <v>144</v>
      </c>
      <c r="G39" s="62">
        <v>2</v>
      </c>
      <c r="H39" s="65" t="s">
        <v>323</v>
      </c>
      <c r="I39" s="62" t="s">
        <v>324</v>
      </c>
      <c r="J39" s="62" t="s">
        <v>218</v>
      </c>
      <c r="K39" s="62" t="s">
        <v>234</v>
      </c>
      <c r="L39" s="62" t="s">
        <v>235</v>
      </c>
      <c r="M39" s="63">
        <v>4.1999999999999997E-3</v>
      </c>
      <c r="N39" s="63">
        <v>0</v>
      </c>
      <c r="O39" s="63">
        <f t="shared" si="1"/>
        <v>8.3999999999999995E-3</v>
      </c>
      <c r="P39" s="85"/>
      <c r="Q39" s="85"/>
      <c r="R39" s="85"/>
      <c r="S39" s="85"/>
      <c r="T39" s="62">
        <v>56</v>
      </c>
      <c r="U39" s="62">
        <v>5000</v>
      </c>
      <c r="V39" s="62"/>
      <c r="W39" s="62"/>
      <c r="X39" s="67"/>
      <c r="Y39" s="62"/>
      <c r="Z39" s="62" t="s">
        <v>325</v>
      </c>
      <c r="AA39" s="62" t="s">
        <v>326</v>
      </c>
      <c r="AB39" s="62" t="s">
        <v>327</v>
      </c>
      <c r="AC39" s="63">
        <v>4.1999999999999997E-3</v>
      </c>
      <c r="AD39" s="62" t="s">
        <v>328</v>
      </c>
      <c r="AE39" s="62" t="s">
        <v>329</v>
      </c>
      <c r="AF39" s="66">
        <v>7.4999999999999997E-3</v>
      </c>
      <c r="AG39" s="62" t="s">
        <v>330</v>
      </c>
      <c r="AH39" s="62" t="s">
        <v>331</v>
      </c>
      <c r="AI39" s="66" t="s">
        <v>154</v>
      </c>
    </row>
    <row r="40" spans="1:35" ht="22.05" customHeight="1">
      <c r="A40" s="64">
        <v>40</v>
      </c>
      <c r="B40" s="62" t="s">
        <v>71</v>
      </c>
      <c r="C40" s="62" t="s">
        <v>332</v>
      </c>
      <c r="D40" s="62" t="s">
        <v>333</v>
      </c>
      <c r="E40" s="62" t="s">
        <v>105</v>
      </c>
      <c r="F40" s="62" t="s">
        <v>144</v>
      </c>
      <c r="G40" s="62">
        <v>1</v>
      </c>
      <c r="H40" s="65" t="s">
        <v>334</v>
      </c>
      <c r="I40" s="62" t="s">
        <v>335</v>
      </c>
      <c r="J40" s="62" t="s">
        <v>218</v>
      </c>
      <c r="K40" s="62" t="s">
        <v>234</v>
      </c>
      <c r="L40" s="62" t="s">
        <v>235</v>
      </c>
      <c r="M40" s="63">
        <v>1.8E-3</v>
      </c>
      <c r="N40" s="63">
        <v>0</v>
      </c>
      <c r="O40" s="63">
        <f t="shared" si="1"/>
        <v>1.8E-3</v>
      </c>
      <c r="P40" s="85"/>
      <c r="Q40" s="85"/>
      <c r="R40" s="85"/>
      <c r="S40" s="85"/>
      <c r="T40" s="62">
        <v>56</v>
      </c>
      <c r="U40" s="62">
        <v>5000</v>
      </c>
      <c r="V40" s="62"/>
      <c r="W40" s="62"/>
      <c r="X40" s="67"/>
      <c r="Y40" s="62"/>
      <c r="Z40" s="62" t="s">
        <v>336</v>
      </c>
      <c r="AA40" s="62" t="s">
        <v>337</v>
      </c>
      <c r="AB40" s="62" t="s">
        <v>338</v>
      </c>
      <c r="AC40" s="63">
        <v>1.8E-3</v>
      </c>
      <c r="AD40" s="62" t="s">
        <v>339</v>
      </c>
      <c r="AE40" s="62" t="s">
        <v>340</v>
      </c>
      <c r="AF40" s="66">
        <v>2.5999999999999999E-3</v>
      </c>
      <c r="AG40" s="62" t="s">
        <v>341</v>
      </c>
      <c r="AH40" s="62" t="s">
        <v>342</v>
      </c>
      <c r="AI40" s="66" t="s">
        <v>154</v>
      </c>
    </row>
    <row r="41" spans="1:35" ht="22.05" customHeight="1">
      <c r="A41" s="64">
        <v>41</v>
      </c>
      <c r="B41" s="62" t="s">
        <v>71</v>
      </c>
      <c r="C41" s="62" t="s">
        <v>343</v>
      </c>
      <c r="D41" s="62" t="s">
        <v>344</v>
      </c>
      <c r="E41" s="62" t="s">
        <v>105</v>
      </c>
      <c r="F41" s="62" t="s">
        <v>144</v>
      </c>
      <c r="G41" s="62">
        <v>1</v>
      </c>
      <c r="H41" s="65" t="s">
        <v>345</v>
      </c>
      <c r="I41" s="62" t="s">
        <v>346</v>
      </c>
      <c r="J41" s="62" t="s">
        <v>183</v>
      </c>
      <c r="K41" s="62" t="s">
        <v>184</v>
      </c>
      <c r="L41" s="62" t="s">
        <v>185</v>
      </c>
      <c r="M41" s="63">
        <v>1.8E-3</v>
      </c>
      <c r="N41" s="63">
        <v>0</v>
      </c>
      <c r="O41" s="63">
        <f t="shared" si="1"/>
        <v>1.8E-3</v>
      </c>
      <c r="P41" s="85"/>
      <c r="Q41" s="85"/>
      <c r="R41" s="85"/>
      <c r="S41" s="85"/>
      <c r="T41" s="62">
        <v>56</v>
      </c>
      <c r="U41" s="62">
        <v>0</v>
      </c>
      <c r="V41" s="62">
        <v>5000</v>
      </c>
      <c r="W41" s="62"/>
      <c r="X41" s="67"/>
      <c r="Y41" s="62"/>
      <c r="Z41" s="62" t="s">
        <v>347</v>
      </c>
      <c r="AA41" s="62" t="s">
        <v>348</v>
      </c>
      <c r="AB41" s="62" t="s">
        <v>349</v>
      </c>
      <c r="AC41" s="66">
        <v>2.5000000000000001E-3</v>
      </c>
      <c r="AD41" s="62" t="s">
        <v>350</v>
      </c>
      <c r="AE41" s="62" t="s">
        <v>351</v>
      </c>
      <c r="AF41" s="66">
        <v>2.5000000000000001E-3</v>
      </c>
      <c r="AG41" s="62" t="s">
        <v>352</v>
      </c>
      <c r="AH41" s="62" t="s">
        <v>353</v>
      </c>
      <c r="AI41" s="66" t="s">
        <v>154</v>
      </c>
    </row>
    <row r="42" spans="1:35" ht="22.05" customHeight="1">
      <c r="A42" s="64">
        <v>42</v>
      </c>
      <c r="B42" s="62" t="s">
        <v>71</v>
      </c>
      <c r="C42" s="62" t="s">
        <v>354</v>
      </c>
      <c r="D42" s="62" t="s">
        <v>355</v>
      </c>
      <c r="E42" s="62" t="s">
        <v>105</v>
      </c>
      <c r="F42" s="62" t="s">
        <v>144</v>
      </c>
      <c r="G42" s="62">
        <v>8</v>
      </c>
      <c r="H42" s="65" t="s">
        <v>356</v>
      </c>
      <c r="I42" s="62" t="s">
        <v>357</v>
      </c>
      <c r="J42" s="62" t="s">
        <v>302</v>
      </c>
      <c r="K42" s="62" t="s">
        <v>234</v>
      </c>
      <c r="L42" s="62" t="s">
        <v>235</v>
      </c>
      <c r="M42" s="63">
        <v>1.8E-3</v>
      </c>
      <c r="N42" s="63">
        <v>0</v>
      </c>
      <c r="O42" s="63">
        <f t="shared" si="1"/>
        <v>1.44E-2</v>
      </c>
      <c r="P42" s="85"/>
      <c r="Q42" s="85"/>
      <c r="R42" s="85"/>
      <c r="S42" s="85"/>
      <c r="T42" s="62">
        <v>56</v>
      </c>
      <c r="U42" s="62">
        <v>5000</v>
      </c>
      <c r="V42" s="62"/>
      <c r="W42" s="62"/>
      <c r="X42" s="67"/>
      <c r="Y42" s="62"/>
      <c r="Z42" s="62" t="s">
        <v>358</v>
      </c>
      <c r="AA42" s="62" t="s">
        <v>359</v>
      </c>
      <c r="AB42" s="62" t="s">
        <v>360</v>
      </c>
      <c r="AC42" s="63">
        <v>1.8E-3</v>
      </c>
      <c r="AD42" s="62" t="s">
        <v>361</v>
      </c>
      <c r="AE42" s="62" t="s">
        <v>362</v>
      </c>
      <c r="AF42" s="66">
        <v>2.5999999999999999E-3</v>
      </c>
      <c r="AG42" s="62" t="s">
        <v>363</v>
      </c>
      <c r="AH42" s="62" t="s">
        <v>364</v>
      </c>
      <c r="AI42" s="66" t="s">
        <v>154</v>
      </c>
    </row>
    <row r="43" spans="1:35" ht="22.05" customHeight="1">
      <c r="A43" s="64">
        <v>43</v>
      </c>
      <c r="B43" s="62" t="s">
        <v>71</v>
      </c>
      <c r="C43" s="62" t="s">
        <v>365</v>
      </c>
      <c r="D43" s="62" t="s">
        <v>366</v>
      </c>
      <c r="E43" s="62" t="s">
        <v>105</v>
      </c>
      <c r="F43" s="62" t="s">
        <v>144</v>
      </c>
      <c r="G43" s="62">
        <v>2</v>
      </c>
      <c r="H43" s="65" t="s">
        <v>367</v>
      </c>
      <c r="I43" s="62" t="s">
        <v>368</v>
      </c>
      <c r="J43" s="62" t="s">
        <v>183</v>
      </c>
      <c r="K43" s="62" t="s">
        <v>184</v>
      </c>
      <c r="L43" s="62" t="s">
        <v>185</v>
      </c>
      <c r="M43" s="63">
        <v>1.8E-3</v>
      </c>
      <c r="N43" s="63">
        <v>0</v>
      </c>
      <c r="O43" s="63">
        <f t="shared" si="1"/>
        <v>3.5999999999999999E-3</v>
      </c>
      <c r="P43" s="85"/>
      <c r="Q43" s="85"/>
      <c r="R43" s="85"/>
      <c r="S43" s="85"/>
      <c r="T43" s="62">
        <v>56</v>
      </c>
      <c r="U43" s="62">
        <v>0</v>
      </c>
      <c r="V43" s="62">
        <v>5000</v>
      </c>
      <c r="W43" s="62"/>
      <c r="X43" s="67"/>
      <c r="Y43" s="62"/>
      <c r="Z43" s="62" t="s">
        <v>369</v>
      </c>
      <c r="AA43" s="62" t="s">
        <v>370</v>
      </c>
      <c r="AB43" s="62" t="s">
        <v>371</v>
      </c>
      <c r="AC43" s="63">
        <v>2.3999999999999998E-3</v>
      </c>
      <c r="AD43" s="62" t="s">
        <v>372</v>
      </c>
      <c r="AE43" s="62" t="s">
        <v>373</v>
      </c>
      <c r="AF43" s="66">
        <v>2.5999999999999999E-3</v>
      </c>
      <c r="AG43" s="62" t="s">
        <v>374</v>
      </c>
      <c r="AH43" s="62" t="s">
        <v>375</v>
      </c>
      <c r="AI43" s="66" t="s">
        <v>154</v>
      </c>
    </row>
    <row r="44" spans="1:35" ht="22.05" customHeight="1">
      <c r="A44" s="64">
        <v>44</v>
      </c>
      <c r="B44" s="62" t="s">
        <v>71</v>
      </c>
      <c r="C44" s="62" t="s">
        <v>376</v>
      </c>
      <c r="D44" s="62" t="s">
        <v>377</v>
      </c>
      <c r="E44" s="62" t="s">
        <v>105</v>
      </c>
      <c r="F44" s="62" t="s">
        <v>144</v>
      </c>
      <c r="G44" s="62">
        <v>29</v>
      </c>
      <c r="H44" s="65" t="s">
        <v>378</v>
      </c>
      <c r="I44" s="62" t="s">
        <v>379</v>
      </c>
      <c r="J44" s="62" t="s">
        <v>218</v>
      </c>
      <c r="K44" s="62" t="s">
        <v>234</v>
      </c>
      <c r="L44" s="62" t="s">
        <v>235</v>
      </c>
      <c r="M44" s="63">
        <v>1.8E-3</v>
      </c>
      <c r="N44" s="63">
        <v>0</v>
      </c>
      <c r="O44" s="63">
        <f t="shared" si="1"/>
        <v>5.2199999999999996E-2</v>
      </c>
      <c r="P44" s="85"/>
      <c r="Q44" s="85"/>
      <c r="R44" s="85"/>
      <c r="S44" s="85"/>
      <c r="T44" s="62">
        <v>56</v>
      </c>
      <c r="U44" s="62">
        <v>5000</v>
      </c>
      <c r="V44" s="62"/>
      <c r="W44" s="62"/>
      <c r="X44" s="67"/>
      <c r="Y44" s="62"/>
      <c r="Z44" s="62" t="s">
        <v>380</v>
      </c>
      <c r="AA44" s="62" t="s">
        <v>381</v>
      </c>
      <c r="AB44" s="62" t="s">
        <v>382</v>
      </c>
      <c r="AC44" s="63">
        <v>1.8E-3</v>
      </c>
      <c r="AD44" s="62" t="s">
        <v>383</v>
      </c>
      <c r="AE44" s="62" t="s">
        <v>384</v>
      </c>
      <c r="AF44" s="63">
        <v>2.5000000000000001E-3</v>
      </c>
      <c r="AG44" s="62" t="s">
        <v>385</v>
      </c>
      <c r="AH44" s="62" t="s">
        <v>386</v>
      </c>
      <c r="AI44" s="66" t="s">
        <v>154</v>
      </c>
    </row>
    <row r="45" spans="1:35" ht="22.05" customHeight="1">
      <c r="A45" s="64">
        <v>45</v>
      </c>
      <c r="B45" s="62" t="s">
        <v>71</v>
      </c>
      <c r="C45" s="62" t="s">
        <v>387</v>
      </c>
      <c r="D45" s="62" t="s">
        <v>388</v>
      </c>
      <c r="E45" s="62" t="s">
        <v>105</v>
      </c>
      <c r="F45" s="62" t="s">
        <v>144</v>
      </c>
      <c r="G45" s="62">
        <v>2</v>
      </c>
      <c r="H45" s="65" t="s">
        <v>389</v>
      </c>
      <c r="I45" s="62" t="s">
        <v>390</v>
      </c>
      <c r="J45" s="62" t="s">
        <v>302</v>
      </c>
      <c r="K45" s="62" t="s">
        <v>234</v>
      </c>
      <c r="L45" s="62" t="s">
        <v>235</v>
      </c>
      <c r="M45" s="63">
        <v>1.8E-3</v>
      </c>
      <c r="N45" s="63">
        <v>0</v>
      </c>
      <c r="O45" s="63">
        <f t="shared" si="1"/>
        <v>3.5999999999999999E-3</v>
      </c>
      <c r="P45" s="85"/>
      <c r="Q45" s="85"/>
      <c r="R45" s="85"/>
      <c r="S45" s="85"/>
      <c r="T45" s="62">
        <v>56</v>
      </c>
      <c r="U45" s="62">
        <v>5000</v>
      </c>
      <c r="V45" s="62"/>
      <c r="W45" s="62"/>
      <c r="X45" s="67"/>
      <c r="Y45" s="62"/>
      <c r="Z45" s="62" t="s">
        <v>391</v>
      </c>
      <c r="AA45" s="62" t="s">
        <v>392</v>
      </c>
      <c r="AB45" s="62" t="s">
        <v>393</v>
      </c>
      <c r="AC45" s="63">
        <v>1.8E-3</v>
      </c>
      <c r="AD45" s="62" t="s">
        <v>394</v>
      </c>
      <c r="AE45" s="62" t="s">
        <v>395</v>
      </c>
      <c r="AF45" s="66">
        <v>2.5000000000000001E-3</v>
      </c>
      <c r="AG45" s="62" t="s">
        <v>396</v>
      </c>
      <c r="AH45" s="62" t="s">
        <v>397</v>
      </c>
      <c r="AI45" s="66" t="s">
        <v>154</v>
      </c>
    </row>
    <row r="46" spans="1:35" ht="22.05" customHeight="1">
      <c r="A46" s="64">
        <v>46</v>
      </c>
      <c r="B46" s="62" t="s">
        <v>71</v>
      </c>
      <c r="C46" s="62" t="s">
        <v>398</v>
      </c>
      <c r="D46" s="62" t="s">
        <v>399</v>
      </c>
      <c r="E46" s="62" t="s">
        <v>105</v>
      </c>
      <c r="F46" s="62" t="s">
        <v>144</v>
      </c>
      <c r="G46" s="62">
        <v>1</v>
      </c>
      <c r="H46" s="65" t="s">
        <v>400</v>
      </c>
      <c r="I46" s="62" t="s">
        <v>401</v>
      </c>
      <c r="J46" s="62" t="s">
        <v>302</v>
      </c>
      <c r="K46" s="62" t="s">
        <v>234</v>
      </c>
      <c r="L46" s="62" t="s">
        <v>235</v>
      </c>
      <c r="M46" s="63">
        <v>1.8E-3</v>
      </c>
      <c r="N46" s="63">
        <v>0</v>
      </c>
      <c r="O46" s="63">
        <f t="shared" si="1"/>
        <v>1.8E-3</v>
      </c>
      <c r="P46" s="85"/>
      <c r="Q46" s="85"/>
      <c r="R46" s="85"/>
      <c r="S46" s="85"/>
      <c r="T46" s="62">
        <v>56</v>
      </c>
      <c r="U46" s="62">
        <v>5000</v>
      </c>
      <c r="V46" s="62"/>
      <c r="W46" s="62"/>
      <c r="X46" s="67"/>
      <c r="Y46" s="62"/>
      <c r="Z46" s="62" t="s">
        <v>402</v>
      </c>
      <c r="AA46" s="62" t="s">
        <v>403</v>
      </c>
      <c r="AB46" s="62" t="s">
        <v>404</v>
      </c>
      <c r="AC46" s="63">
        <v>1.8E-3</v>
      </c>
      <c r="AD46" s="62" t="s">
        <v>405</v>
      </c>
      <c r="AE46" s="62" t="s">
        <v>406</v>
      </c>
      <c r="AF46" s="66">
        <v>2.5999999999999999E-3</v>
      </c>
      <c r="AG46" s="62" t="s">
        <v>407</v>
      </c>
      <c r="AH46" s="62" t="s">
        <v>408</v>
      </c>
      <c r="AI46" s="66" t="s">
        <v>154</v>
      </c>
    </row>
    <row r="47" spans="1:35" ht="22.05" customHeight="1">
      <c r="A47" s="64">
        <v>47</v>
      </c>
      <c r="B47" s="62" t="s">
        <v>71</v>
      </c>
      <c r="C47" s="62" t="s">
        <v>409</v>
      </c>
      <c r="D47" s="62" t="s">
        <v>410</v>
      </c>
      <c r="E47" s="62" t="s">
        <v>105</v>
      </c>
      <c r="F47" s="62" t="s">
        <v>144</v>
      </c>
      <c r="G47" s="62">
        <v>2</v>
      </c>
      <c r="H47" s="65" t="s">
        <v>411</v>
      </c>
      <c r="I47" s="62" t="s">
        <v>412</v>
      </c>
      <c r="J47" s="62" t="s">
        <v>302</v>
      </c>
      <c r="K47" s="62" t="s">
        <v>234</v>
      </c>
      <c r="L47" s="62" t="s">
        <v>235</v>
      </c>
      <c r="M47" s="63">
        <v>1.8E-3</v>
      </c>
      <c r="N47" s="63">
        <v>0</v>
      </c>
      <c r="O47" s="63">
        <f t="shared" si="1"/>
        <v>3.5999999999999999E-3</v>
      </c>
      <c r="P47" s="85"/>
      <c r="Q47" s="85"/>
      <c r="R47" s="85"/>
      <c r="S47" s="85"/>
      <c r="T47" s="62">
        <v>56</v>
      </c>
      <c r="U47" s="62">
        <v>5000</v>
      </c>
      <c r="V47" s="62"/>
      <c r="W47" s="62"/>
      <c r="X47" s="67"/>
      <c r="Y47" s="62"/>
      <c r="Z47" s="62" t="s">
        <v>413</v>
      </c>
      <c r="AA47" s="62" t="s">
        <v>414</v>
      </c>
      <c r="AB47" s="62" t="s">
        <v>415</v>
      </c>
      <c r="AC47" s="63">
        <v>1.8E-3</v>
      </c>
      <c r="AD47" s="62" t="s">
        <v>416</v>
      </c>
      <c r="AE47" s="62" t="s">
        <v>417</v>
      </c>
      <c r="AF47" s="66">
        <v>2.5999999999999999E-3</v>
      </c>
      <c r="AG47" s="62" t="s">
        <v>418</v>
      </c>
      <c r="AH47" s="62" t="s">
        <v>419</v>
      </c>
      <c r="AI47" s="66" t="s">
        <v>154</v>
      </c>
    </row>
    <row r="48" spans="1:35" ht="22.05" customHeight="1">
      <c r="A48" s="64">
        <v>48</v>
      </c>
      <c r="B48" s="62" t="s">
        <v>71</v>
      </c>
      <c r="C48" s="62" t="s">
        <v>420</v>
      </c>
      <c r="D48" s="62" t="s">
        <v>421</v>
      </c>
      <c r="E48" s="62" t="s">
        <v>105</v>
      </c>
      <c r="F48" s="62" t="s">
        <v>144</v>
      </c>
      <c r="G48" s="62">
        <v>1</v>
      </c>
      <c r="H48" s="65" t="s">
        <v>422</v>
      </c>
      <c r="I48" s="62" t="s">
        <v>423</v>
      </c>
      <c r="J48" s="62" t="s">
        <v>218</v>
      </c>
      <c r="K48" s="62" t="s">
        <v>219</v>
      </c>
      <c r="L48" s="62" t="s">
        <v>185</v>
      </c>
      <c r="M48" s="63">
        <v>5.7999999999999996E-3</v>
      </c>
      <c r="N48" s="63">
        <v>0</v>
      </c>
      <c r="O48" s="63">
        <f t="shared" si="1"/>
        <v>5.7999999999999996E-3</v>
      </c>
      <c r="P48" s="85"/>
      <c r="Q48" s="85"/>
      <c r="R48" s="85"/>
      <c r="S48" s="85"/>
      <c r="T48" s="62">
        <v>49</v>
      </c>
      <c r="U48" s="62">
        <v>1</v>
      </c>
      <c r="V48" s="62"/>
      <c r="W48" s="62"/>
      <c r="X48" s="67"/>
      <c r="Y48" s="62"/>
      <c r="Z48" s="62" t="s">
        <v>424</v>
      </c>
      <c r="AA48" s="62" t="s">
        <v>425</v>
      </c>
      <c r="AB48" s="62" t="s">
        <v>426</v>
      </c>
      <c r="AC48" s="68">
        <v>6.8999999999999999E-3</v>
      </c>
      <c r="AD48" s="62" t="s">
        <v>427</v>
      </c>
      <c r="AE48" s="62" t="s">
        <v>428</v>
      </c>
      <c r="AF48" s="66">
        <v>8.0000000000000002E-3</v>
      </c>
      <c r="AG48" s="62" t="s">
        <v>429</v>
      </c>
      <c r="AH48" s="62" t="s">
        <v>430</v>
      </c>
      <c r="AI48" s="66" t="s">
        <v>154</v>
      </c>
    </row>
    <row r="49" spans="1:35" ht="22.05" customHeight="1">
      <c r="A49" s="64">
        <v>49</v>
      </c>
      <c r="B49" s="62" t="s">
        <v>71</v>
      </c>
      <c r="C49" s="62" t="s">
        <v>431</v>
      </c>
      <c r="D49" s="62" t="s">
        <v>432</v>
      </c>
      <c r="E49" s="62" t="s">
        <v>105</v>
      </c>
      <c r="F49" s="62" t="s">
        <v>144</v>
      </c>
      <c r="G49" s="62">
        <v>1</v>
      </c>
      <c r="H49" s="65" t="s">
        <v>433</v>
      </c>
      <c r="I49" s="62" t="s">
        <v>434</v>
      </c>
      <c r="J49" s="62" t="s">
        <v>218</v>
      </c>
      <c r="K49" s="62" t="s">
        <v>219</v>
      </c>
      <c r="L49" s="62" t="s">
        <v>185</v>
      </c>
      <c r="M49" s="63">
        <v>1.8E-3</v>
      </c>
      <c r="N49" s="63">
        <v>0</v>
      </c>
      <c r="O49" s="63">
        <f t="shared" si="1"/>
        <v>1.8E-3</v>
      </c>
      <c r="P49" s="85"/>
      <c r="Q49" s="85"/>
      <c r="R49" s="85"/>
      <c r="S49" s="85"/>
      <c r="T49" s="62">
        <v>84</v>
      </c>
      <c r="U49" s="62">
        <v>5000</v>
      </c>
      <c r="V49" s="62"/>
      <c r="W49" s="62"/>
      <c r="X49" s="67"/>
      <c r="Y49" s="62"/>
      <c r="Z49" s="62" t="s">
        <v>435</v>
      </c>
      <c r="AA49" s="62" t="s">
        <v>436</v>
      </c>
      <c r="AB49" s="62" t="s">
        <v>437</v>
      </c>
      <c r="AC49" s="63">
        <v>1.8E-3</v>
      </c>
      <c r="AD49" s="62" t="s">
        <v>438</v>
      </c>
      <c r="AE49" s="62" t="s">
        <v>439</v>
      </c>
      <c r="AF49" s="63">
        <v>2.5000000000000001E-3</v>
      </c>
      <c r="AG49" s="62" t="s">
        <v>440</v>
      </c>
      <c r="AH49" s="62" t="s">
        <v>441</v>
      </c>
      <c r="AI49" s="66" t="s">
        <v>154</v>
      </c>
    </row>
    <row r="50" spans="1:35" ht="22.05" customHeight="1">
      <c r="A50" s="64">
        <v>50</v>
      </c>
      <c r="B50" s="62" t="s">
        <v>71</v>
      </c>
      <c r="C50" s="62" t="s">
        <v>442</v>
      </c>
      <c r="D50" s="62" t="s">
        <v>443</v>
      </c>
      <c r="E50" s="62" t="s">
        <v>105</v>
      </c>
      <c r="F50" s="62" t="s">
        <v>144</v>
      </c>
      <c r="G50" s="62">
        <v>2</v>
      </c>
      <c r="H50" s="65" t="s">
        <v>444</v>
      </c>
      <c r="I50" s="62" t="s">
        <v>445</v>
      </c>
      <c r="J50" s="62" t="s">
        <v>218</v>
      </c>
      <c r="K50" s="62" t="s">
        <v>234</v>
      </c>
      <c r="L50" s="62" t="s">
        <v>235</v>
      </c>
      <c r="M50" s="66">
        <v>4.3E-3</v>
      </c>
      <c r="N50" s="63">
        <v>0</v>
      </c>
      <c r="O50" s="63">
        <f t="shared" si="1"/>
        <v>8.6E-3</v>
      </c>
      <c r="P50" s="85"/>
      <c r="Q50" s="85"/>
      <c r="R50" s="85"/>
      <c r="S50" s="85"/>
      <c r="T50" s="62">
        <v>56</v>
      </c>
      <c r="U50" s="62">
        <v>5000</v>
      </c>
      <c r="V50" s="62">
        <v>5000</v>
      </c>
      <c r="W50" s="62"/>
      <c r="X50" s="67"/>
      <c r="Y50" s="62"/>
      <c r="Z50" s="62" t="s">
        <v>446</v>
      </c>
      <c r="AA50" s="62" t="s">
        <v>447</v>
      </c>
      <c r="AB50" s="62" t="s">
        <v>448</v>
      </c>
      <c r="AC50" s="63">
        <v>4.3E-3</v>
      </c>
      <c r="AD50" s="62" t="s">
        <v>449</v>
      </c>
      <c r="AE50" s="62" t="s">
        <v>450</v>
      </c>
      <c r="AF50" s="66">
        <v>7.4999999999999997E-3</v>
      </c>
      <c r="AG50" s="62" t="s">
        <v>451</v>
      </c>
      <c r="AH50" s="62" t="s">
        <v>452</v>
      </c>
      <c r="AI50" s="66" t="s">
        <v>154</v>
      </c>
    </row>
    <row r="51" spans="1:35" ht="22.05" customHeight="1">
      <c r="A51" s="64">
        <v>51</v>
      </c>
      <c r="B51" s="62" t="s">
        <v>71</v>
      </c>
      <c r="C51" s="62" t="s">
        <v>453</v>
      </c>
      <c r="D51" s="62" t="s">
        <v>454</v>
      </c>
      <c r="E51" s="62" t="s">
        <v>105</v>
      </c>
      <c r="F51" s="62" t="s">
        <v>144</v>
      </c>
      <c r="G51" s="62">
        <v>4</v>
      </c>
      <c r="H51" s="65" t="s">
        <v>455</v>
      </c>
      <c r="I51" s="62" t="s">
        <v>456</v>
      </c>
      <c r="J51" s="62" t="s">
        <v>218</v>
      </c>
      <c r="K51" s="62" t="s">
        <v>234</v>
      </c>
      <c r="L51" s="62" t="s">
        <v>235</v>
      </c>
      <c r="M51" s="63">
        <v>5.7000000000000002E-3</v>
      </c>
      <c r="N51" s="63">
        <v>0</v>
      </c>
      <c r="O51" s="63">
        <f t="shared" si="1"/>
        <v>2.2800000000000001E-2</v>
      </c>
      <c r="P51" s="85"/>
      <c r="Q51" s="85"/>
      <c r="R51" s="85"/>
      <c r="S51" s="85"/>
      <c r="T51" s="62">
        <v>56</v>
      </c>
      <c r="U51" s="62">
        <v>5000</v>
      </c>
      <c r="V51" s="62"/>
      <c r="W51" s="62"/>
      <c r="X51" s="67"/>
      <c r="Y51" s="62"/>
      <c r="Z51" s="62" t="s">
        <v>457</v>
      </c>
      <c r="AA51" s="62" t="s">
        <v>458</v>
      </c>
      <c r="AB51" s="62" t="s">
        <v>459</v>
      </c>
      <c r="AC51" s="63">
        <v>5.7000000000000002E-3</v>
      </c>
      <c r="AD51" s="62" t="s">
        <v>460</v>
      </c>
      <c r="AE51" s="62" t="s">
        <v>461</v>
      </c>
      <c r="AF51" s="66">
        <v>7.4999999999999997E-3</v>
      </c>
      <c r="AG51" s="62" t="s">
        <v>462</v>
      </c>
      <c r="AH51" s="62" t="s">
        <v>463</v>
      </c>
      <c r="AI51" s="66" t="s">
        <v>154</v>
      </c>
    </row>
    <row r="52" spans="1:35" ht="22.05" customHeight="1">
      <c r="A52" s="64">
        <v>52</v>
      </c>
      <c r="B52" s="62" t="s">
        <v>71</v>
      </c>
      <c r="C52" s="62" t="s">
        <v>464</v>
      </c>
      <c r="D52" s="62" t="s">
        <v>465</v>
      </c>
      <c r="E52" s="62" t="s">
        <v>105</v>
      </c>
      <c r="F52" s="62" t="s">
        <v>144</v>
      </c>
      <c r="G52" s="62">
        <v>10</v>
      </c>
      <c r="H52" s="65" t="s">
        <v>466</v>
      </c>
      <c r="I52" s="62" t="s">
        <v>467</v>
      </c>
      <c r="J52" s="62" t="s">
        <v>183</v>
      </c>
      <c r="K52" s="62" t="s">
        <v>184</v>
      </c>
      <c r="L52" s="62" t="s">
        <v>185</v>
      </c>
      <c r="M52" s="63">
        <v>5.7999999999999996E-3</v>
      </c>
      <c r="N52" s="63">
        <v>0</v>
      </c>
      <c r="O52" s="63">
        <f t="shared" si="1"/>
        <v>5.7999999999999996E-2</v>
      </c>
      <c r="P52" s="85"/>
      <c r="Q52" s="85"/>
      <c r="R52" s="85"/>
      <c r="S52" s="85"/>
      <c r="T52" s="62">
        <v>56</v>
      </c>
      <c r="U52" s="62">
        <v>0</v>
      </c>
      <c r="V52" s="62">
        <v>5000</v>
      </c>
      <c r="W52" s="62"/>
      <c r="X52" s="67"/>
      <c r="Y52" s="62"/>
      <c r="Z52" s="62" t="s">
        <v>468</v>
      </c>
      <c r="AA52" s="62" t="s">
        <v>469</v>
      </c>
      <c r="AB52" s="62" t="s">
        <v>470</v>
      </c>
      <c r="AC52" s="68">
        <v>6.8999999999999999E-3</v>
      </c>
      <c r="AD52" s="62" t="s">
        <v>471</v>
      </c>
      <c r="AE52" s="62" t="s">
        <v>472</v>
      </c>
      <c r="AF52" s="66">
        <v>8.0000000000000002E-3</v>
      </c>
      <c r="AG52" s="62" t="s">
        <v>473</v>
      </c>
      <c r="AH52" s="62" t="s">
        <v>474</v>
      </c>
      <c r="AI52" s="66" t="s">
        <v>154</v>
      </c>
    </row>
    <row r="53" spans="1:35" ht="22.05" customHeight="1">
      <c r="A53" s="64">
        <v>53</v>
      </c>
      <c r="B53" s="62" t="s">
        <v>71</v>
      </c>
      <c r="C53" s="62" t="s">
        <v>475</v>
      </c>
      <c r="D53" s="62" t="s">
        <v>476</v>
      </c>
      <c r="E53" s="62" t="s">
        <v>105</v>
      </c>
      <c r="F53" s="62" t="s">
        <v>144</v>
      </c>
      <c r="G53" s="62">
        <v>9</v>
      </c>
      <c r="H53" s="65" t="s">
        <v>477</v>
      </c>
      <c r="I53" s="62" t="s">
        <v>478</v>
      </c>
      <c r="J53" s="62" t="s">
        <v>218</v>
      </c>
      <c r="K53" s="62" t="s">
        <v>219</v>
      </c>
      <c r="L53" s="62" t="s">
        <v>185</v>
      </c>
      <c r="M53" s="63">
        <v>5.7999999999999996E-3</v>
      </c>
      <c r="N53" s="63">
        <v>0</v>
      </c>
      <c r="O53" s="63">
        <f t="shared" si="1"/>
        <v>5.2199999999999996E-2</v>
      </c>
      <c r="P53" s="85"/>
      <c r="Q53" s="85"/>
      <c r="R53" s="85"/>
      <c r="S53" s="85"/>
      <c r="T53" s="62">
        <v>49</v>
      </c>
      <c r="U53" s="62">
        <v>1</v>
      </c>
      <c r="V53" s="62"/>
      <c r="W53" s="62"/>
      <c r="X53" s="67"/>
      <c r="Y53" s="62"/>
      <c r="Z53" s="62" t="s">
        <v>479</v>
      </c>
      <c r="AA53" s="62" t="s">
        <v>480</v>
      </c>
      <c r="AB53" s="62" t="s">
        <v>481</v>
      </c>
      <c r="AC53" s="68">
        <v>6.8999999999999999E-3</v>
      </c>
      <c r="AD53" s="62" t="s">
        <v>482</v>
      </c>
      <c r="AE53" s="62" t="s">
        <v>483</v>
      </c>
      <c r="AF53" s="66">
        <v>8.0000000000000002E-3</v>
      </c>
      <c r="AG53" s="62" t="s">
        <v>484</v>
      </c>
      <c r="AH53" s="62" t="s">
        <v>485</v>
      </c>
      <c r="AI53" s="66" t="s">
        <v>154</v>
      </c>
    </row>
    <row r="54" spans="1:35" ht="22.05" customHeight="1">
      <c r="A54" s="64">
        <v>54</v>
      </c>
      <c r="B54" s="62" t="s">
        <v>71</v>
      </c>
      <c r="C54" s="62" t="s">
        <v>486</v>
      </c>
      <c r="D54" s="62" t="s">
        <v>487</v>
      </c>
      <c r="E54" s="62" t="s">
        <v>105</v>
      </c>
      <c r="F54" s="62" t="s">
        <v>144</v>
      </c>
      <c r="G54" s="62">
        <v>6</v>
      </c>
      <c r="H54" s="65" t="s">
        <v>488</v>
      </c>
      <c r="I54" s="62" t="s">
        <v>489</v>
      </c>
      <c r="J54" s="62" t="s">
        <v>183</v>
      </c>
      <c r="K54" s="62" t="s">
        <v>184</v>
      </c>
      <c r="L54" s="62" t="s">
        <v>185</v>
      </c>
      <c r="M54" s="63">
        <v>5.7999999999999996E-3</v>
      </c>
      <c r="N54" s="63">
        <v>0</v>
      </c>
      <c r="O54" s="63">
        <f t="shared" si="1"/>
        <v>3.4799999999999998E-2</v>
      </c>
      <c r="P54" s="85"/>
      <c r="Q54" s="85"/>
      <c r="R54" s="85"/>
      <c r="S54" s="85"/>
      <c r="T54" s="62">
        <v>56</v>
      </c>
      <c r="U54" s="62">
        <v>0</v>
      </c>
      <c r="V54" s="62">
        <v>5000</v>
      </c>
      <c r="W54" s="62"/>
      <c r="X54" s="67"/>
      <c r="Y54" s="62"/>
      <c r="Z54" s="62" t="s">
        <v>490</v>
      </c>
      <c r="AA54" s="62" t="s">
        <v>491</v>
      </c>
      <c r="AB54" s="62" t="s">
        <v>492</v>
      </c>
      <c r="AC54" s="68">
        <v>7.1999999999999998E-3</v>
      </c>
      <c r="AD54" s="62" t="s">
        <v>493</v>
      </c>
      <c r="AE54" s="62" t="s">
        <v>494</v>
      </c>
      <c r="AF54" s="66">
        <v>2.7900000000000001E-2</v>
      </c>
      <c r="AG54" s="62" t="s">
        <v>495</v>
      </c>
      <c r="AH54" s="62" t="s">
        <v>496</v>
      </c>
      <c r="AI54" s="66" t="s">
        <v>154</v>
      </c>
    </row>
    <row r="55" spans="1:35" ht="22.05" customHeight="1">
      <c r="A55" s="64">
        <v>55</v>
      </c>
      <c r="B55" s="62" t="s">
        <v>71</v>
      </c>
      <c r="C55" s="62" t="s">
        <v>497</v>
      </c>
      <c r="D55" s="62" t="s">
        <v>498</v>
      </c>
      <c r="E55" s="62" t="s">
        <v>105</v>
      </c>
      <c r="F55" s="62" t="s">
        <v>144</v>
      </c>
      <c r="G55" s="62">
        <v>13</v>
      </c>
      <c r="H55" s="65" t="s">
        <v>499</v>
      </c>
      <c r="I55" s="62" t="s">
        <v>500</v>
      </c>
      <c r="J55" s="62" t="s">
        <v>218</v>
      </c>
      <c r="K55" s="62" t="s">
        <v>219</v>
      </c>
      <c r="L55" s="62" t="s">
        <v>185</v>
      </c>
      <c r="M55" s="63">
        <v>1.8E-3</v>
      </c>
      <c r="N55" s="63">
        <v>0</v>
      </c>
      <c r="O55" s="63">
        <f t="shared" si="1"/>
        <v>2.3400000000000001E-2</v>
      </c>
      <c r="P55" s="85"/>
      <c r="Q55" s="85"/>
      <c r="R55" s="85"/>
      <c r="S55" s="85"/>
      <c r="T55" s="62">
        <v>49</v>
      </c>
      <c r="U55" s="62">
        <v>1</v>
      </c>
      <c r="V55" s="62"/>
      <c r="W55" s="62"/>
      <c r="X55" s="67"/>
      <c r="Y55" s="62"/>
      <c r="Z55" s="62" t="s">
        <v>501</v>
      </c>
      <c r="AA55" s="62" t="s">
        <v>502</v>
      </c>
      <c r="AB55" s="62" t="s">
        <v>503</v>
      </c>
      <c r="AC55" s="68">
        <v>2.2000000000000001E-3</v>
      </c>
      <c r="AD55" s="62" t="s">
        <v>504</v>
      </c>
      <c r="AE55" s="62" t="s">
        <v>505</v>
      </c>
      <c r="AF55" s="66">
        <v>2.5999999999999999E-3</v>
      </c>
      <c r="AG55" s="62" t="s">
        <v>506</v>
      </c>
      <c r="AH55" s="62" t="s">
        <v>507</v>
      </c>
      <c r="AI55" s="66" t="s">
        <v>154</v>
      </c>
    </row>
    <row r="56" spans="1:35" ht="22.05" customHeight="1">
      <c r="A56" s="64">
        <v>56</v>
      </c>
      <c r="B56" s="62" t="s">
        <v>71</v>
      </c>
      <c r="C56" s="62" t="s">
        <v>508</v>
      </c>
      <c r="D56" s="62" t="s">
        <v>509</v>
      </c>
      <c r="E56" s="62" t="s">
        <v>105</v>
      </c>
      <c r="F56" s="62" t="s">
        <v>144</v>
      </c>
      <c r="G56" s="62">
        <v>1</v>
      </c>
      <c r="H56" s="65" t="s">
        <v>510</v>
      </c>
      <c r="I56" s="62" t="s">
        <v>511</v>
      </c>
      <c r="J56" s="62" t="s">
        <v>218</v>
      </c>
      <c r="K56" s="62" t="s">
        <v>219</v>
      </c>
      <c r="L56" s="62" t="s">
        <v>185</v>
      </c>
      <c r="M56" s="63">
        <v>1.8E-3</v>
      </c>
      <c r="N56" s="63">
        <v>0</v>
      </c>
      <c r="O56" s="63">
        <f t="shared" si="1"/>
        <v>1.8E-3</v>
      </c>
      <c r="P56" s="85"/>
      <c r="Q56" s="85"/>
      <c r="R56" s="85"/>
      <c r="S56" s="85"/>
      <c r="T56" s="62">
        <v>42</v>
      </c>
      <c r="U56" s="62">
        <v>1</v>
      </c>
      <c r="V56" s="62"/>
      <c r="W56" s="62"/>
      <c r="X56" s="67"/>
      <c r="Y56" s="62"/>
      <c r="Z56" s="62" t="s">
        <v>512</v>
      </c>
      <c r="AA56" s="62" t="s">
        <v>513</v>
      </c>
      <c r="AB56" s="62" t="s">
        <v>514</v>
      </c>
      <c r="AC56" s="66">
        <v>2.2000000000000001E-3</v>
      </c>
      <c r="AD56" s="62" t="s">
        <v>515</v>
      </c>
      <c r="AE56" s="62" t="s">
        <v>516</v>
      </c>
      <c r="AF56" s="63">
        <v>2.5999999999999999E-3</v>
      </c>
      <c r="AG56" s="62" t="s">
        <v>517</v>
      </c>
      <c r="AH56" s="62" t="s">
        <v>518</v>
      </c>
      <c r="AI56" s="66" t="s">
        <v>154</v>
      </c>
    </row>
    <row r="57" spans="1:35" ht="22.05" customHeight="1">
      <c r="A57" s="64">
        <v>57</v>
      </c>
      <c r="B57" s="62" t="s">
        <v>71</v>
      </c>
      <c r="C57" s="62" t="s">
        <v>519</v>
      </c>
      <c r="D57" s="62" t="s">
        <v>520</v>
      </c>
      <c r="E57" s="62" t="s">
        <v>105</v>
      </c>
      <c r="F57" s="62" t="s">
        <v>144</v>
      </c>
      <c r="G57" s="62">
        <v>2</v>
      </c>
      <c r="H57" s="65" t="s">
        <v>521</v>
      </c>
      <c r="I57" s="62" t="s">
        <v>522</v>
      </c>
      <c r="J57" s="62" t="s">
        <v>183</v>
      </c>
      <c r="K57" s="62" t="s">
        <v>184</v>
      </c>
      <c r="L57" s="62" t="s">
        <v>185</v>
      </c>
      <c r="M57" s="63">
        <v>1.8E-3</v>
      </c>
      <c r="N57" s="63">
        <v>0</v>
      </c>
      <c r="O57" s="63">
        <f t="shared" si="1"/>
        <v>3.5999999999999999E-3</v>
      </c>
      <c r="P57" s="85"/>
      <c r="Q57" s="85"/>
      <c r="R57" s="85"/>
      <c r="S57" s="85"/>
      <c r="T57" s="62">
        <v>56</v>
      </c>
      <c r="U57" s="62">
        <v>0</v>
      </c>
      <c r="V57" s="62">
        <v>5000</v>
      </c>
      <c r="W57" s="62"/>
      <c r="X57" s="67"/>
      <c r="Y57" s="62"/>
      <c r="Z57" s="62" t="s">
        <v>523</v>
      </c>
      <c r="AA57" s="62" t="s">
        <v>524</v>
      </c>
      <c r="AB57" s="62" t="s">
        <v>525</v>
      </c>
      <c r="AC57" s="66">
        <v>2.3E-3</v>
      </c>
      <c r="AD57" s="62" t="s">
        <v>526</v>
      </c>
      <c r="AE57" s="62" t="s">
        <v>527</v>
      </c>
      <c r="AF57" s="66">
        <v>2.5999999999999999E-3</v>
      </c>
      <c r="AG57" s="62" t="s">
        <v>528</v>
      </c>
      <c r="AH57" s="62" t="s">
        <v>529</v>
      </c>
      <c r="AI57" s="66" t="s">
        <v>154</v>
      </c>
    </row>
    <row r="58" spans="1:35" ht="22.05" customHeight="1">
      <c r="A58" s="64">
        <v>58</v>
      </c>
      <c r="B58" s="62" t="s">
        <v>71</v>
      </c>
      <c r="C58" s="62" t="s">
        <v>530</v>
      </c>
      <c r="D58" s="62" t="s">
        <v>531</v>
      </c>
      <c r="E58" s="62" t="s">
        <v>105</v>
      </c>
      <c r="F58" s="62" t="s">
        <v>144</v>
      </c>
      <c r="G58" s="62">
        <v>3</v>
      </c>
      <c r="H58" s="65" t="s">
        <v>532</v>
      </c>
      <c r="I58" s="62" t="s">
        <v>533</v>
      </c>
      <c r="J58" s="62" t="s">
        <v>302</v>
      </c>
      <c r="K58" s="62" t="s">
        <v>234</v>
      </c>
      <c r="L58" s="62" t="s">
        <v>235</v>
      </c>
      <c r="M58" s="63">
        <v>1.8E-3</v>
      </c>
      <c r="N58" s="63">
        <v>0</v>
      </c>
      <c r="O58" s="63">
        <f t="shared" si="1"/>
        <v>5.4000000000000003E-3</v>
      </c>
      <c r="P58" s="85"/>
      <c r="Q58" s="85"/>
      <c r="R58" s="85"/>
      <c r="S58" s="85"/>
      <c r="T58" s="62">
        <v>56</v>
      </c>
      <c r="U58" s="62">
        <v>1</v>
      </c>
      <c r="V58" s="62"/>
      <c r="W58" s="62"/>
      <c r="X58" s="67"/>
      <c r="Y58" s="62"/>
      <c r="Z58" s="62" t="s">
        <v>534</v>
      </c>
      <c r="AA58" s="62" t="s">
        <v>535</v>
      </c>
      <c r="AB58" s="62" t="s">
        <v>536</v>
      </c>
      <c r="AC58" s="63">
        <v>2E-3</v>
      </c>
      <c r="AD58" s="62" t="s">
        <v>537</v>
      </c>
      <c r="AE58" s="62" t="s">
        <v>538</v>
      </c>
      <c r="AF58" s="63">
        <v>2.5999999999999999E-3</v>
      </c>
      <c r="AG58" s="62"/>
      <c r="AH58" s="62"/>
      <c r="AI58" s="63"/>
    </row>
    <row r="59" spans="1:35" ht="22.05" customHeight="1">
      <c r="A59" s="64">
        <v>59</v>
      </c>
      <c r="B59" s="62" t="s">
        <v>71</v>
      </c>
      <c r="C59" s="62" t="s">
        <v>539</v>
      </c>
      <c r="D59" s="62" t="s">
        <v>540</v>
      </c>
      <c r="E59" s="62" t="s">
        <v>105</v>
      </c>
      <c r="F59" s="62" t="s">
        <v>144</v>
      </c>
      <c r="G59" s="62">
        <v>3</v>
      </c>
      <c r="H59" s="65" t="s">
        <v>541</v>
      </c>
      <c r="I59" s="62" t="s">
        <v>542</v>
      </c>
      <c r="J59" s="62" t="s">
        <v>543</v>
      </c>
      <c r="K59" s="62" t="s">
        <v>184</v>
      </c>
      <c r="L59" s="62" t="s">
        <v>185</v>
      </c>
      <c r="M59" s="63">
        <v>6.4999999999999997E-3</v>
      </c>
      <c r="N59" s="63">
        <v>0</v>
      </c>
      <c r="O59" s="63">
        <f t="shared" si="1"/>
        <v>1.95E-2</v>
      </c>
      <c r="P59" s="85"/>
      <c r="Q59" s="85"/>
      <c r="R59" s="85"/>
      <c r="S59" s="85"/>
      <c r="T59" s="62">
        <v>42</v>
      </c>
      <c r="U59" s="62">
        <v>5000</v>
      </c>
      <c r="V59" s="62">
        <v>5000</v>
      </c>
      <c r="W59" s="62"/>
      <c r="X59" s="67"/>
      <c r="Y59" s="62" t="s">
        <v>150</v>
      </c>
      <c r="Z59" s="62" t="s">
        <v>544</v>
      </c>
      <c r="AA59" s="62" t="s">
        <v>545</v>
      </c>
      <c r="AB59" s="62" t="s">
        <v>546</v>
      </c>
      <c r="AC59" s="66">
        <v>7.1999999999999998E-3</v>
      </c>
      <c r="AD59" s="62" t="s">
        <v>547</v>
      </c>
      <c r="AE59" s="62" t="s">
        <v>548</v>
      </c>
      <c r="AF59" s="63">
        <v>7.6E-3</v>
      </c>
      <c r="AG59" s="62"/>
      <c r="AH59" s="62"/>
      <c r="AI59" s="63"/>
    </row>
    <row r="60" spans="1:35" ht="22.05" customHeight="1">
      <c r="A60" s="64">
        <v>60</v>
      </c>
      <c r="B60" s="62" t="s">
        <v>71</v>
      </c>
      <c r="C60" s="62" t="s">
        <v>549</v>
      </c>
      <c r="D60" s="62" t="s">
        <v>550</v>
      </c>
      <c r="E60" s="62" t="s">
        <v>105</v>
      </c>
      <c r="F60" s="62" t="s">
        <v>144</v>
      </c>
      <c r="G60" s="62">
        <v>2</v>
      </c>
      <c r="H60" s="65" t="s">
        <v>551</v>
      </c>
      <c r="I60" s="62" t="s">
        <v>552</v>
      </c>
      <c r="J60" s="62" t="s">
        <v>543</v>
      </c>
      <c r="K60" s="62" t="s">
        <v>184</v>
      </c>
      <c r="L60" s="62" t="s">
        <v>185</v>
      </c>
      <c r="M60" s="66">
        <v>2E-3</v>
      </c>
      <c r="N60" s="63">
        <v>0</v>
      </c>
      <c r="O60" s="63">
        <f t="shared" si="1"/>
        <v>4.0000000000000001E-3</v>
      </c>
      <c r="P60" s="85"/>
      <c r="Q60" s="85"/>
      <c r="R60" s="85"/>
      <c r="S60" s="85"/>
      <c r="T60" s="62">
        <v>42</v>
      </c>
      <c r="U60" s="62">
        <v>5000</v>
      </c>
      <c r="V60" s="62">
        <v>5000</v>
      </c>
      <c r="W60" s="62"/>
      <c r="X60" s="67"/>
      <c r="Y60" s="62" t="s">
        <v>150</v>
      </c>
      <c r="Z60" s="62" t="s">
        <v>553</v>
      </c>
      <c r="AA60" s="62" t="s">
        <v>554</v>
      </c>
      <c r="AB60" s="62" t="s">
        <v>555</v>
      </c>
      <c r="AC60" s="66">
        <v>2.2000000000000001E-3</v>
      </c>
      <c r="AD60" s="62" t="s">
        <v>556</v>
      </c>
      <c r="AE60" s="62" t="s">
        <v>557</v>
      </c>
      <c r="AF60" s="66">
        <v>2.5000000000000001E-3</v>
      </c>
      <c r="AG60" s="62"/>
      <c r="AH60" s="62"/>
      <c r="AI60" s="63"/>
    </row>
    <row r="61" spans="1:35" ht="22.05" customHeight="1">
      <c r="A61" s="64">
        <v>61</v>
      </c>
      <c r="B61" s="62" t="s">
        <v>71</v>
      </c>
      <c r="C61" s="62" t="s">
        <v>558</v>
      </c>
      <c r="D61" s="62" t="s">
        <v>559</v>
      </c>
      <c r="E61" s="62" t="s">
        <v>105</v>
      </c>
      <c r="F61" s="62" t="s">
        <v>157</v>
      </c>
      <c r="G61" s="62">
        <v>2</v>
      </c>
      <c r="H61" s="62" t="s">
        <v>558</v>
      </c>
      <c r="I61" s="62" t="s">
        <v>559</v>
      </c>
      <c r="J61" s="62" t="s">
        <v>543</v>
      </c>
      <c r="K61" s="62" t="s">
        <v>148</v>
      </c>
      <c r="L61" s="62" t="s">
        <v>149</v>
      </c>
      <c r="M61" s="63">
        <v>0.28599999999999998</v>
      </c>
      <c r="N61" s="63">
        <v>0</v>
      </c>
      <c r="O61" s="63">
        <f t="shared" si="1"/>
        <v>0.57199999999999995</v>
      </c>
      <c r="P61" s="85"/>
      <c r="Q61" s="85"/>
      <c r="R61" s="85"/>
      <c r="S61" s="85"/>
      <c r="T61" s="62">
        <v>84</v>
      </c>
      <c r="U61" s="62">
        <v>1200</v>
      </c>
      <c r="V61" s="62">
        <v>300</v>
      </c>
      <c r="W61" s="62"/>
      <c r="X61" s="67"/>
      <c r="Y61" s="62" t="s">
        <v>150</v>
      </c>
      <c r="Z61" s="62" t="s">
        <v>560</v>
      </c>
      <c r="AA61" s="62"/>
      <c r="AB61" s="62"/>
      <c r="AC61" s="63"/>
      <c r="AD61" s="62"/>
      <c r="AE61" s="62"/>
      <c r="AF61" s="63"/>
      <c r="AG61" s="62"/>
      <c r="AH61" s="62"/>
      <c r="AI61" s="63"/>
    </row>
    <row r="62" spans="1:35" ht="22.05" customHeight="1">
      <c r="A62" s="64">
        <v>62</v>
      </c>
      <c r="B62" s="62" t="s">
        <v>71</v>
      </c>
      <c r="C62" s="62" t="s">
        <v>561</v>
      </c>
      <c r="D62" s="62" t="s">
        <v>562</v>
      </c>
      <c r="E62" s="62" t="s">
        <v>105</v>
      </c>
      <c r="F62" s="62" t="s">
        <v>157</v>
      </c>
      <c r="G62" s="62">
        <v>3</v>
      </c>
      <c r="H62" s="62" t="s">
        <v>561</v>
      </c>
      <c r="I62" s="62" t="s">
        <v>562</v>
      </c>
      <c r="J62" s="62" t="s">
        <v>205</v>
      </c>
      <c r="K62" s="62" t="s">
        <v>148</v>
      </c>
      <c r="L62" s="62" t="s">
        <v>149</v>
      </c>
      <c r="M62" s="63">
        <v>0.4425</v>
      </c>
      <c r="N62" s="63">
        <v>0</v>
      </c>
      <c r="O62" s="63">
        <f t="shared" si="1"/>
        <v>1.3275000000000001</v>
      </c>
      <c r="P62" s="85"/>
      <c r="Q62" s="85"/>
      <c r="R62" s="85"/>
      <c r="S62" s="85"/>
      <c r="T62" s="62">
        <v>70</v>
      </c>
      <c r="U62" s="62">
        <v>2000</v>
      </c>
      <c r="V62" s="62">
        <v>400</v>
      </c>
      <c r="W62" s="62"/>
      <c r="X62" s="67"/>
      <c r="Y62" s="62"/>
      <c r="Z62" s="62" t="s">
        <v>563</v>
      </c>
      <c r="AA62" s="62"/>
      <c r="AB62" s="62"/>
      <c r="AC62" s="63"/>
      <c r="AD62" s="62"/>
      <c r="AE62" s="62"/>
      <c r="AF62" s="63"/>
      <c r="AG62" s="62"/>
      <c r="AH62" s="62"/>
      <c r="AI62" s="63"/>
    </row>
    <row r="63" spans="1:35" ht="22.05" customHeight="1">
      <c r="A63" s="64">
        <v>63</v>
      </c>
      <c r="B63" s="62" t="s">
        <v>71</v>
      </c>
      <c r="C63" s="62" t="s">
        <v>564</v>
      </c>
      <c r="D63" s="62" t="s">
        <v>565</v>
      </c>
      <c r="E63" s="62" t="s">
        <v>105</v>
      </c>
      <c r="F63" s="62" t="s">
        <v>157</v>
      </c>
      <c r="G63" s="62">
        <v>1</v>
      </c>
      <c r="H63" s="62" t="s">
        <v>564</v>
      </c>
      <c r="I63" s="62" t="s">
        <v>565</v>
      </c>
      <c r="J63" s="62" t="s">
        <v>205</v>
      </c>
      <c r="K63" s="62" t="s">
        <v>566</v>
      </c>
      <c r="L63" s="62" t="s">
        <v>567</v>
      </c>
      <c r="M63" s="63">
        <v>1.0619000000000001</v>
      </c>
      <c r="N63" s="63">
        <v>0</v>
      </c>
      <c r="O63" s="63">
        <f t="shared" si="1"/>
        <v>1.0619000000000001</v>
      </c>
      <c r="P63" s="85"/>
      <c r="Q63" s="85"/>
      <c r="R63" s="85"/>
      <c r="S63" s="85"/>
      <c r="T63" s="62">
        <v>42</v>
      </c>
      <c r="U63" s="62">
        <v>1</v>
      </c>
      <c r="V63" s="62">
        <v>1</v>
      </c>
      <c r="W63" s="62"/>
      <c r="X63" s="67"/>
      <c r="Y63" s="62"/>
      <c r="Z63" s="62" t="s">
        <v>568</v>
      </c>
      <c r="AA63" s="62"/>
      <c r="AB63" s="62"/>
      <c r="AC63" s="63"/>
      <c r="AD63" s="62"/>
      <c r="AE63" s="62"/>
      <c r="AF63" s="63"/>
      <c r="AG63" s="62"/>
      <c r="AH63" s="62"/>
      <c r="AI63" s="63"/>
    </row>
    <row r="64" spans="1:35" ht="22.05" customHeight="1">
      <c r="A64" s="64">
        <v>64</v>
      </c>
      <c r="B64" s="62" t="s">
        <v>71</v>
      </c>
      <c r="C64" s="62" t="s">
        <v>569</v>
      </c>
      <c r="D64" s="62" t="s">
        <v>570</v>
      </c>
      <c r="E64" s="62" t="s">
        <v>105</v>
      </c>
      <c r="F64" s="62" t="s">
        <v>157</v>
      </c>
      <c r="G64" s="62">
        <v>1</v>
      </c>
      <c r="H64" s="62" t="s">
        <v>569</v>
      </c>
      <c r="I64" s="62" t="s">
        <v>570</v>
      </c>
      <c r="J64" s="62" t="s">
        <v>205</v>
      </c>
      <c r="K64" s="62" t="s">
        <v>566</v>
      </c>
      <c r="L64" s="62" t="s">
        <v>567</v>
      </c>
      <c r="M64" s="63">
        <v>2.1238999999999999</v>
      </c>
      <c r="N64" s="63">
        <v>0</v>
      </c>
      <c r="O64" s="63">
        <f t="shared" si="1"/>
        <v>2.1238999999999999</v>
      </c>
      <c r="P64" s="85"/>
      <c r="Q64" s="85"/>
      <c r="R64" s="85"/>
      <c r="S64" s="85"/>
      <c r="T64" s="62">
        <v>42</v>
      </c>
      <c r="U64" s="62">
        <v>1</v>
      </c>
      <c r="V64" s="62">
        <v>1</v>
      </c>
      <c r="W64" s="62"/>
      <c r="X64" s="67"/>
      <c r="Y64" s="62"/>
      <c r="Z64" s="62" t="s">
        <v>571</v>
      </c>
      <c r="AA64" s="62"/>
      <c r="AB64" s="62"/>
      <c r="AC64" s="63"/>
      <c r="AD64" s="62"/>
      <c r="AE64" s="62"/>
      <c r="AF64" s="63"/>
      <c r="AG64" s="62"/>
      <c r="AH64" s="62"/>
      <c r="AI64" s="63"/>
    </row>
    <row r="65" spans="1:35" ht="22.05" customHeight="1">
      <c r="A65" s="64">
        <v>65</v>
      </c>
      <c r="B65" s="62" t="s">
        <v>71</v>
      </c>
      <c r="C65" s="62" t="s">
        <v>572</v>
      </c>
      <c r="D65" s="62" t="s">
        <v>2132</v>
      </c>
      <c r="E65" s="62" t="s">
        <v>105</v>
      </c>
      <c r="F65" s="62" t="s">
        <v>157</v>
      </c>
      <c r="G65" s="62">
        <v>1</v>
      </c>
      <c r="H65" s="62" t="s">
        <v>572</v>
      </c>
      <c r="I65" s="62" t="s">
        <v>573</v>
      </c>
      <c r="J65" s="62" t="s">
        <v>543</v>
      </c>
      <c r="K65" s="62" t="s">
        <v>574</v>
      </c>
      <c r="L65" s="62" t="s">
        <v>575</v>
      </c>
      <c r="M65" s="63">
        <v>9.1999999999999993</v>
      </c>
      <c r="N65" s="63">
        <v>0</v>
      </c>
      <c r="O65" s="63">
        <f t="shared" si="1"/>
        <v>9.1999999999999993</v>
      </c>
      <c r="P65" s="85">
        <v>8.1999999999999993</v>
      </c>
      <c r="Q65" s="85"/>
      <c r="R65" s="88">
        <v>46034</v>
      </c>
      <c r="S65" s="85" t="s">
        <v>2127</v>
      </c>
      <c r="T65" s="62">
        <v>56</v>
      </c>
      <c r="U65" s="62">
        <v>2400</v>
      </c>
      <c r="V65" s="62"/>
      <c r="W65" s="62"/>
      <c r="X65" s="67"/>
      <c r="Y65" s="62"/>
      <c r="Z65" s="62" t="s">
        <v>576</v>
      </c>
      <c r="AA65" s="62"/>
      <c r="AB65" s="62"/>
      <c r="AC65" s="63"/>
      <c r="AD65" s="62"/>
      <c r="AE65" s="62"/>
      <c r="AF65" s="63"/>
      <c r="AG65" s="62"/>
      <c r="AH65" s="62"/>
      <c r="AI65" s="63"/>
    </row>
    <row r="66" spans="1:35" ht="22.05" customHeight="1">
      <c r="A66" s="64">
        <v>66</v>
      </c>
      <c r="B66" s="62" t="s">
        <v>71</v>
      </c>
      <c r="C66" s="62" t="s">
        <v>577</v>
      </c>
      <c r="D66" s="62" t="s">
        <v>578</v>
      </c>
      <c r="E66" s="62" t="s">
        <v>105</v>
      </c>
      <c r="F66" s="62" t="s">
        <v>157</v>
      </c>
      <c r="G66" s="62">
        <v>3</v>
      </c>
      <c r="H66" s="62" t="s">
        <v>577</v>
      </c>
      <c r="I66" s="62" t="s">
        <v>578</v>
      </c>
      <c r="J66" s="62" t="s">
        <v>205</v>
      </c>
      <c r="K66" s="62" t="s">
        <v>579</v>
      </c>
      <c r="L66" s="62" t="s">
        <v>580</v>
      </c>
      <c r="M66" s="63">
        <v>1.2</v>
      </c>
      <c r="N66" s="63">
        <v>0</v>
      </c>
      <c r="O66" s="63">
        <f t="shared" si="1"/>
        <v>3.5999999999999996</v>
      </c>
      <c r="P66" s="85"/>
      <c r="Q66" s="85"/>
      <c r="R66" s="85"/>
      <c r="S66" s="85"/>
      <c r="T66" s="62">
        <v>30</v>
      </c>
      <c r="U66" s="62">
        <v>1</v>
      </c>
      <c r="V66" s="62">
        <v>1</v>
      </c>
      <c r="W66" s="62"/>
      <c r="X66" s="67"/>
      <c r="Y66" s="62"/>
      <c r="Z66" s="62" t="s">
        <v>581</v>
      </c>
      <c r="AA66" s="62"/>
      <c r="AB66" s="62"/>
      <c r="AC66" s="63"/>
      <c r="AD66" s="62"/>
      <c r="AE66" s="62"/>
      <c r="AF66" s="63"/>
      <c r="AG66" s="62"/>
      <c r="AH66" s="62"/>
      <c r="AI66" s="63"/>
    </row>
    <row r="67" spans="1:35" ht="22.05" customHeight="1">
      <c r="A67" s="64">
        <v>67</v>
      </c>
      <c r="B67" s="62" t="s">
        <v>71</v>
      </c>
      <c r="C67" s="62" t="s">
        <v>582</v>
      </c>
      <c r="D67" s="62" t="s">
        <v>583</v>
      </c>
      <c r="E67" s="62" t="s">
        <v>105</v>
      </c>
      <c r="F67" s="62" t="s">
        <v>157</v>
      </c>
      <c r="G67" s="62">
        <v>3</v>
      </c>
      <c r="H67" s="62" t="s">
        <v>582</v>
      </c>
      <c r="I67" s="62" t="s">
        <v>583</v>
      </c>
      <c r="J67" s="62" t="s">
        <v>543</v>
      </c>
      <c r="K67" s="62" t="s">
        <v>584</v>
      </c>
      <c r="L67" s="62" t="s">
        <v>585</v>
      </c>
      <c r="M67" s="63">
        <v>0.65</v>
      </c>
      <c r="N67" s="63">
        <v>0</v>
      </c>
      <c r="O67" s="63">
        <f t="shared" si="1"/>
        <v>1.9500000000000002</v>
      </c>
      <c r="P67" s="85"/>
      <c r="Q67" s="85"/>
      <c r="R67" s="85"/>
      <c r="S67" s="85"/>
      <c r="T67" s="62">
        <v>63</v>
      </c>
      <c r="U67" s="62">
        <v>1500</v>
      </c>
      <c r="V67" s="62">
        <v>1500</v>
      </c>
      <c r="W67" s="62"/>
      <c r="X67" s="67"/>
      <c r="Y67" s="62" t="s">
        <v>150</v>
      </c>
      <c r="Z67" s="62" t="s">
        <v>586</v>
      </c>
      <c r="AA67" s="62"/>
      <c r="AB67" s="62"/>
      <c r="AC67" s="63"/>
      <c r="AD67" s="62"/>
      <c r="AE67" s="62"/>
      <c r="AF67" s="63"/>
      <c r="AG67" s="62"/>
      <c r="AH67" s="62"/>
      <c r="AI67" s="63"/>
    </row>
    <row r="68" spans="1:35" ht="22.05" customHeight="1">
      <c r="A68" s="64">
        <v>68</v>
      </c>
      <c r="B68" s="62" t="s">
        <v>71</v>
      </c>
      <c r="C68" s="62" t="s">
        <v>587</v>
      </c>
      <c r="D68" s="62" t="s">
        <v>588</v>
      </c>
      <c r="E68" s="62" t="s">
        <v>105</v>
      </c>
      <c r="F68" s="62" t="s">
        <v>157</v>
      </c>
      <c r="G68" s="62">
        <v>1</v>
      </c>
      <c r="H68" s="62" t="s">
        <v>587</v>
      </c>
      <c r="I68" s="62" t="s">
        <v>589</v>
      </c>
      <c r="J68" s="62" t="s">
        <v>205</v>
      </c>
      <c r="K68" s="62" t="s">
        <v>584</v>
      </c>
      <c r="L68" s="62" t="s">
        <v>585</v>
      </c>
      <c r="M68" s="63">
        <v>0.18</v>
      </c>
      <c r="N68" s="63">
        <v>0</v>
      </c>
      <c r="O68" s="63">
        <f t="shared" si="1"/>
        <v>0.18</v>
      </c>
      <c r="P68" s="85"/>
      <c r="Q68" s="85"/>
      <c r="R68" s="85"/>
      <c r="S68" s="85"/>
      <c r="T68" s="62">
        <v>45</v>
      </c>
      <c r="U68" s="62">
        <v>1000</v>
      </c>
      <c r="V68" s="62">
        <v>1000</v>
      </c>
      <c r="W68" s="62"/>
      <c r="X68" s="67"/>
      <c r="Y68" s="62"/>
      <c r="Z68" s="62" t="s">
        <v>590</v>
      </c>
      <c r="AA68" s="62"/>
      <c r="AB68" s="62"/>
      <c r="AC68" s="63"/>
      <c r="AD68" s="62"/>
      <c r="AE68" s="62"/>
      <c r="AF68" s="63"/>
      <c r="AG68" s="62"/>
      <c r="AH68" s="62"/>
      <c r="AI68" s="63"/>
    </row>
    <row r="69" spans="1:35" ht="22.05" customHeight="1">
      <c r="A69" s="64">
        <v>69</v>
      </c>
      <c r="B69" s="62" t="s">
        <v>71</v>
      </c>
      <c r="C69" s="62" t="s">
        <v>591</v>
      </c>
      <c r="D69" s="62" t="s">
        <v>592</v>
      </c>
      <c r="E69" s="62" t="s">
        <v>105</v>
      </c>
      <c r="F69" s="62" t="s">
        <v>157</v>
      </c>
      <c r="G69" s="62">
        <v>1</v>
      </c>
      <c r="H69" s="62" t="s">
        <v>591</v>
      </c>
      <c r="I69" s="62" t="s">
        <v>593</v>
      </c>
      <c r="J69" s="62" t="s">
        <v>205</v>
      </c>
      <c r="K69" s="62" t="s">
        <v>584</v>
      </c>
      <c r="L69" s="62" t="s">
        <v>585</v>
      </c>
      <c r="M69" s="63">
        <v>0.22</v>
      </c>
      <c r="N69" s="63">
        <v>0</v>
      </c>
      <c r="O69" s="63">
        <f t="shared" si="1"/>
        <v>0.22</v>
      </c>
      <c r="P69" s="85"/>
      <c r="Q69" s="85"/>
      <c r="R69" s="85"/>
      <c r="S69" s="85"/>
      <c r="T69" s="62">
        <v>70</v>
      </c>
      <c r="U69" s="62">
        <v>1000</v>
      </c>
      <c r="V69" s="62">
        <v>1000</v>
      </c>
      <c r="W69" s="62"/>
      <c r="X69" s="67"/>
      <c r="Y69" s="62"/>
      <c r="Z69" s="62" t="s">
        <v>594</v>
      </c>
      <c r="AA69" s="62"/>
      <c r="AB69" s="62"/>
      <c r="AC69" s="63"/>
      <c r="AD69" s="62"/>
      <c r="AE69" s="62"/>
      <c r="AF69" s="63"/>
      <c r="AG69" s="62"/>
      <c r="AH69" s="62"/>
      <c r="AI69" s="63"/>
    </row>
    <row r="70" spans="1:35" ht="22.05" customHeight="1">
      <c r="A70" s="64">
        <v>70</v>
      </c>
      <c r="B70" s="62" t="s">
        <v>71</v>
      </c>
      <c r="C70" s="62" t="s">
        <v>595</v>
      </c>
      <c r="D70" s="62" t="s">
        <v>596</v>
      </c>
      <c r="E70" s="62" t="s">
        <v>105</v>
      </c>
      <c r="F70" s="62" t="s">
        <v>157</v>
      </c>
      <c r="G70" s="62">
        <v>1</v>
      </c>
      <c r="H70" s="62" t="s">
        <v>595</v>
      </c>
      <c r="I70" s="62" t="s">
        <v>596</v>
      </c>
      <c r="J70" s="62" t="s">
        <v>205</v>
      </c>
      <c r="K70" s="62" t="s">
        <v>597</v>
      </c>
      <c r="L70" s="62" t="s">
        <v>598</v>
      </c>
      <c r="M70" s="63">
        <v>0.33500000000000002</v>
      </c>
      <c r="N70" s="63">
        <v>0</v>
      </c>
      <c r="O70" s="63">
        <f t="shared" si="1"/>
        <v>0.33500000000000002</v>
      </c>
      <c r="P70" s="85"/>
      <c r="Q70" s="85"/>
      <c r="R70" s="85"/>
      <c r="S70" s="85"/>
      <c r="T70" s="62">
        <v>15</v>
      </c>
      <c r="U70" s="62">
        <v>1</v>
      </c>
      <c r="V70" s="62">
        <v>1</v>
      </c>
      <c r="W70" s="62"/>
      <c r="X70" s="67"/>
      <c r="Y70" s="62"/>
      <c r="Z70" s="62" t="s">
        <v>599</v>
      </c>
      <c r="AA70" s="62"/>
      <c r="AB70" s="62"/>
      <c r="AC70" s="63"/>
      <c r="AD70" s="62"/>
      <c r="AE70" s="62"/>
      <c r="AF70" s="63"/>
      <c r="AG70" s="62"/>
      <c r="AH70" s="62"/>
      <c r="AI70" s="63"/>
    </row>
    <row r="71" spans="1:35" ht="22.05" customHeight="1">
      <c r="A71" s="64">
        <v>71</v>
      </c>
      <c r="B71" s="62" t="s">
        <v>71</v>
      </c>
      <c r="C71" s="62" t="s">
        <v>600</v>
      </c>
      <c r="D71" s="62" t="s">
        <v>2235</v>
      </c>
      <c r="E71" s="62" t="s">
        <v>105</v>
      </c>
      <c r="F71" s="62" t="s">
        <v>157</v>
      </c>
      <c r="G71" s="62">
        <v>3</v>
      </c>
      <c r="H71" s="62" t="s">
        <v>600</v>
      </c>
      <c r="I71" s="62" t="s">
        <v>601</v>
      </c>
      <c r="J71" s="62" t="s">
        <v>147</v>
      </c>
      <c r="K71" s="62"/>
      <c r="L71" s="69" t="s">
        <v>602</v>
      </c>
      <c r="M71" s="66">
        <v>0</v>
      </c>
      <c r="N71" s="63">
        <v>0</v>
      </c>
      <c r="O71" s="63">
        <f t="shared" si="1"/>
        <v>0</v>
      </c>
      <c r="P71" s="85"/>
      <c r="Q71" s="85"/>
      <c r="R71" s="85"/>
      <c r="S71" s="85"/>
      <c r="T71" s="62">
        <v>0</v>
      </c>
      <c r="U71" s="62"/>
      <c r="V71" s="62"/>
      <c r="W71" s="62"/>
      <c r="X71" s="69" t="s">
        <v>603</v>
      </c>
      <c r="Y71" s="62" t="s">
        <v>150</v>
      </c>
      <c r="Z71" s="62" t="s">
        <v>604</v>
      </c>
      <c r="AA71" s="62"/>
      <c r="AB71" s="62"/>
      <c r="AC71" s="63"/>
      <c r="AD71" s="62"/>
      <c r="AE71" s="62"/>
      <c r="AF71" s="63"/>
      <c r="AG71" s="62"/>
      <c r="AH71" s="62"/>
      <c r="AI71" s="63"/>
    </row>
    <row r="72" spans="1:35" ht="22.05" customHeight="1">
      <c r="A72" s="64">
        <v>72</v>
      </c>
      <c r="B72" s="62" t="s">
        <v>71</v>
      </c>
      <c r="C72" s="62" t="s">
        <v>605</v>
      </c>
      <c r="D72" s="62" t="s">
        <v>606</v>
      </c>
      <c r="E72" s="62" t="s">
        <v>105</v>
      </c>
      <c r="F72" s="62" t="s">
        <v>157</v>
      </c>
      <c r="G72" s="62">
        <v>2</v>
      </c>
      <c r="H72" s="62" t="s">
        <v>605</v>
      </c>
      <c r="I72" s="62" t="s">
        <v>606</v>
      </c>
      <c r="J72" s="62" t="s">
        <v>302</v>
      </c>
      <c r="K72" s="62" t="s">
        <v>607</v>
      </c>
      <c r="L72" s="62" t="s">
        <v>608</v>
      </c>
      <c r="M72" s="63">
        <v>0.14499999999999999</v>
      </c>
      <c r="N72" s="63">
        <v>0</v>
      </c>
      <c r="O72" s="63">
        <f t="shared" si="1"/>
        <v>0.28999999999999998</v>
      </c>
      <c r="P72" s="85"/>
      <c r="Q72" s="85"/>
      <c r="R72" s="85"/>
      <c r="S72" s="85"/>
      <c r="T72" s="62">
        <v>77</v>
      </c>
      <c r="U72" s="62">
        <v>2000</v>
      </c>
      <c r="V72" s="62"/>
      <c r="W72" s="62"/>
      <c r="X72" s="67"/>
      <c r="Y72" s="62"/>
      <c r="Z72" s="62" t="s">
        <v>609</v>
      </c>
      <c r="AA72" s="62"/>
      <c r="AB72" s="62"/>
      <c r="AC72" s="63"/>
      <c r="AD72" s="62"/>
      <c r="AE72" s="62"/>
      <c r="AF72" s="63"/>
      <c r="AG72" s="62"/>
      <c r="AH72" s="62"/>
      <c r="AI72" s="63"/>
    </row>
    <row r="73" spans="1:35" ht="22.05" customHeight="1">
      <c r="A73" s="64">
        <v>73</v>
      </c>
      <c r="B73" s="62" t="s">
        <v>71</v>
      </c>
      <c r="C73" s="62" t="s">
        <v>610</v>
      </c>
      <c r="D73" s="62" t="s">
        <v>611</v>
      </c>
      <c r="E73" s="62" t="s">
        <v>105</v>
      </c>
      <c r="F73" s="62" t="s">
        <v>157</v>
      </c>
      <c r="G73" s="62">
        <v>2</v>
      </c>
      <c r="H73" s="62" t="s">
        <v>610</v>
      </c>
      <c r="I73" s="62" t="s">
        <v>611</v>
      </c>
      <c r="J73" s="62" t="s">
        <v>612</v>
      </c>
      <c r="K73" s="62" t="s">
        <v>613</v>
      </c>
      <c r="L73" s="62" t="s">
        <v>608</v>
      </c>
      <c r="M73" s="63">
        <v>0.15129999999999999</v>
      </c>
      <c r="N73" s="63">
        <v>0</v>
      </c>
      <c r="O73" s="63">
        <f t="shared" si="1"/>
        <v>0.30259999999999998</v>
      </c>
      <c r="P73" s="85"/>
      <c r="Q73" s="85"/>
      <c r="R73" s="85"/>
      <c r="S73" s="85"/>
      <c r="T73" s="62">
        <v>97</v>
      </c>
      <c r="U73" s="62">
        <v>2000</v>
      </c>
      <c r="V73" s="62">
        <v>2000</v>
      </c>
      <c r="W73" s="62"/>
      <c r="X73" s="67"/>
      <c r="Y73" s="62" t="s">
        <v>150</v>
      </c>
      <c r="Z73" s="62" t="s">
        <v>614</v>
      </c>
      <c r="AA73" s="62"/>
      <c r="AB73" s="62"/>
      <c r="AC73" s="63"/>
      <c r="AD73" s="62"/>
      <c r="AE73" s="62"/>
      <c r="AF73" s="63"/>
      <c r="AG73" s="62"/>
      <c r="AH73" s="62"/>
      <c r="AI73" s="63"/>
    </row>
    <row r="74" spans="1:35" ht="22.05" customHeight="1">
      <c r="A74" s="64">
        <v>74</v>
      </c>
      <c r="B74" s="62" t="s">
        <v>71</v>
      </c>
      <c r="C74" s="62" t="s">
        <v>615</v>
      </c>
      <c r="D74" s="62" t="s">
        <v>616</v>
      </c>
      <c r="E74" s="62" t="s">
        <v>105</v>
      </c>
      <c r="F74" s="62" t="s">
        <v>157</v>
      </c>
      <c r="G74" s="62">
        <v>4</v>
      </c>
      <c r="H74" s="62" t="s">
        <v>615</v>
      </c>
      <c r="I74" s="62" t="s">
        <v>616</v>
      </c>
      <c r="J74" s="62" t="s">
        <v>612</v>
      </c>
      <c r="K74" s="62" t="s">
        <v>617</v>
      </c>
      <c r="L74" s="62" t="s">
        <v>608</v>
      </c>
      <c r="M74" s="63">
        <v>0.39689999999999998</v>
      </c>
      <c r="N74" s="63">
        <v>0</v>
      </c>
      <c r="O74" s="63">
        <f t="shared" si="1"/>
        <v>1.5875999999999999</v>
      </c>
      <c r="P74" s="85"/>
      <c r="Q74" s="85"/>
      <c r="R74" s="85"/>
      <c r="S74" s="85"/>
      <c r="T74" s="62">
        <v>112</v>
      </c>
      <c r="U74" s="62">
        <v>1000</v>
      </c>
      <c r="V74" s="62"/>
      <c r="W74" s="62"/>
      <c r="X74" s="67"/>
      <c r="Y74" s="62"/>
      <c r="Z74" s="62" t="s">
        <v>618</v>
      </c>
      <c r="AA74" s="62"/>
      <c r="AB74" s="62"/>
      <c r="AC74" s="63"/>
      <c r="AD74" s="62"/>
      <c r="AE74" s="62"/>
      <c r="AF74" s="63"/>
      <c r="AG74" s="62"/>
      <c r="AH74" s="62"/>
      <c r="AI74" s="63"/>
    </row>
    <row r="75" spans="1:35" ht="22.05" customHeight="1">
      <c r="A75" s="64">
        <v>75</v>
      </c>
      <c r="B75" s="62" t="s">
        <v>71</v>
      </c>
      <c r="C75" s="62" t="s">
        <v>619</v>
      </c>
      <c r="D75" s="62" t="s">
        <v>620</v>
      </c>
      <c r="E75" s="62" t="s">
        <v>105</v>
      </c>
      <c r="F75" s="62" t="s">
        <v>157</v>
      </c>
      <c r="G75" s="62">
        <v>2</v>
      </c>
      <c r="H75" s="62" t="s">
        <v>619</v>
      </c>
      <c r="I75" s="62" t="s">
        <v>620</v>
      </c>
      <c r="J75" s="62" t="s">
        <v>612</v>
      </c>
      <c r="K75" s="62" t="s">
        <v>617</v>
      </c>
      <c r="L75" s="62" t="s">
        <v>608</v>
      </c>
      <c r="M75" s="63">
        <v>0.1401</v>
      </c>
      <c r="N75" s="63">
        <v>0</v>
      </c>
      <c r="O75" s="63">
        <f t="shared" si="1"/>
        <v>0.2802</v>
      </c>
      <c r="P75" s="85"/>
      <c r="Q75" s="85"/>
      <c r="R75" s="85"/>
      <c r="S75" s="85"/>
      <c r="T75" s="62">
        <v>91</v>
      </c>
      <c r="U75" s="62">
        <v>1000</v>
      </c>
      <c r="V75" s="62"/>
      <c r="W75" s="62"/>
      <c r="X75" s="67"/>
      <c r="Y75" s="62"/>
      <c r="Z75" s="62" t="s">
        <v>621</v>
      </c>
      <c r="AA75" s="62"/>
      <c r="AB75" s="62"/>
      <c r="AC75" s="63"/>
      <c r="AD75" s="62"/>
      <c r="AE75" s="62"/>
      <c r="AF75" s="63"/>
      <c r="AG75" s="62"/>
      <c r="AH75" s="62"/>
      <c r="AI75" s="63"/>
    </row>
    <row r="76" spans="1:35" ht="22.05" customHeight="1">
      <c r="A76" s="64">
        <v>76</v>
      </c>
      <c r="B76" s="62" t="s">
        <v>71</v>
      </c>
      <c r="C76" s="62" t="s">
        <v>622</v>
      </c>
      <c r="D76" s="62" t="s">
        <v>623</v>
      </c>
      <c r="E76" s="62" t="s">
        <v>105</v>
      </c>
      <c r="F76" s="62" t="s">
        <v>157</v>
      </c>
      <c r="G76" s="62">
        <v>1</v>
      </c>
      <c r="H76" s="62" t="s">
        <v>622</v>
      </c>
      <c r="I76" s="62" t="s">
        <v>624</v>
      </c>
      <c r="J76" s="62" t="s">
        <v>612</v>
      </c>
      <c r="K76" s="62" t="s">
        <v>625</v>
      </c>
      <c r="L76" s="62" t="s">
        <v>626</v>
      </c>
      <c r="M76" s="63">
        <v>0.18</v>
      </c>
      <c r="N76" s="63">
        <v>0</v>
      </c>
      <c r="O76" s="63">
        <f t="shared" si="1"/>
        <v>0.18</v>
      </c>
      <c r="P76" s="85"/>
      <c r="Q76" s="85"/>
      <c r="R76" s="85"/>
      <c r="S76" s="85"/>
      <c r="T76" s="62">
        <v>21</v>
      </c>
      <c r="U76" s="62">
        <v>20000</v>
      </c>
      <c r="V76" s="62">
        <v>1000</v>
      </c>
      <c r="W76" s="62"/>
      <c r="X76" s="67"/>
      <c r="Y76" s="62" t="s">
        <v>150</v>
      </c>
      <c r="Z76" s="62" t="s">
        <v>627</v>
      </c>
      <c r="AA76" s="62"/>
      <c r="AB76" s="62"/>
      <c r="AC76" s="63"/>
      <c r="AD76" s="62"/>
      <c r="AE76" s="62"/>
      <c r="AF76" s="63"/>
      <c r="AG76" s="62"/>
      <c r="AH76" s="62"/>
      <c r="AI76" s="63"/>
    </row>
    <row r="77" spans="1:35" ht="22.05" customHeight="1">
      <c r="A77" s="64">
        <v>77</v>
      </c>
      <c r="B77" s="62" t="s">
        <v>71</v>
      </c>
      <c r="C77" s="62" t="s">
        <v>628</v>
      </c>
      <c r="D77" s="62" t="s">
        <v>629</v>
      </c>
      <c r="E77" s="62" t="s">
        <v>105</v>
      </c>
      <c r="F77" s="62" t="s">
        <v>157</v>
      </c>
      <c r="G77" s="62">
        <v>1</v>
      </c>
      <c r="H77" s="62" t="s">
        <v>628</v>
      </c>
      <c r="I77" s="62" t="s">
        <v>629</v>
      </c>
      <c r="J77" s="62" t="s">
        <v>630</v>
      </c>
      <c r="K77" s="62" t="s">
        <v>631</v>
      </c>
      <c r="L77" s="62" t="s">
        <v>632</v>
      </c>
      <c r="M77" s="71">
        <v>39.200000000000003</v>
      </c>
      <c r="N77" s="63">
        <v>0</v>
      </c>
      <c r="O77" s="63">
        <f t="shared" si="1"/>
        <v>39.200000000000003</v>
      </c>
      <c r="P77" s="85">
        <v>31.5</v>
      </c>
      <c r="Q77" s="85"/>
      <c r="R77" s="88">
        <v>46211</v>
      </c>
      <c r="S77" s="85" t="s">
        <v>2126</v>
      </c>
      <c r="T77" s="62">
        <v>56</v>
      </c>
      <c r="U77" s="62">
        <v>0</v>
      </c>
      <c r="V77" s="62">
        <v>1000</v>
      </c>
      <c r="W77" s="62"/>
      <c r="X77" s="67"/>
      <c r="Y77" s="62"/>
      <c r="Z77" s="62" t="s">
        <v>633</v>
      </c>
      <c r="AA77" s="62"/>
      <c r="AB77" s="62"/>
      <c r="AC77" s="63"/>
      <c r="AD77" s="62"/>
      <c r="AE77" s="62"/>
      <c r="AF77" s="63"/>
      <c r="AG77" s="62"/>
      <c r="AH77" s="62"/>
      <c r="AI77" s="63"/>
    </row>
    <row r="78" spans="1:35" ht="22.05" customHeight="1">
      <c r="A78" s="64">
        <v>78</v>
      </c>
      <c r="B78" s="62" t="s">
        <v>71</v>
      </c>
      <c r="C78" s="62" t="s">
        <v>634</v>
      </c>
      <c r="D78" s="62" t="s">
        <v>635</v>
      </c>
      <c r="E78" s="62" t="s">
        <v>105</v>
      </c>
      <c r="F78" s="62" t="s">
        <v>157</v>
      </c>
      <c r="G78" s="62">
        <v>2</v>
      </c>
      <c r="H78" s="62" t="s">
        <v>634</v>
      </c>
      <c r="I78" s="62" t="s">
        <v>635</v>
      </c>
      <c r="J78" s="62" t="s">
        <v>183</v>
      </c>
      <c r="K78" s="62" t="s">
        <v>636</v>
      </c>
      <c r="L78" s="62" t="s">
        <v>637</v>
      </c>
      <c r="M78" s="63">
        <v>0.16470000000000001</v>
      </c>
      <c r="N78" s="63">
        <v>0</v>
      </c>
      <c r="O78" s="63">
        <f t="shared" si="1"/>
        <v>0.32940000000000003</v>
      </c>
      <c r="P78" s="85"/>
      <c r="Q78" s="85"/>
      <c r="R78" s="85"/>
      <c r="S78" s="85"/>
      <c r="T78" s="62">
        <v>112</v>
      </c>
      <c r="U78" s="62">
        <v>0</v>
      </c>
      <c r="V78" s="62">
        <v>1000</v>
      </c>
      <c r="W78" s="62"/>
      <c r="X78" s="67"/>
      <c r="Y78" s="62"/>
      <c r="Z78" s="62" t="s">
        <v>638</v>
      </c>
      <c r="AA78" s="62"/>
      <c r="AB78" s="62"/>
      <c r="AC78" s="63"/>
      <c r="AD78" s="62"/>
      <c r="AE78" s="62"/>
      <c r="AF78" s="63"/>
      <c r="AG78" s="62"/>
      <c r="AH78" s="62"/>
      <c r="AI78" s="63"/>
    </row>
    <row r="79" spans="1:35" ht="22.05" customHeight="1">
      <c r="A79" s="64">
        <v>79</v>
      </c>
      <c r="B79" s="62" t="s">
        <v>71</v>
      </c>
      <c r="C79" s="62" t="s">
        <v>639</v>
      </c>
      <c r="D79" s="62" t="s">
        <v>640</v>
      </c>
      <c r="E79" s="62" t="s">
        <v>105</v>
      </c>
      <c r="F79" s="62" t="s">
        <v>144</v>
      </c>
      <c r="G79" s="62">
        <v>2</v>
      </c>
      <c r="H79" s="62" t="s">
        <v>639</v>
      </c>
      <c r="I79" s="62" t="s">
        <v>640</v>
      </c>
      <c r="J79" s="62" t="s">
        <v>205</v>
      </c>
      <c r="K79" s="62" t="s">
        <v>641</v>
      </c>
      <c r="L79" s="62" t="s">
        <v>235</v>
      </c>
      <c r="M79" s="63">
        <v>0.1</v>
      </c>
      <c r="N79" s="63">
        <v>0</v>
      </c>
      <c r="O79" s="63">
        <f t="shared" si="1"/>
        <v>0.2</v>
      </c>
      <c r="P79" s="85"/>
      <c r="Q79" s="85"/>
      <c r="R79" s="85"/>
      <c r="S79" s="85"/>
      <c r="T79" s="62">
        <v>56</v>
      </c>
      <c r="U79" s="62">
        <v>2000</v>
      </c>
      <c r="V79" s="62">
        <v>2000</v>
      </c>
      <c r="W79" s="62"/>
      <c r="X79" s="67"/>
      <c r="Y79" s="62"/>
      <c r="Z79" s="62" t="s">
        <v>642</v>
      </c>
      <c r="AA79" s="62"/>
      <c r="AB79" s="62"/>
      <c r="AC79" s="63"/>
      <c r="AD79" s="62"/>
      <c r="AE79" s="62"/>
      <c r="AF79" s="63"/>
      <c r="AG79" s="62"/>
      <c r="AH79" s="62"/>
      <c r="AI79" s="63"/>
    </row>
    <row r="80" spans="1:35" ht="22.05" customHeight="1">
      <c r="A80" s="64">
        <v>80</v>
      </c>
      <c r="B80" s="62" t="s">
        <v>71</v>
      </c>
      <c r="C80" s="62" t="s">
        <v>643</v>
      </c>
      <c r="D80" s="62" t="s">
        <v>644</v>
      </c>
      <c r="E80" s="62" t="s">
        <v>105</v>
      </c>
      <c r="F80" s="62" t="s">
        <v>144</v>
      </c>
      <c r="G80" s="62">
        <v>45</v>
      </c>
      <c r="H80" s="65" t="s">
        <v>645</v>
      </c>
      <c r="I80" s="62" t="s">
        <v>646</v>
      </c>
      <c r="J80" s="62" t="s">
        <v>218</v>
      </c>
      <c r="K80" s="62" t="s">
        <v>234</v>
      </c>
      <c r="L80" s="62" t="s">
        <v>235</v>
      </c>
      <c r="M80" s="63">
        <v>5.1000000000000004E-3</v>
      </c>
      <c r="N80" s="63">
        <v>0</v>
      </c>
      <c r="O80" s="63">
        <f t="shared" si="1"/>
        <v>0.22950000000000001</v>
      </c>
      <c r="P80" s="85"/>
      <c r="Q80" s="85"/>
      <c r="R80" s="85"/>
      <c r="S80" s="85"/>
      <c r="T80" s="62">
        <v>70</v>
      </c>
      <c r="U80" s="62">
        <v>4000</v>
      </c>
      <c r="V80" s="62"/>
      <c r="W80" s="62"/>
      <c r="X80" s="67"/>
      <c r="Y80" s="62"/>
      <c r="Z80" s="62" t="s">
        <v>647</v>
      </c>
      <c r="AA80" s="62" t="s">
        <v>648</v>
      </c>
      <c r="AB80" s="62" t="s">
        <v>649</v>
      </c>
      <c r="AC80" s="66">
        <v>5.7000000000000002E-3</v>
      </c>
      <c r="AD80" s="62" t="s">
        <v>650</v>
      </c>
      <c r="AE80" s="62" t="s">
        <v>651</v>
      </c>
      <c r="AF80" s="63">
        <v>6.4000000000000003E-3</v>
      </c>
      <c r="AG80" s="62" t="s">
        <v>652</v>
      </c>
      <c r="AH80" s="62" t="s">
        <v>653</v>
      </c>
      <c r="AI80" s="63">
        <v>6.6E-3</v>
      </c>
    </row>
    <row r="81" spans="1:35" ht="22.05" customHeight="1">
      <c r="A81" s="64">
        <v>81</v>
      </c>
      <c r="B81" s="62" t="s">
        <v>71</v>
      </c>
      <c r="C81" s="62" t="s">
        <v>654</v>
      </c>
      <c r="D81" s="62" t="s">
        <v>655</v>
      </c>
      <c r="E81" s="62" t="s">
        <v>105</v>
      </c>
      <c r="F81" s="62" t="s">
        <v>144</v>
      </c>
      <c r="G81" s="62">
        <v>31</v>
      </c>
      <c r="H81" s="65" t="s">
        <v>656</v>
      </c>
      <c r="I81" s="62" t="s">
        <v>657</v>
      </c>
      <c r="J81" s="62" t="s">
        <v>205</v>
      </c>
      <c r="K81" s="62" t="s">
        <v>641</v>
      </c>
      <c r="L81" s="62" t="s">
        <v>235</v>
      </c>
      <c r="M81" s="63">
        <v>5.0000000000000001E-3</v>
      </c>
      <c r="N81" s="63">
        <v>0</v>
      </c>
      <c r="O81" s="63">
        <f t="shared" ref="O81:O144" si="2">G81*M81</f>
        <v>0.155</v>
      </c>
      <c r="P81" s="85"/>
      <c r="Q81" s="85"/>
      <c r="R81" s="85"/>
      <c r="S81" s="85"/>
      <c r="T81" s="62">
        <v>56</v>
      </c>
      <c r="U81" s="62">
        <v>1</v>
      </c>
      <c r="V81" s="62">
        <v>1</v>
      </c>
      <c r="W81" s="62"/>
      <c r="X81" s="67"/>
      <c r="Y81" s="62"/>
      <c r="Z81" s="62" t="s">
        <v>658</v>
      </c>
      <c r="AA81" s="62" t="s">
        <v>659</v>
      </c>
      <c r="AB81" s="62" t="s">
        <v>660</v>
      </c>
      <c r="AC81" s="63">
        <v>5.3E-3</v>
      </c>
      <c r="AD81" s="62" t="s">
        <v>661</v>
      </c>
      <c r="AE81" s="62" t="s">
        <v>662</v>
      </c>
      <c r="AF81" s="66">
        <v>5.4999999999999997E-3</v>
      </c>
      <c r="AG81" s="62" t="s">
        <v>663</v>
      </c>
      <c r="AH81" s="62" t="s">
        <v>664</v>
      </c>
      <c r="AI81" s="63">
        <v>2.06E-2</v>
      </c>
    </row>
    <row r="82" spans="1:35" ht="22.05" customHeight="1">
      <c r="A82" s="64">
        <v>82</v>
      </c>
      <c r="B82" s="62" t="s">
        <v>71</v>
      </c>
      <c r="C82" s="62" t="s">
        <v>665</v>
      </c>
      <c r="D82" s="62" t="s">
        <v>666</v>
      </c>
      <c r="E82" s="62" t="s">
        <v>105</v>
      </c>
      <c r="F82" s="62" t="s">
        <v>144</v>
      </c>
      <c r="G82" s="62">
        <v>10</v>
      </c>
      <c r="H82" s="65" t="s">
        <v>667</v>
      </c>
      <c r="I82" s="62" t="s">
        <v>668</v>
      </c>
      <c r="J82" s="62" t="s">
        <v>218</v>
      </c>
      <c r="K82" s="62" t="s">
        <v>234</v>
      </c>
      <c r="L82" s="62" t="s">
        <v>235</v>
      </c>
      <c r="M82" s="63">
        <v>4.7999999999999996E-3</v>
      </c>
      <c r="N82" s="63">
        <v>0</v>
      </c>
      <c r="O82" s="63">
        <f t="shared" si="2"/>
        <v>4.7999999999999994E-2</v>
      </c>
      <c r="P82" s="85"/>
      <c r="Q82" s="85"/>
      <c r="R82" s="85"/>
      <c r="S82" s="85"/>
      <c r="T82" s="62">
        <v>70</v>
      </c>
      <c r="U82" s="62">
        <v>4000</v>
      </c>
      <c r="V82" s="62"/>
      <c r="W82" s="62"/>
      <c r="X82" s="67"/>
      <c r="Y82" s="62"/>
      <c r="Z82" s="62" t="s">
        <v>669</v>
      </c>
      <c r="AA82" s="62" t="s">
        <v>670</v>
      </c>
      <c r="AB82" s="62" t="s">
        <v>671</v>
      </c>
      <c r="AC82" s="63">
        <v>5.0000000000000001E-3</v>
      </c>
      <c r="AD82" s="62" t="s">
        <v>672</v>
      </c>
      <c r="AE82" s="62" t="s">
        <v>673</v>
      </c>
      <c r="AF82" s="66">
        <v>5.7000000000000002E-3</v>
      </c>
      <c r="AG82" s="62" t="s">
        <v>674</v>
      </c>
      <c r="AH82" s="62" t="s">
        <v>675</v>
      </c>
      <c r="AI82" s="68">
        <v>5.7999999999999996E-3</v>
      </c>
    </row>
    <row r="83" spans="1:35" ht="22.05" customHeight="1">
      <c r="A83" s="64">
        <v>83</v>
      </c>
      <c r="B83" s="62" t="s">
        <v>71</v>
      </c>
      <c r="C83" s="62" t="s">
        <v>676</v>
      </c>
      <c r="D83" s="62" t="s">
        <v>677</v>
      </c>
      <c r="E83" s="62" t="s">
        <v>105</v>
      </c>
      <c r="F83" s="62" t="s">
        <v>144</v>
      </c>
      <c r="G83" s="62">
        <v>7</v>
      </c>
      <c r="H83" s="65" t="s">
        <v>678</v>
      </c>
      <c r="I83" s="62" t="s">
        <v>679</v>
      </c>
      <c r="J83" s="62" t="s">
        <v>218</v>
      </c>
      <c r="K83" s="62" t="s">
        <v>234</v>
      </c>
      <c r="L83" s="62" t="s">
        <v>235</v>
      </c>
      <c r="M83" s="63">
        <v>4.7999999999999996E-3</v>
      </c>
      <c r="N83" s="63">
        <v>0</v>
      </c>
      <c r="O83" s="63">
        <f t="shared" si="2"/>
        <v>3.3599999999999998E-2</v>
      </c>
      <c r="P83" s="85"/>
      <c r="Q83" s="85"/>
      <c r="R83" s="85"/>
      <c r="S83" s="85"/>
      <c r="T83" s="62">
        <v>70</v>
      </c>
      <c r="U83" s="62">
        <v>4000</v>
      </c>
      <c r="V83" s="62"/>
      <c r="W83" s="62"/>
      <c r="X83" s="67"/>
      <c r="Y83" s="62"/>
      <c r="Z83" s="62" t="s">
        <v>680</v>
      </c>
      <c r="AA83" s="62" t="s">
        <v>681</v>
      </c>
      <c r="AB83" s="62" t="s">
        <v>682</v>
      </c>
      <c r="AC83" s="63">
        <v>4.8999999999999998E-3</v>
      </c>
      <c r="AD83" s="62" t="s">
        <v>683</v>
      </c>
      <c r="AE83" s="62" t="s">
        <v>684</v>
      </c>
      <c r="AF83" s="66">
        <v>5.7999999999999996E-3</v>
      </c>
      <c r="AG83" s="62" t="s">
        <v>685</v>
      </c>
      <c r="AH83" s="62" t="s">
        <v>686</v>
      </c>
      <c r="AI83" s="68">
        <v>6.3E-3</v>
      </c>
    </row>
    <row r="84" spans="1:35" ht="22.05" customHeight="1">
      <c r="A84" s="64">
        <v>84</v>
      </c>
      <c r="B84" s="62" t="s">
        <v>71</v>
      </c>
      <c r="C84" s="62" t="s">
        <v>687</v>
      </c>
      <c r="D84" s="62" t="s">
        <v>688</v>
      </c>
      <c r="E84" s="62" t="s">
        <v>105</v>
      </c>
      <c r="F84" s="62" t="s">
        <v>144</v>
      </c>
      <c r="G84" s="62">
        <v>1</v>
      </c>
      <c r="H84" s="65" t="s">
        <v>689</v>
      </c>
      <c r="I84" s="62" t="s">
        <v>690</v>
      </c>
      <c r="J84" s="62" t="s">
        <v>218</v>
      </c>
      <c r="K84" s="62" t="s">
        <v>234</v>
      </c>
      <c r="L84" s="62" t="s">
        <v>235</v>
      </c>
      <c r="M84" s="63">
        <v>2.1700000000000001E-2</v>
      </c>
      <c r="N84" s="63">
        <v>0</v>
      </c>
      <c r="O84" s="63">
        <f t="shared" si="2"/>
        <v>2.1700000000000001E-2</v>
      </c>
      <c r="P84" s="85"/>
      <c r="Q84" s="85"/>
      <c r="R84" s="85"/>
      <c r="S84" s="85"/>
      <c r="T84" s="62">
        <v>84</v>
      </c>
      <c r="U84" s="62">
        <v>4000</v>
      </c>
      <c r="V84" s="62"/>
      <c r="W84" s="62"/>
      <c r="X84" s="67"/>
      <c r="Y84" s="62"/>
      <c r="Z84" s="62" t="s">
        <v>691</v>
      </c>
      <c r="AA84" s="62" t="s">
        <v>692</v>
      </c>
      <c r="AB84" s="62" t="s">
        <v>693</v>
      </c>
      <c r="AC84" s="63">
        <v>2.2599999999999999E-2</v>
      </c>
      <c r="AD84" s="62" t="s">
        <v>694</v>
      </c>
      <c r="AE84" s="62" t="s">
        <v>695</v>
      </c>
      <c r="AF84" s="66">
        <v>2.7400000000000001E-2</v>
      </c>
      <c r="AG84" s="62" t="s">
        <v>696</v>
      </c>
      <c r="AH84" s="62" t="s">
        <v>697</v>
      </c>
      <c r="AI84" s="63">
        <v>2.75E-2</v>
      </c>
    </row>
    <row r="85" spans="1:35" ht="22.05" customHeight="1">
      <c r="A85" s="64">
        <v>85</v>
      </c>
      <c r="B85" s="62" t="s">
        <v>71</v>
      </c>
      <c r="C85" s="62" t="s">
        <v>698</v>
      </c>
      <c r="D85" s="62" t="s">
        <v>699</v>
      </c>
      <c r="E85" s="62" t="s">
        <v>105</v>
      </c>
      <c r="F85" s="62" t="s">
        <v>144</v>
      </c>
      <c r="G85" s="62">
        <v>2</v>
      </c>
      <c r="H85" s="65" t="s">
        <v>700</v>
      </c>
      <c r="I85" s="62" t="s">
        <v>701</v>
      </c>
      <c r="J85" s="62" t="s">
        <v>218</v>
      </c>
      <c r="K85" s="62" t="s">
        <v>234</v>
      </c>
      <c r="L85" s="62" t="s">
        <v>235</v>
      </c>
      <c r="M85" s="63">
        <v>5.1999999999999998E-3</v>
      </c>
      <c r="N85" s="63">
        <v>0</v>
      </c>
      <c r="O85" s="63">
        <f t="shared" si="2"/>
        <v>1.04E-2</v>
      </c>
      <c r="P85" s="85"/>
      <c r="Q85" s="85"/>
      <c r="R85" s="85"/>
      <c r="S85" s="85"/>
      <c r="T85" s="62">
        <v>77</v>
      </c>
      <c r="U85" s="62">
        <v>4000</v>
      </c>
      <c r="V85" s="62"/>
      <c r="W85" s="62"/>
      <c r="X85" s="67"/>
      <c r="Y85" s="62"/>
      <c r="Z85" s="62" t="s">
        <v>702</v>
      </c>
      <c r="AA85" s="62" t="s">
        <v>703</v>
      </c>
      <c r="AB85" s="62" t="s">
        <v>704</v>
      </c>
      <c r="AC85" s="63">
        <v>5.4999999999999997E-3</v>
      </c>
      <c r="AD85" s="62" t="s">
        <v>705</v>
      </c>
      <c r="AE85" s="62" t="s">
        <v>706</v>
      </c>
      <c r="AF85" s="68">
        <v>6.8999999999999999E-3</v>
      </c>
      <c r="AG85" s="62" t="s">
        <v>707</v>
      </c>
      <c r="AH85" s="62" t="s">
        <v>708</v>
      </c>
      <c r="AI85" s="66">
        <v>8.8999999999999999E-3</v>
      </c>
    </row>
    <row r="86" spans="1:35" ht="22.05" customHeight="1">
      <c r="A86" s="64">
        <v>86</v>
      </c>
      <c r="B86" s="62" t="s">
        <v>71</v>
      </c>
      <c r="C86" s="62" t="s">
        <v>709</v>
      </c>
      <c r="D86" s="62" t="s">
        <v>710</v>
      </c>
      <c r="E86" s="62" t="s">
        <v>105</v>
      </c>
      <c r="F86" s="62" t="s">
        <v>144</v>
      </c>
      <c r="G86" s="62">
        <v>2</v>
      </c>
      <c r="H86" s="65" t="s">
        <v>711</v>
      </c>
      <c r="I86" s="62" t="s">
        <v>712</v>
      </c>
      <c r="J86" s="62" t="s">
        <v>218</v>
      </c>
      <c r="K86" s="62" t="s">
        <v>713</v>
      </c>
      <c r="L86" s="62" t="s">
        <v>714</v>
      </c>
      <c r="M86" s="63">
        <v>1.6500000000000001E-2</v>
      </c>
      <c r="N86" s="63">
        <v>0</v>
      </c>
      <c r="O86" s="63">
        <f t="shared" si="2"/>
        <v>3.3000000000000002E-2</v>
      </c>
      <c r="P86" s="85"/>
      <c r="Q86" s="85"/>
      <c r="R86" s="85"/>
      <c r="S86" s="85"/>
      <c r="T86" s="62">
        <v>63</v>
      </c>
      <c r="U86" s="62">
        <v>4000</v>
      </c>
      <c r="V86" s="62"/>
      <c r="W86" s="62"/>
      <c r="X86" s="67"/>
      <c r="Y86" s="62"/>
      <c r="Z86" s="62" t="s">
        <v>715</v>
      </c>
      <c r="AA86" s="62" t="s">
        <v>716</v>
      </c>
      <c r="AB86" s="62" t="s">
        <v>717</v>
      </c>
      <c r="AC86" s="63">
        <v>1.8100000000000002E-2</v>
      </c>
      <c r="AD86" s="62" t="s">
        <v>718</v>
      </c>
      <c r="AE86" s="62" t="s">
        <v>719</v>
      </c>
      <c r="AF86" s="63">
        <v>2.07E-2</v>
      </c>
      <c r="AG86" s="62" t="s">
        <v>720</v>
      </c>
      <c r="AH86" s="62" t="s">
        <v>721</v>
      </c>
      <c r="AI86" s="63">
        <v>5.5E-2</v>
      </c>
    </row>
    <row r="87" spans="1:35" ht="22.05" customHeight="1">
      <c r="A87" s="64">
        <v>87</v>
      </c>
      <c r="B87" s="62" t="s">
        <v>71</v>
      </c>
      <c r="C87" s="62" t="s">
        <v>722</v>
      </c>
      <c r="D87" s="62" t="s">
        <v>723</v>
      </c>
      <c r="E87" s="62" t="s">
        <v>105</v>
      </c>
      <c r="F87" s="62" t="s">
        <v>144</v>
      </c>
      <c r="G87" s="62">
        <v>2</v>
      </c>
      <c r="H87" s="65" t="s">
        <v>724</v>
      </c>
      <c r="I87" s="62" t="s">
        <v>725</v>
      </c>
      <c r="J87" s="62" t="s">
        <v>726</v>
      </c>
      <c r="K87" s="62" t="s">
        <v>727</v>
      </c>
      <c r="L87" s="62" t="s">
        <v>728</v>
      </c>
      <c r="M87" s="63">
        <v>3.1300000000000001E-2</v>
      </c>
      <c r="N87" s="63">
        <v>0</v>
      </c>
      <c r="O87" s="63">
        <f t="shared" si="2"/>
        <v>6.2600000000000003E-2</v>
      </c>
      <c r="P87" s="85"/>
      <c r="Q87" s="85"/>
      <c r="R87" s="85"/>
      <c r="S87" s="85"/>
      <c r="T87" s="62">
        <v>7</v>
      </c>
      <c r="U87" s="62">
        <v>1</v>
      </c>
      <c r="V87" s="62">
        <v>4000</v>
      </c>
      <c r="W87" s="62"/>
      <c r="X87" s="67"/>
      <c r="Y87" s="62"/>
      <c r="Z87" s="62" t="s">
        <v>729</v>
      </c>
      <c r="AA87" s="62" t="s">
        <v>730</v>
      </c>
      <c r="AB87" s="62" t="s">
        <v>731</v>
      </c>
      <c r="AC87" s="63">
        <v>3.1399999999999997E-2</v>
      </c>
      <c r="AD87" s="62" t="s">
        <v>732</v>
      </c>
      <c r="AE87" s="62" t="s">
        <v>733</v>
      </c>
      <c r="AF87" s="63">
        <v>4.7E-2</v>
      </c>
      <c r="AG87" s="62"/>
      <c r="AH87" s="62"/>
      <c r="AI87" s="63"/>
    </row>
    <row r="88" spans="1:35" ht="22.05" customHeight="1">
      <c r="A88" s="64">
        <v>88</v>
      </c>
      <c r="B88" s="62" t="s">
        <v>71</v>
      </c>
      <c r="C88" s="62" t="s">
        <v>734</v>
      </c>
      <c r="D88" s="62" t="s">
        <v>735</v>
      </c>
      <c r="E88" s="62" t="s">
        <v>105</v>
      </c>
      <c r="F88" s="62" t="s">
        <v>144</v>
      </c>
      <c r="G88" s="62">
        <v>8</v>
      </c>
      <c r="H88" s="65" t="s">
        <v>736</v>
      </c>
      <c r="I88" s="62" t="s">
        <v>737</v>
      </c>
      <c r="J88" s="62" t="s">
        <v>205</v>
      </c>
      <c r="K88" s="62" t="s">
        <v>206</v>
      </c>
      <c r="L88" s="62" t="s">
        <v>207</v>
      </c>
      <c r="M88" s="63">
        <v>1.6799999999999999E-2</v>
      </c>
      <c r="N88" s="63">
        <v>0</v>
      </c>
      <c r="O88" s="63">
        <f t="shared" si="2"/>
        <v>0.13439999999999999</v>
      </c>
      <c r="P88" s="85"/>
      <c r="Q88" s="85"/>
      <c r="R88" s="85"/>
      <c r="S88" s="85"/>
      <c r="T88" s="62">
        <v>90</v>
      </c>
      <c r="U88" s="62">
        <v>1</v>
      </c>
      <c r="V88" s="62">
        <v>4000</v>
      </c>
      <c r="W88" s="62"/>
      <c r="X88" s="67"/>
      <c r="Y88" s="62"/>
      <c r="Z88" s="62" t="s">
        <v>738</v>
      </c>
      <c r="AA88" s="62" t="s">
        <v>739</v>
      </c>
      <c r="AB88" s="62" t="s">
        <v>740</v>
      </c>
      <c r="AC88" s="63">
        <v>2.8000000000000001E-2</v>
      </c>
      <c r="AD88" s="62" t="s">
        <v>741</v>
      </c>
      <c r="AE88" s="62" t="s">
        <v>742</v>
      </c>
      <c r="AF88" s="63">
        <v>3.1E-2</v>
      </c>
      <c r="AG88" s="62" t="s">
        <v>743</v>
      </c>
      <c r="AH88" s="62" t="s">
        <v>744</v>
      </c>
      <c r="AI88" s="66">
        <v>5.9799999999999999E-2</v>
      </c>
    </row>
    <row r="89" spans="1:35" ht="22.05" customHeight="1">
      <c r="A89" s="64">
        <v>89</v>
      </c>
      <c r="B89" s="62" t="s">
        <v>71</v>
      </c>
      <c r="C89" s="62" t="s">
        <v>745</v>
      </c>
      <c r="D89" s="62" t="s">
        <v>746</v>
      </c>
      <c r="E89" s="62" t="s">
        <v>105</v>
      </c>
      <c r="F89" s="62" t="s">
        <v>144</v>
      </c>
      <c r="G89" s="62">
        <v>1</v>
      </c>
      <c r="H89" s="65" t="s">
        <v>747</v>
      </c>
      <c r="I89" s="62" t="s">
        <v>748</v>
      </c>
      <c r="J89" s="62" t="s">
        <v>218</v>
      </c>
      <c r="K89" s="62" t="s">
        <v>749</v>
      </c>
      <c r="L89" s="62" t="s">
        <v>149</v>
      </c>
      <c r="M89" s="63">
        <v>5.4000000000000003E-3</v>
      </c>
      <c r="N89" s="63">
        <v>0</v>
      </c>
      <c r="O89" s="63">
        <f t="shared" si="2"/>
        <v>5.4000000000000003E-3</v>
      </c>
      <c r="P89" s="85"/>
      <c r="Q89" s="85"/>
      <c r="R89" s="85"/>
      <c r="S89" s="85"/>
      <c r="T89" s="62">
        <v>56</v>
      </c>
      <c r="U89" s="62">
        <v>4000</v>
      </c>
      <c r="V89" s="62"/>
      <c r="W89" s="62"/>
      <c r="X89" s="67"/>
      <c r="Y89" s="62"/>
      <c r="Z89" s="62" t="s">
        <v>750</v>
      </c>
      <c r="AA89" s="62" t="s">
        <v>751</v>
      </c>
      <c r="AB89" s="62" t="s">
        <v>752</v>
      </c>
      <c r="AC89" s="66">
        <v>5.7999999999999996E-3</v>
      </c>
      <c r="AD89" s="62" t="s">
        <v>753</v>
      </c>
      <c r="AE89" s="62" t="s">
        <v>754</v>
      </c>
      <c r="AF89" s="66">
        <v>1.4999999999999999E-2</v>
      </c>
      <c r="AG89" s="62"/>
      <c r="AH89" s="62"/>
      <c r="AI89" s="63"/>
    </row>
    <row r="90" spans="1:35" ht="22.05" customHeight="1">
      <c r="A90" s="64">
        <v>90</v>
      </c>
      <c r="B90" s="62" t="s">
        <v>71</v>
      </c>
      <c r="C90" s="62" t="s">
        <v>755</v>
      </c>
      <c r="D90" s="62" t="s">
        <v>756</v>
      </c>
      <c r="E90" s="62" t="s">
        <v>105</v>
      </c>
      <c r="F90" s="62" t="s">
        <v>144</v>
      </c>
      <c r="G90" s="62">
        <v>28</v>
      </c>
      <c r="H90" s="65" t="s">
        <v>757</v>
      </c>
      <c r="I90" s="62" t="s">
        <v>758</v>
      </c>
      <c r="J90" s="62" t="s">
        <v>543</v>
      </c>
      <c r="K90" s="62" t="s">
        <v>759</v>
      </c>
      <c r="L90" s="62" t="s">
        <v>760</v>
      </c>
      <c r="M90" s="66">
        <v>0.16889999999999999</v>
      </c>
      <c r="N90" s="63">
        <v>0</v>
      </c>
      <c r="O90" s="63">
        <f t="shared" si="2"/>
        <v>4.7291999999999996</v>
      </c>
      <c r="P90" s="85"/>
      <c r="Q90" s="85"/>
      <c r="R90" s="85"/>
      <c r="S90" s="85"/>
      <c r="T90" s="62">
        <v>56</v>
      </c>
      <c r="U90" s="62">
        <v>3000</v>
      </c>
      <c r="V90" s="62">
        <v>3000</v>
      </c>
      <c r="W90" s="62"/>
      <c r="X90" s="67"/>
      <c r="Y90" s="62" t="s">
        <v>150</v>
      </c>
      <c r="Z90" s="62" t="s">
        <v>761</v>
      </c>
      <c r="AA90" s="62" t="s">
        <v>762</v>
      </c>
      <c r="AB90" s="62" t="s">
        <v>763</v>
      </c>
      <c r="AC90" s="63">
        <v>0.27</v>
      </c>
      <c r="AD90" s="62"/>
      <c r="AE90" s="62"/>
      <c r="AF90" s="63"/>
      <c r="AG90" s="62"/>
      <c r="AH90" s="62"/>
      <c r="AI90" s="63"/>
    </row>
    <row r="91" spans="1:35" ht="22.05" customHeight="1">
      <c r="A91" s="64">
        <v>91</v>
      </c>
      <c r="B91" s="62" t="s">
        <v>71</v>
      </c>
      <c r="C91" s="62" t="s">
        <v>764</v>
      </c>
      <c r="D91" s="62" t="s">
        <v>765</v>
      </c>
      <c r="E91" s="62" t="s">
        <v>105</v>
      </c>
      <c r="F91" s="62" t="s">
        <v>144</v>
      </c>
      <c r="G91" s="62">
        <v>2</v>
      </c>
      <c r="H91" s="62" t="s">
        <v>764</v>
      </c>
      <c r="I91" s="62" t="s">
        <v>765</v>
      </c>
      <c r="J91" s="62" t="s">
        <v>726</v>
      </c>
      <c r="K91" s="62" t="s">
        <v>727</v>
      </c>
      <c r="L91" s="62" t="s">
        <v>728</v>
      </c>
      <c r="M91" s="63">
        <v>0.4178</v>
      </c>
      <c r="N91" s="63">
        <v>0</v>
      </c>
      <c r="O91" s="63">
        <f t="shared" si="2"/>
        <v>0.83560000000000001</v>
      </c>
      <c r="P91" s="85"/>
      <c r="Q91" s="85"/>
      <c r="R91" s="85"/>
      <c r="S91" s="85"/>
      <c r="T91" s="62">
        <v>7</v>
      </c>
      <c r="U91" s="62">
        <v>2000</v>
      </c>
      <c r="V91" s="62">
        <v>2001</v>
      </c>
      <c r="W91" s="62"/>
      <c r="X91" s="67"/>
      <c r="Y91" s="62"/>
      <c r="Z91" s="62" t="s">
        <v>766</v>
      </c>
      <c r="AA91" s="62"/>
      <c r="AB91" s="62"/>
      <c r="AC91" s="63"/>
      <c r="AD91" s="62"/>
      <c r="AE91" s="62"/>
      <c r="AF91" s="63"/>
      <c r="AG91" s="62"/>
      <c r="AH91" s="62"/>
      <c r="AI91" s="63"/>
    </row>
    <row r="92" spans="1:35" ht="22.05" customHeight="1">
      <c r="A92" s="64">
        <v>92</v>
      </c>
      <c r="B92" s="62" t="s">
        <v>71</v>
      </c>
      <c r="C92" s="62" t="s">
        <v>767</v>
      </c>
      <c r="D92" s="62" t="s">
        <v>768</v>
      </c>
      <c r="E92" s="62" t="s">
        <v>105</v>
      </c>
      <c r="F92" s="62" t="s">
        <v>144</v>
      </c>
      <c r="G92" s="62">
        <v>2</v>
      </c>
      <c r="H92" s="62" t="s">
        <v>767</v>
      </c>
      <c r="I92" s="62" t="s">
        <v>768</v>
      </c>
      <c r="J92" s="62" t="s">
        <v>172</v>
      </c>
      <c r="K92" s="62" t="s">
        <v>749</v>
      </c>
      <c r="L92" s="62" t="s">
        <v>149</v>
      </c>
      <c r="M92" s="63">
        <v>3.5499999999999997E-2</v>
      </c>
      <c r="N92" s="63">
        <v>0</v>
      </c>
      <c r="O92" s="63">
        <f t="shared" si="2"/>
        <v>7.0999999999999994E-2</v>
      </c>
      <c r="P92" s="85"/>
      <c r="Q92" s="85"/>
      <c r="R92" s="85"/>
      <c r="S92" s="85"/>
      <c r="T92" s="62">
        <v>84</v>
      </c>
      <c r="U92" s="62">
        <v>25000</v>
      </c>
      <c r="V92" s="62"/>
      <c r="W92" s="62"/>
      <c r="X92" s="67"/>
      <c r="Y92" s="62"/>
      <c r="Z92" s="62" t="s">
        <v>769</v>
      </c>
      <c r="AA92" s="62"/>
      <c r="AB92" s="62"/>
      <c r="AC92" s="63"/>
      <c r="AD92" s="62"/>
      <c r="AE92" s="62"/>
      <c r="AF92" s="63"/>
      <c r="AG92" s="62"/>
      <c r="AH92" s="62"/>
      <c r="AI92" s="63"/>
    </row>
    <row r="93" spans="1:35" ht="22.05" customHeight="1">
      <c r="A93" s="64">
        <v>93</v>
      </c>
      <c r="B93" s="62" t="s">
        <v>71</v>
      </c>
      <c r="C93" s="62" t="s">
        <v>770</v>
      </c>
      <c r="D93" s="62" t="s">
        <v>771</v>
      </c>
      <c r="E93" s="62" t="s">
        <v>105</v>
      </c>
      <c r="F93" s="62" t="s">
        <v>144</v>
      </c>
      <c r="G93" s="62">
        <v>4</v>
      </c>
      <c r="H93" s="62" t="s">
        <v>770</v>
      </c>
      <c r="I93" s="62" t="s">
        <v>771</v>
      </c>
      <c r="J93" s="62" t="s">
        <v>772</v>
      </c>
      <c r="K93" s="62" t="s">
        <v>773</v>
      </c>
      <c r="L93" s="62" t="s">
        <v>774</v>
      </c>
      <c r="M93" s="63">
        <v>6.2882999999999994E-2</v>
      </c>
      <c r="N93" s="63">
        <v>0</v>
      </c>
      <c r="O93" s="63">
        <f t="shared" si="2"/>
        <v>0.25153199999999998</v>
      </c>
      <c r="P93" s="85"/>
      <c r="Q93" s="85"/>
      <c r="R93" s="85"/>
      <c r="S93" s="85"/>
      <c r="T93" s="62">
        <v>84</v>
      </c>
      <c r="U93" s="62">
        <v>0</v>
      </c>
      <c r="V93" s="62">
        <v>25000</v>
      </c>
      <c r="W93" s="62"/>
      <c r="X93" s="67"/>
      <c r="Y93" s="62"/>
      <c r="Z93" s="62" t="s">
        <v>775</v>
      </c>
      <c r="AA93" s="62"/>
      <c r="AB93" s="62"/>
      <c r="AC93" s="63"/>
      <c r="AD93" s="62"/>
      <c r="AE93" s="62"/>
      <c r="AF93" s="63"/>
      <c r="AG93" s="62"/>
      <c r="AH93" s="62"/>
      <c r="AI93" s="63"/>
    </row>
    <row r="94" spans="1:35" ht="22.05" customHeight="1">
      <c r="A94" s="64">
        <v>94</v>
      </c>
      <c r="B94" s="62" t="s">
        <v>71</v>
      </c>
      <c r="C94" s="62" t="s">
        <v>776</v>
      </c>
      <c r="D94" s="62" t="s">
        <v>777</v>
      </c>
      <c r="E94" s="62" t="s">
        <v>105</v>
      </c>
      <c r="F94" s="62" t="s">
        <v>144</v>
      </c>
      <c r="G94" s="62">
        <v>2</v>
      </c>
      <c r="H94" s="62" t="s">
        <v>776</v>
      </c>
      <c r="I94" s="62" t="s">
        <v>777</v>
      </c>
      <c r="J94" s="62" t="s">
        <v>172</v>
      </c>
      <c r="K94" s="62" t="s">
        <v>778</v>
      </c>
      <c r="L94" s="62" t="s">
        <v>779</v>
      </c>
      <c r="M94" s="63">
        <v>4.1700000000000001E-2</v>
      </c>
      <c r="N94" s="63">
        <v>0</v>
      </c>
      <c r="O94" s="63">
        <f t="shared" si="2"/>
        <v>8.3400000000000002E-2</v>
      </c>
      <c r="P94" s="85"/>
      <c r="Q94" s="85"/>
      <c r="R94" s="85"/>
      <c r="S94" s="85"/>
      <c r="T94" s="62">
        <v>28</v>
      </c>
      <c r="U94" s="62">
        <v>4000</v>
      </c>
      <c r="V94" s="62"/>
      <c r="W94" s="62"/>
      <c r="X94" s="67"/>
      <c r="Y94" s="62"/>
      <c r="Z94" s="62" t="s">
        <v>780</v>
      </c>
      <c r="AA94" s="62"/>
      <c r="AB94" s="62"/>
      <c r="AC94" s="63"/>
      <c r="AD94" s="62"/>
      <c r="AE94" s="62"/>
      <c r="AF94" s="63"/>
      <c r="AG94" s="62"/>
      <c r="AH94" s="62"/>
      <c r="AI94" s="63"/>
    </row>
    <row r="95" spans="1:35" ht="22.05" customHeight="1">
      <c r="A95" s="64">
        <v>95</v>
      </c>
      <c r="B95" s="62" t="s">
        <v>71</v>
      </c>
      <c r="C95" s="62" t="s">
        <v>781</v>
      </c>
      <c r="D95" s="62" t="s">
        <v>782</v>
      </c>
      <c r="E95" s="62" t="s">
        <v>105</v>
      </c>
      <c r="F95" s="62" t="s">
        <v>144</v>
      </c>
      <c r="G95" s="62">
        <v>9</v>
      </c>
      <c r="H95" s="62" t="s">
        <v>781</v>
      </c>
      <c r="I95" s="62" t="s">
        <v>782</v>
      </c>
      <c r="J95" s="62" t="s">
        <v>783</v>
      </c>
      <c r="K95" s="62" t="s">
        <v>784</v>
      </c>
      <c r="L95" s="62" t="s">
        <v>785</v>
      </c>
      <c r="M95" s="63">
        <v>9.4E-2</v>
      </c>
      <c r="N95" s="63">
        <v>0</v>
      </c>
      <c r="O95" s="63">
        <f t="shared" si="2"/>
        <v>0.84599999999999997</v>
      </c>
      <c r="P95" s="85"/>
      <c r="Q95" s="85"/>
      <c r="R95" s="85"/>
      <c r="S95" s="85"/>
      <c r="T95" s="62">
        <v>84</v>
      </c>
      <c r="U95" s="62">
        <v>1800</v>
      </c>
      <c r="V95" s="62"/>
      <c r="W95" s="62"/>
      <c r="X95" s="67"/>
      <c r="Y95" s="62"/>
      <c r="Z95" s="62" t="s">
        <v>786</v>
      </c>
      <c r="AA95" s="62"/>
      <c r="AB95" s="62"/>
      <c r="AC95" s="63"/>
      <c r="AD95" s="62"/>
      <c r="AE95" s="62"/>
      <c r="AF95" s="63"/>
      <c r="AG95" s="62"/>
      <c r="AH95" s="62"/>
      <c r="AI95" s="63"/>
    </row>
    <row r="96" spans="1:35" ht="22.05" customHeight="1">
      <c r="A96" s="64">
        <v>96</v>
      </c>
      <c r="B96" s="62" t="s">
        <v>71</v>
      </c>
      <c r="C96" s="62" t="s">
        <v>787</v>
      </c>
      <c r="D96" s="62" t="s">
        <v>788</v>
      </c>
      <c r="E96" s="62" t="s">
        <v>105</v>
      </c>
      <c r="F96" s="62" t="s">
        <v>157</v>
      </c>
      <c r="G96" s="62">
        <v>1</v>
      </c>
      <c r="H96" s="62" t="s">
        <v>787</v>
      </c>
      <c r="I96" s="62" t="s">
        <v>788</v>
      </c>
      <c r="J96" s="62" t="s">
        <v>789</v>
      </c>
      <c r="K96" s="62" t="s">
        <v>790</v>
      </c>
      <c r="L96" s="62" t="s">
        <v>791</v>
      </c>
      <c r="M96" s="63">
        <v>1.8</v>
      </c>
      <c r="N96" s="63">
        <v>0</v>
      </c>
      <c r="O96" s="63">
        <f t="shared" si="2"/>
        <v>1.8</v>
      </c>
      <c r="P96" s="85"/>
      <c r="Q96" s="85"/>
      <c r="R96" s="85"/>
      <c r="S96" s="85"/>
      <c r="T96" s="62">
        <v>56</v>
      </c>
      <c r="U96" s="62">
        <v>400</v>
      </c>
      <c r="V96" s="62"/>
      <c r="W96" s="62"/>
      <c r="X96" s="67"/>
      <c r="Y96" s="62"/>
      <c r="Z96" s="62" t="s">
        <v>792</v>
      </c>
      <c r="AA96" s="62"/>
      <c r="AB96" s="62"/>
      <c r="AC96" s="63"/>
      <c r="AD96" s="62"/>
      <c r="AE96" s="62"/>
      <c r="AF96" s="63"/>
      <c r="AG96" s="62"/>
      <c r="AH96" s="62"/>
      <c r="AI96" s="63"/>
    </row>
    <row r="97" spans="1:35" ht="22.05" customHeight="1">
      <c r="A97" s="64">
        <v>97</v>
      </c>
      <c r="B97" s="62" t="s">
        <v>71</v>
      </c>
      <c r="C97" s="62" t="s">
        <v>793</v>
      </c>
      <c r="D97" s="62" t="s">
        <v>794</v>
      </c>
      <c r="E97" s="62" t="s">
        <v>105</v>
      </c>
      <c r="F97" s="62" t="s">
        <v>144</v>
      </c>
      <c r="G97" s="62">
        <v>6</v>
      </c>
      <c r="H97" s="62" t="s">
        <v>793</v>
      </c>
      <c r="I97" s="62" t="s">
        <v>794</v>
      </c>
      <c r="J97" s="62" t="s">
        <v>789</v>
      </c>
      <c r="K97" s="62" t="s">
        <v>795</v>
      </c>
      <c r="L97" s="62" t="s">
        <v>796</v>
      </c>
      <c r="M97" s="63">
        <v>0.02</v>
      </c>
      <c r="N97" s="63">
        <v>0</v>
      </c>
      <c r="O97" s="63">
        <f t="shared" si="2"/>
        <v>0.12</v>
      </c>
      <c r="P97" s="85"/>
      <c r="Q97" s="85"/>
      <c r="R97" s="85"/>
      <c r="S97" s="85"/>
      <c r="T97" s="62">
        <v>56</v>
      </c>
      <c r="U97" s="62">
        <v>3000</v>
      </c>
      <c r="V97" s="62"/>
      <c r="W97" s="62"/>
      <c r="X97" s="67"/>
      <c r="Y97" s="62"/>
      <c r="Z97" s="62" t="s">
        <v>797</v>
      </c>
      <c r="AA97" s="62"/>
      <c r="AB97" s="62"/>
      <c r="AC97" s="63"/>
      <c r="AD97" s="62"/>
      <c r="AE97" s="62"/>
      <c r="AF97" s="63"/>
      <c r="AG97" s="62"/>
      <c r="AH97" s="62"/>
      <c r="AI97" s="63"/>
    </row>
    <row r="98" spans="1:35" ht="22.05" customHeight="1">
      <c r="A98" s="64">
        <v>98</v>
      </c>
      <c r="B98" s="62" t="s">
        <v>71</v>
      </c>
      <c r="C98" s="62" t="s">
        <v>798</v>
      </c>
      <c r="D98" s="62" t="s">
        <v>799</v>
      </c>
      <c r="E98" s="62" t="s">
        <v>105</v>
      </c>
      <c r="F98" s="62" t="s">
        <v>144</v>
      </c>
      <c r="G98" s="62">
        <v>9</v>
      </c>
      <c r="H98" s="62" t="s">
        <v>798</v>
      </c>
      <c r="I98" s="62" t="s">
        <v>799</v>
      </c>
      <c r="J98" s="62" t="s">
        <v>166</v>
      </c>
      <c r="K98" s="62" t="s">
        <v>167</v>
      </c>
      <c r="L98" s="62" t="s">
        <v>168</v>
      </c>
      <c r="M98" s="63">
        <v>0.02</v>
      </c>
      <c r="N98" s="63">
        <v>0</v>
      </c>
      <c r="O98" s="63">
        <f t="shared" si="2"/>
        <v>0.18</v>
      </c>
      <c r="P98" s="85"/>
      <c r="Q98" s="85"/>
      <c r="R98" s="85"/>
      <c r="S98" s="85"/>
      <c r="T98" s="62">
        <v>35</v>
      </c>
      <c r="U98" s="62">
        <v>1</v>
      </c>
      <c r="V98" s="62">
        <v>1</v>
      </c>
      <c r="W98" s="62"/>
      <c r="X98" s="67"/>
      <c r="Y98" s="62"/>
      <c r="Z98" s="62" t="s">
        <v>800</v>
      </c>
      <c r="AA98" s="62"/>
      <c r="AB98" s="62"/>
      <c r="AC98" s="63"/>
      <c r="AD98" s="62"/>
      <c r="AE98" s="62"/>
      <c r="AF98" s="63"/>
      <c r="AG98" s="62"/>
      <c r="AH98" s="62"/>
      <c r="AI98" s="63"/>
    </row>
    <row r="99" spans="1:35" ht="22.05" customHeight="1">
      <c r="A99" s="64">
        <v>99</v>
      </c>
      <c r="B99" s="62" t="s">
        <v>71</v>
      </c>
      <c r="C99" s="62" t="s">
        <v>801</v>
      </c>
      <c r="D99" s="62" t="s">
        <v>802</v>
      </c>
      <c r="E99" s="62" t="s">
        <v>105</v>
      </c>
      <c r="F99" s="62" t="s">
        <v>144</v>
      </c>
      <c r="G99" s="62">
        <v>3</v>
      </c>
      <c r="H99" s="65" t="s">
        <v>803</v>
      </c>
      <c r="I99" s="62" t="s">
        <v>804</v>
      </c>
      <c r="J99" s="62" t="s">
        <v>805</v>
      </c>
      <c r="K99" s="62" t="s">
        <v>806</v>
      </c>
      <c r="L99" s="62" t="s">
        <v>807</v>
      </c>
      <c r="M99" s="66">
        <v>0.13300000000000001</v>
      </c>
      <c r="N99" s="63">
        <v>0</v>
      </c>
      <c r="O99" s="63">
        <f t="shared" si="2"/>
        <v>0.39900000000000002</v>
      </c>
      <c r="P99" s="85"/>
      <c r="Q99" s="85"/>
      <c r="R99" s="85"/>
      <c r="S99" s="85"/>
      <c r="T99" s="62">
        <v>42</v>
      </c>
      <c r="U99" s="62">
        <v>3000</v>
      </c>
      <c r="V99" s="62">
        <v>3000</v>
      </c>
      <c r="W99" s="62"/>
      <c r="X99" s="67"/>
      <c r="Y99" s="62"/>
      <c r="Z99" s="62" t="s">
        <v>808</v>
      </c>
      <c r="AA99" s="62" t="s">
        <v>801</v>
      </c>
      <c r="AB99" s="62" t="s">
        <v>802</v>
      </c>
      <c r="AC99" s="63">
        <v>0.45</v>
      </c>
      <c r="AD99" s="62"/>
      <c r="AE99" s="62"/>
      <c r="AF99" s="63"/>
      <c r="AG99" s="62"/>
      <c r="AH99" s="62"/>
      <c r="AI99" s="63"/>
    </row>
    <row r="100" spans="1:35" ht="22.05" customHeight="1">
      <c r="A100" s="64">
        <v>100</v>
      </c>
      <c r="B100" s="62" t="s">
        <v>71</v>
      </c>
      <c r="C100" s="62" t="s">
        <v>809</v>
      </c>
      <c r="D100" s="62" t="s">
        <v>810</v>
      </c>
      <c r="E100" s="62" t="s">
        <v>105</v>
      </c>
      <c r="F100" s="62" t="s">
        <v>144</v>
      </c>
      <c r="G100" s="62">
        <v>1</v>
      </c>
      <c r="H100" s="62" t="s">
        <v>809</v>
      </c>
      <c r="I100" s="62" t="s">
        <v>810</v>
      </c>
      <c r="J100" s="62" t="s">
        <v>783</v>
      </c>
      <c r="K100" s="62" t="s">
        <v>811</v>
      </c>
      <c r="L100" s="62" t="s">
        <v>812</v>
      </c>
      <c r="M100" s="63">
        <v>0.2</v>
      </c>
      <c r="N100" s="63">
        <v>0</v>
      </c>
      <c r="O100" s="63">
        <f t="shared" si="2"/>
        <v>0.2</v>
      </c>
      <c r="P100" s="85"/>
      <c r="Q100" s="85"/>
      <c r="R100" s="85"/>
      <c r="S100" s="85"/>
      <c r="T100" s="62">
        <v>56</v>
      </c>
      <c r="U100" s="62">
        <v>3000</v>
      </c>
      <c r="V100" s="62"/>
      <c r="W100" s="62"/>
      <c r="X100" s="67"/>
      <c r="Y100" s="62"/>
      <c r="Z100" s="62" t="s">
        <v>813</v>
      </c>
      <c r="AA100" s="62" t="s">
        <v>814</v>
      </c>
      <c r="AB100" s="62" t="s">
        <v>815</v>
      </c>
      <c r="AC100" s="63">
        <v>0.28000000000000003</v>
      </c>
      <c r="AD100" s="62"/>
      <c r="AE100" s="62"/>
      <c r="AF100" s="63"/>
      <c r="AG100" s="62"/>
      <c r="AH100" s="62"/>
      <c r="AI100" s="63"/>
    </row>
    <row r="101" spans="1:35" ht="22.05" customHeight="1">
      <c r="A101" s="64">
        <v>101</v>
      </c>
      <c r="B101" s="62" t="s">
        <v>71</v>
      </c>
      <c r="C101" s="62" t="s">
        <v>816</v>
      </c>
      <c r="D101" s="62" t="s">
        <v>817</v>
      </c>
      <c r="E101" s="62" t="s">
        <v>105</v>
      </c>
      <c r="F101" s="62" t="s">
        <v>144</v>
      </c>
      <c r="G101" s="62">
        <v>6</v>
      </c>
      <c r="H101" s="62" t="s">
        <v>816</v>
      </c>
      <c r="I101" s="62" t="s">
        <v>818</v>
      </c>
      <c r="J101" s="62" t="s">
        <v>819</v>
      </c>
      <c r="K101" s="62" t="s">
        <v>234</v>
      </c>
      <c r="L101" s="62" t="s">
        <v>235</v>
      </c>
      <c r="M101" s="63">
        <v>9.2899999999999996E-2</v>
      </c>
      <c r="N101" s="63">
        <v>0</v>
      </c>
      <c r="O101" s="63">
        <f t="shared" si="2"/>
        <v>0.55740000000000001</v>
      </c>
      <c r="P101" s="85"/>
      <c r="Q101" s="85"/>
      <c r="R101" s="85"/>
      <c r="S101" s="85"/>
      <c r="T101" s="62">
        <v>56</v>
      </c>
      <c r="U101" s="62">
        <v>3000</v>
      </c>
      <c r="V101" s="62">
        <v>3000</v>
      </c>
      <c r="W101" s="62"/>
      <c r="X101" s="67"/>
      <c r="Y101" s="62"/>
      <c r="Z101" s="62" t="s">
        <v>820</v>
      </c>
      <c r="AA101" s="62"/>
      <c r="AB101" s="62"/>
      <c r="AC101" s="63"/>
      <c r="AD101" s="62"/>
      <c r="AE101" s="62"/>
      <c r="AF101" s="63"/>
      <c r="AG101" s="62"/>
      <c r="AH101" s="62"/>
      <c r="AI101" s="63"/>
    </row>
    <row r="102" spans="1:35" ht="22.05" customHeight="1">
      <c r="A102" s="64">
        <v>102</v>
      </c>
      <c r="B102" s="62" t="s">
        <v>71</v>
      </c>
      <c r="C102" s="62" t="s">
        <v>821</v>
      </c>
      <c r="D102" s="62" t="s">
        <v>822</v>
      </c>
      <c r="E102" s="62" t="s">
        <v>105</v>
      </c>
      <c r="F102" s="62" t="s">
        <v>144</v>
      </c>
      <c r="G102" s="62">
        <v>6</v>
      </c>
      <c r="H102" s="62" t="s">
        <v>821</v>
      </c>
      <c r="I102" s="62" t="s">
        <v>822</v>
      </c>
      <c r="J102" s="62" t="s">
        <v>823</v>
      </c>
      <c r="K102" s="62" t="s">
        <v>206</v>
      </c>
      <c r="L102" s="62" t="s">
        <v>207</v>
      </c>
      <c r="M102" s="63">
        <v>8.8499999999999995E-2</v>
      </c>
      <c r="N102" s="63">
        <v>0</v>
      </c>
      <c r="O102" s="63">
        <f t="shared" si="2"/>
        <v>0.53099999999999992</v>
      </c>
      <c r="P102" s="85"/>
      <c r="Q102" s="85"/>
      <c r="R102" s="85"/>
      <c r="S102" s="85"/>
      <c r="T102" s="62">
        <v>56</v>
      </c>
      <c r="U102" s="62">
        <v>0</v>
      </c>
      <c r="V102" s="62">
        <v>3000</v>
      </c>
      <c r="W102" s="62"/>
      <c r="X102" s="67"/>
      <c r="Y102" s="62"/>
      <c r="Z102" s="62" t="s">
        <v>824</v>
      </c>
      <c r="AA102" s="62"/>
      <c r="AB102" s="62"/>
      <c r="AC102" s="63"/>
      <c r="AD102" s="62"/>
      <c r="AE102" s="62"/>
      <c r="AF102" s="63"/>
      <c r="AG102" s="62"/>
      <c r="AH102" s="62"/>
      <c r="AI102" s="63"/>
    </row>
    <row r="103" spans="1:35" ht="22.05" customHeight="1">
      <c r="A103" s="64">
        <v>103</v>
      </c>
      <c r="B103" s="62" t="s">
        <v>71</v>
      </c>
      <c r="C103" s="62" t="s">
        <v>825</v>
      </c>
      <c r="D103" s="62" t="s">
        <v>826</v>
      </c>
      <c r="E103" s="62" t="s">
        <v>105</v>
      </c>
      <c r="F103" s="62" t="s">
        <v>144</v>
      </c>
      <c r="G103" s="62">
        <v>2</v>
      </c>
      <c r="H103" s="62" t="s">
        <v>825</v>
      </c>
      <c r="I103" s="62" t="s">
        <v>826</v>
      </c>
      <c r="J103" s="62" t="s">
        <v>823</v>
      </c>
      <c r="K103" s="62" t="s">
        <v>641</v>
      </c>
      <c r="L103" s="62" t="s">
        <v>235</v>
      </c>
      <c r="M103" s="63">
        <v>0.33250000000000002</v>
      </c>
      <c r="N103" s="63">
        <v>0</v>
      </c>
      <c r="O103" s="63">
        <f t="shared" si="2"/>
        <v>0.66500000000000004</v>
      </c>
      <c r="P103" s="85"/>
      <c r="Q103" s="85"/>
      <c r="R103" s="85"/>
      <c r="S103" s="85"/>
      <c r="T103" s="62">
        <v>56</v>
      </c>
      <c r="U103" s="62">
        <v>0</v>
      </c>
      <c r="V103" s="62">
        <v>3000</v>
      </c>
      <c r="W103" s="62"/>
      <c r="X103" s="67"/>
      <c r="Y103" s="62"/>
      <c r="Z103" s="62" t="s">
        <v>827</v>
      </c>
      <c r="AA103" s="62"/>
      <c r="AB103" s="62"/>
      <c r="AC103" s="63"/>
      <c r="AD103" s="62"/>
      <c r="AE103" s="62"/>
      <c r="AF103" s="63"/>
      <c r="AG103" s="62"/>
      <c r="AH103" s="62"/>
      <c r="AI103" s="63"/>
    </row>
    <row r="104" spans="1:35" ht="22.05" customHeight="1">
      <c r="A104" s="64">
        <v>104</v>
      </c>
      <c r="B104" s="62" t="s">
        <v>71</v>
      </c>
      <c r="C104" s="62" t="s">
        <v>828</v>
      </c>
      <c r="D104" s="62" t="s">
        <v>829</v>
      </c>
      <c r="E104" s="62" t="s">
        <v>105</v>
      </c>
      <c r="F104" s="62" t="s">
        <v>144</v>
      </c>
      <c r="G104" s="62">
        <v>2</v>
      </c>
      <c r="H104" s="65" t="s">
        <v>830</v>
      </c>
      <c r="I104" s="62" t="s">
        <v>831</v>
      </c>
      <c r="J104" s="62" t="s">
        <v>823</v>
      </c>
      <c r="K104" s="62" t="s">
        <v>641</v>
      </c>
      <c r="L104" s="62" t="s">
        <v>235</v>
      </c>
      <c r="M104" s="63">
        <v>7.9000000000000001E-2</v>
      </c>
      <c r="N104" s="63">
        <v>0</v>
      </c>
      <c r="O104" s="63">
        <f t="shared" si="2"/>
        <v>0.158</v>
      </c>
      <c r="P104" s="85"/>
      <c r="Q104" s="85"/>
      <c r="R104" s="85"/>
      <c r="S104" s="85"/>
      <c r="T104" s="62">
        <v>70</v>
      </c>
      <c r="U104" s="62">
        <v>0</v>
      </c>
      <c r="V104" s="62">
        <v>3000</v>
      </c>
      <c r="W104" s="62"/>
      <c r="X104" s="67"/>
      <c r="Y104" s="62"/>
      <c r="Z104" s="62" t="s">
        <v>832</v>
      </c>
      <c r="AA104" s="62" t="s">
        <v>833</v>
      </c>
      <c r="AB104" s="62" t="s">
        <v>834</v>
      </c>
      <c r="AC104" s="66">
        <v>0.53650500000000001</v>
      </c>
      <c r="AD104" s="62" t="s">
        <v>835</v>
      </c>
      <c r="AE104" s="62" t="s">
        <v>836</v>
      </c>
      <c r="AF104" s="66">
        <v>0.81699999999999995</v>
      </c>
      <c r="AG104" s="62"/>
      <c r="AH104" s="62"/>
      <c r="AI104" s="63"/>
    </row>
    <row r="105" spans="1:35" ht="22.05" customHeight="1">
      <c r="A105" s="64">
        <v>105</v>
      </c>
      <c r="B105" s="62" t="s">
        <v>71</v>
      </c>
      <c r="C105" s="62" t="s">
        <v>837</v>
      </c>
      <c r="D105" s="62" t="s">
        <v>838</v>
      </c>
      <c r="E105" s="62" t="s">
        <v>105</v>
      </c>
      <c r="F105" s="62" t="s">
        <v>144</v>
      </c>
      <c r="G105" s="62">
        <v>1</v>
      </c>
      <c r="H105" s="62" t="s">
        <v>837</v>
      </c>
      <c r="I105" s="62" t="s">
        <v>838</v>
      </c>
      <c r="J105" s="62" t="s">
        <v>823</v>
      </c>
      <c r="K105" s="62" t="s">
        <v>839</v>
      </c>
      <c r="L105" s="62" t="s">
        <v>840</v>
      </c>
      <c r="M105" s="63">
        <v>4.8000000000000001E-2</v>
      </c>
      <c r="N105" s="63">
        <v>0</v>
      </c>
      <c r="O105" s="63">
        <f t="shared" si="2"/>
        <v>4.8000000000000001E-2</v>
      </c>
      <c r="P105" s="85"/>
      <c r="Q105" s="85"/>
      <c r="R105" s="85"/>
      <c r="S105" s="85"/>
      <c r="T105" s="62">
        <v>56</v>
      </c>
      <c r="U105" s="62">
        <v>0</v>
      </c>
      <c r="V105" s="62">
        <v>3000</v>
      </c>
      <c r="W105" s="62"/>
      <c r="X105" s="67"/>
      <c r="Y105" s="62"/>
      <c r="Z105" s="62" t="s">
        <v>841</v>
      </c>
      <c r="AA105" s="62" t="s">
        <v>842</v>
      </c>
      <c r="AB105" s="62" t="s">
        <v>843</v>
      </c>
      <c r="AC105" s="66">
        <v>0.104</v>
      </c>
      <c r="AD105" s="62"/>
      <c r="AE105" s="62"/>
      <c r="AF105" s="63"/>
      <c r="AG105" s="62"/>
      <c r="AH105" s="62"/>
      <c r="AI105" s="63"/>
    </row>
    <row r="106" spans="1:35" ht="22.05" customHeight="1">
      <c r="A106" s="64">
        <v>106</v>
      </c>
      <c r="B106" s="62" t="s">
        <v>71</v>
      </c>
      <c r="C106" s="62" t="s">
        <v>844</v>
      </c>
      <c r="D106" s="62" t="s">
        <v>845</v>
      </c>
      <c r="E106" s="62" t="s">
        <v>105</v>
      </c>
      <c r="F106" s="62" t="s">
        <v>144</v>
      </c>
      <c r="G106" s="62">
        <v>3</v>
      </c>
      <c r="H106" s="62" t="s">
        <v>844</v>
      </c>
      <c r="I106" s="62" t="s">
        <v>845</v>
      </c>
      <c r="J106" s="62" t="s">
        <v>166</v>
      </c>
      <c r="K106" s="62" t="s">
        <v>727</v>
      </c>
      <c r="L106" s="62" t="s">
        <v>728</v>
      </c>
      <c r="M106" s="63">
        <v>2.46E-2</v>
      </c>
      <c r="N106" s="63">
        <v>0</v>
      </c>
      <c r="O106" s="63">
        <f t="shared" si="2"/>
        <v>7.3800000000000004E-2</v>
      </c>
      <c r="P106" s="85"/>
      <c r="Q106" s="85"/>
      <c r="R106" s="85"/>
      <c r="S106" s="85"/>
      <c r="T106" s="62">
        <v>35</v>
      </c>
      <c r="U106" s="62">
        <v>1</v>
      </c>
      <c r="V106" s="62">
        <v>1</v>
      </c>
      <c r="W106" s="62"/>
      <c r="X106" s="67"/>
      <c r="Y106" s="62"/>
      <c r="Z106" s="62" t="s">
        <v>846</v>
      </c>
      <c r="AA106" s="62"/>
      <c r="AB106" s="62"/>
      <c r="AC106" s="63"/>
      <c r="AD106" s="62"/>
      <c r="AE106" s="62"/>
      <c r="AF106" s="63"/>
      <c r="AG106" s="62"/>
      <c r="AH106" s="62"/>
      <c r="AI106" s="63"/>
    </row>
    <row r="107" spans="1:35" ht="22.05" customHeight="1">
      <c r="A107" s="64">
        <v>107</v>
      </c>
      <c r="B107" s="62" t="s">
        <v>71</v>
      </c>
      <c r="C107" s="62" t="s">
        <v>847</v>
      </c>
      <c r="D107" s="62" t="s">
        <v>2128</v>
      </c>
      <c r="E107" s="62" t="s">
        <v>105</v>
      </c>
      <c r="F107" s="62" t="s">
        <v>144</v>
      </c>
      <c r="G107" s="62">
        <v>2</v>
      </c>
      <c r="H107" s="62" t="s">
        <v>847</v>
      </c>
      <c r="I107" s="62" t="s">
        <v>2128</v>
      </c>
      <c r="J107" s="62" t="s">
        <v>726</v>
      </c>
      <c r="K107" s="62" t="s">
        <v>727</v>
      </c>
      <c r="L107" s="62" t="s">
        <v>728</v>
      </c>
      <c r="M107" s="71">
        <v>5.9485999999999999</v>
      </c>
      <c r="N107" s="63">
        <v>0</v>
      </c>
      <c r="O107" s="71">
        <f t="shared" si="2"/>
        <v>11.8972</v>
      </c>
      <c r="P107" s="85"/>
      <c r="Q107" s="85"/>
      <c r="R107" s="85"/>
      <c r="S107" s="85"/>
      <c r="T107" s="62">
        <v>1</v>
      </c>
      <c r="U107" s="62">
        <v>1</v>
      </c>
      <c r="V107" s="62">
        <v>0</v>
      </c>
      <c r="W107" s="62"/>
      <c r="X107" s="67"/>
      <c r="Y107" s="62"/>
      <c r="Z107" s="62" t="s">
        <v>848</v>
      </c>
      <c r="AA107" s="62"/>
      <c r="AB107" s="62"/>
      <c r="AC107" s="63"/>
      <c r="AD107" s="62"/>
      <c r="AE107" s="62"/>
      <c r="AF107" s="63"/>
      <c r="AG107" s="62"/>
      <c r="AH107" s="62"/>
      <c r="AI107" s="63"/>
    </row>
    <row r="108" spans="1:35" ht="22.05" customHeight="1">
      <c r="A108" s="64">
        <v>108</v>
      </c>
      <c r="B108" s="62" t="s">
        <v>71</v>
      </c>
      <c r="C108" s="62" t="s">
        <v>849</v>
      </c>
      <c r="D108" s="62" t="s">
        <v>850</v>
      </c>
      <c r="E108" s="62" t="s">
        <v>105</v>
      </c>
      <c r="F108" s="62" t="s">
        <v>144</v>
      </c>
      <c r="G108" s="62">
        <v>2</v>
      </c>
      <c r="H108" s="62" t="s">
        <v>849</v>
      </c>
      <c r="I108" s="62" t="s">
        <v>850</v>
      </c>
      <c r="J108" s="62" t="s">
        <v>851</v>
      </c>
      <c r="K108" s="62"/>
      <c r="L108" s="69" t="s">
        <v>602</v>
      </c>
      <c r="M108" s="79">
        <v>0</v>
      </c>
      <c r="N108" s="63">
        <v>0</v>
      </c>
      <c r="O108" s="63">
        <f t="shared" si="2"/>
        <v>0</v>
      </c>
      <c r="P108" s="85"/>
      <c r="Q108" s="85"/>
      <c r="R108" s="85"/>
      <c r="S108" s="85"/>
      <c r="T108" s="62">
        <v>0</v>
      </c>
      <c r="U108" s="62"/>
      <c r="V108" s="62"/>
      <c r="W108" s="62"/>
      <c r="X108" s="69" t="s">
        <v>603</v>
      </c>
      <c r="Y108" s="62" t="s">
        <v>150</v>
      </c>
      <c r="Z108" s="62" t="s">
        <v>852</v>
      </c>
      <c r="AA108" s="62"/>
      <c r="AB108" s="62"/>
      <c r="AC108" s="63"/>
      <c r="AD108" s="62"/>
      <c r="AE108" s="62"/>
      <c r="AF108" s="63"/>
      <c r="AG108" s="62"/>
      <c r="AH108" s="62"/>
      <c r="AI108" s="63"/>
    </row>
    <row r="109" spans="1:35" ht="22.05" customHeight="1">
      <c r="A109" s="64">
        <v>109</v>
      </c>
      <c r="B109" s="62" t="s">
        <v>71</v>
      </c>
      <c r="C109" s="62" t="s">
        <v>853</v>
      </c>
      <c r="D109" s="62" t="s">
        <v>854</v>
      </c>
      <c r="E109" s="62" t="s">
        <v>105</v>
      </c>
      <c r="F109" s="62" t="s">
        <v>144</v>
      </c>
      <c r="G109" s="62">
        <v>1</v>
      </c>
      <c r="H109" s="62" t="s">
        <v>853</v>
      </c>
      <c r="I109" s="62" t="s">
        <v>854</v>
      </c>
      <c r="J109" s="62" t="s">
        <v>166</v>
      </c>
      <c r="K109" s="62" t="s">
        <v>855</v>
      </c>
      <c r="L109" s="62" t="s">
        <v>856</v>
      </c>
      <c r="M109" s="63">
        <v>0.24152599999999999</v>
      </c>
      <c r="N109" s="63">
        <v>0</v>
      </c>
      <c r="O109" s="63">
        <f t="shared" si="2"/>
        <v>0.24152599999999999</v>
      </c>
      <c r="P109" s="85"/>
      <c r="Q109" s="85"/>
      <c r="R109" s="85"/>
      <c r="S109" s="85"/>
      <c r="T109" s="62">
        <v>140</v>
      </c>
      <c r="U109" s="62">
        <v>3000</v>
      </c>
      <c r="V109" s="62">
        <v>3000</v>
      </c>
      <c r="W109" s="62"/>
      <c r="X109" s="67"/>
      <c r="Y109" s="62"/>
      <c r="Z109" s="62" t="s">
        <v>857</v>
      </c>
      <c r="AA109" s="62"/>
      <c r="AB109" s="62"/>
      <c r="AC109" s="63"/>
      <c r="AD109" s="62"/>
      <c r="AE109" s="62"/>
      <c r="AF109" s="63"/>
      <c r="AG109" s="62"/>
      <c r="AH109" s="62"/>
      <c r="AI109" s="63"/>
    </row>
    <row r="110" spans="1:35" ht="22.05" customHeight="1">
      <c r="A110" s="64">
        <v>110</v>
      </c>
      <c r="B110" s="62" t="s">
        <v>71</v>
      </c>
      <c r="C110" s="62" t="s">
        <v>858</v>
      </c>
      <c r="D110" s="62" t="s">
        <v>859</v>
      </c>
      <c r="E110" s="62" t="s">
        <v>105</v>
      </c>
      <c r="F110" s="62" t="s">
        <v>144</v>
      </c>
      <c r="G110" s="62">
        <v>1</v>
      </c>
      <c r="H110" s="62" t="s">
        <v>858</v>
      </c>
      <c r="I110" s="62" t="s">
        <v>859</v>
      </c>
      <c r="J110" s="62" t="s">
        <v>166</v>
      </c>
      <c r="K110" s="62" t="s">
        <v>206</v>
      </c>
      <c r="L110" s="62" t="s">
        <v>207</v>
      </c>
      <c r="M110" s="63">
        <v>0.26700000000000002</v>
      </c>
      <c r="N110" s="63">
        <v>0</v>
      </c>
      <c r="O110" s="63">
        <f t="shared" si="2"/>
        <v>0.26700000000000002</v>
      </c>
      <c r="P110" s="85"/>
      <c r="Q110" s="85"/>
      <c r="R110" s="85"/>
      <c r="S110" s="85"/>
      <c r="T110" s="62">
        <v>70</v>
      </c>
      <c r="U110" s="62">
        <v>2500</v>
      </c>
      <c r="V110" s="62">
        <v>2500</v>
      </c>
      <c r="W110" s="62"/>
      <c r="X110" s="67"/>
      <c r="Y110" s="62"/>
      <c r="Z110" s="62" t="s">
        <v>860</v>
      </c>
      <c r="AA110" s="62"/>
      <c r="AB110" s="62"/>
      <c r="AC110" s="63"/>
      <c r="AD110" s="62"/>
      <c r="AE110" s="62"/>
      <c r="AF110" s="63"/>
      <c r="AG110" s="62"/>
      <c r="AH110" s="62"/>
      <c r="AI110" s="63"/>
    </row>
    <row r="111" spans="1:35" ht="22.05" customHeight="1">
      <c r="A111" s="64">
        <v>111</v>
      </c>
      <c r="B111" s="62" t="s">
        <v>71</v>
      </c>
      <c r="C111" s="62" t="s">
        <v>861</v>
      </c>
      <c r="D111" s="62" t="s">
        <v>862</v>
      </c>
      <c r="E111" s="62" t="s">
        <v>105</v>
      </c>
      <c r="F111" s="62" t="s">
        <v>144</v>
      </c>
      <c r="G111" s="62">
        <v>2</v>
      </c>
      <c r="H111" s="62" t="s">
        <v>861</v>
      </c>
      <c r="I111" s="62" t="s">
        <v>862</v>
      </c>
      <c r="J111" s="62" t="s">
        <v>726</v>
      </c>
      <c r="K111" s="62" t="s">
        <v>727</v>
      </c>
      <c r="L111" s="62" t="s">
        <v>728</v>
      </c>
      <c r="M111" s="63">
        <v>0.60389999999999999</v>
      </c>
      <c r="N111" s="63">
        <v>0</v>
      </c>
      <c r="O111" s="63">
        <f t="shared" si="2"/>
        <v>1.2078</v>
      </c>
      <c r="P111" s="85"/>
      <c r="Q111" s="85"/>
      <c r="R111" s="85"/>
      <c r="S111" s="85"/>
      <c r="T111" s="62">
        <v>7</v>
      </c>
      <c r="U111" s="62">
        <v>1</v>
      </c>
      <c r="V111" s="62">
        <v>1</v>
      </c>
      <c r="W111" s="62"/>
      <c r="X111" s="67"/>
      <c r="Y111" s="62"/>
      <c r="Z111" s="62" t="s">
        <v>863</v>
      </c>
      <c r="AA111" s="62"/>
      <c r="AB111" s="62"/>
      <c r="AC111" s="63"/>
      <c r="AD111" s="62"/>
      <c r="AE111" s="62"/>
      <c r="AF111" s="63"/>
      <c r="AG111" s="62"/>
      <c r="AH111" s="62"/>
      <c r="AI111" s="63"/>
    </row>
    <row r="112" spans="1:35" ht="22.05" customHeight="1">
      <c r="A112" s="64">
        <v>112</v>
      </c>
      <c r="B112" s="62" t="s">
        <v>71</v>
      </c>
      <c r="C112" s="62" t="s">
        <v>864</v>
      </c>
      <c r="D112" s="62" t="s">
        <v>865</v>
      </c>
      <c r="E112" s="62" t="s">
        <v>105</v>
      </c>
      <c r="F112" s="62" t="s">
        <v>144</v>
      </c>
      <c r="G112" s="62">
        <v>1</v>
      </c>
      <c r="H112" s="62" t="s">
        <v>864</v>
      </c>
      <c r="I112" s="62" t="s">
        <v>865</v>
      </c>
      <c r="J112" s="62" t="s">
        <v>866</v>
      </c>
      <c r="K112" s="62" t="s">
        <v>855</v>
      </c>
      <c r="L112" s="62" t="s">
        <v>856</v>
      </c>
      <c r="M112" s="63">
        <v>0.67884599999999995</v>
      </c>
      <c r="N112" s="63">
        <v>0</v>
      </c>
      <c r="O112" s="63">
        <f t="shared" si="2"/>
        <v>0.67884599999999995</v>
      </c>
      <c r="P112" s="85"/>
      <c r="Q112" s="85"/>
      <c r="R112" s="85"/>
      <c r="S112" s="85"/>
      <c r="T112" s="62">
        <v>196</v>
      </c>
      <c r="U112" s="62">
        <v>5000</v>
      </c>
      <c r="V112" s="62">
        <v>1</v>
      </c>
      <c r="W112" s="62"/>
      <c r="X112" s="67"/>
      <c r="Y112" s="62"/>
      <c r="Z112" s="62" t="s">
        <v>867</v>
      </c>
      <c r="AA112" s="62"/>
      <c r="AB112" s="62"/>
      <c r="AC112" s="63"/>
      <c r="AD112" s="62"/>
      <c r="AE112" s="62"/>
      <c r="AF112" s="63"/>
      <c r="AG112" s="62"/>
      <c r="AH112" s="62"/>
      <c r="AI112" s="63"/>
    </row>
    <row r="113" spans="1:35" ht="22.05" customHeight="1">
      <c r="A113" s="64">
        <v>113</v>
      </c>
      <c r="B113" s="62" t="s">
        <v>71</v>
      </c>
      <c r="C113" s="62" t="s">
        <v>868</v>
      </c>
      <c r="D113" s="62" t="s">
        <v>869</v>
      </c>
      <c r="E113" s="62" t="s">
        <v>105</v>
      </c>
      <c r="F113" s="62" t="s">
        <v>144</v>
      </c>
      <c r="G113" s="62">
        <v>1</v>
      </c>
      <c r="H113" s="62" t="s">
        <v>868</v>
      </c>
      <c r="I113" s="62" t="s">
        <v>870</v>
      </c>
      <c r="J113" s="62" t="s">
        <v>543</v>
      </c>
      <c r="K113" s="62" t="s">
        <v>871</v>
      </c>
      <c r="L113" s="62" t="s">
        <v>872</v>
      </c>
      <c r="M113" s="71">
        <v>0.51880000000000004</v>
      </c>
      <c r="N113" s="63">
        <v>0</v>
      </c>
      <c r="O113" s="71">
        <f t="shared" si="2"/>
        <v>0.51880000000000004</v>
      </c>
      <c r="P113" s="85"/>
      <c r="Q113" s="85"/>
      <c r="R113" s="85"/>
      <c r="S113" s="85"/>
      <c r="T113" s="62">
        <v>126</v>
      </c>
      <c r="U113" s="62">
        <v>3000</v>
      </c>
      <c r="V113" s="62">
        <v>3000</v>
      </c>
      <c r="W113" s="62"/>
      <c r="X113" s="67"/>
      <c r="Y113" s="62"/>
      <c r="Z113" s="62" t="s">
        <v>873</v>
      </c>
      <c r="AA113" s="62"/>
      <c r="AB113" s="62"/>
      <c r="AC113" s="63"/>
      <c r="AD113" s="62"/>
      <c r="AE113" s="62"/>
      <c r="AF113" s="63"/>
      <c r="AG113" s="62"/>
      <c r="AH113" s="62"/>
      <c r="AI113" s="63"/>
    </row>
    <row r="114" spans="1:35" ht="22.05" customHeight="1">
      <c r="A114" s="64">
        <v>114</v>
      </c>
      <c r="B114" s="62" t="s">
        <v>71</v>
      </c>
      <c r="C114" s="62" t="s">
        <v>874</v>
      </c>
      <c r="D114" s="62" t="s">
        <v>875</v>
      </c>
      <c r="E114" s="62" t="s">
        <v>105</v>
      </c>
      <c r="F114" s="62" t="s">
        <v>144</v>
      </c>
      <c r="G114" s="62">
        <v>1</v>
      </c>
      <c r="H114" s="62" t="s">
        <v>874</v>
      </c>
      <c r="I114" s="62" t="s">
        <v>875</v>
      </c>
      <c r="J114" s="62" t="s">
        <v>851</v>
      </c>
      <c r="K114" s="62"/>
      <c r="L114" s="69" t="s">
        <v>602</v>
      </c>
      <c r="M114" s="79">
        <v>0</v>
      </c>
      <c r="N114" s="63">
        <v>0</v>
      </c>
      <c r="O114" s="63">
        <f t="shared" si="2"/>
        <v>0</v>
      </c>
      <c r="P114" s="85"/>
      <c r="Q114" s="85"/>
      <c r="R114" s="85"/>
      <c r="S114" s="85"/>
      <c r="T114" s="62">
        <v>0</v>
      </c>
      <c r="U114" s="62"/>
      <c r="V114" s="62"/>
      <c r="W114" s="62"/>
      <c r="X114" s="69" t="s">
        <v>603</v>
      </c>
      <c r="Y114" s="62" t="s">
        <v>150</v>
      </c>
      <c r="Z114" s="62" t="s">
        <v>876</v>
      </c>
      <c r="AA114" s="62"/>
      <c r="AB114" s="62"/>
      <c r="AC114" s="63"/>
      <c r="AD114" s="62"/>
      <c r="AE114" s="62"/>
      <c r="AF114" s="63"/>
      <c r="AG114" s="62"/>
      <c r="AH114" s="62"/>
      <c r="AI114" s="63"/>
    </row>
    <row r="115" spans="1:35" ht="22.05" customHeight="1">
      <c r="A115" s="64">
        <v>115</v>
      </c>
      <c r="B115" s="62" t="s">
        <v>71</v>
      </c>
      <c r="C115" s="62" t="s">
        <v>877</v>
      </c>
      <c r="D115" s="62" t="s">
        <v>2136</v>
      </c>
      <c r="E115" s="62" t="s">
        <v>105</v>
      </c>
      <c r="F115" s="62" t="s">
        <v>144</v>
      </c>
      <c r="G115" s="62">
        <v>1</v>
      </c>
      <c r="H115" s="62" t="s">
        <v>877</v>
      </c>
      <c r="I115" s="62" t="s">
        <v>878</v>
      </c>
      <c r="J115" s="62" t="s">
        <v>866</v>
      </c>
      <c r="K115" s="62" t="s">
        <v>879</v>
      </c>
      <c r="L115" s="62" t="s">
        <v>880</v>
      </c>
      <c r="M115" s="63">
        <v>0.78100000000000003</v>
      </c>
      <c r="N115" s="63">
        <v>0</v>
      </c>
      <c r="O115" s="63">
        <f t="shared" si="2"/>
        <v>0.78100000000000003</v>
      </c>
      <c r="P115" s="85"/>
      <c r="Q115" s="85"/>
      <c r="R115" s="85"/>
      <c r="S115" s="85"/>
      <c r="T115" s="62">
        <v>70</v>
      </c>
      <c r="U115" s="62">
        <v>3000</v>
      </c>
      <c r="V115" s="62">
        <v>3000</v>
      </c>
      <c r="W115" s="62"/>
      <c r="X115" s="67"/>
      <c r="Y115" s="62"/>
      <c r="Z115" s="62" t="s">
        <v>881</v>
      </c>
      <c r="AA115" s="62"/>
      <c r="AB115" s="62"/>
      <c r="AC115" s="63"/>
      <c r="AD115" s="62"/>
      <c r="AE115" s="62"/>
      <c r="AF115" s="63"/>
      <c r="AG115" s="62"/>
      <c r="AH115" s="62"/>
      <c r="AI115" s="63"/>
    </row>
    <row r="116" spans="1:35" ht="22.05" customHeight="1">
      <c r="A116" s="64">
        <v>116</v>
      </c>
      <c r="B116" s="62" t="s">
        <v>71</v>
      </c>
      <c r="C116" s="62" t="s">
        <v>882</v>
      </c>
      <c r="D116" s="62" t="s">
        <v>883</v>
      </c>
      <c r="E116" s="62" t="s">
        <v>105</v>
      </c>
      <c r="F116" s="62" t="s">
        <v>144</v>
      </c>
      <c r="G116" s="62">
        <v>1</v>
      </c>
      <c r="H116" s="62" t="s">
        <v>882</v>
      </c>
      <c r="I116" s="62" t="s">
        <v>884</v>
      </c>
      <c r="J116" s="62" t="s">
        <v>543</v>
      </c>
      <c r="K116" s="62" t="s">
        <v>885</v>
      </c>
      <c r="L116" s="62" t="s">
        <v>880</v>
      </c>
      <c r="M116" s="79">
        <v>0.15670000000000001</v>
      </c>
      <c r="N116" s="63">
        <v>0</v>
      </c>
      <c r="O116" s="63">
        <f t="shared" si="2"/>
        <v>0.15670000000000001</v>
      </c>
      <c r="P116" s="85"/>
      <c r="Q116" s="85"/>
      <c r="R116" s="85"/>
      <c r="S116" s="85"/>
      <c r="T116" s="62">
        <v>42</v>
      </c>
      <c r="U116" s="62">
        <v>24000</v>
      </c>
      <c r="V116" s="62">
        <v>3000</v>
      </c>
      <c r="W116" s="62"/>
      <c r="X116" s="67"/>
      <c r="Y116" s="62" t="s">
        <v>150</v>
      </c>
      <c r="Z116" s="62" t="s">
        <v>886</v>
      </c>
      <c r="AA116" s="62"/>
      <c r="AB116" s="62"/>
      <c r="AC116" s="63"/>
      <c r="AD116" s="62"/>
      <c r="AE116" s="62"/>
      <c r="AF116" s="63"/>
      <c r="AG116" s="62"/>
      <c r="AH116" s="62"/>
      <c r="AI116" s="63"/>
    </row>
    <row r="117" spans="1:35" ht="22.05" customHeight="1">
      <c r="A117" s="64">
        <v>117</v>
      </c>
      <c r="B117" s="62" t="s">
        <v>71</v>
      </c>
      <c r="C117" s="62" t="s">
        <v>887</v>
      </c>
      <c r="D117" s="62" t="s">
        <v>888</v>
      </c>
      <c r="E117" s="62" t="s">
        <v>105</v>
      </c>
      <c r="F117" s="62" t="s">
        <v>144</v>
      </c>
      <c r="G117" s="62">
        <v>3</v>
      </c>
      <c r="H117" s="62" t="s">
        <v>887</v>
      </c>
      <c r="I117" s="62" t="s">
        <v>889</v>
      </c>
      <c r="J117" s="62" t="s">
        <v>890</v>
      </c>
      <c r="K117" s="62" t="s">
        <v>891</v>
      </c>
      <c r="L117" s="62" t="s">
        <v>892</v>
      </c>
      <c r="M117" s="71">
        <v>2.965487</v>
      </c>
      <c r="N117" s="71">
        <v>0</v>
      </c>
      <c r="O117" s="71">
        <f t="shared" si="2"/>
        <v>8.8964610000000004</v>
      </c>
      <c r="P117" s="85"/>
      <c r="Q117" s="85"/>
      <c r="R117" s="85"/>
      <c r="S117" s="85"/>
      <c r="T117" s="62">
        <v>140</v>
      </c>
      <c r="U117" s="62">
        <v>0</v>
      </c>
      <c r="V117" s="62">
        <v>20000</v>
      </c>
      <c r="W117" s="62"/>
      <c r="X117" s="67"/>
      <c r="Y117" s="62"/>
      <c r="Z117" s="62" t="s">
        <v>893</v>
      </c>
      <c r="AA117" s="62"/>
      <c r="AB117" s="62"/>
      <c r="AC117" s="63"/>
      <c r="AD117" s="62"/>
      <c r="AE117" s="62"/>
      <c r="AF117" s="63"/>
      <c r="AG117" s="62"/>
      <c r="AH117" s="62"/>
      <c r="AI117" s="63"/>
    </row>
    <row r="118" spans="1:35" ht="22.05" customHeight="1">
      <c r="A118" s="64">
        <v>118</v>
      </c>
      <c r="B118" s="62" t="s">
        <v>71</v>
      </c>
      <c r="C118" s="62" t="s">
        <v>894</v>
      </c>
      <c r="D118" s="62" t="s">
        <v>895</v>
      </c>
      <c r="E118" s="62" t="s">
        <v>105</v>
      </c>
      <c r="F118" s="62" t="s">
        <v>144</v>
      </c>
      <c r="G118" s="62">
        <v>6</v>
      </c>
      <c r="H118" s="62" t="s">
        <v>894</v>
      </c>
      <c r="I118" s="62" t="s">
        <v>895</v>
      </c>
      <c r="J118" s="62" t="s">
        <v>851</v>
      </c>
      <c r="K118" s="62"/>
      <c r="L118" s="69" t="s">
        <v>602</v>
      </c>
      <c r="M118" s="79">
        <v>0</v>
      </c>
      <c r="N118" s="63">
        <v>0</v>
      </c>
      <c r="O118" s="63">
        <f t="shared" si="2"/>
        <v>0</v>
      </c>
      <c r="P118" s="85"/>
      <c r="Q118" s="85"/>
      <c r="R118" s="85"/>
      <c r="S118" s="85"/>
      <c r="T118" s="62">
        <v>0</v>
      </c>
      <c r="U118" s="62"/>
      <c r="V118" s="62"/>
      <c r="W118" s="62"/>
      <c r="X118" s="69" t="s">
        <v>603</v>
      </c>
      <c r="Y118" s="62" t="s">
        <v>150</v>
      </c>
      <c r="Z118" s="62" t="s">
        <v>896</v>
      </c>
      <c r="AA118" s="62"/>
      <c r="AB118" s="62"/>
      <c r="AC118" s="63"/>
      <c r="AD118" s="62"/>
      <c r="AE118" s="62"/>
      <c r="AF118" s="63"/>
      <c r="AG118" s="62"/>
      <c r="AH118" s="62"/>
      <c r="AI118" s="63"/>
    </row>
    <row r="119" spans="1:35" ht="37.799999999999997" customHeight="1">
      <c r="A119" s="64">
        <v>119</v>
      </c>
      <c r="B119" s="62" t="s">
        <v>71</v>
      </c>
      <c r="C119" s="62" t="s">
        <v>897</v>
      </c>
      <c r="D119" s="62" t="s">
        <v>898</v>
      </c>
      <c r="E119" s="62" t="s">
        <v>105</v>
      </c>
      <c r="F119" s="62" t="s">
        <v>144</v>
      </c>
      <c r="G119" s="62">
        <v>1</v>
      </c>
      <c r="H119" s="62" t="s">
        <v>897</v>
      </c>
      <c r="I119" s="62" t="s">
        <v>898</v>
      </c>
      <c r="J119" s="62" t="s">
        <v>543</v>
      </c>
      <c r="K119" s="62" t="s">
        <v>891</v>
      </c>
      <c r="L119" s="62" t="s">
        <v>892</v>
      </c>
      <c r="M119" s="63">
        <v>0.36229</v>
      </c>
      <c r="N119" s="63">
        <v>0</v>
      </c>
      <c r="O119" s="63">
        <f t="shared" si="2"/>
        <v>0.36229</v>
      </c>
      <c r="P119" s="85"/>
      <c r="Q119" s="85"/>
      <c r="R119" s="85"/>
      <c r="S119" s="85"/>
      <c r="T119" s="62">
        <v>140</v>
      </c>
      <c r="U119" s="62">
        <v>2500</v>
      </c>
      <c r="V119" s="62"/>
      <c r="W119" s="62"/>
      <c r="X119" s="67"/>
      <c r="Y119" s="62"/>
      <c r="Z119" s="62" t="s">
        <v>899</v>
      </c>
      <c r="AA119" s="62"/>
      <c r="AB119" s="62"/>
      <c r="AC119" s="63"/>
      <c r="AD119" s="62"/>
      <c r="AE119" s="62"/>
      <c r="AF119" s="63"/>
      <c r="AG119" s="62"/>
      <c r="AH119" s="62"/>
      <c r="AI119" s="63"/>
    </row>
    <row r="120" spans="1:35" ht="22.05" customHeight="1">
      <c r="A120" s="64">
        <v>120</v>
      </c>
      <c r="B120" s="62" t="s">
        <v>71</v>
      </c>
      <c r="C120" s="62" t="s">
        <v>900</v>
      </c>
      <c r="D120" s="62" t="s">
        <v>901</v>
      </c>
      <c r="E120" s="62" t="s">
        <v>105</v>
      </c>
      <c r="F120" s="62" t="s">
        <v>157</v>
      </c>
      <c r="G120" s="62">
        <v>1</v>
      </c>
      <c r="H120" s="62" t="s">
        <v>900</v>
      </c>
      <c r="I120" s="62" t="s">
        <v>901</v>
      </c>
      <c r="J120" s="62" t="s">
        <v>902</v>
      </c>
      <c r="K120" s="62" t="s">
        <v>903</v>
      </c>
      <c r="L120" s="62" t="s">
        <v>904</v>
      </c>
      <c r="M120" s="63">
        <v>2.5299999999999998</v>
      </c>
      <c r="N120" s="63">
        <v>0</v>
      </c>
      <c r="O120" s="63">
        <f t="shared" si="2"/>
        <v>2.5299999999999998</v>
      </c>
      <c r="P120" s="85"/>
      <c r="Q120" s="85"/>
      <c r="R120" s="85"/>
      <c r="S120" s="85"/>
      <c r="T120" s="62">
        <v>49</v>
      </c>
      <c r="U120" s="62">
        <v>1</v>
      </c>
      <c r="V120" s="62">
        <v>5000</v>
      </c>
      <c r="W120" s="62"/>
      <c r="X120" s="67"/>
      <c r="Y120" s="62"/>
      <c r="Z120" s="62" t="s">
        <v>905</v>
      </c>
      <c r="AA120" s="62"/>
      <c r="AB120" s="62"/>
      <c r="AC120" s="63"/>
      <c r="AD120" s="62"/>
      <c r="AE120" s="62"/>
      <c r="AF120" s="63"/>
      <c r="AG120" s="62"/>
      <c r="AH120" s="62"/>
      <c r="AI120" s="63"/>
    </row>
    <row r="121" spans="1:35" ht="22.05" customHeight="1">
      <c r="A121" s="64">
        <v>121</v>
      </c>
      <c r="B121" s="62" t="s">
        <v>71</v>
      </c>
      <c r="C121" s="62" t="s">
        <v>906</v>
      </c>
      <c r="D121" s="62" t="s">
        <v>907</v>
      </c>
      <c r="E121" s="62" t="s">
        <v>105</v>
      </c>
      <c r="F121" s="62" t="s">
        <v>157</v>
      </c>
      <c r="G121" s="62">
        <v>1</v>
      </c>
      <c r="H121" s="62" t="s">
        <v>906</v>
      </c>
      <c r="I121" s="62" t="s">
        <v>907</v>
      </c>
      <c r="J121" s="62" t="s">
        <v>902</v>
      </c>
      <c r="K121" s="62" t="s">
        <v>903</v>
      </c>
      <c r="L121" s="62" t="s">
        <v>904</v>
      </c>
      <c r="M121" s="63">
        <v>0.33</v>
      </c>
      <c r="N121" s="63">
        <v>0</v>
      </c>
      <c r="O121" s="63">
        <f t="shared" si="2"/>
        <v>0.33</v>
      </c>
      <c r="P121" s="85"/>
      <c r="Q121" s="85"/>
      <c r="R121" s="85"/>
      <c r="S121" s="85"/>
      <c r="T121" s="62">
        <v>49</v>
      </c>
      <c r="U121" s="62">
        <v>1</v>
      </c>
      <c r="V121" s="62">
        <v>5000</v>
      </c>
      <c r="W121" s="62"/>
      <c r="X121" s="67"/>
      <c r="Y121" s="62"/>
      <c r="Z121" s="62" t="s">
        <v>908</v>
      </c>
      <c r="AA121" s="62"/>
      <c r="AB121" s="62"/>
      <c r="AC121" s="63"/>
      <c r="AD121" s="62"/>
      <c r="AE121" s="62"/>
      <c r="AF121" s="63"/>
      <c r="AG121" s="62"/>
      <c r="AH121" s="62"/>
      <c r="AI121" s="63"/>
    </row>
    <row r="122" spans="1:35" ht="22.05" customHeight="1">
      <c r="A122" s="64">
        <v>122</v>
      </c>
      <c r="B122" s="62" t="s">
        <v>71</v>
      </c>
      <c r="C122" s="62" t="s">
        <v>909</v>
      </c>
      <c r="D122" s="62" t="s">
        <v>910</v>
      </c>
      <c r="E122" s="62" t="s">
        <v>105</v>
      </c>
      <c r="F122" s="62" t="s">
        <v>157</v>
      </c>
      <c r="G122" s="62">
        <v>1</v>
      </c>
      <c r="H122" s="62" t="s">
        <v>909</v>
      </c>
      <c r="I122" s="62" t="s">
        <v>911</v>
      </c>
      <c r="J122" s="62" t="s">
        <v>912</v>
      </c>
      <c r="K122" s="62"/>
      <c r="L122" s="69" t="s">
        <v>602</v>
      </c>
      <c r="M122" s="79">
        <v>0</v>
      </c>
      <c r="N122" s="63">
        <v>0</v>
      </c>
      <c r="O122" s="63">
        <f t="shared" si="2"/>
        <v>0</v>
      </c>
      <c r="P122" s="85"/>
      <c r="Q122" s="85"/>
      <c r="R122" s="85"/>
      <c r="S122" s="85"/>
      <c r="T122" s="62">
        <v>0</v>
      </c>
      <c r="U122" s="62"/>
      <c r="V122" s="62"/>
      <c r="W122" s="62"/>
      <c r="X122" s="69" t="s">
        <v>603</v>
      </c>
      <c r="Y122" s="62" t="s">
        <v>150</v>
      </c>
      <c r="Z122" s="62" t="s">
        <v>913</v>
      </c>
      <c r="AA122" s="62"/>
      <c r="AB122" s="62"/>
      <c r="AC122" s="63"/>
      <c r="AD122" s="62"/>
      <c r="AE122" s="62"/>
      <c r="AF122" s="63"/>
      <c r="AG122" s="62"/>
      <c r="AH122" s="62"/>
      <c r="AI122" s="63"/>
    </row>
    <row r="123" spans="1:35" ht="22.05" customHeight="1">
      <c r="A123" s="64">
        <v>123</v>
      </c>
      <c r="B123" s="62" t="s">
        <v>71</v>
      </c>
      <c r="C123" s="62" t="s">
        <v>914</v>
      </c>
      <c r="D123" s="62" t="s">
        <v>915</v>
      </c>
      <c r="E123" s="62" t="s">
        <v>105</v>
      </c>
      <c r="F123" s="62" t="s">
        <v>157</v>
      </c>
      <c r="G123" s="62">
        <v>3</v>
      </c>
      <c r="H123" s="62" t="s">
        <v>914</v>
      </c>
      <c r="I123" s="62" t="s">
        <v>915</v>
      </c>
      <c r="J123" s="62" t="s">
        <v>172</v>
      </c>
      <c r="K123" s="62" t="s">
        <v>916</v>
      </c>
      <c r="L123" s="62" t="s">
        <v>917</v>
      </c>
      <c r="M123" s="71">
        <v>1.85</v>
      </c>
      <c r="N123" s="63">
        <v>0</v>
      </c>
      <c r="O123" s="71">
        <f t="shared" si="2"/>
        <v>5.5500000000000007</v>
      </c>
      <c r="P123" s="85"/>
      <c r="Q123" s="85"/>
      <c r="R123" s="85"/>
      <c r="S123" s="85"/>
      <c r="T123" s="62">
        <v>30</v>
      </c>
      <c r="U123" s="62">
        <v>500</v>
      </c>
      <c r="V123" s="62"/>
      <c r="W123" s="62"/>
      <c r="X123" s="67"/>
      <c r="Y123" s="62"/>
      <c r="Z123" s="62" t="s">
        <v>918</v>
      </c>
      <c r="AA123" s="62"/>
      <c r="AB123" s="62"/>
      <c r="AC123" s="63"/>
      <c r="AD123" s="62"/>
      <c r="AE123" s="62"/>
      <c r="AF123" s="63"/>
      <c r="AG123" s="62"/>
      <c r="AH123" s="62"/>
      <c r="AI123" s="63"/>
    </row>
    <row r="124" spans="1:35" ht="22.05" customHeight="1">
      <c r="A124" s="64">
        <v>124</v>
      </c>
      <c r="B124" s="62" t="s">
        <v>71</v>
      </c>
      <c r="C124" s="62" t="s">
        <v>919</v>
      </c>
      <c r="D124" s="62" t="s">
        <v>2129</v>
      </c>
      <c r="E124" s="62" t="s">
        <v>105</v>
      </c>
      <c r="F124" s="62" t="s">
        <v>157</v>
      </c>
      <c r="G124" s="62">
        <v>1</v>
      </c>
      <c r="H124" s="62" t="s">
        <v>919</v>
      </c>
      <c r="I124" s="62" t="s">
        <v>920</v>
      </c>
      <c r="J124" s="62" t="s">
        <v>172</v>
      </c>
      <c r="K124" s="62" t="s">
        <v>916</v>
      </c>
      <c r="L124" s="62" t="s">
        <v>917</v>
      </c>
      <c r="M124" s="71">
        <v>28.3186</v>
      </c>
      <c r="N124" s="63">
        <v>0</v>
      </c>
      <c r="O124" s="71">
        <f t="shared" si="2"/>
        <v>28.3186</v>
      </c>
      <c r="P124" s="85"/>
      <c r="Q124" s="85"/>
      <c r="R124" s="85"/>
      <c r="S124" s="85"/>
      <c r="T124" s="62">
        <v>1</v>
      </c>
      <c r="U124" s="62">
        <v>120</v>
      </c>
      <c r="V124" s="62"/>
      <c r="W124" s="62"/>
      <c r="X124" s="67"/>
      <c r="Y124" s="62"/>
      <c r="Z124" s="62" t="s">
        <v>921</v>
      </c>
      <c r="AA124" s="62"/>
      <c r="AB124" s="62"/>
      <c r="AC124" s="63"/>
      <c r="AD124" s="62"/>
      <c r="AE124" s="62"/>
      <c r="AF124" s="63"/>
      <c r="AG124" s="62"/>
      <c r="AH124" s="62"/>
      <c r="AI124" s="63"/>
    </row>
    <row r="125" spans="1:35" ht="22.05" customHeight="1">
      <c r="A125" s="64">
        <v>125</v>
      </c>
      <c r="B125" s="62" t="s">
        <v>71</v>
      </c>
      <c r="C125" s="62" t="s">
        <v>922</v>
      </c>
      <c r="D125" s="62" t="s">
        <v>923</v>
      </c>
      <c r="E125" s="62" t="s">
        <v>105</v>
      </c>
      <c r="F125" s="62" t="s">
        <v>144</v>
      </c>
      <c r="G125" s="62">
        <v>1</v>
      </c>
      <c r="H125" s="62" t="s">
        <v>922</v>
      </c>
      <c r="I125" s="62" t="s">
        <v>923</v>
      </c>
      <c r="J125" s="62" t="s">
        <v>172</v>
      </c>
      <c r="K125" s="62" t="s">
        <v>924</v>
      </c>
      <c r="L125" s="62" t="s">
        <v>925</v>
      </c>
      <c r="M125" s="63">
        <v>1.4047000000000001</v>
      </c>
      <c r="N125" s="63">
        <v>0</v>
      </c>
      <c r="O125" s="63">
        <f t="shared" si="2"/>
        <v>1.4047000000000001</v>
      </c>
      <c r="P125" s="85"/>
      <c r="Q125" s="85"/>
      <c r="R125" s="85"/>
      <c r="S125" s="85"/>
      <c r="T125" s="62">
        <v>56</v>
      </c>
      <c r="U125" s="62">
        <v>1600</v>
      </c>
      <c r="V125" s="62">
        <v>800</v>
      </c>
      <c r="W125" s="62"/>
      <c r="X125" s="67"/>
      <c r="Y125" s="62"/>
      <c r="Z125" s="62" t="s">
        <v>926</v>
      </c>
      <c r="AA125" s="62"/>
      <c r="AB125" s="62"/>
      <c r="AC125" s="63"/>
      <c r="AD125" s="62"/>
      <c r="AE125" s="62"/>
      <c r="AF125" s="63"/>
      <c r="AG125" s="62"/>
      <c r="AH125" s="62"/>
      <c r="AI125" s="63"/>
    </row>
    <row r="126" spans="1:35" ht="22.05" customHeight="1">
      <c r="A126" s="64">
        <v>126</v>
      </c>
      <c r="B126" s="62" t="s">
        <v>71</v>
      </c>
      <c r="C126" s="62" t="s">
        <v>927</v>
      </c>
      <c r="D126" s="62" t="s">
        <v>928</v>
      </c>
      <c r="E126" s="62" t="s">
        <v>105</v>
      </c>
      <c r="F126" s="62" t="s">
        <v>929</v>
      </c>
      <c r="G126" s="62">
        <v>1</v>
      </c>
      <c r="H126" s="62" t="s">
        <v>927</v>
      </c>
      <c r="I126" s="62" t="s">
        <v>928</v>
      </c>
      <c r="J126" s="62" t="s">
        <v>166</v>
      </c>
      <c r="K126" s="62" t="s">
        <v>930</v>
      </c>
      <c r="L126" s="62" t="s">
        <v>931</v>
      </c>
      <c r="M126" s="63">
        <v>0.28999999999999998</v>
      </c>
      <c r="N126" s="63">
        <v>0</v>
      </c>
      <c r="O126" s="63">
        <f t="shared" si="2"/>
        <v>0.28999999999999998</v>
      </c>
      <c r="P126" s="85"/>
      <c r="Q126" s="85"/>
      <c r="R126" s="85"/>
      <c r="S126" s="85"/>
      <c r="T126" s="62">
        <v>56</v>
      </c>
      <c r="U126" s="62">
        <v>5000</v>
      </c>
      <c r="V126" s="62">
        <v>5000</v>
      </c>
      <c r="W126" s="62"/>
      <c r="X126" s="67"/>
      <c r="Y126" s="62"/>
      <c r="Z126" s="62" t="s">
        <v>932</v>
      </c>
      <c r="AA126" s="62"/>
      <c r="AB126" s="62"/>
      <c r="AC126" s="63"/>
      <c r="AD126" s="62"/>
      <c r="AE126" s="62"/>
      <c r="AF126" s="63"/>
      <c r="AG126" s="62"/>
      <c r="AH126" s="62"/>
      <c r="AI126" s="63"/>
    </row>
    <row r="127" spans="1:35" ht="22.05" customHeight="1">
      <c r="A127" s="64">
        <v>127</v>
      </c>
      <c r="B127" s="62" t="s">
        <v>71</v>
      </c>
      <c r="C127" s="62" t="s">
        <v>933</v>
      </c>
      <c r="D127" s="62" t="s">
        <v>934</v>
      </c>
      <c r="E127" s="62" t="s">
        <v>105</v>
      </c>
      <c r="F127" s="62" t="s">
        <v>935</v>
      </c>
      <c r="G127" s="62">
        <v>1</v>
      </c>
      <c r="H127" s="62" t="s">
        <v>933</v>
      </c>
      <c r="I127" s="62" t="s">
        <v>934</v>
      </c>
      <c r="J127" s="62" t="s">
        <v>936</v>
      </c>
      <c r="K127" s="62" t="s">
        <v>937</v>
      </c>
      <c r="L127" s="62" t="s">
        <v>938</v>
      </c>
      <c r="M127" s="63">
        <v>0.38319999999999999</v>
      </c>
      <c r="N127" s="63">
        <v>0</v>
      </c>
      <c r="O127" s="63">
        <f t="shared" si="2"/>
        <v>0.38319999999999999</v>
      </c>
      <c r="P127" s="85"/>
      <c r="Q127" s="85"/>
      <c r="R127" s="85"/>
      <c r="S127" s="85"/>
      <c r="T127" s="62">
        <v>35</v>
      </c>
      <c r="U127" s="62">
        <v>2000</v>
      </c>
      <c r="V127" s="62">
        <v>1</v>
      </c>
      <c r="W127" s="62"/>
      <c r="X127" s="67"/>
      <c r="Y127" s="62"/>
      <c r="Z127" s="62" t="s">
        <v>175</v>
      </c>
      <c r="AA127" s="62"/>
      <c r="AB127" s="62"/>
      <c r="AC127" s="63"/>
      <c r="AD127" s="62"/>
      <c r="AE127" s="62"/>
      <c r="AF127" s="63"/>
      <c r="AG127" s="62"/>
      <c r="AH127" s="62"/>
      <c r="AI127" s="63"/>
    </row>
    <row r="128" spans="1:35" ht="22.05" customHeight="1">
      <c r="A128" s="64">
        <v>128</v>
      </c>
      <c r="B128" s="62" t="s">
        <v>71</v>
      </c>
      <c r="C128" s="62" t="s">
        <v>939</v>
      </c>
      <c r="D128" s="62" t="s">
        <v>940</v>
      </c>
      <c r="E128" s="62" t="s">
        <v>105</v>
      </c>
      <c r="F128" s="62" t="s">
        <v>157</v>
      </c>
      <c r="G128" s="62">
        <v>1</v>
      </c>
      <c r="H128" s="62" t="s">
        <v>939</v>
      </c>
      <c r="I128" s="62" t="s">
        <v>940</v>
      </c>
      <c r="J128" s="62" t="s">
        <v>543</v>
      </c>
      <c r="K128" s="62" t="s">
        <v>941</v>
      </c>
      <c r="L128" s="62" t="s">
        <v>942</v>
      </c>
      <c r="M128" s="63">
        <v>1.84E-2</v>
      </c>
      <c r="N128" s="63">
        <v>0</v>
      </c>
      <c r="O128" s="63">
        <f t="shared" si="2"/>
        <v>1.84E-2</v>
      </c>
      <c r="P128" s="85"/>
      <c r="Q128" s="85"/>
      <c r="R128" s="85"/>
      <c r="S128" s="85"/>
      <c r="T128" s="62">
        <v>28</v>
      </c>
      <c r="U128" s="62">
        <v>1000</v>
      </c>
      <c r="V128" s="62"/>
      <c r="W128" s="62"/>
      <c r="X128" s="67"/>
      <c r="Y128" s="62"/>
      <c r="Z128" s="62" t="s">
        <v>943</v>
      </c>
      <c r="AA128" s="62"/>
      <c r="AB128" s="62"/>
      <c r="AC128" s="63"/>
      <c r="AD128" s="62"/>
      <c r="AE128" s="62"/>
      <c r="AF128" s="63"/>
      <c r="AG128" s="62"/>
      <c r="AH128" s="62"/>
      <c r="AI128" s="63"/>
    </row>
    <row r="129" spans="1:35" ht="22.05" customHeight="1">
      <c r="A129" s="64">
        <v>129</v>
      </c>
      <c r="B129" s="62" t="s">
        <v>71</v>
      </c>
      <c r="C129" s="62" t="s">
        <v>944</v>
      </c>
      <c r="D129" s="62" t="s">
        <v>945</v>
      </c>
      <c r="E129" s="62" t="s">
        <v>105</v>
      </c>
      <c r="F129" s="62" t="s">
        <v>157</v>
      </c>
      <c r="G129" s="62">
        <v>2</v>
      </c>
      <c r="H129" s="62" t="s">
        <v>944</v>
      </c>
      <c r="I129" s="62" t="s">
        <v>945</v>
      </c>
      <c r="J129" s="62" t="s">
        <v>543</v>
      </c>
      <c r="K129" s="62" t="s">
        <v>941</v>
      </c>
      <c r="L129" s="62" t="s">
        <v>942</v>
      </c>
      <c r="M129" s="63">
        <v>4.4299999999999999E-2</v>
      </c>
      <c r="N129" s="63">
        <v>0</v>
      </c>
      <c r="O129" s="63">
        <f t="shared" si="2"/>
        <v>8.8599999999999998E-2</v>
      </c>
      <c r="P129" s="85"/>
      <c r="Q129" s="85"/>
      <c r="R129" s="85"/>
      <c r="S129" s="85"/>
      <c r="T129" s="62">
        <v>21</v>
      </c>
      <c r="U129" s="62">
        <v>1000</v>
      </c>
      <c r="V129" s="62"/>
      <c r="W129" s="62"/>
      <c r="X129" s="67"/>
      <c r="Y129" s="62"/>
      <c r="Z129" s="62" t="s">
        <v>946</v>
      </c>
      <c r="AA129" s="62"/>
      <c r="AB129" s="62"/>
      <c r="AC129" s="63"/>
      <c r="AD129" s="62"/>
      <c r="AE129" s="62"/>
      <c r="AF129" s="63"/>
      <c r="AG129" s="62"/>
      <c r="AH129" s="62"/>
      <c r="AI129" s="63"/>
    </row>
    <row r="130" spans="1:35" ht="22.05" customHeight="1">
      <c r="A130" s="64">
        <v>130</v>
      </c>
      <c r="B130" s="62" t="s">
        <v>71</v>
      </c>
      <c r="C130" s="62" t="s">
        <v>947</v>
      </c>
      <c r="D130" s="62" t="s">
        <v>948</v>
      </c>
      <c r="E130" s="62" t="s">
        <v>105</v>
      </c>
      <c r="F130" s="62" t="s">
        <v>157</v>
      </c>
      <c r="G130" s="62">
        <v>2</v>
      </c>
      <c r="H130" s="62" t="s">
        <v>947</v>
      </c>
      <c r="I130" s="62" t="s">
        <v>948</v>
      </c>
      <c r="J130" s="62" t="s">
        <v>543</v>
      </c>
      <c r="K130" s="62" t="s">
        <v>941</v>
      </c>
      <c r="L130" s="62" t="s">
        <v>942</v>
      </c>
      <c r="M130" s="63">
        <v>4.5999999999999999E-2</v>
      </c>
      <c r="N130" s="63">
        <v>0</v>
      </c>
      <c r="O130" s="63">
        <f t="shared" si="2"/>
        <v>9.1999999999999998E-2</v>
      </c>
      <c r="P130" s="85"/>
      <c r="Q130" s="85"/>
      <c r="R130" s="85"/>
      <c r="S130" s="85"/>
      <c r="T130" s="62">
        <v>21</v>
      </c>
      <c r="U130" s="62">
        <v>1000</v>
      </c>
      <c r="V130" s="62"/>
      <c r="W130" s="62"/>
      <c r="X130" s="67"/>
      <c r="Y130" s="62"/>
      <c r="Z130" s="62" t="s">
        <v>949</v>
      </c>
      <c r="AA130" s="62"/>
      <c r="AB130" s="62"/>
      <c r="AC130" s="63"/>
      <c r="AD130" s="62"/>
      <c r="AE130" s="62"/>
      <c r="AF130" s="63"/>
      <c r="AG130" s="62"/>
      <c r="AH130" s="62"/>
      <c r="AI130" s="63"/>
    </row>
    <row r="131" spans="1:35" ht="22.05" customHeight="1">
      <c r="A131" s="64">
        <v>131</v>
      </c>
      <c r="B131" s="62" t="s">
        <v>71</v>
      </c>
      <c r="C131" s="62" t="s">
        <v>950</v>
      </c>
      <c r="D131" s="62" t="s">
        <v>951</v>
      </c>
      <c r="E131" s="62" t="s">
        <v>105</v>
      </c>
      <c r="F131" s="62" t="s">
        <v>157</v>
      </c>
      <c r="G131" s="62">
        <v>2</v>
      </c>
      <c r="H131" s="62" t="s">
        <v>950</v>
      </c>
      <c r="I131" s="62" t="s">
        <v>951</v>
      </c>
      <c r="J131" s="62" t="s">
        <v>543</v>
      </c>
      <c r="K131" s="62" t="s">
        <v>941</v>
      </c>
      <c r="L131" s="62" t="s">
        <v>942</v>
      </c>
      <c r="M131" s="63">
        <v>5.3699999999999998E-2</v>
      </c>
      <c r="N131" s="63">
        <v>0</v>
      </c>
      <c r="O131" s="63">
        <f t="shared" si="2"/>
        <v>0.1074</v>
      </c>
      <c r="P131" s="85"/>
      <c r="Q131" s="85"/>
      <c r="R131" s="85"/>
      <c r="S131" s="85"/>
      <c r="T131" s="62">
        <v>21</v>
      </c>
      <c r="U131" s="62">
        <v>1000</v>
      </c>
      <c r="V131" s="62"/>
      <c r="W131" s="62"/>
      <c r="X131" s="67"/>
      <c r="Y131" s="62"/>
      <c r="Z131" s="62" t="s">
        <v>952</v>
      </c>
      <c r="AA131" s="62"/>
      <c r="AB131" s="62"/>
      <c r="AC131" s="63"/>
      <c r="AD131" s="62"/>
      <c r="AE131" s="62"/>
      <c r="AF131" s="63"/>
      <c r="AG131" s="62"/>
      <c r="AH131" s="62"/>
      <c r="AI131" s="63"/>
    </row>
    <row r="132" spans="1:35" ht="22.05" customHeight="1">
      <c r="A132" s="64">
        <v>132</v>
      </c>
      <c r="B132" s="62" t="s">
        <v>71</v>
      </c>
      <c r="C132" s="62" t="s">
        <v>953</v>
      </c>
      <c r="D132" s="62" t="s">
        <v>954</v>
      </c>
      <c r="E132" s="62" t="s">
        <v>105</v>
      </c>
      <c r="F132" s="62" t="s">
        <v>157</v>
      </c>
      <c r="G132" s="62">
        <v>6</v>
      </c>
      <c r="H132" s="62" t="s">
        <v>953</v>
      </c>
      <c r="I132" s="62" t="s">
        <v>954</v>
      </c>
      <c r="J132" s="62" t="s">
        <v>955</v>
      </c>
      <c r="K132" s="62" t="s">
        <v>956</v>
      </c>
      <c r="L132" s="62" t="s">
        <v>957</v>
      </c>
      <c r="M132" s="63">
        <v>1.2</v>
      </c>
      <c r="N132" s="63">
        <v>0</v>
      </c>
      <c r="O132" s="63">
        <f t="shared" si="2"/>
        <v>7.1999999999999993</v>
      </c>
      <c r="P132" s="85"/>
      <c r="Q132" s="85"/>
      <c r="R132" s="85"/>
      <c r="S132" s="85"/>
      <c r="T132" s="62">
        <v>30</v>
      </c>
      <c r="U132" s="62">
        <v>5000</v>
      </c>
      <c r="V132" s="62">
        <v>5000</v>
      </c>
      <c r="W132" s="62"/>
      <c r="X132" s="67"/>
      <c r="Y132" s="62"/>
      <c r="Z132" s="62" t="s">
        <v>958</v>
      </c>
      <c r="AA132" s="62"/>
      <c r="AB132" s="62"/>
      <c r="AC132" s="63"/>
      <c r="AD132" s="62"/>
      <c r="AE132" s="62"/>
      <c r="AF132" s="63"/>
      <c r="AG132" s="62"/>
      <c r="AH132" s="62"/>
      <c r="AI132" s="63"/>
    </row>
    <row r="133" spans="1:35" ht="22.05" customHeight="1">
      <c r="A133" s="64">
        <v>133</v>
      </c>
      <c r="B133" s="62" t="s">
        <v>71</v>
      </c>
      <c r="C133" s="62" t="s">
        <v>959</v>
      </c>
      <c r="D133" s="62" t="s">
        <v>960</v>
      </c>
      <c r="E133" s="62" t="s">
        <v>105</v>
      </c>
      <c r="F133" s="62" t="s">
        <v>157</v>
      </c>
      <c r="G133" s="62">
        <v>1</v>
      </c>
      <c r="H133" s="62" t="s">
        <v>959</v>
      </c>
      <c r="I133" s="62" t="s">
        <v>960</v>
      </c>
      <c r="J133" s="62" t="s">
        <v>955</v>
      </c>
      <c r="K133" s="62" t="s">
        <v>956</v>
      </c>
      <c r="L133" s="62" t="s">
        <v>957</v>
      </c>
      <c r="M133" s="63">
        <v>0.71</v>
      </c>
      <c r="N133" s="63">
        <v>0</v>
      </c>
      <c r="O133" s="63">
        <f t="shared" si="2"/>
        <v>0.71</v>
      </c>
      <c r="P133" s="85"/>
      <c r="Q133" s="85"/>
      <c r="R133" s="85"/>
      <c r="S133" s="85"/>
      <c r="T133" s="62">
        <v>30</v>
      </c>
      <c r="U133" s="62">
        <v>5000</v>
      </c>
      <c r="V133" s="62">
        <v>5000</v>
      </c>
      <c r="W133" s="62"/>
      <c r="X133" s="67"/>
      <c r="Y133" s="62"/>
      <c r="Z133" s="62" t="s">
        <v>961</v>
      </c>
      <c r="AA133" s="62"/>
      <c r="AB133" s="62"/>
      <c r="AC133" s="63"/>
      <c r="AD133" s="62"/>
      <c r="AE133" s="62"/>
      <c r="AF133" s="63"/>
      <c r="AG133" s="62"/>
      <c r="AH133" s="62"/>
      <c r="AI133" s="63"/>
    </row>
    <row r="134" spans="1:35" ht="22.05" customHeight="1">
      <c r="A134" s="64">
        <v>134</v>
      </c>
      <c r="B134" s="62" t="s">
        <v>71</v>
      </c>
      <c r="C134" s="62" t="s">
        <v>962</v>
      </c>
      <c r="D134" s="62" t="s">
        <v>963</v>
      </c>
      <c r="E134" s="62" t="s">
        <v>105</v>
      </c>
      <c r="F134" s="62" t="s">
        <v>157</v>
      </c>
      <c r="G134" s="62">
        <v>1</v>
      </c>
      <c r="H134" s="62" t="s">
        <v>962</v>
      </c>
      <c r="I134" s="62" t="s">
        <v>963</v>
      </c>
      <c r="J134" s="62" t="s">
        <v>912</v>
      </c>
      <c r="K134" s="62"/>
      <c r="L134" s="69" t="s">
        <v>602</v>
      </c>
      <c r="M134" s="66">
        <v>0</v>
      </c>
      <c r="N134" s="63">
        <v>0</v>
      </c>
      <c r="O134" s="63">
        <f t="shared" si="2"/>
        <v>0</v>
      </c>
      <c r="P134" s="85"/>
      <c r="Q134" s="85"/>
      <c r="R134" s="85"/>
      <c r="S134" s="85"/>
      <c r="T134" s="62">
        <v>0</v>
      </c>
      <c r="U134" s="62"/>
      <c r="V134" s="62"/>
      <c r="W134" s="62"/>
      <c r="X134" s="69" t="s">
        <v>603</v>
      </c>
      <c r="Y134" s="62" t="s">
        <v>150</v>
      </c>
      <c r="Z134" s="62" t="s">
        <v>964</v>
      </c>
      <c r="AA134" s="62"/>
      <c r="AB134" s="62"/>
      <c r="AC134" s="63"/>
      <c r="AD134" s="62"/>
      <c r="AE134" s="62"/>
      <c r="AF134" s="63"/>
      <c r="AG134" s="62"/>
      <c r="AH134" s="62"/>
      <c r="AI134" s="63"/>
    </row>
    <row r="135" spans="1:35" ht="22.05" customHeight="1">
      <c r="A135" s="64">
        <v>135</v>
      </c>
      <c r="B135" s="62" t="s">
        <v>71</v>
      </c>
      <c r="C135" s="62" t="s">
        <v>965</v>
      </c>
      <c r="D135" s="62" t="s">
        <v>966</v>
      </c>
      <c r="E135" s="62" t="s">
        <v>105</v>
      </c>
      <c r="F135" s="62" t="s">
        <v>157</v>
      </c>
      <c r="G135" s="62">
        <v>2</v>
      </c>
      <c r="H135" s="62" t="s">
        <v>965</v>
      </c>
      <c r="I135" s="62" t="s">
        <v>966</v>
      </c>
      <c r="J135" s="62" t="s">
        <v>912</v>
      </c>
      <c r="K135" s="62"/>
      <c r="L135" s="69" t="s">
        <v>602</v>
      </c>
      <c r="M135" s="66">
        <v>0</v>
      </c>
      <c r="N135" s="63">
        <v>0</v>
      </c>
      <c r="O135" s="63">
        <f t="shared" si="2"/>
        <v>0</v>
      </c>
      <c r="P135" s="85"/>
      <c r="Q135" s="85"/>
      <c r="R135" s="85"/>
      <c r="S135" s="85"/>
      <c r="T135" s="62">
        <v>0</v>
      </c>
      <c r="U135" s="62"/>
      <c r="V135" s="62"/>
      <c r="W135" s="62"/>
      <c r="X135" s="69" t="s">
        <v>603</v>
      </c>
      <c r="Y135" s="62" t="s">
        <v>150</v>
      </c>
      <c r="Z135" s="62" t="s">
        <v>967</v>
      </c>
      <c r="AA135" s="62"/>
      <c r="AB135" s="62"/>
      <c r="AC135" s="63"/>
      <c r="AD135" s="62"/>
      <c r="AE135" s="62"/>
      <c r="AF135" s="63"/>
      <c r="AG135" s="62"/>
      <c r="AH135" s="62"/>
      <c r="AI135" s="63"/>
    </row>
    <row r="136" spans="1:35" ht="22.05" customHeight="1">
      <c r="A136" s="64">
        <v>136</v>
      </c>
      <c r="B136" s="62" t="s">
        <v>71</v>
      </c>
      <c r="C136" s="62" t="s">
        <v>968</v>
      </c>
      <c r="D136" s="62" t="s">
        <v>969</v>
      </c>
      <c r="E136" s="62" t="s">
        <v>105</v>
      </c>
      <c r="F136" s="62" t="s">
        <v>970</v>
      </c>
      <c r="G136" s="62">
        <v>1</v>
      </c>
      <c r="H136" s="62" t="s">
        <v>968</v>
      </c>
      <c r="I136" s="62" t="s">
        <v>971</v>
      </c>
      <c r="J136" s="62" t="s">
        <v>138</v>
      </c>
      <c r="K136" s="62" t="s">
        <v>972</v>
      </c>
      <c r="L136" s="62" t="s">
        <v>973</v>
      </c>
      <c r="M136" s="63">
        <v>0.11799999999999999</v>
      </c>
      <c r="N136" s="63">
        <v>0</v>
      </c>
      <c r="O136" s="63">
        <f t="shared" si="2"/>
        <v>0.11799999999999999</v>
      </c>
      <c r="P136" s="85"/>
      <c r="Q136" s="85"/>
      <c r="R136" s="85"/>
      <c r="S136" s="85"/>
      <c r="T136" s="62">
        <v>21</v>
      </c>
      <c r="U136" s="62">
        <v>10000</v>
      </c>
      <c r="V136" s="62"/>
      <c r="W136" s="62"/>
      <c r="X136" s="67"/>
      <c r="Y136" s="62"/>
      <c r="Z136" s="62" t="s">
        <v>974</v>
      </c>
      <c r="AA136" s="62"/>
      <c r="AB136" s="62"/>
      <c r="AC136" s="63"/>
      <c r="AD136" s="62"/>
      <c r="AE136" s="62"/>
      <c r="AF136" s="63"/>
      <c r="AG136" s="62"/>
      <c r="AH136" s="62"/>
      <c r="AI136" s="63"/>
    </row>
    <row r="137" spans="1:35" ht="22.05" customHeight="1">
      <c r="A137" s="64">
        <v>137</v>
      </c>
      <c r="B137" s="62" t="s">
        <v>71</v>
      </c>
      <c r="C137" s="62" t="s">
        <v>975</v>
      </c>
      <c r="D137" s="62" t="s">
        <v>976</v>
      </c>
      <c r="E137" s="62" t="s">
        <v>105</v>
      </c>
      <c r="F137" s="62" t="s">
        <v>970</v>
      </c>
      <c r="G137" s="62">
        <v>6</v>
      </c>
      <c r="H137" s="62" t="s">
        <v>975</v>
      </c>
      <c r="I137" s="62" t="s">
        <v>976</v>
      </c>
      <c r="J137" s="62" t="s">
        <v>977</v>
      </c>
      <c r="K137" s="62" t="s">
        <v>978</v>
      </c>
      <c r="L137" s="62" t="s">
        <v>979</v>
      </c>
      <c r="M137" s="63">
        <v>0.24</v>
      </c>
      <c r="N137" s="63">
        <v>0</v>
      </c>
      <c r="O137" s="63">
        <f t="shared" si="2"/>
        <v>1.44</v>
      </c>
      <c r="P137" s="85"/>
      <c r="Q137" s="85"/>
      <c r="R137" s="85"/>
      <c r="S137" s="85"/>
      <c r="T137" s="62">
        <v>21</v>
      </c>
      <c r="U137" s="62">
        <v>10000</v>
      </c>
      <c r="V137" s="62">
        <v>1000</v>
      </c>
      <c r="W137" s="62"/>
      <c r="X137" s="67"/>
      <c r="Y137" s="62" t="s">
        <v>150</v>
      </c>
      <c r="Z137" s="62" t="s">
        <v>980</v>
      </c>
      <c r="AA137" s="62"/>
      <c r="AB137" s="62"/>
      <c r="AC137" s="63"/>
      <c r="AD137" s="62"/>
      <c r="AE137" s="62"/>
      <c r="AF137" s="63"/>
      <c r="AG137" s="62"/>
      <c r="AH137" s="62"/>
      <c r="AI137" s="63"/>
    </row>
    <row r="138" spans="1:35" ht="22.05" customHeight="1">
      <c r="A138" s="64">
        <v>138</v>
      </c>
      <c r="B138" s="62" t="s">
        <v>71</v>
      </c>
      <c r="C138" s="62" t="s">
        <v>981</v>
      </c>
      <c r="D138" s="62" t="s">
        <v>982</v>
      </c>
      <c r="E138" s="62" t="s">
        <v>105</v>
      </c>
      <c r="F138" s="62" t="s">
        <v>144</v>
      </c>
      <c r="G138" s="62">
        <v>133</v>
      </c>
      <c r="H138" s="62" t="s">
        <v>981</v>
      </c>
      <c r="I138" s="62" t="s">
        <v>982</v>
      </c>
      <c r="J138" s="62" t="s">
        <v>983</v>
      </c>
      <c r="K138" s="62" t="s">
        <v>984</v>
      </c>
      <c r="L138" s="62" t="s">
        <v>985</v>
      </c>
      <c r="M138" s="71">
        <v>0.21779999999999999</v>
      </c>
      <c r="N138" s="63">
        <v>0</v>
      </c>
      <c r="O138" s="71">
        <f t="shared" si="2"/>
        <v>28.967399999999998</v>
      </c>
      <c r="P138" s="85"/>
      <c r="Q138" s="85"/>
      <c r="R138" s="85"/>
      <c r="S138" s="85"/>
      <c r="T138" s="62">
        <v>35</v>
      </c>
      <c r="U138" s="62">
        <v>5000</v>
      </c>
      <c r="V138" s="62">
        <v>1</v>
      </c>
      <c r="W138" s="62"/>
      <c r="X138" s="67"/>
      <c r="Y138" s="62"/>
      <c r="Z138" s="62" t="s">
        <v>986</v>
      </c>
      <c r="AA138" s="62"/>
      <c r="AB138" s="62"/>
      <c r="AC138" s="63"/>
      <c r="AD138" s="62"/>
      <c r="AE138" s="62"/>
      <c r="AF138" s="63"/>
      <c r="AG138" s="62"/>
      <c r="AH138" s="62"/>
      <c r="AI138" s="63"/>
    </row>
    <row r="139" spans="1:35" ht="22.05" customHeight="1">
      <c r="A139" s="64">
        <v>139</v>
      </c>
      <c r="B139" s="62" t="s">
        <v>71</v>
      </c>
      <c r="C139" s="62" t="s">
        <v>987</v>
      </c>
      <c r="D139" s="62" t="s">
        <v>988</v>
      </c>
      <c r="E139" s="62" t="s">
        <v>105</v>
      </c>
      <c r="F139" s="62" t="s">
        <v>989</v>
      </c>
      <c r="G139" s="62">
        <v>5</v>
      </c>
      <c r="H139" s="62" t="s">
        <v>987</v>
      </c>
      <c r="I139" s="62" t="s">
        <v>988</v>
      </c>
      <c r="J139" s="62" t="s">
        <v>108</v>
      </c>
      <c r="K139" s="62" t="s">
        <v>990</v>
      </c>
      <c r="L139" s="62" t="s">
        <v>991</v>
      </c>
      <c r="M139" s="63">
        <v>3.73E-2</v>
      </c>
      <c r="N139" s="63">
        <v>0</v>
      </c>
      <c r="O139" s="63">
        <f t="shared" si="2"/>
        <v>0.1865</v>
      </c>
      <c r="P139" s="85"/>
      <c r="Q139" s="85"/>
      <c r="R139" s="85"/>
      <c r="S139" s="85"/>
      <c r="T139" s="62">
        <v>28</v>
      </c>
      <c r="U139" s="62">
        <v>10000</v>
      </c>
      <c r="V139" s="62"/>
      <c r="W139" s="62"/>
      <c r="X139" s="67"/>
      <c r="Y139" s="62"/>
      <c r="Z139" s="62" t="s">
        <v>992</v>
      </c>
      <c r="AA139" s="62"/>
      <c r="AB139" s="62"/>
      <c r="AC139" s="63"/>
      <c r="AD139" s="62"/>
      <c r="AE139" s="62"/>
      <c r="AF139" s="63"/>
      <c r="AG139" s="62"/>
      <c r="AH139" s="62"/>
      <c r="AI139" s="63"/>
    </row>
    <row r="140" spans="1:35" ht="22.05" customHeight="1">
      <c r="A140" s="64">
        <v>140</v>
      </c>
      <c r="B140" s="62" t="s">
        <v>71</v>
      </c>
      <c r="C140" s="62" t="s">
        <v>993</v>
      </c>
      <c r="D140" s="62" t="s">
        <v>994</v>
      </c>
      <c r="E140" s="62" t="s">
        <v>105</v>
      </c>
      <c r="F140" s="62" t="s">
        <v>995</v>
      </c>
      <c r="G140" s="62">
        <v>1</v>
      </c>
      <c r="H140" s="62" t="s">
        <v>993</v>
      </c>
      <c r="I140" s="62" t="s">
        <v>994</v>
      </c>
      <c r="J140" s="62" t="s">
        <v>996</v>
      </c>
      <c r="K140" s="62" t="s">
        <v>997</v>
      </c>
      <c r="L140" s="62" t="s">
        <v>998</v>
      </c>
      <c r="M140" s="71">
        <v>38.278500000000001</v>
      </c>
      <c r="N140" s="63">
        <v>0</v>
      </c>
      <c r="O140" s="71">
        <f t="shared" si="2"/>
        <v>38.278500000000001</v>
      </c>
      <c r="P140" s="85"/>
      <c r="Q140" s="85"/>
      <c r="R140" s="85"/>
      <c r="S140" s="85"/>
      <c r="T140" s="62">
        <v>20</v>
      </c>
      <c r="U140" s="62">
        <v>100</v>
      </c>
      <c r="V140" s="62">
        <v>100</v>
      </c>
      <c r="W140" s="62"/>
      <c r="X140" s="67"/>
      <c r="Y140" s="62"/>
      <c r="Z140" s="62"/>
      <c r="AA140" s="62"/>
      <c r="AB140" s="62"/>
      <c r="AC140" s="63"/>
      <c r="AD140" s="62"/>
      <c r="AE140" s="62"/>
      <c r="AF140" s="63"/>
      <c r="AG140" s="62"/>
      <c r="AH140" s="62"/>
      <c r="AI140" s="63"/>
    </row>
    <row r="141" spans="1:35" ht="22.05" customHeight="1">
      <c r="A141" s="64">
        <v>141</v>
      </c>
      <c r="B141" s="62" t="s">
        <v>71</v>
      </c>
      <c r="C141" s="62" t="s">
        <v>212</v>
      </c>
      <c r="D141" s="62" t="s">
        <v>213</v>
      </c>
      <c r="E141" s="62" t="s">
        <v>105</v>
      </c>
      <c r="F141" s="62" t="s">
        <v>157</v>
      </c>
      <c r="G141" s="62">
        <v>3</v>
      </c>
      <c r="H141" s="62" t="s">
        <v>212</v>
      </c>
      <c r="I141" s="62" t="s">
        <v>213</v>
      </c>
      <c r="J141" s="62" t="s">
        <v>183</v>
      </c>
      <c r="K141" s="62" t="s">
        <v>184</v>
      </c>
      <c r="L141" s="62" t="s">
        <v>185</v>
      </c>
      <c r="M141" s="63">
        <v>6.5000000000000002E-2</v>
      </c>
      <c r="N141" s="63">
        <v>0</v>
      </c>
      <c r="O141" s="63">
        <f t="shared" si="2"/>
        <v>0.19500000000000001</v>
      </c>
      <c r="P141" s="85"/>
      <c r="Q141" s="85"/>
      <c r="R141" s="85"/>
      <c r="S141" s="85"/>
      <c r="T141" s="62">
        <v>91</v>
      </c>
      <c r="U141" s="62">
        <v>0</v>
      </c>
      <c r="V141" s="62">
        <v>20000</v>
      </c>
      <c r="W141" s="62"/>
      <c r="X141" s="67"/>
      <c r="Y141" s="62"/>
      <c r="Z141" s="62" t="s">
        <v>999</v>
      </c>
      <c r="AA141" s="62"/>
      <c r="AB141" s="62"/>
      <c r="AC141" s="63"/>
      <c r="AD141" s="62"/>
      <c r="AE141" s="62"/>
      <c r="AF141" s="63"/>
      <c r="AG141" s="62"/>
      <c r="AH141" s="62"/>
      <c r="AI141" s="63"/>
    </row>
    <row r="142" spans="1:35" ht="22.05" customHeight="1">
      <c r="A142" s="64">
        <v>142</v>
      </c>
      <c r="B142" s="62" t="s">
        <v>71</v>
      </c>
      <c r="C142" s="62" t="s">
        <v>558</v>
      </c>
      <c r="D142" s="62" t="s">
        <v>559</v>
      </c>
      <c r="E142" s="62" t="s">
        <v>105</v>
      </c>
      <c r="F142" s="62" t="s">
        <v>157</v>
      </c>
      <c r="G142" s="62">
        <v>4</v>
      </c>
      <c r="H142" s="62" t="s">
        <v>558</v>
      </c>
      <c r="I142" s="62" t="s">
        <v>559</v>
      </c>
      <c r="J142" s="62" t="s">
        <v>543</v>
      </c>
      <c r="K142" s="62" t="s">
        <v>148</v>
      </c>
      <c r="L142" s="62" t="s">
        <v>149</v>
      </c>
      <c r="M142" s="63">
        <v>0.28599999999999998</v>
      </c>
      <c r="N142" s="63">
        <v>0</v>
      </c>
      <c r="O142" s="63">
        <f t="shared" si="2"/>
        <v>1.1439999999999999</v>
      </c>
      <c r="P142" s="85"/>
      <c r="Q142" s="85"/>
      <c r="R142" s="85"/>
      <c r="S142" s="85"/>
      <c r="T142" s="62">
        <v>84</v>
      </c>
      <c r="U142" s="62">
        <v>1200</v>
      </c>
      <c r="V142" s="62">
        <v>300</v>
      </c>
      <c r="W142" s="62"/>
      <c r="X142" s="67"/>
      <c r="Y142" s="62" t="s">
        <v>150</v>
      </c>
      <c r="Z142" s="62" t="s">
        <v>1000</v>
      </c>
      <c r="AA142" s="62"/>
      <c r="AB142" s="62"/>
      <c r="AC142" s="63"/>
      <c r="AD142" s="62"/>
      <c r="AE142" s="62"/>
      <c r="AF142" s="63"/>
      <c r="AG142" s="62"/>
      <c r="AH142" s="62"/>
      <c r="AI142" s="63"/>
    </row>
    <row r="143" spans="1:35" ht="22.05" customHeight="1">
      <c r="A143" s="64">
        <v>143</v>
      </c>
      <c r="B143" s="62" t="s">
        <v>71</v>
      </c>
      <c r="C143" s="62" t="s">
        <v>577</v>
      </c>
      <c r="D143" s="62" t="s">
        <v>578</v>
      </c>
      <c r="E143" s="62" t="s">
        <v>105</v>
      </c>
      <c r="F143" s="62" t="s">
        <v>157</v>
      </c>
      <c r="G143" s="62">
        <v>6</v>
      </c>
      <c r="H143" s="62" t="s">
        <v>577</v>
      </c>
      <c r="I143" s="62" t="s">
        <v>578</v>
      </c>
      <c r="J143" s="62" t="s">
        <v>205</v>
      </c>
      <c r="K143" s="62" t="s">
        <v>579</v>
      </c>
      <c r="L143" s="62" t="s">
        <v>580</v>
      </c>
      <c r="M143" s="63">
        <v>1.2</v>
      </c>
      <c r="N143" s="63">
        <v>0</v>
      </c>
      <c r="O143" s="63">
        <f t="shared" si="2"/>
        <v>7.1999999999999993</v>
      </c>
      <c r="P143" s="85"/>
      <c r="Q143" s="85"/>
      <c r="R143" s="85"/>
      <c r="S143" s="85"/>
      <c r="T143" s="62">
        <v>30</v>
      </c>
      <c r="U143" s="62">
        <v>1</v>
      </c>
      <c r="V143" s="62">
        <v>1</v>
      </c>
      <c r="W143" s="62"/>
      <c r="X143" s="67"/>
      <c r="Y143" s="62"/>
      <c r="Z143" s="62" t="s">
        <v>1001</v>
      </c>
      <c r="AA143" s="62"/>
      <c r="AB143" s="62"/>
      <c r="AC143" s="63"/>
      <c r="AD143" s="62"/>
      <c r="AE143" s="62"/>
      <c r="AF143" s="63"/>
      <c r="AG143" s="62"/>
      <c r="AH143" s="62"/>
      <c r="AI143" s="63"/>
    </row>
    <row r="144" spans="1:35" ht="22.05" customHeight="1">
      <c r="A144" s="64">
        <v>144</v>
      </c>
      <c r="B144" s="62" t="s">
        <v>71</v>
      </c>
      <c r="C144" s="62" t="s">
        <v>1002</v>
      </c>
      <c r="D144" s="62" t="s">
        <v>1003</v>
      </c>
      <c r="E144" s="62" t="s">
        <v>105</v>
      </c>
      <c r="F144" s="62" t="s">
        <v>157</v>
      </c>
      <c r="G144" s="62">
        <v>6</v>
      </c>
      <c r="H144" s="62" t="s">
        <v>1002</v>
      </c>
      <c r="I144" s="62" t="s">
        <v>1003</v>
      </c>
      <c r="J144" s="62" t="s">
        <v>183</v>
      </c>
      <c r="K144" s="62" t="s">
        <v>636</v>
      </c>
      <c r="L144" s="62" t="s">
        <v>637</v>
      </c>
      <c r="M144" s="63">
        <v>0.24879999999999999</v>
      </c>
      <c r="N144" s="63">
        <v>0</v>
      </c>
      <c r="O144" s="63">
        <f t="shared" si="2"/>
        <v>1.4927999999999999</v>
      </c>
      <c r="P144" s="85"/>
      <c r="Q144" s="85"/>
      <c r="R144" s="85"/>
      <c r="S144" s="85"/>
      <c r="T144" s="62">
        <v>112</v>
      </c>
      <c r="U144" s="62">
        <v>0</v>
      </c>
      <c r="V144" s="62">
        <v>3000</v>
      </c>
      <c r="W144" s="62"/>
      <c r="X144" s="67"/>
      <c r="Y144" s="62"/>
      <c r="Z144" s="62" t="s">
        <v>1004</v>
      </c>
      <c r="AA144" s="62"/>
      <c r="AB144" s="62"/>
      <c r="AC144" s="63"/>
      <c r="AD144" s="62"/>
      <c r="AE144" s="62"/>
      <c r="AF144" s="63"/>
      <c r="AG144" s="62"/>
      <c r="AH144" s="62"/>
      <c r="AI144" s="63"/>
    </row>
    <row r="145" spans="1:35" ht="22.05" customHeight="1">
      <c r="A145" s="64">
        <v>145</v>
      </c>
      <c r="B145" s="62" t="s">
        <v>71</v>
      </c>
      <c r="C145" s="62" t="s">
        <v>1005</v>
      </c>
      <c r="D145" s="62" t="s">
        <v>1006</v>
      </c>
      <c r="E145" s="62" t="s">
        <v>105</v>
      </c>
      <c r="F145" s="62" t="s">
        <v>157</v>
      </c>
      <c r="G145" s="62">
        <v>1</v>
      </c>
      <c r="H145" s="62" t="s">
        <v>1005</v>
      </c>
      <c r="I145" s="62" t="s">
        <v>1007</v>
      </c>
      <c r="J145" s="62" t="s">
        <v>789</v>
      </c>
      <c r="K145" s="62" t="s">
        <v>1008</v>
      </c>
      <c r="L145" s="62" t="s">
        <v>1009</v>
      </c>
      <c r="M145" s="63">
        <v>0.72</v>
      </c>
      <c r="N145" s="63">
        <v>0</v>
      </c>
      <c r="O145" s="63">
        <f t="shared" ref="O145:O208" si="3">G145*M145</f>
        <v>0.72</v>
      </c>
      <c r="P145" s="85"/>
      <c r="Q145" s="85"/>
      <c r="R145" s="85"/>
      <c r="S145" s="85"/>
      <c r="T145" s="62">
        <v>56</v>
      </c>
      <c r="U145" s="62">
        <v>3000</v>
      </c>
      <c r="V145" s="62">
        <v>3000</v>
      </c>
      <c r="W145" s="62"/>
      <c r="X145" s="67"/>
      <c r="Y145" s="62" t="s">
        <v>150</v>
      </c>
      <c r="Z145" s="62" t="s">
        <v>1010</v>
      </c>
      <c r="AA145" s="62"/>
      <c r="AB145" s="62"/>
      <c r="AC145" s="63"/>
      <c r="AD145" s="62"/>
      <c r="AE145" s="62"/>
      <c r="AF145" s="63"/>
      <c r="AG145" s="62"/>
      <c r="AH145" s="62"/>
      <c r="AI145" s="63"/>
    </row>
    <row r="146" spans="1:35" ht="22.05" customHeight="1">
      <c r="A146" s="64">
        <v>146</v>
      </c>
      <c r="B146" s="62" t="s">
        <v>71</v>
      </c>
      <c r="C146" s="62" t="s">
        <v>1011</v>
      </c>
      <c r="D146" s="62" t="s">
        <v>1012</v>
      </c>
      <c r="E146" s="62" t="s">
        <v>105</v>
      </c>
      <c r="F146" s="62" t="s">
        <v>157</v>
      </c>
      <c r="G146" s="62">
        <v>2</v>
      </c>
      <c r="H146" s="62" t="s">
        <v>1011</v>
      </c>
      <c r="I146" s="62" t="s">
        <v>1013</v>
      </c>
      <c r="J146" s="62" t="s">
        <v>912</v>
      </c>
      <c r="K146" s="62"/>
      <c r="L146" s="69" t="s">
        <v>602</v>
      </c>
      <c r="M146" s="66">
        <v>0</v>
      </c>
      <c r="N146" s="63">
        <v>0</v>
      </c>
      <c r="O146" s="63">
        <f t="shared" si="3"/>
        <v>0</v>
      </c>
      <c r="P146" s="85"/>
      <c r="Q146" s="85"/>
      <c r="R146" s="85"/>
      <c r="S146" s="85"/>
      <c r="T146" s="62">
        <v>0</v>
      </c>
      <c r="U146" s="62"/>
      <c r="V146" s="62"/>
      <c r="W146" s="62"/>
      <c r="X146" s="69" t="s">
        <v>603</v>
      </c>
      <c r="Y146" s="62" t="s">
        <v>150</v>
      </c>
      <c r="Z146" s="62" t="s">
        <v>1014</v>
      </c>
      <c r="AA146" s="62"/>
      <c r="AB146" s="62"/>
      <c r="AC146" s="63"/>
      <c r="AD146" s="62"/>
      <c r="AE146" s="62"/>
      <c r="AF146" s="63"/>
      <c r="AG146" s="62"/>
      <c r="AH146" s="62"/>
      <c r="AI146" s="63"/>
    </row>
    <row r="147" spans="1:35" ht="22.05" customHeight="1">
      <c r="A147" s="64">
        <v>147</v>
      </c>
      <c r="B147" s="62" t="s">
        <v>71</v>
      </c>
      <c r="C147" s="62" t="s">
        <v>1015</v>
      </c>
      <c r="D147" s="62" t="s">
        <v>1016</v>
      </c>
      <c r="E147" s="62" t="s">
        <v>105</v>
      </c>
      <c r="F147" s="62" t="s">
        <v>989</v>
      </c>
      <c r="G147" s="62">
        <v>1</v>
      </c>
      <c r="H147" s="62" t="s">
        <v>1015</v>
      </c>
      <c r="I147" s="62" t="s">
        <v>1017</v>
      </c>
      <c r="J147" s="62" t="s">
        <v>983</v>
      </c>
      <c r="K147" s="62" t="s">
        <v>937</v>
      </c>
      <c r="L147" s="62" t="s">
        <v>938</v>
      </c>
      <c r="M147" s="63">
        <v>3</v>
      </c>
      <c r="N147" s="63">
        <v>0</v>
      </c>
      <c r="O147" s="63">
        <f t="shared" si="3"/>
        <v>3</v>
      </c>
      <c r="P147" s="85"/>
      <c r="Q147" s="85"/>
      <c r="R147" s="85"/>
      <c r="S147" s="85"/>
      <c r="T147" s="62">
        <v>28</v>
      </c>
      <c r="U147" s="62">
        <v>1000</v>
      </c>
      <c r="V147" s="62">
        <v>1</v>
      </c>
      <c r="W147" s="62"/>
      <c r="X147" s="67"/>
      <c r="Y147" s="62"/>
      <c r="Z147" s="62" t="s">
        <v>1018</v>
      </c>
      <c r="AA147" s="62"/>
      <c r="AB147" s="62"/>
      <c r="AC147" s="63"/>
      <c r="AD147" s="62"/>
      <c r="AE147" s="62"/>
      <c r="AF147" s="63"/>
      <c r="AG147" s="62"/>
      <c r="AH147" s="62"/>
      <c r="AI147" s="63"/>
    </row>
    <row r="148" spans="1:35" ht="22.05" customHeight="1">
      <c r="A148" s="64">
        <v>148</v>
      </c>
      <c r="B148" s="62" t="s">
        <v>71</v>
      </c>
      <c r="C148" s="62" t="s">
        <v>953</v>
      </c>
      <c r="D148" s="62" t="s">
        <v>954</v>
      </c>
      <c r="E148" s="62" t="s">
        <v>105</v>
      </c>
      <c r="F148" s="62" t="s">
        <v>157</v>
      </c>
      <c r="G148" s="62">
        <v>8</v>
      </c>
      <c r="H148" s="62" t="s">
        <v>953</v>
      </c>
      <c r="I148" s="62" t="s">
        <v>954</v>
      </c>
      <c r="J148" s="62" t="s">
        <v>955</v>
      </c>
      <c r="K148" s="62" t="s">
        <v>956</v>
      </c>
      <c r="L148" s="62" t="s">
        <v>957</v>
      </c>
      <c r="M148" s="63">
        <v>1.2</v>
      </c>
      <c r="N148" s="63">
        <v>0</v>
      </c>
      <c r="O148" s="63">
        <f t="shared" si="3"/>
        <v>9.6</v>
      </c>
      <c r="P148" s="85"/>
      <c r="Q148" s="85"/>
      <c r="R148" s="85"/>
      <c r="S148" s="85"/>
      <c r="T148" s="62">
        <v>30</v>
      </c>
      <c r="U148" s="62">
        <v>5000</v>
      </c>
      <c r="V148" s="62">
        <v>5000</v>
      </c>
      <c r="W148" s="62"/>
      <c r="X148" s="67"/>
      <c r="Y148" s="62"/>
      <c r="Z148" s="62" t="s">
        <v>1019</v>
      </c>
      <c r="AA148" s="62"/>
      <c r="AB148" s="62"/>
      <c r="AC148" s="63"/>
      <c r="AD148" s="62"/>
      <c r="AE148" s="62"/>
      <c r="AF148" s="63"/>
      <c r="AG148" s="62"/>
      <c r="AH148" s="62"/>
      <c r="AI148" s="63"/>
    </row>
    <row r="149" spans="1:35" ht="22.05" customHeight="1">
      <c r="A149" s="64">
        <v>149</v>
      </c>
      <c r="B149" s="62" t="s">
        <v>71</v>
      </c>
      <c r="C149" s="62" t="s">
        <v>1020</v>
      </c>
      <c r="D149" s="62" t="s">
        <v>1021</v>
      </c>
      <c r="E149" s="62" t="s">
        <v>105</v>
      </c>
      <c r="F149" s="62" t="s">
        <v>157</v>
      </c>
      <c r="G149" s="62">
        <v>14</v>
      </c>
      <c r="H149" s="62" t="s">
        <v>1020</v>
      </c>
      <c r="I149" s="62" t="s">
        <v>1021</v>
      </c>
      <c r="J149" s="62" t="s">
        <v>1022</v>
      </c>
      <c r="K149" s="62" t="s">
        <v>1023</v>
      </c>
      <c r="L149" s="62" t="s">
        <v>1024</v>
      </c>
      <c r="M149" s="63">
        <v>7.8200000000000006E-2</v>
      </c>
      <c r="N149" s="63">
        <v>0</v>
      </c>
      <c r="O149" s="63">
        <f t="shared" si="3"/>
        <v>1.0948</v>
      </c>
      <c r="P149" s="85"/>
      <c r="Q149" s="85"/>
      <c r="R149" s="85"/>
      <c r="S149" s="85"/>
      <c r="T149" s="62">
        <v>98</v>
      </c>
      <c r="U149" s="62">
        <v>0</v>
      </c>
      <c r="V149" s="62">
        <v>24000</v>
      </c>
      <c r="W149" s="62"/>
      <c r="X149" s="67"/>
      <c r="Y149" s="62"/>
      <c r="Z149" s="62" t="s">
        <v>1025</v>
      </c>
      <c r="AA149" s="62"/>
      <c r="AB149" s="62"/>
      <c r="AC149" s="63"/>
      <c r="AD149" s="62"/>
      <c r="AE149" s="62"/>
      <c r="AF149" s="63"/>
      <c r="AG149" s="62"/>
      <c r="AH149" s="62"/>
      <c r="AI149" s="63"/>
    </row>
    <row r="150" spans="1:35" ht="22.05" customHeight="1">
      <c r="A150" s="64">
        <v>150</v>
      </c>
      <c r="B150" s="62" t="s">
        <v>71</v>
      </c>
      <c r="C150" s="62" t="s">
        <v>975</v>
      </c>
      <c r="D150" s="62" t="s">
        <v>976</v>
      </c>
      <c r="E150" s="62" t="s">
        <v>105</v>
      </c>
      <c r="F150" s="62" t="s">
        <v>970</v>
      </c>
      <c r="G150" s="62">
        <v>8</v>
      </c>
      <c r="H150" s="62" t="s">
        <v>975</v>
      </c>
      <c r="I150" s="62" t="s">
        <v>976</v>
      </c>
      <c r="J150" s="62" t="s">
        <v>977</v>
      </c>
      <c r="K150" s="62" t="s">
        <v>978</v>
      </c>
      <c r="L150" s="62" t="s">
        <v>979</v>
      </c>
      <c r="M150" s="63">
        <v>0.24</v>
      </c>
      <c r="N150" s="63">
        <v>0</v>
      </c>
      <c r="O150" s="63">
        <f t="shared" si="3"/>
        <v>1.92</v>
      </c>
      <c r="P150" s="85"/>
      <c r="Q150" s="85"/>
      <c r="R150" s="85"/>
      <c r="S150" s="85"/>
      <c r="T150" s="62">
        <v>21</v>
      </c>
      <c r="U150" s="62">
        <v>10000</v>
      </c>
      <c r="V150" s="62">
        <v>1000</v>
      </c>
      <c r="W150" s="62"/>
      <c r="X150" s="67"/>
      <c r="Y150" s="62" t="s">
        <v>150</v>
      </c>
      <c r="Z150" s="62" t="s">
        <v>1019</v>
      </c>
      <c r="AA150" s="62"/>
      <c r="AB150" s="62"/>
      <c r="AC150" s="63"/>
      <c r="AD150" s="62"/>
      <c r="AE150" s="62"/>
      <c r="AF150" s="63"/>
      <c r="AG150" s="62"/>
      <c r="AH150" s="62"/>
      <c r="AI150" s="63"/>
    </row>
    <row r="151" spans="1:35" ht="22.05" customHeight="1">
      <c r="A151" s="64">
        <v>151</v>
      </c>
      <c r="B151" s="62" t="s">
        <v>71</v>
      </c>
      <c r="C151" s="62" t="s">
        <v>987</v>
      </c>
      <c r="D151" s="62" t="s">
        <v>988</v>
      </c>
      <c r="E151" s="62" t="s">
        <v>105</v>
      </c>
      <c r="F151" s="62" t="s">
        <v>989</v>
      </c>
      <c r="G151" s="62">
        <v>4</v>
      </c>
      <c r="H151" s="62" t="s">
        <v>987</v>
      </c>
      <c r="I151" s="62" t="s">
        <v>988</v>
      </c>
      <c r="J151" s="62" t="s">
        <v>108</v>
      </c>
      <c r="K151" s="62" t="s">
        <v>990</v>
      </c>
      <c r="L151" s="62" t="s">
        <v>991</v>
      </c>
      <c r="M151" s="63">
        <v>3.73E-2</v>
      </c>
      <c r="N151" s="63">
        <v>0</v>
      </c>
      <c r="O151" s="63">
        <f t="shared" si="3"/>
        <v>0.1492</v>
      </c>
      <c r="P151" s="85"/>
      <c r="Q151" s="85"/>
      <c r="R151" s="85"/>
      <c r="S151" s="85"/>
      <c r="T151" s="62">
        <v>28</v>
      </c>
      <c r="U151" s="62">
        <v>10000</v>
      </c>
      <c r="V151" s="62"/>
      <c r="W151" s="62"/>
      <c r="X151" s="67"/>
      <c r="Y151" s="62"/>
      <c r="Z151" s="62" t="s">
        <v>1000</v>
      </c>
      <c r="AA151" s="62"/>
      <c r="AB151" s="62"/>
      <c r="AC151" s="63"/>
      <c r="AD151" s="62"/>
      <c r="AE151" s="62"/>
      <c r="AF151" s="63"/>
      <c r="AG151" s="62"/>
      <c r="AH151" s="62"/>
      <c r="AI151" s="63"/>
    </row>
    <row r="152" spans="1:35" ht="22.05" customHeight="1">
      <c r="A152" s="64">
        <v>152</v>
      </c>
      <c r="B152" s="62" t="s">
        <v>71</v>
      </c>
      <c r="C152" s="62" t="s">
        <v>1026</v>
      </c>
      <c r="D152" s="62" t="s">
        <v>2130</v>
      </c>
      <c r="E152" s="62" t="s">
        <v>105</v>
      </c>
      <c r="F152" s="62" t="s">
        <v>995</v>
      </c>
      <c r="G152" s="62">
        <v>1</v>
      </c>
      <c r="H152" s="62" t="s">
        <v>1026</v>
      </c>
      <c r="I152" s="62" t="s">
        <v>1027</v>
      </c>
      <c r="J152" s="62" t="s">
        <v>996</v>
      </c>
      <c r="K152" s="62" t="s">
        <v>997</v>
      </c>
      <c r="L152" s="62" t="s">
        <v>998</v>
      </c>
      <c r="M152" s="71">
        <v>10.567500000000001</v>
      </c>
      <c r="N152" s="63">
        <v>0</v>
      </c>
      <c r="O152" s="71">
        <f t="shared" si="3"/>
        <v>10.567500000000001</v>
      </c>
      <c r="P152" s="85"/>
      <c r="Q152" s="85"/>
      <c r="R152" s="85"/>
      <c r="S152" s="85"/>
      <c r="T152" s="62">
        <v>20</v>
      </c>
      <c r="U152" s="62">
        <v>100</v>
      </c>
      <c r="V152" s="62">
        <v>100</v>
      </c>
      <c r="W152" s="62"/>
      <c r="X152" s="67"/>
      <c r="Y152" s="62"/>
      <c r="Z152" s="62"/>
      <c r="AA152" s="62"/>
      <c r="AB152" s="62"/>
      <c r="AC152" s="63"/>
      <c r="AD152" s="62"/>
      <c r="AE152" s="62"/>
      <c r="AF152" s="63"/>
      <c r="AG152" s="62"/>
      <c r="AH152" s="62"/>
      <c r="AI152" s="63"/>
    </row>
    <row r="153" spans="1:35" ht="22.05" customHeight="1">
      <c r="A153" s="64">
        <v>153</v>
      </c>
      <c r="B153" s="62" t="s">
        <v>71</v>
      </c>
      <c r="C153" s="62" t="s">
        <v>1028</v>
      </c>
      <c r="D153" s="62" t="s">
        <v>1029</v>
      </c>
      <c r="E153" s="62" t="s">
        <v>105</v>
      </c>
      <c r="F153" s="62" t="s">
        <v>144</v>
      </c>
      <c r="G153" s="62">
        <v>2</v>
      </c>
      <c r="H153" s="65" t="s">
        <v>237</v>
      </c>
      <c r="I153" s="62" t="s">
        <v>238</v>
      </c>
      <c r="J153" s="62" t="s">
        <v>218</v>
      </c>
      <c r="K153" s="62" t="s">
        <v>219</v>
      </c>
      <c r="L153" s="62" t="s">
        <v>185</v>
      </c>
      <c r="M153" s="63">
        <v>4.1999999999999997E-3</v>
      </c>
      <c r="N153" s="63">
        <v>0</v>
      </c>
      <c r="O153" s="63">
        <f t="shared" si="3"/>
        <v>8.3999999999999995E-3</v>
      </c>
      <c r="P153" s="85"/>
      <c r="Q153" s="85"/>
      <c r="R153" s="85"/>
      <c r="S153" s="85"/>
      <c r="T153" s="62">
        <v>49</v>
      </c>
      <c r="U153" s="62">
        <v>1</v>
      </c>
      <c r="V153" s="62"/>
      <c r="W153" s="62"/>
      <c r="X153" s="67"/>
      <c r="Y153" s="62"/>
      <c r="Z153" s="62" t="s">
        <v>1030</v>
      </c>
      <c r="AA153" s="62" t="s">
        <v>239</v>
      </c>
      <c r="AB153" s="62" t="s">
        <v>240</v>
      </c>
      <c r="AC153" s="66">
        <v>7.4999999999999997E-3</v>
      </c>
      <c r="AD153" s="62" t="s">
        <v>1028</v>
      </c>
      <c r="AE153" s="62" t="s">
        <v>1029</v>
      </c>
      <c r="AF153" s="66" t="s">
        <v>154</v>
      </c>
      <c r="AG153" s="62"/>
      <c r="AH153" s="62"/>
      <c r="AI153" s="63"/>
    </row>
    <row r="154" spans="1:35" ht="22.05" customHeight="1">
      <c r="A154" s="64">
        <v>154</v>
      </c>
      <c r="B154" s="62" t="s">
        <v>71</v>
      </c>
      <c r="C154" s="62" t="s">
        <v>1031</v>
      </c>
      <c r="D154" s="62" t="s">
        <v>1032</v>
      </c>
      <c r="E154" s="62" t="s">
        <v>105</v>
      </c>
      <c r="F154" s="62" t="s">
        <v>144</v>
      </c>
      <c r="G154" s="62">
        <v>1</v>
      </c>
      <c r="H154" s="65" t="s">
        <v>1033</v>
      </c>
      <c r="I154" s="62" t="s">
        <v>1034</v>
      </c>
      <c r="J154" s="62" t="s">
        <v>183</v>
      </c>
      <c r="K154" s="62" t="s">
        <v>184</v>
      </c>
      <c r="L154" s="62" t="s">
        <v>185</v>
      </c>
      <c r="M154" s="63">
        <v>4.4999999999999997E-3</v>
      </c>
      <c r="N154" s="63">
        <v>0</v>
      </c>
      <c r="O154" s="63">
        <f t="shared" si="3"/>
        <v>4.4999999999999997E-3</v>
      </c>
      <c r="P154" s="85"/>
      <c r="Q154" s="85"/>
      <c r="R154" s="85"/>
      <c r="S154" s="85"/>
      <c r="T154" s="62">
        <v>56</v>
      </c>
      <c r="U154" s="62">
        <v>0</v>
      </c>
      <c r="V154" s="62">
        <v>5000</v>
      </c>
      <c r="W154" s="62"/>
      <c r="X154" s="67"/>
      <c r="Y154" s="62"/>
      <c r="Z154" s="62" t="s">
        <v>220</v>
      </c>
      <c r="AA154" s="62" t="s">
        <v>1035</v>
      </c>
      <c r="AB154" s="62" t="s">
        <v>1036</v>
      </c>
      <c r="AC154" s="66">
        <v>7.4999999999999997E-3</v>
      </c>
      <c r="AD154" s="62" t="s">
        <v>1031</v>
      </c>
      <c r="AE154" s="62" t="s">
        <v>1032</v>
      </c>
      <c r="AF154" s="66" t="s">
        <v>154</v>
      </c>
      <c r="AG154" s="62"/>
      <c r="AH154" s="62"/>
      <c r="AI154" s="63"/>
    </row>
    <row r="155" spans="1:35" ht="22.05" customHeight="1">
      <c r="A155" s="64">
        <v>155</v>
      </c>
      <c r="B155" s="62" t="s">
        <v>71</v>
      </c>
      <c r="C155" s="62" t="s">
        <v>1037</v>
      </c>
      <c r="D155" s="62" t="s">
        <v>1038</v>
      </c>
      <c r="E155" s="62" t="s">
        <v>105</v>
      </c>
      <c r="F155" s="62" t="s">
        <v>157</v>
      </c>
      <c r="G155" s="62">
        <v>1</v>
      </c>
      <c r="H155" s="62" t="s">
        <v>1037</v>
      </c>
      <c r="I155" s="62" t="s">
        <v>1038</v>
      </c>
      <c r="J155" s="62" t="s">
        <v>183</v>
      </c>
      <c r="K155" s="62" t="s">
        <v>1039</v>
      </c>
      <c r="L155" s="62" t="s">
        <v>110</v>
      </c>
      <c r="M155" s="63">
        <v>0.1842</v>
      </c>
      <c r="N155" s="63">
        <v>0</v>
      </c>
      <c r="O155" s="63">
        <f t="shared" si="3"/>
        <v>0.1842</v>
      </c>
      <c r="P155" s="85"/>
      <c r="Q155" s="85"/>
      <c r="R155" s="85"/>
      <c r="S155" s="85"/>
      <c r="T155" s="62">
        <v>56</v>
      </c>
      <c r="U155" s="62">
        <v>0</v>
      </c>
      <c r="V155" s="62">
        <v>1000</v>
      </c>
      <c r="W155" s="62"/>
      <c r="X155" s="67"/>
      <c r="Y155" s="62"/>
      <c r="Z155" s="62" t="s">
        <v>1040</v>
      </c>
      <c r="AA155" s="62" t="s">
        <v>1041</v>
      </c>
      <c r="AB155" s="62" t="s">
        <v>1042</v>
      </c>
      <c r="AC155" s="63">
        <v>0.21390000000000001</v>
      </c>
      <c r="AD155" s="62"/>
      <c r="AE155" s="62"/>
      <c r="AF155" s="63"/>
      <c r="AG155" s="62"/>
      <c r="AH155" s="62"/>
      <c r="AI155" s="63"/>
    </row>
    <row r="156" spans="1:35" ht="22.05" customHeight="1">
      <c r="A156" s="64">
        <v>156</v>
      </c>
      <c r="B156" s="62" t="s">
        <v>71</v>
      </c>
      <c r="C156" s="62" t="s">
        <v>1043</v>
      </c>
      <c r="D156" s="62" t="s">
        <v>1044</v>
      </c>
      <c r="E156" s="62" t="s">
        <v>105</v>
      </c>
      <c r="F156" s="62" t="s">
        <v>157</v>
      </c>
      <c r="G156" s="62">
        <v>1</v>
      </c>
      <c r="H156" s="62" t="s">
        <v>1043</v>
      </c>
      <c r="I156" s="62" t="s">
        <v>1044</v>
      </c>
      <c r="J156" s="62" t="s">
        <v>218</v>
      </c>
      <c r="K156" s="62" t="s">
        <v>234</v>
      </c>
      <c r="L156" s="62" t="s">
        <v>235</v>
      </c>
      <c r="M156" s="63">
        <v>0.108</v>
      </c>
      <c r="N156" s="63">
        <v>0</v>
      </c>
      <c r="O156" s="63">
        <f t="shared" si="3"/>
        <v>0.108</v>
      </c>
      <c r="P156" s="85"/>
      <c r="Q156" s="85"/>
      <c r="R156" s="85"/>
      <c r="S156" s="85"/>
      <c r="T156" s="62">
        <v>42</v>
      </c>
      <c r="U156" s="62">
        <v>500</v>
      </c>
      <c r="V156" s="62"/>
      <c r="W156" s="62"/>
      <c r="X156" s="67"/>
      <c r="Y156" s="62"/>
      <c r="Z156" s="62" t="s">
        <v>1045</v>
      </c>
      <c r="AA156" s="62" t="s">
        <v>1046</v>
      </c>
      <c r="AB156" s="62" t="s">
        <v>1047</v>
      </c>
      <c r="AC156" s="63">
        <v>0.20960000000000001</v>
      </c>
      <c r="AD156" s="62"/>
      <c r="AE156" s="62"/>
      <c r="AF156" s="63"/>
      <c r="AG156" s="62"/>
      <c r="AH156" s="62"/>
      <c r="AI156" s="63"/>
    </row>
    <row r="157" spans="1:35" ht="22.05" customHeight="1">
      <c r="A157" s="64">
        <v>157</v>
      </c>
      <c r="B157" s="62" t="s">
        <v>71</v>
      </c>
      <c r="C157" s="62" t="s">
        <v>1048</v>
      </c>
      <c r="D157" s="62" t="s">
        <v>1049</v>
      </c>
      <c r="E157" s="62" t="s">
        <v>105</v>
      </c>
      <c r="F157" s="62" t="s">
        <v>157</v>
      </c>
      <c r="G157" s="62">
        <v>1</v>
      </c>
      <c r="H157" s="62" t="s">
        <v>1048</v>
      </c>
      <c r="I157" s="62" t="s">
        <v>1049</v>
      </c>
      <c r="J157" s="62" t="s">
        <v>183</v>
      </c>
      <c r="K157" s="62" t="s">
        <v>1008</v>
      </c>
      <c r="L157" s="62" t="s">
        <v>1009</v>
      </c>
      <c r="M157" s="63">
        <v>6.8000000000000005E-2</v>
      </c>
      <c r="N157" s="63">
        <v>0</v>
      </c>
      <c r="O157" s="63">
        <f t="shared" si="3"/>
        <v>6.8000000000000005E-2</v>
      </c>
      <c r="P157" s="85"/>
      <c r="Q157" s="85"/>
      <c r="R157" s="85"/>
      <c r="S157" s="85"/>
      <c r="T157" s="62">
        <v>105</v>
      </c>
      <c r="U157" s="62">
        <v>0</v>
      </c>
      <c r="V157" s="62">
        <v>1000</v>
      </c>
      <c r="W157" s="62"/>
      <c r="X157" s="67"/>
      <c r="Y157" s="62"/>
      <c r="Z157" s="62" t="s">
        <v>1050</v>
      </c>
      <c r="AA157" s="62" t="s">
        <v>1051</v>
      </c>
      <c r="AB157" s="62" t="s">
        <v>1052</v>
      </c>
      <c r="AC157" s="66">
        <v>0.2</v>
      </c>
      <c r="AD157" s="62"/>
      <c r="AE157" s="62"/>
      <c r="AF157" s="63"/>
      <c r="AG157" s="62"/>
      <c r="AH157" s="62"/>
      <c r="AI157" s="63"/>
    </row>
    <row r="158" spans="1:35" ht="22.05" customHeight="1">
      <c r="A158" s="64">
        <v>158</v>
      </c>
      <c r="B158" s="62" t="s">
        <v>71</v>
      </c>
      <c r="C158" s="62" t="s">
        <v>1053</v>
      </c>
      <c r="D158" s="62" t="s">
        <v>1054</v>
      </c>
      <c r="E158" s="62" t="s">
        <v>105</v>
      </c>
      <c r="F158" s="62" t="s">
        <v>144</v>
      </c>
      <c r="G158" s="62">
        <v>1</v>
      </c>
      <c r="H158" s="62" t="s">
        <v>1053</v>
      </c>
      <c r="I158" s="62" t="s">
        <v>1054</v>
      </c>
      <c r="J158" s="62" t="s">
        <v>789</v>
      </c>
      <c r="K158" s="62" t="s">
        <v>795</v>
      </c>
      <c r="L158" s="62" t="s">
        <v>796</v>
      </c>
      <c r="M158" s="63">
        <v>0.28060000000000002</v>
      </c>
      <c r="N158" s="63">
        <v>0</v>
      </c>
      <c r="O158" s="63">
        <f t="shared" si="3"/>
        <v>0.28060000000000002</v>
      </c>
      <c r="P158" s="85"/>
      <c r="Q158" s="85"/>
      <c r="R158" s="85"/>
      <c r="S158" s="85"/>
      <c r="T158" s="62">
        <v>56</v>
      </c>
      <c r="U158" s="62">
        <v>1500</v>
      </c>
      <c r="V158" s="62"/>
      <c r="W158" s="62"/>
      <c r="X158" s="67"/>
      <c r="Y158" s="62"/>
      <c r="Z158" s="62" t="s">
        <v>1055</v>
      </c>
      <c r="AA158" s="62"/>
      <c r="AB158" s="62"/>
      <c r="AC158" s="63"/>
      <c r="AD158" s="62"/>
      <c r="AE158" s="62"/>
      <c r="AF158" s="63"/>
      <c r="AG158" s="62"/>
      <c r="AH158" s="62"/>
      <c r="AI158" s="63"/>
    </row>
    <row r="159" spans="1:35" ht="22.05" customHeight="1">
      <c r="A159" s="64">
        <v>159</v>
      </c>
      <c r="B159" s="62" t="s">
        <v>71</v>
      </c>
      <c r="C159" s="62" t="s">
        <v>1056</v>
      </c>
      <c r="D159" s="62" t="s">
        <v>1057</v>
      </c>
      <c r="E159" s="62" t="s">
        <v>105</v>
      </c>
      <c r="F159" s="62" t="s">
        <v>157</v>
      </c>
      <c r="G159" s="62">
        <v>5</v>
      </c>
      <c r="H159" s="62" t="s">
        <v>1056</v>
      </c>
      <c r="I159" s="62" t="s">
        <v>1057</v>
      </c>
      <c r="J159" s="62" t="s">
        <v>172</v>
      </c>
      <c r="K159" s="62" t="s">
        <v>1058</v>
      </c>
      <c r="L159" s="62" t="s">
        <v>1059</v>
      </c>
      <c r="M159" s="63">
        <v>0.08</v>
      </c>
      <c r="N159" s="63">
        <v>0</v>
      </c>
      <c r="O159" s="63">
        <f t="shared" si="3"/>
        <v>0.4</v>
      </c>
      <c r="P159" s="85"/>
      <c r="Q159" s="85"/>
      <c r="R159" s="85"/>
      <c r="S159" s="85"/>
      <c r="T159" s="62">
        <v>35</v>
      </c>
      <c r="U159" s="62">
        <v>7500</v>
      </c>
      <c r="V159" s="62"/>
      <c r="W159" s="62"/>
      <c r="X159" s="67"/>
      <c r="Y159" s="62"/>
      <c r="Z159" s="62" t="s">
        <v>1060</v>
      </c>
      <c r="AA159" s="62"/>
      <c r="AB159" s="62"/>
      <c r="AC159" s="63"/>
      <c r="AD159" s="62"/>
      <c r="AE159" s="62"/>
      <c r="AF159" s="63"/>
      <c r="AG159" s="62"/>
      <c r="AH159" s="62"/>
      <c r="AI159" s="63"/>
    </row>
    <row r="160" spans="1:35" ht="22.05" customHeight="1">
      <c r="A160" s="64">
        <v>160</v>
      </c>
      <c r="B160" s="62" t="s">
        <v>71</v>
      </c>
      <c r="C160" s="62" t="s">
        <v>1061</v>
      </c>
      <c r="D160" s="62" t="s">
        <v>1062</v>
      </c>
      <c r="E160" s="62" t="s">
        <v>105</v>
      </c>
      <c r="F160" s="62" t="s">
        <v>106</v>
      </c>
      <c r="G160" s="62">
        <v>1</v>
      </c>
      <c r="H160" s="62" t="s">
        <v>1061</v>
      </c>
      <c r="I160" s="62" t="s">
        <v>1062</v>
      </c>
      <c r="J160" s="62" t="s">
        <v>1022</v>
      </c>
      <c r="K160" s="62" t="s">
        <v>1063</v>
      </c>
      <c r="L160" s="62" t="s">
        <v>1064</v>
      </c>
      <c r="M160" s="63">
        <v>3.6700000000000003E-2</v>
      </c>
      <c r="N160" s="63">
        <v>0</v>
      </c>
      <c r="O160" s="63">
        <f t="shared" si="3"/>
        <v>3.6700000000000003E-2</v>
      </c>
      <c r="P160" s="85"/>
      <c r="Q160" s="85"/>
      <c r="R160" s="85"/>
      <c r="S160" s="85"/>
      <c r="T160" s="62">
        <v>14</v>
      </c>
      <c r="U160" s="62">
        <v>0</v>
      </c>
      <c r="V160" s="62">
        <v>100</v>
      </c>
      <c r="W160" s="62"/>
      <c r="X160" s="67"/>
      <c r="Y160" s="62"/>
      <c r="Z160" s="62" t="s">
        <v>1040</v>
      </c>
      <c r="AA160" s="62"/>
      <c r="AB160" s="62"/>
      <c r="AC160" s="63"/>
      <c r="AD160" s="62"/>
      <c r="AE160" s="62"/>
      <c r="AF160" s="63"/>
      <c r="AG160" s="62"/>
      <c r="AH160" s="62"/>
      <c r="AI160" s="63"/>
    </row>
    <row r="161" spans="1:35" ht="22.05" customHeight="1">
      <c r="A161" s="64">
        <v>161</v>
      </c>
      <c r="B161" s="62" t="s">
        <v>71</v>
      </c>
      <c r="C161" s="62" t="s">
        <v>1065</v>
      </c>
      <c r="D161" s="62" t="s">
        <v>1066</v>
      </c>
      <c r="E161" s="62" t="s">
        <v>105</v>
      </c>
      <c r="F161" s="62" t="s">
        <v>157</v>
      </c>
      <c r="G161" s="62">
        <v>2</v>
      </c>
      <c r="H161" s="62" t="s">
        <v>1065</v>
      </c>
      <c r="I161" s="62" t="s">
        <v>1066</v>
      </c>
      <c r="J161" s="62" t="s">
        <v>1022</v>
      </c>
      <c r="K161" s="62" t="s">
        <v>1063</v>
      </c>
      <c r="L161" s="62" t="s">
        <v>1064</v>
      </c>
      <c r="M161" s="63">
        <v>5.8000000000000003E-2</v>
      </c>
      <c r="N161" s="63">
        <v>0</v>
      </c>
      <c r="O161" s="63">
        <f t="shared" si="3"/>
        <v>0.11600000000000001</v>
      </c>
      <c r="P161" s="85"/>
      <c r="Q161" s="85"/>
      <c r="R161" s="85"/>
      <c r="S161" s="85"/>
      <c r="T161" s="62">
        <v>28</v>
      </c>
      <c r="U161" s="62">
        <v>0</v>
      </c>
      <c r="V161" s="62">
        <v>1000</v>
      </c>
      <c r="W161" s="62"/>
      <c r="X161" s="67"/>
      <c r="Y161" s="62"/>
      <c r="Z161" s="62" t="s">
        <v>1067</v>
      </c>
      <c r="AA161" s="62" t="s">
        <v>1068</v>
      </c>
      <c r="AB161" s="62" t="s">
        <v>1069</v>
      </c>
      <c r="AC161" s="66">
        <v>6.0699999999999997E-2</v>
      </c>
      <c r="AD161" s="62"/>
      <c r="AE161" s="62"/>
      <c r="AF161" s="63"/>
      <c r="AG161" s="62"/>
      <c r="AH161" s="62"/>
      <c r="AI161" s="63"/>
    </row>
    <row r="162" spans="1:35" ht="22.05" customHeight="1">
      <c r="A162" s="64">
        <v>162</v>
      </c>
      <c r="B162" s="62" t="s">
        <v>71</v>
      </c>
      <c r="C162" s="62" t="s">
        <v>1070</v>
      </c>
      <c r="D162" s="62" t="s">
        <v>1071</v>
      </c>
      <c r="E162" s="62" t="s">
        <v>105</v>
      </c>
      <c r="F162" s="62" t="s">
        <v>157</v>
      </c>
      <c r="G162" s="62">
        <v>1</v>
      </c>
      <c r="H162" s="62" t="s">
        <v>1070</v>
      </c>
      <c r="I162" s="62" t="s">
        <v>1071</v>
      </c>
      <c r="J162" s="62" t="s">
        <v>543</v>
      </c>
      <c r="K162" s="62" t="s">
        <v>1072</v>
      </c>
      <c r="L162" s="62" t="s">
        <v>1073</v>
      </c>
      <c r="M162" s="63">
        <v>8.9499999999999996E-2</v>
      </c>
      <c r="N162" s="63">
        <v>0</v>
      </c>
      <c r="O162" s="63">
        <f t="shared" si="3"/>
        <v>8.9499999999999996E-2</v>
      </c>
      <c r="P162" s="85"/>
      <c r="Q162" s="85"/>
      <c r="R162" s="85"/>
      <c r="S162" s="85"/>
      <c r="T162" s="62">
        <v>28</v>
      </c>
      <c r="U162" s="62">
        <v>5000</v>
      </c>
      <c r="V162" s="62">
        <v>1000</v>
      </c>
      <c r="W162" s="62"/>
      <c r="X162" s="67"/>
      <c r="Y162" s="62"/>
      <c r="Z162" s="62" t="s">
        <v>1074</v>
      </c>
      <c r="AA162" s="62" t="s">
        <v>1075</v>
      </c>
      <c r="AB162" s="62" t="s">
        <v>1076</v>
      </c>
      <c r="AC162" s="63">
        <v>0.12</v>
      </c>
      <c r="AD162" s="62"/>
      <c r="AE162" s="62"/>
      <c r="AF162" s="63"/>
      <c r="AG162" s="62"/>
      <c r="AH162" s="62"/>
      <c r="AI162" s="63"/>
    </row>
    <row r="163" spans="1:35" ht="22.05" customHeight="1">
      <c r="A163" s="64">
        <v>163</v>
      </c>
      <c r="B163" s="62" t="s">
        <v>71</v>
      </c>
      <c r="C163" s="62" t="s">
        <v>1077</v>
      </c>
      <c r="D163" s="62" t="s">
        <v>1078</v>
      </c>
      <c r="E163" s="62" t="s">
        <v>105</v>
      </c>
      <c r="F163" s="62" t="s">
        <v>157</v>
      </c>
      <c r="G163" s="62">
        <v>2</v>
      </c>
      <c r="H163" s="62" t="s">
        <v>1077</v>
      </c>
      <c r="I163" s="62" t="s">
        <v>1078</v>
      </c>
      <c r="J163" s="62" t="s">
        <v>543</v>
      </c>
      <c r="K163" s="62" t="s">
        <v>1072</v>
      </c>
      <c r="L163" s="62" t="s">
        <v>1073</v>
      </c>
      <c r="M163" s="63">
        <v>8.9499999999999996E-2</v>
      </c>
      <c r="N163" s="63">
        <v>0</v>
      </c>
      <c r="O163" s="63">
        <f t="shared" si="3"/>
        <v>0.17899999999999999</v>
      </c>
      <c r="P163" s="85"/>
      <c r="Q163" s="85"/>
      <c r="R163" s="85"/>
      <c r="S163" s="85"/>
      <c r="T163" s="62">
        <v>28</v>
      </c>
      <c r="U163" s="62">
        <v>5000</v>
      </c>
      <c r="V163" s="62">
        <v>1000</v>
      </c>
      <c r="W163" s="62"/>
      <c r="X163" s="67"/>
      <c r="Y163" s="62"/>
      <c r="Z163" s="62" t="s">
        <v>1079</v>
      </c>
      <c r="AA163" s="62" t="s">
        <v>1080</v>
      </c>
      <c r="AB163" s="62" t="s">
        <v>1081</v>
      </c>
      <c r="AC163" s="66">
        <v>0.105</v>
      </c>
      <c r="AD163" s="62"/>
      <c r="AE163" s="62"/>
      <c r="AF163" s="63"/>
      <c r="AG163" s="62"/>
      <c r="AH163" s="62"/>
      <c r="AI163" s="63"/>
    </row>
    <row r="164" spans="1:35" ht="22.05" customHeight="1">
      <c r="A164" s="64">
        <v>164</v>
      </c>
      <c r="B164" s="62" t="s">
        <v>71</v>
      </c>
      <c r="C164" s="62" t="s">
        <v>1082</v>
      </c>
      <c r="D164" s="62" t="s">
        <v>1083</v>
      </c>
      <c r="E164" s="62" t="s">
        <v>105</v>
      </c>
      <c r="F164" s="62" t="s">
        <v>157</v>
      </c>
      <c r="G164" s="62">
        <v>1</v>
      </c>
      <c r="H164" s="62" t="s">
        <v>1082</v>
      </c>
      <c r="I164" s="62" t="s">
        <v>1083</v>
      </c>
      <c r="J164" s="62" t="s">
        <v>543</v>
      </c>
      <c r="K164" s="62" t="s">
        <v>1072</v>
      </c>
      <c r="L164" s="62" t="s">
        <v>1073</v>
      </c>
      <c r="M164" s="63">
        <v>0.2031</v>
      </c>
      <c r="N164" s="63">
        <v>0</v>
      </c>
      <c r="O164" s="63">
        <f t="shared" si="3"/>
        <v>0.2031</v>
      </c>
      <c r="P164" s="85"/>
      <c r="Q164" s="85"/>
      <c r="R164" s="85"/>
      <c r="S164" s="85"/>
      <c r="T164" s="62">
        <v>28</v>
      </c>
      <c r="U164" s="62">
        <v>5000</v>
      </c>
      <c r="V164" s="62">
        <v>1000</v>
      </c>
      <c r="W164" s="62"/>
      <c r="X164" s="67"/>
      <c r="Y164" s="62"/>
      <c r="Z164" s="62" t="s">
        <v>1084</v>
      </c>
      <c r="AA164" s="62" t="s">
        <v>1085</v>
      </c>
      <c r="AB164" s="62" t="s">
        <v>1086</v>
      </c>
      <c r="AC164" s="63">
        <v>0.27379999999999999</v>
      </c>
      <c r="AD164" s="62"/>
      <c r="AE164" s="62"/>
      <c r="AF164" s="63"/>
      <c r="AG164" s="62"/>
      <c r="AH164" s="62"/>
      <c r="AI164" s="63"/>
    </row>
    <row r="165" spans="1:35" ht="22.05" customHeight="1">
      <c r="A165" s="64">
        <v>165</v>
      </c>
      <c r="B165" s="62" t="s">
        <v>71</v>
      </c>
      <c r="C165" s="62" t="s">
        <v>1087</v>
      </c>
      <c r="D165" s="62" t="s">
        <v>1088</v>
      </c>
      <c r="E165" s="62" t="s">
        <v>105</v>
      </c>
      <c r="F165" s="62" t="s">
        <v>157</v>
      </c>
      <c r="G165" s="62">
        <v>1</v>
      </c>
      <c r="H165" s="62" t="s">
        <v>1087</v>
      </c>
      <c r="I165" s="62" t="s">
        <v>1088</v>
      </c>
      <c r="J165" s="62" t="s">
        <v>1089</v>
      </c>
      <c r="K165" s="62" t="s">
        <v>1090</v>
      </c>
      <c r="L165" s="62" t="s">
        <v>1091</v>
      </c>
      <c r="M165" s="63">
        <v>0.3135</v>
      </c>
      <c r="N165" s="63">
        <v>0</v>
      </c>
      <c r="O165" s="63">
        <f t="shared" si="3"/>
        <v>0.3135</v>
      </c>
      <c r="P165" s="85"/>
      <c r="Q165" s="85"/>
      <c r="R165" s="85"/>
      <c r="S165" s="85"/>
      <c r="T165" s="62">
        <v>21</v>
      </c>
      <c r="U165" s="62">
        <v>0</v>
      </c>
      <c r="V165" s="62">
        <v>300</v>
      </c>
      <c r="W165" s="62"/>
      <c r="X165" s="67"/>
      <c r="Y165" s="62"/>
      <c r="Z165" s="62" t="s">
        <v>1092</v>
      </c>
      <c r="AA165" s="62"/>
      <c r="AB165" s="62"/>
      <c r="AC165" s="63"/>
      <c r="AD165" s="62"/>
      <c r="AE165" s="62"/>
      <c r="AF165" s="63"/>
      <c r="AG165" s="62"/>
      <c r="AH165" s="62"/>
      <c r="AI165" s="63"/>
    </row>
    <row r="166" spans="1:35" ht="22.05" customHeight="1">
      <c r="A166" s="64">
        <v>166</v>
      </c>
      <c r="B166" s="62" t="s">
        <v>71</v>
      </c>
      <c r="C166" s="62" t="s">
        <v>1093</v>
      </c>
      <c r="D166" s="62" t="s">
        <v>1094</v>
      </c>
      <c r="E166" s="62" t="s">
        <v>105</v>
      </c>
      <c r="F166" s="62" t="s">
        <v>144</v>
      </c>
      <c r="G166" s="62">
        <v>1</v>
      </c>
      <c r="H166" s="65" t="s">
        <v>1095</v>
      </c>
      <c r="I166" s="62" t="s">
        <v>1096</v>
      </c>
      <c r="J166" s="62" t="s">
        <v>218</v>
      </c>
      <c r="K166" s="62" t="s">
        <v>219</v>
      </c>
      <c r="L166" s="62" t="s">
        <v>185</v>
      </c>
      <c r="M166" s="63">
        <v>1E-3</v>
      </c>
      <c r="N166" s="63">
        <v>0</v>
      </c>
      <c r="O166" s="63">
        <f t="shared" si="3"/>
        <v>1E-3</v>
      </c>
      <c r="P166" s="85"/>
      <c r="Q166" s="85"/>
      <c r="R166" s="85"/>
      <c r="S166" s="85"/>
      <c r="T166" s="62">
        <v>42</v>
      </c>
      <c r="U166" s="62">
        <v>1</v>
      </c>
      <c r="V166" s="62"/>
      <c r="W166" s="62"/>
      <c r="X166" s="67"/>
      <c r="Y166" s="62"/>
      <c r="Z166" s="62" t="s">
        <v>1097</v>
      </c>
      <c r="AA166" s="62" t="s">
        <v>1098</v>
      </c>
      <c r="AB166" s="62" t="s">
        <v>1099</v>
      </c>
      <c r="AC166" s="66">
        <v>1.4E-3</v>
      </c>
      <c r="AD166" s="62" t="s">
        <v>1093</v>
      </c>
      <c r="AE166" s="62" t="s">
        <v>1094</v>
      </c>
      <c r="AF166" s="66" t="s">
        <v>154</v>
      </c>
      <c r="AG166" s="62"/>
      <c r="AH166" s="62"/>
      <c r="AI166" s="63"/>
    </row>
    <row r="167" spans="1:35" ht="22.05" customHeight="1">
      <c r="A167" s="64">
        <v>167</v>
      </c>
      <c r="B167" s="62" t="s">
        <v>71</v>
      </c>
      <c r="C167" s="62" t="s">
        <v>1100</v>
      </c>
      <c r="D167" s="62" t="s">
        <v>1101</v>
      </c>
      <c r="E167" s="62" t="s">
        <v>105</v>
      </c>
      <c r="F167" s="62" t="s">
        <v>144</v>
      </c>
      <c r="G167" s="62">
        <v>11</v>
      </c>
      <c r="H167" s="65" t="s">
        <v>1102</v>
      </c>
      <c r="I167" s="62" t="s">
        <v>1103</v>
      </c>
      <c r="J167" s="62" t="s">
        <v>218</v>
      </c>
      <c r="K167" s="62" t="s">
        <v>219</v>
      </c>
      <c r="L167" s="62" t="s">
        <v>185</v>
      </c>
      <c r="M167" s="63">
        <v>1E-3</v>
      </c>
      <c r="N167" s="63">
        <v>0</v>
      </c>
      <c r="O167" s="63">
        <f t="shared" si="3"/>
        <v>1.0999999999999999E-2</v>
      </c>
      <c r="P167" s="85"/>
      <c r="Q167" s="85"/>
      <c r="R167" s="85"/>
      <c r="S167" s="85"/>
      <c r="T167" s="62">
        <v>42</v>
      </c>
      <c r="U167" s="62">
        <v>1</v>
      </c>
      <c r="V167" s="62"/>
      <c r="W167" s="62"/>
      <c r="X167" s="67"/>
      <c r="Y167" s="62"/>
      <c r="Z167" s="62" t="s">
        <v>1104</v>
      </c>
      <c r="AA167" s="62" t="s">
        <v>1105</v>
      </c>
      <c r="AB167" s="62" t="s">
        <v>1106</v>
      </c>
      <c r="AC167" s="66">
        <v>1.4E-3</v>
      </c>
      <c r="AD167" s="62" t="s">
        <v>1100</v>
      </c>
      <c r="AE167" s="62" t="s">
        <v>1101</v>
      </c>
      <c r="AF167" s="66" t="s">
        <v>154</v>
      </c>
      <c r="AG167" s="62"/>
      <c r="AH167" s="62"/>
      <c r="AI167" s="63"/>
    </row>
    <row r="168" spans="1:35" ht="22.05" customHeight="1">
      <c r="A168" s="64">
        <v>168</v>
      </c>
      <c r="B168" s="62" t="s">
        <v>71</v>
      </c>
      <c r="C168" s="62" t="s">
        <v>1107</v>
      </c>
      <c r="D168" s="62" t="s">
        <v>1108</v>
      </c>
      <c r="E168" s="62" t="s">
        <v>105</v>
      </c>
      <c r="F168" s="62" t="s">
        <v>144</v>
      </c>
      <c r="G168" s="62">
        <v>5</v>
      </c>
      <c r="H168" s="65" t="s">
        <v>1109</v>
      </c>
      <c r="I168" s="62" t="s">
        <v>1110</v>
      </c>
      <c r="J168" s="62" t="s">
        <v>183</v>
      </c>
      <c r="K168" s="62" t="s">
        <v>184</v>
      </c>
      <c r="L168" s="62" t="s">
        <v>185</v>
      </c>
      <c r="M168" s="63">
        <v>8.0000000000000004E-4</v>
      </c>
      <c r="N168" s="63">
        <v>0</v>
      </c>
      <c r="O168" s="63">
        <f t="shared" si="3"/>
        <v>4.0000000000000001E-3</v>
      </c>
      <c r="P168" s="85"/>
      <c r="Q168" s="85"/>
      <c r="R168" s="85"/>
      <c r="S168" s="85"/>
      <c r="T168" s="62">
        <v>56</v>
      </c>
      <c r="U168" s="62">
        <v>0</v>
      </c>
      <c r="V168" s="62">
        <v>10000</v>
      </c>
      <c r="W168" s="62"/>
      <c r="X168" s="67"/>
      <c r="Y168" s="62"/>
      <c r="Z168" s="62" t="s">
        <v>1111</v>
      </c>
      <c r="AA168" s="62" t="s">
        <v>1112</v>
      </c>
      <c r="AB168" s="62" t="s">
        <v>1113</v>
      </c>
      <c r="AC168" s="66">
        <v>1.2999999999999999E-3</v>
      </c>
      <c r="AD168" s="62" t="s">
        <v>1107</v>
      </c>
      <c r="AE168" s="62" t="s">
        <v>1108</v>
      </c>
      <c r="AF168" s="66" t="s">
        <v>154</v>
      </c>
      <c r="AG168" s="62"/>
      <c r="AH168" s="62"/>
      <c r="AI168" s="63"/>
    </row>
    <row r="169" spans="1:35" ht="22.05" customHeight="1">
      <c r="A169" s="64">
        <v>169</v>
      </c>
      <c r="B169" s="62" t="s">
        <v>71</v>
      </c>
      <c r="C169" s="62" t="s">
        <v>1114</v>
      </c>
      <c r="D169" s="62" t="s">
        <v>1115</v>
      </c>
      <c r="E169" s="62" t="s">
        <v>105</v>
      </c>
      <c r="F169" s="62" t="s">
        <v>144</v>
      </c>
      <c r="G169" s="62">
        <v>4</v>
      </c>
      <c r="H169" s="65" t="s">
        <v>1116</v>
      </c>
      <c r="I169" s="62" t="s">
        <v>1117</v>
      </c>
      <c r="J169" s="62" t="s">
        <v>218</v>
      </c>
      <c r="K169" s="62" t="s">
        <v>219</v>
      </c>
      <c r="L169" s="62" t="s">
        <v>185</v>
      </c>
      <c r="M169" s="63">
        <v>1E-3</v>
      </c>
      <c r="N169" s="63">
        <v>0</v>
      </c>
      <c r="O169" s="63">
        <f t="shared" si="3"/>
        <v>4.0000000000000001E-3</v>
      </c>
      <c r="P169" s="85"/>
      <c r="Q169" s="85"/>
      <c r="R169" s="85"/>
      <c r="S169" s="85"/>
      <c r="T169" s="62">
        <v>49</v>
      </c>
      <c r="U169" s="62">
        <v>1</v>
      </c>
      <c r="V169" s="62"/>
      <c r="W169" s="62"/>
      <c r="X169" s="67"/>
      <c r="Y169" s="62"/>
      <c r="Z169" s="62" t="s">
        <v>1118</v>
      </c>
      <c r="AA169" s="62" t="s">
        <v>1119</v>
      </c>
      <c r="AB169" s="62" t="s">
        <v>1120</v>
      </c>
      <c r="AC169" s="66">
        <v>1.4E-3</v>
      </c>
      <c r="AD169" s="62" t="s">
        <v>1114</v>
      </c>
      <c r="AE169" s="62" t="s">
        <v>1115</v>
      </c>
      <c r="AF169" s="66" t="s">
        <v>154</v>
      </c>
      <c r="AG169" s="62"/>
      <c r="AH169" s="62"/>
      <c r="AI169" s="63"/>
    </row>
    <row r="170" spans="1:35" ht="22.05" customHeight="1">
      <c r="A170" s="64">
        <v>170</v>
      </c>
      <c r="B170" s="62" t="s">
        <v>71</v>
      </c>
      <c r="C170" s="62" t="s">
        <v>1121</v>
      </c>
      <c r="D170" s="62" t="s">
        <v>1122</v>
      </c>
      <c r="E170" s="62" t="s">
        <v>105</v>
      </c>
      <c r="F170" s="62" t="s">
        <v>157</v>
      </c>
      <c r="G170" s="62">
        <v>1</v>
      </c>
      <c r="H170" s="62" t="s">
        <v>1121</v>
      </c>
      <c r="I170" s="62" t="s">
        <v>1122</v>
      </c>
      <c r="J170" s="62" t="s">
        <v>302</v>
      </c>
      <c r="K170" s="62" t="s">
        <v>219</v>
      </c>
      <c r="L170" s="62" t="s">
        <v>185</v>
      </c>
      <c r="M170" s="63">
        <v>6.3E-2</v>
      </c>
      <c r="N170" s="63">
        <v>0</v>
      </c>
      <c r="O170" s="63">
        <f t="shared" si="3"/>
        <v>6.3E-2</v>
      </c>
      <c r="P170" s="85"/>
      <c r="Q170" s="85"/>
      <c r="R170" s="85"/>
      <c r="S170" s="85"/>
      <c r="T170" s="62">
        <v>42</v>
      </c>
      <c r="U170" s="62">
        <v>1000</v>
      </c>
      <c r="V170" s="62"/>
      <c r="W170" s="62"/>
      <c r="X170" s="67"/>
      <c r="Y170" s="62"/>
      <c r="Z170" s="62" t="s">
        <v>1123</v>
      </c>
      <c r="AA170" s="62"/>
      <c r="AB170" s="62"/>
      <c r="AC170" s="63"/>
      <c r="AD170" s="62"/>
      <c r="AE170" s="62"/>
      <c r="AF170" s="63"/>
      <c r="AG170" s="62"/>
      <c r="AH170" s="62"/>
      <c r="AI170" s="63"/>
    </row>
    <row r="171" spans="1:35" ht="22.05" customHeight="1">
      <c r="A171" s="64">
        <v>171</v>
      </c>
      <c r="B171" s="62" t="s">
        <v>71</v>
      </c>
      <c r="C171" s="62" t="s">
        <v>1124</v>
      </c>
      <c r="D171" s="62" t="s">
        <v>1125</v>
      </c>
      <c r="E171" s="62" t="s">
        <v>105</v>
      </c>
      <c r="F171" s="62" t="s">
        <v>144</v>
      </c>
      <c r="G171" s="62">
        <v>1</v>
      </c>
      <c r="H171" s="65" t="s">
        <v>1126</v>
      </c>
      <c r="I171" s="62" t="s">
        <v>1127</v>
      </c>
      <c r="J171" s="62" t="s">
        <v>218</v>
      </c>
      <c r="K171" s="62" t="s">
        <v>234</v>
      </c>
      <c r="L171" s="62" t="s">
        <v>235</v>
      </c>
      <c r="M171" s="63">
        <v>2.5000000000000001E-3</v>
      </c>
      <c r="N171" s="63">
        <v>0</v>
      </c>
      <c r="O171" s="63">
        <f t="shared" si="3"/>
        <v>2.5000000000000001E-3</v>
      </c>
      <c r="P171" s="85"/>
      <c r="Q171" s="85"/>
      <c r="R171" s="85"/>
      <c r="S171" s="85"/>
      <c r="T171" s="62">
        <v>56</v>
      </c>
      <c r="U171" s="62">
        <v>5000</v>
      </c>
      <c r="V171" s="62"/>
      <c r="W171" s="62"/>
      <c r="X171" s="67"/>
      <c r="Y171" s="62"/>
      <c r="Z171" s="62" t="s">
        <v>1128</v>
      </c>
      <c r="AA171" s="62" t="s">
        <v>1129</v>
      </c>
      <c r="AB171" s="62" t="s">
        <v>1130</v>
      </c>
      <c r="AC171" s="63">
        <v>2.5000000000000001E-3</v>
      </c>
      <c r="AD171" s="62" t="s">
        <v>1131</v>
      </c>
      <c r="AE171" s="62" t="s">
        <v>1132</v>
      </c>
      <c r="AF171" s="66">
        <v>3.8999999999999998E-3</v>
      </c>
      <c r="AG171" s="62" t="s">
        <v>1133</v>
      </c>
      <c r="AH171" s="62" t="s">
        <v>1134</v>
      </c>
      <c r="AI171" s="66" t="s">
        <v>154</v>
      </c>
    </row>
    <row r="172" spans="1:35" ht="22.05" customHeight="1">
      <c r="A172" s="64">
        <v>172</v>
      </c>
      <c r="B172" s="62" t="s">
        <v>71</v>
      </c>
      <c r="C172" s="62" t="s">
        <v>1135</v>
      </c>
      <c r="D172" s="62" t="s">
        <v>1136</v>
      </c>
      <c r="E172" s="62" t="s">
        <v>105</v>
      </c>
      <c r="F172" s="62" t="s">
        <v>144</v>
      </c>
      <c r="G172" s="62">
        <v>1</v>
      </c>
      <c r="H172" s="65" t="s">
        <v>1137</v>
      </c>
      <c r="I172" s="62" t="s">
        <v>1138</v>
      </c>
      <c r="J172" s="62" t="s">
        <v>218</v>
      </c>
      <c r="K172" s="62" t="s">
        <v>234</v>
      </c>
      <c r="L172" s="62" t="s">
        <v>235</v>
      </c>
      <c r="M172" s="63">
        <v>2.5000000000000001E-3</v>
      </c>
      <c r="N172" s="63">
        <v>0</v>
      </c>
      <c r="O172" s="63">
        <f t="shared" si="3"/>
        <v>2.5000000000000001E-3</v>
      </c>
      <c r="P172" s="85"/>
      <c r="Q172" s="85"/>
      <c r="R172" s="85"/>
      <c r="S172" s="85"/>
      <c r="T172" s="62">
        <v>56</v>
      </c>
      <c r="U172" s="62">
        <v>5000</v>
      </c>
      <c r="V172" s="62"/>
      <c r="W172" s="62"/>
      <c r="X172" s="67"/>
      <c r="Y172" s="62"/>
      <c r="Z172" s="62" t="s">
        <v>1139</v>
      </c>
      <c r="AA172" s="62" t="s">
        <v>1140</v>
      </c>
      <c r="AB172" s="62" t="s">
        <v>1141</v>
      </c>
      <c r="AC172" s="63">
        <v>2.5000000000000001E-3</v>
      </c>
      <c r="AD172" s="62" t="s">
        <v>1142</v>
      </c>
      <c r="AE172" s="62" t="s">
        <v>1143</v>
      </c>
      <c r="AF172" s="66">
        <v>3.8999999999999998E-3</v>
      </c>
      <c r="AG172" s="62" t="s">
        <v>1144</v>
      </c>
      <c r="AH172" s="62" t="s">
        <v>1145</v>
      </c>
      <c r="AI172" s="66" t="s">
        <v>154</v>
      </c>
    </row>
    <row r="173" spans="1:35" ht="22.05" customHeight="1">
      <c r="A173" s="64">
        <v>173</v>
      </c>
      <c r="B173" s="62" t="s">
        <v>71</v>
      </c>
      <c r="C173" s="62" t="s">
        <v>1146</v>
      </c>
      <c r="D173" s="62" t="s">
        <v>1147</v>
      </c>
      <c r="E173" s="62" t="s">
        <v>105</v>
      </c>
      <c r="F173" s="62" t="s">
        <v>144</v>
      </c>
      <c r="G173" s="62">
        <v>1</v>
      </c>
      <c r="H173" s="65" t="s">
        <v>1148</v>
      </c>
      <c r="I173" s="62" t="s">
        <v>1149</v>
      </c>
      <c r="J173" s="62" t="s">
        <v>218</v>
      </c>
      <c r="K173" s="62" t="s">
        <v>234</v>
      </c>
      <c r="L173" s="62" t="s">
        <v>235</v>
      </c>
      <c r="M173" s="63">
        <v>1.5E-3</v>
      </c>
      <c r="N173" s="63">
        <v>0</v>
      </c>
      <c r="O173" s="63">
        <f t="shared" si="3"/>
        <v>1.5E-3</v>
      </c>
      <c r="P173" s="85"/>
      <c r="Q173" s="85"/>
      <c r="R173" s="85"/>
      <c r="S173" s="85"/>
      <c r="T173" s="62">
        <v>56</v>
      </c>
      <c r="U173" s="62">
        <v>5000</v>
      </c>
      <c r="V173" s="62"/>
      <c r="W173" s="62"/>
      <c r="X173" s="67"/>
      <c r="Y173" s="62"/>
      <c r="Z173" s="62" t="s">
        <v>1150</v>
      </c>
      <c r="AA173" s="62" t="s">
        <v>1151</v>
      </c>
      <c r="AB173" s="62" t="s">
        <v>1152</v>
      </c>
      <c r="AC173" s="63">
        <v>1.5E-3</v>
      </c>
      <c r="AD173" s="62" t="s">
        <v>1153</v>
      </c>
      <c r="AE173" s="62" t="s">
        <v>1154</v>
      </c>
      <c r="AF173" s="66">
        <v>2.2000000000000001E-3</v>
      </c>
      <c r="AG173" s="62" t="s">
        <v>1155</v>
      </c>
      <c r="AH173" s="62" t="s">
        <v>1156</v>
      </c>
      <c r="AI173" s="66" t="s">
        <v>154</v>
      </c>
    </row>
    <row r="174" spans="1:35" ht="22.05" customHeight="1">
      <c r="A174" s="64">
        <v>174</v>
      </c>
      <c r="B174" s="62" t="s">
        <v>71</v>
      </c>
      <c r="C174" s="62" t="s">
        <v>1157</v>
      </c>
      <c r="D174" s="62" t="s">
        <v>1158</v>
      </c>
      <c r="E174" s="62" t="s">
        <v>105</v>
      </c>
      <c r="F174" s="62" t="s">
        <v>144</v>
      </c>
      <c r="G174" s="62">
        <v>1</v>
      </c>
      <c r="H174" s="65" t="s">
        <v>1159</v>
      </c>
      <c r="I174" s="62" t="s">
        <v>1160</v>
      </c>
      <c r="J174" s="62" t="s">
        <v>218</v>
      </c>
      <c r="K174" s="62" t="s">
        <v>219</v>
      </c>
      <c r="L174" s="62" t="s">
        <v>185</v>
      </c>
      <c r="M174" s="63">
        <v>1.5E-3</v>
      </c>
      <c r="N174" s="63">
        <v>0</v>
      </c>
      <c r="O174" s="63">
        <f t="shared" si="3"/>
        <v>1.5E-3</v>
      </c>
      <c r="P174" s="85"/>
      <c r="Q174" s="85"/>
      <c r="R174" s="85"/>
      <c r="S174" s="85"/>
      <c r="T174" s="62">
        <v>49</v>
      </c>
      <c r="U174" s="62">
        <v>5000</v>
      </c>
      <c r="V174" s="62"/>
      <c r="W174" s="62"/>
      <c r="X174" s="67"/>
      <c r="Y174" s="62"/>
      <c r="Z174" s="62" t="s">
        <v>1161</v>
      </c>
      <c r="AA174" s="62" t="s">
        <v>1162</v>
      </c>
      <c r="AB174" s="62" t="s">
        <v>1163</v>
      </c>
      <c r="AC174" s="63">
        <v>1.5E-3</v>
      </c>
      <c r="AD174" s="62" t="s">
        <v>1164</v>
      </c>
      <c r="AE174" s="62" t="s">
        <v>1165</v>
      </c>
      <c r="AF174" s="63">
        <v>2.2000000000000001E-3</v>
      </c>
      <c r="AG174" s="62" t="s">
        <v>1166</v>
      </c>
      <c r="AH174" s="62" t="s">
        <v>1167</v>
      </c>
      <c r="AI174" s="66" t="s">
        <v>154</v>
      </c>
    </row>
    <row r="175" spans="1:35" ht="22.05" customHeight="1">
      <c r="A175" s="64">
        <v>175</v>
      </c>
      <c r="B175" s="62" t="s">
        <v>71</v>
      </c>
      <c r="C175" s="62" t="s">
        <v>1168</v>
      </c>
      <c r="D175" s="62" t="s">
        <v>1169</v>
      </c>
      <c r="E175" s="62" t="s">
        <v>105</v>
      </c>
      <c r="F175" s="62" t="s">
        <v>144</v>
      </c>
      <c r="G175" s="62">
        <v>4</v>
      </c>
      <c r="H175" s="65" t="s">
        <v>1170</v>
      </c>
      <c r="I175" s="62" t="s">
        <v>1171</v>
      </c>
      <c r="J175" s="62" t="s">
        <v>218</v>
      </c>
      <c r="K175" s="62" t="s">
        <v>234</v>
      </c>
      <c r="L175" s="62" t="s">
        <v>235</v>
      </c>
      <c r="M175" s="63">
        <v>4.1999999999999997E-3</v>
      </c>
      <c r="N175" s="63">
        <v>0</v>
      </c>
      <c r="O175" s="63">
        <f t="shared" si="3"/>
        <v>1.6799999999999999E-2</v>
      </c>
      <c r="P175" s="85"/>
      <c r="Q175" s="85"/>
      <c r="R175" s="85"/>
      <c r="S175" s="85"/>
      <c r="T175" s="62">
        <v>56</v>
      </c>
      <c r="U175" s="62">
        <v>5000</v>
      </c>
      <c r="V175" s="62"/>
      <c r="W175" s="62"/>
      <c r="X175" s="67"/>
      <c r="Y175" s="62"/>
      <c r="Z175" s="62" t="s">
        <v>1172</v>
      </c>
      <c r="AA175" s="62" t="s">
        <v>1173</v>
      </c>
      <c r="AB175" s="62" t="s">
        <v>1174</v>
      </c>
      <c r="AC175" s="63">
        <v>4.1999999999999997E-3</v>
      </c>
      <c r="AD175" s="62" t="s">
        <v>1175</v>
      </c>
      <c r="AE175" s="62" t="s">
        <v>1176</v>
      </c>
      <c r="AF175" s="66">
        <v>7.4999999999999997E-3</v>
      </c>
      <c r="AG175" s="62" t="s">
        <v>1177</v>
      </c>
      <c r="AH175" s="62" t="s">
        <v>1178</v>
      </c>
      <c r="AI175" s="66" t="s">
        <v>154</v>
      </c>
    </row>
    <row r="176" spans="1:35" ht="22.05" customHeight="1">
      <c r="A176" s="64">
        <v>176</v>
      </c>
      <c r="B176" s="62" t="s">
        <v>71</v>
      </c>
      <c r="C176" s="62" t="s">
        <v>1179</v>
      </c>
      <c r="D176" s="62" t="s">
        <v>1180</v>
      </c>
      <c r="E176" s="62" t="s">
        <v>105</v>
      </c>
      <c r="F176" s="62" t="s">
        <v>144</v>
      </c>
      <c r="G176" s="62">
        <v>36</v>
      </c>
      <c r="H176" s="65" t="s">
        <v>1181</v>
      </c>
      <c r="I176" s="62" t="s">
        <v>1182</v>
      </c>
      <c r="J176" s="62" t="s">
        <v>218</v>
      </c>
      <c r="K176" s="62" t="s">
        <v>234</v>
      </c>
      <c r="L176" s="62" t="s">
        <v>235</v>
      </c>
      <c r="M176" s="63">
        <v>8.0000000000000004E-4</v>
      </c>
      <c r="N176" s="63">
        <v>0</v>
      </c>
      <c r="O176" s="63">
        <f t="shared" si="3"/>
        <v>2.8800000000000003E-2</v>
      </c>
      <c r="P176" s="85"/>
      <c r="Q176" s="85"/>
      <c r="R176" s="85"/>
      <c r="S176" s="85"/>
      <c r="T176" s="62">
        <v>56</v>
      </c>
      <c r="U176" s="62">
        <v>10000</v>
      </c>
      <c r="V176" s="62"/>
      <c r="W176" s="62"/>
      <c r="X176" s="67"/>
      <c r="Y176" s="62"/>
      <c r="Z176" s="62" t="s">
        <v>1183</v>
      </c>
      <c r="AA176" s="62" t="s">
        <v>1184</v>
      </c>
      <c r="AB176" s="62" t="s">
        <v>1185</v>
      </c>
      <c r="AC176" s="63">
        <v>8.0000000000000004E-4</v>
      </c>
      <c r="AD176" s="62" t="s">
        <v>1186</v>
      </c>
      <c r="AE176" s="62" t="s">
        <v>1187</v>
      </c>
      <c r="AF176" s="66">
        <v>1.1999999999999999E-3</v>
      </c>
      <c r="AG176" s="62" t="s">
        <v>1188</v>
      </c>
      <c r="AH176" s="62" t="s">
        <v>1189</v>
      </c>
      <c r="AI176" s="66" t="s">
        <v>154</v>
      </c>
    </row>
    <row r="177" spans="1:35" ht="22.05" customHeight="1">
      <c r="A177" s="64">
        <v>177</v>
      </c>
      <c r="B177" s="62" t="s">
        <v>71</v>
      </c>
      <c r="C177" s="62" t="s">
        <v>1190</v>
      </c>
      <c r="D177" s="62" t="s">
        <v>1191</v>
      </c>
      <c r="E177" s="62" t="s">
        <v>105</v>
      </c>
      <c r="F177" s="62" t="s">
        <v>144</v>
      </c>
      <c r="G177" s="62">
        <v>2</v>
      </c>
      <c r="H177" s="65" t="s">
        <v>1192</v>
      </c>
      <c r="I177" s="62" t="s">
        <v>1193</v>
      </c>
      <c r="J177" s="62" t="s">
        <v>218</v>
      </c>
      <c r="K177" s="62" t="s">
        <v>234</v>
      </c>
      <c r="L177" s="62" t="s">
        <v>235</v>
      </c>
      <c r="M177" s="63">
        <v>8.0000000000000004E-4</v>
      </c>
      <c r="N177" s="63">
        <v>0</v>
      </c>
      <c r="O177" s="63">
        <f t="shared" si="3"/>
        <v>1.6000000000000001E-3</v>
      </c>
      <c r="P177" s="85"/>
      <c r="Q177" s="85"/>
      <c r="R177" s="85"/>
      <c r="S177" s="85"/>
      <c r="T177" s="62">
        <v>56</v>
      </c>
      <c r="U177" s="62">
        <v>10000</v>
      </c>
      <c r="V177" s="62"/>
      <c r="W177" s="62"/>
      <c r="X177" s="67"/>
      <c r="Y177" s="62"/>
      <c r="Z177" s="62" t="s">
        <v>1194</v>
      </c>
      <c r="AA177" s="62" t="s">
        <v>1195</v>
      </c>
      <c r="AB177" s="62" t="s">
        <v>1196</v>
      </c>
      <c r="AC177" s="63">
        <v>8.0000000000000004E-4</v>
      </c>
      <c r="AD177" s="62" t="s">
        <v>1197</v>
      </c>
      <c r="AE177" s="62" t="s">
        <v>1198</v>
      </c>
      <c r="AF177" s="63">
        <v>1.2999999999999999E-3</v>
      </c>
      <c r="AG177" s="62" t="s">
        <v>1199</v>
      </c>
      <c r="AH177" s="62" t="s">
        <v>1200</v>
      </c>
      <c r="AI177" s="66" t="s">
        <v>154</v>
      </c>
    </row>
    <row r="178" spans="1:35" ht="22.05" customHeight="1">
      <c r="A178" s="64">
        <v>178</v>
      </c>
      <c r="B178" s="62" t="s">
        <v>71</v>
      </c>
      <c r="C178" s="62" t="s">
        <v>254</v>
      </c>
      <c r="D178" s="62" t="s">
        <v>255</v>
      </c>
      <c r="E178" s="62" t="s">
        <v>105</v>
      </c>
      <c r="F178" s="62" t="s">
        <v>144</v>
      </c>
      <c r="G178" s="62">
        <v>1</v>
      </c>
      <c r="H178" s="65" t="s">
        <v>256</v>
      </c>
      <c r="I178" s="62" t="s">
        <v>257</v>
      </c>
      <c r="J178" s="62" t="s">
        <v>218</v>
      </c>
      <c r="K178" s="62" t="s">
        <v>234</v>
      </c>
      <c r="L178" s="62" t="s">
        <v>235</v>
      </c>
      <c r="M178" s="63">
        <v>1.8E-3</v>
      </c>
      <c r="N178" s="63">
        <v>0</v>
      </c>
      <c r="O178" s="63">
        <f t="shared" si="3"/>
        <v>1.8E-3</v>
      </c>
      <c r="P178" s="85"/>
      <c r="Q178" s="85"/>
      <c r="R178" s="85"/>
      <c r="S178" s="85"/>
      <c r="T178" s="62">
        <v>56</v>
      </c>
      <c r="U178" s="62">
        <v>5000</v>
      </c>
      <c r="V178" s="62"/>
      <c r="W178" s="62"/>
      <c r="X178" s="67"/>
      <c r="Y178" s="62"/>
      <c r="Z178" s="62" t="s">
        <v>1201</v>
      </c>
      <c r="AA178" s="62" t="s">
        <v>259</v>
      </c>
      <c r="AB178" s="62" t="s">
        <v>260</v>
      </c>
      <c r="AC178" s="63">
        <v>1.8E-3</v>
      </c>
      <c r="AD178" s="62" t="s">
        <v>261</v>
      </c>
      <c r="AE178" s="62" t="s">
        <v>262</v>
      </c>
      <c r="AF178" s="63">
        <v>2.5000000000000001E-3</v>
      </c>
      <c r="AG178" s="62" t="s">
        <v>1202</v>
      </c>
      <c r="AH178" s="62" t="s">
        <v>1203</v>
      </c>
      <c r="AI178" s="66" t="s">
        <v>154</v>
      </c>
    </row>
    <row r="179" spans="1:35" ht="22.05" customHeight="1">
      <c r="A179" s="64">
        <v>179</v>
      </c>
      <c r="B179" s="62" t="s">
        <v>71</v>
      </c>
      <c r="C179" s="62" t="s">
        <v>1204</v>
      </c>
      <c r="D179" s="62" t="s">
        <v>1205</v>
      </c>
      <c r="E179" s="62" t="s">
        <v>105</v>
      </c>
      <c r="F179" s="62" t="s">
        <v>144</v>
      </c>
      <c r="G179" s="62">
        <v>26</v>
      </c>
      <c r="H179" s="65" t="s">
        <v>1206</v>
      </c>
      <c r="I179" s="62" t="s">
        <v>1207</v>
      </c>
      <c r="J179" s="62" t="s">
        <v>218</v>
      </c>
      <c r="K179" s="62" t="s">
        <v>234</v>
      </c>
      <c r="L179" s="62" t="s">
        <v>235</v>
      </c>
      <c r="M179" s="63">
        <v>8.0000000000000004E-4</v>
      </c>
      <c r="N179" s="63">
        <v>0</v>
      </c>
      <c r="O179" s="63">
        <f t="shared" si="3"/>
        <v>2.0800000000000003E-2</v>
      </c>
      <c r="P179" s="85"/>
      <c r="Q179" s="85"/>
      <c r="R179" s="85"/>
      <c r="S179" s="85"/>
      <c r="T179" s="62">
        <v>56</v>
      </c>
      <c r="U179" s="62">
        <v>10000</v>
      </c>
      <c r="V179" s="62"/>
      <c r="W179" s="62"/>
      <c r="X179" s="67"/>
      <c r="Y179" s="62"/>
      <c r="Z179" s="62" t="s">
        <v>1208</v>
      </c>
      <c r="AA179" s="62" t="s">
        <v>1209</v>
      </c>
      <c r="AB179" s="62" t="s">
        <v>1210</v>
      </c>
      <c r="AC179" s="63">
        <v>8.0000000000000004E-4</v>
      </c>
      <c r="AD179" s="62" t="s">
        <v>1211</v>
      </c>
      <c r="AE179" s="62" t="s">
        <v>1212</v>
      </c>
      <c r="AF179" s="63">
        <v>1.2999999999999999E-3</v>
      </c>
      <c r="AG179" s="62" t="s">
        <v>1213</v>
      </c>
      <c r="AH179" s="62" t="s">
        <v>1214</v>
      </c>
      <c r="AI179" s="66" t="s">
        <v>154</v>
      </c>
    </row>
    <row r="180" spans="1:35" ht="22.05" customHeight="1">
      <c r="A180" s="64">
        <v>180</v>
      </c>
      <c r="B180" s="62" t="s">
        <v>71</v>
      </c>
      <c r="C180" s="62" t="s">
        <v>1215</v>
      </c>
      <c r="D180" s="62" t="s">
        <v>1216</v>
      </c>
      <c r="E180" s="62" t="s">
        <v>105</v>
      </c>
      <c r="F180" s="62" t="s">
        <v>144</v>
      </c>
      <c r="G180" s="62">
        <v>1</v>
      </c>
      <c r="H180" s="65" t="s">
        <v>1217</v>
      </c>
      <c r="I180" s="62" t="s">
        <v>1218</v>
      </c>
      <c r="J180" s="62" t="s">
        <v>218</v>
      </c>
      <c r="K180" s="62" t="s">
        <v>234</v>
      </c>
      <c r="L180" s="62" t="s">
        <v>235</v>
      </c>
      <c r="M180" s="63">
        <v>1.5E-3</v>
      </c>
      <c r="N180" s="63">
        <v>0</v>
      </c>
      <c r="O180" s="63">
        <f t="shared" si="3"/>
        <v>1.5E-3</v>
      </c>
      <c r="P180" s="85"/>
      <c r="Q180" s="85"/>
      <c r="R180" s="85"/>
      <c r="S180" s="85"/>
      <c r="T180" s="62">
        <v>56</v>
      </c>
      <c r="U180" s="62">
        <v>5000</v>
      </c>
      <c r="V180" s="62"/>
      <c r="W180" s="62"/>
      <c r="X180" s="67"/>
      <c r="Y180" s="62"/>
      <c r="Z180" s="62" t="s">
        <v>1219</v>
      </c>
      <c r="AA180" s="62" t="s">
        <v>1220</v>
      </c>
      <c r="AB180" s="62" t="s">
        <v>1221</v>
      </c>
      <c r="AC180" s="63">
        <v>1.5E-3</v>
      </c>
      <c r="AD180" s="62" t="s">
        <v>1222</v>
      </c>
      <c r="AE180" s="62" t="s">
        <v>1223</v>
      </c>
      <c r="AF180" s="66">
        <v>2.3E-3</v>
      </c>
      <c r="AG180" s="62" t="s">
        <v>1224</v>
      </c>
      <c r="AH180" s="62" t="s">
        <v>1225</v>
      </c>
      <c r="AI180" s="66" t="s">
        <v>154</v>
      </c>
    </row>
    <row r="181" spans="1:35" ht="22.05" customHeight="1">
      <c r="A181" s="64">
        <v>181</v>
      </c>
      <c r="B181" s="62" t="s">
        <v>71</v>
      </c>
      <c r="C181" s="62" t="s">
        <v>1226</v>
      </c>
      <c r="D181" s="62" t="s">
        <v>1227</v>
      </c>
      <c r="E181" s="62" t="s">
        <v>105</v>
      </c>
      <c r="F181" s="62" t="s">
        <v>144</v>
      </c>
      <c r="G181" s="62">
        <v>3</v>
      </c>
      <c r="H181" s="65" t="s">
        <v>1228</v>
      </c>
      <c r="I181" s="62" t="s">
        <v>1229</v>
      </c>
      <c r="J181" s="62" t="s">
        <v>218</v>
      </c>
      <c r="K181" s="62" t="s">
        <v>234</v>
      </c>
      <c r="L181" s="62" t="s">
        <v>235</v>
      </c>
      <c r="M181" s="63">
        <v>2.5000000000000001E-3</v>
      </c>
      <c r="N181" s="63">
        <v>0</v>
      </c>
      <c r="O181" s="63">
        <f t="shared" si="3"/>
        <v>7.4999999999999997E-3</v>
      </c>
      <c r="P181" s="85"/>
      <c r="Q181" s="85"/>
      <c r="R181" s="85"/>
      <c r="S181" s="85"/>
      <c r="T181" s="62">
        <v>56</v>
      </c>
      <c r="U181" s="62">
        <v>5000</v>
      </c>
      <c r="V181" s="62"/>
      <c r="W181" s="62"/>
      <c r="X181" s="67"/>
      <c r="Y181" s="62"/>
      <c r="Z181" s="62" t="s">
        <v>1230</v>
      </c>
      <c r="AA181" s="62" t="s">
        <v>1231</v>
      </c>
      <c r="AB181" s="62" t="s">
        <v>1232</v>
      </c>
      <c r="AC181" s="63">
        <v>2.5000000000000001E-3</v>
      </c>
      <c r="AD181" s="62" t="s">
        <v>1233</v>
      </c>
      <c r="AE181" s="62" t="s">
        <v>1234</v>
      </c>
      <c r="AF181" s="66">
        <v>3.8999999999999998E-3</v>
      </c>
      <c r="AG181" s="62" t="s">
        <v>1235</v>
      </c>
      <c r="AH181" s="62" t="s">
        <v>1236</v>
      </c>
      <c r="AI181" s="66" t="s">
        <v>154</v>
      </c>
    </row>
    <row r="182" spans="1:35" ht="22.05" customHeight="1">
      <c r="A182" s="64">
        <v>182</v>
      </c>
      <c r="B182" s="62" t="s">
        <v>71</v>
      </c>
      <c r="C182" s="62" t="s">
        <v>1237</v>
      </c>
      <c r="D182" s="62" t="s">
        <v>1238</v>
      </c>
      <c r="E182" s="62" t="s">
        <v>105</v>
      </c>
      <c r="F182" s="62" t="s">
        <v>144</v>
      </c>
      <c r="G182" s="62">
        <v>1</v>
      </c>
      <c r="H182" s="65" t="s">
        <v>1239</v>
      </c>
      <c r="I182" s="62" t="s">
        <v>1240</v>
      </c>
      <c r="J182" s="62" t="s">
        <v>218</v>
      </c>
      <c r="K182" s="62" t="s">
        <v>234</v>
      </c>
      <c r="L182" s="62" t="s">
        <v>235</v>
      </c>
      <c r="M182" s="63">
        <v>8.0000000000000004E-4</v>
      </c>
      <c r="N182" s="63">
        <v>0</v>
      </c>
      <c r="O182" s="63">
        <f t="shared" si="3"/>
        <v>8.0000000000000004E-4</v>
      </c>
      <c r="P182" s="85"/>
      <c r="Q182" s="85"/>
      <c r="R182" s="85"/>
      <c r="S182" s="85"/>
      <c r="T182" s="62">
        <v>56</v>
      </c>
      <c r="U182" s="62">
        <v>10000</v>
      </c>
      <c r="V182" s="62"/>
      <c r="W182" s="62"/>
      <c r="X182" s="67"/>
      <c r="Y182" s="62"/>
      <c r="Z182" s="62" t="s">
        <v>1241</v>
      </c>
      <c r="AA182" s="62" t="s">
        <v>1242</v>
      </c>
      <c r="AB182" s="62" t="s">
        <v>1243</v>
      </c>
      <c r="AC182" s="63">
        <v>8.0000000000000004E-4</v>
      </c>
      <c r="AD182" s="62" t="s">
        <v>1244</v>
      </c>
      <c r="AE182" s="62" t="s">
        <v>1245</v>
      </c>
      <c r="AF182" s="66">
        <v>1.2999999999999999E-3</v>
      </c>
      <c r="AG182" s="62" t="s">
        <v>1246</v>
      </c>
      <c r="AH182" s="62" t="s">
        <v>1247</v>
      </c>
      <c r="AI182" s="66" t="s">
        <v>154</v>
      </c>
    </row>
    <row r="183" spans="1:35" ht="22.05" customHeight="1">
      <c r="A183" s="64">
        <v>183</v>
      </c>
      <c r="B183" s="62" t="s">
        <v>71</v>
      </c>
      <c r="C183" s="62" t="s">
        <v>265</v>
      </c>
      <c r="D183" s="62" t="s">
        <v>266</v>
      </c>
      <c r="E183" s="62" t="s">
        <v>105</v>
      </c>
      <c r="F183" s="62" t="s">
        <v>144</v>
      </c>
      <c r="G183" s="62">
        <v>1</v>
      </c>
      <c r="H183" s="65" t="s">
        <v>267</v>
      </c>
      <c r="I183" s="62" t="s">
        <v>268</v>
      </c>
      <c r="J183" s="62" t="s">
        <v>218</v>
      </c>
      <c r="K183" s="62" t="s">
        <v>234</v>
      </c>
      <c r="L183" s="62" t="s">
        <v>235</v>
      </c>
      <c r="M183" s="63">
        <v>1.8E-3</v>
      </c>
      <c r="N183" s="63">
        <v>0</v>
      </c>
      <c r="O183" s="63">
        <f t="shared" si="3"/>
        <v>1.8E-3</v>
      </c>
      <c r="P183" s="85"/>
      <c r="Q183" s="85"/>
      <c r="R183" s="85"/>
      <c r="S183" s="85"/>
      <c r="T183" s="62">
        <v>56</v>
      </c>
      <c r="U183" s="62">
        <v>5000</v>
      </c>
      <c r="V183" s="62"/>
      <c r="W183" s="62"/>
      <c r="X183" s="67"/>
      <c r="Y183" s="62"/>
      <c r="Z183" s="62" t="s">
        <v>1248</v>
      </c>
      <c r="AA183" s="62" t="s">
        <v>270</v>
      </c>
      <c r="AB183" s="62" t="s">
        <v>271</v>
      </c>
      <c r="AC183" s="63">
        <v>1.8E-3</v>
      </c>
      <c r="AD183" s="62" t="s">
        <v>272</v>
      </c>
      <c r="AE183" s="62" t="s">
        <v>273</v>
      </c>
      <c r="AF183" s="63">
        <v>2.5999999999999999E-3</v>
      </c>
      <c r="AG183" s="62" t="s">
        <v>274</v>
      </c>
      <c r="AH183" s="62" t="s">
        <v>275</v>
      </c>
      <c r="AI183" s="66" t="s">
        <v>154</v>
      </c>
    </row>
    <row r="184" spans="1:35" ht="22.05" customHeight="1">
      <c r="A184" s="64">
        <v>184</v>
      </c>
      <c r="B184" s="62" t="s">
        <v>71</v>
      </c>
      <c r="C184" s="62" t="s">
        <v>1249</v>
      </c>
      <c r="D184" s="62" t="s">
        <v>1250</v>
      </c>
      <c r="E184" s="62" t="s">
        <v>105</v>
      </c>
      <c r="F184" s="62" t="s">
        <v>144</v>
      </c>
      <c r="G184" s="62">
        <v>2</v>
      </c>
      <c r="H184" s="65" t="s">
        <v>1251</v>
      </c>
      <c r="I184" s="62" t="s">
        <v>1252</v>
      </c>
      <c r="J184" s="62" t="s">
        <v>218</v>
      </c>
      <c r="K184" s="62" t="s">
        <v>234</v>
      </c>
      <c r="L184" s="62" t="s">
        <v>235</v>
      </c>
      <c r="M184" s="63">
        <v>4.1999999999999997E-3</v>
      </c>
      <c r="N184" s="63">
        <v>0</v>
      </c>
      <c r="O184" s="63">
        <f t="shared" si="3"/>
        <v>8.3999999999999995E-3</v>
      </c>
      <c r="P184" s="85"/>
      <c r="Q184" s="85"/>
      <c r="R184" s="85"/>
      <c r="S184" s="85"/>
      <c r="T184" s="62">
        <v>56</v>
      </c>
      <c r="U184" s="62">
        <v>5000</v>
      </c>
      <c r="V184" s="62"/>
      <c r="W184" s="62"/>
      <c r="X184" s="67"/>
      <c r="Y184" s="62"/>
      <c r="Z184" s="62" t="s">
        <v>1253</v>
      </c>
      <c r="AA184" s="62" t="s">
        <v>1254</v>
      </c>
      <c r="AB184" s="62" t="s">
        <v>1255</v>
      </c>
      <c r="AC184" s="63">
        <v>4.1999999999999997E-3</v>
      </c>
      <c r="AD184" s="62" t="s">
        <v>1256</v>
      </c>
      <c r="AE184" s="62" t="s">
        <v>1257</v>
      </c>
      <c r="AF184" s="66">
        <v>7.4999999999999997E-3</v>
      </c>
      <c r="AG184" s="62" t="s">
        <v>1258</v>
      </c>
      <c r="AH184" s="62" t="s">
        <v>1259</v>
      </c>
      <c r="AI184" s="66" t="s">
        <v>154</v>
      </c>
    </row>
    <row r="185" spans="1:35" ht="22.05" customHeight="1">
      <c r="A185" s="64">
        <v>185</v>
      </c>
      <c r="B185" s="62" t="s">
        <v>71</v>
      </c>
      <c r="C185" s="62" t="s">
        <v>1260</v>
      </c>
      <c r="D185" s="62" t="s">
        <v>1261</v>
      </c>
      <c r="E185" s="62" t="s">
        <v>105</v>
      </c>
      <c r="F185" s="62" t="s">
        <v>144</v>
      </c>
      <c r="G185" s="62">
        <v>1</v>
      </c>
      <c r="H185" s="65" t="s">
        <v>1262</v>
      </c>
      <c r="I185" s="62" t="s">
        <v>1263</v>
      </c>
      <c r="J185" s="62" t="s">
        <v>218</v>
      </c>
      <c r="K185" s="62" t="s">
        <v>234</v>
      </c>
      <c r="L185" s="62" t="s">
        <v>235</v>
      </c>
      <c r="M185" s="63">
        <v>2.5000000000000001E-3</v>
      </c>
      <c r="N185" s="63">
        <v>0</v>
      </c>
      <c r="O185" s="63">
        <f t="shared" si="3"/>
        <v>2.5000000000000001E-3</v>
      </c>
      <c r="P185" s="85"/>
      <c r="Q185" s="85"/>
      <c r="R185" s="85"/>
      <c r="S185" s="85"/>
      <c r="T185" s="62">
        <v>56</v>
      </c>
      <c r="U185" s="62">
        <v>5000</v>
      </c>
      <c r="V185" s="62"/>
      <c r="W185" s="62"/>
      <c r="X185" s="67"/>
      <c r="Y185" s="62"/>
      <c r="Z185" s="62" t="s">
        <v>1264</v>
      </c>
      <c r="AA185" s="62" t="s">
        <v>1265</v>
      </c>
      <c r="AB185" s="62" t="s">
        <v>1266</v>
      </c>
      <c r="AC185" s="63">
        <v>2.5000000000000001E-3</v>
      </c>
      <c r="AD185" s="62" t="s">
        <v>1267</v>
      </c>
      <c r="AE185" s="62" t="s">
        <v>1268</v>
      </c>
      <c r="AF185" s="66">
        <v>3.8999999999999998E-3</v>
      </c>
      <c r="AG185" s="62" t="s">
        <v>1269</v>
      </c>
      <c r="AH185" s="62" t="s">
        <v>1270</v>
      </c>
      <c r="AI185" s="66" t="s">
        <v>154</v>
      </c>
    </row>
    <row r="186" spans="1:35" ht="22.05" customHeight="1">
      <c r="A186" s="64">
        <v>186</v>
      </c>
      <c r="B186" s="62" t="s">
        <v>71</v>
      </c>
      <c r="C186" s="62" t="s">
        <v>321</v>
      </c>
      <c r="D186" s="62" t="s">
        <v>322</v>
      </c>
      <c r="E186" s="62" t="s">
        <v>105</v>
      </c>
      <c r="F186" s="62" t="s">
        <v>144</v>
      </c>
      <c r="G186" s="62">
        <v>2</v>
      </c>
      <c r="H186" s="65" t="s">
        <v>323</v>
      </c>
      <c r="I186" s="62" t="s">
        <v>324</v>
      </c>
      <c r="J186" s="62" t="s">
        <v>218</v>
      </c>
      <c r="K186" s="62" t="s">
        <v>234</v>
      </c>
      <c r="L186" s="62" t="s">
        <v>235</v>
      </c>
      <c r="M186" s="63">
        <v>4.1999999999999997E-3</v>
      </c>
      <c r="N186" s="63">
        <v>0</v>
      </c>
      <c r="O186" s="63">
        <f t="shared" si="3"/>
        <v>8.3999999999999995E-3</v>
      </c>
      <c r="P186" s="85"/>
      <c r="Q186" s="85"/>
      <c r="R186" s="85"/>
      <c r="S186" s="85"/>
      <c r="T186" s="62">
        <v>56</v>
      </c>
      <c r="U186" s="62">
        <v>5000</v>
      </c>
      <c r="V186" s="62"/>
      <c r="W186" s="62"/>
      <c r="X186" s="67"/>
      <c r="Y186" s="62"/>
      <c r="Z186" s="62" t="s">
        <v>1271</v>
      </c>
      <c r="AA186" s="62" t="s">
        <v>326</v>
      </c>
      <c r="AB186" s="62" t="s">
        <v>327</v>
      </c>
      <c r="AC186" s="63">
        <v>4.1999999999999997E-3</v>
      </c>
      <c r="AD186" s="62" t="s">
        <v>328</v>
      </c>
      <c r="AE186" s="62" t="s">
        <v>329</v>
      </c>
      <c r="AF186" s="66">
        <v>7.4999999999999997E-3</v>
      </c>
      <c r="AG186" s="62" t="s">
        <v>1272</v>
      </c>
      <c r="AH186" s="62" t="s">
        <v>1273</v>
      </c>
      <c r="AI186" s="66" t="s">
        <v>154</v>
      </c>
    </row>
    <row r="187" spans="1:35" ht="22.05" customHeight="1">
      <c r="A187" s="64">
        <v>187</v>
      </c>
      <c r="B187" s="62" t="s">
        <v>71</v>
      </c>
      <c r="C187" s="62" t="s">
        <v>1274</v>
      </c>
      <c r="D187" s="62" t="s">
        <v>1275</v>
      </c>
      <c r="E187" s="62" t="s">
        <v>105</v>
      </c>
      <c r="F187" s="62" t="s">
        <v>144</v>
      </c>
      <c r="G187" s="62">
        <v>6</v>
      </c>
      <c r="H187" s="65" t="s">
        <v>1276</v>
      </c>
      <c r="I187" s="62" t="s">
        <v>1277</v>
      </c>
      <c r="J187" s="62" t="s">
        <v>218</v>
      </c>
      <c r="K187" s="62" t="s">
        <v>219</v>
      </c>
      <c r="L187" s="62" t="s">
        <v>185</v>
      </c>
      <c r="M187" s="63">
        <v>4.3E-3</v>
      </c>
      <c r="N187" s="63">
        <v>0</v>
      </c>
      <c r="O187" s="63">
        <f t="shared" si="3"/>
        <v>2.58E-2</v>
      </c>
      <c r="P187" s="85"/>
      <c r="Q187" s="85"/>
      <c r="R187" s="85"/>
      <c r="S187" s="85"/>
      <c r="T187" s="62">
        <v>42</v>
      </c>
      <c r="U187" s="62">
        <v>1</v>
      </c>
      <c r="V187" s="62"/>
      <c r="W187" s="62"/>
      <c r="X187" s="67"/>
      <c r="Y187" s="62"/>
      <c r="Z187" s="62" t="s">
        <v>1278</v>
      </c>
      <c r="AA187" s="62" t="s">
        <v>1279</v>
      </c>
      <c r="AB187" s="62" t="s">
        <v>1280</v>
      </c>
      <c r="AC187" s="66">
        <v>5.7000000000000002E-3</v>
      </c>
      <c r="AD187" s="62" t="s">
        <v>1281</v>
      </c>
      <c r="AE187" s="62" t="s">
        <v>1282</v>
      </c>
      <c r="AF187" s="66">
        <v>7.4999999999999997E-3</v>
      </c>
      <c r="AG187" s="62" t="s">
        <v>1283</v>
      </c>
      <c r="AH187" s="62" t="s">
        <v>1284</v>
      </c>
      <c r="AI187" s="66" t="s">
        <v>154</v>
      </c>
    </row>
    <row r="188" spans="1:35" ht="22.05" customHeight="1">
      <c r="A188" s="64">
        <v>188</v>
      </c>
      <c r="B188" s="62" t="s">
        <v>71</v>
      </c>
      <c r="C188" s="62" t="s">
        <v>1285</v>
      </c>
      <c r="D188" s="62" t="s">
        <v>1286</v>
      </c>
      <c r="E188" s="62" t="s">
        <v>105</v>
      </c>
      <c r="F188" s="62" t="s">
        <v>144</v>
      </c>
      <c r="G188" s="62">
        <v>1</v>
      </c>
      <c r="H188" s="65" t="s">
        <v>1287</v>
      </c>
      <c r="I188" s="62" t="s">
        <v>1288</v>
      </c>
      <c r="J188" s="62" t="s">
        <v>183</v>
      </c>
      <c r="K188" s="62" t="s">
        <v>641</v>
      </c>
      <c r="L188" s="62" t="s">
        <v>235</v>
      </c>
      <c r="M188" s="63">
        <v>4.1999999999999997E-3</v>
      </c>
      <c r="N188" s="63">
        <v>0</v>
      </c>
      <c r="O188" s="63">
        <f t="shared" si="3"/>
        <v>4.1999999999999997E-3</v>
      </c>
      <c r="P188" s="85"/>
      <c r="Q188" s="85"/>
      <c r="R188" s="85"/>
      <c r="S188" s="85"/>
      <c r="T188" s="62">
        <v>56</v>
      </c>
      <c r="U188" s="62">
        <v>0</v>
      </c>
      <c r="V188" s="62">
        <v>5000</v>
      </c>
      <c r="W188" s="62"/>
      <c r="X188" s="67"/>
      <c r="Y188" s="62"/>
      <c r="Z188" s="62" t="s">
        <v>1289</v>
      </c>
      <c r="AA188" s="62" t="s">
        <v>1290</v>
      </c>
      <c r="AB188" s="62" t="s">
        <v>1291</v>
      </c>
      <c r="AC188" s="63">
        <v>4.1999999999999997E-3</v>
      </c>
      <c r="AD188" s="62" t="s">
        <v>1292</v>
      </c>
      <c r="AE188" s="62" t="s">
        <v>1293</v>
      </c>
      <c r="AF188" s="66">
        <v>7.4999999999999997E-3</v>
      </c>
      <c r="AG188" s="62" t="s">
        <v>1294</v>
      </c>
      <c r="AH188" s="62" t="s">
        <v>1295</v>
      </c>
      <c r="AI188" s="66" t="s">
        <v>154</v>
      </c>
    </row>
    <row r="189" spans="1:35" ht="22.05" customHeight="1">
      <c r="A189" s="64">
        <v>189</v>
      </c>
      <c r="B189" s="62" t="s">
        <v>71</v>
      </c>
      <c r="C189" s="62" t="s">
        <v>1296</v>
      </c>
      <c r="D189" s="62" t="s">
        <v>1297</v>
      </c>
      <c r="E189" s="62" t="s">
        <v>105</v>
      </c>
      <c r="F189" s="62" t="s">
        <v>144</v>
      </c>
      <c r="G189" s="62">
        <v>2</v>
      </c>
      <c r="H189" s="65" t="s">
        <v>1298</v>
      </c>
      <c r="I189" s="62" t="s">
        <v>1299</v>
      </c>
      <c r="J189" s="62" t="s">
        <v>302</v>
      </c>
      <c r="K189" s="62" t="s">
        <v>234</v>
      </c>
      <c r="L189" s="62" t="s">
        <v>235</v>
      </c>
      <c r="M189" s="63">
        <v>8.0000000000000004E-4</v>
      </c>
      <c r="N189" s="63">
        <v>0</v>
      </c>
      <c r="O189" s="63">
        <f t="shared" si="3"/>
        <v>1.6000000000000001E-3</v>
      </c>
      <c r="P189" s="85"/>
      <c r="Q189" s="85"/>
      <c r="R189" s="85"/>
      <c r="S189" s="85"/>
      <c r="T189" s="62">
        <v>56</v>
      </c>
      <c r="U189" s="62">
        <v>10000</v>
      </c>
      <c r="V189" s="62"/>
      <c r="W189" s="62"/>
      <c r="X189" s="67"/>
      <c r="Y189" s="62"/>
      <c r="Z189" s="62" t="s">
        <v>1300</v>
      </c>
      <c r="AA189" s="62" t="s">
        <v>1301</v>
      </c>
      <c r="AB189" s="62" t="s">
        <v>1302</v>
      </c>
      <c r="AC189" s="63">
        <v>8.0000000000000004E-4</v>
      </c>
      <c r="AD189" s="62" t="s">
        <v>1303</v>
      </c>
      <c r="AE189" s="62" t="s">
        <v>1304</v>
      </c>
      <c r="AF189" s="66">
        <v>1.1999999999999999E-3</v>
      </c>
      <c r="AG189" s="62" t="s">
        <v>1305</v>
      </c>
      <c r="AH189" s="62" t="s">
        <v>1306</v>
      </c>
      <c r="AI189" s="66" t="s">
        <v>154</v>
      </c>
    </row>
    <row r="190" spans="1:35" ht="22.05" customHeight="1">
      <c r="A190" s="64">
        <v>190</v>
      </c>
      <c r="B190" s="62" t="s">
        <v>71</v>
      </c>
      <c r="C190" s="62" t="s">
        <v>1307</v>
      </c>
      <c r="D190" s="62" t="s">
        <v>1308</v>
      </c>
      <c r="E190" s="62" t="s">
        <v>105</v>
      </c>
      <c r="F190" s="62" t="s">
        <v>144</v>
      </c>
      <c r="G190" s="62">
        <v>1</v>
      </c>
      <c r="H190" s="65" t="s">
        <v>1309</v>
      </c>
      <c r="I190" s="62" t="s">
        <v>1310</v>
      </c>
      <c r="J190" s="62" t="s">
        <v>218</v>
      </c>
      <c r="K190" s="62" t="s">
        <v>234</v>
      </c>
      <c r="L190" s="62" t="s">
        <v>235</v>
      </c>
      <c r="M190" s="63">
        <v>4.1999999999999997E-3</v>
      </c>
      <c r="N190" s="63">
        <v>0</v>
      </c>
      <c r="O190" s="63">
        <f t="shared" si="3"/>
        <v>4.1999999999999997E-3</v>
      </c>
      <c r="P190" s="85"/>
      <c r="Q190" s="85"/>
      <c r="R190" s="85"/>
      <c r="S190" s="85"/>
      <c r="T190" s="62">
        <v>56</v>
      </c>
      <c r="U190" s="62">
        <v>5000</v>
      </c>
      <c r="V190" s="62"/>
      <c r="W190" s="62"/>
      <c r="X190" s="67"/>
      <c r="Y190" s="62"/>
      <c r="Z190" s="62" t="s">
        <v>1311</v>
      </c>
      <c r="AA190" s="62" t="s">
        <v>1312</v>
      </c>
      <c r="AB190" s="62" t="s">
        <v>1313</v>
      </c>
      <c r="AC190" s="63">
        <v>4.1999999999999997E-3</v>
      </c>
      <c r="AD190" s="62" t="s">
        <v>1314</v>
      </c>
      <c r="AE190" s="62" t="s">
        <v>1315</v>
      </c>
      <c r="AF190" s="66">
        <v>2.1399999999999999E-2</v>
      </c>
      <c r="AG190" s="62" t="s">
        <v>1316</v>
      </c>
      <c r="AH190" s="62" t="s">
        <v>1317</v>
      </c>
      <c r="AI190" s="66" t="s">
        <v>154</v>
      </c>
    </row>
    <row r="191" spans="1:35" ht="22.05" customHeight="1">
      <c r="A191" s="64">
        <v>191</v>
      </c>
      <c r="B191" s="62" t="s">
        <v>71</v>
      </c>
      <c r="C191" s="62" t="s">
        <v>1318</v>
      </c>
      <c r="D191" s="62" t="s">
        <v>1319</v>
      </c>
      <c r="E191" s="62" t="s">
        <v>105</v>
      </c>
      <c r="F191" s="62" t="s">
        <v>144</v>
      </c>
      <c r="G191" s="62">
        <v>2</v>
      </c>
      <c r="H191" s="65" t="s">
        <v>1320</v>
      </c>
      <c r="I191" s="62" t="s">
        <v>1321</v>
      </c>
      <c r="J191" s="62" t="s">
        <v>302</v>
      </c>
      <c r="K191" s="62" t="s">
        <v>234</v>
      </c>
      <c r="L191" s="62" t="s">
        <v>235</v>
      </c>
      <c r="M191" s="63">
        <v>8.0000000000000004E-4</v>
      </c>
      <c r="N191" s="63">
        <v>0</v>
      </c>
      <c r="O191" s="63">
        <f t="shared" si="3"/>
        <v>1.6000000000000001E-3</v>
      </c>
      <c r="P191" s="85"/>
      <c r="Q191" s="85"/>
      <c r="R191" s="85"/>
      <c r="S191" s="85"/>
      <c r="T191" s="62">
        <v>56</v>
      </c>
      <c r="U191" s="62">
        <v>10000</v>
      </c>
      <c r="V191" s="62"/>
      <c r="W191" s="62"/>
      <c r="X191" s="67"/>
      <c r="Y191" s="62"/>
      <c r="Z191" s="62" t="s">
        <v>1322</v>
      </c>
      <c r="AA191" s="62" t="s">
        <v>1323</v>
      </c>
      <c r="AB191" s="62" t="s">
        <v>1324</v>
      </c>
      <c r="AC191" s="63">
        <v>8.0000000000000004E-4</v>
      </c>
      <c r="AD191" s="62" t="s">
        <v>1325</v>
      </c>
      <c r="AE191" s="62" t="s">
        <v>1326</v>
      </c>
      <c r="AF191" s="66">
        <v>2.8999999999999998E-3</v>
      </c>
      <c r="AG191" s="62" t="s">
        <v>1327</v>
      </c>
      <c r="AH191" s="62" t="s">
        <v>1328</v>
      </c>
      <c r="AI191" s="66" t="s">
        <v>154</v>
      </c>
    </row>
    <row r="192" spans="1:35" ht="22.05" customHeight="1">
      <c r="A192" s="64">
        <v>192</v>
      </c>
      <c r="B192" s="62" t="s">
        <v>71</v>
      </c>
      <c r="C192" s="62" t="s">
        <v>1329</v>
      </c>
      <c r="D192" s="62" t="s">
        <v>1330</v>
      </c>
      <c r="E192" s="62" t="s">
        <v>105</v>
      </c>
      <c r="F192" s="62" t="s">
        <v>144</v>
      </c>
      <c r="G192" s="62">
        <v>5</v>
      </c>
      <c r="H192" s="65" t="s">
        <v>1331</v>
      </c>
      <c r="I192" s="62" t="s">
        <v>1332</v>
      </c>
      <c r="J192" s="62" t="s">
        <v>205</v>
      </c>
      <c r="K192" s="62" t="s">
        <v>641</v>
      </c>
      <c r="L192" s="62" t="s">
        <v>235</v>
      </c>
      <c r="M192" s="63">
        <v>1E-3</v>
      </c>
      <c r="N192" s="63">
        <v>0</v>
      </c>
      <c r="O192" s="63">
        <f t="shared" si="3"/>
        <v>5.0000000000000001E-3</v>
      </c>
      <c r="P192" s="85"/>
      <c r="Q192" s="85"/>
      <c r="R192" s="85"/>
      <c r="S192" s="85"/>
      <c r="T192" s="62">
        <v>56</v>
      </c>
      <c r="U192" s="62">
        <v>10000</v>
      </c>
      <c r="V192" s="62">
        <v>10000</v>
      </c>
      <c r="W192" s="62"/>
      <c r="X192" s="67"/>
      <c r="Y192" s="62"/>
      <c r="Z192" s="62" t="s">
        <v>1333</v>
      </c>
      <c r="AA192" s="62" t="s">
        <v>1334</v>
      </c>
      <c r="AB192" s="62" t="s">
        <v>1335</v>
      </c>
      <c r="AC192" s="63">
        <v>1E-3</v>
      </c>
      <c r="AD192" s="62" t="s">
        <v>1336</v>
      </c>
      <c r="AE192" s="62" t="s">
        <v>1337</v>
      </c>
      <c r="AF192" s="63">
        <v>1.2999999999999999E-3</v>
      </c>
      <c r="AG192" s="62" t="s">
        <v>1338</v>
      </c>
      <c r="AH192" s="62" t="s">
        <v>1339</v>
      </c>
      <c r="AI192" s="66" t="s">
        <v>154</v>
      </c>
    </row>
    <row r="193" spans="1:35" ht="22.05" customHeight="1">
      <c r="A193" s="64">
        <v>193</v>
      </c>
      <c r="B193" s="62" t="s">
        <v>71</v>
      </c>
      <c r="C193" s="62" t="s">
        <v>1340</v>
      </c>
      <c r="D193" s="62" t="s">
        <v>1341</v>
      </c>
      <c r="E193" s="62" t="s">
        <v>105</v>
      </c>
      <c r="F193" s="62" t="s">
        <v>144</v>
      </c>
      <c r="G193" s="62">
        <v>1</v>
      </c>
      <c r="H193" s="65" t="s">
        <v>1342</v>
      </c>
      <c r="I193" s="62" t="s">
        <v>1343</v>
      </c>
      <c r="J193" s="62" t="s">
        <v>218</v>
      </c>
      <c r="K193" s="62" t="s">
        <v>234</v>
      </c>
      <c r="L193" s="62" t="s">
        <v>235</v>
      </c>
      <c r="M193" s="63">
        <v>1.8E-3</v>
      </c>
      <c r="N193" s="63">
        <v>0</v>
      </c>
      <c r="O193" s="63">
        <f t="shared" si="3"/>
        <v>1.8E-3</v>
      </c>
      <c r="P193" s="85"/>
      <c r="Q193" s="85"/>
      <c r="R193" s="85"/>
      <c r="S193" s="85"/>
      <c r="T193" s="62">
        <v>56</v>
      </c>
      <c r="U193" s="62">
        <v>5000</v>
      </c>
      <c r="V193" s="62">
        <v>5000</v>
      </c>
      <c r="W193" s="62"/>
      <c r="X193" s="67"/>
      <c r="Y193" s="62"/>
      <c r="Z193" s="62" t="s">
        <v>1344</v>
      </c>
      <c r="AA193" s="62" t="s">
        <v>1345</v>
      </c>
      <c r="AB193" s="62" t="s">
        <v>1346</v>
      </c>
      <c r="AC193" s="63">
        <v>1.8E-3</v>
      </c>
      <c r="AD193" s="62" t="s">
        <v>1347</v>
      </c>
      <c r="AE193" s="62" t="s">
        <v>1348</v>
      </c>
      <c r="AF193" s="66">
        <v>2.5999999999999999E-3</v>
      </c>
      <c r="AG193" s="62" t="s">
        <v>1349</v>
      </c>
      <c r="AH193" s="62" t="s">
        <v>1350</v>
      </c>
      <c r="AI193" s="66" t="s">
        <v>154</v>
      </c>
    </row>
    <row r="194" spans="1:35" ht="22.05" customHeight="1">
      <c r="A194" s="64">
        <v>194</v>
      </c>
      <c r="B194" s="62" t="s">
        <v>71</v>
      </c>
      <c r="C194" s="62" t="s">
        <v>1351</v>
      </c>
      <c r="D194" s="62" t="s">
        <v>1352</v>
      </c>
      <c r="E194" s="62" t="s">
        <v>105</v>
      </c>
      <c r="F194" s="62" t="s">
        <v>144</v>
      </c>
      <c r="G194" s="62">
        <v>1</v>
      </c>
      <c r="H194" s="65" t="s">
        <v>1353</v>
      </c>
      <c r="I194" s="62" t="s">
        <v>1354</v>
      </c>
      <c r="J194" s="62" t="s">
        <v>302</v>
      </c>
      <c r="K194" s="62" t="s">
        <v>234</v>
      </c>
      <c r="L194" s="62" t="s">
        <v>235</v>
      </c>
      <c r="M194" s="63">
        <v>1.5E-3</v>
      </c>
      <c r="N194" s="63">
        <v>0</v>
      </c>
      <c r="O194" s="63">
        <f t="shared" si="3"/>
        <v>1.5E-3</v>
      </c>
      <c r="P194" s="85"/>
      <c r="Q194" s="85"/>
      <c r="R194" s="85"/>
      <c r="S194" s="85"/>
      <c r="T194" s="62">
        <v>56</v>
      </c>
      <c r="U194" s="62">
        <v>5000</v>
      </c>
      <c r="V194" s="62"/>
      <c r="W194" s="62"/>
      <c r="X194" s="67"/>
      <c r="Y194" s="62"/>
      <c r="Z194" s="62" t="s">
        <v>1355</v>
      </c>
      <c r="AA194" s="62" t="s">
        <v>1356</v>
      </c>
      <c r="AB194" s="62" t="s">
        <v>1357</v>
      </c>
      <c r="AC194" s="63">
        <v>1.5E-3</v>
      </c>
      <c r="AD194" s="62" t="s">
        <v>1358</v>
      </c>
      <c r="AE194" s="62" t="s">
        <v>1359</v>
      </c>
      <c r="AF194" s="66">
        <v>2.3E-3</v>
      </c>
      <c r="AG194" s="62" t="s">
        <v>1360</v>
      </c>
      <c r="AH194" s="62" t="s">
        <v>1361</v>
      </c>
      <c r="AI194" s="66" t="s">
        <v>154</v>
      </c>
    </row>
    <row r="195" spans="1:35" ht="22.05" customHeight="1">
      <c r="A195" s="64">
        <v>195</v>
      </c>
      <c r="B195" s="62" t="s">
        <v>71</v>
      </c>
      <c r="C195" s="62" t="s">
        <v>1362</v>
      </c>
      <c r="D195" s="62" t="s">
        <v>1363</v>
      </c>
      <c r="E195" s="62" t="s">
        <v>105</v>
      </c>
      <c r="F195" s="62" t="s">
        <v>144</v>
      </c>
      <c r="G195" s="62">
        <v>3</v>
      </c>
      <c r="H195" s="65" t="s">
        <v>1364</v>
      </c>
      <c r="I195" s="62" t="s">
        <v>1365</v>
      </c>
      <c r="J195" s="62" t="s">
        <v>183</v>
      </c>
      <c r="K195" s="62" t="s">
        <v>184</v>
      </c>
      <c r="L195" s="62" t="s">
        <v>185</v>
      </c>
      <c r="M195" s="63">
        <v>5.7999999999999996E-3</v>
      </c>
      <c r="N195" s="63">
        <v>0</v>
      </c>
      <c r="O195" s="63">
        <f t="shared" si="3"/>
        <v>1.7399999999999999E-2</v>
      </c>
      <c r="P195" s="85"/>
      <c r="Q195" s="85"/>
      <c r="R195" s="85"/>
      <c r="S195" s="85"/>
      <c r="T195" s="62">
        <v>56</v>
      </c>
      <c r="U195" s="62">
        <v>0</v>
      </c>
      <c r="V195" s="62">
        <v>5000</v>
      </c>
      <c r="W195" s="62"/>
      <c r="X195" s="67"/>
      <c r="Y195" s="62"/>
      <c r="Z195" s="62" t="s">
        <v>1366</v>
      </c>
      <c r="AA195" s="62" t="s">
        <v>1367</v>
      </c>
      <c r="AB195" s="62" t="s">
        <v>1368</v>
      </c>
      <c r="AC195" s="68">
        <v>8.9999999999999993E-3</v>
      </c>
      <c r="AD195" s="62" t="s">
        <v>1369</v>
      </c>
      <c r="AE195" s="62" t="s">
        <v>1370</v>
      </c>
      <c r="AF195" s="66">
        <v>2.7900000000000001E-2</v>
      </c>
      <c r="AG195" s="62" t="s">
        <v>1371</v>
      </c>
      <c r="AH195" s="62" t="s">
        <v>1372</v>
      </c>
      <c r="AI195" s="66" t="s">
        <v>154</v>
      </c>
    </row>
    <row r="196" spans="1:35" ht="22.05" customHeight="1">
      <c r="A196" s="64">
        <v>196</v>
      </c>
      <c r="B196" s="62" t="s">
        <v>71</v>
      </c>
      <c r="C196" s="62" t="s">
        <v>1373</v>
      </c>
      <c r="D196" s="62" t="s">
        <v>1374</v>
      </c>
      <c r="E196" s="62" t="s">
        <v>105</v>
      </c>
      <c r="F196" s="62" t="s">
        <v>144</v>
      </c>
      <c r="G196" s="62">
        <v>1</v>
      </c>
      <c r="H196" s="65" t="s">
        <v>1375</v>
      </c>
      <c r="I196" s="62" t="s">
        <v>1376</v>
      </c>
      <c r="J196" s="62" t="s">
        <v>302</v>
      </c>
      <c r="K196" s="62" t="s">
        <v>234</v>
      </c>
      <c r="L196" s="62" t="s">
        <v>235</v>
      </c>
      <c r="M196" s="63">
        <v>1.5E-3</v>
      </c>
      <c r="N196" s="63">
        <v>0</v>
      </c>
      <c r="O196" s="63">
        <f t="shared" si="3"/>
        <v>1.5E-3</v>
      </c>
      <c r="P196" s="85"/>
      <c r="Q196" s="85"/>
      <c r="R196" s="85"/>
      <c r="S196" s="85"/>
      <c r="T196" s="62">
        <v>56</v>
      </c>
      <c r="U196" s="62">
        <v>5000</v>
      </c>
      <c r="V196" s="62"/>
      <c r="W196" s="62"/>
      <c r="X196" s="67"/>
      <c r="Y196" s="62"/>
      <c r="Z196" s="62" t="s">
        <v>1377</v>
      </c>
      <c r="AA196" s="62" t="s">
        <v>1378</v>
      </c>
      <c r="AB196" s="62" t="s">
        <v>1379</v>
      </c>
      <c r="AC196" s="63">
        <v>1.5E-3</v>
      </c>
      <c r="AD196" s="62" t="s">
        <v>1380</v>
      </c>
      <c r="AE196" s="62" t="s">
        <v>1381</v>
      </c>
      <c r="AF196" s="66">
        <v>2.3E-3</v>
      </c>
      <c r="AG196" s="62" t="s">
        <v>1382</v>
      </c>
      <c r="AH196" s="62" t="s">
        <v>1383</v>
      </c>
      <c r="AI196" s="66" t="s">
        <v>154</v>
      </c>
    </row>
    <row r="197" spans="1:35" ht="22.05" customHeight="1">
      <c r="A197" s="64">
        <v>197</v>
      </c>
      <c r="B197" s="62" t="s">
        <v>71</v>
      </c>
      <c r="C197" s="62" t="s">
        <v>1384</v>
      </c>
      <c r="D197" s="62" t="s">
        <v>1385</v>
      </c>
      <c r="E197" s="62" t="s">
        <v>105</v>
      </c>
      <c r="F197" s="62" t="s">
        <v>144</v>
      </c>
      <c r="G197" s="62">
        <v>12</v>
      </c>
      <c r="H197" s="65" t="s">
        <v>1386</v>
      </c>
      <c r="I197" s="62" t="s">
        <v>1387</v>
      </c>
      <c r="J197" s="62" t="s">
        <v>302</v>
      </c>
      <c r="K197" s="62" t="s">
        <v>234</v>
      </c>
      <c r="L197" s="62" t="s">
        <v>235</v>
      </c>
      <c r="M197" s="63">
        <v>8.0000000000000004E-4</v>
      </c>
      <c r="N197" s="63">
        <v>0</v>
      </c>
      <c r="O197" s="63">
        <f t="shared" si="3"/>
        <v>9.6000000000000009E-3</v>
      </c>
      <c r="P197" s="85"/>
      <c r="Q197" s="85"/>
      <c r="R197" s="85"/>
      <c r="S197" s="85"/>
      <c r="T197" s="62">
        <v>56</v>
      </c>
      <c r="U197" s="62">
        <v>10000</v>
      </c>
      <c r="V197" s="62"/>
      <c r="W197" s="62"/>
      <c r="X197" s="67"/>
      <c r="Y197" s="62"/>
      <c r="Z197" s="62" t="s">
        <v>1388</v>
      </c>
      <c r="AA197" s="62" t="s">
        <v>1389</v>
      </c>
      <c r="AB197" s="62" t="s">
        <v>1390</v>
      </c>
      <c r="AC197" s="63">
        <v>8.0000000000000004E-4</v>
      </c>
      <c r="AD197" s="62" t="s">
        <v>1391</v>
      </c>
      <c r="AE197" s="62" t="s">
        <v>1392</v>
      </c>
      <c r="AF197" s="66">
        <v>1.1999999999999999E-3</v>
      </c>
      <c r="AG197" s="62" t="s">
        <v>1393</v>
      </c>
      <c r="AH197" s="62" t="s">
        <v>1394</v>
      </c>
      <c r="AI197" s="66" t="s">
        <v>154</v>
      </c>
    </row>
    <row r="198" spans="1:35" ht="22.05" customHeight="1">
      <c r="A198" s="64">
        <v>198</v>
      </c>
      <c r="B198" s="62" t="s">
        <v>71</v>
      </c>
      <c r="C198" s="62" t="s">
        <v>1395</v>
      </c>
      <c r="D198" s="62" t="s">
        <v>1396</v>
      </c>
      <c r="E198" s="62" t="s">
        <v>105</v>
      </c>
      <c r="F198" s="62" t="s">
        <v>144</v>
      </c>
      <c r="G198" s="62">
        <v>1</v>
      </c>
      <c r="H198" s="65" t="s">
        <v>1397</v>
      </c>
      <c r="I198" s="62" t="s">
        <v>1398</v>
      </c>
      <c r="J198" s="62" t="s">
        <v>302</v>
      </c>
      <c r="K198" s="62" t="s">
        <v>234</v>
      </c>
      <c r="L198" s="62" t="s">
        <v>235</v>
      </c>
      <c r="M198" s="63">
        <v>1.8E-3</v>
      </c>
      <c r="N198" s="63">
        <v>0</v>
      </c>
      <c r="O198" s="63">
        <f t="shared" si="3"/>
        <v>1.8E-3</v>
      </c>
      <c r="P198" s="85"/>
      <c r="Q198" s="85"/>
      <c r="R198" s="85"/>
      <c r="S198" s="85"/>
      <c r="T198" s="62">
        <v>56</v>
      </c>
      <c r="U198" s="62">
        <v>5000</v>
      </c>
      <c r="V198" s="62"/>
      <c r="W198" s="62"/>
      <c r="X198" s="67"/>
      <c r="Y198" s="62"/>
      <c r="Z198" s="62" t="s">
        <v>1399</v>
      </c>
      <c r="AA198" s="62" t="s">
        <v>1400</v>
      </c>
      <c r="AB198" s="62" t="s">
        <v>1401</v>
      </c>
      <c r="AC198" s="63">
        <v>1.8E-3</v>
      </c>
      <c r="AD198" s="62" t="s">
        <v>1402</v>
      </c>
      <c r="AE198" s="62" t="s">
        <v>1403</v>
      </c>
      <c r="AF198" s="63">
        <v>2.5999999999999999E-3</v>
      </c>
      <c r="AG198" s="62" t="s">
        <v>1404</v>
      </c>
      <c r="AH198" s="62" t="s">
        <v>1405</v>
      </c>
      <c r="AI198" s="66" t="s">
        <v>154</v>
      </c>
    </row>
    <row r="199" spans="1:35" ht="22.05" customHeight="1">
      <c r="A199" s="64">
        <v>199</v>
      </c>
      <c r="B199" s="62" t="s">
        <v>71</v>
      </c>
      <c r="C199" s="62" t="s">
        <v>1406</v>
      </c>
      <c r="D199" s="62" t="s">
        <v>1407</v>
      </c>
      <c r="E199" s="62" t="s">
        <v>105</v>
      </c>
      <c r="F199" s="62" t="s">
        <v>144</v>
      </c>
      <c r="G199" s="62">
        <v>1</v>
      </c>
      <c r="H199" s="65" t="s">
        <v>1408</v>
      </c>
      <c r="I199" s="62" t="s">
        <v>1409</v>
      </c>
      <c r="J199" s="62" t="s">
        <v>302</v>
      </c>
      <c r="K199" s="62" t="s">
        <v>234</v>
      </c>
      <c r="L199" s="62" t="s">
        <v>235</v>
      </c>
      <c r="M199" s="63">
        <v>1.8E-3</v>
      </c>
      <c r="N199" s="63">
        <v>0</v>
      </c>
      <c r="O199" s="63">
        <f t="shared" si="3"/>
        <v>1.8E-3</v>
      </c>
      <c r="P199" s="85"/>
      <c r="Q199" s="85"/>
      <c r="R199" s="85"/>
      <c r="S199" s="85"/>
      <c r="T199" s="62">
        <v>56</v>
      </c>
      <c r="U199" s="62">
        <v>5000</v>
      </c>
      <c r="V199" s="62"/>
      <c r="W199" s="62"/>
      <c r="X199" s="67"/>
      <c r="Y199" s="62"/>
      <c r="Z199" s="62" t="s">
        <v>1410</v>
      </c>
      <c r="AA199" s="62" t="s">
        <v>1411</v>
      </c>
      <c r="AB199" s="62" t="s">
        <v>1412</v>
      </c>
      <c r="AC199" s="63">
        <v>1.8E-3</v>
      </c>
      <c r="AD199" s="62" t="s">
        <v>1413</v>
      </c>
      <c r="AE199" s="62" t="s">
        <v>1414</v>
      </c>
      <c r="AF199" s="66">
        <v>2.5000000000000001E-3</v>
      </c>
      <c r="AG199" s="62" t="s">
        <v>1415</v>
      </c>
      <c r="AH199" s="62" t="s">
        <v>1416</v>
      </c>
      <c r="AI199" s="66" t="s">
        <v>154</v>
      </c>
    </row>
    <row r="200" spans="1:35" ht="22.05" customHeight="1">
      <c r="A200" s="64">
        <v>200</v>
      </c>
      <c r="B200" s="62" t="s">
        <v>71</v>
      </c>
      <c r="C200" s="62" t="s">
        <v>1417</v>
      </c>
      <c r="D200" s="62" t="s">
        <v>1418</v>
      </c>
      <c r="E200" s="62" t="s">
        <v>105</v>
      </c>
      <c r="F200" s="62" t="s">
        <v>144</v>
      </c>
      <c r="G200" s="62">
        <v>4</v>
      </c>
      <c r="H200" s="65" t="s">
        <v>1419</v>
      </c>
      <c r="I200" s="62" t="s">
        <v>1420</v>
      </c>
      <c r="J200" s="62" t="s">
        <v>302</v>
      </c>
      <c r="K200" s="62" t="s">
        <v>234</v>
      </c>
      <c r="L200" s="62" t="s">
        <v>235</v>
      </c>
      <c r="M200" s="63">
        <v>1E-3</v>
      </c>
      <c r="N200" s="63">
        <v>0</v>
      </c>
      <c r="O200" s="63">
        <f t="shared" si="3"/>
        <v>4.0000000000000001E-3</v>
      </c>
      <c r="P200" s="85"/>
      <c r="Q200" s="85"/>
      <c r="R200" s="85"/>
      <c r="S200" s="85"/>
      <c r="T200" s="62">
        <v>56</v>
      </c>
      <c r="U200" s="62">
        <v>10000</v>
      </c>
      <c r="V200" s="62"/>
      <c r="W200" s="62"/>
      <c r="X200" s="67"/>
      <c r="Y200" s="62"/>
      <c r="Z200" s="62" t="s">
        <v>1421</v>
      </c>
      <c r="AA200" s="62" t="s">
        <v>1422</v>
      </c>
      <c r="AB200" s="62" t="s">
        <v>1423</v>
      </c>
      <c r="AC200" s="63">
        <v>1E-3</v>
      </c>
      <c r="AD200" s="62" t="s">
        <v>1424</v>
      </c>
      <c r="AE200" s="62" t="s">
        <v>1425</v>
      </c>
      <c r="AF200" s="66">
        <v>1.4E-3</v>
      </c>
      <c r="AG200" s="62" t="s">
        <v>1426</v>
      </c>
      <c r="AH200" s="62" t="s">
        <v>1427</v>
      </c>
      <c r="AI200" s="66" t="s">
        <v>154</v>
      </c>
    </row>
    <row r="201" spans="1:35" ht="22.05" customHeight="1">
      <c r="A201" s="64">
        <v>201</v>
      </c>
      <c r="B201" s="62" t="s">
        <v>71</v>
      </c>
      <c r="C201" s="62" t="s">
        <v>1428</v>
      </c>
      <c r="D201" s="62" t="s">
        <v>1429</v>
      </c>
      <c r="E201" s="62" t="s">
        <v>105</v>
      </c>
      <c r="F201" s="62" t="s">
        <v>144</v>
      </c>
      <c r="G201" s="62">
        <v>4</v>
      </c>
      <c r="H201" s="65" t="s">
        <v>1430</v>
      </c>
      <c r="I201" s="62" t="s">
        <v>1431</v>
      </c>
      <c r="J201" s="62" t="s">
        <v>302</v>
      </c>
      <c r="K201" s="62" t="s">
        <v>234</v>
      </c>
      <c r="L201" s="62" t="s">
        <v>235</v>
      </c>
      <c r="M201" s="63">
        <v>8.0000000000000004E-4</v>
      </c>
      <c r="N201" s="63">
        <v>0</v>
      </c>
      <c r="O201" s="63">
        <f t="shared" si="3"/>
        <v>3.2000000000000002E-3</v>
      </c>
      <c r="P201" s="85"/>
      <c r="Q201" s="85"/>
      <c r="R201" s="85"/>
      <c r="S201" s="85"/>
      <c r="T201" s="62">
        <v>56</v>
      </c>
      <c r="U201" s="62">
        <v>10000</v>
      </c>
      <c r="V201" s="62"/>
      <c r="W201" s="62"/>
      <c r="X201" s="67"/>
      <c r="Y201" s="62"/>
      <c r="Z201" s="62" t="s">
        <v>1432</v>
      </c>
      <c r="AA201" s="62" t="s">
        <v>1433</v>
      </c>
      <c r="AB201" s="62" t="s">
        <v>1434</v>
      </c>
      <c r="AC201" s="63">
        <v>8.0000000000000004E-4</v>
      </c>
      <c r="AD201" s="62" t="s">
        <v>1435</v>
      </c>
      <c r="AE201" s="62" t="s">
        <v>1436</v>
      </c>
      <c r="AF201" s="66">
        <v>1.2999999999999999E-3</v>
      </c>
      <c r="AG201" s="62" t="s">
        <v>1437</v>
      </c>
      <c r="AH201" s="62" t="s">
        <v>1438</v>
      </c>
      <c r="AI201" s="66" t="s">
        <v>154</v>
      </c>
    </row>
    <row r="202" spans="1:35" ht="22.05" customHeight="1">
      <c r="A202" s="64">
        <v>202</v>
      </c>
      <c r="B202" s="62" t="s">
        <v>71</v>
      </c>
      <c r="C202" s="62" t="s">
        <v>1439</v>
      </c>
      <c r="D202" s="62" t="s">
        <v>1440</v>
      </c>
      <c r="E202" s="62" t="s">
        <v>105</v>
      </c>
      <c r="F202" s="62" t="s">
        <v>144</v>
      </c>
      <c r="G202" s="62">
        <v>8</v>
      </c>
      <c r="H202" s="65" t="s">
        <v>1441</v>
      </c>
      <c r="I202" s="62" t="s">
        <v>1442</v>
      </c>
      <c r="J202" s="62" t="s">
        <v>302</v>
      </c>
      <c r="K202" s="62" t="s">
        <v>234</v>
      </c>
      <c r="L202" s="62" t="s">
        <v>235</v>
      </c>
      <c r="M202" s="63">
        <v>8.0000000000000004E-4</v>
      </c>
      <c r="N202" s="63">
        <v>0</v>
      </c>
      <c r="O202" s="63">
        <f t="shared" si="3"/>
        <v>6.4000000000000003E-3</v>
      </c>
      <c r="P202" s="85"/>
      <c r="Q202" s="85"/>
      <c r="R202" s="85"/>
      <c r="S202" s="85"/>
      <c r="T202" s="62">
        <v>56</v>
      </c>
      <c r="U202" s="62">
        <v>10000</v>
      </c>
      <c r="V202" s="62"/>
      <c r="W202" s="62"/>
      <c r="X202" s="67"/>
      <c r="Y202" s="62"/>
      <c r="Z202" s="62" t="s">
        <v>1443</v>
      </c>
      <c r="AA202" s="62" t="s">
        <v>1444</v>
      </c>
      <c r="AB202" s="62" t="s">
        <v>1445</v>
      </c>
      <c r="AC202" s="63">
        <v>8.0000000000000004E-4</v>
      </c>
      <c r="AD202" s="62" t="s">
        <v>1446</v>
      </c>
      <c r="AE202" s="62" t="s">
        <v>1447</v>
      </c>
      <c r="AF202" s="66">
        <v>1.2999999999999999E-3</v>
      </c>
      <c r="AG202" s="62" t="s">
        <v>1448</v>
      </c>
      <c r="AH202" s="62" t="s">
        <v>1449</v>
      </c>
      <c r="AI202" s="66" t="s">
        <v>154</v>
      </c>
    </row>
    <row r="203" spans="1:35" ht="22.05" customHeight="1">
      <c r="A203" s="64">
        <v>203</v>
      </c>
      <c r="B203" s="62" t="s">
        <v>71</v>
      </c>
      <c r="C203" s="62" t="s">
        <v>1450</v>
      </c>
      <c r="D203" s="62" t="s">
        <v>1451</v>
      </c>
      <c r="E203" s="62" t="s">
        <v>105</v>
      </c>
      <c r="F203" s="62" t="s">
        <v>144</v>
      </c>
      <c r="G203" s="62">
        <v>1</v>
      </c>
      <c r="H203" s="65" t="s">
        <v>1452</v>
      </c>
      <c r="I203" s="62" t="s">
        <v>1453</v>
      </c>
      <c r="J203" s="62" t="s">
        <v>218</v>
      </c>
      <c r="K203" s="62" t="s">
        <v>234</v>
      </c>
      <c r="L203" s="62" t="s">
        <v>235</v>
      </c>
      <c r="M203" s="63">
        <v>1.8E-3</v>
      </c>
      <c r="N203" s="63">
        <v>0</v>
      </c>
      <c r="O203" s="63">
        <f t="shared" si="3"/>
        <v>1.8E-3</v>
      </c>
      <c r="P203" s="85"/>
      <c r="Q203" s="85"/>
      <c r="R203" s="85"/>
      <c r="S203" s="85"/>
      <c r="T203" s="62">
        <v>56</v>
      </c>
      <c r="U203" s="62">
        <v>5000</v>
      </c>
      <c r="V203" s="62">
        <v>5000</v>
      </c>
      <c r="W203" s="62"/>
      <c r="X203" s="67"/>
      <c r="Y203" s="62"/>
      <c r="Z203" s="62" t="s">
        <v>1454</v>
      </c>
      <c r="AA203" s="62" t="s">
        <v>1455</v>
      </c>
      <c r="AB203" s="62" t="s">
        <v>1456</v>
      </c>
      <c r="AC203" s="63">
        <v>1.8E-3</v>
      </c>
      <c r="AD203" s="62" t="s">
        <v>1457</v>
      </c>
      <c r="AE203" s="62" t="s">
        <v>1458</v>
      </c>
      <c r="AF203" s="66">
        <v>2.5999999999999999E-3</v>
      </c>
      <c r="AG203" s="62" t="s">
        <v>1459</v>
      </c>
      <c r="AH203" s="62" t="s">
        <v>1460</v>
      </c>
      <c r="AI203" s="66" t="s">
        <v>154</v>
      </c>
    </row>
    <row r="204" spans="1:35" ht="22.05" customHeight="1">
      <c r="A204" s="64">
        <v>204</v>
      </c>
      <c r="B204" s="62" t="s">
        <v>71</v>
      </c>
      <c r="C204" s="62" t="s">
        <v>1461</v>
      </c>
      <c r="D204" s="62" t="s">
        <v>1462</v>
      </c>
      <c r="E204" s="62" t="s">
        <v>105</v>
      </c>
      <c r="F204" s="62" t="s">
        <v>144</v>
      </c>
      <c r="G204" s="62">
        <v>1</v>
      </c>
      <c r="H204" s="65" t="s">
        <v>1463</v>
      </c>
      <c r="I204" s="62" t="s">
        <v>1464</v>
      </c>
      <c r="J204" s="62" t="s">
        <v>218</v>
      </c>
      <c r="K204" s="62" t="s">
        <v>234</v>
      </c>
      <c r="L204" s="62" t="s">
        <v>235</v>
      </c>
      <c r="M204" s="63">
        <v>8.0000000000000004E-4</v>
      </c>
      <c r="N204" s="63">
        <v>0</v>
      </c>
      <c r="O204" s="63">
        <f t="shared" si="3"/>
        <v>8.0000000000000004E-4</v>
      </c>
      <c r="P204" s="85"/>
      <c r="Q204" s="85"/>
      <c r="R204" s="85"/>
      <c r="S204" s="85"/>
      <c r="T204" s="62">
        <v>56</v>
      </c>
      <c r="U204" s="62">
        <v>10000</v>
      </c>
      <c r="V204" s="62"/>
      <c r="W204" s="62"/>
      <c r="X204" s="67"/>
      <c r="Y204" s="62"/>
      <c r="Z204" s="62" t="s">
        <v>435</v>
      </c>
      <c r="AA204" s="62" t="s">
        <v>1465</v>
      </c>
      <c r="AB204" s="62" t="s">
        <v>1466</v>
      </c>
      <c r="AC204" s="63">
        <v>8.0000000000000004E-4</v>
      </c>
      <c r="AD204" s="62" t="s">
        <v>1467</v>
      </c>
      <c r="AE204" s="62" t="s">
        <v>1468</v>
      </c>
      <c r="AF204" s="66">
        <v>1.2999999999999999E-3</v>
      </c>
      <c r="AG204" s="62" t="s">
        <v>1469</v>
      </c>
      <c r="AH204" s="62" t="s">
        <v>1470</v>
      </c>
      <c r="AI204" s="66" t="s">
        <v>154</v>
      </c>
    </row>
    <row r="205" spans="1:35" ht="22.05" customHeight="1">
      <c r="A205" s="64">
        <v>205</v>
      </c>
      <c r="B205" s="62" t="s">
        <v>71</v>
      </c>
      <c r="C205" s="62" t="s">
        <v>1471</v>
      </c>
      <c r="D205" s="62" t="s">
        <v>1472</v>
      </c>
      <c r="E205" s="62" t="s">
        <v>105</v>
      </c>
      <c r="F205" s="62" t="s">
        <v>144</v>
      </c>
      <c r="G205" s="62">
        <v>2</v>
      </c>
      <c r="H205" s="65" t="s">
        <v>1473</v>
      </c>
      <c r="I205" s="62" t="s">
        <v>1474</v>
      </c>
      <c r="J205" s="62" t="s">
        <v>543</v>
      </c>
      <c r="K205" s="62" t="s">
        <v>234</v>
      </c>
      <c r="L205" s="62" t="s">
        <v>235</v>
      </c>
      <c r="M205" s="63">
        <v>8.0000000000000004E-4</v>
      </c>
      <c r="N205" s="63">
        <v>0</v>
      </c>
      <c r="O205" s="63">
        <f t="shared" si="3"/>
        <v>1.6000000000000001E-3</v>
      </c>
      <c r="P205" s="85"/>
      <c r="Q205" s="85"/>
      <c r="R205" s="85"/>
      <c r="S205" s="85"/>
      <c r="T205" s="62">
        <v>56</v>
      </c>
      <c r="U205" s="62">
        <v>10000</v>
      </c>
      <c r="V205" s="62">
        <v>10000</v>
      </c>
      <c r="W205" s="62"/>
      <c r="X205" s="67"/>
      <c r="Y205" s="62"/>
      <c r="Z205" s="62" t="s">
        <v>1475</v>
      </c>
      <c r="AA205" s="62" t="s">
        <v>1476</v>
      </c>
      <c r="AB205" s="62" t="s">
        <v>1477</v>
      </c>
      <c r="AC205" s="63">
        <v>8.0000000000000004E-4</v>
      </c>
      <c r="AD205" s="62" t="s">
        <v>1478</v>
      </c>
      <c r="AE205" s="62" t="s">
        <v>1479</v>
      </c>
      <c r="AF205" s="66">
        <v>1.2999999999999999E-3</v>
      </c>
      <c r="AG205" s="62" t="s">
        <v>1480</v>
      </c>
      <c r="AH205" s="62" t="s">
        <v>1481</v>
      </c>
      <c r="AI205" s="66" t="s">
        <v>154</v>
      </c>
    </row>
    <row r="206" spans="1:35" ht="22.05" customHeight="1">
      <c r="A206" s="64">
        <v>206</v>
      </c>
      <c r="B206" s="62" t="s">
        <v>71</v>
      </c>
      <c r="C206" s="62" t="s">
        <v>1482</v>
      </c>
      <c r="D206" s="62" t="s">
        <v>1483</v>
      </c>
      <c r="E206" s="62" t="s">
        <v>105</v>
      </c>
      <c r="F206" s="62" t="s">
        <v>144</v>
      </c>
      <c r="G206" s="62">
        <v>4</v>
      </c>
      <c r="H206" s="65" t="s">
        <v>1484</v>
      </c>
      <c r="I206" s="62" t="s">
        <v>1485</v>
      </c>
      <c r="J206" s="62" t="s">
        <v>218</v>
      </c>
      <c r="K206" s="62" t="s">
        <v>219</v>
      </c>
      <c r="L206" s="62" t="s">
        <v>185</v>
      </c>
      <c r="M206" s="63">
        <v>8.0000000000000004E-4</v>
      </c>
      <c r="N206" s="63">
        <v>0</v>
      </c>
      <c r="O206" s="63">
        <f t="shared" si="3"/>
        <v>3.2000000000000002E-3</v>
      </c>
      <c r="P206" s="85"/>
      <c r="Q206" s="85"/>
      <c r="R206" s="85"/>
      <c r="S206" s="85"/>
      <c r="T206" s="62">
        <v>49</v>
      </c>
      <c r="U206" s="62">
        <v>1</v>
      </c>
      <c r="V206" s="62"/>
      <c r="W206" s="62"/>
      <c r="X206" s="67"/>
      <c r="Y206" s="62"/>
      <c r="Z206" s="62" t="s">
        <v>1486</v>
      </c>
      <c r="AA206" s="62" t="s">
        <v>1487</v>
      </c>
      <c r="AB206" s="62" t="s">
        <v>1488</v>
      </c>
      <c r="AC206" s="66">
        <v>1E-3</v>
      </c>
      <c r="AD206" s="62" t="s">
        <v>1489</v>
      </c>
      <c r="AE206" s="62" t="s">
        <v>1490</v>
      </c>
      <c r="AF206" s="66">
        <v>1.2999999999999999E-3</v>
      </c>
      <c r="AG206" s="62" t="s">
        <v>1491</v>
      </c>
      <c r="AH206" s="62" t="s">
        <v>1492</v>
      </c>
      <c r="AI206" s="66" t="s">
        <v>154</v>
      </c>
    </row>
    <row r="207" spans="1:35" ht="22.05" customHeight="1">
      <c r="A207" s="64">
        <v>207</v>
      </c>
      <c r="B207" s="62" t="s">
        <v>71</v>
      </c>
      <c r="C207" s="62" t="s">
        <v>1493</v>
      </c>
      <c r="D207" s="62" t="s">
        <v>1494</v>
      </c>
      <c r="E207" s="62" t="s">
        <v>105</v>
      </c>
      <c r="F207" s="62" t="s">
        <v>144</v>
      </c>
      <c r="G207" s="62">
        <v>12</v>
      </c>
      <c r="H207" s="65" t="s">
        <v>1495</v>
      </c>
      <c r="I207" s="62" t="s">
        <v>1496</v>
      </c>
      <c r="J207" s="62" t="s">
        <v>218</v>
      </c>
      <c r="K207" s="62" t="s">
        <v>234</v>
      </c>
      <c r="L207" s="62" t="s">
        <v>235</v>
      </c>
      <c r="M207" s="63">
        <v>2.7400000000000001E-2</v>
      </c>
      <c r="N207" s="63">
        <v>0</v>
      </c>
      <c r="O207" s="63">
        <f t="shared" si="3"/>
        <v>0.32879999999999998</v>
      </c>
      <c r="P207" s="85"/>
      <c r="Q207" s="85"/>
      <c r="R207" s="85"/>
      <c r="S207" s="85"/>
      <c r="T207" s="62">
        <v>70</v>
      </c>
      <c r="U207" s="62">
        <v>4000</v>
      </c>
      <c r="V207" s="62"/>
      <c r="W207" s="62"/>
      <c r="X207" s="67"/>
      <c r="Y207" s="62"/>
      <c r="Z207" s="62" t="s">
        <v>1497</v>
      </c>
      <c r="AA207" s="62" t="s">
        <v>1498</v>
      </c>
      <c r="AB207" s="62" t="s">
        <v>1499</v>
      </c>
      <c r="AC207" s="63">
        <v>2.7400000000000001E-2</v>
      </c>
      <c r="AD207" s="62" t="s">
        <v>1500</v>
      </c>
      <c r="AE207" s="62" t="s">
        <v>1501</v>
      </c>
      <c r="AF207" s="66">
        <v>4.2000000000000003E-2</v>
      </c>
      <c r="AG207" s="62" t="s">
        <v>1502</v>
      </c>
      <c r="AH207" s="62" t="s">
        <v>1503</v>
      </c>
      <c r="AI207" s="66" t="s">
        <v>154</v>
      </c>
    </row>
    <row r="208" spans="1:35" ht="22.05" customHeight="1">
      <c r="A208" s="64">
        <v>208</v>
      </c>
      <c r="B208" s="62" t="s">
        <v>71</v>
      </c>
      <c r="C208" s="62" t="s">
        <v>1504</v>
      </c>
      <c r="D208" s="62" t="s">
        <v>1505</v>
      </c>
      <c r="E208" s="62" t="s">
        <v>105</v>
      </c>
      <c r="F208" s="62" t="s">
        <v>157</v>
      </c>
      <c r="G208" s="62">
        <v>1</v>
      </c>
      <c r="H208" s="62" t="s">
        <v>1504</v>
      </c>
      <c r="I208" s="62" t="s">
        <v>1505</v>
      </c>
      <c r="J208" s="62" t="s">
        <v>205</v>
      </c>
      <c r="K208" s="62" t="s">
        <v>1506</v>
      </c>
      <c r="L208" s="62" t="s">
        <v>1507</v>
      </c>
      <c r="M208" s="63">
        <v>0.25480000000000003</v>
      </c>
      <c r="N208" s="63">
        <v>0</v>
      </c>
      <c r="O208" s="63">
        <f t="shared" si="3"/>
        <v>0.25480000000000003</v>
      </c>
      <c r="P208" s="85"/>
      <c r="Q208" s="85"/>
      <c r="R208" s="85"/>
      <c r="S208" s="85"/>
      <c r="T208" s="62">
        <v>91</v>
      </c>
      <c r="U208" s="62">
        <v>1500</v>
      </c>
      <c r="V208" s="62">
        <v>1500</v>
      </c>
      <c r="W208" s="62"/>
      <c r="X208" s="67"/>
      <c r="Y208" s="62"/>
      <c r="Z208" s="62" t="s">
        <v>1508</v>
      </c>
      <c r="AA208" s="62"/>
      <c r="AB208" s="62"/>
      <c r="AC208" s="63"/>
      <c r="AD208" s="62"/>
      <c r="AE208" s="62"/>
      <c r="AF208" s="63"/>
      <c r="AG208" s="62"/>
      <c r="AH208" s="62"/>
      <c r="AI208" s="63"/>
    </row>
    <row r="209" spans="1:35" ht="22.05" customHeight="1">
      <c r="A209" s="64">
        <v>209</v>
      </c>
      <c r="B209" s="62" t="s">
        <v>71</v>
      </c>
      <c r="C209" s="62" t="s">
        <v>1509</v>
      </c>
      <c r="D209" s="62" t="s">
        <v>1510</v>
      </c>
      <c r="E209" s="62" t="s">
        <v>105</v>
      </c>
      <c r="F209" s="62" t="s">
        <v>157</v>
      </c>
      <c r="G209" s="62">
        <v>1</v>
      </c>
      <c r="H209" s="62" t="s">
        <v>1509</v>
      </c>
      <c r="I209" s="62" t="s">
        <v>1510</v>
      </c>
      <c r="J209" s="62" t="s">
        <v>218</v>
      </c>
      <c r="K209" s="62" t="s">
        <v>1511</v>
      </c>
      <c r="L209" s="62" t="s">
        <v>585</v>
      </c>
      <c r="M209" s="63">
        <v>0.10199999999999999</v>
      </c>
      <c r="N209" s="63">
        <v>0</v>
      </c>
      <c r="O209" s="63">
        <f t="shared" ref="O209:O272" si="4">G209*M209</f>
        <v>0.10199999999999999</v>
      </c>
      <c r="P209" s="85"/>
      <c r="Q209" s="85"/>
      <c r="R209" s="85"/>
      <c r="S209" s="85"/>
      <c r="T209" s="62">
        <v>63</v>
      </c>
      <c r="U209" s="62">
        <v>3000</v>
      </c>
      <c r="V209" s="62"/>
      <c r="W209" s="62"/>
      <c r="X209" s="67"/>
      <c r="Y209" s="62"/>
      <c r="Z209" s="62" t="s">
        <v>1512</v>
      </c>
      <c r="AA209" s="62"/>
      <c r="AB209" s="62"/>
      <c r="AC209" s="63"/>
      <c r="AD209" s="62"/>
      <c r="AE209" s="62"/>
      <c r="AF209" s="63"/>
      <c r="AG209" s="62"/>
      <c r="AH209" s="62"/>
      <c r="AI209" s="63"/>
    </row>
    <row r="210" spans="1:35" ht="22.05" customHeight="1">
      <c r="A210" s="64">
        <v>210</v>
      </c>
      <c r="B210" s="62" t="s">
        <v>71</v>
      </c>
      <c r="C210" s="62" t="s">
        <v>1513</v>
      </c>
      <c r="D210" s="62" t="s">
        <v>1514</v>
      </c>
      <c r="E210" s="62" t="s">
        <v>105</v>
      </c>
      <c r="F210" s="62" t="s">
        <v>157</v>
      </c>
      <c r="G210" s="62">
        <v>1</v>
      </c>
      <c r="H210" s="65" t="s">
        <v>1515</v>
      </c>
      <c r="I210" s="62" t="s">
        <v>1516</v>
      </c>
      <c r="J210" s="62" t="s">
        <v>612</v>
      </c>
      <c r="K210" s="62" t="s">
        <v>1517</v>
      </c>
      <c r="L210" s="62" t="s">
        <v>632</v>
      </c>
      <c r="M210" s="63">
        <v>0.88</v>
      </c>
      <c r="N210" s="63">
        <v>0</v>
      </c>
      <c r="O210" s="63">
        <f t="shared" si="4"/>
        <v>0.88</v>
      </c>
      <c r="P210" s="85"/>
      <c r="Q210" s="85"/>
      <c r="R210" s="85"/>
      <c r="S210" s="85"/>
      <c r="T210" s="62">
        <v>35</v>
      </c>
      <c r="U210" s="62">
        <v>500</v>
      </c>
      <c r="V210" s="62"/>
      <c r="W210" s="62"/>
      <c r="X210" s="67"/>
      <c r="Y210" s="62"/>
      <c r="Z210" s="62" t="s">
        <v>1518</v>
      </c>
      <c r="AA210" s="62" t="s">
        <v>1513</v>
      </c>
      <c r="AB210" s="62" t="s">
        <v>1514</v>
      </c>
      <c r="AC210" s="63">
        <v>1.1619999999999999</v>
      </c>
      <c r="AD210" s="62"/>
      <c r="AE210" s="62"/>
      <c r="AF210" s="63"/>
      <c r="AG210" s="62"/>
      <c r="AH210" s="62"/>
      <c r="AI210" s="63"/>
    </row>
    <row r="211" spans="1:35" ht="22.05" customHeight="1">
      <c r="A211" s="64">
        <v>211</v>
      </c>
      <c r="B211" s="62" t="s">
        <v>71</v>
      </c>
      <c r="C211" s="62" t="s">
        <v>1519</v>
      </c>
      <c r="D211" s="62" t="s">
        <v>1520</v>
      </c>
      <c r="E211" s="62" t="s">
        <v>105</v>
      </c>
      <c r="F211" s="62" t="s">
        <v>144</v>
      </c>
      <c r="G211" s="62">
        <v>1</v>
      </c>
      <c r="H211" s="62" t="s">
        <v>1519</v>
      </c>
      <c r="I211" s="62" t="s">
        <v>1520</v>
      </c>
      <c r="J211" s="62" t="s">
        <v>902</v>
      </c>
      <c r="K211" s="62" t="s">
        <v>1521</v>
      </c>
      <c r="L211" s="62" t="s">
        <v>1522</v>
      </c>
      <c r="M211" s="63">
        <v>0.16500000000000001</v>
      </c>
      <c r="N211" s="63">
        <v>0</v>
      </c>
      <c r="O211" s="63">
        <f t="shared" si="4"/>
        <v>0.16500000000000001</v>
      </c>
      <c r="P211" s="85"/>
      <c r="Q211" s="85"/>
      <c r="R211" s="85"/>
      <c r="S211" s="85"/>
      <c r="T211" s="62">
        <v>98</v>
      </c>
      <c r="U211" s="62">
        <v>2000</v>
      </c>
      <c r="V211" s="62">
        <v>1</v>
      </c>
      <c r="W211" s="62"/>
      <c r="X211" s="67"/>
      <c r="Y211" s="62"/>
      <c r="Z211" s="62" t="s">
        <v>1523</v>
      </c>
      <c r="AA211" s="62" t="s">
        <v>1524</v>
      </c>
      <c r="AB211" s="62" t="s">
        <v>1525</v>
      </c>
      <c r="AC211" s="68">
        <v>0.38500000000000001</v>
      </c>
      <c r="AD211" s="62"/>
      <c r="AE211" s="62"/>
      <c r="AF211" s="63"/>
      <c r="AG211" s="62"/>
      <c r="AH211" s="62"/>
      <c r="AI211" s="63"/>
    </row>
    <row r="212" spans="1:35" ht="22.05" customHeight="1">
      <c r="A212" s="64">
        <v>212</v>
      </c>
      <c r="B212" s="62" t="s">
        <v>71</v>
      </c>
      <c r="C212" s="62" t="s">
        <v>1526</v>
      </c>
      <c r="D212" s="62" t="s">
        <v>1527</v>
      </c>
      <c r="E212" s="62" t="s">
        <v>105</v>
      </c>
      <c r="F212" s="62" t="s">
        <v>144</v>
      </c>
      <c r="G212" s="62">
        <v>6</v>
      </c>
      <c r="H212" s="62" t="s">
        <v>1526</v>
      </c>
      <c r="I212" s="62" t="s">
        <v>1527</v>
      </c>
      <c r="J212" s="62" t="s">
        <v>630</v>
      </c>
      <c r="K212" s="62" t="s">
        <v>1008</v>
      </c>
      <c r="L212" s="62" t="s">
        <v>1009</v>
      </c>
      <c r="M212" s="63">
        <v>0.15</v>
      </c>
      <c r="N212" s="63">
        <v>0</v>
      </c>
      <c r="O212" s="63">
        <f t="shared" si="4"/>
        <v>0.89999999999999991</v>
      </c>
      <c r="P212" s="85"/>
      <c r="Q212" s="85"/>
      <c r="R212" s="85"/>
      <c r="S212" s="85"/>
      <c r="T212" s="62">
        <v>98</v>
      </c>
      <c r="U212" s="62">
        <v>0</v>
      </c>
      <c r="V212" s="62">
        <v>1</v>
      </c>
      <c r="W212" s="62"/>
      <c r="X212" s="67"/>
      <c r="Y212" s="62"/>
      <c r="Z212" s="62" t="s">
        <v>1528</v>
      </c>
      <c r="AA212" s="62" t="s">
        <v>1529</v>
      </c>
      <c r="AB212" s="62" t="s">
        <v>1530</v>
      </c>
      <c r="AC212" s="63">
        <v>0.16500000000000001</v>
      </c>
      <c r="AD212" s="62" t="s">
        <v>1531</v>
      </c>
      <c r="AE212" s="62" t="s">
        <v>1532</v>
      </c>
      <c r="AF212" s="63">
        <v>0.1782</v>
      </c>
      <c r="AG212" s="62"/>
      <c r="AH212" s="62"/>
      <c r="AI212" s="63"/>
    </row>
    <row r="213" spans="1:35" ht="22.05" customHeight="1">
      <c r="A213" s="64">
        <v>213</v>
      </c>
      <c r="B213" s="62" t="s">
        <v>71</v>
      </c>
      <c r="C213" s="62" t="s">
        <v>1533</v>
      </c>
      <c r="D213" s="62" t="s">
        <v>1534</v>
      </c>
      <c r="E213" s="62" t="s">
        <v>105</v>
      </c>
      <c r="F213" s="62" t="s">
        <v>144</v>
      </c>
      <c r="G213" s="62">
        <v>6</v>
      </c>
      <c r="H213" s="62" t="s">
        <v>1533</v>
      </c>
      <c r="I213" s="62" t="s">
        <v>1534</v>
      </c>
      <c r="J213" s="62" t="s">
        <v>630</v>
      </c>
      <c r="K213" s="62" t="s">
        <v>1008</v>
      </c>
      <c r="L213" s="62" t="s">
        <v>1009</v>
      </c>
      <c r="M213" s="63">
        <v>0.155</v>
      </c>
      <c r="N213" s="63">
        <v>0</v>
      </c>
      <c r="O213" s="63">
        <f t="shared" si="4"/>
        <v>0.92999999999999994</v>
      </c>
      <c r="P213" s="85"/>
      <c r="Q213" s="85"/>
      <c r="R213" s="85"/>
      <c r="S213" s="85"/>
      <c r="T213" s="62">
        <v>84</v>
      </c>
      <c r="U213" s="62">
        <v>0</v>
      </c>
      <c r="V213" s="62">
        <v>1</v>
      </c>
      <c r="W213" s="62"/>
      <c r="X213" s="67"/>
      <c r="Y213" s="62"/>
      <c r="Z213" s="62" t="s">
        <v>1535</v>
      </c>
      <c r="AA213" s="62" t="s">
        <v>1536</v>
      </c>
      <c r="AB213" s="62" t="s">
        <v>1537</v>
      </c>
      <c r="AC213" s="63">
        <v>0.17299999999999999</v>
      </c>
      <c r="AD213" s="62" t="s">
        <v>1538</v>
      </c>
      <c r="AE213" s="62" t="s">
        <v>1539</v>
      </c>
      <c r="AF213" s="66">
        <v>0.42</v>
      </c>
      <c r="AG213" s="62"/>
      <c r="AH213" s="62"/>
      <c r="AI213" s="63"/>
    </row>
    <row r="214" spans="1:35" ht="22.05" customHeight="1">
      <c r="A214" s="64">
        <v>214</v>
      </c>
      <c r="B214" s="62" t="s">
        <v>71</v>
      </c>
      <c r="C214" s="62" t="s">
        <v>1540</v>
      </c>
      <c r="D214" s="62" t="s">
        <v>1541</v>
      </c>
      <c r="E214" s="62" t="s">
        <v>105</v>
      </c>
      <c r="F214" s="62" t="s">
        <v>157</v>
      </c>
      <c r="G214" s="62">
        <v>2</v>
      </c>
      <c r="H214" s="62" t="s">
        <v>1540</v>
      </c>
      <c r="I214" s="62" t="s">
        <v>1542</v>
      </c>
      <c r="J214" s="62" t="s">
        <v>302</v>
      </c>
      <c r="K214" s="62" t="s">
        <v>1517</v>
      </c>
      <c r="L214" s="62" t="s">
        <v>632</v>
      </c>
      <c r="M214" s="63">
        <v>0.45</v>
      </c>
      <c r="N214" s="63">
        <v>0</v>
      </c>
      <c r="O214" s="63">
        <f t="shared" si="4"/>
        <v>0.9</v>
      </c>
      <c r="P214" s="85"/>
      <c r="Q214" s="85"/>
      <c r="R214" s="85"/>
      <c r="S214" s="85"/>
      <c r="T214" s="62">
        <v>28</v>
      </c>
      <c r="U214" s="62">
        <v>500</v>
      </c>
      <c r="V214" s="62"/>
      <c r="W214" s="62"/>
      <c r="X214" s="67"/>
      <c r="Y214" s="62"/>
      <c r="Z214" s="62" t="s">
        <v>1543</v>
      </c>
      <c r="AA214" s="62"/>
      <c r="AB214" s="62"/>
      <c r="AC214" s="63"/>
      <c r="AD214" s="62"/>
      <c r="AE214" s="62"/>
      <c r="AF214" s="63"/>
      <c r="AG214" s="62"/>
      <c r="AH214" s="62"/>
      <c r="AI214" s="63"/>
    </row>
    <row r="215" spans="1:35" ht="22.05" customHeight="1">
      <c r="A215" s="64">
        <v>215</v>
      </c>
      <c r="B215" s="62" t="s">
        <v>71</v>
      </c>
      <c r="C215" s="62" t="s">
        <v>1544</v>
      </c>
      <c r="D215" s="62" t="s">
        <v>1545</v>
      </c>
      <c r="E215" s="62" t="s">
        <v>105</v>
      </c>
      <c r="F215" s="62" t="s">
        <v>144</v>
      </c>
      <c r="G215" s="62">
        <v>1</v>
      </c>
      <c r="H215" s="65" t="s">
        <v>1546</v>
      </c>
      <c r="I215" s="62" t="s">
        <v>1547</v>
      </c>
      <c r="J215" s="62" t="s">
        <v>630</v>
      </c>
      <c r="K215" s="62" t="s">
        <v>1008</v>
      </c>
      <c r="L215" s="62" t="s">
        <v>1009</v>
      </c>
      <c r="M215" s="63">
        <v>0.112</v>
      </c>
      <c r="N215" s="63">
        <v>0</v>
      </c>
      <c r="O215" s="63">
        <f t="shared" si="4"/>
        <v>0.112</v>
      </c>
      <c r="P215" s="85"/>
      <c r="Q215" s="85"/>
      <c r="R215" s="85"/>
      <c r="S215" s="85"/>
      <c r="T215" s="62">
        <v>84</v>
      </c>
      <c r="U215" s="62">
        <v>0</v>
      </c>
      <c r="V215" s="62">
        <v>1</v>
      </c>
      <c r="W215" s="62"/>
      <c r="X215" s="67"/>
      <c r="Y215" s="62"/>
      <c r="Z215" s="62" t="s">
        <v>1548</v>
      </c>
      <c r="AA215" s="62" t="s">
        <v>1544</v>
      </c>
      <c r="AB215" s="62" t="s">
        <v>1545</v>
      </c>
      <c r="AC215" s="63">
        <v>0.114</v>
      </c>
      <c r="AD215" s="62"/>
      <c r="AE215" s="62"/>
      <c r="AF215" s="63"/>
      <c r="AG215" s="62"/>
      <c r="AH215" s="62"/>
      <c r="AI215" s="63"/>
    </row>
    <row r="216" spans="1:35" ht="22.05" customHeight="1">
      <c r="A216" s="64">
        <v>216</v>
      </c>
      <c r="B216" s="62" t="s">
        <v>71</v>
      </c>
      <c r="C216" s="62" t="s">
        <v>1549</v>
      </c>
      <c r="D216" s="62" t="s">
        <v>1550</v>
      </c>
      <c r="E216" s="62" t="s">
        <v>105</v>
      </c>
      <c r="F216" s="62" t="s">
        <v>157</v>
      </c>
      <c r="G216" s="62">
        <v>1</v>
      </c>
      <c r="H216" s="62" t="s">
        <v>1549</v>
      </c>
      <c r="I216" s="62" t="s">
        <v>1550</v>
      </c>
      <c r="J216" s="62" t="s">
        <v>218</v>
      </c>
      <c r="K216" s="62" t="s">
        <v>1551</v>
      </c>
      <c r="L216" s="62" t="s">
        <v>1552</v>
      </c>
      <c r="M216" s="63">
        <v>0.15</v>
      </c>
      <c r="N216" s="63">
        <v>0</v>
      </c>
      <c r="O216" s="63">
        <f t="shared" si="4"/>
        <v>0.15</v>
      </c>
      <c r="P216" s="85"/>
      <c r="Q216" s="85"/>
      <c r="R216" s="85"/>
      <c r="S216" s="85"/>
      <c r="T216" s="62">
        <v>140</v>
      </c>
      <c r="U216" s="62">
        <v>2000</v>
      </c>
      <c r="V216" s="62"/>
      <c r="W216" s="62"/>
      <c r="X216" s="67"/>
      <c r="Y216" s="62"/>
      <c r="Z216" s="62" t="s">
        <v>1553</v>
      </c>
      <c r="AA216" s="62" t="s">
        <v>1554</v>
      </c>
      <c r="AB216" s="62" t="s">
        <v>1555</v>
      </c>
      <c r="AC216" s="63">
        <v>0.22889999999999999</v>
      </c>
      <c r="AD216" s="62"/>
      <c r="AE216" s="62"/>
      <c r="AF216" s="63"/>
      <c r="AG216" s="62"/>
      <c r="AH216" s="62"/>
      <c r="AI216" s="63"/>
    </row>
    <row r="217" spans="1:35" ht="22.05" customHeight="1">
      <c r="A217" s="64">
        <v>217</v>
      </c>
      <c r="B217" s="62" t="s">
        <v>71</v>
      </c>
      <c r="C217" s="62" t="s">
        <v>1556</v>
      </c>
      <c r="D217" s="62" t="s">
        <v>1557</v>
      </c>
      <c r="E217" s="62" t="s">
        <v>105</v>
      </c>
      <c r="F217" s="62" t="s">
        <v>144</v>
      </c>
      <c r="G217" s="62">
        <v>2</v>
      </c>
      <c r="H217" s="62" t="s">
        <v>1556</v>
      </c>
      <c r="I217" s="62" t="s">
        <v>1557</v>
      </c>
      <c r="J217" s="62" t="s">
        <v>218</v>
      </c>
      <c r="K217" s="62" t="s">
        <v>1558</v>
      </c>
      <c r="L217" s="62" t="s">
        <v>1009</v>
      </c>
      <c r="M217" s="63">
        <v>2.5000000000000001E-3</v>
      </c>
      <c r="N217" s="63">
        <v>0</v>
      </c>
      <c r="O217" s="63">
        <f t="shared" si="4"/>
        <v>5.0000000000000001E-3</v>
      </c>
      <c r="P217" s="85"/>
      <c r="Q217" s="85"/>
      <c r="R217" s="85"/>
      <c r="S217" s="85"/>
      <c r="T217" s="62">
        <v>77</v>
      </c>
      <c r="U217" s="62">
        <v>10000</v>
      </c>
      <c r="V217" s="62"/>
      <c r="W217" s="62"/>
      <c r="X217" s="67"/>
      <c r="Y217" s="62"/>
      <c r="Z217" s="62" t="s">
        <v>1559</v>
      </c>
      <c r="AA217" s="62"/>
      <c r="AB217" s="62"/>
      <c r="AC217" s="63"/>
      <c r="AD217" s="62"/>
      <c r="AE217" s="62"/>
      <c r="AF217" s="63"/>
      <c r="AG217" s="62"/>
      <c r="AH217" s="62"/>
      <c r="AI217" s="63"/>
    </row>
    <row r="218" spans="1:35" ht="22.05" customHeight="1">
      <c r="A218" s="64">
        <v>218</v>
      </c>
      <c r="B218" s="62" t="s">
        <v>71</v>
      </c>
      <c r="C218" s="62" t="s">
        <v>643</v>
      </c>
      <c r="D218" s="62" t="s">
        <v>644</v>
      </c>
      <c r="E218" s="62" t="s">
        <v>105</v>
      </c>
      <c r="F218" s="62" t="s">
        <v>144</v>
      </c>
      <c r="G218" s="62">
        <v>3</v>
      </c>
      <c r="H218" s="65" t="s">
        <v>645</v>
      </c>
      <c r="I218" s="62" t="s">
        <v>646</v>
      </c>
      <c r="J218" s="62" t="s">
        <v>218</v>
      </c>
      <c r="K218" s="62" t="s">
        <v>234</v>
      </c>
      <c r="L218" s="62" t="s">
        <v>235</v>
      </c>
      <c r="M218" s="63">
        <v>5.1000000000000004E-3</v>
      </c>
      <c r="N218" s="63">
        <v>0</v>
      </c>
      <c r="O218" s="63">
        <f t="shared" si="4"/>
        <v>1.5300000000000001E-2</v>
      </c>
      <c r="P218" s="85"/>
      <c r="Q218" s="85"/>
      <c r="R218" s="85"/>
      <c r="S218" s="85"/>
      <c r="T218" s="62">
        <v>70</v>
      </c>
      <c r="U218" s="62">
        <v>4000</v>
      </c>
      <c r="V218" s="62"/>
      <c r="W218" s="62"/>
      <c r="X218" s="67"/>
      <c r="Y218" s="62"/>
      <c r="Z218" s="62" t="s">
        <v>1560</v>
      </c>
      <c r="AA218" s="62" t="s">
        <v>648</v>
      </c>
      <c r="AB218" s="62" t="s">
        <v>649</v>
      </c>
      <c r="AC218" s="66">
        <v>5.7000000000000002E-3</v>
      </c>
      <c r="AD218" s="62" t="s">
        <v>650</v>
      </c>
      <c r="AE218" s="62" t="s">
        <v>651</v>
      </c>
      <c r="AF218" s="63">
        <v>6.4000000000000003E-3</v>
      </c>
      <c r="AG218" s="62" t="s">
        <v>652</v>
      </c>
      <c r="AH218" s="62" t="s">
        <v>653</v>
      </c>
      <c r="AI218" s="63">
        <v>6.6E-3</v>
      </c>
    </row>
    <row r="219" spans="1:35" ht="22.05" customHeight="1">
      <c r="A219" s="64">
        <v>219</v>
      </c>
      <c r="B219" s="62" t="s">
        <v>71</v>
      </c>
      <c r="C219" s="62" t="s">
        <v>1561</v>
      </c>
      <c r="D219" s="62" t="s">
        <v>1562</v>
      </c>
      <c r="E219" s="62" t="s">
        <v>105</v>
      </c>
      <c r="F219" s="62" t="s">
        <v>144</v>
      </c>
      <c r="G219" s="62">
        <v>4</v>
      </c>
      <c r="H219" s="65" t="s">
        <v>1563</v>
      </c>
      <c r="I219" s="62" t="s">
        <v>1564</v>
      </c>
      <c r="J219" s="62" t="s">
        <v>218</v>
      </c>
      <c r="K219" s="62" t="s">
        <v>234</v>
      </c>
      <c r="L219" s="62" t="s">
        <v>235</v>
      </c>
      <c r="M219" s="63">
        <v>8.6E-3</v>
      </c>
      <c r="N219" s="63">
        <v>0</v>
      </c>
      <c r="O219" s="63">
        <f t="shared" si="4"/>
        <v>3.44E-2</v>
      </c>
      <c r="P219" s="85"/>
      <c r="Q219" s="85"/>
      <c r="R219" s="85"/>
      <c r="S219" s="85"/>
      <c r="T219" s="62">
        <v>70</v>
      </c>
      <c r="U219" s="62">
        <v>4000</v>
      </c>
      <c r="V219" s="62"/>
      <c r="W219" s="62"/>
      <c r="X219" s="67"/>
      <c r="Y219" s="62"/>
      <c r="Z219" s="62" t="s">
        <v>1565</v>
      </c>
      <c r="AA219" s="62" t="s">
        <v>1566</v>
      </c>
      <c r="AB219" s="62" t="s">
        <v>1567</v>
      </c>
      <c r="AC219" s="66">
        <v>9.4000000000000004E-3</v>
      </c>
      <c r="AD219" s="62" t="s">
        <v>1568</v>
      </c>
      <c r="AE219" s="62" t="s">
        <v>1569</v>
      </c>
      <c r="AF219" s="66">
        <v>4.5999999999999999E-2</v>
      </c>
      <c r="AG219" s="62" t="s">
        <v>1570</v>
      </c>
      <c r="AH219" s="62" t="s">
        <v>1571</v>
      </c>
      <c r="AI219" s="63">
        <v>1.2200000000000001E-2</v>
      </c>
    </row>
    <row r="220" spans="1:35" ht="22.05" customHeight="1">
      <c r="A220" s="64">
        <v>220</v>
      </c>
      <c r="B220" s="62" t="s">
        <v>71</v>
      </c>
      <c r="C220" s="62" t="s">
        <v>1572</v>
      </c>
      <c r="D220" s="62" t="s">
        <v>1573</v>
      </c>
      <c r="E220" s="62" t="s">
        <v>105</v>
      </c>
      <c r="F220" s="62" t="s">
        <v>144</v>
      </c>
      <c r="G220" s="62">
        <v>87</v>
      </c>
      <c r="H220" s="65" t="s">
        <v>1574</v>
      </c>
      <c r="I220" s="62" t="s">
        <v>1575</v>
      </c>
      <c r="J220" s="62" t="s">
        <v>218</v>
      </c>
      <c r="K220" s="62" t="s">
        <v>234</v>
      </c>
      <c r="L220" s="62" t="s">
        <v>235</v>
      </c>
      <c r="M220" s="63">
        <v>2.3999999999999998E-3</v>
      </c>
      <c r="N220" s="63">
        <v>0</v>
      </c>
      <c r="O220" s="63">
        <f t="shared" si="4"/>
        <v>0.20879999999999999</v>
      </c>
      <c r="P220" s="85"/>
      <c r="Q220" s="85"/>
      <c r="R220" s="85"/>
      <c r="S220" s="85"/>
      <c r="T220" s="62">
        <v>70</v>
      </c>
      <c r="U220" s="62">
        <v>10000</v>
      </c>
      <c r="V220" s="62"/>
      <c r="W220" s="62"/>
      <c r="X220" s="67"/>
      <c r="Y220" s="62"/>
      <c r="Z220" s="62" t="s">
        <v>1576</v>
      </c>
      <c r="AA220" s="62" t="s">
        <v>1577</v>
      </c>
      <c r="AB220" s="62" t="s">
        <v>1578</v>
      </c>
      <c r="AC220" s="63">
        <v>3.0000000000000001E-3</v>
      </c>
      <c r="AD220" s="62" t="s">
        <v>1579</v>
      </c>
      <c r="AE220" s="62" t="s">
        <v>1580</v>
      </c>
      <c r="AF220" s="68">
        <v>3.2000000000000002E-3</v>
      </c>
      <c r="AG220" s="62"/>
      <c r="AH220" s="62"/>
      <c r="AI220" s="63"/>
    </row>
    <row r="221" spans="1:35" ht="22.05" customHeight="1">
      <c r="A221" s="64">
        <v>221</v>
      </c>
      <c r="B221" s="62" t="s">
        <v>71</v>
      </c>
      <c r="C221" s="62" t="s">
        <v>1581</v>
      </c>
      <c r="D221" s="62" t="s">
        <v>1582</v>
      </c>
      <c r="E221" s="62" t="s">
        <v>105</v>
      </c>
      <c r="F221" s="62" t="s">
        <v>144</v>
      </c>
      <c r="G221" s="62">
        <v>12</v>
      </c>
      <c r="H221" s="65" t="s">
        <v>1583</v>
      </c>
      <c r="I221" s="62" t="s">
        <v>1584</v>
      </c>
      <c r="J221" s="62" t="s">
        <v>218</v>
      </c>
      <c r="K221" s="62" t="s">
        <v>234</v>
      </c>
      <c r="L221" s="62" t="s">
        <v>235</v>
      </c>
      <c r="M221" s="63">
        <v>1.8E-3</v>
      </c>
      <c r="N221" s="63">
        <v>0</v>
      </c>
      <c r="O221" s="63">
        <f t="shared" si="4"/>
        <v>2.1600000000000001E-2</v>
      </c>
      <c r="P221" s="85"/>
      <c r="Q221" s="85"/>
      <c r="R221" s="85"/>
      <c r="S221" s="85"/>
      <c r="T221" s="62">
        <v>77</v>
      </c>
      <c r="U221" s="62">
        <v>10000</v>
      </c>
      <c r="V221" s="62"/>
      <c r="W221" s="62"/>
      <c r="X221" s="67"/>
      <c r="Y221" s="62"/>
      <c r="Z221" s="62" t="s">
        <v>1585</v>
      </c>
      <c r="AA221" s="62" t="s">
        <v>1586</v>
      </c>
      <c r="AB221" s="62" t="s">
        <v>1587</v>
      </c>
      <c r="AC221" s="63">
        <v>1.9E-3</v>
      </c>
      <c r="AD221" s="62" t="s">
        <v>1588</v>
      </c>
      <c r="AE221" s="62" t="s">
        <v>1589</v>
      </c>
      <c r="AF221" s="63">
        <v>2.3E-3</v>
      </c>
      <c r="AG221" s="62" t="s">
        <v>1590</v>
      </c>
      <c r="AH221" s="62" t="s">
        <v>1591</v>
      </c>
      <c r="AI221" s="63">
        <v>5.4000000000000003E-3</v>
      </c>
    </row>
    <row r="222" spans="1:35" ht="22.05" customHeight="1">
      <c r="A222" s="64">
        <v>222</v>
      </c>
      <c r="B222" s="62" t="s">
        <v>71</v>
      </c>
      <c r="C222" s="62" t="s">
        <v>1592</v>
      </c>
      <c r="D222" s="62" t="s">
        <v>1593</v>
      </c>
      <c r="E222" s="62" t="s">
        <v>105</v>
      </c>
      <c r="F222" s="62" t="s">
        <v>144</v>
      </c>
      <c r="G222" s="62">
        <v>2</v>
      </c>
      <c r="H222" s="65" t="s">
        <v>1594</v>
      </c>
      <c r="I222" s="62" t="s">
        <v>1595</v>
      </c>
      <c r="J222" s="62" t="s">
        <v>218</v>
      </c>
      <c r="K222" s="62" t="s">
        <v>713</v>
      </c>
      <c r="L222" s="62" t="s">
        <v>714</v>
      </c>
      <c r="M222" s="63">
        <v>1.12E-2</v>
      </c>
      <c r="N222" s="63">
        <v>0</v>
      </c>
      <c r="O222" s="63">
        <f t="shared" si="4"/>
        <v>2.24E-2</v>
      </c>
      <c r="P222" s="85"/>
      <c r="Q222" s="85"/>
      <c r="R222" s="85"/>
      <c r="S222" s="85"/>
      <c r="T222" s="62">
        <v>77</v>
      </c>
      <c r="U222" s="62">
        <v>4000</v>
      </c>
      <c r="V222" s="62"/>
      <c r="W222" s="62"/>
      <c r="X222" s="67"/>
      <c r="Y222" s="62"/>
      <c r="Z222" s="62" t="s">
        <v>1596</v>
      </c>
      <c r="AA222" s="62" t="s">
        <v>1597</v>
      </c>
      <c r="AB222" s="62" t="s">
        <v>1598</v>
      </c>
      <c r="AC222" s="63">
        <v>1.1299999999999999E-2</v>
      </c>
      <c r="AD222" s="62" t="s">
        <v>1599</v>
      </c>
      <c r="AE222" s="62" t="s">
        <v>1600</v>
      </c>
      <c r="AF222" s="63">
        <v>1.2999999999999999E-2</v>
      </c>
      <c r="AG222" s="62" t="s">
        <v>1601</v>
      </c>
      <c r="AH222" s="62" t="s">
        <v>1602</v>
      </c>
      <c r="AI222" s="66">
        <v>2.92E-2</v>
      </c>
    </row>
    <row r="223" spans="1:35" ht="22.05" customHeight="1">
      <c r="A223" s="64">
        <v>223</v>
      </c>
      <c r="B223" s="62" t="s">
        <v>71</v>
      </c>
      <c r="C223" s="62" t="s">
        <v>698</v>
      </c>
      <c r="D223" s="62" t="s">
        <v>699</v>
      </c>
      <c r="E223" s="62" t="s">
        <v>105</v>
      </c>
      <c r="F223" s="62" t="s">
        <v>144</v>
      </c>
      <c r="G223" s="62">
        <v>1</v>
      </c>
      <c r="H223" s="65" t="s">
        <v>700</v>
      </c>
      <c r="I223" s="62" t="s">
        <v>701</v>
      </c>
      <c r="J223" s="62" t="s">
        <v>218</v>
      </c>
      <c r="K223" s="62" t="s">
        <v>234</v>
      </c>
      <c r="L223" s="62" t="s">
        <v>235</v>
      </c>
      <c r="M223" s="63">
        <v>5.1999999999999998E-3</v>
      </c>
      <c r="N223" s="63">
        <v>0</v>
      </c>
      <c r="O223" s="63">
        <f t="shared" si="4"/>
        <v>5.1999999999999998E-3</v>
      </c>
      <c r="P223" s="85"/>
      <c r="Q223" s="85"/>
      <c r="R223" s="85"/>
      <c r="S223" s="85"/>
      <c r="T223" s="62">
        <v>77</v>
      </c>
      <c r="U223" s="62">
        <v>4000</v>
      </c>
      <c r="V223" s="62"/>
      <c r="W223" s="62"/>
      <c r="X223" s="67"/>
      <c r="Y223" s="62"/>
      <c r="Z223" s="62" t="s">
        <v>1603</v>
      </c>
      <c r="AA223" s="62" t="s">
        <v>703</v>
      </c>
      <c r="AB223" s="62" t="s">
        <v>704</v>
      </c>
      <c r="AC223" s="63">
        <v>5.4999999999999997E-3</v>
      </c>
      <c r="AD223" s="62" t="s">
        <v>705</v>
      </c>
      <c r="AE223" s="62" t="s">
        <v>706</v>
      </c>
      <c r="AF223" s="68">
        <v>6.8999999999999999E-3</v>
      </c>
      <c r="AG223" s="62" t="s">
        <v>707</v>
      </c>
      <c r="AH223" s="62" t="s">
        <v>708</v>
      </c>
      <c r="AI223" s="66">
        <v>8.8999999999999999E-3</v>
      </c>
    </row>
    <row r="224" spans="1:35" ht="22.05" customHeight="1">
      <c r="A224" s="64">
        <v>224</v>
      </c>
      <c r="B224" s="62" t="s">
        <v>71</v>
      </c>
      <c r="C224" s="62" t="s">
        <v>1604</v>
      </c>
      <c r="D224" s="62" t="s">
        <v>1605</v>
      </c>
      <c r="E224" s="62" t="s">
        <v>105</v>
      </c>
      <c r="F224" s="62" t="s">
        <v>144</v>
      </c>
      <c r="G224" s="62">
        <v>21</v>
      </c>
      <c r="H224" s="65" t="s">
        <v>1606</v>
      </c>
      <c r="I224" s="62" t="s">
        <v>1607</v>
      </c>
      <c r="J224" s="62" t="s">
        <v>218</v>
      </c>
      <c r="K224" s="62" t="s">
        <v>713</v>
      </c>
      <c r="L224" s="62" t="s">
        <v>714</v>
      </c>
      <c r="M224" s="63">
        <v>1.0800000000000001E-2</v>
      </c>
      <c r="N224" s="63">
        <v>0</v>
      </c>
      <c r="O224" s="63">
        <f t="shared" si="4"/>
        <v>0.2268</v>
      </c>
      <c r="P224" s="85"/>
      <c r="Q224" s="85"/>
      <c r="R224" s="85"/>
      <c r="S224" s="85"/>
      <c r="T224" s="62">
        <v>56</v>
      </c>
      <c r="U224" s="62">
        <v>4000</v>
      </c>
      <c r="V224" s="62"/>
      <c r="W224" s="62"/>
      <c r="X224" s="67"/>
      <c r="Y224" s="62"/>
      <c r="Z224" s="62" t="s">
        <v>1608</v>
      </c>
      <c r="AA224" s="62" t="s">
        <v>1609</v>
      </c>
      <c r="AB224" s="62" t="s">
        <v>1610</v>
      </c>
      <c r="AC224" s="63">
        <v>1.1299999999999999E-2</v>
      </c>
      <c r="AD224" s="62" t="s">
        <v>1611</v>
      </c>
      <c r="AE224" s="62" t="s">
        <v>1612</v>
      </c>
      <c r="AF224" s="63">
        <v>1.32E-2</v>
      </c>
      <c r="AG224" s="62" t="s">
        <v>1613</v>
      </c>
      <c r="AH224" s="62" t="s">
        <v>1614</v>
      </c>
      <c r="AI224" s="63">
        <v>1.6500000000000001E-2</v>
      </c>
    </row>
    <row r="225" spans="1:35" ht="22.05" customHeight="1">
      <c r="A225" s="64">
        <v>225</v>
      </c>
      <c r="B225" s="62" t="s">
        <v>71</v>
      </c>
      <c r="C225" s="62" t="s">
        <v>1615</v>
      </c>
      <c r="D225" s="62" t="s">
        <v>1616</v>
      </c>
      <c r="E225" s="62" t="s">
        <v>105</v>
      </c>
      <c r="F225" s="62" t="s">
        <v>144</v>
      </c>
      <c r="G225" s="62">
        <v>1</v>
      </c>
      <c r="H225" s="65" t="s">
        <v>1617</v>
      </c>
      <c r="I225" s="62" t="s">
        <v>1618</v>
      </c>
      <c r="J225" s="62" t="s">
        <v>218</v>
      </c>
      <c r="K225" s="62" t="s">
        <v>234</v>
      </c>
      <c r="L225" s="62" t="s">
        <v>235</v>
      </c>
      <c r="M225" s="63">
        <v>1.67E-2</v>
      </c>
      <c r="N225" s="63">
        <v>0</v>
      </c>
      <c r="O225" s="63">
        <f t="shared" si="4"/>
        <v>1.67E-2</v>
      </c>
      <c r="P225" s="85"/>
      <c r="Q225" s="85"/>
      <c r="R225" s="85"/>
      <c r="S225" s="85"/>
      <c r="T225" s="62">
        <v>56</v>
      </c>
      <c r="U225" s="62">
        <v>3000</v>
      </c>
      <c r="V225" s="62"/>
      <c r="W225" s="62"/>
      <c r="X225" s="67"/>
      <c r="Y225" s="62"/>
      <c r="Z225" s="62" t="s">
        <v>1619</v>
      </c>
      <c r="AA225" s="62" t="s">
        <v>1620</v>
      </c>
      <c r="AB225" s="62" t="s">
        <v>1621</v>
      </c>
      <c r="AC225" s="63">
        <v>1.7399999999999999E-2</v>
      </c>
      <c r="AD225" s="62" t="s">
        <v>1622</v>
      </c>
      <c r="AE225" s="62" t="s">
        <v>1623</v>
      </c>
      <c r="AF225" s="63">
        <v>1.8800000000000001E-2</v>
      </c>
      <c r="AG225" s="62" t="s">
        <v>1624</v>
      </c>
      <c r="AH225" s="62" t="s">
        <v>1625</v>
      </c>
      <c r="AI225" s="63">
        <v>2.5600000000000001E-2</v>
      </c>
    </row>
    <row r="226" spans="1:35" ht="22.05" customHeight="1">
      <c r="A226" s="64">
        <v>226</v>
      </c>
      <c r="B226" s="62" t="s">
        <v>71</v>
      </c>
      <c r="C226" s="62" t="s">
        <v>1626</v>
      </c>
      <c r="D226" s="62" t="s">
        <v>1627</v>
      </c>
      <c r="E226" s="62" t="s">
        <v>105</v>
      </c>
      <c r="F226" s="62" t="s">
        <v>144</v>
      </c>
      <c r="G226" s="62">
        <v>2</v>
      </c>
      <c r="H226" s="65" t="s">
        <v>1628</v>
      </c>
      <c r="I226" s="62" t="s">
        <v>1629</v>
      </c>
      <c r="J226" s="62" t="s">
        <v>218</v>
      </c>
      <c r="K226" s="62" t="s">
        <v>234</v>
      </c>
      <c r="L226" s="62" t="s">
        <v>235</v>
      </c>
      <c r="M226" s="63">
        <v>4.8500000000000001E-2</v>
      </c>
      <c r="N226" s="63">
        <v>0</v>
      </c>
      <c r="O226" s="63">
        <f t="shared" si="4"/>
        <v>9.7000000000000003E-2</v>
      </c>
      <c r="P226" s="85"/>
      <c r="Q226" s="85"/>
      <c r="R226" s="85"/>
      <c r="S226" s="85"/>
      <c r="T226" s="62">
        <v>56</v>
      </c>
      <c r="U226" s="62">
        <v>2000</v>
      </c>
      <c r="V226" s="62"/>
      <c r="W226" s="62"/>
      <c r="X226" s="67"/>
      <c r="Y226" s="62"/>
      <c r="Z226" s="62" t="s">
        <v>1630</v>
      </c>
      <c r="AA226" s="62" t="s">
        <v>1631</v>
      </c>
      <c r="AB226" s="62" t="s">
        <v>1632</v>
      </c>
      <c r="AC226" s="63">
        <v>5.0500000000000003E-2</v>
      </c>
      <c r="AD226" s="62" t="s">
        <v>1633</v>
      </c>
      <c r="AE226" s="62" t="s">
        <v>1634</v>
      </c>
      <c r="AF226" s="63">
        <v>6.8000000000000005E-2</v>
      </c>
      <c r="AG226" s="62" t="s">
        <v>1635</v>
      </c>
      <c r="AH226" s="62" t="s">
        <v>1636</v>
      </c>
      <c r="AI226" s="63">
        <v>7.9000000000000001E-2</v>
      </c>
    </row>
    <row r="227" spans="1:35" ht="22.05" customHeight="1">
      <c r="A227" s="64">
        <v>227</v>
      </c>
      <c r="B227" s="62" t="s">
        <v>71</v>
      </c>
      <c r="C227" s="62" t="s">
        <v>1637</v>
      </c>
      <c r="D227" s="62" t="s">
        <v>1638</v>
      </c>
      <c r="E227" s="62" t="s">
        <v>105</v>
      </c>
      <c r="F227" s="62" t="s">
        <v>144</v>
      </c>
      <c r="G227" s="62">
        <v>4</v>
      </c>
      <c r="H227" s="62" t="s">
        <v>1637</v>
      </c>
      <c r="I227" s="62" t="s">
        <v>1638</v>
      </c>
      <c r="J227" s="62" t="s">
        <v>172</v>
      </c>
      <c r="K227" s="62" t="s">
        <v>1639</v>
      </c>
      <c r="L227" s="62" t="s">
        <v>1640</v>
      </c>
      <c r="M227" s="63">
        <v>0.16650000000000001</v>
      </c>
      <c r="N227" s="63">
        <v>0</v>
      </c>
      <c r="O227" s="63">
        <f t="shared" si="4"/>
        <v>0.66600000000000004</v>
      </c>
      <c r="P227" s="85"/>
      <c r="Q227" s="85"/>
      <c r="R227" s="85"/>
      <c r="S227" s="85"/>
      <c r="T227" s="62">
        <v>84</v>
      </c>
      <c r="U227" s="62">
        <v>2000</v>
      </c>
      <c r="V227" s="62"/>
      <c r="W227" s="62"/>
      <c r="X227" s="67"/>
      <c r="Y227" s="62"/>
      <c r="Z227" s="62" t="s">
        <v>1641</v>
      </c>
      <c r="AA227" s="62" t="s">
        <v>1642</v>
      </c>
      <c r="AB227" s="62" t="s">
        <v>1643</v>
      </c>
      <c r="AC227" s="63">
        <v>0.18007300000000001</v>
      </c>
      <c r="AD227" s="62" t="s">
        <v>764</v>
      </c>
      <c r="AE227" s="62" t="s">
        <v>765</v>
      </c>
      <c r="AF227" s="63">
        <v>0.4178</v>
      </c>
      <c r="AG227" s="62"/>
      <c r="AH227" s="62"/>
      <c r="AI227" s="63"/>
    </row>
    <row r="228" spans="1:35" ht="22.05" customHeight="1">
      <c r="A228" s="64">
        <v>228</v>
      </c>
      <c r="B228" s="62" t="s">
        <v>71</v>
      </c>
      <c r="C228" s="62" t="s">
        <v>767</v>
      </c>
      <c r="D228" s="62" t="s">
        <v>768</v>
      </c>
      <c r="E228" s="62" t="s">
        <v>105</v>
      </c>
      <c r="F228" s="62" t="s">
        <v>144</v>
      </c>
      <c r="G228" s="62">
        <v>1</v>
      </c>
      <c r="H228" s="62" t="s">
        <v>767</v>
      </c>
      <c r="I228" s="62" t="s">
        <v>768</v>
      </c>
      <c r="J228" s="62" t="s">
        <v>172</v>
      </c>
      <c r="K228" s="62" t="s">
        <v>749</v>
      </c>
      <c r="L228" s="62" t="s">
        <v>149</v>
      </c>
      <c r="M228" s="63">
        <v>3.5499999999999997E-2</v>
      </c>
      <c r="N228" s="63">
        <v>0</v>
      </c>
      <c r="O228" s="63">
        <f t="shared" si="4"/>
        <v>3.5499999999999997E-2</v>
      </c>
      <c r="P228" s="85"/>
      <c r="Q228" s="85"/>
      <c r="R228" s="85"/>
      <c r="S228" s="85"/>
      <c r="T228" s="62">
        <v>84</v>
      </c>
      <c r="U228" s="62">
        <v>25000</v>
      </c>
      <c r="V228" s="62"/>
      <c r="W228" s="62"/>
      <c r="X228" s="67"/>
      <c r="Y228" s="62"/>
      <c r="Z228" s="62" t="s">
        <v>1644</v>
      </c>
      <c r="AA228" s="62" t="s">
        <v>1645</v>
      </c>
      <c r="AB228" s="62" t="s">
        <v>1646</v>
      </c>
      <c r="AC228" s="63">
        <v>3.6443000000000003E-2</v>
      </c>
      <c r="AD228" s="62"/>
      <c r="AE228" s="62"/>
      <c r="AF228" s="63"/>
      <c r="AG228" s="62"/>
      <c r="AH228" s="62"/>
      <c r="AI228" s="63"/>
    </row>
    <row r="229" spans="1:35" ht="22.05" customHeight="1">
      <c r="A229" s="64">
        <v>229</v>
      </c>
      <c r="B229" s="62" t="s">
        <v>71</v>
      </c>
      <c r="C229" s="62" t="s">
        <v>1647</v>
      </c>
      <c r="D229" s="62" t="s">
        <v>1648</v>
      </c>
      <c r="E229" s="62" t="s">
        <v>105</v>
      </c>
      <c r="F229" s="62" t="s">
        <v>144</v>
      </c>
      <c r="G229" s="62">
        <v>4</v>
      </c>
      <c r="H229" s="62" t="s">
        <v>1647</v>
      </c>
      <c r="I229" s="62" t="s">
        <v>1648</v>
      </c>
      <c r="J229" s="62" t="s">
        <v>772</v>
      </c>
      <c r="K229" s="62" t="s">
        <v>773</v>
      </c>
      <c r="L229" s="62" t="s">
        <v>774</v>
      </c>
      <c r="M229" s="63">
        <v>3.9301999999999997E-2</v>
      </c>
      <c r="N229" s="63">
        <v>0</v>
      </c>
      <c r="O229" s="63">
        <f t="shared" si="4"/>
        <v>0.15720799999999999</v>
      </c>
      <c r="P229" s="85"/>
      <c r="Q229" s="85"/>
      <c r="R229" s="85"/>
      <c r="S229" s="85"/>
      <c r="T229" s="62">
        <v>84</v>
      </c>
      <c r="U229" s="62">
        <v>0</v>
      </c>
      <c r="V229" s="62">
        <v>3000</v>
      </c>
      <c r="W229" s="62"/>
      <c r="X229" s="67"/>
      <c r="Y229" s="62"/>
      <c r="Z229" s="62" t="s">
        <v>1649</v>
      </c>
      <c r="AA229" s="62" t="s">
        <v>1650</v>
      </c>
      <c r="AB229" s="62" t="s">
        <v>1651</v>
      </c>
      <c r="AC229" s="63">
        <v>4.2160000000000003E-2</v>
      </c>
      <c r="AD229" s="62"/>
      <c r="AE229" s="62"/>
      <c r="AF229" s="63"/>
      <c r="AG229" s="62"/>
      <c r="AH229" s="62"/>
      <c r="AI229" s="63"/>
    </row>
    <row r="230" spans="1:35" ht="22.05" customHeight="1">
      <c r="A230" s="64">
        <v>230</v>
      </c>
      <c r="B230" s="62" t="s">
        <v>71</v>
      </c>
      <c r="C230" s="62" t="s">
        <v>1652</v>
      </c>
      <c r="D230" s="62" t="s">
        <v>1653</v>
      </c>
      <c r="E230" s="62" t="s">
        <v>105</v>
      </c>
      <c r="F230" s="62" t="s">
        <v>157</v>
      </c>
      <c r="G230" s="62">
        <v>1</v>
      </c>
      <c r="H230" s="65" t="s">
        <v>1654</v>
      </c>
      <c r="I230" s="62" t="s">
        <v>1655</v>
      </c>
      <c r="J230" s="62" t="s">
        <v>789</v>
      </c>
      <c r="K230" s="62" t="s">
        <v>784</v>
      </c>
      <c r="L230" s="62" t="s">
        <v>785</v>
      </c>
      <c r="M230" s="63">
        <v>0.7</v>
      </c>
      <c r="N230" s="63">
        <v>0</v>
      </c>
      <c r="O230" s="63">
        <f t="shared" si="4"/>
        <v>0.7</v>
      </c>
      <c r="P230" s="85"/>
      <c r="Q230" s="85"/>
      <c r="R230" s="85"/>
      <c r="S230" s="85"/>
      <c r="T230" s="62">
        <v>84</v>
      </c>
      <c r="U230" s="62">
        <v>50</v>
      </c>
      <c r="V230" s="62"/>
      <c r="W230" s="62"/>
      <c r="X230" s="67"/>
      <c r="Y230" s="62"/>
      <c r="Z230" s="62" t="s">
        <v>1092</v>
      </c>
      <c r="AA230" s="62" t="s">
        <v>1652</v>
      </c>
      <c r="AB230" s="62" t="s">
        <v>1653</v>
      </c>
      <c r="AC230" s="63">
        <v>1</v>
      </c>
      <c r="AD230" s="62"/>
      <c r="AE230" s="62"/>
      <c r="AF230" s="63"/>
      <c r="AG230" s="62"/>
      <c r="AH230" s="62"/>
      <c r="AI230" s="63"/>
    </row>
    <row r="231" spans="1:35" ht="22.05" customHeight="1">
      <c r="A231" s="64">
        <v>231</v>
      </c>
      <c r="B231" s="62" t="s">
        <v>71</v>
      </c>
      <c r="C231" s="62" t="s">
        <v>1656</v>
      </c>
      <c r="D231" s="62" t="s">
        <v>1657</v>
      </c>
      <c r="E231" s="62" t="s">
        <v>105</v>
      </c>
      <c r="F231" s="62" t="s">
        <v>144</v>
      </c>
      <c r="G231" s="62">
        <v>10</v>
      </c>
      <c r="H231" s="62" t="s">
        <v>1656</v>
      </c>
      <c r="I231" s="62" t="s">
        <v>1657</v>
      </c>
      <c r="J231" s="62" t="s">
        <v>789</v>
      </c>
      <c r="K231" s="62" t="s">
        <v>795</v>
      </c>
      <c r="L231" s="62" t="s">
        <v>796</v>
      </c>
      <c r="M231" s="63">
        <v>7.4999999999999997E-2</v>
      </c>
      <c r="N231" s="63">
        <v>0</v>
      </c>
      <c r="O231" s="63">
        <f t="shared" si="4"/>
        <v>0.75</v>
      </c>
      <c r="P231" s="85"/>
      <c r="Q231" s="85"/>
      <c r="R231" s="85"/>
      <c r="S231" s="85"/>
      <c r="T231" s="62">
        <v>56</v>
      </c>
      <c r="U231" s="62">
        <v>3000</v>
      </c>
      <c r="V231" s="62"/>
      <c r="W231" s="62"/>
      <c r="X231" s="67"/>
      <c r="Y231" s="62"/>
      <c r="Z231" s="62" t="s">
        <v>1658</v>
      </c>
      <c r="AA231" s="62"/>
      <c r="AB231" s="62"/>
      <c r="AC231" s="63"/>
      <c r="AD231" s="62"/>
      <c r="AE231" s="62"/>
      <c r="AF231" s="63"/>
      <c r="AG231" s="62"/>
      <c r="AH231" s="62"/>
      <c r="AI231" s="63"/>
    </row>
    <row r="232" spans="1:35" ht="22.05" customHeight="1">
      <c r="A232" s="64">
        <v>232</v>
      </c>
      <c r="B232" s="62" t="s">
        <v>71</v>
      </c>
      <c r="C232" s="62" t="s">
        <v>1659</v>
      </c>
      <c r="D232" s="62" t="s">
        <v>1660</v>
      </c>
      <c r="E232" s="62" t="s">
        <v>105</v>
      </c>
      <c r="F232" s="62" t="s">
        <v>144</v>
      </c>
      <c r="G232" s="62">
        <v>2</v>
      </c>
      <c r="H232" s="62" t="s">
        <v>1659</v>
      </c>
      <c r="I232" s="62" t="s">
        <v>1660</v>
      </c>
      <c r="J232" s="62" t="s">
        <v>789</v>
      </c>
      <c r="K232" s="62" t="s">
        <v>749</v>
      </c>
      <c r="L232" s="62" t="s">
        <v>149</v>
      </c>
      <c r="M232" s="63">
        <v>9.7000000000000003E-2</v>
      </c>
      <c r="N232" s="63">
        <v>0</v>
      </c>
      <c r="O232" s="63">
        <f t="shared" si="4"/>
        <v>0.19400000000000001</v>
      </c>
      <c r="P232" s="85"/>
      <c r="Q232" s="85"/>
      <c r="R232" s="85"/>
      <c r="S232" s="85"/>
      <c r="T232" s="62">
        <v>112</v>
      </c>
      <c r="U232" s="62">
        <v>3000</v>
      </c>
      <c r="V232" s="62"/>
      <c r="W232" s="62"/>
      <c r="X232" s="67"/>
      <c r="Y232" s="62"/>
      <c r="Z232" s="62" t="s">
        <v>1661</v>
      </c>
      <c r="AA232" s="62"/>
      <c r="AB232" s="62"/>
      <c r="AC232" s="63"/>
      <c r="AD232" s="62"/>
      <c r="AE232" s="62"/>
      <c r="AF232" s="63"/>
      <c r="AG232" s="62"/>
      <c r="AH232" s="62"/>
      <c r="AI232" s="63"/>
    </row>
    <row r="233" spans="1:35" ht="22.05" customHeight="1">
      <c r="A233" s="64">
        <v>233</v>
      </c>
      <c r="B233" s="62" t="s">
        <v>71</v>
      </c>
      <c r="C233" s="62" t="s">
        <v>1662</v>
      </c>
      <c r="D233" s="62" t="s">
        <v>1663</v>
      </c>
      <c r="E233" s="62" t="s">
        <v>105</v>
      </c>
      <c r="F233" s="62" t="s">
        <v>144</v>
      </c>
      <c r="G233" s="62">
        <v>12</v>
      </c>
      <c r="H233" s="65" t="s">
        <v>1664</v>
      </c>
      <c r="I233" s="62" t="s">
        <v>1665</v>
      </c>
      <c r="J233" s="62" t="s">
        <v>823</v>
      </c>
      <c r="K233" s="62" t="s">
        <v>641</v>
      </c>
      <c r="L233" s="62" t="s">
        <v>235</v>
      </c>
      <c r="M233" s="63">
        <v>0.15</v>
      </c>
      <c r="N233" s="63">
        <v>0</v>
      </c>
      <c r="O233" s="63">
        <f t="shared" si="4"/>
        <v>1.7999999999999998</v>
      </c>
      <c r="P233" s="85"/>
      <c r="Q233" s="85"/>
      <c r="R233" s="85"/>
      <c r="S233" s="85"/>
      <c r="T233" s="62">
        <v>84</v>
      </c>
      <c r="U233" s="62">
        <v>0</v>
      </c>
      <c r="V233" s="62">
        <v>3000</v>
      </c>
      <c r="W233" s="62"/>
      <c r="X233" s="67"/>
      <c r="Y233" s="62"/>
      <c r="Z233" s="62" t="s">
        <v>1666</v>
      </c>
      <c r="AA233" s="62" t="s">
        <v>1662</v>
      </c>
      <c r="AB233" s="62" t="s">
        <v>1663</v>
      </c>
      <c r="AC233" s="63">
        <v>0.15129999999999999</v>
      </c>
      <c r="AD233" s="62"/>
      <c r="AE233" s="62"/>
      <c r="AF233" s="63"/>
      <c r="AG233" s="62"/>
      <c r="AH233" s="62"/>
      <c r="AI233" s="63"/>
    </row>
    <row r="234" spans="1:35" ht="22.05" customHeight="1">
      <c r="A234" s="64">
        <v>234</v>
      </c>
      <c r="B234" s="62" t="s">
        <v>71</v>
      </c>
      <c r="C234" s="62" t="s">
        <v>1667</v>
      </c>
      <c r="D234" s="62" t="s">
        <v>1668</v>
      </c>
      <c r="E234" s="62" t="s">
        <v>105</v>
      </c>
      <c r="F234" s="62" t="s">
        <v>144</v>
      </c>
      <c r="G234" s="62">
        <v>4</v>
      </c>
      <c r="H234" s="65" t="s">
        <v>1669</v>
      </c>
      <c r="I234" s="62" t="s">
        <v>1670</v>
      </c>
      <c r="J234" s="62" t="s">
        <v>166</v>
      </c>
      <c r="K234" s="62" t="s">
        <v>167</v>
      </c>
      <c r="L234" s="62" t="s">
        <v>168</v>
      </c>
      <c r="M234" s="63">
        <v>1.6899999999999998E-2</v>
      </c>
      <c r="N234" s="63">
        <v>0</v>
      </c>
      <c r="O234" s="63">
        <f t="shared" si="4"/>
        <v>6.7599999999999993E-2</v>
      </c>
      <c r="P234" s="85"/>
      <c r="Q234" s="85"/>
      <c r="R234" s="85"/>
      <c r="S234" s="85"/>
      <c r="T234" s="62">
        <v>35</v>
      </c>
      <c r="U234" s="62">
        <v>1</v>
      </c>
      <c r="V234" s="62">
        <v>1</v>
      </c>
      <c r="W234" s="62"/>
      <c r="X234" s="67"/>
      <c r="Y234" s="62"/>
      <c r="Z234" s="62" t="s">
        <v>1671</v>
      </c>
      <c r="AA234" s="62" t="s">
        <v>1672</v>
      </c>
      <c r="AB234" s="62" t="s">
        <v>1673</v>
      </c>
      <c r="AC234" s="63">
        <v>2.4500000000000001E-2</v>
      </c>
      <c r="AD234" s="62" t="s">
        <v>1674</v>
      </c>
      <c r="AE234" s="62" t="s">
        <v>1675</v>
      </c>
      <c r="AF234" s="63">
        <v>3.3000000000000002E-2</v>
      </c>
      <c r="AG234" s="62"/>
      <c r="AH234" s="62"/>
      <c r="AI234" s="63"/>
    </row>
    <row r="235" spans="1:35" ht="22.05" customHeight="1">
      <c r="A235" s="64">
        <v>235</v>
      </c>
      <c r="B235" s="62" t="s">
        <v>71</v>
      </c>
      <c r="C235" s="62" t="s">
        <v>1676</v>
      </c>
      <c r="D235" s="62" t="s">
        <v>1677</v>
      </c>
      <c r="E235" s="62" t="s">
        <v>105</v>
      </c>
      <c r="F235" s="62" t="s">
        <v>144</v>
      </c>
      <c r="G235" s="62">
        <v>4</v>
      </c>
      <c r="H235" s="65" t="s">
        <v>798</v>
      </c>
      <c r="I235" s="62" t="s">
        <v>799</v>
      </c>
      <c r="J235" s="62" t="s">
        <v>166</v>
      </c>
      <c r="K235" s="62" t="s">
        <v>167</v>
      </c>
      <c r="L235" s="62" t="s">
        <v>168</v>
      </c>
      <c r="M235" s="63">
        <v>0.02</v>
      </c>
      <c r="N235" s="63">
        <v>0</v>
      </c>
      <c r="O235" s="63">
        <f t="shared" si="4"/>
        <v>0.08</v>
      </c>
      <c r="P235" s="85"/>
      <c r="Q235" s="85"/>
      <c r="R235" s="85"/>
      <c r="S235" s="85"/>
      <c r="T235" s="62">
        <v>35</v>
      </c>
      <c r="U235" s="62">
        <v>1</v>
      </c>
      <c r="V235" s="62">
        <v>1</v>
      </c>
      <c r="W235" s="62"/>
      <c r="X235" s="67"/>
      <c r="Y235" s="62"/>
      <c r="Z235" s="62" t="s">
        <v>1678</v>
      </c>
      <c r="AA235" s="62" t="s">
        <v>1679</v>
      </c>
      <c r="AB235" s="62" t="s">
        <v>1680</v>
      </c>
      <c r="AC235" s="63">
        <v>2.4500000000000001E-2</v>
      </c>
      <c r="AD235" s="62" t="s">
        <v>1681</v>
      </c>
      <c r="AE235" s="62" t="s">
        <v>1682</v>
      </c>
      <c r="AF235" s="63">
        <v>2.5725000000000001E-2</v>
      </c>
      <c r="AG235" s="62" t="s">
        <v>1683</v>
      </c>
      <c r="AH235" s="62" t="s">
        <v>1684</v>
      </c>
      <c r="AI235" s="63">
        <v>3.4000000000000002E-2</v>
      </c>
    </row>
    <row r="236" spans="1:35" ht="22.05" customHeight="1">
      <c r="A236" s="64">
        <v>236</v>
      </c>
      <c r="B236" s="62" t="s">
        <v>71</v>
      </c>
      <c r="C236" s="62" t="s">
        <v>1685</v>
      </c>
      <c r="D236" s="62" t="s">
        <v>1686</v>
      </c>
      <c r="E236" s="62" t="s">
        <v>105</v>
      </c>
      <c r="F236" s="62" t="s">
        <v>144</v>
      </c>
      <c r="G236" s="62">
        <v>2</v>
      </c>
      <c r="H236" s="65" t="s">
        <v>164</v>
      </c>
      <c r="I236" s="62" t="s">
        <v>165</v>
      </c>
      <c r="J236" s="62" t="s">
        <v>166</v>
      </c>
      <c r="K236" s="62" t="s">
        <v>167</v>
      </c>
      <c r="L236" s="62" t="s">
        <v>168</v>
      </c>
      <c r="M236" s="63">
        <v>2.7400000000000001E-2</v>
      </c>
      <c r="N236" s="63">
        <v>0</v>
      </c>
      <c r="O236" s="63">
        <f t="shared" si="4"/>
        <v>5.4800000000000001E-2</v>
      </c>
      <c r="P236" s="85"/>
      <c r="Q236" s="85"/>
      <c r="R236" s="85"/>
      <c r="S236" s="85"/>
      <c r="T236" s="62">
        <v>35</v>
      </c>
      <c r="U236" s="62">
        <v>1</v>
      </c>
      <c r="V236" s="62">
        <v>1</v>
      </c>
      <c r="W236" s="62"/>
      <c r="X236" s="67"/>
      <c r="Y236" s="62"/>
      <c r="Z236" s="62" t="s">
        <v>1687</v>
      </c>
      <c r="AA236" s="62" t="s">
        <v>1688</v>
      </c>
      <c r="AB236" s="62" t="s">
        <v>1689</v>
      </c>
      <c r="AC236" s="63">
        <v>3.7499999999999999E-2</v>
      </c>
      <c r="AD236" s="62" t="s">
        <v>1690</v>
      </c>
      <c r="AE236" s="62" t="s">
        <v>1691</v>
      </c>
      <c r="AF236" s="63">
        <v>4.2999999999999997E-2</v>
      </c>
      <c r="AG236" s="62" t="s">
        <v>1692</v>
      </c>
      <c r="AH236" s="62" t="s">
        <v>1693</v>
      </c>
      <c r="AI236" s="63">
        <v>6.8000000000000005E-2</v>
      </c>
    </row>
    <row r="237" spans="1:35" ht="22.05" customHeight="1">
      <c r="A237" s="64">
        <v>237</v>
      </c>
      <c r="B237" s="62" t="s">
        <v>71</v>
      </c>
      <c r="C237" s="62" t="s">
        <v>1694</v>
      </c>
      <c r="D237" s="62" t="s">
        <v>1695</v>
      </c>
      <c r="E237" s="62" t="s">
        <v>105</v>
      </c>
      <c r="F237" s="62" t="s">
        <v>144</v>
      </c>
      <c r="G237" s="62">
        <v>4</v>
      </c>
      <c r="H237" s="65" t="s">
        <v>1696</v>
      </c>
      <c r="I237" s="62" t="s">
        <v>1697</v>
      </c>
      <c r="J237" s="62" t="s">
        <v>166</v>
      </c>
      <c r="K237" s="62" t="s">
        <v>727</v>
      </c>
      <c r="L237" s="62" t="s">
        <v>728</v>
      </c>
      <c r="M237" s="63">
        <v>1.38E-2</v>
      </c>
      <c r="N237" s="63">
        <v>0</v>
      </c>
      <c r="O237" s="63">
        <f t="shared" si="4"/>
        <v>5.5199999999999999E-2</v>
      </c>
      <c r="P237" s="85"/>
      <c r="Q237" s="85"/>
      <c r="R237" s="85"/>
      <c r="S237" s="85"/>
      <c r="T237" s="62">
        <v>35</v>
      </c>
      <c r="U237" s="62">
        <v>3000</v>
      </c>
      <c r="V237" s="62">
        <v>3000</v>
      </c>
      <c r="W237" s="62"/>
      <c r="X237" s="67"/>
      <c r="Y237" s="62"/>
      <c r="Z237" s="62" t="s">
        <v>1698</v>
      </c>
      <c r="AA237" s="62" t="s">
        <v>1699</v>
      </c>
      <c r="AB237" s="62" t="s">
        <v>1700</v>
      </c>
      <c r="AC237" s="63">
        <v>1.5006E-2</v>
      </c>
      <c r="AD237" s="62" t="s">
        <v>1701</v>
      </c>
      <c r="AE237" s="62" t="s">
        <v>1702</v>
      </c>
      <c r="AF237" s="63">
        <v>1.9400000000000001E-2</v>
      </c>
      <c r="AG237" s="62" t="s">
        <v>1703</v>
      </c>
      <c r="AH237" s="62" t="s">
        <v>1704</v>
      </c>
      <c r="AI237" s="63">
        <v>2.5000000000000001E-2</v>
      </c>
    </row>
    <row r="238" spans="1:35" ht="22.05" customHeight="1">
      <c r="A238" s="64">
        <v>238</v>
      </c>
      <c r="B238" s="62" t="s">
        <v>71</v>
      </c>
      <c r="C238" s="62" t="s">
        <v>1705</v>
      </c>
      <c r="D238" s="62" t="s">
        <v>1706</v>
      </c>
      <c r="E238" s="62" t="s">
        <v>105</v>
      </c>
      <c r="F238" s="62" t="s">
        <v>157</v>
      </c>
      <c r="G238" s="62">
        <v>1</v>
      </c>
      <c r="H238" s="62" t="s">
        <v>1705</v>
      </c>
      <c r="I238" s="62" t="s">
        <v>1706</v>
      </c>
      <c r="J238" s="62" t="s">
        <v>302</v>
      </c>
      <c r="K238" s="62" t="s">
        <v>1707</v>
      </c>
      <c r="L238" s="62" t="s">
        <v>1708</v>
      </c>
      <c r="M238" s="63">
        <v>1.7607999999999999</v>
      </c>
      <c r="N238" s="63">
        <v>0</v>
      </c>
      <c r="O238" s="63">
        <f t="shared" si="4"/>
        <v>1.7607999999999999</v>
      </c>
      <c r="P238" s="85"/>
      <c r="Q238" s="85"/>
      <c r="R238" s="85"/>
      <c r="S238" s="85"/>
      <c r="T238" s="62">
        <v>35</v>
      </c>
      <c r="U238" s="62">
        <v>1</v>
      </c>
      <c r="V238" s="62"/>
      <c r="W238" s="62"/>
      <c r="X238" s="67"/>
      <c r="Y238" s="62"/>
      <c r="Z238" s="62" t="s">
        <v>1709</v>
      </c>
      <c r="AA238" s="62"/>
      <c r="AB238" s="62"/>
      <c r="AC238" s="63"/>
      <c r="AD238" s="62"/>
      <c r="AE238" s="62"/>
      <c r="AF238" s="63"/>
      <c r="AG238" s="62"/>
      <c r="AH238" s="62"/>
      <c r="AI238" s="63"/>
    </row>
    <row r="239" spans="1:35" ht="22.05" customHeight="1">
      <c r="A239" s="64">
        <v>239</v>
      </c>
      <c r="B239" s="62" t="s">
        <v>71</v>
      </c>
      <c r="C239" s="62" t="s">
        <v>1710</v>
      </c>
      <c r="D239" s="62" t="s">
        <v>1711</v>
      </c>
      <c r="E239" s="62" t="s">
        <v>105</v>
      </c>
      <c r="F239" s="62" t="s">
        <v>144</v>
      </c>
      <c r="G239" s="62">
        <v>3</v>
      </c>
      <c r="H239" s="65" t="s">
        <v>1712</v>
      </c>
      <c r="I239" s="62" t="s">
        <v>1713</v>
      </c>
      <c r="J239" s="62" t="s">
        <v>789</v>
      </c>
      <c r="K239" s="62" t="s">
        <v>1714</v>
      </c>
      <c r="L239" s="62" t="s">
        <v>1715</v>
      </c>
      <c r="M239" s="63">
        <v>2.6800000000000001E-2</v>
      </c>
      <c r="N239" s="63">
        <v>0</v>
      </c>
      <c r="O239" s="63">
        <f t="shared" si="4"/>
        <v>8.0399999999999999E-2</v>
      </c>
      <c r="P239" s="85"/>
      <c r="Q239" s="85"/>
      <c r="R239" s="85"/>
      <c r="S239" s="85"/>
      <c r="T239" s="62">
        <v>28</v>
      </c>
      <c r="U239" s="62">
        <v>3000</v>
      </c>
      <c r="V239" s="62"/>
      <c r="W239" s="62"/>
      <c r="X239" s="67"/>
      <c r="Y239" s="62"/>
      <c r="Z239" s="62" t="s">
        <v>1716</v>
      </c>
      <c r="AA239" s="62" t="s">
        <v>1710</v>
      </c>
      <c r="AB239" s="62" t="s">
        <v>1711</v>
      </c>
      <c r="AC239" s="63">
        <v>3.8199999999999998E-2</v>
      </c>
      <c r="AD239" s="62"/>
      <c r="AE239" s="62"/>
      <c r="AF239" s="63"/>
      <c r="AG239" s="62"/>
      <c r="AH239" s="62"/>
      <c r="AI239" s="63"/>
    </row>
    <row r="240" spans="1:35" ht="22.05" customHeight="1">
      <c r="A240" s="64">
        <v>240</v>
      </c>
      <c r="B240" s="62" t="s">
        <v>71</v>
      </c>
      <c r="C240" s="62" t="s">
        <v>1717</v>
      </c>
      <c r="D240" s="62" t="s">
        <v>1718</v>
      </c>
      <c r="E240" s="62" t="s">
        <v>105</v>
      </c>
      <c r="F240" s="62" t="s">
        <v>144</v>
      </c>
      <c r="G240" s="62">
        <v>3</v>
      </c>
      <c r="H240" s="65" t="s">
        <v>1719</v>
      </c>
      <c r="I240" s="62" t="s">
        <v>1720</v>
      </c>
      <c r="J240" s="62" t="s">
        <v>726</v>
      </c>
      <c r="K240" s="62" t="s">
        <v>727</v>
      </c>
      <c r="L240" s="62" t="s">
        <v>728</v>
      </c>
      <c r="M240" s="63">
        <v>0.31759999999999999</v>
      </c>
      <c r="N240" s="63">
        <v>0</v>
      </c>
      <c r="O240" s="63">
        <f t="shared" si="4"/>
        <v>0.95279999999999998</v>
      </c>
      <c r="P240" s="85"/>
      <c r="Q240" s="85"/>
      <c r="R240" s="85"/>
      <c r="S240" s="85"/>
      <c r="T240" s="62">
        <v>7</v>
      </c>
      <c r="U240" s="62">
        <v>2500</v>
      </c>
      <c r="V240" s="62">
        <v>2501</v>
      </c>
      <c r="W240" s="62"/>
      <c r="X240" s="67"/>
      <c r="Y240" s="62"/>
      <c r="Z240" s="62" t="s">
        <v>1721</v>
      </c>
      <c r="AA240" s="62" t="s">
        <v>1717</v>
      </c>
      <c r="AB240" s="62" t="s">
        <v>1718</v>
      </c>
      <c r="AC240" s="63">
        <v>0.32750000000000001</v>
      </c>
      <c r="AD240" s="62"/>
      <c r="AE240" s="62"/>
      <c r="AF240" s="63"/>
      <c r="AG240" s="62"/>
      <c r="AH240" s="62"/>
      <c r="AI240" s="63"/>
    </row>
    <row r="241" spans="1:35" ht="22.05" customHeight="1">
      <c r="A241" s="64">
        <v>241</v>
      </c>
      <c r="B241" s="62" t="s">
        <v>71</v>
      </c>
      <c r="C241" s="62" t="s">
        <v>1722</v>
      </c>
      <c r="D241" s="62" t="s">
        <v>1723</v>
      </c>
      <c r="E241" s="62" t="s">
        <v>105</v>
      </c>
      <c r="F241" s="62" t="s">
        <v>144</v>
      </c>
      <c r="G241" s="62">
        <v>4</v>
      </c>
      <c r="H241" s="62" t="s">
        <v>1722</v>
      </c>
      <c r="I241" s="62" t="s">
        <v>1723</v>
      </c>
      <c r="J241" s="62" t="s">
        <v>890</v>
      </c>
      <c r="K241" s="62" t="s">
        <v>727</v>
      </c>
      <c r="L241" s="62" t="s">
        <v>728</v>
      </c>
      <c r="M241" s="71">
        <v>2.3561999999999999</v>
      </c>
      <c r="N241" s="71">
        <v>0</v>
      </c>
      <c r="O241" s="71">
        <f t="shared" si="4"/>
        <v>9.4247999999999994</v>
      </c>
      <c r="P241" s="85"/>
      <c r="Q241" s="85"/>
      <c r="R241" s="85"/>
      <c r="S241" s="85"/>
      <c r="T241" s="62">
        <v>140</v>
      </c>
      <c r="U241" s="62">
        <v>0</v>
      </c>
      <c r="V241" s="62">
        <v>2500</v>
      </c>
      <c r="W241" s="62"/>
      <c r="X241" s="67"/>
      <c r="Y241" s="62"/>
      <c r="Z241" s="62" t="s">
        <v>1724</v>
      </c>
      <c r="AA241" s="62"/>
      <c r="AB241" s="62"/>
      <c r="AC241" s="63"/>
      <c r="AD241" s="62"/>
      <c r="AE241" s="62"/>
      <c r="AF241" s="63"/>
      <c r="AG241" s="62"/>
      <c r="AH241" s="62"/>
      <c r="AI241" s="63"/>
    </row>
    <row r="242" spans="1:35" ht="22.05" customHeight="1">
      <c r="A242" s="64">
        <v>242</v>
      </c>
      <c r="B242" s="62" t="s">
        <v>71</v>
      </c>
      <c r="C242" s="62" t="s">
        <v>1725</v>
      </c>
      <c r="D242" s="62" t="s">
        <v>2120</v>
      </c>
      <c r="E242" s="62" t="s">
        <v>105</v>
      </c>
      <c r="F242" s="62" t="s">
        <v>144</v>
      </c>
      <c r="G242" s="62">
        <v>1</v>
      </c>
      <c r="H242" s="62" t="s">
        <v>1725</v>
      </c>
      <c r="I242" s="62" t="s">
        <v>1726</v>
      </c>
      <c r="J242" s="62" t="s">
        <v>726</v>
      </c>
      <c r="K242" s="62" t="s">
        <v>727</v>
      </c>
      <c r="L242" s="62" t="s">
        <v>728</v>
      </c>
      <c r="M242" s="71">
        <v>18.581</v>
      </c>
      <c r="N242" s="71">
        <v>0</v>
      </c>
      <c r="O242" s="71">
        <f t="shared" si="4"/>
        <v>18.581</v>
      </c>
      <c r="P242" s="85"/>
      <c r="Q242" s="85"/>
      <c r="R242" s="85"/>
      <c r="S242" s="85"/>
      <c r="T242" s="62">
        <v>7</v>
      </c>
      <c r="U242" s="62">
        <v>360</v>
      </c>
      <c r="V242" s="62">
        <v>360</v>
      </c>
      <c r="W242" s="62"/>
      <c r="X242" s="67"/>
      <c r="Y242" s="62"/>
      <c r="Z242" s="62" t="s">
        <v>1727</v>
      </c>
      <c r="AA242" s="62"/>
      <c r="AB242" s="62"/>
      <c r="AC242" s="63"/>
      <c r="AD242" s="62"/>
      <c r="AE242" s="62"/>
      <c r="AF242" s="63"/>
      <c r="AG242" s="62"/>
      <c r="AH242" s="62"/>
      <c r="AI242" s="63"/>
    </row>
    <row r="243" spans="1:35" ht="22.05" customHeight="1">
      <c r="A243" s="64">
        <v>243</v>
      </c>
      <c r="B243" s="62" t="s">
        <v>71</v>
      </c>
      <c r="C243" s="62" t="s">
        <v>1728</v>
      </c>
      <c r="D243" s="62" t="s">
        <v>1729</v>
      </c>
      <c r="E243" s="62" t="s">
        <v>105</v>
      </c>
      <c r="F243" s="62" t="s">
        <v>144</v>
      </c>
      <c r="G243" s="62">
        <v>1</v>
      </c>
      <c r="H243" s="62" t="s">
        <v>1728</v>
      </c>
      <c r="I243" s="62" t="s">
        <v>1729</v>
      </c>
      <c r="J243" s="62" t="s">
        <v>890</v>
      </c>
      <c r="K243" s="62" t="s">
        <v>930</v>
      </c>
      <c r="L243" s="62" t="s">
        <v>931</v>
      </c>
      <c r="M243" s="63">
        <v>0.33550000000000002</v>
      </c>
      <c r="N243" s="63">
        <v>0</v>
      </c>
      <c r="O243" s="63">
        <f t="shared" si="4"/>
        <v>0.33550000000000002</v>
      </c>
      <c r="P243" s="85"/>
      <c r="Q243" s="85"/>
      <c r="R243" s="85"/>
      <c r="S243" s="85"/>
      <c r="T243" s="62">
        <v>140</v>
      </c>
      <c r="U243" s="62">
        <v>0</v>
      </c>
      <c r="V243" s="62">
        <v>2500</v>
      </c>
      <c r="W243" s="62"/>
      <c r="X243" s="67"/>
      <c r="Y243" s="62"/>
      <c r="Z243" s="62" t="s">
        <v>1730</v>
      </c>
      <c r="AA243" s="62" t="s">
        <v>1731</v>
      </c>
      <c r="AB243" s="62" t="s">
        <v>1732</v>
      </c>
      <c r="AC243" s="63">
        <v>0.58299999999999996</v>
      </c>
      <c r="AD243" s="62"/>
      <c r="AE243" s="62"/>
      <c r="AF243" s="63"/>
      <c r="AG243" s="62"/>
      <c r="AH243" s="62"/>
      <c r="AI243" s="63"/>
    </row>
    <row r="244" spans="1:35" ht="22.05" customHeight="1">
      <c r="A244" s="64">
        <v>244</v>
      </c>
      <c r="B244" s="62" t="s">
        <v>71</v>
      </c>
      <c r="C244" s="62" t="s">
        <v>1733</v>
      </c>
      <c r="D244" s="62" t="s">
        <v>1734</v>
      </c>
      <c r="E244" s="62" t="s">
        <v>105</v>
      </c>
      <c r="F244" s="62" t="s">
        <v>144</v>
      </c>
      <c r="G244" s="62">
        <v>1</v>
      </c>
      <c r="H244" s="62" t="s">
        <v>1733</v>
      </c>
      <c r="I244" s="62" t="s">
        <v>1734</v>
      </c>
      <c r="J244" s="62" t="s">
        <v>543</v>
      </c>
      <c r="K244" s="62" t="s">
        <v>1735</v>
      </c>
      <c r="L244" s="62" t="s">
        <v>1736</v>
      </c>
      <c r="M244" s="63">
        <v>0.52039999999999997</v>
      </c>
      <c r="N244" s="63">
        <v>0</v>
      </c>
      <c r="O244" s="63">
        <f t="shared" si="4"/>
        <v>0.52039999999999997</v>
      </c>
      <c r="P244" s="85"/>
      <c r="Q244" s="85"/>
      <c r="R244" s="85"/>
      <c r="S244" s="85"/>
      <c r="T244" s="62">
        <v>56</v>
      </c>
      <c r="U244" s="62">
        <v>3000</v>
      </c>
      <c r="V244" s="62"/>
      <c r="W244" s="62"/>
      <c r="X244" s="67"/>
      <c r="Y244" s="62"/>
      <c r="Z244" s="62" t="s">
        <v>1737</v>
      </c>
      <c r="AA244" s="62" t="s">
        <v>1738</v>
      </c>
      <c r="AB244" s="62" t="s">
        <v>1739</v>
      </c>
      <c r="AC244" s="66">
        <v>1.3295999999999999</v>
      </c>
      <c r="AD244" s="62"/>
      <c r="AE244" s="62"/>
      <c r="AF244" s="63"/>
      <c r="AG244" s="62"/>
      <c r="AH244" s="62"/>
      <c r="AI244" s="63"/>
    </row>
    <row r="245" spans="1:35" ht="31.95" customHeight="1">
      <c r="A245" s="64">
        <v>245</v>
      </c>
      <c r="B245" s="62" t="s">
        <v>71</v>
      </c>
      <c r="C245" s="62" t="s">
        <v>1740</v>
      </c>
      <c r="D245" s="62" t="s">
        <v>1741</v>
      </c>
      <c r="E245" s="62" t="s">
        <v>105</v>
      </c>
      <c r="F245" s="62" t="s">
        <v>144</v>
      </c>
      <c r="G245" s="62">
        <v>1</v>
      </c>
      <c r="H245" s="65" t="s">
        <v>1742</v>
      </c>
      <c r="I245" s="62" t="s">
        <v>1743</v>
      </c>
      <c r="J245" s="62" t="s">
        <v>866</v>
      </c>
      <c r="K245" s="62" t="s">
        <v>1744</v>
      </c>
      <c r="L245" s="62" t="s">
        <v>1745</v>
      </c>
      <c r="M245" s="63">
        <v>0.1726</v>
      </c>
      <c r="N245" s="63">
        <v>0</v>
      </c>
      <c r="O245" s="63">
        <f t="shared" si="4"/>
        <v>0.1726</v>
      </c>
      <c r="P245" s="85"/>
      <c r="Q245" s="85"/>
      <c r="R245" s="85"/>
      <c r="S245" s="85"/>
      <c r="T245" s="62">
        <v>98</v>
      </c>
      <c r="U245" s="62">
        <v>1</v>
      </c>
      <c r="V245" s="62">
        <v>1</v>
      </c>
      <c r="W245" s="62"/>
      <c r="X245" s="67"/>
      <c r="Y245" s="62"/>
      <c r="Z245" s="62" t="s">
        <v>1746</v>
      </c>
      <c r="AA245" s="62" t="s">
        <v>1740</v>
      </c>
      <c r="AB245" s="62" t="s">
        <v>1741</v>
      </c>
      <c r="AC245" s="63">
        <v>0.63109999999999999</v>
      </c>
      <c r="AD245" s="62"/>
      <c r="AE245" s="62"/>
      <c r="AF245" s="63"/>
      <c r="AG245" s="62"/>
      <c r="AH245" s="62"/>
      <c r="AI245" s="63"/>
    </row>
    <row r="246" spans="1:35" ht="31.95" customHeight="1">
      <c r="A246" s="64">
        <v>246</v>
      </c>
      <c r="B246" s="62" t="s">
        <v>71</v>
      </c>
      <c r="C246" s="62" t="s">
        <v>1747</v>
      </c>
      <c r="D246" s="62" t="s">
        <v>1748</v>
      </c>
      <c r="E246" s="62" t="s">
        <v>105</v>
      </c>
      <c r="F246" s="62" t="s">
        <v>144</v>
      </c>
      <c r="G246" s="62">
        <v>1</v>
      </c>
      <c r="H246" s="62" t="s">
        <v>1747</v>
      </c>
      <c r="I246" s="62" t="s">
        <v>1748</v>
      </c>
      <c r="J246" s="62" t="s">
        <v>866</v>
      </c>
      <c r="K246" s="62" t="s">
        <v>1744</v>
      </c>
      <c r="L246" s="62" t="s">
        <v>1745</v>
      </c>
      <c r="M246" s="63">
        <v>8.8499999999999995E-2</v>
      </c>
      <c r="N246" s="63">
        <v>0</v>
      </c>
      <c r="O246" s="63">
        <f t="shared" si="4"/>
        <v>8.8499999999999995E-2</v>
      </c>
      <c r="P246" s="85"/>
      <c r="Q246" s="85"/>
      <c r="R246" s="85"/>
      <c r="S246" s="85"/>
      <c r="T246" s="62">
        <v>98</v>
      </c>
      <c r="U246" s="62">
        <v>1</v>
      </c>
      <c r="V246" s="62">
        <v>1</v>
      </c>
      <c r="W246" s="62"/>
      <c r="X246" s="67"/>
      <c r="Y246" s="62"/>
      <c r="Z246" s="62" t="s">
        <v>1749</v>
      </c>
      <c r="AA246" s="62" t="s">
        <v>1750</v>
      </c>
      <c r="AB246" s="62" t="s">
        <v>1751</v>
      </c>
      <c r="AC246" s="63">
        <v>9.0036000000000005E-2</v>
      </c>
      <c r="AD246" s="62"/>
      <c r="AE246" s="62"/>
      <c r="AF246" s="63"/>
      <c r="AG246" s="62"/>
      <c r="AH246" s="62"/>
      <c r="AI246" s="63"/>
    </row>
    <row r="247" spans="1:35" ht="31.95" customHeight="1">
      <c r="A247" s="64">
        <v>247</v>
      </c>
      <c r="B247" s="62" t="s">
        <v>71</v>
      </c>
      <c r="C247" s="62" t="s">
        <v>1752</v>
      </c>
      <c r="D247" s="70" t="s">
        <v>1753</v>
      </c>
      <c r="E247" s="62" t="s">
        <v>105</v>
      </c>
      <c r="F247" s="62" t="s">
        <v>144</v>
      </c>
      <c r="G247" s="62">
        <v>1</v>
      </c>
      <c r="H247" s="62" t="s">
        <v>1752</v>
      </c>
      <c r="I247" s="62" t="s">
        <v>1753</v>
      </c>
      <c r="J247" s="62" t="s">
        <v>890</v>
      </c>
      <c r="K247" s="62" t="s">
        <v>1754</v>
      </c>
      <c r="L247" s="62" t="s">
        <v>1755</v>
      </c>
      <c r="M247" s="63">
        <v>0.54450600000000005</v>
      </c>
      <c r="N247" s="63">
        <v>0</v>
      </c>
      <c r="O247" s="63">
        <f t="shared" si="4"/>
        <v>0.54450600000000005</v>
      </c>
      <c r="P247" s="85"/>
      <c r="Q247" s="85"/>
      <c r="R247" s="85"/>
      <c r="S247" s="85"/>
      <c r="T247" s="62">
        <v>140</v>
      </c>
      <c r="U247" s="62">
        <v>0</v>
      </c>
      <c r="V247" s="62">
        <v>3000</v>
      </c>
      <c r="W247" s="62"/>
      <c r="X247" s="67"/>
      <c r="Y247" s="62"/>
      <c r="Z247" s="62" t="s">
        <v>1756</v>
      </c>
      <c r="AA247" s="62"/>
      <c r="AB247" s="62"/>
      <c r="AC247" s="63"/>
      <c r="AD247" s="62"/>
      <c r="AE247" s="62"/>
      <c r="AF247" s="63"/>
      <c r="AG247" s="62"/>
      <c r="AH247" s="62"/>
      <c r="AI247" s="63"/>
    </row>
    <row r="248" spans="1:35" ht="31.95" customHeight="1">
      <c r="A248" s="64">
        <v>248</v>
      </c>
      <c r="B248" s="62" t="s">
        <v>71</v>
      </c>
      <c r="C248" s="62" t="s">
        <v>1757</v>
      </c>
      <c r="D248" s="70" t="s">
        <v>1758</v>
      </c>
      <c r="E248" s="62" t="s">
        <v>105</v>
      </c>
      <c r="F248" s="62" t="s">
        <v>157</v>
      </c>
      <c r="G248" s="62">
        <v>1</v>
      </c>
      <c r="H248" s="62" t="s">
        <v>1757</v>
      </c>
      <c r="I248" s="62" t="s">
        <v>1758</v>
      </c>
      <c r="J248" s="62" t="s">
        <v>866</v>
      </c>
      <c r="K248" s="62" t="s">
        <v>1759</v>
      </c>
      <c r="L248" s="62" t="s">
        <v>1760</v>
      </c>
      <c r="M248" s="63">
        <v>1.6815</v>
      </c>
      <c r="N248" s="63">
        <v>0</v>
      </c>
      <c r="O248" s="63">
        <f t="shared" si="4"/>
        <v>1.6815</v>
      </c>
      <c r="P248" s="85"/>
      <c r="Q248" s="85"/>
      <c r="R248" s="85"/>
      <c r="S248" s="85"/>
      <c r="T248" s="62">
        <v>70</v>
      </c>
      <c r="U248" s="62">
        <v>1</v>
      </c>
      <c r="V248" s="62">
        <v>1</v>
      </c>
      <c r="W248" s="62"/>
      <c r="X248" s="67"/>
      <c r="Y248" s="62"/>
      <c r="Z248" s="62" t="s">
        <v>1761</v>
      </c>
      <c r="AA248" s="62"/>
      <c r="AB248" s="62"/>
      <c r="AC248" s="63"/>
      <c r="AD248" s="62"/>
      <c r="AE248" s="62"/>
      <c r="AF248" s="63"/>
      <c r="AG248" s="62"/>
      <c r="AH248" s="62"/>
      <c r="AI248" s="63"/>
    </row>
    <row r="249" spans="1:35" ht="31.95" customHeight="1">
      <c r="A249" s="64">
        <v>249</v>
      </c>
      <c r="B249" s="62" t="s">
        <v>71</v>
      </c>
      <c r="C249" s="62" t="s">
        <v>1762</v>
      </c>
      <c r="D249" s="70" t="s">
        <v>1763</v>
      </c>
      <c r="E249" s="62" t="s">
        <v>105</v>
      </c>
      <c r="F249" s="62" t="s">
        <v>157</v>
      </c>
      <c r="G249" s="62">
        <v>2</v>
      </c>
      <c r="H249" s="65" t="s">
        <v>1764</v>
      </c>
      <c r="I249" s="62" t="s">
        <v>1765</v>
      </c>
      <c r="J249" s="62" t="s">
        <v>866</v>
      </c>
      <c r="K249" s="62" t="s">
        <v>1766</v>
      </c>
      <c r="L249" s="62" t="s">
        <v>1767</v>
      </c>
      <c r="M249" s="63">
        <v>0.67884599999999995</v>
      </c>
      <c r="N249" s="63">
        <v>0</v>
      </c>
      <c r="O249" s="63">
        <f t="shared" si="4"/>
        <v>1.3576919999999999</v>
      </c>
      <c r="P249" s="85"/>
      <c r="Q249" s="85"/>
      <c r="R249" s="85"/>
      <c r="S249" s="85"/>
      <c r="T249" s="62">
        <v>140</v>
      </c>
      <c r="U249" s="62">
        <v>6000</v>
      </c>
      <c r="V249" s="62">
        <v>1000</v>
      </c>
      <c r="W249" s="62"/>
      <c r="X249" s="67"/>
      <c r="Y249" s="62"/>
      <c r="Z249" s="62" t="s">
        <v>1768</v>
      </c>
      <c r="AA249" s="62" t="s">
        <v>1762</v>
      </c>
      <c r="AB249" s="62" t="s">
        <v>1763</v>
      </c>
      <c r="AC249" s="63">
        <v>0.68500000000000005</v>
      </c>
      <c r="AD249" s="62"/>
      <c r="AE249" s="62"/>
      <c r="AF249" s="63"/>
      <c r="AG249" s="62"/>
      <c r="AH249" s="62"/>
      <c r="AI249" s="63"/>
    </row>
    <row r="250" spans="1:35" ht="31.95" customHeight="1">
      <c r="A250" s="64">
        <v>250</v>
      </c>
      <c r="B250" s="62" t="s">
        <v>71</v>
      </c>
      <c r="C250" s="62" t="s">
        <v>1769</v>
      </c>
      <c r="D250" s="70" t="s">
        <v>1770</v>
      </c>
      <c r="E250" s="62" t="s">
        <v>105</v>
      </c>
      <c r="F250" s="62" t="s">
        <v>144</v>
      </c>
      <c r="G250" s="62">
        <v>1</v>
      </c>
      <c r="H250" s="62" t="s">
        <v>1769</v>
      </c>
      <c r="I250" s="62" t="s">
        <v>1770</v>
      </c>
      <c r="J250" s="62" t="s">
        <v>726</v>
      </c>
      <c r="K250" s="62" t="s">
        <v>727</v>
      </c>
      <c r="L250" s="62" t="s">
        <v>728</v>
      </c>
      <c r="M250" s="63">
        <v>0.40589999999999998</v>
      </c>
      <c r="N250" s="63">
        <v>0</v>
      </c>
      <c r="O250" s="63">
        <f t="shared" si="4"/>
        <v>0.40589999999999998</v>
      </c>
      <c r="P250" s="85"/>
      <c r="Q250" s="85"/>
      <c r="R250" s="85"/>
      <c r="S250" s="85"/>
      <c r="T250" s="62">
        <v>7</v>
      </c>
      <c r="U250" s="62">
        <v>1</v>
      </c>
      <c r="V250" s="62">
        <v>2500</v>
      </c>
      <c r="W250" s="62"/>
      <c r="X250" s="67"/>
      <c r="Y250" s="62"/>
      <c r="Z250" s="62" t="s">
        <v>1771</v>
      </c>
      <c r="AA250" s="62"/>
      <c r="AB250" s="62"/>
      <c r="AC250" s="63"/>
      <c r="AD250" s="62"/>
      <c r="AE250" s="62"/>
      <c r="AF250" s="63"/>
      <c r="AG250" s="62"/>
      <c r="AH250" s="62"/>
      <c r="AI250" s="63"/>
    </row>
    <row r="251" spans="1:35" ht="31.95" customHeight="1">
      <c r="A251" s="64">
        <v>251</v>
      </c>
      <c r="B251" s="62" t="s">
        <v>71</v>
      </c>
      <c r="C251" s="62" t="s">
        <v>1772</v>
      </c>
      <c r="D251" s="62" t="s">
        <v>1773</v>
      </c>
      <c r="E251" s="62" t="s">
        <v>105</v>
      </c>
      <c r="F251" s="62" t="s">
        <v>144</v>
      </c>
      <c r="G251" s="62">
        <v>1</v>
      </c>
      <c r="H251" s="62" t="s">
        <v>1772</v>
      </c>
      <c r="I251" s="62" t="s">
        <v>1773</v>
      </c>
      <c r="J251" s="62" t="s">
        <v>772</v>
      </c>
      <c r="K251" s="62" t="s">
        <v>1774</v>
      </c>
      <c r="L251" s="62" t="s">
        <v>1775</v>
      </c>
      <c r="M251" s="63">
        <v>0.28000000000000003</v>
      </c>
      <c r="N251" s="63">
        <v>0</v>
      </c>
      <c r="O251" s="63">
        <f t="shared" si="4"/>
        <v>0.28000000000000003</v>
      </c>
      <c r="P251" s="85"/>
      <c r="Q251" s="85"/>
      <c r="R251" s="85"/>
      <c r="S251" s="85"/>
      <c r="T251" s="62">
        <v>28</v>
      </c>
      <c r="U251" s="62">
        <v>0</v>
      </c>
      <c r="V251" s="62">
        <v>1000</v>
      </c>
      <c r="W251" s="62"/>
      <c r="X251" s="67"/>
      <c r="Y251" s="62"/>
      <c r="Z251" s="62" t="s">
        <v>1776</v>
      </c>
      <c r="AA251" s="62"/>
      <c r="AB251" s="62"/>
      <c r="AC251" s="63"/>
      <c r="AD251" s="62"/>
      <c r="AE251" s="62"/>
      <c r="AF251" s="63"/>
      <c r="AG251" s="62"/>
      <c r="AH251" s="62"/>
      <c r="AI251" s="63"/>
    </row>
    <row r="252" spans="1:35" ht="31.95" customHeight="1">
      <c r="A252" s="64">
        <v>252</v>
      </c>
      <c r="B252" s="62" t="s">
        <v>71</v>
      </c>
      <c r="C252" s="62" t="s">
        <v>1777</v>
      </c>
      <c r="D252" s="62" t="s">
        <v>1778</v>
      </c>
      <c r="E252" s="62" t="s">
        <v>105</v>
      </c>
      <c r="F252" s="62" t="s">
        <v>157</v>
      </c>
      <c r="G252" s="62">
        <v>1</v>
      </c>
      <c r="H252" s="62" t="s">
        <v>1777</v>
      </c>
      <c r="I252" s="62" t="s">
        <v>1778</v>
      </c>
      <c r="J252" s="62" t="s">
        <v>612</v>
      </c>
      <c r="K252" s="62" t="s">
        <v>1779</v>
      </c>
      <c r="L252" s="62" t="s">
        <v>1780</v>
      </c>
      <c r="M252" s="63">
        <v>4.3844000000000003</v>
      </c>
      <c r="N252" s="63">
        <v>0</v>
      </c>
      <c r="O252" s="63">
        <f t="shared" si="4"/>
        <v>4.3844000000000003</v>
      </c>
      <c r="P252" s="85"/>
      <c r="Q252" s="85"/>
      <c r="R252" s="85"/>
      <c r="S252" s="85"/>
      <c r="T252" s="62">
        <v>42</v>
      </c>
      <c r="U252" s="62">
        <v>2000</v>
      </c>
      <c r="V252" s="62"/>
      <c r="W252" s="62"/>
      <c r="X252" s="67"/>
      <c r="Y252" s="62"/>
      <c r="Z252" s="62" t="s">
        <v>1781</v>
      </c>
      <c r="AA252" s="62"/>
      <c r="AB252" s="62"/>
      <c r="AC252" s="63"/>
      <c r="AD252" s="62"/>
      <c r="AE252" s="62"/>
      <c r="AF252" s="63"/>
      <c r="AG252" s="62"/>
      <c r="AH252" s="62"/>
      <c r="AI252" s="63"/>
    </row>
    <row r="253" spans="1:35" ht="31.95" customHeight="1">
      <c r="A253" s="64">
        <v>253</v>
      </c>
      <c r="B253" s="62" t="s">
        <v>71</v>
      </c>
      <c r="C253" s="62" t="s">
        <v>1782</v>
      </c>
      <c r="D253" s="62" t="s">
        <v>1783</v>
      </c>
      <c r="E253" s="62" t="s">
        <v>105</v>
      </c>
      <c r="F253" s="62" t="s">
        <v>144</v>
      </c>
      <c r="G253" s="62">
        <v>1</v>
      </c>
      <c r="H253" s="62" t="s">
        <v>1782</v>
      </c>
      <c r="I253" s="62" t="s">
        <v>1783</v>
      </c>
      <c r="J253" s="62" t="s">
        <v>183</v>
      </c>
      <c r="K253" s="62" t="s">
        <v>1008</v>
      </c>
      <c r="L253" s="62" t="s">
        <v>1009</v>
      </c>
      <c r="M253" s="63">
        <v>0.155</v>
      </c>
      <c r="N253" s="63">
        <v>0</v>
      </c>
      <c r="O253" s="63">
        <f t="shared" si="4"/>
        <v>0.155</v>
      </c>
      <c r="P253" s="85"/>
      <c r="Q253" s="85"/>
      <c r="R253" s="85"/>
      <c r="S253" s="85"/>
      <c r="T253" s="62">
        <v>112</v>
      </c>
      <c r="U253" s="62">
        <v>0</v>
      </c>
      <c r="V253" s="62">
        <v>2000</v>
      </c>
      <c r="W253" s="62"/>
      <c r="X253" s="67"/>
      <c r="Y253" s="62"/>
      <c r="Z253" s="62" t="s">
        <v>1784</v>
      </c>
      <c r="AA253" s="62"/>
      <c r="AB253" s="62"/>
      <c r="AC253" s="63"/>
      <c r="AD253" s="62"/>
      <c r="AE253" s="62"/>
      <c r="AF253" s="63"/>
      <c r="AG253" s="62"/>
      <c r="AH253" s="62"/>
      <c r="AI253" s="63"/>
    </row>
    <row r="254" spans="1:35" ht="31.95" customHeight="1">
      <c r="A254" s="64">
        <v>254</v>
      </c>
      <c r="B254" s="62" t="s">
        <v>71</v>
      </c>
      <c r="C254" s="62" t="s">
        <v>1785</v>
      </c>
      <c r="D254" s="62" t="s">
        <v>1786</v>
      </c>
      <c r="E254" s="62" t="s">
        <v>105</v>
      </c>
      <c r="F254" s="62" t="s">
        <v>144</v>
      </c>
      <c r="G254" s="62">
        <v>1</v>
      </c>
      <c r="H254" s="62" t="s">
        <v>1785</v>
      </c>
      <c r="I254" s="62" t="s">
        <v>1786</v>
      </c>
      <c r="J254" s="62" t="s">
        <v>726</v>
      </c>
      <c r="K254" s="62" t="s">
        <v>727</v>
      </c>
      <c r="L254" s="62" t="s">
        <v>728</v>
      </c>
      <c r="M254" s="63">
        <v>0.27939999999999998</v>
      </c>
      <c r="N254" s="63">
        <v>0</v>
      </c>
      <c r="O254" s="63">
        <f t="shared" si="4"/>
        <v>0.27939999999999998</v>
      </c>
      <c r="P254" s="85"/>
      <c r="Q254" s="85"/>
      <c r="R254" s="85"/>
      <c r="S254" s="85"/>
      <c r="T254" s="62">
        <v>7</v>
      </c>
      <c r="U254" s="62">
        <v>1000</v>
      </c>
      <c r="V254" s="62">
        <v>1000</v>
      </c>
      <c r="W254" s="62"/>
      <c r="X254" s="67"/>
      <c r="Y254" s="62"/>
      <c r="Z254" s="62" t="s">
        <v>908</v>
      </c>
      <c r="AA254" s="62"/>
      <c r="AB254" s="62"/>
      <c r="AC254" s="63"/>
      <c r="AD254" s="62"/>
      <c r="AE254" s="62"/>
      <c r="AF254" s="63"/>
      <c r="AG254" s="62"/>
      <c r="AH254" s="62"/>
      <c r="AI254" s="63"/>
    </row>
    <row r="255" spans="1:35" ht="31.95" customHeight="1">
      <c r="A255" s="64">
        <v>255</v>
      </c>
      <c r="B255" s="62" t="s">
        <v>71</v>
      </c>
      <c r="C255" s="62" t="s">
        <v>1787</v>
      </c>
      <c r="D255" s="62" t="s">
        <v>1788</v>
      </c>
      <c r="E255" s="62" t="s">
        <v>105</v>
      </c>
      <c r="F255" s="62" t="s">
        <v>157</v>
      </c>
      <c r="G255" s="62">
        <v>1</v>
      </c>
      <c r="H255" s="62" t="s">
        <v>1787</v>
      </c>
      <c r="I255" s="62" t="s">
        <v>1788</v>
      </c>
      <c r="J255" s="62" t="s">
        <v>612</v>
      </c>
      <c r="K255" s="62" t="s">
        <v>1779</v>
      </c>
      <c r="L255" s="62" t="s">
        <v>1780</v>
      </c>
      <c r="M255" s="63">
        <v>1.6451</v>
      </c>
      <c r="N255" s="63">
        <v>0</v>
      </c>
      <c r="O255" s="63">
        <f t="shared" si="4"/>
        <v>1.6451</v>
      </c>
      <c r="P255" s="85"/>
      <c r="Q255" s="85"/>
      <c r="R255" s="85"/>
      <c r="S255" s="85"/>
      <c r="T255" s="62">
        <v>35</v>
      </c>
      <c r="U255" s="62">
        <v>810</v>
      </c>
      <c r="V255" s="62"/>
      <c r="W255" s="62"/>
      <c r="X255" s="67"/>
      <c r="Y255" s="62"/>
      <c r="Z255" s="62" t="s">
        <v>913</v>
      </c>
      <c r="AA255" s="62"/>
      <c r="AB255" s="62"/>
      <c r="AC255" s="63"/>
      <c r="AD255" s="62"/>
      <c r="AE255" s="62"/>
      <c r="AF255" s="63"/>
      <c r="AG255" s="62"/>
      <c r="AH255" s="62"/>
      <c r="AI255" s="63"/>
    </row>
    <row r="256" spans="1:35" ht="31.95" customHeight="1">
      <c r="A256" s="64">
        <v>256</v>
      </c>
      <c r="B256" s="62" t="s">
        <v>71</v>
      </c>
      <c r="C256" s="62" t="s">
        <v>1789</v>
      </c>
      <c r="D256" s="62" t="s">
        <v>1790</v>
      </c>
      <c r="E256" s="62" t="s">
        <v>105</v>
      </c>
      <c r="F256" s="62" t="s">
        <v>157</v>
      </c>
      <c r="G256" s="62">
        <v>10</v>
      </c>
      <c r="H256" s="62" t="s">
        <v>1789</v>
      </c>
      <c r="I256" s="62" t="s">
        <v>1790</v>
      </c>
      <c r="J256" s="62" t="s">
        <v>172</v>
      </c>
      <c r="K256" s="62" t="s">
        <v>916</v>
      </c>
      <c r="L256" s="62" t="s">
        <v>917</v>
      </c>
      <c r="M256" s="71">
        <v>0.9</v>
      </c>
      <c r="N256" s="71">
        <v>0</v>
      </c>
      <c r="O256" s="71">
        <f t="shared" si="4"/>
        <v>9</v>
      </c>
      <c r="P256" s="85"/>
      <c r="Q256" s="85"/>
      <c r="R256" s="85"/>
      <c r="S256" s="85"/>
      <c r="T256" s="62">
        <v>42</v>
      </c>
      <c r="U256" s="62">
        <v>1600</v>
      </c>
      <c r="V256" s="62">
        <v>160</v>
      </c>
      <c r="W256" s="62"/>
      <c r="X256" s="67"/>
      <c r="Y256" s="62" t="s">
        <v>150</v>
      </c>
      <c r="Z256" s="62" t="s">
        <v>1791</v>
      </c>
      <c r="AA256" s="62"/>
      <c r="AB256" s="62"/>
      <c r="AC256" s="63"/>
      <c r="AD256" s="62"/>
      <c r="AE256" s="62"/>
      <c r="AF256" s="63"/>
      <c r="AG256" s="62"/>
      <c r="AH256" s="62"/>
      <c r="AI256" s="63"/>
    </row>
    <row r="257" spans="1:35" ht="31.95" customHeight="1">
      <c r="A257" s="64">
        <v>257</v>
      </c>
      <c r="B257" s="62" t="s">
        <v>71</v>
      </c>
      <c r="C257" s="62" t="s">
        <v>1792</v>
      </c>
      <c r="D257" s="62" t="s">
        <v>1793</v>
      </c>
      <c r="E257" s="62" t="s">
        <v>105</v>
      </c>
      <c r="F257" s="62" t="s">
        <v>144</v>
      </c>
      <c r="G257" s="62">
        <v>1</v>
      </c>
      <c r="H257" s="65" t="s">
        <v>1794</v>
      </c>
      <c r="I257" s="62" t="s">
        <v>1795</v>
      </c>
      <c r="J257" s="62" t="s">
        <v>302</v>
      </c>
      <c r="K257" s="62" t="s">
        <v>924</v>
      </c>
      <c r="L257" s="62" t="s">
        <v>925</v>
      </c>
      <c r="M257" s="63">
        <v>1.395</v>
      </c>
      <c r="N257" s="63">
        <v>0</v>
      </c>
      <c r="O257" s="63">
        <f t="shared" si="4"/>
        <v>1.395</v>
      </c>
      <c r="P257" s="85"/>
      <c r="Q257" s="85"/>
      <c r="R257" s="85"/>
      <c r="S257" s="85"/>
      <c r="T257" s="62">
        <v>42</v>
      </c>
      <c r="U257" s="62">
        <v>1400</v>
      </c>
      <c r="V257" s="62"/>
      <c r="W257" s="62"/>
      <c r="X257" s="67"/>
      <c r="Y257" s="62"/>
      <c r="Z257" s="62" t="s">
        <v>926</v>
      </c>
      <c r="AA257" s="62" t="s">
        <v>1792</v>
      </c>
      <c r="AB257" s="62" t="s">
        <v>1793</v>
      </c>
      <c r="AC257" s="63">
        <v>1.58</v>
      </c>
      <c r="AD257" s="62"/>
      <c r="AE257" s="62"/>
      <c r="AF257" s="63"/>
      <c r="AG257" s="62"/>
      <c r="AH257" s="62"/>
      <c r="AI257" s="63"/>
    </row>
    <row r="258" spans="1:35" ht="31.95" customHeight="1">
      <c r="A258" s="64">
        <v>258</v>
      </c>
      <c r="B258" s="62" t="s">
        <v>71</v>
      </c>
      <c r="C258" s="62" t="s">
        <v>1796</v>
      </c>
      <c r="D258" s="62" t="s">
        <v>1797</v>
      </c>
      <c r="E258" s="62" t="s">
        <v>105</v>
      </c>
      <c r="F258" s="62" t="s">
        <v>144</v>
      </c>
      <c r="G258" s="62">
        <v>2</v>
      </c>
      <c r="H258" s="62" t="s">
        <v>1796</v>
      </c>
      <c r="I258" s="62" t="s">
        <v>1797</v>
      </c>
      <c r="J258" s="62" t="s">
        <v>302</v>
      </c>
      <c r="K258" s="62" t="s">
        <v>1798</v>
      </c>
      <c r="L258" s="62" t="s">
        <v>1799</v>
      </c>
      <c r="M258" s="63">
        <v>1.4158999999999999</v>
      </c>
      <c r="N258" s="63">
        <v>0</v>
      </c>
      <c r="O258" s="63">
        <f t="shared" si="4"/>
        <v>2.8317999999999999</v>
      </c>
      <c r="P258" s="85"/>
      <c r="Q258" s="85"/>
      <c r="R258" s="85"/>
      <c r="S258" s="85"/>
      <c r="T258" s="62">
        <v>21</v>
      </c>
      <c r="U258" s="62">
        <v>5000</v>
      </c>
      <c r="V258" s="62"/>
      <c r="W258" s="62"/>
      <c r="X258" s="67"/>
      <c r="Y258" s="62"/>
      <c r="Z258" s="62" t="s">
        <v>1800</v>
      </c>
      <c r="AA258" s="62" t="s">
        <v>1801</v>
      </c>
      <c r="AB258" s="62" t="s">
        <v>1802</v>
      </c>
      <c r="AC258" s="66">
        <v>1.4593</v>
      </c>
      <c r="AD258" s="62"/>
      <c r="AE258" s="62"/>
      <c r="AF258" s="63"/>
      <c r="AG258" s="62"/>
      <c r="AH258" s="62"/>
      <c r="AI258" s="63"/>
    </row>
    <row r="259" spans="1:35" ht="31.95" customHeight="1">
      <c r="A259" s="64">
        <v>259</v>
      </c>
      <c r="B259" s="62" t="s">
        <v>71</v>
      </c>
      <c r="C259" s="62" t="s">
        <v>1803</v>
      </c>
      <c r="D259" s="62" t="s">
        <v>1804</v>
      </c>
      <c r="E259" s="62" t="s">
        <v>105</v>
      </c>
      <c r="F259" s="62" t="s">
        <v>157</v>
      </c>
      <c r="G259" s="62">
        <v>1</v>
      </c>
      <c r="H259" s="62" t="s">
        <v>1803</v>
      </c>
      <c r="I259" s="62" t="s">
        <v>1804</v>
      </c>
      <c r="J259" s="62" t="s">
        <v>108</v>
      </c>
      <c r="K259" s="62" t="s">
        <v>1805</v>
      </c>
      <c r="L259" s="62" t="s">
        <v>1806</v>
      </c>
      <c r="M259" s="63">
        <v>0.26319999999999999</v>
      </c>
      <c r="N259" s="63">
        <v>0</v>
      </c>
      <c r="O259" s="63">
        <f t="shared" si="4"/>
        <v>0.26319999999999999</v>
      </c>
      <c r="P259" s="85"/>
      <c r="Q259" s="85"/>
      <c r="R259" s="85"/>
      <c r="S259" s="85"/>
      <c r="T259" s="62">
        <v>21</v>
      </c>
      <c r="U259" s="62">
        <v>1</v>
      </c>
      <c r="V259" s="62"/>
      <c r="W259" s="62"/>
      <c r="X259" s="67"/>
      <c r="Y259" s="62"/>
      <c r="Z259" s="62" t="s">
        <v>1807</v>
      </c>
      <c r="AA259" s="62"/>
      <c r="AB259" s="62"/>
      <c r="AC259" s="63"/>
      <c r="AD259" s="62"/>
      <c r="AE259" s="62"/>
      <c r="AF259" s="63"/>
      <c r="AG259" s="62"/>
      <c r="AH259" s="62"/>
      <c r="AI259" s="63"/>
    </row>
    <row r="260" spans="1:35" ht="31.95" customHeight="1">
      <c r="A260" s="64">
        <v>260</v>
      </c>
      <c r="B260" s="62" t="s">
        <v>71</v>
      </c>
      <c r="C260" s="62" t="s">
        <v>1808</v>
      </c>
      <c r="D260" s="62" t="s">
        <v>1809</v>
      </c>
      <c r="E260" s="62" t="s">
        <v>105</v>
      </c>
      <c r="F260" s="62" t="s">
        <v>157</v>
      </c>
      <c r="G260" s="62">
        <v>2</v>
      </c>
      <c r="H260" s="62" t="s">
        <v>1808</v>
      </c>
      <c r="I260" s="62" t="s">
        <v>1809</v>
      </c>
      <c r="J260" s="62" t="s">
        <v>1022</v>
      </c>
      <c r="K260" s="62" t="s">
        <v>1063</v>
      </c>
      <c r="L260" s="62" t="s">
        <v>1064</v>
      </c>
      <c r="M260" s="63">
        <v>7.6999999999999999E-2</v>
      </c>
      <c r="N260" s="63">
        <v>0</v>
      </c>
      <c r="O260" s="63">
        <f t="shared" si="4"/>
        <v>0.154</v>
      </c>
      <c r="P260" s="85"/>
      <c r="Q260" s="85"/>
      <c r="R260" s="85"/>
      <c r="S260" s="85"/>
      <c r="T260" s="62">
        <v>28</v>
      </c>
      <c r="U260" s="62">
        <v>0</v>
      </c>
      <c r="V260" s="62">
        <v>1000</v>
      </c>
      <c r="W260" s="62"/>
      <c r="X260" s="67"/>
      <c r="Y260" s="62"/>
      <c r="Z260" s="62" t="s">
        <v>1810</v>
      </c>
      <c r="AA260" s="62"/>
      <c r="AB260" s="62"/>
      <c r="AC260" s="63"/>
      <c r="AD260" s="62"/>
      <c r="AE260" s="62"/>
      <c r="AF260" s="63"/>
      <c r="AG260" s="62"/>
      <c r="AH260" s="62"/>
      <c r="AI260" s="63"/>
    </row>
    <row r="261" spans="1:35" ht="31.95" customHeight="1">
      <c r="A261" s="64">
        <v>261</v>
      </c>
      <c r="B261" s="62" t="s">
        <v>71</v>
      </c>
      <c r="C261" s="62" t="s">
        <v>1811</v>
      </c>
      <c r="D261" s="62" t="s">
        <v>1812</v>
      </c>
      <c r="E261" s="62" t="s">
        <v>105</v>
      </c>
      <c r="F261" s="62" t="s">
        <v>157</v>
      </c>
      <c r="G261" s="62">
        <v>1</v>
      </c>
      <c r="H261" s="62" t="s">
        <v>1811</v>
      </c>
      <c r="I261" s="62" t="s">
        <v>1812</v>
      </c>
      <c r="J261" s="62" t="s">
        <v>1022</v>
      </c>
      <c r="K261" s="62" t="s">
        <v>1063</v>
      </c>
      <c r="L261" s="62" t="s">
        <v>1064</v>
      </c>
      <c r="M261" s="63">
        <v>6.9199999999999998E-2</v>
      </c>
      <c r="N261" s="63">
        <v>0</v>
      </c>
      <c r="O261" s="63">
        <f t="shared" si="4"/>
        <v>6.9199999999999998E-2</v>
      </c>
      <c r="P261" s="85"/>
      <c r="Q261" s="85"/>
      <c r="R261" s="85"/>
      <c r="S261" s="85"/>
      <c r="T261" s="62">
        <v>28</v>
      </c>
      <c r="U261" s="62">
        <v>0</v>
      </c>
      <c r="V261" s="62">
        <v>1000</v>
      </c>
      <c r="W261" s="62"/>
      <c r="X261" s="67"/>
      <c r="Y261" s="62"/>
      <c r="Z261" s="62" t="s">
        <v>1813</v>
      </c>
      <c r="AA261" s="62"/>
      <c r="AB261" s="62"/>
      <c r="AC261" s="63"/>
      <c r="AD261" s="62"/>
      <c r="AE261" s="62"/>
      <c r="AF261" s="63"/>
      <c r="AG261" s="62"/>
      <c r="AH261" s="62"/>
      <c r="AI261" s="63"/>
    </row>
    <row r="262" spans="1:35" ht="31.95" customHeight="1">
      <c r="A262" s="64">
        <v>262</v>
      </c>
      <c r="B262" s="62" t="s">
        <v>71</v>
      </c>
      <c r="C262" s="62" t="s">
        <v>1814</v>
      </c>
      <c r="D262" s="62" t="s">
        <v>1815</v>
      </c>
      <c r="E262" s="62" t="s">
        <v>105</v>
      </c>
      <c r="F262" s="62" t="s">
        <v>157</v>
      </c>
      <c r="G262" s="62">
        <v>1</v>
      </c>
      <c r="H262" s="62" t="s">
        <v>1814</v>
      </c>
      <c r="I262" s="62" t="s">
        <v>1815</v>
      </c>
      <c r="J262" s="62" t="s">
        <v>543</v>
      </c>
      <c r="K262" s="62" t="s">
        <v>1072</v>
      </c>
      <c r="L262" s="62" t="s">
        <v>1073</v>
      </c>
      <c r="M262" s="63">
        <v>0.1</v>
      </c>
      <c r="N262" s="63">
        <v>0</v>
      </c>
      <c r="O262" s="63">
        <f t="shared" si="4"/>
        <v>0.1</v>
      </c>
      <c r="P262" s="85"/>
      <c r="Q262" s="85"/>
      <c r="R262" s="85"/>
      <c r="S262" s="85"/>
      <c r="T262" s="62">
        <v>28</v>
      </c>
      <c r="U262" s="62">
        <v>5000</v>
      </c>
      <c r="V262" s="62">
        <v>1000</v>
      </c>
      <c r="W262" s="62"/>
      <c r="X262" s="67"/>
      <c r="Y262" s="62"/>
      <c r="Z262" s="62" t="s">
        <v>1816</v>
      </c>
      <c r="AA262" s="62"/>
      <c r="AB262" s="62"/>
      <c r="AC262" s="63"/>
      <c r="AD262" s="62"/>
      <c r="AE262" s="62"/>
      <c r="AF262" s="63"/>
      <c r="AG262" s="62"/>
      <c r="AH262" s="62"/>
      <c r="AI262" s="63"/>
    </row>
    <row r="263" spans="1:35" ht="31.95" customHeight="1">
      <c r="A263" s="64">
        <v>263</v>
      </c>
      <c r="B263" s="62" t="s">
        <v>71</v>
      </c>
      <c r="C263" s="62" t="s">
        <v>1817</v>
      </c>
      <c r="D263" s="62" t="s">
        <v>1818</v>
      </c>
      <c r="E263" s="62" t="s">
        <v>105</v>
      </c>
      <c r="F263" s="62" t="s">
        <v>157</v>
      </c>
      <c r="G263" s="62">
        <v>1</v>
      </c>
      <c r="H263" s="62" t="s">
        <v>1817</v>
      </c>
      <c r="I263" s="62" t="s">
        <v>1818</v>
      </c>
      <c r="J263" s="62" t="s">
        <v>543</v>
      </c>
      <c r="K263" s="62" t="s">
        <v>1072</v>
      </c>
      <c r="L263" s="62" t="s">
        <v>1073</v>
      </c>
      <c r="M263" s="63">
        <v>5.5399999999999998E-2</v>
      </c>
      <c r="N263" s="63">
        <v>0</v>
      </c>
      <c r="O263" s="63">
        <f t="shared" si="4"/>
        <v>5.5399999999999998E-2</v>
      </c>
      <c r="P263" s="85"/>
      <c r="Q263" s="85"/>
      <c r="R263" s="85"/>
      <c r="S263" s="85"/>
      <c r="T263" s="62">
        <v>28</v>
      </c>
      <c r="U263" s="62">
        <v>5000</v>
      </c>
      <c r="V263" s="62">
        <v>1000</v>
      </c>
      <c r="W263" s="62"/>
      <c r="X263" s="67"/>
      <c r="Y263" s="62"/>
      <c r="Z263" s="62" t="s">
        <v>1819</v>
      </c>
      <c r="AA263" s="62"/>
      <c r="AB263" s="62"/>
      <c r="AC263" s="63"/>
      <c r="AD263" s="62"/>
      <c r="AE263" s="62"/>
      <c r="AF263" s="63"/>
      <c r="AG263" s="62"/>
      <c r="AH263" s="62"/>
      <c r="AI263" s="63"/>
    </row>
    <row r="264" spans="1:35" ht="31.95" customHeight="1">
      <c r="A264" s="64">
        <v>264</v>
      </c>
      <c r="B264" s="62" t="s">
        <v>71</v>
      </c>
      <c r="C264" s="62" t="s">
        <v>1820</v>
      </c>
      <c r="D264" s="62" t="s">
        <v>1821</v>
      </c>
      <c r="E264" s="62" t="s">
        <v>105</v>
      </c>
      <c r="F264" s="62" t="s">
        <v>157</v>
      </c>
      <c r="G264" s="62">
        <v>1</v>
      </c>
      <c r="H264" s="62" t="s">
        <v>1820</v>
      </c>
      <c r="I264" s="62" t="s">
        <v>1821</v>
      </c>
      <c r="J264" s="62" t="s">
        <v>1022</v>
      </c>
      <c r="K264" s="62" t="s">
        <v>1063</v>
      </c>
      <c r="L264" s="62" t="s">
        <v>1064</v>
      </c>
      <c r="M264" s="63">
        <v>8.9499999999999996E-2</v>
      </c>
      <c r="N264" s="63">
        <v>0</v>
      </c>
      <c r="O264" s="63">
        <f t="shared" si="4"/>
        <v>8.9499999999999996E-2</v>
      </c>
      <c r="P264" s="85"/>
      <c r="Q264" s="85"/>
      <c r="R264" s="85"/>
      <c r="S264" s="85"/>
      <c r="T264" s="62">
        <v>28</v>
      </c>
      <c r="U264" s="62">
        <v>0</v>
      </c>
      <c r="V264" s="62">
        <v>1000</v>
      </c>
      <c r="W264" s="62"/>
      <c r="X264" s="67"/>
      <c r="Y264" s="62"/>
      <c r="Z264" s="62" t="s">
        <v>1822</v>
      </c>
      <c r="AA264" s="62" t="s">
        <v>1823</v>
      </c>
      <c r="AB264" s="62" t="s">
        <v>1824</v>
      </c>
      <c r="AC264" s="63">
        <v>9.5500000000000002E-2</v>
      </c>
      <c r="AD264" s="62"/>
      <c r="AE264" s="62"/>
      <c r="AF264" s="63"/>
      <c r="AG264" s="62"/>
      <c r="AH264" s="62"/>
      <c r="AI264" s="63"/>
    </row>
    <row r="265" spans="1:35" ht="31.95" customHeight="1">
      <c r="A265" s="64">
        <v>265</v>
      </c>
      <c r="B265" s="62" t="s">
        <v>71</v>
      </c>
      <c r="C265" s="62" t="s">
        <v>1825</v>
      </c>
      <c r="D265" s="62" t="s">
        <v>1826</v>
      </c>
      <c r="E265" s="62" t="s">
        <v>105</v>
      </c>
      <c r="F265" s="62" t="s">
        <v>157</v>
      </c>
      <c r="G265" s="62">
        <v>1</v>
      </c>
      <c r="H265" s="62" t="s">
        <v>1825</v>
      </c>
      <c r="I265" s="62" t="s">
        <v>1826</v>
      </c>
      <c r="J265" s="62" t="s">
        <v>543</v>
      </c>
      <c r="K265" s="62" t="s">
        <v>1072</v>
      </c>
      <c r="L265" s="62" t="s">
        <v>1073</v>
      </c>
      <c r="M265" s="63">
        <v>8.9499999999999996E-2</v>
      </c>
      <c r="N265" s="63">
        <v>0</v>
      </c>
      <c r="O265" s="63">
        <f t="shared" si="4"/>
        <v>8.9499999999999996E-2</v>
      </c>
      <c r="P265" s="85"/>
      <c r="Q265" s="85"/>
      <c r="R265" s="85"/>
      <c r="S265" s="85"/>
      <c r="T265" s="62">
        <v>28</v>
      </c>
      <c r="U265" s="62">
        <v>5000</v>
      </c>
      <c r="V265" s="62">
        <v>1000</v>
      </c>
      <c r="W265" s="62"/>
      <c r="X265" s="67"/>
      <c r="Y265" s="62"/>
      <c r="Z265" s="62" t="s">
        <v>1827</v>
      </c>
      <c r="AA265" s="62"/>
      <c r="AB265" s="62"/>
      <c r="AC265" s="63"/>
      <c r="AD265" s="62"/>
      <c r="AE265" s="62"/>
      <c r="AF265" s="63"/>
      <c r="AG265" s="62"/>
      <c r="AH265" s="62"/>
      <c r="AI265" s="63"/>
    </row>
    <row r="266" spans="1:35" ht="31.95" customHeight="1">
      <c r="A266" s="64">
        <v>266</v>
      </c>
      <c r="B266" s="62" t="s">
        <v>71</v>
      </c>
      <c r="C266" s="62" t="s">
        <v>1828</v>
      </c>
      <c r="D266" s="62" t="s">
        <v>1829</v>
      </c>
      <c r="E266" s="62" t="s">
        <v>105</v>
      </c>
      <c r="F266" s="62" t="s">
        <v>157</v>
      </c>
      <c r="G266" s="62">
        <v>1</v>
      </c>
      <c r="H266" s="65" t="s">
        <v>1830</v>
      </c>
      <c r="I266" s="62" t="s">
        <v>1831</v>
      </c>
      <c r="J266" s="62" t="s">
        <v>543</v>
      </c>
      <c r="K266" s="62" t="s">
        <v>1072</v>
      </c>
      <c r="L266" s="62" t="s">
        <v>1073</v>
      </c>
      <c r="M266" s="63">
        <v>0.16</v>
      </c>
      <c r="N266" s="63">
        <v>0</v>
      </c>
      <c r="O266" s="63">
        <f t="shared" si="4"/>
        <v>0.16</v>
      </c>
      <c r="P266" s="85"/>
      <c r="Q266" s="85"/>
      <c r="R266" s="85"/>
      <c r="S266" s="85"/>
      <c r="T266" s="62">
        <v>28</v>
      </c>
      <c r="U266" s="62">
        <v>10000</v>
      </c>
      <c r="V266" s="62">
        <v>1000</v>
      </c>
      <c r="W266" s="62"/>
      <c r="X266" s="67"/>
      <c r="Y266" s="62"/>
      <c r="Z266" s="62" t="s">
        <v>1832</v>
      </c>
      <c r="AA266" s="62" t="s">
        <v>1828</v>
      </c>
      <c r="AB266" s="62" t="s">
        <v>1829</v>
      </c>
      <c r="AC266" s="68">
        <v>0.26</v>
      </c>
      <c r="AD266" s="62"/>
      <c r="AE266" s="62"/>
      <c r="AF266" s="63"/>
      <c r="AG266" s="62"/>
      <c r="AH266" s="62"/>
      <c r="AI266" s="63"/>
    </row>
    <row r="267" spans="1:35" ht="31.95" customHeight="1">
      <c r="A267" s="64">
        <v>267</v>
      </c>
      <c r="B267" s="62" t="s">
        <v>71</v>
      </c>
      <c r="C267" s="62" t="s">
        <v>1833</v>
      </c>
      <c r="D267" s="62" t="s">
        <v>1834</v>
      </c>
      <c r="E267" s="62" t="s">
        <v>105</v>
      </c>
      <c r="F267" s="62" t="s">
        <v>157</v>
      </c>
      <c r="G267" s="62">
        <v>1</v>
      </c>
      <c r="H267" s="65" t="s">
        <v>1835</v>
      </c>
      <c r="I267" s="62" t="s">
        <v>1836</v>
      </c>
      <c r="J267" s="62" t="s">
        <v>543</v>
      </c>
      <c r="K267" s="62" t="s">
        <v>941</v>
      </c>
      <c r="L267" s="62" t="s">
        <v>942</v>
      </c>
      <c r="M267" s="63">
        <v>4.4900000000000002E-2</v>
      </c>
      <c r="N267" s="63">
        <v>0</v>
      </c>
      <c r="O267" s="63">
        <f t="shared" si="4"/>
        <v>4.4900000000000002E-2</v>
      </c>
      <c r="P267" s="85"/>
      <c r="Q267" s="85"/>
      <c r="R267" s="85"/>
      <c r="S267" s="85"/>
      <c r="T267" s="62">
        <v>21</v>
      </c>
      <c r="U267" s="62">
        <v>1000</v>
      </c>
      <c r="V267" s="62"/>
      <c r="W267" s="62"/>
      <c r="X267" s="67"/>
      <c r="Y267" s="62"/>
      <c r="Z267" s="62" t="s">
        <v>1837</v>
      </c>
      <c r="AA267" s="62" t="s">
        <v>1833</v>
      </c>
      <c r="AB267" s="62" t="s">
        <v>1834</v>
      </c>
      <c r="AC267" s="63">
        <v>4.4999999999999998E-2</v>
      </c>
      <c r="AD267" s="62"/>
      <c r="AE267" s="62"/>
      <c r="AF267" s="63"/>
      <c r="AG267" s="62"/>
      <c r="AH267" s="62"/>
      <c r="AI267" s="63"/>
    </row>
    <row r="268" spans="1:35" ht="31.95" customHeight="1">
      <c r="A268" s="64">
        <v>268</v>
      </c>
      <c r="B268" s="62" t="s">
        <v>71</v>
      </c>
      <c r="C268" s="62" t="s">
        <v>1838</v>
      </c>
      <c r="D268" s="62" t="s">
        <v>1839</v>
      </c>
      <c r="E268" s="62" t="s">
        <v>105</v>
      </c>
      <c r="F268" s="62" t="s">
        <v>157</v>
      </c>
      <c r="G268" s="62">
        <v>1</v>
      </c>
      <c r="H268" s="65" t="s">
        <v>1840</v>
      </c>
      <c r="I268" s="62" t="s">
        <v>1841</v>
      </c>
      <c r="J268" s="62" t="s">
        <v>543</v>
      </c>
      <c r="K268" s="62" t="s">
        <v>941</v>
      </c>
      <c r="L268" s="62" t="s">
        <v>942</v>
      </c>
      <c r="M268" s="63">
        <v>7.85E-2</v>
      </c>
      <c r="N268" s="63">
        <v>0</v>
      </c>
      <c r="O268" s="63">
        <f t="shared" si="4"/>
        <v>7.85E-2</v>
      </c>
      <c r="P268" s="85"/>
      <c r="Q268" s="85"/>
      <c r="R268" s="85"/>
      <c r="S268" s="85"/>
      <c r="T268" s="62">
        <v>28</v>
      </c>
      <c r="U268" s="62">
        <v>1000</v>
      </c>
      <c r="V268" s="62"/>
      <c r="W268" s="62"/>
      <c r="X268" s="67"/>
      <c r="Y268" s="62"/>
      <c r="Z268" s="62" t="s">
        <v>1842</v>
      </c>
      <c r="AA268" s="62" t="s">
        <v>1838</v>
      </c>
      <c r="AB268" s="62" t="s">
        <v>1839</v>
      </c>
      <c r="AC268" s="63">
        <v>8.4000000000000005E-2</v>
      </c>
      <c r="AD268" s="62"/>
      <c r="AE268" s="62"/>
      <c r="AF268" s="63"/>
      <c r="AG268" s="62"/>
      <c r="AH268" s="62"/>
      <c r="AI268" s="63"/>
    </row>
    <row r="269" spans="1:35" ht="31.95" customHeight="1">
      <c r="A269" s="64">
        <v>269</v>
      </c>
      <c r="B269" s="62" t="s">
        <v>71</v>
      </c>
      <c r="C269" s="62" t="s">
        <v>1843</v>
      </c>
      <c r="D269" s="62" t="s">
        <v>1844</v>
      </c>
      <c r="E269" s="62" t="s">
        <v>105</v>
      </c>
      <c r="F269" s="62" t="s">
        <v>157</v>
      </c>
      <c r="G269" s="62">
        <v>1</v>
      </c>
      <c r="H269" s="65" t="s">
        <v>1845</v>
      </c>
      <c r="I269" s="62" t="s">
        <v>1846</v>
      </c>
      <c r="J269" s="62" t="s">
        <v>543</v>
      </c>
      <c r="K269" s="62" t="s">
        <v>941</v>
      </c>
      <c r="L269" s="62" t="s">
        <v>942</v>
      </c>
      <c r="M269" s="63">
        <v>0.1176</v>
      </c>
      <c r="N269" s="63">
        <v>0</v>
      </c>
      <c r="O269" s="63">
        <f t="shared" si="4"/>
        <v>0.1176</v>
      </c>
      <c r="P269" s="85"/>
      <c r="Q269" s="85"/>
      <c r="R269" s="85"/>
      <c r="S269" s="85"/>
      <c r="T269" s="62">
        <v>21</v>
      </c>
      <c r="U269" s="62">
        <v>1000</v>
      </c>
      <c r="V269" s="62"/>
      <c r="W269" s="62"/>
      <c r="X269" s="67"/>
      <c r="Y269" s="62"/>
      <c r="Z269" s="62" t="s">
        <v>1847</v>
      </c>
      <c r="AA269" s="62" t="s">
        <v>1843</v>
      </c>
      <c r="AB269" s="62" t="s">
        <v>1844</v>
      </c>
      <c r="AC269" s="63">
        <v>0.126</v>
      </c>
      <c r="AD269" s="62"/>
      <c r="AE269" s="62"/>
      <c r="AF269" s="63"/>
      <c r="AG269" s="62"/>
      <c r="AH269" s="62"/>
      <c r="AI269" s="63"/>
    </row>
    <row r="270" spans="1:35" ht="31.95" customHeight="1">
      <c r="A270" s="64">
        <v>270</v>
      </c>
      <c r="B270" s="62" t="s">
        <v>71</v>
      </c>
      <c r="C270" s="62" t="s">
        <v>1848</v>
      </c>
      <c r="D270" s="62" t="s">
        <v>1849</v>
      </c>
      <c r="E270" s="62" t="s">
        <v>105</v>
      </c>
      <c r="F270" s="62" t="s">
        <v>157</v>
      </c>
      <c r="G270" s="62">
        <v>1</v>
      </c>
      <c r="H270" s="62" t="s">
        <v>1848</v>
      </c>
      <c r="I270" s="62" t="s">
        <v>1849</v>
      </c>
      <c r="J270" s="62" t="s">
        <v>543</v>
      </c>
      <c r="K270" s="62" t="s">
        <v>1072</v>
      </c>
      <c r="L270" s="62" t="s">
        <v>1073</v>
      </c>
      <c r="M270" s="63">
        <v>0.16800000000000001</v>
      </c>
      <c r="N270" s="63">
        <v>0</v>
      </c>
      <c r="O270" s="63">
        <f t="shared" si="4"/>
        <v>0.16800000000000001</v>
      </c>
      <c r="P270" s="85"/>
      <c r="Q270" s="85"/>
      <c r="R270" s="85"/>
      <c r="S270" s="85"/>
      <c r="T270" s="62">
        <v>28</v>
      </c>
      <c r="U270" s="62">
        <v>5000</v>
      </c>
      <c r="V270" s="62">
        <v>1000</v>
      </c>
      <c r="W270" s="62"/>
      <c r="X270" s="67"/>
      <c r="Y270" s="62"/>
      <c r="Z270" s="62" t="s">
        <v>1850</v>
      </c>
      <c r="AA270" s="62"/>
      <c r="AB270" s="62"/>
      <c r="AC270" s="63"/>
      <c r="AD270" s="62"/>
      <c r="AE270" s="62"/>
      <c r="AF270" s="63"/>
      <c r="AG270" s="62"/>
      <c r="AH270" s="62"/>
      <c r="AI270" s="63"/>
    </row>
    <row r="271" spans="1:35" ht="31.95" customHeight="1">
      <c r="A271" s="64">
        <v>271</v>
      </c>
      <c r="B271" s="62" t="s">
        <v>71</v>
      </c>
      <c r="C271" s="62" t="s">
        <v>1851</v>
      </c>
      <c r="D271" s="62" t="s">
        <v>1852</v>
      </c>
      <c r="E271" s="62" t="s">
        <v>105</v>
      </c>
      <c r="F271" s="62" t="s">
        <v>157</v>
      </c>
      <c r="G271" s="62">
        <v>1</v>
      </c>
      <c r="H271" s="65" t="s">
        <v>1853</v>
      </c>
      <c r="I271" s="62" t="s">
        <v>1854</v>
      </c>
      <c r="J271" s="62" t="s">
        <v>543</v>
      </c>
      <c r="K271" s="62" t="s">
        <v>941</v>
      </c>
      <c r="L271" s="62" t="s">
        <v>942</v>
      </c>
      <c r="M271" s="63">
        <v>0.1961</v>
      </c>
      <c r="N271" s="63">
        <v>0</v>
      </c>
      <c r="O271" s="63">
        <f t="shared" si="4"/>
        <v>0.1961</v>
      </c>
      <c r="P271" s="85"/>
      <c r="Q271" s="85"/>
      <c r="R271" s="85"/>
      <c r="S271" s="85"/>
      <c r="T271" s="62">
        <v>28</v>
      </c>
      <c r="U271" s="62">
        <v>1000</v>
      </c>
      <c r="V271" s="62"/>
      <c r="W271" s="62"/>
      <c r="X271" s="67"/>
      <c r="Y271" s="62"/>
      <c r="Z271" s="62" t="s">
        <v>1855</v>
      </c>
      <c r="AA271" s="62" t="s">
        <v>1851</v>
      </c>
      <c r="AB271" s="62" t="s">
        <v>1852</v>
      </c>
      <c r="AC271" s="63">
        <v>0.45400000000000001</v>
      </c>
      <c r="AD271" s="62"/>
      <c r="AE271" s="62"/>
      <c r="AF271" s="63"/>
      <c r="AG271" s="62"/>
      <c r="AH271" s="62"/>
      <c r="AI271" s="63"/>
    </row>
    <row r="272" spans="1:35" ht="31.95" customHeight="1">
      <c r="A272" s="64">
        <v>272</v>
      </c>
      <c r="B272" s="62" t="s">
        <v>71</v>
      </c>
      <c r="C272" s="62" t="s">
        <v>1856</v>
      </c>
      <c r="D272" s="62" t="s">
        <v>1857</v>
      </c>
      <c r="E272" s="62" t="s">
        <v>105</v>
      </c>
      <c r="F272" s="62" t="s">
        <v>157</v>
      </c>
      <c r="G272" s="62">
        <v>1</v>
      </c>
      <c r="H272" s="62" t="s">
        <v>1856</v>
      </c>
      <c r="I272" s="62" t="s">
        <v>1857</v>
      </c>
      <c r="J272" s="62" t="s">
        <v>1022</v>
      </c>
      <c r="K272" s="62" t="s">
        <v>1063</v>
      </c>
      <c r="L272" s="62" t="s">
        <v>1064</v>
      </c>
      <c r="M272" s="63">
        <v>8.2000000000000003E-2</v>
      </c>
      <c r="N272" s="63">
        <v>0</v>
      </c>
      <c r="O272" s="63">
        <f t="shared" si="4"/>
        <v>8.2000000000000003E-2</v>
      </c>
      <c r="P272" s="85"/>
      <c r="Q272" s="85"/>
      <c r="R272" s="85"/>
      <c r="S272" s="85"/>
      <c r="T272" s="62">
        <v>28</v>
      </c>
      <c r="U272" s="62">
        <v>0</v>
      </c>
      <c r="V272" s="62">
        <v>1000</v>
      </c>
      <c r="W272" s="62"/>
      <c r="X272" s="67"/>
      <c r="Y272" s="62"/>
      <c r="Z272" s="62" t="s">
        <v>1858</v>
      </c>
      <c r="AA272" s="62" t="s">
        <v>1859</v>
      </c>
      <c r="AB272" s="62" t="s">
        <v>1860</v>
      </c>
      <c r="AC272" s="63">
        <v>8.2000000000000003E-2</v>
      </c>
      <c r="AD272" s="62"/>
      <c r="AE272" s="62"/>
      <c r="AF272" s="63"/>
      <c r="AG272" s="62"/>
      <c r="AH272" s="62"/>
      <c r="AI272" s="63"/>
    </row>
    <row r="273" spans="1:35" ht="31.95" customHeight="1">
      <c r="A273" s="64">
        <v>273</v>
      </c>
      <c r="B273" s="62" t="s">
        <v>71</v>
      </c>
      <c r="C273" s="62" t="s">
        <v>1861</v>
      </c>
      <c r="D273" s="62" t="s">
        <v>1862</v>
      </c>
      <c r="E273" s="62" t="s">
        <v>105</v>
      </c>
      <c r="F273" s="62" t="s">
        <v>157</v>
      </c>
      <c r="G273" s="62">
        <v>2</v>
      </c>
      <c r="H273" s="62" t="s">
        <v>1861</v>
      </c>
      <c r="I273" s="62" t="s">
        <v>1862</v>
      </c>
      <c r="J273" s="62" t="s">
        <v>543</v>
      </c>
      <c r="K273" s="62" t="s">
        <v>1072</v>
      </c>
      <c r="L273" s="62" t="s">
        <v>1073</v>
      </c>
      <c r="M273" s="63">
        <v>9.1999999999999998E-2</v>
      </c>
      <c r="N273" s="63">
        <v>0</v>
      </c>
      <c r="O273" s="63">
        <f t="shared" ref="O273:O287" si="5">G273*M273</f>
        <v>0.184</v>
      </c>
      <c r="P273" s="85"/>
      <c r="Q273" s="85"/>
      <c r="R273" s="85"/>
      <c r="S273" s="85"/>
      <c r="T273" s="62">
        <v>28</v>
      </c>
      <c r="U273" s="62">
        <v>5000</v>
      </c>
      <c r="V273" s="62">
        <v>1000</v>
      </c>
      <c r="W273" s="62"/>
      <c r="X273" s="67"/>
      <c r="Y273" s="62"/>
      <c r="Z273" s="62" t="s">
        <v>1863</v>
      </c>
      <c r="AA273" s="62" t="s">
        <v>1864</v>
      </c>
      <c r="AB273" s="62" t="s">
        <v>1865</v>
      </c>
      <c r="AC273" s="63">
        <v>0.105</v>
      </c>
      <c r="AD273" s="62"/>
      <c r="AE273" s="62"/>
      <c r="AF273" s="63"/>
      <c r="AG273" s="62"/>
      <c r="AH273" s="62"/>
      <c r="AI273" s="63"/>
    </row>
    <row r="274" spans="1:35" ht="31.95" customHeight="1">
      <c r="A274" s="64">
        <v>274</v>
      </c>
      <c r="B274" s="62" t="s">
        <v>71</v>
      </c>
      <c r="C274" s="62" t="s">
        <v>1866</v>
      </c>
      <c r="D274" s="62" t="s">
        <v>1867</v>
      </c>
      <c r="E274" s="62" t="s">
        <v>105</v>
      </c>
      <c r="F274" s="62" t="s">
        <v>157</v>
      </c>
      <c r="G274" s="62">
        <v>1</v>
      </c>
      <c r="H274" s="62" t="s">
        <v>1866</v>
      </c>
      <c r="I274" s="62" t="s">
        <v>1867</v>
      </c>
      <c r="J274" s="62" t="s">
        <v>543</v>
      </c>
      <c r="K274" s="62" t="s">
        <v>1072</v>
      </c>
      <c r="L274" s="62" t="s">
        <v>1073</v>
      </c>
      <c r="M274" s="63">
        <v>8.9499999999999996E-2</v>
      </c>
      <c r="N274" s="63">
        <v>0</v>
      </c>
      <c r="O274" s="63">
        <f t="shared" si="5"/>
        <v>8.9499999999999996E-2</v>
      </c>
      <c r="P274" s="85"/>
      <c r="Q274" s="85"/>
      <c r="R274" s="85"/>
      <c r="S274" s="85"/>
      <c r="T274" s="62">
        <v>28</v>
      </c>
      <c r="U274" s="62">
        <v>5000</v>
      </c>
      <c r="V274" s="62">
        <v>1000</v>
      </c>
      <c r="W274" s="62"/>
      <c r="X274" s="67"/>
      <c r="Y274" s="62"/>
      <c r="Z274" s="62" t="s">
        <v>1868</v>
      </c>
      <c r="AA274" s="62"/>
      <c r="AB274" s="62"/>
      <c r="AC274" s="63"/>
      <c r="AD274" s="62"/>
      <c r="AE274" s="62"/>
      <c r="AF274" s="63"/>
      <c r="AG274" s="62"/>
      <c r="AH274" s="62"/>
      <c r="AI274" s="63"/>
    </row>
    <row r="275" spans="1:35" ht="31.95" customHeight="1">
      <c r="A275" s="64">
        <v>275</v>
      </c>
      <c r="B275" s="62" t="s">
        <v>71</v>
      </c>
      <c r="C275" s="62" t="s">
        <v>1869</v>
      </c>
      <c r="D275" s="62" t="s">
        <v>1870</v>
      </c>
      <c r="E275" s="62" t="s">
        <v>105</v>
      </c>
      <c r="F275" s="62" t="s">
        <v>157</v>
      </c>
      <c r="G275" s="62">
        <v>1</v>
      </c>
      <c r="H275" s="62" t="s">
        <v>1869</v>
      </c>
      <c r="I275" s="62" t="s">
        <v>1870</v>
      </c>
      <c r="J275" s="62" t="s">
        <v>543</v>
      </c>
      <c r="K275" s="62" t="s">
        <v>1072</v>
      </c>
      <c r="L275" s="62" t="s">
        <v>1073</v>
      </c>
      <c r="M275" s="63">
        <v>7.9600000000000004E-2</v>
      </c>
      <c r="N275" s="63">
        <v>0</v>
      </c>
      <c r="O275" s="63">
        <f t="shared" si="5"/>
        <v>7.9600000000000004E-2</v>
      </c>
      <c r="P275" s="85"/>
      <c r="Q275" s="85"/>
      <c r="R275" s="85"/>
      <c r="S275" s="85"/>
      <c r="T275" s="62">
        <v>28</v>
      </c>
      <c r="U275" s="62">
        <v>5000</v>
      </c>
      <c r="V275" s="62">
        <v>1000</v>
      </c>
      <c r="W275" s="62"/>
      <c r="X275" s="67"/>
      <c r="Y275" s="62"/>
      <c r="Z275" s="62" t="s">
        <v>1871</v>
      </c>
      <c r="AA275" s="62"/>
      <c r="AB275" s="62"/>
      <c r="AC275" s="63"/>
      <c r="AD275" s="62"/>
      <c r="AE275" s="62"/>
      <c r="AF275" s="63"/>
      <c r="AG275" s="62"/>
      <c r="AH275" s="62"/>
      <c r="AI275" s="63"/>
    </row>
    <row r="276" spans="1:35" ht="31.95" customHeight="1">
      <c r="A276" s="64">
        <v>276</v>
      </c>
      <c r="B276" s="62" t="s">
        <v>71</v>
      </c>
      <c r="C276" s="62" t="s">
        <v>1872</v>
      </c>
      <c r="D276" s="62" t="s">
        <v>1873</v>
      </c>
      <c r="E276" s="62" t="s">
        <v>105</v>
      </c>
      <c r="F276" s="62" t="s">
        <v>157</v>
      </c>
      <c r="G276" s="62">
        <v>1</v>
      </c>
      <c r="H276" s="62" t="s">
        <v>1872</v>
      </c>
      <c r="I276" s="62" t="s">
        <v>1873</v>
      </c>
      <c r="J276" s="62" t="s">
        <v>543</v>
      </c>
      <c r="K276" s="62" t="s">
        <v>1072</v>
      </c>
      <c r="L276" s="62" t="s">
        <v>1073</v>
      </c>
      <c r="M276" s="63">
        <v>9.1999999999999998E-2</v>
      </c>
      <c r="N276" s="63">
        <v>0</v>
      </c>
      <c r="O276" s="63">
        <f t="shared" si="5"/>
        <v>9.1999999999999998E-2</v>
      </c>
      <c r="P276" s="85"/>
      <c r="Q276" s="85"/>
      <c r="R276" s="85"/>
      <c r="S276" s="85"/>
      <c r="T276" s="62">
        <v>28</v>
      </c>
      <c r="U276" s="62">
        <v>5000</v>
      </c>
      <c r="V276" s="62">
        <v>1000</v>
      </c>
      <c r="W276" s="62"/>
      <c r="X276" s="67"/>
      <c r="Y276" s="62"/>
      <c r="Z276" s="62" t="s">
        <v>1874</v>
      </c>
      <c r="AA276" s="62"/>
      <c r="AB276" s="62"/>
      <c r="AC276" s="63"/>
      <c r="AD276" s="62"/>
      <c r="AE276" s="62"/>
      <c r="AF276" s="63"/>
      <c r="AG276" s="62"/>
      <c r="AH276" s="62"/>
      <c r="AI276" s="63"/>
    </row>
    <row r="277" spans="1:35" ht="31.95" customHeight="1">
      <c r="A277" s="64">
        <v>277</v>
      </c>
      <c r="B277" s="62" t="s">
        <v>71</v>
      </c>
      <c r="C277" s="62" t="s">
        <v>1875</v>
      </c>
      <c r="D277" s="62" t="s">
        <v>1876</v>
      </c>
      <c r="E277" s="62" t="s">
        <v>105</v>
      </c>
      <c r="F277" s="62" t="s">
        <v>157</v>
      </c>
      <c r="G277" s="62">
        <v>1</v>
      </c>
      <c r="H277" s="62" t="s">
        <v>1875</v>
      </c>
      <c r="I277" s="62" t="s">
        <v>1876</v>
      </c>
      <c r="J277" s="62" t="s">
        <v>1022</v>
      </c>
      <c r="K277" s="62" t="s">
        <v>1063</v>
      </c>
      <c r="L277" s="62" t="s">
        <v>1064</v>
      </c>
      <c r="M277" s="63">
        <v>5.8000000000000003E-2</v>
      </c>
      <c r="N277" s="63">
        <v>0</v>
      </c>
      <c r="O277" s="63">
        <f t="shared" si="5"/>
        <v>5.8000000000000003E-2</v>
      </c>
      <c r="P277" s="85"/>
      <c r="Q277" s="85"/>
      <c r="R277" s="85"/>
      <c r="S277" s="85"/>
      <c r="T277" s="62">
        <v>28</v>
      </c>
      <c r="U277" s="62">
        <v>0</v>
      </c>
      <c r="V277" s="62">
        <v>1000</v>
      </c>
      <c r="W277" s="62"/>
      <c r="X277" s="67"/>
      <c r="Y277" s="62"/>
      <c r="Z277" s="62" t="s">
        <v>1877</v>
      </c>
      <c r="AA277" s="62" t="s">
        <v>1878</v>
      </c>
      <c r="AB277" s="62" t="s">
        <v>1879</v>
      </c>
      <c r="AC277" s="66">
        <v>7.0000000000000007E-2</v>
      </c>
      <c r="AD277" s="62"/>
      <c r="AE277" s="62"/>
      <c r="AF277" s="63"/>
      <c r="AG277" s="62"/>
      <c r="AH277" s="62"/>
      <c r="AI277" s="63"/>
    </row>
    <row r="278" spans="1:35" ht="31.95" customHeight="1">
      <c r="A278" s="64">
        <v>278</v>
      </c>
      <c r="B278" s="62" t="s">
        <v>71</v>
      </c>
      <c r="C278" s="62" t="s">
        <v>1880</v>
      </c>
      <c r="D278" s="62" t="s">
        <v>1881</v>
      </c>
      <c r="E278" s="62" t="s">
        <v>105</v>
      </c>
      <c r="F278" s="62" t="s">
        <v>157</v>
      </c>
      <c r="G278" s="62">
        <v>1</v>
      </c>
      <c r="H278" s="65" t="s">
        <v>1882</v>
      </c>
      <c r="I278" s="62" t="s">
        <v>1883</v>
      </c>
      <c r="J278" s="62" t="s">
        <v>543</v>
      </c>
      <c r="K278" s="62" t="s">
        <v>941</v>
      </c>
      <c r="L278" s="62" t="s">
        <v>942</v>
      </c>
      <c r="M278" s="63">
        <v>4.6699999999999998E-2</v>
      </c>
      <c r="N278" s="63">
        <v>0</v>
      </c>
      <c r="O278" s="63">
        <f t="shared" si="5"/>
        <v>4.6699999999999998E-2</v>
      </c>
      <c r="P278" s="85"/>
      <c r="Q278" s="85"/>
      <c r="R278" s="85"/>
      <c r="S278" s="85"/>
      <c r="T278" s="62">
        <v>21</v>
      </c>
      <c r="U278" s="62">
        <v>1000</v>
      </c>
      <c r="V278" s="62"/>
      <c r="W278" s="62"/>
      <c r="X278" s="67"/>
      <c r="Y278" s="62"/>
      <c r="Z278" s="62" t="s">
        <v>1884</v>
      </c>
      <c r="AA278" s="62" t="s">
        <v>1880</v>
      </c>
      <c r="AB278" s="62" t="s">
        <v>1881</v>
      </c>
      <c r="AC278" s="63">
        <v>8.5999999999999993E-2</v>
      </c>
      <c r="AD278" s="62"/>
      <c r="AE278" s="62"/>
      <c r="AF278" s="63"/>
      <c r="AG278" s="62"/>
      <c r="AH278" s="62"/>
      <c r="AI278" s="63"/>
    </row>
    <row r="279" spans="1:35" ht="31.95" customHeight="1">
      <c r="A279" s="64">
        <v>279</v>
      </c>
      <c r="B279" s="62" t="s">
        <v>71</v>
      </c>
      <c r="C279" s="62" t="s">
        <v>1885</v>
      </c>
      <c r="D279" s="62" t="s">
        <v>1886</v>
      </c>
      <c r="E279" s="62" t="s">
        <v>105</v>
      </c>
      <c r="F279" s="62" t="s">
        <v>157</v>
      </c>
      <c r="G279" s="62">
        <v>1</v>
      </c>
      <c r="H279" s="62" t="s">
        <v>1885</v>
      </c>
      <c r="I279" s="62" t="s">
        <v>1886</v>
      </c>
      <c r="J279" s="62" t="s">
        <v>543</v>
      </c>
      <c r="K279" s="62" t="s">
        <v>1072</v>
      </c>
      <c r="L279" s="62" t="s">
        <v>1073</v>
      </c>
      <c r="M279" s="63">
        <v>6.2E-2</v>
      </c>
      <c r="N279" s="63">
        <v>0</v>
      </c>
      <c r="O279" s="63">
        <f t="shared" si="5"/>
        <v>6.2E-2</v>
      </c>
      <c r="P279" s="85"/>
      <c r="Q279" s="85"/>
      <c r="R279" s="85"/>
      <c r="S279" s="85"/>
      <c r="T279" s="62">
        <v>28</v>
      </c>
      <c r="U279" s="62">
        <v>10000</v>
      </c>
      <c r="V279" s="62">
        <v>1000</v>
      </c>
      <c r="W279" s="62"/>
      <c r="X279" s="67"/>
      <c r="Y279" s="62"/>
      <c r="Z279" s="62" t="s">
        <v>1887</v>
      </c>
      <c r="AA279" s="62"/>
      <c r="AB279" s="62"/>
      <c r="AC279" s="63"/>
      <c r="AD279" s="62"/>
      <c r="AE279" s="62"/>
      <c r="AF279" s="63"/>
      <c r="AG279" s="62"/>
      <c r="AH279" s="62"/>
      <c r="AI279" s="63"/>
    </row>
    <row r="280" spans="1:35" ht="31.95" customHeight="1">
      <c r="A280" s="64">
        <v>280</v>
      </c>
      <c r="B280" s="62" t="s">
        <v>71</v>
      </c>
      <c r="C280" s="62" t="s">
        <v>1888</v>
      </c>
      <c r="D280" s="62" t="s">
        <v>1889</v>
      </c>
      <c r="E280" s="62" t="s">
        <v>105</v>
      </c>
      <c r="F280" s="62" t="s">
        <v>106</v>
      </c>
      <c r="G280" s="62">
        <v>2</v>
      </c>
      <c r="H280" s="62" t="s">
        <v>1888</v>
      </c>
      <c r="I280" s="62" t="s">
        <v>1889</v>
      </c>
      <c r="J280" s="62" t="s">
        <v>543</v>
      </c>
      <c r="K280" s="62" t="s">
        <v>1072</v>
      </c>
      <c r="L280" s="62" t="s">
        <v>1073</v>
      </c>
      <c r="M280" s="63">
        <v>8.9499999999999996E-2</v>
      </c>
      <c r="N280" s="63">
        <v>0</v>
      </c>
      <c r="O280" s="63">
        <f t="shared" si="5"/>
        <v>0.17899999999999999</v>
      </c>
      <c r="P280" s="85"/>
      <c r="Q280" s="85"/>
      <c r="R280" s="85"/>
      <c r="S280" s="85"/>
      <c r="T280" s="62">
        <v>28</v>
      </c>
      <c r="U280" s="62">
        <v>5000</v>
      </c>
      <c r="V280" s="62">
        <v>1000</v>
      </c>
      <c r="W280" s="62"/>
      <c r="X280" s="67"/>
      <c r="Y280" s="62"/>
      <c r="Z280" s="62" t="s">
        <v>1890</v>
      </c>
      <c r="AA280" s="62"/>
      <c r="AB280" s="62"/>
      <c r="AC280" s="63"/>
      <c r="AD280" s="62"/>
      <c r="AE280" s="62"/>
      <c r="AF280" s="63"/>
      <c r="AG280" s="62"/>
      <c r="AH280" s="62"/>
      <c r="AI280" s="63"/>
    </row>
    <row r="281" spans="1:35" ht="31.95" customHeight="1">
      <c r="A281" s="64">
        <v>281</v>
      </c>
      <c r="B281" s="62" t="s">
        <v>71</v>
      </c>
      <c r="C281" s="62" t="s">
        <v>1891</v>
      </c>
      <c r="D281" s="62" t="s">
        <v>1892</v>
      </c>
      <c r="E281" s="62" t="s">
        <v>105</v>
      </c>
      <c r="F281" s="62" t="s">
        <v>157</v>
      </c>
      <c r="G281" s="62">
        <v>1</v>
      </c>
      <c r="H281" s="62" t="s">
        <v>1891</v>
      </c>
      <c r="I281" s="62" t="s">
        <v>1892</v>
      </c>
      <c r="J281" s="62" t="s">
        <v>172</v>
      </c>
      <c r="K281" s="62" t="s">
        <v>1893</v>
      </c>
      <c r="L281" s="62" t="s">
        <v>1894</v>
      </c>
      <c r="M281" s="71">
        <v>6.2975000000000003</v>
      </c>
      <c r="N281" s="71">
        <v>0</v>
      </c>
      <c r="O281" s="71">
        <f t="shared" si="5"/>
        <v>6.2975000000000003</v>
      </c>
      <c r="P281" s="85"/>
      <c r="Q281" s="85"/>
      <c r="R281" s="85"/>
      <c r="S281" s="85"/>
      <c r="T281" s="62">
        <v>56</v>
      </c>
      <c r="U281" s="62">
        <v>1000</v>
      </c>
      <c r="V281" s="62"/>
      <c r="W281" s="62"/>
      <c r="X281" s="67"/>
      <c r="Y281" s="62"/>
      <c r="Z281" s="62" t="s">
        <v>1895</v>
      </c>
      <c r="AA281" s="62"/>
      <c r="AB281" s="62"/>
      <c r="AC281" s="63"/>
      <c r="AD281" s="62"/>
      <c r="AE281" s="62"/>
      <c r="AF281" s="63"/>
      <c r="AG281" s="62"/>
      <c r="AH281" s="62"/>
      <c r="AI281" s="63"/>
    </row>
    <row r="282" spans="1:35" ht="31.95" customHeight="1">
      <c r="A282" s="64">
        <v>282</v>
      </c>
      <c r="B282" s="62" t="s">
        <v>71</v>
      </c>
      <c r="C282" s="62" t="s">
        <v>1896</v>
      </c>
      <c r="D282" s="62" t="s">
        <v>1897</v>
      </c>
      <c r="E282" s="62" t="s">
        <v>105</v>
      </c>
      <c r="F282" s="62" t="s">
        <v>157</v>
      </c>
      <c r="G282" s="62">
        <v>1</v>
      </c>
      <c r="H282" s="62" t="s">
        <v>1896</v>
      </c>
      <c r="I282" s="62" t="s">
        <v>1897</v>
      </c>
      <c r="J282" s="62" t="s">
        <v>1022</v>
      </c>
      <c r="K282" s="62" t="s">
        <v>1023</v>
      </c>
      <c r="L282" s="62" t="s">
        <v>1024</v>
      </c>
      <c r="M282" s="71">
        <v>1.9</v>
      </c>
      <c r="N282" s="71">
        <v>0</v>
      </c>
      <c r="O282" s="71">
        <f t="shared" si="5"/>
        <v>1.9</v>
      </c>
      <c r="P282" s="85"/>
      <c r="Q282" s="85"/>
      <c r="R282" s="85"/>
      <c r="S282" s="85"/>
      <c r="T282" s="62">
        <v>70</v>
      </c>
      <c r="U282" s="62">
        <v>0</v>
      </c>
      <c r="V282" s="62">
        <v>24000</v>
      </c>
      <c r="W282" s="62"/>
      <c r="X282" s="67"/>
      <c r="Y282" s="62"/>
      <c r="Z282" s="62" t="s">
        <v>1898</v>
      </c>
      <c r="AA282" s="62"/>
      <c r="AB282" s="62"/>
      <c r="AC282" s="63"/>
      <c r="AD282" s="62"/>
      <c r="AE282" s="62"/>
      <c r="AF282" s="63"/>
      <c r="AG282" s="62"/>
      <c r="AH282" s="62"/>
      <c r="AI282" s="63"/>
    </row>
    <row r="283" spans="1:35" ht="31.95" customHeight="1">
      <c r="A283" s="64">
        <v>283</v>
      </c>
      <c r="B283" s="62" t="s">
        <v>71</v>
      </c>
      <c r="C283" s="62" t="s">
        <v>1899</v>
      </c>
      <c r="D283" s="62" t="s">
        <v>1900</v>
      </c>
      <c r="E283" s="62" t="s">
        <v>105</v>
      </c>
      <c r="F283" s="62" t="s">
        <v>157</v>
      </c>
      <c r="G283" s="62">
        <v>2</v>
      </c>
      <c r="H283" s="62" t="s">
        <v>1899</v>
      </c>
      <c r="I283" s="62" t="s">
        <v>1900</v>
      </c>
      <c r="J283" s="62" t="s">
        <v>543</v>
      </c>
      <c r="K283" s="62" t="s">
        <v>1901</v>
      </c>
      <c r="L283" s="62" t="s">
        <v>979</v>
      </c>
      <c r="M283" s="63">
        <v>0.11</v>
      </c>
      <c r="N283" s="63">
        <v>0</v>
      </c>
      <c r="O283" s="63">
        <f t="shared" si="5"/>
        <v>0.22</v>
      </c>
      <c r="P283" s="85"/>
      <c r="Q283" s="85"/>
      <c r="R283" s="85"/>
      <c r="S283" s="85"/>
      <c r="T283" s="62">
        <v>21</v>
      </c>
      <c r="U283" s="62">
        <v>1000</v>
      </c>
      <c r="V283" s="62"/>
      <c r="W283" s="62"/>
      <c r="X283" s="67"/>
      <c r="Y283" s="62"/>
      <c r="Z283" s="62" t="s">
        <v>1807</v>
      </c>
      <c r="AA283" s="62"/>
      <c r="AB283" s="62"/>
      <c r="AC283" s="63"/>
      <c r="AD283" s="62"/>
      <c r="AE283" s="62"/>
      <c r="AF283" s="63"/>
      <c r="AG283" s="62"/>
      <c r="AH283" s="62"/>
      <c r="AI283" s="63"/>
    </row>
    <row r="284" spans="1:35" ht="31.95" customHeight="1">
      <c r="A284" s="64">
        <v>284</v>
      </c>
      <c r="B284" s="62" t="s">
        <v>71</v>
      </c>
      <c r="C284" s="62" t="s">
        <v>1902</v>
      </c>
      <c r="D284" s="62" t="s">
        <v>1903</v>
      </c>
      <c r="E284" s="62" t="s">
        <v>105</v>
      </c>
      <c r="F284" s="62" t="s">
        <v>970</v>
      </c>
      <c r="G284" s="62">
        <v>1</v>
      </c>
      <c r="H284" s="62" t="s">
        <v>1902</v>
      </c>
      <c r="I284" s="62" t="s">
        <v>1904</v>
      </c>
      <c r="J284" s="62" t="s">
        <v>108</v>
      </c>
      <c r="K284" s="62" t="s">
        <v>972</v>
      </c>
      <c r="L284" s="62" t="s">
        <v>973</v>
      </c>
      <c r="M284" s="63">
        <v>8.2199999999999995E-2</v>
      </c>
      <c r="N284" s="63">
        <v>0</v>
      </c>
      <c r="O284" s="63">
        <f t="shared" si="5"/>
        <v>8.2199999999999995E-2</v>
      </c>
      <c r="P284" s="85"/>
      <c r="Q284" s="85"/>
      <c r="R284" s="85"/>
      <c r="S284" s="85"/>
      <c r="T284" s="62">
        <v>21</v>
      </c>
      <c r="U284" s="62">
        <v>10000</v>
      </c>
      <c r="V284" s="62"/>
      <c r="W284" s="62"/>
      <c r="X284" s="67"/>
      <c r="Y284" s="62"/>
      <c r="Z284" s="62" t="s">
        <v>1092</v>
      </c>
      <c r="AA284" s="62"/>
      <c r="AB284" s="62"/>
      <c r="AC284" s="63"/>
      <c r="AD284" s="62"/>
      <c r="AE284" s="62"/>
      <c r="AF284" s="63"/>
      <c r="AG284" s="62"/>
      <c r="AH284" s="62"/>
      <c r="AI284" s="63"/>
    </row>
    <row r="285" spans="1:35" ht="31.95" customHeight="1">
      <c r="A285" s="64">
        <v>285</v>
      </c>
      <c r="B285" s="62" t="s">
        <v>71</v>
      </c>
      <c r="C285" s="62" t="s">
        <v>1905</v>
      </c>
      <c r="D285" s="62" t="s">
        <v>1906</v>
      </c>
      <c r="E285" s="62" t="s">
        <v>105</v>
      </c>
      <c r="F285" s="62" t="s">
        <v>989</v>
      </c>
      <c r="G285" s="62">
        <v>1</v>
      </c>
      <c r="H285" s="62" t="s">
        <v>1905</v>
      </c>
      <c r="I285" s="62" t="s">
        <v>1906</v>
      </c>
      <c r="J285" s="62" t="s">
        <v>108</v>
      </c>
      <c r="K285" s="62" t="s">
        <v>990</v>
      </c>
      <c r="L285" s="62" t="s">
        <v>991</v>
      </c>
      <c r="M285" s="63">
        <v>3.4799999999999998E-2</v>
      </c>
      <c r="N285" s="63">
        <v>0</v>
      </c>
      <c r="O285" s="63">
        <f t="shared" si="5"/>
        <v>3.4799999999999998E-2</v>
      </c>
      <c r="P285" s="85"/>
      <c r="Q285" s="85"/>
      <c r="R285" s="85"/>
      <c r="S285" s="85"/>
      <c r="T285" s="62">
        <v>28</v>
      </c>
      <c r="U285" s="62">
        <v>10000</v>
      </c>
      <c r="V285" s="62"/>
      <c r="W285" s="62"/>
      <c r="X285" s="67"/>
      <c r="Y285" s="62"/>
      <c r="Z285" s="62" t="s">
        <v>1807</v>
      </c>
      <c r="AA285" s="62"/>
      <c r="AB285" s="62"/>
      <c r="AC285" s="63"/>
      <c r="AD285" s="62"/>
      <c r="AE285" s="62"/>
      <c r="AF285" s="63"/>
      <c r="AG285" s="62"/>
      <c r="AH285" s="62"/>
      <c r="AI285" s="63"/>
    </row>
    <row r="286" spans="1:35" ht="31.95" customHeight="1">
      <c r="A286" s="64">
        <v>286</v>
      </c>
      <c r="B286" s="62" t="s">
        <v>71</v>
      </c>
      <c r="C286" s="62" t="s">
        <v>1907</v>
      </c>
      <c r="D286" s="62" t="s">
        <v>1908</v>
      </c>
      <c r="E286" s="62" t="s">
        <v>105</v>
      </c>
      <c r="F286" s="62" t="s">
        <v>995</v>
      </c>
      <c r="G286" s="62">
        <v>1</v>
      </c>
      <c r="H286" s="62" t="s">
        <v>1907</v>
      </c>
      <c r="I286" s="62" t="s">
        <v>1908</v>
      </c>
      <c r="J286" s="62" t="s">
        <v>983</v>
      </c>
      <c r="K286" s="62" t="s">
        <v>997</v>
      </c>
      <c r="L286" s="62" t="s">
        <v>998</v>
      </c>
      <c r="M286" s="71">
        <v>12.578200000000001</v>
      </c>
      <c r="N286" s="71">
        <v>0</v>
      </c>
      <c r="O286" s="71">
        <f t="shared" si="5"/>
        <v>12.578200000000001</v>
      </c>
      <c r="P286" s="85"/>
      <c r="Q286" s="85"/>
      <c r="R286" s="85"/>
      <c r="S286" s="85"/>
      <c r="T286" s="62">
        <v>20</v>
      </c>
      <c r="U286" s="62">
        <v>1</v>
      </c>
      <c r="V286" s="62">
        <v>1</v>
      </c>
      <c r="W286" s="62"/>
      <c r="X286" s="67"/>
      <c r="Y286" s="62"/>
      <c r="Z286" s="62"/>
      <c r="AA286" s="62"/>
      <c r="AB286" s="62"/>
      <c r="AC286" s="63"/>
      <c r="AD286" s="62"/>
      <c r="AE286" s="62"/>
      <c r="AF286" s="63"/>
      <c r="AG286" s="62"/>
      <c r="AH286" s="62"/>
      <c r="AI286" s="63"/>
    </row>
    <row r="287" spans="1:35" ht="31.95" customHeight="1">
      <c r="A287" s="64">
        <v>287</v>
      </c>
      <c r="B287" s="62" t="s">
        <v>71</v>
      </c>
      <c r="C287" s="62" t="s">
        <v>1909</v>
      </c>
      <c r="D287" s="62" t="s">
        <v>1910</v>
      </c>
      <c r="E287" s="62" t="s">
        <v>105</v>
      </c>
      <c r="F287" s="62" t="s">
        <v>136</v>
      </c>
      <c r="G287" s="62">
        <v>1</v>
      </c>
      <c r="H287" s="62" t="s">
        <v>1909</v>
      </c>
      <c r="I287" s="62" t="s">
        <v>1910</v>
      </c>
      <c r="J287" s="62" t="s">
        <v>115</v>
      </c>
      <c r="K287" s="62" t="s">
        <v>1911</v>
      </c>
      <c r="L287" s="62" t="s">
        <v>1912</v>
      </c>
      <c r="M287" s="63">
        <v>2.0350000000000001</v>
      </c>
      <c r="N287" s="63">
        <v>0</v>
      </c>
      <c r="O287" s="63">
        <f t="shared" si="5"/>
        <v>2.0350000000000001</v>
      </c>
      <c r="P287" s="85"/>
      <c r="Q287" s="85"/>
      <c r="R287" s="85"/>
      <c r="S287" s="85"/>
      <c r="T287" s="62">
        <v>21</v>
      </c>
      <c r="U287" s="62">
        <v>1000</v>
      </c>
      <c r="V287" s="62">
        <v>1</v>
      </c>
      <c r="W287" s="62"/>
      <c r="X287" s="67"/>
      <c r="Y287" s="62"/>
      <c r="Z287" s="62"/>
      <c r="AA287" s="62"/>
      <c r="AB287" s="62"/>
      <c r="AC287" s="63"/>
      <c r="AD287" s="62"/>
      <c r="AE287" s="62"/>
      <c r="AF287" s="63"/>
      <c r="AG287" s="62"/>
      <c r="AH287" s="62"/>
      <c r="AI287" s="63"/>
    </row>
    <row r="288" spans="1:35" ht="31.95" customHeight="1">
      <c r="A288" s="64"/>
      <c r="B288" s="62"/>
      <c r="C288" s="62"/>
      <c r="D288" s="62"/>
      <c r="E288" s="62"/>
      <c r="F288" s="62"/>
      <c r="G288" s="62"/>
      <c r="H288" s="62"/>
      <c r="I288" s="70" t="s">
        <v>1913</v>
      </c>
      <c r="J288" s="70"/>
      <c r="K288" s="70"/>
      <c r="L288" s="70"/>
      <c r="M288" s="71"/>
      <c r="N288" s="71"/>
      <c r="O288" s="71">
        <f>SUM(O16:O287)</f>
        <v>358.46316100000024</v>
      </c>
      <c r="P288" s="85"/>
      <c r="Q288" s="85"/>
      <c r="R288" s="85"/>
      <c r="S288" s="85"/>
      <c r="T288" s="62"/>
      <c r="U288" s="62"/>
      <c r="V288" s="62"/>
      <c r="W288" s="62"/>
      <c r="X288" s="67"/>
      <c r="Y288" s="62"/>
      <c r="Z288" s="62"/>
      <c r="AA288" s="62"/>
      <c r="AB288" s="62"/>
      <c r="AC288" s="63"/>
      <c r="AD288" s="62"/>
      <c r="AE288" s="62"/>
      <c r="AF288" s="63"/>
      <c r="AG288" s="62"/>
      <c r="AH288" s="62"/>
      <c r="AI288" s="63"/>
    </row>
    <row r="289" spans="1:35" ht="31.95" customHeight="1">
      <c r="A289" s="64">
        <v>288</v>
      </c>
      <c r="B289" s="62" t="s">
        <v>1914</v>
      </c>
      <c r="C289" s="62" t="s">
        <v>103</v>
      </c>
      <c r="D289" s="62" t="s">
        <v>104</v>
      </c>
      <c r="E289" s="62" t="s">
        <v>105</v>
      </c>
      <c r="F289" s="62" t="s">
        <v>106</v>
      </c>
      <c r="G289" s="62">
        <v>6</v>
      </c>
      <c r="H289" s="62" t="s">
        <v>103</v>
      </c>
      <c r="I289" s="62" t="s">
        <v>107</v>
      </c>
      <c r="J289" s="62" t="s">
        <v>108</v>
      </c>
      <c r="K289" s="62" t="s">
        <v>109</v>
      </c>
      <c r="L289" s="62" t="s">
        <v>110</v>
      </c>
      <c r="M289" s="63">
        <v>9.9000000000000005E-2</v>
      </c>
      <c r="N289" s="63">
        <v>0</v>
      </c>
      <c r="O289" s="63">
        <f t="shared" ref="O289:O320" si="6">G289*M289</f>
        <v>0.59400000000000008</v>
      </c>
      <c r="P289" s="85"/>
      <c r="Q289" s="85"/>
      <c r="R289" s="85"/>
      <c r="S289" s="85"/>
      <c r="T289" s="62">
        <v>21</v>
      </c>
      <c r="U289" s="62">
        <v>10000</v>
      </c>
      <c r="V289" s="62"/>
      <c r="W289" s="62"/>
      <c r="X289" s="67"/>
      <c r="Y289" s="62"/>
      <c r="Z289" s="62"/>
      <c r="AA289" s="62"/>
      <c r="AB289" s="62"/>
      <c r="AC289" s="63"/>
      <c r="AD289" s="62"/>
      <c r="AE289" s="62"/>
      <c r="AF289" s="63"/>
      <c r="AG289" s="62"/>
      <c r="AH289" s="62"/>
      <c r="AI289" s="63"/>
    </row>
    <row r="290" spans="1:35" ht="31.95" customHeight="1">
      <c r="A290" s="64">
        <v>289</v>
      </c>
      <c r="B290" s="62" t="s">
        <v>1914</v>
      </c>
      <c r="C290" s="62" t="s">
        <v>1915</v>
      </c>
      <c r="D290" s="62" t="s">
        <v>2133</v>
      </c>
      <c r="E290" s="62" t="s">
        <v>105</v>
      </c>
      <c r="F290" s="62" t="s">
        <v>989</v>
      </c>
      <c r="G290" s="62">
        <v>1</v>
      </c>
      <c r="H290" s="62" t="s">
        <v>1915</v>
      </c>
      <c r="I290" s="62" t="s">
        <v>1916</v>
      </c>
      <c r="J290" s="62" t="s">
        <v>166</v>
      </c>
      <c r="K290" s="62" t="s">
        <v>1917</v>
      </c>
      <c r="L290" s="62" t="s">
        <v>1918</v>
      </c>
      <c r="M290" s="71">
        <v>28</v>
      </c>
      <c r="N290" s="71">
        <v>0</v>
      </c>
      <c r="O290" s="71">
        <f t="shared" si="6"/>
        <v>28</v>
      </c>
      <c r="P290" s="85"/>
      <c r="Q290" s="85"/>
      <c r="R290" s="85"/>
      <c r="S290" s="85"/>
      <c r="T290" s="62">
        <v>21</v>
      </c>
      <c r="U290" s="62">
        <v>1</v>
      </c>
      <c r="V290" s="62">
        <v>10000</v>
      </c>
      <c r="W290" s="62"/>
      <c r="X290" s="67"/>
      <c r="Y290" s="62"/>
      <c r="Z290" s="62"/>
      <c r="AA290" s="62"/>
      <c r="AB290" s="62"/>
      <c r="AC290" s="63"/>
      <c r="AD290" s="62"/>
      <c r="AE290" s="62"/>
      <c r="AF290" s="63"/>
      <c r="AG290" s="62"/>
      <c r="AH290" s="62"/>
      <c r="AI290" s="63"/>
    </row>
    <row r="291" spans="1:35" ht="31.95" customHeight="1">
      <c r="A291" s="64">
        <v>290</v>
      </c>
      <c r="B291" s="62" t="s">
        <v>1914</v>
      </c>
      <c r="C291" s="62" t="s">
        <v>1919</v>
      </c>
      <c r="D291" s="62" t="s">
        <v>1920</v>
      </c>
      <c r="E291" s="62" t="s">
        <v>105</v>
      </c>
      <c r="F291" s="62" t="s">
        <v>989</v>
      </c>
      <c r="G291" s="62">
        <v>1</v>
      </c>
      <c r="H291" s="62" t="s">
        <v>1919</v>
      </c>
      <c r="I291" s="62" t="s">
        <v>1920</v>
      </c>
      <c r="J291" s="62" t="s">
        <v>983</v>
      </c>
      <c r="K291" s="62" t="s">
        <v>1921</v>
      </c>
      <c r="L291" s="62" t="s">
        <v>1922</v>
      </c>
      <c r="M291" s="63">
        <v>2.17</v>
      </c>
      <c r="N291" s="63">
        <v>0</v>
      </c>
      <c r="O291" s="63">
        <f t="shared" si="6"/>
        <v>2.17</v>
      </c>
      <c r="P291" s="85"/>
      <c r="Q291" s="85"/>
      <c r="R291" s="85"/>
      <c r="S291" s="85"/>
      <c r="T291" s="62">
        <v>56</v>
      </c>
      <c r="U291" s="62">
        <v>1000</v>
      </c>
      <c r="V291" s="62">
        <v>500</v>
      </c>
      <c r="W291" s="62"/>
      <c r="X291" s="67"/>
      <c r="Y291" s="62"/>
      <c r="Z291" s="62"/>
      <c r="AA291" s="62"/>
      <c r="AB291" s="62"/>
      <c r="AC291" s="63"/>
      <c r="AD291" s="62"/>
      <c r="AE291" s="62"/>
      <c r="AF291" s="63"/>
      <c r="AG291" s="62"/>
      <c r="AH291" s="62"/>
      <c r="AI291" s="63"/>
    </row>
    <row r="292" spans="1:35" ht="31.95" customHeight="1">
      <c r="A292" s="64">
        <v>291</v>
      </c>
      <c r="B292" s="62" t="s">
        <v>1914</v>
      </c>
      <c r="C292" s="62" t="s">
        <v>1923</v>
      </c>
      <c r="D292" s="62" t="s">
        <v>1924</v>
      </c>
      <c r="E292" s="62" t="s">
        <v>105</v>
      </c>
      <c r="F292" s="62" t="s">
        <v>989</v>
      </c>
      <c r="G292" s="62">
        <v>1</v>
      </c>
      <c r="H292" s="62" t="s">
        <v>1923</v>
      </c>
      <c r="I292" s="62" t="s">
        <v>1924</v>
      </c>
      <c r="J292" s="62" t="s">
        <v>983</v>
      </c>
      <c r="K292" s="62" t="s">
        <v>1921</v>
      </c>
      <c r="L292" s="62" t="s">
        <v>1922</v>
      </c>
      <c r="M292" s="63">
        <v>1.37</v>
      </c>
      <c r="N292" s="63">
        <v>0</v>
      </c>
      <c r="O292" s="63">
        <f t="shared" si="6"/>
        <v>1.37</v>
      </c>
      <c r="P292" s="85"/>
      <c r="Q292" s="85"/>
      <c r="R292" s="85"/>
      <c r="S292" s="85"/>
      <c r="T292" s="62">
        <v>56</v>
      </c>
      <c r="U292" s="62">
        <v>1000</v>
      </c>
      <c r="V292" s="62">
        <v>500</v>
      </c>
      <c r="W292" s="62"/>
      <c r="X292" s="67"/>
      <c r="Y292" s="62"/>
      <c r="Z292" s="62"/>
      <c r="AA292" s="62"/>
      <c r="AB292" s="62"/>
      <c r="AC292" s="63"/>
      <c r="AD292" s="62"/>
      <c r="AE292" s="62"/>
      <c r="AF292" s="63"/>
      <c r="AG292" s="62"/>
      <c r="AH292" s="62"/>
      <c r="AI292" s="63"/>
    </row>
    <row r="293" spans="1:35" ht="31.95" customHeight="1">
      <c r="A293" s="64">
        <v>292</v>
      </c>
      <c r="B293" s="62" t="s">
        <v>1914</v>
      </c>
      <c r="C293" s="62" t="s">
        <v>1925</v>
      </c>
      <c r="D293" s="62" t="s">
        <v>1926</v>
      </c>
      <c r="E293" s="62" t="s">
        <v>105</v>
      </c>
      <c r="F293" s="62" t="s">
        <v>989</v>
      </c>
      <c r="G293" s="62">
        <v>1</v>
      </c>
      <c r="H293" s="62" t="s">
        <v>1925</v>
      </c>
      <c r="I293" s="62" t="s">
        <v>1926</v>
      </c>
      <c r="J293" s="62" t="s">
        <v>983</v>
      </c>
      <c r="K293" s="62" t="s">
        <v>1921</v>
      </c>
      <c r="L293" s="62" t="s">
        <v>1922</v>
      </c>
      <c r="M293" s="71">
        <v>38.299999999999997</v>
      </c>
      <c r="N293" s="71">
        <v>0</v>
      </c>
      <c r="O293" s="71">
        <f t="shared" si="6"/>
        <v>38.299999999999997</v>
      </c>
      <c r="P293" s="85"/>
      <c r="Q293" s="85"/>
      <c r="R293" s="85"/>
      <c r="S293" s="85"/>
      <c r="T293" s="62">
        <v>56</v>
      </c>
      <c r="U293" s="62">
        <v>1000</v>
      </c>
      <c r="V293" s="62">
        <v>500</v>
      </c>
      <c r="W293" s="62"/>
      <c r="X293" s="67"/>
      <c r="Y293" s="62"/>
      <c r="Z293" s="62"/>
      <c r="AA293" s="62"/>
      <c r="AB293" s="62"/>
      <c r="AC293" s="63"/>
      <c r="AD293" s="62"/>
      <c r="AE293" s="62"/>
      <c r="AF293" s="63"/>
      <c r="AG293" s="62"/>
      <c r="AH293" s="62"/>
      <c r="AI293" s="63"/>
    </row>
    <row r="294" spans="1:35" ht="31.95" customHeight="1">
      <c r="A294" s="64">
        <v>293</v>
      </c>
      <c r="B294" s="62" t="s">
        <v>1914</v>
      </c>
      <c r="C294" s="62" t="s">
        <v>1927</v>
      </c>
      <c r="D294" s="62" t="s">
        <v>1928</v>
      </c>
      <c r="E294" s="62" t="s">
        <v>105</v>
      </c>
      <c r="F294" s="62" t="s">
        <v>989</v>
      </c>
      <c r="G294" s="62">
        <v>1</v>
      </c>
      <c r="H294" s="62" t="s">
        <v>1927</v>
      </c>
      <c r="I294" s="62" t="s">
        <v>1928</v>
      </c>
      <c r="J294" s="62" t="s">
        <v>983</v>
      </c>
      <c r="K294" s="62" t="s">
        <v>1921</v>
      </c>
      <c r="L294" s="62" t="s">
        <v>1922</v>
      </c>
      <c r="M294" s="71">
        <v>4.58</v>
      </c>
      <c r="N294" s="71">
        <v>0</v>
      </c>
      <c r="O294" s="71">
        <f t="shared" si="6"/>
        <v>4.58</v>
      </c>
      <c r="P294" s="85"/>
      <c r="Q294" s="85"/>
      <c r="R294" s="85"/>
      <c r="S294" s="85"/>
      <c r="T294" s="62">
        <v>56</v>
      </c>
      <c r="U294" s="62">
        <v>1000</v>
      </c>
      <c r="V294" s="62">
        <v>500</v>
      </c>
      <c r="W294" s="62"/>
      <c r="X294" s="67"/>
      <c r="Y294" s="62"/>
      <c r="Z294" s="62"/>
      <c r="AA294" s="62"/>
      <c r="AB294" s="62"/>
      <c r="AC294" s="63"/>
      <c r="AD294" s="62"/>
      <c r="AE294" s="62"/>
      <c r="AF294" s="63"/>
      <c r="AG294" s="62"/>
      <c r="AH294" s="62"/>
      <c r="AI294" s="63"/>
    </row>
    <row r="295" spans="1:35" ht="31.95" customHeight="1">
      <c r="A295" s="64">
        <v>294</v>
      </c>
      <c r="B295" s="62" t="s">
        <v>1914</v>
      </c>
      <c r="C295" s="62" t="s">
        <v>1929</v>
      </c>
      <c r="D295" s="62" t="s">
        <v>1930</v>
      </c>
      <c r="E295" s="62" t="s">
        <v>105</v>
      </c>
      <c r="F295" s="62" t="s">
        <v>989</v>
      </c>
      <c r="G295" s="62">
        <v>1</v>
      </c>
      <c r="H295" s="62" t="s">
        <v>1929</v>
      </c>
      <c r="I295" s="62" t="s">
        <v>1930</v>
      </c>
      <c r="J295" s="62" t="s">
        <v>983</v>
      </c>
      <c r="K295" s="62" t="s">
        <v>1921</v>
      </c>
      <c r="L295" s="62" t="s">
        <v>1922</v>
      </c>
      <c r="M295" s="71">
        <v>128.72</v>
      </c>
      <c r="N295" s="71">
        <v>0</v>
      </c>
      <c r="O295" s="71">
        <f t="shared" si="6"/>
        <v>128.72</v>
      </c>
      <c r="P295" s="85"/>
      <c r="Q295" s="85" t="s">
        <v>2147</v>
      </c>
      <c r="R295" s="85"/>
      <c r="S295" s="85"/>
      <c r="T295" s="62">
        <v>56</v>
      </c>
      <c r="U295" s="62">
        <v>1000</v>
      </c>
      <c r="V295" s="62">
        <v>500</v>
      </c>
      <c r="W295" s="62"/>
      <c r="X295" s="67"/>
      <c r="Y295" s="62"/>
      <c r="Z295" s="62"/>
      <c r="AA295" s="62"/>
      <c r="AB295" s="62"/>
      <c r="AC295" s="63"/>
      <c r="AD295" s="62"/>
      <c r="AE295" s="62"/>
      <c r="AF295" s="63"/>
      <c r="AG295" s="62"/>
      <c r="AH295" s="62"/>
      <c r="AI295" s="63"/>
    </row>
    <row r="296" spans="1:35" ht="31.95" customHeight="1">
      <c r="A296" s="64">
        <v>295</v>
      </c>
      <c r="B296" s="62" t="s">
        <v>1914</v>
      </c>
      <c r="C296" s="62" t="s">
        <v>1931</v>
      </c>
      <c r="D296" s="62" t="s">
        <v>1932</v>
      </c>
      <c r="E296" s="62" t="s">
        <v>105</v>
      </c>
      <c r="F296" s="62" t="s">
        <v>970</v>
      </c>
      <c r="G296" s="62">
        <v>1</v>
      </c>
      <c r="H296" s="62" t="s">
        <v>1931</v>
      </c>
      <c r="I296" s="62" t="s">
        <v>1932</v>
      </c>
      <c r="J296" s="62" t="s">
        <v>983</v>
      </c>
      <c r="K296" s="62" t="s">
        <v>1921</v>
      </c>
      <c r="L296" s="62" t="s">
        <v>1922</v>
      </c>
      <c r="M296" s="63">
        <v>3.51</v>
      </c>
      <c r="N296" s="63">
        <v>0</v>
      </c>
      <c r="O296" s="63">
        <f t="shared" si="6"/>
        <v>3.51</v>
      </c>
      <c r="P296" s="85"/>
      <c r="Q296" s="85"/>
      <c r="R296" s="85"/>
      <c r="S296" s="85"/>
      <c r="T296" s="62">
        <v>28</v>
      </c>
      <c r="U296" s="62">
        <v>500</v>
      </c>
      <c r="V296" s="62">
        <v>500</v>
      </c>
      <c r="W296" s="62"/>
      <c r="X296" s="67"/>
      <c r="Y296" s="62"/>
      <c r="Z296" s="62"/>
      <c r="AA296" s="62"/>
      <c r="AB296" s="62"/>
      <c r="AC296" s="63"/>
      <c r="AD296" s="62"/>
      <c r="AE296" s="62"/>
      <c r="AF296" s="63"/>
      <c r="AG296" s="62"/>
      <c r="AH296" s="62"/>
      <c r="AI296" s="63"/>
    </row>
    <row r="297" spans="1:35" ht="31.95" customHeight="1">
      <c r="A297" s="64">
        <v>296</v>
      </c>
      <c r="B297" s="62" t="s">
        <v>1914</v>
      </c>
      <c r="C297" s="62" t="s">
        <v>1933</v>
      </c>
      <c r="D297" s="62" t="s">
        <v>1934</v>
      </c>
      <c r="E297" s="62" t="s">
        <v>105</v>
      </c>
      <c r="F297" s="62" t="s">
        <v>970</v>
      </c>
      <c r="G297" s="62">
        <v>1</v>
      </c>
      <c r="H297" s="62" t="s">
        <v>1933</v>
      </c>
      <c r="I297" s="62" t="s">
        <v>1934</v>
      </c>
      <c r="J297" s="62" t="s">
        <v>983</v>
      </c>
      <c r="K297" s="62" t="s">
        <v>1921</v>
      </c>
      <c r="L297" s="62" t="s">
        <v>1922</v>
      </c>
      <c r="M297" s="63">
        <v>2.1</v>
      </c>
      <c r="N297" s="63">
        <v>0</v>
      </c>
      <c r="O297" s="63">
        <f t="shared" si="6"/>
        <v>2.1</v>
      </c>
      <c r="P297" s="85"/>
      <c r="Q297" s="85"/>
      <c r="R297" s="85"/>
      <c r="S297" s="85"/>
      <c r="T297" s="62">
        <v>28</v>
      </c>
      <c r="U297" s="62">
        <v>500</v>
      </c>
      <c r="V297" s="62">
        <v>500</v>
      </c>
      <c r="W297" s="62"/>
      <c r="X297" s="67"/>
      <c r="Y297" s="62"/>
      <c r="Z297" s="62"/>
      <c r="AA297" s="62"/>
      <c r="AB297" s="62"/>
      <c r="AC297" s="63"/>
      <c r="AD297" s="62"/>
      <c r="AE297" s="62"/>
      <c r="AF297" s="63"/>
      <c r="AG297" s="62"/>
      <c r="AH297" s="62"/>
      <c r="AI297" s="63"/>
    </row>
    <row r="298" spans="1:35" ht="31.95" customHeight="1">
      <c r="A298" s="64">
        <v>297</v>
      </c>
      <c r="B298" s="62" t="s">
        <v>1914</v>
      </c>
      <c r="C298" s="62" t="s">
        <v>1935</v>
      </c>
      <c r="D298" s="62" t="s">
        <v>1936</v>
      </c>
      <c r="E298" s="62" t="s">
        <v>105</v>
      </c>
      <c r="F298" s="62" t="s">
        <v>970</v>
      </c>
      <c r="G298" s="62">
        <v>1</v>
      </c>
      <c r="H298" s="62" t="s">
        <v>1935</v>
      </c>
      <c r="I298" s="62" t="s">
        <v>1936</v>
      </c>
      <c r="J298" s="62" t="s">
        <v>983</v>
      </c>
      <c r="K298" s="62" t="s">
        <v>1921</v>
      </c>
      <c r="L298" s="62" t="s">
        <v>1922</v>
      </c>
      <c r="M298" s="71">
        <v>17.420000000000002</v>
      </c>
      <c r="N298" s="71">
        <v>0</v>
      </c>
      <c r="O298" s="71">
        <f t="shared" si="6"/>
        <v>17.420000000000002</v>
      </c>
      <c r="P298" s="85"/>
      <c r="Q298" s="85"/>
      <c r="R298" s="85"/>
      <c r="S298" s="85"/>
      <c r="T298" s="62">
        <v>28</v>
      </c>
      <c r="U298" s="62">
        <v>500</v>
      </c>
      <c r="V298" s="62">
        <v>500</v>
      </c>
      <c r="W298" s="62"/>
      <c r="X298" s="67"/>
      <c r="Y298" s="62"/>
      <c r="Z298" s="62"/>
      <c r="AA298" s="62"/>
      <c r="AB298" s="62"/>
      <c r="AC298" s="63"/>
      <c r="AD298" s="62"/>
      <c r="AE298" s="62"/>
      <c r="AF298" s="63"/>
      <c r="AG298" s="62"/>
      <c r="AH298" s="62"/>
      <c r="AI298" s="63"/>
    </row>
    <row r="299" spans="1:35" ht="31.95" customHeight="1">
      <c r="A299" s="64">
        <v>298</v>
      </c>
      <c r="B299" s="62" t="s">
        <v>1914</v>
      </c>
      <c r="C299" s="62" t="s">
        <v>1937</v>
      </c>
      <c r="D299" s="62" t="s">
        <v>1938</v>
      </c>
      <c r="E299" s="62" t="s">
        <v>105</v>
      </c>
      <c r="F299" s="62" t="s">
        <v>970</v>
      </c>
      <c r="G299" s="62">
        <v>1</v>
      </c>
      <c r="H299" s="62" t="s">
        <v>1937</v>
      </c>
      <c r="I299" s="62" t="s">
        <v>1938</v>
      </c>
      <c r="J299" s="62" t="s">
        <v>983</v>
      </c>
      <c r="K299" s="62" t="s">
        <v>1921</v>
      </c>
      <c r="L299" s="62" t="s">
        <v>1922</v>
      </c>
      <c r="M299" s="71">
        <v>17.11</v>
      </c>
      <c r="N299" s="71">
        <v>0</v>
      </c>
      <c r="O299" s="71">
        <f t="shared" si="6"/>
        <v>17.11</v>
      </c>
      <c r="P299" s="85"/>
      <c r="Q299" s="85"/>
      <c r="R299" s="85"/>
      <c r="S299" s="85"/>
      <c r="T299" s="62">
        <v>28</v>
      </c>
      <c r="U299" s="62">
        <v>500</v>
      </c>
      <c r="V299" s="62">
        <v>500</v>
      </c>
      <c r="W299" s="62"/>
      <c r="X299" s="67"/>
      <c r="Y299" s="62"/>
      <c r="Z299" s="62"/>
      <c r="AA299" s="62"/>
      <c r="AB299" s="62"/>
      <c r="AC299" s="63"/>
      <c r="AD299" s="62"/>
      <c r="AE299" s="62"/>
      <c r="AF299" s="63"/>
      <c r="AG299" s="62"/>
      <c r="AH299" s="62"/>
      <c r="AI299" s="63"/>
    </row>
    <row r="300" spans="1:35" ht="31.95" customHeight="1">
      <c r="A300" s="64">
        <v>299</v>
      </c>
      <c r="B300" s="62" t="s">
        <v>1914</v>
      </c>
      <c r="C300" s="62" t="s">
        <v>1939</v>
      </c>
      <c r="D300" s="62" t="s">
        <v>1940</v>
      </c>
      <c r="E300" s="62" t="s">
        <v>105</v>
      </c>
      <c r="F300" s="62" t="s">
        <v>970</v>
      </c>
      <c r="G300" s="62">
        <v>1</v>
      </c>
      <c r="H300" s="62" t="s">
        <v>1939</v>
      </c>
      <c r="I300" s="62" t="s">
        <v>1940</v>
      </c>
      <c r="J300" s="62" t="s">
        <v>983</v>
      </c>
      <c r="K300" s="62" t="s">
        <v>1921</v>
      </c>
      <c r="L300" s="62" t="s">
        <v>1922</v>
      </c>
      <c r="M300" s="71">
        <v>16.850000000000001</v>
      </c>
      <c r="N300" s="71">
        <v>0</v>
      </c>
      <c r="O300" s="71">
        <f t="shared" si="6"/>
        <v>16.850000000000001</v>
      </c>
      <c r="P300" s="85"/>
      <c r="Q300" s="85"/>
      <c r="R300" s="85"/>
      <c r="S300" s="85"/>
      <c r="T300" s="62">
        <v>28</v>
      </c>
      <c r="U300" s="62">
        <v>500</v>
      </c>
      <c r="V300" s="62">
        <v>500</v>
      </c>
      <c r="W300" s="62"/>
      <c r="X300" s="67"/>
      <c r="Y300" s="62"/>
      <c r="Z300" s="62"/>
      <c r="AA300" s="62"/>
      <c r="AB300" s="62"/>
      <c r="AC300" s="63"/>
      <c r="AD300" s="62"/>
      <c r="AE300" s="62"/>
      <c r="AF300" s="63"/>
      <c r="AG300" s="62"/>
      <c r="AH300" s="62"/>
      <c r="AI300" s="63"/>
    </row>
    <row r="301" spans="1:35" ht="31.95" customHeight="1">
      <c r="A301" s="64">
        <v>300</v>
      </c>
      <c r="B301" s="62" t="s">
        <v>1914</v>
      </c>
      <c r="C301" s="62" t="s">
        <v>1941</v>
      </c>
      <c r="D301" s="62" t="s">
        <v>1942</v>
      </c>
      <c r="E301" s="62" t="s">
        <v>105</v>
      </c>
      <c r="F301" s="62" t="s">
        <v>970</v>
      </c>
      <c r="G301" s="62">
        <v>1</v>
      </c>
      <c r="H301" s="62" t="s">
        <v>1941</v>
      </c>
      <c r="I301" s="62" t="s">
        <v>1942</v>
      </c>
      <c r="J301" s="62" t="s">
        <v>983</v>
      </c>
      <c r="K301" s="62" t="s">
        <v>1921</v>
      </c>
      <c r="L301" s="62" t="s">
        <v>1922</v>
      </c>
      <c r="M301" s="71">
        <v>5.88</v>
      </c>
      <c r="N301" s="71">
        <v>0</v>
      </c>
      <c r="O301" s="71">
        <f t="shared" si="6"/>
        <v>5.88</v>
      </c>
      <c r="P301" s="85"/>
      <c r="Q301" s="85"/>
      <c r="R301" s="85"/>
      <c r="S301" s="85"/>
      <c r="T301" s="62">
        <v>28</v>
      </c>
      <c r="U301" s="62">
        <v>500</v>
      </c>
      <c r="V301" s="62">
        <v>500</v>
      </c>
      <c r="W301" s="62"/>
      <c r="X301" s="67"/>
      <c r="Y301" s="62"/>
      <c r="Z301" s="62"/>
      <c r="AA301" s="62"/>
      <c r="AB301" s="62"/>
      <c r="AC301" s="63"/>
      <c r="AD301" s="62"/>
      <c r="AE301" s="62"/>
      <c r="AF301" s="63"/>
      <c r="AG301" s="62"/>
      <c r="AH301" s="62"/>
      <c r="AI301" s="63"/>
    </row>
    <row r="302" spans="1:35" ht="31.95" customHeight="1">
      <c r="A302" s="64">
        <v>301</v>
      </c>
      <c r="B302" s="62" t="s">
        <v>1914</v>
      </c>
      <c r="C302" s="62" t="s">
        <v>1943</v>
      </c>
      <c r="D302" s="62" t="s">
        <v>1944</v>
      </c>
      <c r="E302" s="62" t="s">
        <v>105</v>
      </c>
      <c r="F302" s="62" t="s">
        <v>970</v>
      </c>
      <c r="G302" s="62">
        <v>1</v>
      </c>
      <c r="H302" s="62" t="s">
        <v>1943</v>
      </c>
      <c r="I302" s="62" t="s">
        <v>1944</v>
      </c>
      <c r="J302" s="62" t="s">
        <v>983</v>
      </c>
      <c r="K302" s="62" t="s">
        <v>1921</v>
      </c>
      <c r="L302" s="62" t="s">
        <v>1922</v>
      </c>
      <c r="M302" s="71">
        <v>5.88</v>
      </c>
      <c r="N302" s="71">
        <v>0</v>
      </c>
      <c r="O302" s="71">
        <f t="shared" si="6"/>
        <v>5.88</v>
      </c>
      <c r="P302" s="85"/>
      <c r="Q302" s="85"/>
      <c r="R302" s="85"/>
      <c r="S302" s="85"/>
      <c r="T302" s="62">
        <v>28</v>
      </c>
      <c r="U302" s="62">
        <v>500</v>
      </c>
      <c r="V302" s="62">
        <v>500</v>
      </c>
      <c r="W302" s="62"/>
      <c r="X302" s="67"/>
      <c r="Y302" s="62"/>
      <c r="Z302" s="62"/>
      <c r="AA302" s="62"/>
      <c r="AB302" s="62"/>
      <c r="AC302" s="63"/>
      <c r="AD302" s="62"/>
      <c r="AE302" s="62"/>
      <c r="AF302" s="63"/>
      <c r="AG302" s="62"/>
      <c r="AH302" s="62"/>
      <c r="AI302" s="63"/>
    </row>
    <row r="303" spans="1:35" ht="31.95" customHeight="1">
      <c r="A303" s="64">
        <v>302</v>
      </c>
      <c r="B303" s="62" t="s">
        <v>1914</v>
      </c>
      <c r="C303" s="62" t="s">
        <v>1945</v>
      </c>
      <c r="D303" s="62" t="s">
        <v>1946</v>
      </c>
      <c r="E303" s="62" t="s">
        <v>105</v>
      </c>
      <c r="F303" s="62" t="s">
        <v>970</v>
      </c>
      <c r="G303" s="62">
        <v>1</v>
      </c>
      <c r="H303" s="62" t="s">
        <v>1945</v>
      </c>
      <c r="I303" s="62" t="s">
        <v>1946</v>
      </c>
      <c r="J303" s="62" t="s">
        <v>983</v>
      </c>
      <c r="K303" s="62" t="s">
        <v>1921</v>
      </c>
      <c r="L303" s="62" t="s">
        <v>1922</v>
      </c>
      <c r="M303" s="71">
        <v>6.05</v>
      </c>
      <c r="N303" s="71">
        <v>0</v>
      </c>
      <c r="O303" s="71">
        <f t="shared" si="6"/>
        <v>6.05</v>
      </c>
      <c r="P303" s="85"/>
      <c r="Q303" s="85"/>
      <c r="R303" s="85"/>
      <c r="S303" s="85"/>
      <c r="T303" s="62">
        <v>28</v>
      </c>
      <c r="U303" s="62">
        <v>500</v>
      </c>
      <c r="V303" s="62">
        <v>500</v>
      </c>
      <c r="W303" s="62"/>
      <c r="X303" s="67"/>
      <c r="Y303" s="62"/>
      <c r="Z303" s="62"/>
      <c r="AA303" s="62"/>
      <c r="AB303" s="62"/>
      <c r="AC303" s="63"/>
      <c r="AD303" s="62"/>
      <c r="AE303" s="62"/>
      <c r="AF303" s="63"/>
      <c r="AG303" s="62"/>
      <c r="AH303" s="62"/>
      <c r="AI303" s="63"/>
    </row>
    <row r="304" spans="1:35" ht="31.95" customHeight="1">
      <c r="A304" s="64">
        <v>303</v>
      </c>
      <c r="B304" s="62" t="s">
        <v>1914</v>
      </c>
      <c r="C304" s="62" t="s">
        <v>1947</v>
      </c>
      <c r="D304" s="62" t="s">
        <v>1948</v>
      </c>
      <c r="E304" s="62" t="s">
        <v>105</v>
      </c>
      <c r="F304" s="62" t="s">
        <v>970</v>
      </c>
      <c r="G304" s="62">
        <v>1</v>
      </c>
      <c r="H304" s="62" t="s">
        <v>1947</v>
      </c>
      <c r="I304" s="62" t="s">
        <v>1948</v>
      </c>
      <c r="J304" s="62" t="s">
        <v>955</v>
      </c>
      <c r="K304" s="62" t="s">
        <v>1949</v>
      </c>
      <c r="L304" s="62" t="s">
        <v>1894</v>
      </c>
      <c r="M304" s="71">
        <v>16.100000000000001</v>
      </c>
      <c r="N304" s="71">
        <v>0</v>
      </c>
      <c r="O304" s="71">
        <f t="shared" si="6"/>
        <v>16.100000000000001</v>
      </c>
      <c r="P304" s="85"/>
      <c r="Q304" s="85"/>
      <c r="R304" s="85"/>
      <c r="S304" s="85"/>
      <c r="T304" s="62">
        <v>30</v>
      </c>
      <c r="U304" s="62">
        <v>1000</v>
      </c>
      <c r="V304" s="62">
        <v>1000</v>
      </c>
      <c r="W304" s="62"/>
      <c r="X304" s="67"/>
      <c r="Y304" s="62"/>
      <c r="Z304" s="62"/>
      <c r="AA304" s="62"/>
      <c r="AB304" s="62"/>
      <c r="AC304" s="63"/>
      <c r="AD304" s="62"/>
      <c r="AE304" s="62"/>
      <c r="AF304" s="63"/>
      <c r="AG304" s="62"/>
      <c r="AH304" s="62"/>
      <c r="AI304" s="63"/>
    </row>
    <row r="305" spans="1:35" ht="31.95" customHeight="1">
      <c r="A305" s="64">
        <v>304</v>
      </c>
      <c r="B305" s="62" t="s">
        <v>1914</v>
      </c>
      <c r="C305" s="62" t="s">
        <v>1950</v>
      </c>
      <c r="D305" s="62" t="s">
        <v>1951</v>
      </c>
      <c r="E305" s="62" t="s">
        <v>105</v>
      </c>
      <c r="F305" s="62" t="s">
        <v>136</v>
      </c>
      <c r="G305" s="62">
        <v>1</v>
      </c>
      <c r="H305" s="62" t="s">
        <v>1950</v>
      </c>
      <c r="I305" s="62" t="s">
        <v>1951</v>
      </c>
      <c r="J305" s="62" t="s">
        <v>115</v>
      </c>
      <c r="K305" s="62" t="s">
        <v>1911</v>
      </c>
      <c r="L305" s="62" t="s">
        <v>1912</v>
      </c>
      <c r="M305" s="63">
        <v>5.2999999999999999E-2</v>
      </c>
      <c r="N305" s="63">
        <v>0</v>
      </c>
      <c r="O305" s="63">
        <f t="shared" si="6"/>
        <v>5.2999999999999999E-2</v>
      </c>
      <c r="P305" s="85"/>
      <c r="Q305" s="85"/>
      <c r="R305" s="85"/>
      <c r="S305" s="85"/>
      <c r="T305" s="62">
        <v>14</v>
      </c>
      <c r="U305" s="62">
        <v>2000</v>
      </c>
      <c r="V305" s="62">
        <v>1</v>
      </c>
      <c r="W305" s="62"/>
      <c r="X305" s="67"/>
      <c r="Y305" s="62"/>
      <c r="Z305" s="62"/>
      <c r="AA305" s="62"/>
      <c r="AB305" s="62"/>
      <c r="AC305" s="63"/>
      <c r="AD305" s="62"/>
      <c r="AE305" s="62"/>
      <c r="AF305" s="63"/>
      <c r="AG305" s="62"/>
      <c r="AH305" s="62"/>
      <c r="AI305" s="63"/>
    </row>
    <row r="306" spans="1:35" ht="31.95" customHeight="1">
      <c r="A306" s="64">
        <v>305</v>
      </c>
      <c r="B306" s="62" t="s">
        <v>1914</v>
      </c>
      <c r="C306" s="62" t="s">
        <v>1952</v>
      </c>
      <c r="D306" s="62" t="s">
        <v>1953</v>
      </c>
      <c r="E306" s="62" t="s">
        <v>105</v>
      </c>
      <c r="F306" s="62" t="s">
        <v>136</v>
      </c>
      <c r="G306" s="62">
        <v>1</v>
      </c>
      <c r="H306" s="62" t="s">
        <v>1952</v>
      </c>
      <c r="I306" s="62" t="s">
        <v>1953</v>
      </c>
      <c r="J306" s="62" t="s">
        <v>115</v>
      </c>
      <c r="K306" s="62" t="s">
        <v>1911</v>
      </c>
      <c r="L306" s="62" t="s">
        <v>1912</v>
      </c>
      <c r="M306" s="63">
        <v>1.389</v>
      </c>
      <c r="N306" s="63">
        <v>0</v>
      </c>
      <c r="O306" s="63">
        <f t="shared" si="6"/>
        <v>1.389</v>
      </c>
      <c r="P306" s="85"/>
      <c r="Q306" s="85"/>
      <c r="R306" s="85"/>
      <c r="S306" s="85"/>
      <c r="T306" s="62">
        <v>1</v>
      </c>
      <c r="U306" s="62">
        <v>1</v>
      </c>
      <c r="V306" s="62">
        <v>1</v>
      </c>
      <c r="W306" s="62"/>
      <c r="X306" s="67"/>
      <c r="Y306" s="62"/>
      <c r="Z306" s="62"/>
      <c r="AA306" s="62"/>
      <c r="AB306" s="62"/>
      <c r="AC306" s="63"/>
      <c r="AD306" s="62"/>
      <c r="AE306" s="62"/>
      <c r="AF306" s="63"/>
      <c r="AG306" s="62"/>
      <c r="AH306" s="62"/>
      <c r="AI306" s="63"/>
    </row>
    <row r="307" spans="1:35" ht="31.95" customHeight="1">
      <c r="A307" s="64">
        <v>306</v>
      </c>
      <c r="B307" s="62" t="s">
        <v>1914</v>
      </c>
      <c r="C307" s="62" t="s">
        <v>968</v>
      </c>
      <c r="D307" s="62" t="s">
        <v>969</v>
      </c>
      <c r="E307" s="62" t="s">
        <v>105</v>
      </c>
      <c r="F307" s="62" t="s">
        <v>970</v>
      </c>
      <c r="G307" s="62">
        <v>4</v>
      </c>
      <c r="H307" s="62" t="s">
        <v>968</v>
      </c>
      <c r="I307" s="62" t="s">
        <v>971</v>
      </c>
      <c r="J307" s="62" t="s">
        <v>138</v>
      </c>
      <c r="K307" s="62" t="s">
        <v>972</v>
      </c>
      <c r="L307" s="62" t="s">
        <v>973</v>
      </c>
      <c r="M307" s="63">
        <v>0.11799999999999999</v>
      </c>
      <c r="N307" s="63">
        <v>0</v>
      </c>
      <c r="O307" s="63">
        <f t="shared" si="6"/>
        <v>0.47199999999999998</v>
      </c>
      <c r="P307" s="85"/>
      <c r="Q307" s="85"/>
      <c r="R307" s="85"/>
      <c r="S307" s="85"/>
      <c r="T307" s="62">
        <v>21</v>
      </c>
      <c r="U307" s="62">
        <v>10000</v>
      </c>
      <c r="V307" s="62"/>
      <c r="W307" s="62"/>
      <c r="X307" s="67"/>
      <c r="Y307" s="62"/>
      <c r="Z307" s="62"/>
      <c r="AA307" s="62"/>
      <c r="AB307" s="62"/>
      <c r="AC307" s="63"/>
      <c r="AD307" s="62"/>
      <c r="AE307" s="62"/>
      <c r="AF307" s="63"/>
      <c r="AG307" s="62"/>
      <c r="AH307" s="62"/>
      <c r="AI307" s="63"/>
    </row>
    <row r="308" spans="1:35" ht="31.95" customHeight="1">
      <c r="A308" s="64">
        <v>307</v>
      </c>
      <c r="B308" s="62" t="s">
        <v>1914</v>
      </c>
      <c r="C308" s="62" t="s">
        <v>1954</v>
      </c>
      <c r="D308" s="62" t="s">
        <v>1955</v>
      </c>
      <c r="E308" s="62" t="s">
        <v>105</v>
      </c>
      <c r="F308" s="62" t="s">
        <v>970</v>
      </c>
      <c r="G308" s="62">
        <v>14</v>
      </c>
      <c r="H308" s="62" t="s">
        <v>1954</v>
      </c>
      <c r="I308" s="62" t="s">
        <v>1955</v>
      </c>
      <c r="J308" s="62" t="s">
        <v>138</v>
      </c>
      <c r="K308" s="62" t="s">
        <v>978</v>
      </c>
      <c r="L308" s="62" t="s">
        <v>979</v>
      </c>
      <c r="M308" s="63">
        <v>0.13</v>
      </c>
      <c r="N308" s="63">
        <v>0</v>
      </c>
      <c r="O308" s="63">
        <f t="shared" si="6"/>
        <v>1.82</v>
      </c>
      <c r="P308" s="85"/>
      <c r="Q308" s="85"/>
      <c r="R308" s="85"/>
      <c r="S308" s="85"/>
      <c r="T308" s="62">
        <v>30</v>
      </c>
      <c r="U308" s="62">
        <v>5000</v>
      </c>
      <c r="V308" s="62"/>
      <c r="W308" s="62"/>
      <c r="X308" s="67"/>
      <c r="Y308" s="62" t="s">
        <v>150</v>
      </c>
      <c r="Z308" s="62"/>
      <c r="AA308" s="62"/>
      <c r="AB308" s="62"/>
      <c r="AC308" s="63"/>
      <c r="AD308" s="62"/>
      <c r="AE308" s="62"/>
      <c r="AF308" s="63"/>
      <c r="AG308" s="62"/>
      <c r="AH308" s="62"/>
      <c r="AI308" s="63"/>
    </row>
    <row r="309" spans="1:35" ht="31.95" customHeight="1">
      <c r="A309" s="64">
        <v>308</v>
      </c>
      <c r="B309" s="62" t="s">
        <v>1914</v>
      </c>
      <c r="C309" s="62" t="s">
        <v>1956</v>
      </c>
      <c r="D309" s="62" t="s">
        <v>1957</v>
      </c>
      <c r="E309" s="62" t="s">
        <v>105</v>
      </c>
      <c r="F309" s="62" t="s">
        <v>970</v>
      </c>
      <c r="G309" s="62">
        <v>4</v>
      </c>
      <c r="H309" s="62" t="s">
        <v>1956</v>
      </c>
      <c r="I309" s="62" t="s">
        <v>1958</v>
      </c>
      <c r="J309" s="62" t="s">
        <v>936</v>
      </c>
      <c r="K309" s="62" t="s">
        <v>1959</v>
      </c>
      <c r="L309" s="62" t="s">
        <v>973</v>
      </c>
      <c r="M309" s="63">
        <v>8.5000000000000006E-2</v>
      </c>
      <c r="N309" s="63">
        <v>0</v>
      </c>
      <c r="O309" s="63">
        <f t="shared" si="6"/>
        <v>0.34</v>
      </c>
      <c r="P309" s="85"/>
      <c r="Q309" s="85"/>
      <c r="R309" s="85"/>
      <c r="S309" s="85"/>
      <c r="T309" s="62">
        <v>21</v>
      </c>
      <c r="U309" s="62">
        <v>5000</v>
      </c>
      <c r="V309" s="62">
        <v>5000</v>
      </c>
      <c r="W309" s="62"/>
      <c r="X309" s="67"/>
      <c r="Y309" s="62"/>
      <c r="Z309" s="62"/>
      <c r="AA309" s="62"/>
      <c r="AB309" s="62"/>
      <c r="AC309" s="63"/>
      <c r="AD309" s="62"/>
      <c r="AE309" s="62"/>
      <c r="AF309" s="63"/>
      <c r="AG309" s="62"/>
      <c r="AH309" s="62"/>
      <c r="AI309" s="63"/>
    </row>
    <row r="310" spans="1:35" ht="31.95" customHeight="1">
      <c r="A310" s="64">
        <v>309</v>
      </c>
      <c r="B310" s="62" t="s">
        <v>1914</v>
      </c>
      <c r="C310" s="62" t="s">
        <v>1960</v>
      </c>
      <c r="D310" s="62" t="s">
        <v>1961</v>
      </c>
      <c r="E310" s="62" t="s">
        <v>105</v>
      </c>
      <c r="F310" s="62" t="s">
        <v>970</v>
      </c>
      <c r="G310" s="62">
        <v>3</v>
      </c>
      <c r="H310" s="62" t="s">
        <v>1960</v>
      </c>
      <c r="I310" s="62" t="s">
        <v>1962</v>
      </c>
      <c r="J310" s="62" t="s">
        <v>936</v>
      </c>
      <c r="K310" s="62" t="s">
        <v>1959</v>
      </c>
      <c r="L310" s="62" t="s">
        <v>973</v>
      </c>
      <c r="M310" s="63">
        <v>0.14000000000000001</v>
      </c>
      <c r="N310" s="63">
        <v>0</v>
      </c>
      <c r="O310" s="63">
        <f t="shared" si="6"/>
        <v>0.42000000000000004</v>
      </c>
      <c r="P310" s="85"/>
      <c r="Q310" s="85"/>
      <c r="R310" s="85"/>
      <c r="S310" s="85"/>
      <c r="T310" s="62">
        <v>14</v>
      </c>
      <c r="U310" s="62">
        <v>10000</v>
      </c>
      <c r="V310" s="62">
        <v>1000</v>
      </c>
      <c r="W310" s="62"/>
      <c r="X310" s="67"/>
      <c r="Y310" s="62"/>
      <c r="Z310" s="62"/>
      <c r="AA310" s="62"/>
      <c r="AB310" s="62"/>
      <c r="AC310" s="63"/>
      <c r="AD310" s="62"/>
      <c r="AE310" s="62"/>
      <c r="AF310" s="63"/>
      <c r="AG310" s="62"/>
      <c r="AH310" s="62"/>
      <c r="AI310" s="63"/>
    </row>
    <row r="311" spans="1:35" ht="31.95" customHeight="1">
      <c r="A311" s="64">
        <v>310</v>
      </c>
      <c r="B311" s="62" t="s">
        <v>1914</v>
      </c>
      <c r="C311" s="62" t="s">
        <v>1963</v>
      </c>
      <c r="D311" s="62" t="s">
        <v>1964</v>
      </c>
      <c r="E311" s="62" t="s">
        <v>105</v>
      </c>
      <c r="F311" s="62" t="s">
        <v>970</v>
      </c>
      <c r="G311" s="62">
        <v>3</v>
      </c>
      <c r="H311" s="62" t="s">
        <v>1963</v>
      </c>
      <c r="I311" s="62" t="s">
        <v>1965</v>
      </c>
      <c r="J311" s="62" t="s">
        <v>936</v>
      </c>
      <c r="K311" s="62" t="s">
        <v>1959</v>
      </c>
      <c r="L311" s="62" t="s">
        <v>973</v>
      </c>
      <c r="M311" s="71">
        <v>1.2</v>
      </c>
      <c r="N311" s="71">
        <v>0</v>
      </c>
      <c r="O311" s="71">
        <f t="shared" si="6"/>
        <v>3.5999999999999996</v>
      </c>
      <c r="P311" s="85"/>
      <c r="Q311" s="85"/>
      <c r="R311" s="85"/>
      <c r="S311" s="85"/>
      <c r="T311" s="62">
        <v>14</v>
      </c>
      <c r="U311" s="62">
        <v>1000</v>
      </c>
      <c r="V311" s="62">
        <v>1000</v>
      </c>
      <c r="W311" s="62"/>
      <c r="X311" s="67"/>
      <c r="Y311" s="62"/>
      <c r="Z311" s="62"/>
      <c r="AA311" s="62"/>
      <c r="AB311" s="62"/>
      <c r="AC311" s="63"/>
      <c r="AD311" s="62"/>
      <c r="AE311" s="62"/>
      <c r="AF311" s="63"/>
      <c r="AG311" s="62"/>
      <c r="AH311" s="62"/>
      <c r="AI311" s="63"/>
    </row>
    <row r="312" spans="1:35" ht="31.95" customHeight="1">
      <c r="A312" s="64">
        <v>311</v>
      </c>
      <c r="B312" s="62" t="s">
        <v>1914</v>
      </c>
      <c r="C312" s="62" t="s">
        <v>1966</v>
      </c>
      <c r="D312" s="62" t="s">
        <v>2125</v>
      </c>
      <c r="E312" s="62" t="s">
        <v>105</v>
      </c>
      <c r="F312" s="62" t="s">
        <v>989</v>
      </c>
      <c r="G312" s="62">
        <v>1</v>
      </c>
      <c r="H312" s="62" t="s">
        <v>1966</v>
      </c>
      <c r="I312" s="62" t="s">
        <v>1967</v>
      </c>
      <c r="J312" s="62" t="s">
        <v>983</v>
      </c>
      <c r="K312" s="62" t="s">
        <v>1968</v>
      </c>
      <c r="L312" s="62" t="s">
        <v>1969</v>
      </c>
      <c r="M312" s="71">
        <v>60</v>
      </c>
      <c r="N312" s="71">
        <v>0</v>
      </c>
      <c r="O312" s="71">
        <f t="shared" si="6"/>
        <v>60</v>
      </c>
      <c r="P312" s="89">
        <v>10</v>
      </c>
      <c r="Q312" s="85"/>
      <c r="R312" s="85"/>
      <c r="S312" s="85"/>
      <c r="T312" s="62">
        <v>28</v>
      </c>
      <c r="U312" s="62">
        <v>200</v>
      </c>
      <c r="V312" s="62">
        <v>1</v>
      </c>
      <c r="W312" s="62"/>
      <c r="X312" s="67"/>
      <c r="Y312" s="62"/>
      <c r="Z312" s="62"/>
      <c r="AA312" s="62"/>
      <c r="AB312" s="62"/>
      <c r="AC312" s="63"/>
      <c r="AD312" s="62"/>
      <c r="AE312" s="62"/>
      <c r="AF312" s="63"/>
      <c r="AG312" s="62"/>
      <c r="AH312" s="62"/>
      <c r="AI312" s="63"/>
    </row>
    <row r="313" spans="1:35" ht="31.95" customHeight="1">
      <c r="A313" s="64">
        <v>312</v>
      </c>
      <c r="B313" s="62" t="s">
        <v>1914</v>
      </c>
      <c r="C313" s="62" t="s">
        <v>1970</v>
      </c>
      <c r="D313" s="62" t="s">
        <v>1971</v>
      </c>
      <c r="E313" s="62" t="s">
        <v>105</v>
      </c>
      <c r="F313" s="62" t="s">
        <v>989</v>
      </c>
      <c r="G313" s="62">
        <v>1</v>
      </c>
      <c r="H313" s="62" t="s">
        <v>1970</v>
      </c>
      <c r="I313" s="62" t="s">
        <v>1971</v>
      </c>
      <c r="J313" s="62" t="s">
        <v>983</v>
      </c>
      <c r="K313" s="62" t="s">
        <v>1968</v>
      </c>
      <c r="L313" s="62" t="s">
        <v>1969</v>
      </c>
      <c r="M313" s="71">
        <v>33</v>
      </c>
      <c r="N313" s="71">
        <v>0</v>
      </c>
      <c r="O313" s="71">
        <f t="shared" si="6"/>
        <v>33</v>
      </c>
      <c r="P313" s="89">
        <v>5</v>
      </c>
      <c r="Q313" s="85"/>
      <c r="R313" s="85"/>
      <c r="S313" s="85"/>
      <c r="T313" s="62">
        <v>28</v>
      </c>
      <c r="U313" s="62">
        <v>200</v>
      </c>
      <c r="V313" s="62">
        <v>1</v>
      </c>
      <c r="W313" s="62"/>
      <c r="X313" s="67"/>
      <c r="Y313" s="62"/>
      <c r="Z313" s="62"/>
      <c r="AA313" s="62"/>
      <c r="AB313" s="62"/>
      <c r="AC313" s="63"/>
      <c r="AD313" s="62"/>
      <c r="AE313" s="62"/>
      <c r="AF313" s="63"/>
      <c r="AG313" s="62"/>
      <c r="AH313" s="62"/>
      <c r="AI313" s="63"/>
    </row>
    <row r="314" spans="1:35" ht="31.95" customHeight="1">
      <c r="A314" s="64">
        <v>313</v>
      </c>
      <c r="B314" s="62" t="s">
        <v>1914</v>
      </c>
      <c r="C314" s="62" t="s">
        <v>1972</v>
      </c>
      <c r="D314" s="62" t="s">
        <v>1973</v>
      </c>
      <c r="E314" s="62" t="s">
        <v>105</v>
      </c>
      <c r="F314" s="62" t="s">
        <v>970</v>
      </c>
      <c r="G314" s="62">
        <v>1</v>
      </c>
      <c r="H314" s="62" t="s">
        <v>1972</v>
      </c>
      <c r="I314" s="62" t="s">
        <v>1973</v>
      </c>
      <c r="J314" s="62" t="s">
        <v>1974</v>
      </c>
      <c r="K314" s="62" t="s">
        <v>1968</v>
      </c>
      <c r="L314" s="62" t="s">
        <v>1969</v>
      </c>
      <c r="M314" s="71">
        <v>1.9</v>
      </c>
      <c r="N314" s="71">
        <v>0</v>
      </c>
      <c r="O314" s="71">
        <f t="shared" si="6"/>
        <v>1.9</v>
      </c>
      <c r="P314" s="85"/>
      <c r="Q314" s="85"/>
      <c r="R314" s="85"/>
      <c r="S314" s="85"/>
      <c r="T314" s="62">
        <v>28</v>
      </c>
      <c r="U314" s="62"/>
      <c r="V314" s="62"/>
      <c r="W314" s="62"/>
      <c r="X314" s="67"/>
      <c r="Y314" s="62" t="s">
        <v>150</v>
      </c>
      <c r="Z314" s="62"/>
      <c r="AA314" s="62"/>
      <c r="AB314" s="62"/>
      <c r="AC314" s="63"/>
      <c r="AD314" s="62"/>
      <c r="AE314" s="62"/>
      <c r="AF314" s="63"/>
      <c r="AG314" s="62"/>
      <c r="AH314" s="62"/>
      <c r="AI314" s="63"/>
    </row>
    <row r="315" spans="1:35" ht="31.95" customHeight="1">
      <c r="A315" s="64">
        <v>314</v>
      </c>
      <c r="B315" s="62" t="s">
        <v>1914</v>
      </c>
      <c r="C315" s="62" t="s">
        <v>1975</v>
      </c>
      <c r="D315" s="62" t="s">
        <v>1976</v>
      </c>
      <c r="E315" s="62" t="s">
        <v>105</v>
      </c>
      <c r="F315" s="62" t="s">
        <v>989</v>
      </c>
      <c r="G315" s="62">
        <v>1</v>
      </c>
      <c r="H315" s="62" t="s">
        <v>1975</v>
      </c>
      <c r="I315" s="62" t="s">
        <v>1976</v>
      </c>
      <c r="J315" s="62" t="s">
        <v>1977</v>
      </c>
      <c r="K315" s="62" t="s">
        <v>1978</v>
      </c>
      <c r="L315" s="62" t="s">
        <v>1979</v>
      </c>
      <c r="M315" s="71">
        <v>7.9203999999999999</v>
      </c>
      <c r="N315" s="71">
        <v>0</v>
      </c>
      <c r="O315" s="71">
        <f t="shared" si="6"/>
        <v>7.9203999999999999</v>
      </c>
      <c r="P315" s="85"/>
      <c r="Q315" s="85"/>
      <c r="R315" s="85"/>
      <c r="S315" s="85"/>
      <c r="T315" s="62">
        <v>28</v>
      </c>
      <c r="U315" s="62">
        <v>1000</v>
      </c>
      <c r="V315" s="62">
        <v>100</v>
      </c>
      <c r="W315" s="62"/>
      <c r="X315" s="67"/>
      <c r="Y315" s="62"/>
      <c r="Z315" s="62"/>
      <c r="AA315" s="62"/>
      <c r="AB315" s="62"/>
      <c r="AC315" s="63"/>
      <c r="AD315" s="62"/>
      <c r="AE315" s="62"/>
      <c r="AF315" s="63"/>
      <c r="AG315" s="62"/>
      <c r="AH315" s="62"/>
      <c r="AI315" s="63"/>
    </row>
    <row r="316" spans="1:35" ht="31.95" customHeight="1">
      <c r="A316" s="64">
        <v>315</v>
      </c>
      <c r="B316" s="62" t="s">
        <v>1914</v>
      </c>
      <c r="C316" s="62" t="s">
        <v>1980</v>
      </c>
      <c r="D316" s="62" t="s">
        <v>1981</v>
      </c>
      <c r="E316" s="62" t="s">
        <v>105</v>
      </c>
      <c r="F316" s="62" t="s">
        <v>970</v>
      </c>
      <c r="G316" s="62">
        <v>1</v>
      </c>
      <c r="H316" s="62" t="s">
        <v>1980</v>
      </c>
      <c r="I316" s="62" t="s">
        <v>1981</v>
      </c>
      <c r="J316" s="62" t="s">
        <v>1977</v>
      </c>
      <c r="K316" s="62" t="s">
        <v>1978</v>
      </c>
      <c r="L316" s="62" t="s">
        <v>1979</v>
      </c>
      <c r="M316" s="71">
        <v>4.1326999999999998</v>
      </c>
      <c r="N316" s="71">
        <v>0</v>
      </c>
      <c r="O316" s="71">
        <f t="shared" si="6"/>
        <v>4.1326999999999998</v>
      </c>
      <c r="P316" s="85"/>
      <c r="Q316" s="85"/>
      <c r="R316" s="85"/>
      <c r="S316" s="85"/>
      <c r="T316" s="62">
        <v>28</v>
      </c>
      <c r="U316" s="62">
        <v>1000</v>
      </c>
      <c r="V316" s="62">
        <v>100</v>
      </c>
      <c r="W316" s="62"/>
      <c r="X316" s="67"/>
      <c r="Y316" s="62"/>
      <c r="Z316" s="62"/>
      <c r="AA316" s="62"/>
      <c r="AB316" s="62"/>
      <c r="AC316" s="63"/>
      <c r="AD316" s="62"/>
      <c r="AE316" s="62"/>
      <c r="AF316" s="63"/>
      <c r="AG316" s="62"/>
      <c r="AH316" s="62"/>
      <c r="AI316" s="63"/>
    </row>
    <row r="317" spans="1:35" ht="31.95" customHeight="1">
      <c r="A317" s="64">
        <v>316</v>
      </c>
      <c r="B317" s="62" t="s">
        <v>1914</v>
      </c>
      <c r="C317" s="62" t="s">
        <v>1982</v>
      </c>
      <c r="D317" s="62" t="s">
        <v>1983</v>
      </c>
      <c r="E317" s="62" t="s">
        <v>105</v>
      </c>
      <c r="F317" s="62" t="s">
        <v>970</v>
      </c>
      <c r="G317" s="62">
        <v>1</v>
      </c>
      <c r="H317" s="62" t="s">
        <v>1982</v>
      </c>
      <c r="I317" s="62" t="s">
        <v>1983</v>
      </c>
      <c r="J317" s="62" t="s">
        <v>1977</v>
      </c>
      <c r="K317" s="62" t="s">
        <v>1978</v>
      </c>
      <c r="L317" s="62" t="s">
        <v>1979</v>
      </c>
      <c r="M317" s="71">
        <v>4.1326999999999998</v>
      </c>
      <c r="N317" s="71">
        <v>0</v>
      </c>
      <c r="O317" s="71">
        <f t="shared" si="6"/>
        <v>4.1326999999999998</v>
      </c>
      <c r="P317" s="85"/>
      <c r="Q317" s="85"/>
      <c r="R317" s="85"/>
      <c r="S317" s="85"/>
      <c r="T317" s="62">
        <v>28</v>
      </c>
      <c r="U317" s="62">
        <v>1000</v>
      </c>
      <c r="V317" s="62">
        <v>100</v>
      </c>
      <c r="W317" s="62"/>
      <c r="X317" s="67"/>
      <c r="Y317" s="62"/>
      <c r="Z317" s="62"/>
      <c r="AA317" s="62"/>
      <c r="AB317" s="62"/>
      <c r="AC317" s="63"/>
      <c r="AD317" s="62"/>
      <c r="AE317" s="62"/>
      <c r="AF317" s="63"/>
      <c r="AG317" s="62"/>
      <c r="AH317" s="62"/>
      <c r="AI317" s="63"/>
    </row>
    <row r="318" spans="1:35" ht="31.95" customHeight="1">
      <c r="A318" s="64">
        <v>317</v>
      </c>
      <c r="B318" s="62" t="s">
        <v>1914</v>
      </c>
      <c r="C318" s="62" t="s">
        <v>1984</v>
      </c>
      <c r="D318" s="62" t="s">
        <v>1985</v>
      </c>
      <c r="E318" s="62" t="s">
        <v>105</v>
      </c>
      <c r="F318" s="62" t="s">
        <v>989</v>
      </c>
      <c r="G318" s="62">
        <v>3</v>
      </c>
      <c r="H318" s="62" t="s">
        <v>1984</v>
      </c>
      <c r="I318" s="62" t="s">
        <v>1986</v>
      </c>
      <c r="J318" s="62" t="s">
        <v>1987</v>
      </c>
      <c r="K318" s="62" t="s">
        <v>1988</v>
      </c>
      <c r="L318" s="62" t="s">
        <v>1989</v>
      </c>
      <c r="M318" s="66">
        <v>0.68200000000000005</v>
      </c>
      <c r="N318" s="63">
        <v>0</v>
      </c>
      <c r="O318" s="63">
        <f t="shared" si="6"/>
        <v>2.0460000000000003</v>
      </c>
      <c r="P318" s="85"/>
      <c r="Q318" s="85"/>
      <c r="R318" s="85"/>
      <c r="S318" s="85"/>
      <c r="T318" s="62">
        <v>14</v>
      </c>
      <c r="U318" s="62">
        <v>500</v>
      </c>
      <c r="V318" s="62">
        <v>500</v>
      </c>
      <c r="W318" s="62"/>
      <c r="X318" s="67"/>
      <c r="Y318" s="62" t="s">
        <v>150</v>
      </c>
      <c r="Z318" s="62"/>
      <c r="AA318" s="62"/>
      <c r="AB318" s="62"/>
      <c r="AC318" s="63"/>
      <c r="AD318" s="62"/>
      <c r="AE318" s="62"/>
      <c r="AF318" s="63"/>
      <c r="AG318" s="62"/>
      <c r="AH318" s="62"/>
      <c r="AI318" s="63"/>
    </row>
    <row r="319" spans="1:35" ht="31.95" customHeight="1">
      <c r="A319" s="64">
        <v>318</v>
      </c>
      <c r="B319" s="62" t="s">
        <v>1914</v>
      </c>
      <c r="C319" s="62" t="s">
        <v>1990</v>
      </c>
      <c r="D319" s="62" t="s">
        <v>1991</v>
      </c>
      <c r="E319" s="62" t="s">
        <v>105</v>
      </c>
      <c r="F319" s="62" t="s">
        <v>929</v>
      </c>
      <c r="G319" s="62">
        <v>2</v>
      </c>
      <c r="H319" s="62" t="s">
        <v>1990</v>
      </c>
      <c r="I319" s="62" t="s">
        <v>1991</v>
      </c>
      <c r="J319" s="62" t="s">
        <v>1977</v>
      </c>
      <c r="K319" s="62" t="s">
        <v>1992</v>
      </c>
      <c r="L319" s="62" t="s">
        <v>1993</v>
      </c>
      <c r="M319" s="63">
        <v>0.25</v>
      </c>
      <c r="N319" s="63">
        <v>0</v>
      </c>
      <c r="O319" s="63">
        <f t="shared" si="6"/>
        <v>0.5</v>
      </c>
      <c r="P319" s="85"/>
      <c r="Q319" s="85"/>
      <c r="R319" s="85"/>
      <c r="S319" s="85"/>
      <c r="T319" s="62">
        <v>21</v>
      </c>
      <c r="U319" s="62">
        <v>2000</v>
      </c>
      <c r="V319" s="62">
        <v>200</v>
      </c>
      <c r="W319" s="62"/>
      <c r="X319" s="67"/>
      <c r="Y319" s="62"/>
      <c r="Z319" s="62"/>
      <c r="AA319" s="62"/>
      <c r="AB319" s="62"/>
      <c r="AC319" s="63"/>
      <c r="AD319" s="62"/>
      <c r="AE319" s="62"/>
      <c r="AF319" s="63"/>
      <c r="AG319" s="62"/>
      <c r="AH319" s="62"/>
      <c r="AI319" s="63"/>
    </row>
    <row r="320" spans="1:35" ht="31.95" customHeight="1">
      <c r="A320" s="64">
        <v>319</v>
      </c>
      <c r="B320" s="62" t="s">
        <v>1914</v>
      </c>
      <c r="C320" s="62" t="s">
        <v>1994</v>
      </c>
      <c r="D320" s="62" t="s">
        <v>1995</v>
      </c>
      <c r="E320" s="62" t="s">
        <v>105</v>
      </c>
      <c r="F320" s="62" t="s">
        <v>989</v>
      </c>
      <c r="G320" s="62">
        <v>1</v>
      </c>
      <c r="H320" s="62" t="s">
        <v>1994</v>
      </c>
      <c r="I320" s="62" t="s">
        <v>1995</v>
      </c>
      <c r="J320" s="62" t="s">
        <v>1977</v>
      </c>
      <c r="K320" s="62" t="s">
        <v>1988</v>
      </c>
      <c r="L320" s="62" t="s">
        <v>1989</v>
      </c>
      <c r="M320" s="63">
        <v>0.12</v>
      </c>
      <c r="N320" s="63">
        <v>0</v>
      </c>
      <c r="O320" s="63">
        <f t="shared" si="6"/>
        <v>0.12</v>
      </c>
      <c r="P320" s="85"/>
      <c r="Q320" s="85"/>
      <c r="R320" s="85"/>
      <c r="S320" s="85"/>
      <c r="T320" s="62">
        <v>7</v>
      </c>
      <c r="U320" s="62">
        <v>5000</v>
      </c>
      <c r="V320" s="62">
        <v>500</v>
      </c>
      <c r="W320" s="62"/>
      <c r="X320" s="67"/>
      <c r="Y320" s="62"/>
      <c r="Z320" s="62"/>
      <c r="AA320" s="62"/>
      <c r="AB320" s="62"/>
      <c r="AC320" s="63"/>
      <c r="AD320" s="62"/>
      <c r="AE320" s="62"/>
      <c r="AF320" s="63"/>
      <c r="AG320" s="62"/>
      <c r="AH320" s="62"/>
      <c r="AI320" s="63"/>
    </row>
    <row r="321" spans="1:35" ht="31.95" customHeight="1">
      <c r="A321" s="72"/>
      <c r="B321" s="72"/>
      <c r="C321" s="59"/>
      <c r="D321" s="59"/>
      <c r="E321" s="59"/>
      <c r="F321" s="59"/>
      <c r="G321" s="59"/>
      <c r="H321" s="59"/>
      <c r="I321" s="73" t="s">
        <v>1996</v>
      </c>
      <c r="J321" s="73"/>
      <c r="K321" s="73"/>
      <c r="L321" s="73"/>
      <c r="M321" s="73"/>
      <c r="N321" s="73"/>
      <c r="O321" s="73">
        <f>SUM(O289:O320)</f>
        <v>416.47979999999995</v>
      </c>
      <c r="P321" s="86"/>
      <c r="Q321" s="86"/>
      <c r="R321" s="86"/>
      <c r="S321" s="86"/>
      <c r="T321" s="59"/>
      <c r="U321" s="59"/>
      <c r="V321" s="59"/>
      <c r="W321" s="62"/>
      <c r="X321" s="59"/>
      <c r="Y321" s="59"/>
      <c r="Z321" s="59"/>
      <c r="AA321" s="59"/>
      <c r="AB321" s="2"/>
      <c r="AC321" s="32"/>
      <c r="AD321" s="59"/>
      <c r="AE321" s="2"/>
      <c r="AF321" s="32"/>
      <c r="AG321" s="59"/>
      <c r="AH321" s="2"/>
      <c r="AI321" s="32"/>
    </row>
    <row r="322" spans="1:35" ht="22.05" customHeight="1">
      <c r="A322" s="72"/>
      <c r="B322" s="72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86"/>
      <c r="Q322" s="86"/>
      <c r="R322" s="86"/>
      <c r="S322" s="86"/>
      <c r="T322" s="59"/>
      <c r="U322" s="59"/>
      <c r="V322" s="59"/>
      <c r="W322" s="59"/>
      <c r="X322" s="59"/>
      <c r="Y322" s="59"/>
      <c r="Z322" s="59"/>
      <c r="AA322" s="59"/>
      <c r="AB322" s="2"/>
      <c r="AC322" s="32"/>
      <c r="AD322" s="59"/>
      <c r="AE322" s="2"/>
      <c r="AF322" s="32"/>
      <c r="AG322" s="59"/>
      <c r="AH322" s="2"/>
      <c r="AI322" s="32"/>
    </row>
    <row r="323" spans="1:35" ht="22.05" customHeight="1">
      <c r="A323" s="72"/>
      <c r="B323" s="72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86"/>
      <c r="Q323" s="86"/>
      <c r="R323" s="86"/>
      <c r="S323" s="86"/>
      <c r="T323" s="59"/>
      <c r="U323" s="59"/>
      <c r="V323" s="59"/>
      <c r="W323" s="59"/>
      <c r="X323" s="59"/>
      <c r="Y323" s="59"/>
      <c r="Z323" s="59"/>
      <c r="AA323" s="59"/>
      <c r="AB323" s="2"/>
      <c r="AC323" s="32"/>
      <c r="AD323" s="59"/>
      <c r="AE323" s="2"/>
      <c r="AF323" s="32"/>
      <c r="AG323" s="59"/>
      <c r="AH323" s="2"/>
      <c r="AI323" s="32"/>
    </row>
    <row r="324" spans="1:35" ht="22.05" customHeight="1">
      <c r="A324" s="72"/>
      <c r="B324" s="72"/>
      <c r="C324" s="59"/>
      <c r="D324" s="59"/>
      <c r="E324" s="59"/>
      <c r="F324" s="59"/>
      <c r="G324" s="59"/>
      <c r="H324" s="221" t="s">
        <v>1997</v>
      </c>
      <c r="I324" s="221"/>
      <c r="J324" s="221"/>
      <c r="K324" s="221"/>
      <c r="L324" s="221"/>
      <c r="M324" s="221"/>
      <c r="N324" s="221"/>
      <c r="O324" s="59"/>
      <c r="P324" s="86"/>
      <c r="Q324" s="86"/>
      <c r="R324" s="86"/>
      <c r="S324" s="86"/>
      <c r="T324" s="59"/>
      <c r="U324" s="59"/>
      <c r="V324" s="59"/>
      <c r="W324" s="59"/>
      <c r="X324" s="59"/>
      <c r="Y324" s="59"/>
      <c r="Z324" s="59"/>
      <c r="AA324" s="59"/>
      <c r="AB324" s="2"/>
      <c r="AC324" s="32"/>
      <c r="AD324" s="59"/>
      <c r="AE324" s="2"/>
      <c r="AF324" s="32"/>
      <c r="AG324" s="59"/>
      <c r="AH324" s="2"/>
      <c r="AI324" s="32"/>
    </row>
    <row r="325" spans="1:35" ht="22.05" customHeight="1">
      <c r="A325" s="72"/>
      <c r="B325" s="72"/>
      <c r="C325" s="59"/>
      <c r="D325" s="59"/>
      <c r="E325" s="59"/>
      <c r="F325" s="59"/>
      <c r="G325" s="59"/>
      <c r="H325" s="40" t="s">
        <v>1998</v>
      </c>
      <c r="I325" s="40" t="s">
        <v>75</v>
      </c>
      <c r="J325" s="40" t="s">
        <v>1999</v>
      </c>
      <c r="K325" s="40" t="s">
        <v>2000</v>
      </c>
      <c r="L325" s="40" t="s">
        <v>2001</v>
      </c>
      <c r="M325" s="40" t="s">
        <v>86</v>
      </c>
      <c r="N325" s="40" t="s">
        <v>15</v>
      </c>
      <c r="O325" s="59"/>
      <c r="P325" s="86"/>
      <c r="Q325" s="86"/>
      <c r="R325" s="86"/>
      <c r="S325" s="86"/>
      <c r="T325" s="59"/>
      <c r="U325" s="59"/>
      <c r="V325" s="59"/>
      <c r="W325" s="59"/>
      <c r="X325" s="59"/>
      <c r="Y325" s="59"/>
      <c r="Z325" s="59"/>
      <c r="AA325" s="59"/>
      <c r="AB325" s="2"/>
      <c r="AC325" s="32"/>
      <c r="AD325" s="59"/>
      <c r="AE325" s="2"/>
      <c r="AF325" s="32"/>
      <c r="AG325" s="59"/>
      <c r="AH325" s="2"/>
      <c r="AI325" s="32"/>
    </row>
    <row r="326" spans="1:35" ht="22.05" customHeight="1">
      <c r="A326" s="72"/>
      <c r="B326" s="72"/>
      <c r="C326" s="59"/>
      <c r="D326" s="59"/>
      <c r="E326" s="59"/>
      <c r="F326" s="59"/>
      <c r="G326" s="59"/>
      <c r="H326" s="40" t="s">
        <v>2002</v>
      </c>
      <c r="I326" s="40" t="s">
        <v>2003</v>
      </c>
      <c r="J326" s="40">
        <v>8.1637500000000004E-4</v>
      </c>
      <c r="K326" s="40" t="s">
        <v>2004</v>
      </c>
      <c r="L326" s="40">
        <v>619.8673</v>
      </c>
      <c r="M326" s="40">
        <f t="shared" ref="M326:M341" si="7">L326*J326</f>
        <v>0.50604416703749999</v>
      </c>
      <c r="N326" s="40" t="s">
        <v>150</v>
      </c>
      <c r="O326" s="59"/>
      <c r="P326" s="86"/>
      <c r="Q326" s="86"/>
      <c r="R326" s="86"/>
      <c r="S326" s="86"/>
      <c r="T326" s="59"/>
      <c r="U326" s="59"/>
      <c r="V326" s="59"/>
      <c r="W326" s="59"/>
      <c r="X326" s="59"/>
      <c r="Y326" s="59"/>
      <c r="Z326" s="59"/>
      <c r="AA326" s="59"/>
      <c r="AB326" s="2"/>
      <c r="AC326" s="32"/>
      <c r="AD326" s="59"/>
      <c r="AE326" s="2"/>
      <c r="AF326" s="32"/>
      <c r="AG326" s="59"/>
      <c r="AH326" s="2"/>
      <c r="AI326" s="32"/>
    </row>
    <row r="327" spans="1:35" ht="22.05" customHeight="1">
      <c r="A327" s="72"/>
      <c r="B327" s="72"/>
      <c r="C327" s="59"/>
      <c r="D327" s="59"/>
      <c r="E327" s="59"/>
      <c r="F327" s="59"/>
      <c r="G327" s="59"/>
      <c r="H327" s="40" t="s">
        <v>2005</v>
      </c>
      <c r="I327" s="40" t="s">
        <v>2006</v>
      </c>
      <c r="J327" s="40">
        <v>1.723778E-3</v>
      </c>
      <c r="K327" s="40" t="s">
        <v>2004</v>
      </c>
      <c r="L327" s="40">
        <v>301.4248</v>
      </c>
      <c r="M327" s="40">
        <f t="shared" si="7"/>
        <v>0.51958943889440001</v>
      </c>
      <c r="N327" s="40" t="s">
        <v>150</v>
      </c>
      <c r="O327" s="59"/>
      <c r="P327" s="86"/>
      <c r="Q327" s="86"/>
      <c r="R327" s="86"/>
      <c r="S327" s="86"/>
      <c r="T327" s="59"/>
      <c r="U327" s="59"/>
      <c r="V327" s="59"/>
      <c r="W327" s="59"/>
      <c r="X327" s="59"/>
      <c r="Y327" s="59"/>
      <c r="Z327" s="59"/>
      <c r="AA327" s="59"/>
      <c r="AB327" s="2"/>
      <c r="AC327" s="32"/>
      <c r="AD327" s="59"/>
      <c r="AE327" s="2"/>
      <c r="AF327" s="32"/>
      <c r="AG327" s="59"/>
      <c r="AH327" s="2"/>
      <c r="AI327" s="32"/>
    </row>
    <row r="328" spans="1:35" ht="22.05" customHeight="1">
      <c r="A328" s="72"/>
      <c r="B328" s="72"/>
      <c r="C328" s="59"/>
      <c r="D328" s="59"/>
      <c r="E328" s="59"/>
      <c r="F328" s="59"/>
      <c r="G328" s="59"/>
      <c r="H328" s="40" t="s">
        <v>2007</v>
      </c>
      <c r="I328" s="40" t="s">
        <v>2008</v>
      </c>
      <c r="J328" s="40">
        <v>9.9898220999999995E-2</v>
      </c>
      <c r="K328" s="40" t="s">
        <v>2004</v>
      </c>
      <c r="L328" s="40">
        <v>265.47789999999998</v>
      </c>
      <c r="M328" s="40">
        <f t="shared" si="7"/>
        <v>26.520769924815898</v>
      </c>
      <c r="N328" s="40" t="s">
        <v>2009</v>
      </c>
      <c r="O328" s="59"/>
      <c r="P328" s="86"/>
      <c r="Q328" s="86"/>
      <c r="R328" s="86"/>
      <c r="S328" s="86"/>
      <c r="T328" s="59"/>
      <c r="U328" s="59"/>
      <c r="V328" s="59"/>
      <c r="W328" s="59"/>
      <c r="X328" s="59"/>
      <c r="Y328" s="59"/>
      <c r="Z328" s="59"/>
      <c r="AA328" s="59"/>
      <c r="AB328" s="2"/>
      <c r="AC328" s="32"/>
      <c r="AD328" s="59"/>
      <c r="AE328" s="2"/>
      <c r="AF328" s="32"/>
      <c r="AG328" s="59"/>
      <c r="AH328" s="2"/>
      <c r="AI328" s="32"/>
    </row>
    <row r="329" spans="1:35" ht="22.05" customHeight="1">
      <c r="A329" s="72"/>
      <c r="B329" s="72"/>
      <c r="C329" s="59"/>
      <c r="D329" s="59"/>
      <c r="E329" s="59"/>
      <c r="F329" s="59"/>
      <c r="G329" s="59"/>
      <c r="H329" s="40" t="s">
        <v>2010</v>
      </c>
      <c r="I329" s="40" t="s">
        <v>2011</v>
      </c>
      <c r="J329" s="40">
        <v>5.0000000000000001E-3</v>
      </c>
      <c r="K329" s="40" t="s">
        <v>2012</v>
      </c>
      <c r="L329" s="40">
        <v>15.8828</v>
      </c>
      <c r="M329" s="40">
        <f t="shared" si="7"/>
        <v>7.9413999999999998E-2</v>
      </c>
      <c r="N329" s="40" t="s">
        <v>150</v>
      </c>
      <c r="O329" s="59"/>
      <c r="P329" s="86"/>
      <c r="Q329" s="86"/>
      <c r="R329" s="86"/>
      <c r="S329" s="86"/>
      <c r="T329" s="59"/>
      <c r="U329" s="59"/>
      <c r="V329" s="59"/>
      <c r="W329" s="59"/>
      <c r="X329" s="59"/>
      <c r="Y329" s="59"/>
      <c r="Z329" s="59"/>
      <c r="AA329" s="59"/>
      <c r="AB329" s="2"/>
      <c r="AC329" s="32"/>
      <c r="AD329" s="59"/>
      <c r="AE329" s="2"/>
      <c r="AF329" s="32"/>
      <c r="AG329" s="59"/>
      <c r="AH329" s="2"/>
      <c r="AI329" s="32"/>
    </row>
    <row r="330" spans="1:35" ht="22.05" customHeight="1">
      <c r="A330" s="72"/>
      <c r="B330" s="72"/>
      <c r="C330" s="59"/>
      <c r="D330" s="59"/>
      <c r="E330" s="59"/>
      <c r="F330" s="59"/>
      <c r="G330" s="59"/>
      <c r="H330" s="40" t="s">
        <v>2013</v>
      </c>
      <c r="I330" s="40" t="s">
        <v>2014</v>
      </c>
      <c r="J330" s="40">
        <v>4.8999999999999998E-3</v>
      </c>
      <c r="K330" s="40" t="s">
        <v>2015</v>
      </c>
      <c r="L330" s="40">
        <v>6.1538000000000004</v>
      </c>
      <c r="M330" s="40">
        <f t="shared" si="7"/>
        <v>3.0153620000000003E-2</v>
      </c>
      <c r="N330" s="40" t="s">
        <v>150</v>
      </c>
      <c r="O330" s="59"/>
      <c r="P330" s="86"/>
      <c r="Q330" s="86"/>
      <c r="R330" s="86"/>
      <c r="S330" s="86"/>
      <c r="T330" s="59"/>
      <c r="U330" s="59"/>
      <c r="V330" s="59"/>
      <c r="W330" s="59"/>
      <c r="X330" s="59"/>
      <c r="Y330" s="59"/>
      <c r="Z330" s="59"/>
      <c r="AA330" s="59"/>
      <c r="AB330" s="2"/>
      <c r="AC330" s="32"/>
      <c r="AD330" s="59"/>
      <c r="AE330" s="2"/>
      <c r="AF330" s="32"/>
      <c r="AG330" s="59"/>
      <c r="AH330" s="2"/>
      <c r="AI330" s="32"/>
    </row>
    <row r="331" spans="1:35" ht="22.05" customHeight="1">
      <c r="A331" s="72"/>
      <c r="B331" s="72"/>
      <c r="C331" s="59"/>
      <c r="D331" s="59"/>
      <c r="E331" s="59"/>
      <c r="F331" s="59"/>
      <c r="G331" s="59"/>
      <c r="H331" s="40" t="s">
        <v>2016</v>
      </c>
      <c r="I331" s="40" t="s">
        <v>2017</v>
      </c>
      <c r="J331" s="40">
        <v>0.21199999999999999</v>
      </c>
      <c r="K331" s="40" t="s">
        <v>2018</v>
      </c>
      <c r="L331" s="40">
        <v>0.10440000000000001</v>
      </c>
      <c r="M331" s="40">
        <f t="shared" si="7"/>
        <v>2.2132800000000001E-2</v>
      </c>
      <c r="N331" s="40" t="s">
        <v>150</v>
      </c>
      <c r="O331" s="59"/>
      <c r="P331" s="86"/>
      <c r="Q331" s="86"/>
      <c r="R331" s="86"/>
      <c r="S331" s="86"/>
      <c r="T331" s="59"/>
      <c r="U331" s="59"/>
      <c r="V331" s="59"/>
      <c r="W331" s="59"/>
      <c r="X331" s="59"/>
      <c r="Y331" s="59"/>
      <c r="Z331" s="59"/>
      <c r="AA331" s="59"/>
      <c r="AB331" s="2"/>
      <c r="AC331" s="32"/>
      <c r="AD331" s="59"/>
      <c r="AE331" s="2"/>
      <c r="AF331" s="32"/>
      <c r="AG331" s="59"/>
      <c r="AH331" s="2"/>
      <c r="AI331" s="32"/>
    </row>
    <row r="332" spans="1:35" ht="22.05" customHeight="1">
      <c r="A332" s="72"/>
      <c r="B332" s="72"/>
      <c r="C332" s="59"/>
      <c r="D332" s="59"/>
      <c r="E332" s="59"/>
      <c r="F332" s="59"/>
      <c r="G332" s="59"/>
      <c r="H332" s="40" t="s">
        <v>2019</v>
      </c>
      <c r="I332" s="40" t="s">
        <v>2020</v>
      </c>
      <c r="J332" s="40">
        <v>9.7422680410000009</v>
      </c>
      <c r="K332" s="40" t="s">
        <v>2018</v>
      </c>
      <c r="L332" s="40">
        <v>0.31090000000000001</v>
      </c>
      <c r="M332" s="40">
        <f t="shared" si="7"/>
        <v>3.0288711339469003</v>
      </c>
      <c r="N332" s="40" t="s">
        <v>150</v>
      </c>
      <c r="O332" s="59"/>
      <c r="P332" s="86"/>
      <c r="Q332" s="86"/>
      <c r="R332" s="86"/>
      <c r="S332" s="86"/>
      <c r="T332" s="59"/>
      <c r="U332" s="59"/>
      <c r="V332" s="59"/>
      <c r="W332" s="59"/>
      <c r="X332" s="59"/>
      <c r="Y332" s="59"/>
      <c r="Z332" s="59"/>
      <c r="AA332" s="59"/>
      <c r="AB332" s="2"/>
      <c r="AC332" s="32"/>
      <c r="AD332" s="59"/>
      <c r="AE332" s="2"/>
      <c r="AF332" s="32"/>
      <c r="AG332" s="59"/>
      <c r="AH332" s="2"/>
      <c r="AI332" s="32"/>
    </row>
    <row r="333" spans="1:35" ht="22.05" customHeight="1">
      <c r="A333" s="72"/>
      <c r="B333" s="72"/>
      <c r="C333" s="59"/>
      <c r="D333" s="59"/>
      <c r="E333" s="59"/>
      <c r="F333" s="59"/>
      <c r="G333" s="59"/>
      <c r="H333" s="40" t="s">
        <v>2002</v>
      </c>
      <c r="I333" s="40" t="s">
        <v>2003</v>
      </c>
      <c r="J333" s="40">
        <v>1.47525E-3</v>
      </c>
      <c r="K333" s="40" t="s">
        <v>2004</v>
      </c>
      <c r="L333" s="40">
        <v>619.8673</v>
      </c>
      <c r="M333" s="40">
        <f t="shared" si="7"/>
        <v>0.91445923432499998</v>
      </c>
      <c r="N333" s="40" t="s">
        <v>150</v>
      </c>
      <c r="O333" s="59"/>
      <c r="P333" s="86"/>
      <c r="Q333" s="86"/>
      <c r="R333" s="86"/>
      <c r="S333" s="86"/>
      <c r="T333" s="59"/>
      <c r="U333" s="59"/>
      <c r="V333" s="59"/>
      <c r="W333" s="59"/>
      <c r="X333" s="59"/>
      <c r="Y333" s="59"/>
      <c r="Z333" s="59"/>
      <c r="AA333" s="59"/>
      <c r="AB333" s="2"/>
      <c r="AC333" s="32"/>
      <c r="AD333" s="59"/>
      <c r="AE333" s="2"/>
      <c r="AF333" s="32"/>
      <c r="AG333" s="59"/>
      <c r="AH333" s="2"/>
      <c r="AI333" s="32"/>
    </row>
    <row r="334" spans="1:35" ht="22.05" customHeight="1">
      <c r="A334" s="72"/>
      <c r="B334" s="72"/>
      <c r="C334" s="59"/>
      <c r="D334" s="59"/>
      <c r="E334" s="59"/>
      <c r="F334" s="59"/>
      <c r="G334" s="59"/>
      <c r="H334" s="40" t="s">
        <v>2016</v>
      </c>
      <c r="I334" s="40" t="s">
        <v>2017</v>
      </c>
      <c r="J334" s="40">
        <v>0.66</v>
      </c>
      <c r="K334" s="40" t="s">
        <v>2018</v>
      </c>
      <c r="L334" s="40">
        <v>0.10440000000000001</v>
      </c>
      <c r="M334" s="40">
        <f t="shared" si="7"/>
        <v>6.8904000000000007E-2</v>
      </c>
      <c r="N334" s="40" t="s">
        <v>150</v>
      </c>
      <c r="O334" s="59"/>
      <c r="P334" s="86"/>
      <c r="Q334" s="86"/>
      <c r="R334" s="86"/>
      <c r="S334" s="86"/>
      <c r="T334" s="59"/>
      <c r="U334" s="59"/>
      <c r="V334" s="59"/>
      <c r="W334" s="59"/>
      <c r="X334" s="59"/>
      <c r="Y334" s="59"/>
      <c r="Z334" s="59"/>
      <c r="AA334" s="59"/>
      <c r="AB334" s="2"/>
      <c r="AC334" s="32"/>
      <c r="AD334" s="59"/>
      <c r="AE334" s="2"/>
      <c r="AF334" s="32"/>
      <c r="AG334" s="59"/>
      <c r="AH334" s="2"/>
      <c r="AI334" s="32"/>
    </row>
    <row r="335" spans="1:35" ht="22.05" customHeight="1">
      <c r="A335" s="72"/>
      <c r="B335" s="72"/>
      <c r="C335" s="59"/>
      <c r="D335" s="59"/>
      <c r="E335" s="59"/>
      <c r="F335" s="59"/>
      <c r="G335" s="59"/>
      <c r="H335" s="40" t="s">
        <v>2005</v>
      </c>
      <c r="I335" s="40" t="s">
        <v>2006</v>
      </c>
      <c r="J335" s="40">
        <v>4.8079825999999999E-3</v>
      </c>
      <c r="K335" s="40" t="s">
        <v>2004</v>
      </c>
      <c r="L335" s="40">
        <v>301.4248</v>
      </c>
      <c r="M335" s="40">
        <f t="shared" si="7"/>
        <v>1.44924519360848</v>
      </c>
      <c r="N335" s="40" t="s">
        <v>2021</v>
      </c>
      <c r="O335" s="59"/>
      <c r="P335" s="86"/>
      <c r="Q335" s="86"/>
      <c r="R335" s="86"/>
      <c r="S335" s="86"/>
      <c r="T335" s="59"/>
      <c r="U335" s="59"/>
      <c r="V335" s="59"/>
      <c r="W335" s="59"/>
      <c r="X335" s="59"/>
      <c r="Y335" s="59"/>
      <c r="Z335" s="59"/>
      <c r="AA335" s="59"/>
      <c r="AB335" s="2"/>
      <c r="AC335" s="32"/>
      <c r="AD335" s="59"/>
      <c r="AE335" s="2"/>
      <c r="AF335" s="32"/>
      <c r="AG335" s="59"/>
      <c r="AH335" s="2"/>
      <c r="AI335" s="32"/>
    </row>
    <row r="336" spans="1:35" ht="22.05" customHeight="1">
      <c r="A336" s="72"/>
      <c r="B336" s="72"/>
      <c r="C336" s="59"/>
      <c r="D336" s="59"/>
      <c r="E336" s="59"/>
      <c r="F336" s="59"/>
      <c r="G336" s="59"/>
      <c r="H336" s="40" t="s">
        <v>2010</v>
      </c>
      <c r="I336" s="40" t="s">
        <v>2011</v>
      </c>
      <c r="J336" s="40">
        <v>3.4571429000000002E-3</v>
      </c>
      <c r="K336" s="40" t="s">
        <v>2012</v>
      </c>
      <c r="L336" s="40">
        <v>15.8828</v>
      </c>
      <c r="M336" s="40">
        <f t="shared" si="7"/>
        <v>5.4909109252120003E-2</v>
      </c>
      <c r="N336" s="40" t="s">
        <v>150</v>
      </c>
      <c r="O336" s="59"/>
      <c r="P336" s="86"/>
      <c r="Q336" s="86"/>
      <c r="R336" s="86"/>
      <c r="S336" s="86"/>
      <c r="T336" s="59"/>
      <c r="U336" s="59"/>
      <c r="V336" s="59"/>
      <c r="W336" s="59"/>
      <c r="X336" s="59"/>
      <c r="Y336" s="59"/>
      <c r="Z336" s="59"/>
      <c r="AA336" s="59"/>
      <c r="AB336" s="2"/>
      <c r="AC336" s="32"/>
      <c r="AD336" s="59"/>
      <c r="AE336" s="2"/>
      <c r="AF336" s="32"/>
      <c r="AG336" s="59"/>
      <c r="AH336" s="2"/>
      <c r="AI336" s="32"/>
    </row>
    <row r="337" spans="1:35" ht="22.05" customHeight="1">
      <c r="A337" s="72"/>
      <c r="B337" s="72"/>
      <c r="C337" s="59"/>
      <c r="D337" s="59"/>
      <c r="E337" s="59"/>
      <c r="F337" s="59"/>
      <c r="G337" s="59"/>
      <c r="H337" s="40" t="s">
        <v>2022</v>
      </c>
      <c r="I337" s="40" t="s">
        <v>2023</v>
      </c>
      <c r="J337" s="40">
        <v>6.0889175260000004</v>
      </c>
      <c r="K337" s="40" t="s">
        <v>2018</v>
      </c>
      <c r="L337" s="40">
        <v>0.54500000000000004</v>
      </c>
      <c r="M337" s="40">
        <f t="shared" si="7"/>
        <v>3.3184600516700002</v>
      </c>
      <c r="N337" s="40" t="s">
        <v>150</v>
      </c>
      <c r="O337" s="59"/>
      <c r="P337" s="86"/>
      <c r="Q337" s="86"/>
      <c r="R337" s="86"/>
      <c r="S337" s="86"/>
      <c r="T337" s="59"/>
      <c r="U337" s="59"/>
      <c r="V337" s="59"/>
      <c r="W337" s="59"/>
      <c r="X337" s="59"/>
      <c r="Y337" s="59"/>
      <c r="Z337" s="59"/>
      <c r="AA337" s="59"/>
      <c r="AB337" s="2"/>
      <c r="AC337" s="32"/>
      <c r="AD337" s="59"/>
      <c r="AE337" s="2"/>
      <c r="AF337" s="32"/>
      <c r="AG337" s="59"/>
      <c r="AH337" s="2"/>
      <c r="AI337" s="32"/>
    </row>
    <row r="338" spans="1:35" ht="22.05" customHeight="1">
      <c r="A338" s="72"/>
      <c r="B338" s="72"/>
      <c r="C338" s="59"/>
      <c r="D338" s="59"/>
      <c r="E338" s="59"/>
      <c r="F338" s="59"/>
      <c r="G338" s="59"/>
      <c r="H338" s="40" t="s">
        <v>2010</v>
      </c>
      <c r="I338" s="40" t="s">
        <v>2011</v>
      </c>
      <c r="J338" s="40">
        <v>6.6560000000000002E-4</v>
      </c>
      <c r="K338" s="40" t="s">
        <v>2012</v>
      </c>
      <c r="L338" s="40">
        <v>15.8828</v>
      </c>
      <c r="M338" s="40">
        <f t="shared" si="7"/>
        <v>1.0571591680000001E-2</v>
      </c>
      <c r="N338" s="40" t="s">
        <v>150</v>
      </c>
      <c r="O338" s="59"/>
      <c r="P338" s="86"/>
      <c r="Q338" s="86"/>
      <c r="R338" s="86"/>
      <c r="S338" s="86"/>
      <c r="T338" s="59"/>
      <c r="U338" s="59"/>
      <c r="V338" s="59"/>
      <c r="W338" s="59"/>
      <c r="X338" s="59"/>
      <c r="Y338" s="59"/>
      <c r="Z338" s="59"/>
      <c r="AA338" s="59"/>
      <c r="AB338" s="2"/>
      <c r="AC338" s="32"/>
      <c r="AD338" s="59"/>
      <c r="AE338" s="2"/>
      <c r="AF338" s="32"/>
      <c r="AG338" s="59"/>
      <c r="AH338" s="2"/>
      <c r="AI338" s="32"/>
    </row>
    <row r="339" spans="1:35" ht="22.05" customHeight="1">
      <c r="A339" s="72"/>
      <c r="B339" s="72"/>
      <c r="C339" s="59"/>
      <c r="D339" s="59"/>
      <c r="E339" s="59"/>
      <c r="F339" s="59"/>
      <c r="G339" s="59"/>
      <c r="H339" s="40" t="s">
        <v>2016</v>
      </c>
      <c r="I339" s="40" t="s">
        <v>2017</v>
      </c>
      <c r="J339" s="40">
        <v>0.09</v>
      </c>
      <c r="K339" s="40" t="s">
        <v>2018</v>
      </c>
      <c r="L339" s="40">
        <v>0.10440000000000001</v>
      </c>
      <c r="M339" s="40">
        <f t="shared" si="7"/>
        <v>9.3959999999999998E-3</v>
      </c>
      <c r="N339" s="40" t="s">
        <v>150</v>
      </c>
      <c r="O339" s="59"/>
      <c r="P339" s="86"/>
      <c r="Q339" s="86"/>
      <c r="R339" s="86"/>
      <c r="S339" s="86"/>
      <c r="T339" s="59"/>
      <c r="U339" s="59"/>
      <c r="V339" s="59"/>
      <c r="W339" s="59"/>
      <c r="X339" s="59"/>
      <c r="Y339" s="59"/>
      <c r="Z339" s="59"/>
      <c r="AA339" s="59"/>
      <c r="AB339" s="2"/>
      <c r="AC339" s="32"/>
      <c r="AD339" s="59"/>
      <c r="AE339" s="2"/>
      <c r="AF339" s="32"/>
      <c r="AG339" s="59"/>
      <c r="AH339" s="2"/>
      <c r="AI339" s="32"/>
    </row>
    <row r="340" spans="1:35" ht="22.05" customHeight="1">
      <c r="A340" s="72"/>
      <c r="B340" s="72"/>
      <c r="C340" s="59"/>
      <c r="D340" s="59"/>
      <c r="E340" s="59"/>
      <c r="F340" s="59"/>
      <c r="G340" s="59"/>
      <c r="H340" s="40" t="s">
        <v>2019</v>
      </c>
      <c r="I340" s="40" t="s">
        <v>2020</v>
      </c>
      <c r="J340" s="40">
        <v>1.7536082470000001</v>
      </c>
      <c r="K340" s="40" t="s">
        <v>2018</v>
      </c>
      <c r="L340" s="40">
        <v>0.31090000000000001</v>
      </c>
      <c r="M340" s="40">
        <f t="shared" si="7"/>
        <v>0.54519680399230008</v>
      </c>
      <c r="N340" s="40" t="s">
        <v>150</v>
      </c>
      <c r="O340" s="59"/>
      <c r="P340" s="86"/>
      <c r="Q340" s="86"/>
      <c r="R340" s="86"/>
      <c r="S340" s="86"/>
      <c r="T340" s="59"/>
      <c r="U340" s="59"/>
      <c r="V340" s="59"/>
      <c r="W340" s="59"/>
      <c r="X340" s="59"/>
      <c r="Y340" s="59"/>
      <c r="Z340" s="59"/>
      <c r="AA340" s="59"/>
      <c r="AB340" s="2"/>
      <c r="AC340" s="32"/>
      <c r="AD340" s="59"/>
      <c r="AE340" s="2"/>
      <c r="AF340" s="32"/>
      <c r="AG340" s="59"/>
      <c r="AH340" s="2"/>
      <c r="AI340" s="32"/>
    </row>
    <row r="341" spans="1:35" ht="22.05" customHeight="1">
      <c r="A341" s="72"/>
      <c r="B341" s="72"/>
      <c r="C341" s="59"/>
      <c r="D341" s="59"/>
      <c r="E341" s="59"/>
      <c r="F341" s="59"/>
      <c r="G341" s="59"/>
      <c r="H341" s="40" t="s">
        <v>2005</v>
      </c>
      <c r="I341" s="40" t="s">
        <v>2006</v>
      </c>
      <c r="J341" s="40">
        <v>2.5770400000000001E-3</v>
      </c>
      <c r="K341" s="40" t="s">
        <v>2004</v>
      </c>
      <c r="L341" s="40">
        <v>301.4248</v>
      </c>
      <c r="M341" s="40">
        <f t="shared" si="7"/>
        <v>0.77678376659199999</v>
      </c>
      <c r="N341" s="40" t="s">
        <v>2024</v>
      </c>
      <c r="O341" s="59"/>
      <c r="P341" s="86"/>
      <c r="Q341" s="86"/>
      <c r="R341" s="86"/>
      <c r="S341" s="86"/>
      <c r="T341" s="59"/>
      <c r="U341" s="59"/>
      <c r="V341" s="59"/>
      <c r="W341" s="59"/>
      <c r="X341" s="59"/>
      <c r="Y341" s="59"/>
      <c r="Z341" s="59"/>
      <c r="AA341" s="59"/>
      <c r="AB341" s="2"/>
      <c r="AC341" s="32"/>
      <c r="AD341" s="59"/>
      <c r="AE341" s="2"/>
      <c r="AF341" s="32"/>
      <c r="AG341" s="59"/>
      <c r="AH341" s="2"/>
      <c r="AI341" s="32"/>
    </row>
    <row r="342" spans="1:35" ht="22.05" customHeight="1">
      <c r="A342" s="72"/>
      <c r="B342" s="72"/>
      <c r="C342" s="59"/>
      <c r="D342" s="59"/>
      <c r="E342" s="59"/>
      <c r="F342" s="59"/>
      <c r="G342" s="59"/>
      <c r="H342" s="222" t="s">
        <v>2025</v>
      </c>
      <c r="I342" s="222"/>
      <c r="J342" s="222"/>
      <c r="K342" s="222"/>
      <c r="L342" s="222"/>
      <c r="M342" s="40">
        <f>SUM(M326:M341)</f>
        <v>37.854900835814604</v>
      </c>
      <c r="N342" s="40"/>
      <c r="O342" s="59"/>
      <c r="P342" s="86"/>
      <c r="Q342" s="86"/>
      <c r="R342" s="86"/>
      <c r="S342" s="86"/>
      <c r="T342" s="59"/>
      <c r="U342" s="59"/>
      <c r="V342" s="59"/>
      <c r="W342" s="59"/>
      <c r="X342" s="59"/>
      <c r="Y342" s="59"/>
      <c r="Z342" s="59"/>
      <c r="AA342" s="59"/>
      <c r="AB342" s="2"/>
      <c r="AC342" s="32"/>
      <c r="AD342" s="59"/>
      <c r="AE342" s="2"/>
      <c r="AF342" s="32"/>
      <c r="AG342" s="59"/>
      <c r="AH342" s="2"/>
      <c r="AI342" s="32"/>
    </row>
    <row r="343" spans="1:35" ht="22.05" customHeight="1">
      <c r="A343" s="72"/>
      <c r="B343" s="72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86"/>
      <c r="Q343" s="86"/>
      <c r="R343" s="86"/>
      <c r="S343" s="86"/>
      <c r="T343" s="59"/>
      <c r="U343" s="59"/>
      <c r="V343" s="59"/>
      <c r="W343" s="59"/>
      <c r="X343" s="59"/>
      <c r="Y343" s="59"/>
      <c r="Z343" s="59"/>
      <c r="AA343" s="59"/>
      <c r="AB343" s="2"/>
      <c r="AC343" s="32"/>
      <c r="AD343" s="59"/>
      <c r="AE343" s="2"/>
      <c r="AF343" s="32"/>
      <c r="AG343" s="59"/>
      <c r="AH343" s="2"/>
      <c r="AI343" s="32"/>
    </row>
    <row r="344" spans="1:35" ht="22.05" customHeight="1">
      <c r="A344" s="72"/>
      <c r="B344" s="72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86"/>
      <c r="Q344" s="86"/>
      <c r="R344" s="86"/>
      <c r="S344" s="86"/>
      <c r="T344" s="59"/>
      <c r="U344" s="59"/>
      <c r="V344" s="59"/>
      <c r="W344" s="59"/>
      <c r="X344" s="59"/>
      <c r="Y344" s="59"/>
      <c r="Z344" s="59"/>
      <c r="AA344" s="59"/>
      <c r="AB344" s="2"/>
      <c r="AC344" s="32"/>
      <c r="AD344" s="59"/>
      <c r="AE344" s="2"/>
      <c r="AF344" s="32"/>
      <c r="AG344" s="59"/>
      <c r="AH344" s="2"/>
      <c r="AI344" s="32"/>
    </row>
    <row r="345" spans="1:35" ht="22.05" customHeight="1">
      <c r="A345" s="72"/>
      <c r="B345" s="72"/>
      <c r="C345" s="223" t="s">
        <v>2026</v>
      </c>
      <c r="D345" s="223"/>
      <c r="E345" s="223"/>
      <c r="F345" s="223"/>
      <c r="G345" s="59"/>
      <c r="H345" s="41"/>
      <c r="I345" s="41"/>
      <c r="J345" s="41"/>
      <c r="K345" s="41"/>
      <c r="L345" s="41"/>
      <c r="M345" s="41"/>
      <c r="N345" s="41"/>
      <c r="O345" s="59"/>
      <c r="P345" s="86"/>
      <c r="Q345" s="86"/>
      <c r="R345" s="86"/>
      <c r="S345" s="86"/>
      <c r="T345" s="59"/>
      <c r="U345" s="59"/>
      <c r="V345" s="59"/>
      <c r="W345" s="59"/>
      <c r="X345" s="59"/>
      <c r="Y345" s="59"/>
      <c r="Z345" s="59"/>
      <c r="AA345" s="59"/>
      <c r="AB345" s="2"/>
      <c r="AC345" s="32"/>
      <c r="AD345" s="59"/>
      <c r="AE345" s="2"/>
      <c r="AF345" s="32"/>
      <c r="AG345" s="59"/>
      <c r="AH345" s="2"/>
      <c r="AI345" s="32"/>
    </row>
    <row r="346" spans="1:35" ht="22.05" customHeight="1">
      <c r="A346" s="61" t="s">
        <v>72</v>
      </c>
      <c r="B346" s="61" t="s">
        <v>73</v>
      </c>
      <c r="C346" s="61" t="s">
        <v>74</v>
      </c>
      <c r="D346" s="61" t="s">
        <v>75</v>
      </c>
      <c r="E346" s="61" t="s">
        <v>76</v>
      </c>
      <c r="F346" s="61" t="s">
        <v>77</v>
      </c>
      <c r="G346" s="61" t="s">
        <v>78</v>
      </c>
      <c r="H346" s="61" t="s">
        <v>79</v>
      </c>
      <c r="I346" s="61" t="s">
        <v>80</v>
      </c>
      <c r="J346" s="61" t="s">
        <v>81</v>
      </c>
      <c r="K346" s="61" t="s">
        <v>82</v>
      </c>
      <c r="L346" s="61" t="s">
        <v>83</v>
      </c>
      <c r="M346" s="61" t="s">
        <v>84</v>
      </c>
      <c r="N346" s="61" t="s">
        <v>85</v>
      </c>
      <c r="O346" s="61" t="s">
        <v>86</v>
      </c>
      <c r="P346" s="83"/>
      <c r="Q346" s="83"/>
      <c r="R346" s="83"/>
      <c r="S346" s="83"/>
      <c r="T346" s="61" t="s">
        <v>87</v>
      </c>
      <c r="U346" s="61" t="s">
        <v>88</v>
      </c>
      <c r="V346" s="61" t="s">
        <v>89</v>
      </c>
      <c r="W346" s="61" t="s">
        <v>90</v>
      </c>
      <c r="X346" s="61" t="s">
        <v>91</v>
      </c>
      <c r="Y346" s="61" t="s">
        <v>15</v>
      </c>
      <c r="Z346" s="61" t="s">
        <v>92</v>
      </c>
      <c r="AA346" s="61" t="s">
        <v>93</v>
      </c>
      <c r="AB346" s="61" t="s">
        <v>94</v>
      </c>
      <c r="AC346" s="61" t="s">
        <v>95</v>
      </c>
      <c r="AD346" s="61" t="s">
        <v>96</v>
      </c>
      <c r="AE346" s="61" t="s">
        <v>97</v>
      </c>
      <c r="AF346" s="61" t="s">
        <v>98</v>
      </c>
      <c r="AG346" s="61" t="s">
        <v>99</v>
      </c>
      <c r="AH346" s="61" t="s">
        <v>100</v>
      </c>
      <c r="AI346" s="61" t="s">
        <v>101</v>
      </c>
    </row>
    <row r="347" spans="1:35" ht="22.05" customHeight="1">
      <c r="A347" s="64">
        <v>17</v>
      </c>
      <c r="B347" s="62" t="s">
        <v>102</v>
      </c>
      <c r="C347" s="62" t="s">
        <v>103</v>
      </c>
      <c r="D347" s="62" t="s">
        <v>104</v>
      </c>
      <c r="E347" s="62" t="s">
        <v>105</v>
      </c>
      <c r="F347" s="62" t="s">
        <v>106</v>
      </c>
      <c r="G347" s="62">
        <v>2</v>
      </c>
      <c r="H347" s="62" t="s">
        <v>103</v>
      </c>
      <c r="I347" s="62" t="s">
        <v>107</v>
      </c>
      <c r="J347" s="62" t="s">
        <v>1987</v>
      </c>
      <c r="K347" s="62" t="s">
        <v>109</v>
      </c>
      <c r="L347" s="62" t="s">
        <v>110</v>
      </c>
      <c r="M347" s="63">
        <v>9.9000000000000005E-2</v>
      </c>
      <c r="N347" s="63">
        <v>0</v>
      </c>
      <c r="O347" s="63">
        <f>G347*M347</f>
        <v>0.19800000000000001</v>
      </c>
      <c r="P347" s="85"/>
      <c r="Q347" s="85"/>
      <c r="R347" s="85"/>
      <c r="S347" s="85"/>
      <c r="T347" s="62">
        <v>21</v>
      </c>
      <c r="U347" s="62">
        <v>10000</v>
      </c>
      <c r="V347" s="62"/>
      <c r="W347" s="62"/>
      <c r="X347" s="67"/>
      <c r="Y347" s="62"/>
      <c r="Z347" s="62"/>
      <c r="AA347" s="62"/>
      <c r="AB347" s="62"/>
      <c r="AC347" s="63"/>
      <c r="AD347" s="62"/>
      <c r="AE347" s="62"/>
      <c r="AF347" s="63"/>
      <c r="AG347" s="62"/>
      <c r="AH347" s="62"/>
      <c r="AI347" s="63"/>
    </row>
    <row r="348" spans="1:35" ht="22.05" customHeight="1">
      <c r="A348" s="64">
        <v>18</v>
      </c>
      <c r="B348" s="62" t="s">
        <v>102</v>
      </c>
      <c r="C348" s="62" t="s">
        <v>2027</v>
      </c>
      <c r="D348" s="62" t="s">
        <v>2028</v>
      </c>
      <c r="E348" s="62" t="s">
        <v>105</v>
      </c>
      <c r="F348" s="62" t="s">
        <v>114</v>
      </c>
      <c r="G348" s="62">
        <v>1</v>
      </c>
      <c r="H348" s="62" t="s">
        <v>2027</v>
      </c>
      <c r="I348" s="62" t="s">
        <v>2028</v>
      </c>
      <c r="J348" s="62" t="s">
        <v>138</v>
      </c>
      <c r="K348" s="62" t="s">
        <v>116</v>
      </c>
      <c r="L348" s="62" t="s">
        <v>117</v>
      </c>
      <c r="M348" s="66">
        <v>10.98</v>
      </c>
      <c r="N348" s="63">
        <v>0</v>
      </c>
      <c r="O348" s="63">
        <f t="shared" ref="O348:O354" si="8">G348*M348</f>
        <v>10.98</v>
      </c>
      <c r="P348" s="85"/>
      <c r="Q348" s="85"/>
      <c r="R348" s="85"/>
      <c r="S348" s="85"/>
      <c r="T348" s="62">
        <v>14</v>
      </c>
      <c r="U348" s="62">
        <v>1</v>
      </c>
      <c r="V348" s="62">
        <v>1</v>
      </c>
      <c r="W348" s="62"/>
      <c r="X348" s="67"/>
      <c r="Y348" s="62" t="s">
        <v>150</v>
      </c>
      <c r="Z348" s="62"/>
      <c r="AA348" s="62"/>
      <c r="AB348" s="62"/>
      <c r="AC348" s="63"/>
      <c r="AD348" s="62"/>
      <c r="AE348" s="62"/>
      <c r="AF348" s="63"/>
      <c r="AG348" s="62"/>
      <c r="AH348" s="62"/>
      <c r="AI348" s="63"/>
    </row>
    <row r="349" spans="1:35" ht="22.05" customHeight="1">
      <c r="A349" s="64">
        <v>19</v>
      </c>
      <c r="B349" s="62" t="s">
        <v>102</v>
      </c>
      <c r="C349" s="62" t="s">
        <v>118</v>
      </c>
      <c r="D349" s="62" t="s">
        <v>119</v>
      </c>
      <c r="E349" s="62" t="s">
        <v>105</v>
      </c>
      <c r="F349" s="62" t="s">
        <v>114</v>
      </c>
      <c r="G349" s="62">
        <v>1</v>
      </c>
      <c r="H349" s="62" t="s">
        <v>118</v>
      </c>
      <c r="I349" s="62" t="s">
        <v>119</v>
      </c>
      <c r="J349" s="62" t="s">
        <v>138</v>
      </c>
      <c r="K349" s="62" t="s">
        <v>116</v>
      </c>
      <c r="L349" s="62" t="s">
        <v>117</v>
      </c>
      <c r="M349" s="63">
        <v>0.25</v>
      </c>
      <c r="N349" s="63">
        <v>0</v>
      </c>
      <c r="O349" s="63">
        <f t="shared" si="8"/>
        <v>0.25</v>
      </c>
      <c r="P349" s="85"/>
      <c r="Q349" s="85"/>
      <c r="R349" s="85"/>
      <c r="S349" s="85"/>
      <c r="T349" s="62">
        <v>14</v>
      </c>
      <c r="U349" s="62">
        <v>1000</v>
      </c>
      <c r="V349" s="62">
        <v>1000</v>
      </c>
      <c r="W349" s="62"/>
      <c r="X349" s="67"/>
      <c r="Y349" s="62"/>
      <c r="Z349" s="62"/>
      <c r="AA349" s="62"/>
      <c r="AB349" s="62"/>
      <c r="AC349" s="63"/>
      <c r="AD349" s="62"/>
      <c r="AE349" s="62"/>
      <c r="AF349" s="63"/>
      <c r="AG349" s="62"/>
      <c r="AH349" s="62"/>
      <c r="AI349" s="63"/>
    </row>
    <row r="350" spans="1:35" ht="22.05" customHeight="1">
      <c r="A350" s="64">
        <v>20</v>
      </c>
      <c r="B350" s="62" t="s">
        <v>102</v>
      </c>
      <c r="C350" s="62" t="s">
        <v>2029</v>
      </c>
      <c r="D350" s="62" t="s">
        <v>2030</v>
      </c>
      <c r="E350" s="62" t="s">
        <v>105</v>
      </c>
      <c r="F350" s="62" t="s">
        <v>114</v>
      </c>
      <c r="G350" s="62">
        <v>1</v>
      </c>
      <c r="H350" s="62" t="s">
        <v>2029</v>
      </c>
      <c r="I350" s="62" t="s">
        <v>2030</v>
      </c>
      <c r="J350" s="62" t="s">
        <v>138</v>
      </c>
      <c r="K350" s="62" t="s">
        <v>116</v>
      </c>
      <c r="L350" s="62" t="s">
        <v>117</v>
      </c>
      <c r="M350" s="66">
        <v>3.39</v>
      </c>
      <c r="N350" s="63">
        <v>0</v>
      </c>
      <c r="O350" s="63">
        <f t="shared" si="8"/>
        <v>3.39</v>
      </c>
      <c r="P350" s="85"/>
      <c r="Q350" s="85"/>
      <c r="R350" s="85"/>
      <c r="S350" s="85"/>
      <c r="T350" s="62">
        <v>14</v>
      </c>
      <c r="U350" s="62">
        <v>1</v>
      </c>
      <c r="V350" s="62">
        <v>1</v>
      </c>
      <c r="W350" s="62"/>
      <c r="X350" s="67"/>
      <c r="Y350" s="62" t="s">
        <v>150</v>
      </c>
      <c r="Z350" s="62"/>
      <c r="AA350" s="62"/>
      <c r="AB350" s="62"/>
      <c r="AC350" s="63"/>
      <c r="AD350" s="62"/>
      <c r="AE350" s="62"/>
      <c r="AF350" s="63"/>
      <c r="AG350" s="62"/>
      <c r="AH350" s="62"/>
      <c r="AI350" s="63"/>
    </row>
    <row r="351" spans="1:35" ht="22.05" customHeight="1">
      <c r="A351" s="64">
        <v>21</v>
      </c>
      <c r="B351" s="62" t="s">
        <v>102</v>
      </c>
      <c r="C351" s="62" t="s">
        <v>2031</v>
      </c>
      <c r="D351" s="62" t="s">
        <v>2032</v>
      </c>
      <c r="E351" s="62" t="s">
        <v>105</v>
      </c>
      <c r="F351" s="62" t="s">
        <v>114</v>
      </c>
      <c r="G351" s="62">
        <v>1</v>
      </c>
      <c r="H351" s="62" t="s">
        <v>2031</v>
      </c>
      <c r="I351" s="62" t="s">
        <v>2032</v>
      </c>
      <c r="J351" s="62" t="s">
        <v>138</v>
      </c>
      <c r="K351" s="62" t="s">
        <v>2033</v>
      </c>
      <c r="L351" s="62" t="s">
        <v>2034</v>
      </c>
      <c r="M351" s="66">
        <v>22.1</v>
      </c>
      <c r="N351" s="63">
        <v>0</v>
      </c>
      <c r="O351" s="63">
        <f t="shared" si="8"/>
        <v>22.1</v>
      </c>
      <c r="P351" s="85"/>
      <c r="Q351" s="85"/>
      <c r="R351" s="85"/>
      <c r="S351" s="85"/>
      <c r="T351" s="62">
        <v>5</v>
      </c>
      <c r="U351" s="62">
        <v>1000</v>
      </c>
      <c r="V351" s="62">
        <v>100</v>
      </c>
      <c r="W351" s="62">
        <v>16667</v>
      </c>
      <c r="X351" s="62"/>
      <c r="Y351" s="62" t="s">
        <v>150</v>
      </c>
      <c r="Z351" s="62"/>
      <c r="AA351" s="62"/>
      <c r="AB351" s="62"/>
      <c r="AC351" s="63"/>
      <c r="AD351" s="62"/>
      <c r="AE351" s="62"/>
      <c r="AF351" s="63"/>
      <c r="AG351" s="62"/>
      <c r="AH351" s="62"/>
      <c r="AI351" s="63"/>
    </row>
    <row r="352" spans="1:35" ht="22.05" customHeight="1">
      <c r="A352" s="64">
        <v>22</v>
      </c>
      <c r="B352" s="62" t="s">
        <v>102</v>
      </c>
      <c r="C352" s="62" t="s">
        <v>2035</v>
      </c>
      <c r="D352" s="62" t="s">
        <v>2036</v>
      </c>
      <c r="E352" s="62" t="s">
        <v>105</v>
      </c>
      <c r="F352" s="62" t="s">
        <v>114</v>
      </c>
      <c r="G352" s="62">
        <v>1</v>
      </c>
      <c r="H352" s="62" t="s">
        <v>2035</v>
      </c>
      <c r="I352" s="62" t="s">
        <v>2036</v>
      </c>
      <c r="J352" s="62" t="s">
        <v>138</v>
      </c>
      <c r="K352" s="62" t="s">
        <v>2033</v>
      </c>
      <c r="L352" s="62" t="s">
        <v>2034</v>
      </c>
      <c r="M352" s="66">
        <v>24.7</v>
      </c>
      <c r="N352" s="63">
        <v>0</v>
      </c>
      <c r="O352" s="63">
        <f t="shared" si="8"/>
        <v>24.7</v>
      </c>
      <c r="P352" s="85"/>
      <c r="Q352" s="85"/>
      <c r="R352" s="85"/>
      <c r="S352" s="85"/>
      <c r="T352" s="62">
        <v>5</v>
      </c>
      <c r="U352" s="62">
        <v>1000</v>
      </c>
      <c r="V352" s="62">
        <v>50</v>
      </c>
      <c r="W352" s="62">
        <v>16667</v>
      </c>
      <c r="X352" s="62"/>
      <c r="Y352" s="62" t="s">
        <v>150</v>
      </c>
      <c r="Z352" s="62"/>
      <c r="AA352" s="62"/>
      <c r="AB352" s="62"/>
      <c r="AC352" s="63"/>
      <c r="AD352" s="62"/>
      <c r="AE352" s="62"/>
      <c r="AF352" s="63"/>
      <c r="AG352" s="62"/>
      <c r="AH352" s="62"/>
      <c r="AI352" s="63"/>
    </row>
    <row r="353" spans="1:35" ht="22.05" customHeight="1">
      <c r="A353" s="64">
        <v>23</v>
      </c>
      <c r="B353" s="62" t="s">
        <v>102</v>
      </c>
      <c r="C353" s="62" t="s">
        <v>130</v>
      </c>
      <c r="D353" s="62" t="s">
        <v>131</v>
      </c>
      <c r="E353" s="62" t="s">
        <v>105</v>
      </c>
      <c r="F353" s="62" t="s">
        <v>114</v>
      </c>
      <c r="G353" s="62">
        <v>2</v>
      </c>
      <c r="H353" s="62" t="s">
        <v>130</v>
      </c>
      <c r="I353" s="62" t="s">
        <v>131</v>
      </c>
      <c r="J353" s="62" t="s">
        <v>138</v>
      </c>
      <c r="K353" s="62" t="s">
        <v>122</v>
      </c>
      <c r="L353" s="62" t="s">
        <v>123</v>
      </c>
      <c r="M353" s="63">
        <v>1.0619000000000001</v>
      </c>
      <c r="N353" s="63">
        <v>0</v>
      </c>
      <c r="O353" s="63">
        <f t="shared" si="8"/>
        <v>2.1238000000000001</v>
      </c>
      <c r="P353" s="85"/>
      <c r="Q353" s="85"/>
      <c r="R353" s="85"/>
      <c r="S353" s="85"/>
      <c r="T353" s="62">
        <v>14</v>
      </c>
      <c r="U353" s="62">
        <v>1</v>
      </c>
      <c r="V353" s="62">
        <v>1</v>
      </c>
      <c r="W353" s="62"/>
      <c r="X353" s="67"/>
      <c r="Y353" s="62"/>
      <c r="Z353" s="62"/>
      <c r="AA353" s="62"/>
      <c r="AB353" s="62"/>
      <c r="AC353" s="63"/>
      <c r="AD353" s="62"/>
      <c r="AE353" s="62"/>
      <c r="AF353" s="63"/>
      <c r="AG353" s="62"/>
      <c r="AH353" s="62"/>
      <c r="AI353" s="63"/>
    </row>
    <row r="354" spans="1:35" ht="22.05" customHeight="1">
      <c r="A354" s="64">
        <v>24</v>
      </c>
      <c r="B354" s="62" t="s">
        <v>102</v>
      </c>
      <c r="C354" s="62" t="s">
        <v>134</v>
      </c>
      <c r="D354" s="62" t="s">
        <v>135</v>
      </c>
      <c r="E354" s="62" t="s">
        <v>105</v>
      </c>
      <c r="F354" s="62" t="s">
        <v>136</v>
      </c>
      <c r="G354" s="62">
        <v>1</v>
      </c>
      <c r="H354" s="62" t="s">
        <v>134</v>
      </c>
      <c r="I354" s="62" t="s">
        <v>137</v>
      </c>
      <c r="J354" s="62" t="s">
        <v>138</v>
      </c>
      <c r="K354" s="62" t="s">
        <v>2037</v>
      </c>
      <c r="L354" s="62" t="s">
        <v>2038</v>
      </c>
      <c r="M354" s="63">
        <v>3.4700000000000002E-2</v>
      </c>
      <c r="N354" s="63">
        <v>0</v>
      </c>
      <c r="O354" s="63">
        <f t="shared" si="8"/>
        <v>3.4700000000000002E-2</v>
      </c>
      <c r="P354" s="85"/>
      <c r="Q354" s="85"/>
      <c r="R354" s="85"/>
      <c r="S354" s="85"/>
      <c r="T354" s="62">
        <v>14</v>
      </c>
      <c r="U354" s="62">
        <v>3000</v>
      </c>
      <c r="V354" s="62"/>
      <c r="W354" s="62"/>
      <c r="X354" s="67"/>
      <c r="Y354" s="62"/>
      <c r="Z354" s="62"/>
      <c r="AA354" s="62"/>
      <c r="AB354" s="62"/>
      <c r="AC354" s="63"/>
      <c r="AD354" s="62"/>
      <c r="AE354" s="62"/>
      <c r="AF354" s="63"/>
      <c r="AG354" s="62"/>
      <c r="AH354" s="62"/>
      <c r="AI354" s="63"/>
    </row>
    <row r="355" spans="1:35" ht="22.05" customHeight="1">
      <c r="A355" s="72"/>
      <c r="B355" s="72"/>
      <c r="C355" s="59"/>
      <c r="D355" s="59"/>
      <c r="E355" s="59"/>
      <c r="F355" s="59"/>
      <c r="G355" s="59"/>
      <c r="H355" s="59"/>
      <c r="I355" s="73" t="s">
        <v>2039</v>
      </c>
      <c r="J355" s="73"/>
      <c r="K355" s="73"/>
      <c r="L355" s="73"/>
      <c r="M355" s="73"/>
      <c r="N355" s="73"/>
      <c r="O355" s="73">
        <f>SUM(O347:O354)</f>
        <v>63.776500000000013</v>
      </c>
      <c r="P355" s="86"/>
      <c r="Q355" s="86"/>
      <c r="R355" s="86"/>
      <c r="S355" s="86"/>
      <c r="T355" s="59"/>
      <c r="U355" s="59"/>
      <c r="V355" s="59"/>
      <c r="W355" s="59"/>
      <c r="X355" s="59"/>
      <c r="Y355" s="59"/>
      <c r="Z355" s="59"/>
      <c r="AA355" s="59"/>
      <c r="AB355" s="2"/>
      <c r="AC355" s="32"/>
      <c r="AD355" s="59"/>
      <c r="AE355" s="2"/>
      <c r="AF355" s="32"/>
      <c r="AG355" s="59"/>
      <c r="AH355" s="2"/>
      <c r="AI355" s="32"/>
    </row>
    <row r="356" spans="1:35" ht="22.05" customHeight="1">
      <c r="A356" s="72"/>
      <c r="B356" s="72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86"/>
      <c r="Q356" s="86"/>
      <c r="R356" s="86"/>
      <c r="S356" s="86"/>
      <c r="T356" s="59"/>
      <c r="U356" s="59"/>
      <c r="V356" s="59"/>
      <c r="W356" s="59"/>
      <c r="X356" s="59"/>
      <c r="Y356" s="59"/>
      <c r="Z356" s="59"/>
      <c r="AA356" s="59"/>
      <c r="AB356" s="2"/>
      <c r="AC356" s="32"/>
      <c r="AD356" s="59"/>
      <c r="AE356" s="2"/>
      <c r="AF356" s="32"/>
      <c r="AG356" s="59"/>
      <c r="AH356" s="2"/>
      <c r="AI356" s="32"/>
    </row>
    <row r="357" spans="1:35" ht="22.05" customHeight="1">
      <c r="A357" s="72"/>
      <c r="B357" s="72"/>
      <c r="C357" s="59"/>
      <c r="D357" s="59"/>
      <c r="E357" s="59"/>
      <c r="F357" s="59"/>
      <c r="G357" s="59"/>
      <c r="H357" s="224" t="s">
        <v>2040</v>
      </c>
      <c r="I357" s="224"/>
      <c r="J357" s="224"/>
      <c r="K357" s="224"/>
      <c r="L357" s="224"/>
      <c r="M357" s="224"/>
      <c r="N357" s="224"/>
      <c r="O357" s="59"/>
      <c r="P357" s="86"/>
      <c r="Q357" s="86"/>
      <c r="R357" s="86"/>
      <c r="S357" s="86"/>
      <c r="T357" s="59"/>
      <c r="U357" s="59"/>
      <c r="V357" s="59"/>
      <c r="W357" s="59"/>
      <c r="X357" s="59"/>
      <c r="Y357" s="59"/>
      <c r="Z357" s="59"/>
      <c r="AA357" s="59"/>
      <c r="AB357" s="2"/>
      <c r="AC357" s="32"/>
      <c r="AD357" s="59"/>
      <c r="AE357" s="2"/>
      <c r="AF357" s="32"/>
      <c r="AG357" s="59"/>
      <c r="AH357" s="2"/>
      <c r="AI357" s="32"/>
    </row>
    <row r="358" spans="1:35" ht="22.05" customHeight="1">
      <c r="A358" s="72"/>
      <c r="B358" s="72"/>
      <c r="C358" s="59"/>
      <c r="D358" s="59"/>
      <c r="E358" s="59"/>
      <c r="F358" s="59"/>
      <c r="G358" s="59"/>
      <c r="H358" s="64" t="s">
        <v>1998</v>
      </c>
      <c r="I358" s="64" t="s">
        <v>75</v>
      </c>
      <c r="J358" s="64" t="s">
        <v>1999</v>
      </c>
      <c r="K358" s="64" t="s">
        <v>2000</v>
      </c>
      <c r="L358" s="64" t="s">
        <v>2001</v>
      </c>
      <c r="M358" s="64" t="s">
        <v>86</v>
      </c>
      <c r="N358" s="64" t="s">
        <v>15</v>
      </c>
      <c r="O358" s="59"/>
      <c r="P358" s="86"/>
      <c r="Q358" s="86"/>
      <c r="R358" s="86"/>
      <c r="S358" s="86"/>
      <c r="T358" s="59"/>
      <c r="U358" s="59"/>
      <c r="V358" s="59"/>
      <c r="W358" s="59"/>
      <c r="X358" s="59"/>
      <c r="Y358" s="59"/>
      <c r="Z358" s="59"/>
      <c r="AA358" s="59"/>
      <c r="AB358" s="2"/>
      <c r="AC358" s="32"/>
      <c r="AD358" s="59"/>
      <c r="AE358" s="2"/>
      <c r="AF358" s="32"/>
      <c r="AG358" s="59"/>
      <c r="AH358" s="2"/>
      <c r="AI358" s="32"/>
    </row>
    <row r="359" spans="1:35" ht="22.05" customHeight="1">
      <c r="A359" s="72"/>
      <c r="B359" s="72"/>
      <c r="C359" s="59"/>
      <c r="D359" s="59"/>
      <c r="E359" s="59"/>
      <c r="F359" s="59"/>
      <c r="G359" s="59"/>
      <c r="H359" s="64" t="s">
        <v>2005</v>
      </c>
      <c r="I359" s="64" t="s">
        <v>2006</v>
      </c>
      <c r="J359" s="64">
        <v>1.723778E-3</v>
      </c>
      <c r="K359" s="64" t="s">
        <v>2004</v>
      </c>
      <c r="L359" s="64">
        <v>309.28320000000002</v>
      </c>
      <c r="M359" s="64">
        <f t="shared" ref="M359:M374" si="9">J359*L359</f>
        <v>0.53313557592960004</v>
      </c>
      <c r="N359" s="64" t="s">
        <v>150</v>
      </c>
      <c r="O359" s="59"/>
      <c r="P359" s="86"/>
      <c r="Q359" s="86"/>
      <c r="R359" s="86"/>
      <c r="S359" s="86"/>
      <c r="T359" s="59"/>
      <c r="U359" s="59"/>
      <c r="V359" s="59"/>
      <c r="W359" s="59"/>
      <c r="X359" s="59"/>
      <c r="Y359" s="59"/>
      <c r="Z359" s="59"/>
      <c r="AA359" s="59"/>
      <c r="AB359" s="2"/>
      <c r="AC359" s="32"/>
      <c r="AD359" s="59"/>
      <c r="AE359" s="2"/>
      <c r="AF359" s="32"/>
      <c r="AG359" s="59"/>
      <c r="AH359" s="2"/>
      <c r="AI359" s="32"/>
    </row>
    <row r="360" spans="1:35" ht="22.05" customHeight="1">
      <c r="A360" s="72"/>
      <c r="B360" s="72"/>
      <c r="C360" s="59"/>
      <c r="D360" s="59"/>
      <c r="E360" s="59"/>
      <c r="F360" s="59"/>
      <c r="G360" s="59"/>
      <c r="H360" s="64" t="s">
        <v>2007</v>
      </c>
      <c r="I360" s="64" t="s">
        <v>2008</v>
      </c>
      <c r="J360" s="64">
        <v>9.9898220999999995E-2</v>
      </c>
      <c r="K360" s="64" t="s">
        <v>2004</v>
      </c>
      <c r="L360" s="64">
        <v>265.47789999999998</v>
      </c>
      <c r="M360" s="64">
        <f t="shared" si="9"/>
        <v>26.520769924815898</v>
      </c>
      <c r="N360" s="64" t="s">
        <v>2009</v>
      </c>
      <c r="O360" s="59"/>
      <c r="P360" s="86"/>
      <c r="Q360" s="86"/>
      <c r="R360" s="86"/>
      <c r="S360" s="86"/>
      <c r="T360" s="59"/>
      <c r="U360" s="59"/>
      <c r="V360" s="59"/>
      <c r="W360" s="59"/>
      <c r="X360" s="59"/>
      <c r="Y360" s="59"/>
      <c r="Z360" s="59"/>
      <c r="AA360" s="59"/>
      <c r="AB360" s="2"/>
      <c r="AC360" s="32"/>
      <c r="AD360" s="59"/>
      <c r="AE360" s="2"/>
      <c r="AF360" s="32"/>
      <c r="AG360" s="59"/>
      <c r="AH360" s="2"/>
      <c r="AI360" s="32"/>
    </row>
    <row r="361" spans="1:35" ht="22.05" customHeight="1">
      <c r="A361" s="72"/>
      <c r="B361" s="72"/>
      <c r="C361" s="59"/>
      <c r="D361" s="59"/>
      <c r="E361" s="59"/>
      <c r="F361" s="59"/>
      <c r="G361" s="59"/>
      <c r="H361" s="64" t="s">
        <v>2010</v>
      </c>
      <c r="I361" s="64" t="s">
        <v>2011</v>
      </c>
      <c r="J361" s="64">
        <v>5.0000000000000001E-3</v>
      </c>
      <c r="K361" s="64" t="s">
        <v>2012</v>
      </c>
      <c r="L361" s="64">
        <v>15.8828</v>
      </c>
      <c r="M361" s="64">
        <f t="shared" si="9"/>
        <v>7.9413999999999998E-2</v>
      </c>
      <c r="N361" s="64" t="s">
        <v>150</v>
      </c>
      <c r="O361" s="59"/>
      <c r="P361" s="86"/>
      <c r="Q361" s="86"/>
      <c r="R361" s="86"/>
      <c r="S361" s="86"/>
      <c r="T361" s="59"/>
      <c r="U361" s="59"/>
      <c r="V361" s="59"/>
      <c r="W361" s="59"/>
      <c r="X361" s="59"/>
      <c r="Y361" s="59"/>
      <c r="Z361" s="59"/>
      <c r="AA361" s="59"/>
      <c r="AB361" s="2"/>
      <c r="AC361" s="32"/>
      <c r="AD361" s="59"/>
      <c r="AE361" s="2"/>
      <c r="AF361" s="32"/>
      <c r="AG361" s="59"/>
      <c r="AH361" s="2"/>
      <c r="AI361" s="32"/>
    </row>
    <row r="362" spans="1:35" ht="22.05" customHeight="1">
      <c r="A362" s="72"/>
      <c r="B362" s="72"/>
      <c r="C362" s="59"/>
      <c r="D362" s="59"/>
      <c r="E362" s="59"/>
      <c r="F362" s="59"/>
      <c r="G362" s="59"/>
      <c r="H362" s="64" t="s">
        <v>2013</v>
      </c>
      <c r="I362" s="64" t="s">
        <v>2014</v>
      </c>
      <c r="J362" s="64">
        <v>4.8999999999999998E-3</v>
      </c>
      <c r="K362" s="64" t="s">
        <v>2015</v>
      </c>
      <c r="L362" s="64">
        <v>6.1538000000000004</v>
      </c>
      <c r="M362" s="64">
        <f t="shared" si="9"/>
        <v>3.0153620000000003E-2</v>
      </c>
      <c r="N362" s="64" t="s">
        <v>150</v>
      </c>
      <c r="O362" s="59"/>
      <c r="P362" s="86"/>
      <c r="Q362" s="86"/>
      <c r="R362" s="86"/>
      <c r="S362" s="86"/>
      <c r="T362" s="59"/>
      <c r="U362" s="59"/>
      <c r="V362" s="59"/>
      <c r="W362" s="59"/>
      <c r="X362" s="59"/>
      <c r="Y362" s="59"/>
      <c r="Z362" s="59"/>
      <c r="AA362" s="59"/>
      <c r="AB362" s="2"/>
      <c r="AC362" s="32"/>
      <c r="AD362" s="59"/>
      <c r="AE362" s="2"/>
      <c r="AF362" s="32"/>
      <c r="AG362" s="59"/>
      <c r="AH362" s="2"/>
      <c r="AI362" s="32"/>
    </row>
    <row r="363" spans="1:35" ht="22.05" customHeight="1">
      <c r="A363" s="72"/>
      <c r="B363" s="72"/>
      <c r="C363" s="59"/>
      <c r="D363" s="59"/>
      <c r="E363" s="59"/>
      <c r="F363" s="59"/>
      <c r="G363" s="59"/>
      <c r="H363" s="64" t="s">
        <v>2002</v>
      </c>
      <c r="I363" s="64" t="s">
        <v>2003</v>
      </c>
      <c r="J363" s="64">
        <v>8.1637500000000004E-4</v>
      </c>
      <c r="K363" s="64" t="s">
        <v>2004</v>
      </c>
      <c r="L363" s="64">
        <v>681.80529999999999</v>
      </c>
      <c r="M363" s="64">
        <f t="shared" si="9"/>
        <v>0.55660880178750005</v>
      </c>
      <c r="N363" s="64" t="s">
        <v>150</v>
      </c>
      <c r="O363" s="59"/>
      <c r="P363" s="86"/>
      <c r="Q363" s="86"/>
      <c r="R363" s="86"/>
      <c r="S363" s="86"/>
      <c r="T363" s="59"/>
      <c r="U363" s="59"/>
      <c r="V363" s="59"/>
      <c r="W363" s="59"/>
      <c r="X363" s="59"/>
      <c r="Y363" s="59"/>
      <c r="Z363" s="59"/>
      <c r="AA363" s="59"/>
      <c r="AB363" s="2"/>
      <c r="AC363" s="32"/>
      <c r="AD363" s="59"/>
      <c r="AE363" s="2"/>
      <c r="AF363" s="32"/>
      <c r="AG363" s="59"/>
      <c r="AH363" s="2"/>
      <c r="AI363" s="32"/>
    </row>
    <row r="364" spans="1:35" ht="22.05" customHeight="1">
      <c r="A364" s="72"/>
      <c r="B364" s="72"/>
      <c r="C364" s="59"/>
      <c r="D364" s="59"/>
      <c r="E364" s="59"/>
      <c r="F364" s="59"/>
      <c r="G364" s="59"/>
      <c r="H364" s="64" t="s">
        <v>2016</v>
      </c>
      <c r="I364" s="64" t="s">
        <v>2017</v>
      </c>
      <c r="J364" s="64">
        <v>0.21199999999999999</v>
      </c>
      <c r="K364" s="64" t="s">
        <v>2018</v>
      </c>
      <c r="L364" s="64">
        <v>0.10440000000000001</v>
      </c>
      <c r="M364" s="64">
        <f t="shared" si="9"/>
        <v>2.2132800000000001E-2</v>
      </c>
      <c r="N364" s="64" t="s">
        <v>150</v>
      </c>
      <c r="O364" s="59"/>
      <c r="P364" s="86"/>
      <c r="Q364" s="86"/>
      <c r="R364" s="86"/>
      <c r="S364" s="86"/>
      <c r="T364" s="59"/>
      <c r="U364" s="59"/>
      <c r="V364" s="59"/>
      <c r="W364" s="59"/>
      <c r="X364" s="59"/>
      <c r="Y364" s="59"/>
      <c r="Z364" s="59"/>
      <c r="AA364" s="59"/>
      <c r="AB364" s="2"/>
      <c r="AC364" s="32"/>
      <c r="AD364" s="59"/>
      <c r="AE364" s="2"/>
      <c r="AF364" s="32"/>
      <c r="AG364" s="59"/>
      <c r="AH364" s="2"/>
      <c r="AI364" s="32"/>
    </row>
    <row r="365" spans="1:35" ht="22.05" customHeight="1">
      <c r="A365" s="72"/>
      <c r="B365" s="72"/>
      <c r="C365" s="59"/>
      <c r="D365" s="59"/>
      <c r="E365" s="59"/>
      <c r="F365" s="59"/>
      <c r="G365" s="59"/>
      <c r="H365" s="64" t="s">
        <v>2019</v>
      </c>
      <c r="I365" s="64" t="s">
        <v>2020</v>
      </c>
      <c r="J365" s="64">
        <v>9.7422680410000009</v>
      </c>
      <c r="K365" s="64" t="s">
        <v>2018</v>
      </c>
      <c r="L365" s="64">
        <v>0.3</v>
      </c>
      <c r="M365" s="64">
        <f t="shared" si="9"/>
        <v>2.9226804123000001</v>
      </c>
      <c r="N365" s="64" t="s">
        <v>150</v>
      </c>
      <c r="O365" s="59"/>
      <c r="P365" s="86"/>
      <c r="Q365" s="86"/>
      <c r="R365" s="86"/>
      <c r="S365" s="86"/>
      <c r="T365" s="59"/>
      <c r="U365" s="59"/>
      <c r="V365" s="59"/>
      <c r="W365" s="59"/>
      <c r="X365" s="59"/>
      <c r="Y365" s="59"/>
      <c r="Z365" s="59"/>
      <c r="AA365" s="59"/>
      <c r="AB365" s="2"/>
      <c r="AC365" s="32"/>
      <c r="AD365" s="59"/>
      <c r="AE365" s="2"/>
      <c r="AF365" s="32"/>
      <c r="AG365" s="59"/>
      <c r="AH365" s="2"/>
      <c r="AI365" s="32"/>
    </row>
    <row r="366" spans="1:35" ht="22.05" customHeight="1">
      <c r="A366" s="72"/>
      <c r="B366" s="72"/>
      <c r="C366" s="59"/>
      <c r="D366" s="59"/>
      <c r="E366" s="59"/>
      <c r="F366" s="59"/>
      <c r="G366" s="59"/>
      <c r="H366" s="64" t="s">
        <v>2002</v>
      </c>
      <c r="I366" s="64" t="s">
        <v>2003</v>
      </c>
      <c r="J366" s="64">
        <v>1.47525E-3</v>
      </c>
      <c r="K366" s="64" t="s">
        <v>2004</v>
      </c>
      <c r="L366" s="64">
        <v>681.80529999999999</v>
      </c>
      <c r="M366" s="64">
        <f t="shared" si="9"/>
        <v>1.005833268825</v>
      </c>
      <c r="N366" s="64" t="s">
        <v>150</v>
      </c>
      <c r="O366" s="59"/>
      <c r="P366" s="86"/>
      <c r="Q366" s="86"/>
      <c r="R366" s="86"/>
      <c r="S366" s="86"/>
      <c r="T366" s="59"/>
      <c r="U366" s="59"/>
      <c r="V366" s="59"/>
      <c r="W366" s="59"/>
      <c r="X366" s="59"/>
      <c r="Y366" s="59"/>
      <c r="Z366" s="59"/>
      <c r="AA366" s="59"/>
      <c r="AB366" s="2"/>
      <c r="AC366" s="32"/>
      <c r="AD366" s="59"/>
      <c r="AE366" s="2"/>
      <c r="AF366" s="32"/>
      <c r="AG366" s="59"/>
      <c r="AH366" s="2"/>
      <c r="AI366" s="32"/>
    </row>
    <row r="367" spans="1:35" ht="22.05" customHeight="1">
      <c r="A367" s="72"/>
      <c r="B367" s="72"/>
      <c r="C367" s="59"/>
      <c r="D367" s="59"/>
      <c r="E367" s="59"/>
      <c r="F367" s="59"/>
      <c r="G367" s="59"/>
      <c r="H367" s="64" t="s">
        <v>2016</v>
      </c>
      <c r="I367" s="64" t="s">
        <v>2017</v>
      </c>
      <c r="J367" s="64">
        <v>0.66</v>
      </c>
      <c r="K367" s="64" t="s">
        <v>2018</v>
      </c>
      <c r="L367" s="64">
        <v>0.10440000000000001</v>
      </c>
      <c r="M367" s="64">
        <f t="shared" si="9"/>
        <v>6.8904000000000007E-2</v>
      </c>
      <c r="N367" s="64" t="s">
        <v>150</v>
      </c>
      <c r="O367" s="59"/>
      <c r="P367" s="86"/>
      <c r="Q367" s="86"/>
      <c r="R367" s="86"/>
      <c r="S367" s="86"/>
      <c r="T367" s="59"/>
      <c r="U367" s="59"/>
      <c r="V367" s="59"/>
      <c r="W367" s="59"/>
      <c r="X367" s="59"/>
      <c r="Y367" s="59"/>
      <c r="Z367" s="59"/>
      <c r="AA367" s="59"/>
      <c r="AB367" s="2"/>
      <c r="AC367" s="32"/>
      <c r="AD367" s="59"/>
      <c r="AE367" s="2"/>
      <c r="AF367" s="32"/>
      <c r="AG367" s="59"/>
      <c r="AH367" s="2"/>
      <c r="AI367" s="32"/>
    </row>
    <row r="368" spans="1:35" ht="22.05" customHeight="1">
      <c r="A368" s="72"/>
      <c r="B368" s="72"/>
      <c r="C368" s="59"/>
      <c r="D368" s="59"/>
      <c r="E368" s="59"/>
      <c r="F368" s="59"/>
      <c r="G368" s="59"/>
      <c r="H368" s="64" t="s">
        <v>2005</v>
      </c>
      <c r="I368" s="64" t="s">
        <v>2006</v>
      </c>
      <c r="J368" s="64">
        <v>4.8079825999999999E-3</v>
      </c>
      <c r="K368" s="64" t="s">
        <v>2004</v>
      </c>
      <c r="L368" s="64">
        <v>309.28320000000002</v>
      </c>
      <c r="M368" s="64">
        <f t="shared" si="9"/>
        <v>1.4870282440723201</v>
      </c>
      <c r="N368" s="64" t="s">
        <v>2021</v>
      </c>
      <c r="O368" s="59"/>
      <c r="P368" s="86"/>
      <c r="Q368" s="86"/>
      <c r="R368" s="86"/>
      <c r="S368" s="86"/>
      <c r="T368" s="59"/>
      <c r="U368" s="59"/>
      <c r="V368" s="59"/>
      <c r="W368" s="59"/>
      <c r="X368" s="59"/>
      <c r="Y368" s="59"/>
      <c r="Z368" s="59"/>
      <c r="AA368" s="59"/>
      <c r="AB368" s="2"/>
      <c r="AC368" s="32"/>
      <c r="AD368" s="59"/>
      <c r="AE368" s="2"/>
      <c r="AF368" s="32"/>
      <c r="AG368" s="59"/>
      <c r="AH368" s="2"/>
      <c r="AI368" s="32"/>
    </row>
    <row r="369" spans="1:35" ht="22.05" customHeight="1">
      <c r="A369" s="72"/>
      <c r="B369" s="72"/>
      <c r="C369" s="59"/>
      <c r="D369" s="59"/>
      <c r="E369" s="59"/>
      <c r="F369" s="59"/>
      <c r="G369" s="59"/>
      <c r="H369" s="64" t="s">
        <v>2010</v>
      </c>
      <c r="I369" s="64" t="s">
        <v>2011</v>
      </c>
      <c r="J369" s="64">
        <v>3.4571429000000002E-3</v>
      </c>
      <c r="K369" s="64" t="s">
        <v>2012</v>
      </c>
      <c r="L369" s="64">
        <v>15.8828</v>
      </c>
      <c r="M369" s="64">
        <f t="shared" si="9"/>
        <v>5.4909109252120003E-2</v>
      </c>
      <c r="N369" s="64" t="s">
        <v>150</v>
      </c>
      <c r="O369" s="59"/>
      <c r="P369" s="86"/>
      <c r="Q369" s="86"/>
      <c r="R369" s="86"/>
      <c r="S369" s="86"/>
      <c r="T369" s="59"/>
      <c r="U369" s="59"/>
      <c r="V369" s="59"/>
      <c r="W369" s="59"/>
      <c r="X369" s="59"/>
      <c r="Y369" s="59"/>
      <c r="Z369" s="59"/>
      <c r="AA369" s="59"/>
      <c r="AB369" s="2"/>
      <c r="AC369" s="32"/>
      <c r="AD369" s="59"/>
      <c r="AE369" s="2"/>
      <c r="AF369" s="32"/>
      <c r="AG369" s="59"/>
      <c r="AH369" s="2"/>
      <c r="AI369" s="32"/>
    </row>
    <row r="370" spans="1:35" ht="22.05" customHeight="1">
      <c r="A370" s="72"/>
      <c r="B370" s="72"/>
      <c r="C370" s="59"/>
      <c r="D370" s="59"/>
      <c r="E370" s="59"/>
      <c r="F370" s="59"/>
      <c r="G370" s="59"/>
      <c r="H370" s="64" t="s">
        <v>2022</v>
      </c>
      <c r="I370" s="64" t="s">
        <v>2023</v>
      </c>
      <c r="J370" s="64">
        <v>6.0889175260000004</v>
      </c>
      <c r="K370" s="64" t="s">
        <v>2018</v>
      </c>
      <c r="L370" s="64">
        <v>0.54500000000000004</v>
      </c>
      <c r="M370" s="64">
        <f t="shared" si="9"/>
        <v>3.3184600516700002</v>
      </c>
      <c r="N370" s="64" t="s">
        <v>150</v>
      </c>
      <c r="O370" s="59"/>
      <c r="P370" s="86"/>
      <c r="Q370" s="86"/>
      <c r="R370" s="86"/>
      <c r="S370" s="86"/>
      <c r="T370" s="59"/>
      <c r="U370" s="59"/>
      <c r="V370" s="59"/>
      <c r="W370" s="59"/>
      <c r="X370" s="59"/>
      <c r="Y370" s="59"/>
      <c r="Z370" s="59"/>
      <c r="AA370" s="59"/>
      <c r="AB370" s="2"/>
      <c r="AC370" s="32"/>
      <c r="AD370" s="59"/>
      <c r="AE370" s="2"/>
      <c r="AF370" s="32"/>
      <c r="AG370" s="59"/>
      <c r="AH370" s="2"/>
      <c r="AI370" s="32"/>
    </row>
    <row r="371" spans="1:35" ht="22.05" customHeight="1">
      <c r="A371" s="72"/>
      <c r="B371" s="72"/>
      <c r="C371" s="59"/>
      <c r="D371" s="59"/>
      <c r="E371" s="59"/>
      <c r="F371" s="59"/>
      <c r="G371" s="59"/>
      <c r="H371" s="64" t="s">
        <v>2016</v>
      </c>
      <c r="I371" s="64" t="s">
        <v>2017</v>
      </c>
      <c r="J371" s="64">
        <v>0.09</v>
      </c>
      <c r="K371" s="64" t="s">
        <v>2018</v>
      </c>
      <c r="L371" s="64">
        <v>0.10440000000000001</v>
      </c>
      <c r="M371" s="64">
        <f t="shared" si="9"/>
        <v>9.3959999999999998E-3</v>
      </c>
      <c r="N371" s="64" t="s">
        <v>150</v>
      </c>
      <c r="O371" s="59"/>
      <c r="P371" s="86"/>
      <c r="Q371" s="86"/>
      <c r="R371" s="86"/>
      <c r="S371" s="86"/>
      <c r="T371" s="59"/>
      <c r="U371" s="59"/>
      <c r="V371" s="59"/>
      <c r="W371" s="59"/>
      <c r="X371" s="59"/>
      <c r="Y371" s="59"/>
      <c r="Z371" s="59"/>
      <c r="AA371" s="59"/>
      <c r="AB371" s="2"/>
      <c r="AC371" s="32"/>
      <c r="AD371" s="59"/>
      <c r="AE371" s="2"/>
      <c r="AF371" s="32"/>
      <c r="AG371" s="59"/>
      <c r="AH371" s="2"/>
      <c r="AI371" s="32"/>
    </row>
    <row r="372" spans="1:35" ht="22.05" customHeight="1">
      <c r="A372" s="72"/>
      <c r="B372" s="72"/>
      <c r="C372" s="59"/>
      <c r="D372" s="59"/>
      <c r="E372" s="59"/>
      <c r="F372" s="59"/>
      <c r="G372" s="59"/>
      <c r="H372" s="64" t="s">
        <v>2010</v>
      </c>
      <c r="I372" s="64" t="s">
        <v>2011</v>
      </c>
      <c r="J372" s="64">
        <v>6.6560000000000002E-4</v>
      </c>
      <c r="K372" s="64" t="s">
        <v>2012</v>
      </c>
      <c r="L372" s="64">
        <v>15.8828</v>
      </c>
      <c r="M372" s="64">
        <f t="shared" si="9"/>
        <v>1.0571591680000001E-2</v>
      </c>
      <c r="N372" s="64" t="s">
        <v>150</v>
      </c>
      <c r="O372" s="59"/>
      <c r="P372" s="86"/>
      <c r="Q372" s="86"/>
      <c r="R372" s="86"/>
      <c r="S372" s="86"/>
      <c r="T372" s="59"/>
      <c r="U372" s="59"/>
      <c r="V372" s="59"/>
      <c r="W372" s="59"/>
      <c r="X372" s="59"/>
      <c r="Y372" s="59"/>
      <c r="Z372" s="59"/>
      <c r="AA372" s="59"/>
      <c r="AB372" s="2"/>
      <c r="AC372" s="32"/>
      <c r="AD372" s="59"/>
      <c r="AE372" s="2"/>
      <c r="AF372" s="32"/>
      <c r="AG372" s="59"/>
      <c r="AH372" s="2"/>
      <c r="AI372" s="32"/>
    </row>
    <row r="373" spans="1:35" ht="22.05" customHeight="1">
      <c r="A373" s="72"/>
      <c r="B373" s="72"/>
      <c r="C373" s="59"/>
      <c r="D373" s="59"/>
      <c r="E373" s="59"/>
      <c r="F373" s="59"/>
      <c r="G373" s="59"/>
      <c r="H373" s="64" t="s">
        <v>2019</v>
      </c>
      <c r="I373" s="64" t="s">
        <v>2020</v>
      </c>
      <c r="J373" s="64">
        <v>1.7536082470000001</v>
      </c>
      <c r="K373" s="64" t="s">
        <v>2018</v>
      </c>
      <c r="L373" s="64">
        <v>0.3</v>
      </c>
      <c r="M373" s="64">
        <f t="shared" si="9"/>
        <v>0.52608247409999997</v>
      </c>
      <c r="N373" s="64" t="s">
        <v>150</v>
      </c>
      <c r="O373" s="59"/>
      <c r="P373" s="86"/>
      <c r="Q373" s="86"/>
      <c r="R373" s="86"/>
      <c r="S373" s="86"/>
      <c r="T373" s="59"/>
      <c r="U373" s="59"/>
      <c r="V373" s="59"/>
      <c r="W373" s="59"/>
      <c r="X373" s="59"/>
      <c r="Y373" s="59"/>
      <c r="Z373" s="59"/>
      <c r="AA373" s="59"/>
      <c r="AB373" s="2"/>
      <c r="AC373" s="32"/>
      <c r="AD373" s="59"/>
      <c r="AE373" s="2"/>
      <c r="AF373" s="32"/>
      <c r="AG373" s="59"/>
      <c r="AH373" s="2"/>
      <c r="AI373" s="32"/>
    </row>
    <row r="374" spans="1:35" ht="22.05" customHeight="1">
      <c r="A374" s="72"/>
      <c r="B374" s="72"/>
      <c r="C374" s="59"/>
      <c r="D374" s="59"/>
      <c r="E374" s="59"/>
      <c r="F374" s="59"/>
      <c r="G374" s="59"/>
      <c r="H374" s="64" t="s">
        <v>2005</v>
      </c>
      <c r="I374" s="64" t="s">
        <v>2006</v>
      </c>
      <c r="J374" s="64">
        <v>2.5770400000000001E-3</v>
      </c>
      <c r="K374" s="64" t="s">
        <v>2004</v>
      </c>
      <c r="L374" s="64">
        <v>309.28320000000002</v>
      </c>
      <c r="M374" s="64">
        <f t="shared" si="9"/>
        <v>0.79703517772800003</v>
      </c>
      <c r="N374" s="64" t="s">
        <v>2024</v>
      </c>
      <c r="O374" s="59"/>
      <c r="P374" s="86"/>
      <c r="Q374" s="86"/>
      <c r="R374" s="86"/>
      <c r="S374" s="86"/>
      <c r="T374" s="59"/>
      <c r="U374" s="59"/>
      <c r="V374" s="59"/>
      <c r="W374" s="59"/>
      <c r="X374" s="59"/>
      <c r="Y374" s="59"/>
      <c r="Z374" s="59"/>
      <c r="AA374" s="59"/>
      <c r="AB374" s="2"/>
      <c r="AC374" s="32"/>
      <c r="AD374" s="59"/>
      <c r="AE374" s="2"/>
      <c r="AF374" s="32"/>
      <c r="AG374" s="59"/>
      <c r="AH374" s="2"/>
      <c r="AI374" s="32"/>
    </row>
    <row r="375" spans="1:35" ht="22.05" customHeight="1">
      <c r="A375" s="72"/>
      <c r="B375" s="72"/>
      <c r="C375" s="59"/>
      <c r="D375" s="59"/>
      <c r="E375" s="59"/>
      <c r="F375" s="59"/>
      <c r="G375" s="59"/>
      <c r="H375" s="225" t="s">
        <v>2025</v>
      </c>
      <c r="I375" s="225"/>
      <c r="J375" s="225"/>
      <c r="K375" s="225"/>
      <c r="L375" s="225"/>
      <c r="M375" s="64">
        <f>SUM(M359:M374)</f>
        <v>37.943115052160444</v>
      </c>
      <c r="N375" s="64"/>
      <c r="O375" s="59"/>
      <c r="P375" s="86"/>
      <c r="Q375" s="86"/>
      <c r="R375" s="86"/>
      <c r="S375" s="86"/>
      <c r="T375" s="59"/>
      <c r="U375" s="59"/>
      <c r="V375" s="59"/>
      <c r="W375" s="59"/>
      <c r="X375" s="59"/>
      <c r="Y375" s="59"/>
      <c r="Z375" s="59"/>
      <c r="AA375" s="59"/>
      <c r="AB375" s="2"/>
      <c r="AC375" s="32"/>
      <c r="AD375" s="59"/>
      <c r="AE375" s="2"/>
      <c r="AF375" s="32"/>
      <c r="AG375" s="59"/>
      <c r="AH375" s="2"/>
      <c r="AI375" s="32"/>
    </row>
    <row r="376" spans="1:35" ht="22.05" customHeight="1">
      <c r="A376" s="72"/>
      <c r="B376" s="72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86"/>
      <c r="Q376" s="86"/>
      <c r="R376" s="86"/>
      <c r="S376" s="86"/>
      <c r="T376" s="59"/>
      <c r="U376" s="59"/>
      <c r="V376" s="59"/>
      <c r="W376" s="59"/>
      <c r="X376" s="59"/>
      <c r="Y376" s="59"/>
      <c r="Z376" s="59"/>
      <c r="AA376" s="59"/>
      <c r="AB376" s="2"/>
      <c r="AC376" s="32"/>
      <c r="AD376" s="59"/>
      <c r="AE376" s="2"/>
      <c r="AF376" s="32"/>
      <c r="AG376" s="59"/>
      <c r="AH376" s="2"/>
      <c r="AI376" s="32"/>
    </row>
    <row r="377" spans="1:35" ht="22.05" customHeight="1">
      <c r="A377" s="72"/>
      <c r="B377" s="72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86"/>
      <c r="Q377" s="86"/>
      <c r="R377" s="86"/>
      <c r="S377" s="86"/>
      <c r="T377" s="59"/>
      <c r="U377" s="59"/>
      <c r="V377" s="59"/>
      <c r="W377" s="59"/>
      <c r="X377" s="59"/>
      <c r="Y377" s="59"/>
      <c r="Z377" s="59"/>
      <c r="AA377" s="59"/>
      <c r="AB377" s="2"/>
      <c r="AC377" s="32"/>
      <c r="AD377" s="59"/>
      <c r="AE377" s="2"/>
      <c r="AF377" s="32"/>
      <c r="AG377" s="59"/>
      <c r="AH377" s="2"/>
      <c r="AI377" s="32"/>
    </row>
    <row r="378" spans="1:35" ht="22.05" customHeight="1">
      <c r="A378" s="72"/>
      <c r="B378" s="72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86"/>
      <c r="Q378" s="86"/>
      <c r="R378" s="86"/>
      <c r="S378" s="86"/>
      <c r="T378" s="59"/>
      <c r="U378" s="59"/>
      <c r="V378" s="59"/>
      <c r="W378" s="59"/>
      <c r="X378" s="59"/>
      <c r="Y378" s="59"/>
      <c r="Z378" s="59"/>
      <c r="AA378" s="59"/>
      <c r="AB378" s="2"/>
      <c r="AC378" s="32"/>
      <c r="AD378" s="59"/>
      <c r="AE378" s="2"/>
      <c r="AF378" s="32"/>
      <c r="AG378" s="59"/>
      <c r="AH378" s="2"/>
      <c r="AI378" s="32"/>
    </row>
    <row r="379" spans="1:35" ht="22.05" customHeight="1">
      <c r="A379" s="72"/>
      <c r="B379" s="72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86"/>
      <c r="Q379" s="86"/>
      <c r="R379" s="86"/>
      <c r="S379" s="86"/>
      <c r="T379" s="59"/>
      <c r="U379" s="59"/>
      <c r="V379" s="59"/>
      <c r="W379" s="59"/>
      <c r="X379" s="59"/>
      <c r="Y379" s="59"/>
      <c r="Z379" s="59"/>
      <c r="AA379" s="59"/>
      <c r="AB379" s="2"/>
      <c r="AC379" s="32"/>
      <c r="AD379" s="59"/>
      <c r="AE379" s="2"/>
      <c r="AF379" s="32"/>
      <c r="AG379" s="59"/>
      <c r="AH379" s="2"/>
      <c r="AI379" s="32"/>
    </row>
    <row r="380" spans="1:35" ht="22.05" customHeight="1">
      <c r="A380" s="72"/>
      <c r="B380" s="72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86"/>
      <c r="Q380" s="86"/>
      <c r="R380" s="86"/>
      <c r="S380" s="86"/>
      <c r="T380" s="59"/>
      <c r="U380" s="59"/>
      <c r="V380" s="59"/>
      <c r="W380" s="59"/>
      <c r="X380" s="59"/>
      <c r="Y380" s="59"/>
      <c r="Z380" s="59"/>
      <c r="AA380" s="59"/>
      <c r="AB380" s="2"/>
      <c r="AC380" s="32"/>
      <c r="AD380" s="59"/>
      <c r="AE380" s="2"/>
      <c r="AF380" s="32"/>
      <c r="AG380" s="59"/>
      <c r="AH380" s="2"/>
      <c r="AI380" s="32"/>
    </row>
    <row r="381" spans="1:35" ht="22.05" customHeight="1">
      <c r="A381" s="72"/>
      <c r="B381" s="72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86"/>
      <c r="Q381" s="86"/>
      <c r="R381" s="86"/>
      <c r="S381" s="86"/>
      <c r="T381" s="59"/>
      <c r="U381" s="59"/>
      <c r="V381" s="59"/>
      <c r="W381" s="59"/>
      <c r="X381" s="59"/>
      <c r="Y381" s="59"/>
      <c r="Z381" s="59"/>
      <c r="AA381" s="59"/>
      <c r="AB381" s="2"/>
      <c r="AC381" s="32"/>
      <c r="AD381" s="59"/>
      <c r="AE381" s="2"/>
      <c r="AF381" s="32"/>
      <c r="AG381" s="59"/>
      <c r="AH381" s="2"/>
      <c r="AI381" s="32"/>
    </row>
    <row r="382" spans="1:35" ht="22.05" customHeight="1">
      <c r="A382" s="72"/>
      <c r="B382" s="72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86"/>
      <c r="Q382" s="86"/>
      <c r="R382" s="86"/>
      <c r="S382" s="86"/>
      <c r="T382" s="59"/>
      <c r="U382" s="59"/>
      <c r="V382" s="59"/>
      <c r="W382" s="59"/>
      <c r="X382" s="59"/>
      <c r="Y382" s="59"/>
      <c r="Z382" s="59"/>
      <c r="AA382" s="59"/>
      <c r="AB382" s="2"/>
      <c r="AC382" s="32"/>
      <c r="AD382" s="59"/>
      <c r="AE382" s="2"/>
      <c r="AF382" s="32"/>
      <c r="AG382" s="59"/>
      <c r="AH382" s="2"/>
      <c r="AI382" s="32"/>
    </row>
    <row r="383" spans="1:35" ht="22.05" customHeight="1">
      <c r="A383" s="72"/>
      <c r="B383" s="72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86"/>
      <c r="Q383" s="86"/>
      <c r="R383" s="86"/>
      <c r="S383" s="86"/>
      <c r="T383" s="59"/>
      <c r="U383" s="59"/>
      <c r="V383" s="59"/>
      <c r="W383" s="59"/>
      <c r="X383" s="59"/>
      <c r="Y383" s="59"/>
      <c r="Z383" s="59"/>
      <c r="AA383" s="59"/>
      <c r="AB383" s="2"/>
      <c r="AC383" s="32"/>
      <c r="AD383" s="59"/>
      <c r="AE383" s="2"/>
      <c r="AF383" s="32"/>
      <c r="AG383" s="59"/>
      <c r="AH383" s="2"/>
      <c r="AI383" s="32"/>
    </row>
    <row r="384" spans="1:35" ht="22.05" customHeight="1">
      <c r="A384" s="72"/>
      <c r="B384" s="72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86"/>
      <c r="Q384" s="86"/>
      <c r="R384" s="86"/>
      <c r="S384" s="86"/>
      <c r="T384" s="59"/>
      <c r="U384" s="59"/>
      <c r="V384" s="59"/>
      <c r="W384" s="59"/>
      <c r="X384" s="59"/>
      <c r="Y384" s="59"/>
      <c r="Z384" s="59"/>
      <c r="AA384" s="59"/>
      <c r="AB384" s="2"/>
      <c r="AC384" s="32"/>
      <c r="AD384" s="59"/>
      <c r="AE384" s="2"/>
      <c r="AF384" s="32"/>
      <c r="AG384" s="59"/>
      <c r="AH384" s="2"/>
      <c r="AI384" s="32"/>
    </row>
    <row r="385" spans="1:35" ht="22.05" customHeight="1">
      <c r="A385" s="72"/>
      <c r="B385" s="72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86"/>
      <c r="Q385" s="86"/>
      <c r="R385" s="86"/>
      <c r="S385" s="86"/>
      <c r="T385" s="59"/>
      <c r="U385" s="59"/>
      <c r="V385" s="59"/>
      <c r="W385" s="59"/>
      <c r="X385" s="59"/>
      <c r="Y385" s="59"/>
      <c r="Z385" s="59"/>
      <c r="AA385" s="59"/>
      <c r="AB385" s="2"/>
      <c r="AC385" s="32"/>
      <c r="AD385" s="59"/>
      <c r="AE385" s="2"/>
      <c r="AF385" s="32"/>
      <c r="AG385" s="59"/>
      <c r="AH385" s="2"/>
      <c r="AI385" s="32"/>
    </row>
    <row r="386" spans="1:35" ht="22.05" customHeight="1">
      <c r="A386" s="72"/>
      <c r="B386" s="72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86"/>
      <c r="Q386" s="86"/>
      <c r="R386" s="86"/>
      <c r="S386" s="86"/>
      <c r="T386" s="59"/>
      <c r="U386" s="59"/>
      <c r="V386" s="59"/>
      <c r="W386" s="59"/>
      <c r="X386" s="59"/>
      <c r="Y386" s="59"/>
      <c r="Z386" s="59"/>
      <c r="AA386" s="59"/>
      <c r="AB386" s="2"/>
      <c r="AC386" s="32"/>
      <c r="AD386" s="59"/>
      <c r="AE386" s="2"/>
      <c r="AF386" s="32"/>
      <c r="AG386" s="59"/>
      <c r="AH386" s="2"/>
      <c r="AI386" s="32"/>
    </row>
    <row r="387" spans="1:35" ht="22.05" customHeight="1">
      <c r="A387" s="72"/>
      <c r="B387" s="72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86"/>
      <c r="Q387" s="86"/>
      <c r="R387" s="86"/>
      <c r="S387" s="86"/>
      <c r="T387" s="59"/>
      <c r="U387" s="59"/>
      <c r="V387" s="59"/>
      <c r="W387" s="59"/>
      <c r="X387" s="59"/>
      <c r="Y387" s="59"/>
      <c r="Z387" s="59"/>
      <c r="AA387" s="59"/>
      <c r="AB387" s="2"/>
      <c r="AC387" s="32"/>
      <c r="AD387" s="59"/>
      <c r="AE387" s="2"/>
      <c r="AF387" s="32"/>
      <c r="AG387" s="59"/>
      <c r="AH387" s="2"/>
      <c r="AI387" s="32"/>
    </row>
    <row r="388" spans="1:35" ht="22.05" customHeight="1">
      <c r="A388" s="72"/>
      <c r="B388" s="72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86"/>
      <c r="Q388" s="86"/>
      <c r="R388" s="86"/>
      <c r="S388" s="86"/>
      <c r="T388" s="59"/>
      <c r="U388" s="59"/>
      <c r="V388" s="59"/>
      <c r="W388" s="59"/>
      <c r="X388" s="59"/>
      <c r="Y388" s="59"/>
      <c r="Z388" s="59"/>
      <c r="AA388" s="59"/>
      <c r="AB388" s="2"/>
      <c r="AC388" s="32"/>
      <c r="AD388" s="59"/>
      <c r="AE388" s="2"/>
      <c r="AF388" s="32"/>
      <c r="AG388" s="59"/>
      <c r="AH388" s="2"/>
      <c r="AI388" s="32"/>
    </row>
    <row r="389" spans="1:35" ht="22.05" customHeight="1">
      <c r="A389" s="72"/>
      <c r="B389" s="72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86"/>
      <c r="Q389" s="86"/>
      <c r="R389" s="86"/>
      <c r="S389" s="86"/>
      <c r="T389" s="59"/>
      <c r="U389" s="59"/>
      <c r="V389" s="59"/>
      <c r="W389" s="59"/>
      <c r="X389" s="59"/>
      <c r="Y389" s="59"/>
      <c r="Z389" s="59"/>
      <c r="AA389" s="59"/>
      <c r="AB389" s="2"/>
      <c r="AC389" s="32"/>
      <c r="AD389" s="59"/>
      <c r="AE389" s="2"/>
      <c r="AF389" s="32"/>
      <c r="AG389" s="59"/>
      <c r="AH389" s="2"/>
      <c r="AI389" s="32"/>
    </row>
    <row r="390" spans="1:35" ht="22.05" customHeight="1">
      <c r="A390" s="72"/>
      <c r="B390" s="72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86"/>
      <c r="Q390" s="86"/>
      <c r="R390" s="86"/>
      <c r="S390" s="86"/>
      <c r="T390" s="59"/>
      <c r="U390" s="59"/>
      <c r="V390" s="59"/>
      <c r="W390" s="59"/>
      <c r="X390" s="59"/>
      <c r="Y390" s="59"/>
      <c r="Z390" s="59"/>
      <c r="AA390" s="59"/>
      <c r="AB390" s="2"/>
      <c r="AC390" s="32"/>
      <c r="AD390" s="59"/>
      <c r="AE390" s="2"/>
      <c r="AF390" s="32"/>
      <c r="AG390" s="59"/>
      <c r="AH390" s="2"/>
      <c r="AI390" s="32"/>
    </row>
    <row r="391" spans="1:35" ht="22.05" customHeight="1">
      <c r="A391" s="72"/>
      <c r="B391" s="72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86"/>
      <c r="Q391" s="86"/>
      <c r="R391" s="86"/>
      <c r="S391" s="86"/>
      <c r="T391" s="59"/>
      <c r="U391" s="59"/>
      <c r="V391" s="59"/>
      <c r="W391" s="59"/>
      <c r="X391" s="59"/>
      <c r="Y391" s="59"/>
      <c r="Z391" s="59"/>
      <c r="AA391" s="59"/>
      <c r="AB391" s="2"/>
      <c r="AC391" s="32"/>
      <c r="AD391" s="59"/>
      <c r="AE391" s="2"/>
      <c r="AF391" s="32"/>
      <c r="AG391" s="59"/>
      <c r="AH391" s="2"/>
      <c r="AI391" s="32"/>
    </row>
    <row r="392" spans="1:35" ht="22.05" customHeight="1">
      <c r="A392" s="72"/>
      <c r="B392" s="72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86"/>
      <c r="Q392" s="86"/>
      <c r="R392" s="86"/>
      <c r="S392" s="86"/>
      <c r="T392" s="59"/>
      <c r="U392" s="59"/>
      <c r="V392" s="59"/>
      <c r="W392" s="59"/>
      <c r="X392" s="59"/>
      <c r="Y392" s="59"/>
      <c r="Z392" s="59"/>
      <c r="AA392" s="59"/>
      <c r="AB392" s="2"/>
      <c r="AC392" s="32"/>
      <c r="AD392" s="59"/>
      <c r="AE392" s="2"/>
      <c r="AF392" s="32"/>
      <c r="AG392" s="59"/>
      <c r="AH392" s="2"/>
      <c r="AI392" s="32"/>
    </row>
    <row r="393" spans="1:35" ht="22.05" customHeight="1">
      <c r="A393" s="72"/>
      <c r="B393" s="72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86"/>
      <c r="Q393" s="86"/>
      <c r="R393" s="86"/>
      <c r="S393" s="86"/>
      <c r="T393" s="59"/>
      <c r="U393" s="59"/>
      <c r="V393" s="59"/>
      <c r="W393" s="59"/>
      <c r="X393" s="59"/>
      <c r="Y393" s="59"/>
      <c r="Z393" s="59"/>
      <c r="AA393" s="59"/>
      <c r="AB393" s="2"/>
      <c r="AC393" s="32"/>
      <c r="AD393" s="59"/>
      <c r="AE393" s="2"/>
      <c r="AF393" s="32"/>
      <c r="AG393" s="59"/>
      <c r="AH393" s="2"/>
      <c r="AI393" s="32"/>
    </row>
    <row r="394" spans="1:35" ht="22.05" customHeight="1">
      <c r="A394" s="72"/>
      <c r="B394" s="72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86"/>
      <c r="Q394" s="86"/>
      <c r="R394" s="86"/>
      <c r="S394" s="86"/>
      <c r="T394" s="59"/>
      <c r="U394" s="59"/>
      <c r="V394" s="59"/>
      <c r="W394" s="59"/>
      <c r="X394" s="59"/>
      <c r="Y394" s="59"/>
      <c r="Z394" s="59"/>
      <c r="AA394" s="59"/>
      <c r="AB394" s="2"/>
      <c r="AC394" s="32"/>
      <c r="AD394" s="59"/>
      <c r="AE394" s="2"/>
      <c r="AF394" s="32"/>
      <c r="AG394" s="59"/>
      <c r="AH394" s="2"/>
      <c r="AI394" s="32"/>
    </row>
    <row r="395" spans="1:35" ht="22.05" customHeight="1">
      <c r="A395" s="72"/>
      <c r="B395" s="72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86"/>
      <c r="Q395" s="86"/>
      <c r="R395" s="86"/>
      <c r="S395" s="86"/>
      <c r="T395" s="59"/>
      <c r="U395" s="59"/>
      <c r="V395" s="59"/>
      <c r="W395" s="59"/>
      <c r="X395" s="59"/>
      <c r="Y395" s="59"/>
      <c r="Z395" s="59"/>
      <c r="AA395" s="59"/>
      <c r="AB395" s="2"/>
      <c r="AC395" s="32"/>
      <c r="AD395" s="59"/>
      <c r="AE395" s="2"/>
      <c r="AF395" s="32"/>
      <c r="AG395" s="59"/>
      <c r="AH395" s="2"/>
      <c r="AI395" s="32"/>
    </row>
    <row r="396" spans="1:35" ht="22.05" customHeight="1">
      <c r="A396" s="72"/>
      <c r="B396" s="72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86"/>
      <c r="Q396" s="86"/>
      <c r="R396" s="86"/>
      <c r="S396" s="86"/>
      <c r="T396" s="59"/>
      <c r="U396" s="59"/>
      <c r="V396" s="59"/>
      <c r="W396" s="59"/>
      <c r="X396" s="59"/>
      <c r="Y396" s="59"/>
      <c r="Z396" s="59"/>
      <c r="AA396" s="59"/>
      <c r="AB396" s="2"/>
      <c r="AC396" s="32"/>
      <c r="AD396" s="59"/>
      <c r="AE396" s="2"/>
      <c r="AF396" s="32"/>
      <c r="AG396" s="59"/>
      <c r="AH396" s="2"/>
      <c r="AI396" s="32"/>
    </row>
    <row r="397" spans="1:35" ht="22.05" customHeight="1">
      <c r="A397" s="72"/>
      <c r="B397" s="72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86"/>
      <c r="Q397" s="86"/>
      <c r="R397" s="86"/>
      <c r="S397" s="86"/>
      <c r="T397" s="59"/>
      <c r="U397" s="59"/>
      <c r="V397" s="59"/>
      <c r="W397" s="59"/>
      <c r="X397" s="59"/>
      <c r="Y397" s="59"/>
      <c r="Z397" s="59"/>
      <c r="AA397" s="59"/>
      <c r="AB397" s="2"/>
      <c r="AC397" s="32"/>
      <c r="AD397" s="59"/>
      <c r="AE397" s="2"/>
      <c r="AF397" s="32"/>
      <c r="AG397" s="59"/>
      <c r="AH397" s="2"/>
      <c r="AI397" s="32"/>
    </row>
    <row r="398" spans="1:35" ht="22.05" customHeight="1">
      <c r="A398" s="72"/>
      <c r="B398" s="72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86"/>
      <c r="Q398" s="86"/>
      <c r="R398" s="86"/>
      <c r="S398" s="86"/>
      <c r="T398" s="59"/>
      <c r="U398" s="59"/>
      <c r="V398" s="59"/>
      <c r="W398" s="59"/>
      <c r="X398" s="59"/>
      <c r="Y398" s="59"/>
      <c r="Z398" s="59"/>
      <c r="AA398" s="59"/>
      <c r="AB398" s="2"/>
      <c r="AC398" s="32"/>
      <c r="AD398" s="59"/>
      <c r="AE398" s="2"/>
      <c r="AF398" s="32"/>
      <c r="AG398" s="59"/>
      <c r="AH398" s="2"/>
      <c r="AI398" s="32"/>
    </row>
    <row r="399" spans="1:35" ht="22.05" customHeight="1">
      <c r="A399" s="72"/>
      <c r="B399" s="72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86"/>
      <c r="Q399" s="86"/>
      <c r="R399" s="86"/>
      <c r="S399" s="86"/>
      <c r="T399" s="59"/>
      <c r="U399" s="59"/>
      <c r="V399" s="59"/>
      <c r="W399" s="59"/>
      <c r="X399" s="59"/>
      <c r="Y399" s="59"/>
      <c r="Z399" s="59"/>
      <c r="AA399" s="59"/>
      <c r="AB399" s="2"/>
      <c r="AC399" s="32"/>
      <c r="AD399" s="59"/>
      <c r="AE399" s="2"/>
      <c r="AF399" s="32"/>
      <c r="AG399" s="59"/>
      <c r="AH399" s="2"/>
      <c r="AI399" s="32"/>
    </row>
    <row r="400" spans="1:35" ht="22.05" customHeight="1">
      <c r="A400" s="72"/>
      <c r="B400" s="72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86"/>
      <c r="Q400" s="86"/>
      <c r="R400" s="86"/>
      <c r="S400" s="86"/>
      <c r="T400" s="59"/>
      <c r="U400" s="59"/>
      <c r="V400" s="59"/>
      <c r="W400" s="59"/>
      <c r="X400" s="59"/>
      <c r="Y400" s="59"/>
      <c r="Z400" s="59"/>
      <c r="AA400" s="59"/>
      <c r="AB400" s="2"/>
      <c r="AC400" s="32"/>
      <c r="AD400" s="59"/>
      <c r="AE400" s="2"/>
      <c r="AF400" s="32"/>
      <c r="AG400" s="59"/>
      <c r="AH400" s="2"/>
      <c r="AI400" s="32"/>
    </row>
    <row r="401" spans="1:35" ht="22.05" customHeight="1">
      <c r="A401" s="72"/>
      <c r="B401" s="72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86"/>
      <c r="Q401" s="86"/>
      <c r="R401" s="86"/>
      <c r="S401" s="86"/>
      <c r="T401" s="59"/>
      <c r="U401" s="59"/>
      <c r="V401" s="59"/>
      <c r="W401" s="59"/>
      <c r="X401" s="59"/>
      <c r="Y401" s="59"/>
      <c r="Z401" s="59"/>
      <c r="AA401" s="59"/>
      <c r="AB401" s="2"/>
      <c r="AC401" s="32"/>
      <c r="AD401" s="59"/>
      <c r="AE401" s="2"/>
      <c r="AF401" s="32"/>
      <c r="AG401" s="59"/>
      <c r="AH401" s="2"/>
      <c r="AI401" s="32"/>
    </row>
    <row r="402" spans="1:35" ht="22.05" customHeight="1">
      <c r="A402" s="72"/>
      <c r="B402" s="72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86"/>
      <c r="Q402" s="86"/>
      <c r="R402" s="86"/>
      <c r="S402" s="86"/>
      <c r="T402" s="59"/>
      <c r="U402" s="59"/>
      <c r="V402" s="59"/>
      <c r="W402" s="59"/>
      <c r="X402" s="59"/>
      <c r="Y402" s="59"/>
      <c r="Z402" s="59"/>
      <c r="AA402" s="59"/>
      <c r="AB402" s="2"/>
      <c r="AC402" s="32"/>
      <c r="AD402" s="59"/>
      <c r="AE402" s="2"/>
      <c r="AF402" s="32"/>
      <c r="AG402" s="59"/>
      <c r="AH402" s="2"/>
      <c r="AI402" s="32"/>
    </row>
    <row r="403" spans="1:35" ht="22.05" customHeight="1">
      <c r="A403" s="72"/>
      <c r="B403" s="72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86"/>
      <c r="Q403" s="86"/>
      <c r="R403" s="86"/>
      <c r="S403" s="86"/>
      <c r="T403" s="59"/>
      <c r="U403" s="59"/>
      <c r="V403" s="59"/>
      <c r="W403" s="59"/>
      <c r="X403" s="59"/>
      <c r="Y403" s="59"/>
      <c r="Z403" s="59"/>
      <c r="AA403" s="59"/>
      <c r="AB403" s="2"/>
      <c r="AC403" s="32"/>
      <c r="AD403" s="59"/>
      <c r="AE403" s="2"/>
      <c r="AF403" s="32"/>
      <c r="AG403" s="59"/>
      <c r="AH403" s="2"/>
      <c r="AI403" s="32"/>
    </row>
    <row r="404" spans="1:35" ht="22.05" customHeight="1">
      <c r="A404" s="72"/>
      <c r="B404" s="72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86"/>
      <c r="Q404" s="86"/>
      <c r="R404" s="86"/>
      <c r="S404" s="86"/>
      <c r="T404" s="59"/>
      <c r="U404" s="59"/>
      <c r="V404" s="59"/>
      <c r="W404" s="59"/>
      <c r="X404" s="59"/>
      <c r="Y404" s="59"/>
      <c r="Z404" s="59"/>
      <c r="AA404" s="59"/>
      <c r="AB404" s="2"/>
      <c r="AC404" s="32"/>
      <c r="AD404" s="59"/>
      <c r="AE404" s="2"/>
      <c r="AF404" s="32"/>
      <c r="AG404" s="59"/>
      <c r="AH404" s="2"/>
      <c r="AI404" s="32"/>
    </row>
    <row r="405" spans="1:35" ht="22.05" customHeight="1">
      <c r="A405" s="72"/>
      <c r="B405" s="72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86"/>
      <c r="Q405" s="86"/>
      <c r="R405" s="86"/>
      <c r="S405" s="86"/>
      <c r="T405" s="59"/>
      <c r="U405" s="59"/>
      <c r="V405" s="59"/>
      <c r="W405" s="59"/>
      <c r="X405" s="59"/>
      <c r="Y405" s="59"/>
      <c r="Z405" s="59"/>
      <c r="AA405" s="59"/>
      <c r="AB405" s="2"/>
      <c r="AC405" s="32"/>
      <c r="AD405" s="59"/>
      <c r="AE405" s="2"/>
      <c r="AF405" s="32"/>
      <c r="AG405" s="59"/>
      <c r="AH405" s="2"/>
      <c r="AI405" s="32"/>
    </row>
    <row r="406" spans="1:35" ht="22.05" customHeight="1">
      <c r="A406" s="72"/>
      <c r="B406" s="72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86"/>
      <c r="Q406" s="86"/>
      <c r="R406" s="86"/>
      <c r="S406" s="86"/>
      <c r="T406" s="59"/>
      <c r="U406" s="59"/>
      <c r="V406" s="59"/>
      <c r="W406" s="59"/>
      <c r="X406" s="59"/>
      <c r="Y406" s="59"/>
      <c r="Z406" s="59"/>
      <c r="AA406" s="59"/>
      <c r="AB406" s="2"/>
      <c r="AC406" s="32"/>
      <c r="AD406" s="59"/>
      <c r="AE406" s="2"/>
      <c r="AF406" s="32"/>
      <c r="AG406" s="59"/>
      <c r="AH406" s="2"/>
      <c r="AI406" s="32"/>
    </row>
    <row r="407" spans="1:35" ht="22.05" customHeight="1">
      <c r="A407" s="72"/>
      <c r="B407" s="72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86"/>
      <c r="Q407" s="86"/>
      <c r="R407" s="86"/>
      <c r="S407" s="86"/>
      <c r="T407" s="59"/>
      <c r="U407" s="59"/>
      <c r="V407" s="59"/>
      <c r="W407" s="59"/>
      <c r="X407" s="59"/>
      <c r="Y407" s="59"/>
      <c r="Z407" s="59"/>
      <c r="AA407" s="59"/>
      <c r="AB407" s="2"/>
      <c r="AC407" s="32"/>
      <c r="AD407" s="59"/>
      <c r="AE407" s="2"/>
      <c r="AF407" s="32"/>
      <c r="AG407" s="59"/>
      <c r="AH407" s="2"/>
      <c r="AI407" s="32"/>
    </row>
    <row r="408" spans="1:35" ht="22.05" customHeight="1">
      <c r="A408" s="72"/>
      <c r="B408" s="72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86"/>
      <c r="Q408" s="86"/>
      <c r="R408" s="86"/>
      <c r="S408" s="86"/>
      <c r="T408" s="59"/>
      <c r="U408" s="59"/>
      <c r="V408" s="59"/>
      <c r="W408" s="59"/>
      <c r="X408" s="59"/>
      <c r="Y408" s="59"/>
      <c r="Z408" s="59"/>
      <c r="AA408" s="59"/>
      <c r="AB408" s="2"/>
      <c r="AC408" s="32"/>
      <c r="AD408" s="59"/>
      <c r="AE408" s="2"/>
      <c r="AF408" s="32"/>
      <c r="AG408" s="59"/>
      <c r="AH408" s="2"/>
      <c r="AI408" s="32"/>
    </row>
    <row r="409" spans="1:35" ht="22.05" customHeight="1">
      <c r="A409" s="72"/>
      <c r="B409" s="72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86"/>
      <c r="Q409" s="86"/>
      <c r="R409" s="86"/>
      <c r="S409" s="86"/>
      <c r="T409" s="59"/>
      <c r="U409" s="59"/>
      <c r="V409" s="59"/>
      <c r="W409" s="59"/>
      <c r="X409" s="59"/>
      <c r="Y409" s="59"/>
      <c r="Z409" s="59"/>
      <c r="AA409" s="59"/>
      <c r="AB409" s="2"/>
      <c r="AC409" s="32"/>
      <c r="AD409" s="59"/>
      <c r="AE409" s="2"/>
      <c r="AF409" s="32"/>
      <c r="AG409" s="59"/>
      <c r="AH409" s="2"/>
      <c r="AI409" s="32"/>
    </row>
    <row r="410" spans="1:35" ht="22.05" customHeight="1">
      <c r="A410" s="72"/>
      <c r="B410" s="72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86"/>
      <c r="Q410" s="86"/>
      <c r="R410" s="86"/>
      <c r="S410" s="86"/>
      <c r="T410" s="59"/>
      <c r="U410" s="59"/>
      <c r="V410" s="59"/>
      <c r="W410" s="59"/>
      <c r="X410" s="59"/>
      <c r="Y410" s="59"/>
      <c r="Z410" s="59"/>
      <c r="AA410" s="59"/>
      <c r="AB410" s="2"/>
      <c r="AC410" s="32"/>
      <c r="AD410" s="59"/>
      <c r="AE410" s="2"/>
      <c r="AF410" s="32"/>
      <c r="AG410" s="59"/>
      <c r="AH410" s="2"/>
      <c r="AI410" s="32"/>
    </row>
    <row r="411" spans="1:35" ht="22.05" customHeight="1">
      <c r="A411" s="72"/>
      <c r="B411" s="72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86"/>
      <c r="Q411" s="86"/>
      <c r="R411" s="86"/>
      <c r="S411" s="86"/>
      <c r="T411" s="59"/>
      <c r="U411" s="59"/>
      <c r="V411" s="59"/>
      <c r="W411" s="59"/>
      <c r="X411" s="59"/>
      <c r="Y411" s="59"/>
      <c r="Z411" s="59"/>
      <c r="AA411" s="59"/>
      <c r="AB411" s="2"/>
      <c r="AC411" s="32"/>
      <c r="AD411" s="59"/>
      <c r="AE411" s="2"/>
      <c r="AF411" s="32"/>
      <c r="AG411" s="59"/>
      <c r="AH411" s="2"/>
      <c r="AI411" s="32"/>
    </row>
    <row r="412" spans="1:35" ht="22.05" customHeight="1">
      <c r="A412" s="72"/>
      <c r="B412" s="72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86"/>
      <c r="Q412" s="86"/>
      <c r="R412" s="86"/>
      <c r="S412" s="86"/>
      <c r="T412" s="59"/>
      <c r="U412" s="59"/>
      <c r="V412" s="59"/>
      <c r="W412" s="59"/>
      <c r="X412" s="59"/>
      <c r="Y412" s="59"/>
      <c r="Z412" s="59"/>
      <c r="AA412" s="59"/>
      <c r="AB412" s="2"/>
      <c r="AC412" s="32"/>
      <c r="AD412" s="59"/>
      <c r="AE412" s="2"/>
      <c r="AF412" s="32"/>
      <c r="AG412" s="59"/>
      <c r="AH412" s="2"/>
      <c r="AI412" s="32"/>
    </row>
    <row r="413" spans="1:35" ht="22.05" customHeight="1">
      <c r="A413" s="72"/>
      <c r="B413" s="72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86"/>
      <c r="Q413" s="86"/>
      <c r="R413" s="86"/>
      <c r="S413" s="86"/>
      <c r="T413" s="59"/>
      <c r="U413" s="59"/>
      <c r="V413" s="59"/>
      <c r="W413" s="59"/>
      <c r="X413" s="59"/>
      <c r="Y413" s="59"/>
      <c r="Z413" s="59"/>
      <c r="AA413" s="59"/>
      <c r="AB413" s="2"/>
      <c r="AC413" s="32"/>
      <c r="AD413" s="59"/>
      <c r="AE413" s="2"/>
      <c r="AF413" s="32"/>
      <c r="AG413" s="59"/>
      <c r="AH413" s="2"/>
      <c r="AI413" s="32"/>
    </row>
    <row r="414" spans="1:35" ht="22.05" customHeight="1">
      <c r="A414" s="72"/>
      <c r="B414" s="72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86"/>
      <c r="Q414" s="86"/>
      <c r="R414" s="86"/>
      <c r="S414" s="86"/>
      <c r="T414" s="59"/>
      <c r="U414" s="59"/>
      <c r="V414" s="59"/>
      <c r="W414" s="59"/>
      <c r="X414" s="59"/>
      <c r="Y414" s="59"/>
      <c r="Z414" s="59"/>
      <c r="AA414" s="59"/>
      <c r="AB414" s="2"/>
      <c r="AC414" s="32"/>
      <c r="AD414" s="59"/>
      <c r="AE414" s="2"/>
      <c r="AF414" s="32"/>
      <c r="AG414" s="59"/>
      <c r="AH414" s="2"/>
      <c r="AI414" s="32"/>
    </row>
    <row r="415" spans="1:35" ht="22.05" customHeight="1">
      <c r="A415" s="72"/>
      <c r="B415" s="72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86"/>
      <c r="Q415" s="86"/>
      <c r="R415" s="86"/>
      <c r="S415" s="86"/>
      <c r="T415" s="59"/>
      <c r="U415" s="59"/>
      <c r="V415" s="59"/>
      <c r="W415" s="59"/>
      <c r="X415" s="59"/>
      <c r="Y415" s="59"/>
      <c r="Z415" s="59"/>
      <c r="AA415" s="59"/>
      <c r="AB415" s="2"/>
      <c r="AC415" s="32"/>
      <c r="AD415" s="59"/>
      <c r="AE415" s="2"/>
      <c r="AF415" s="32"/>
      <c r="AG415" s="59"/>
      <c r="AH415" s="2"/>
      <c r="AI415" s="32"/>
    </row>
    <row r="416" spans="1:35" ht="22.05" customHeight="1">
      <c r="A416" s="72"/>
      <c r="B416" s="72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86"/>
      <c r="Q416" s="86"/>
      <c r="R416" s="86"/>
      <c r="S416" s="86"/>
      <c r="T416" s="59"/>
      <c r="U416" s="59"/>
      <c r="V416" s="59"/>
      <c r="W416" s="59"/>
      <c r="X416" s="59"/>
      <c r="Y416" s="59"/>
      <c r="Z416" s="59"/>
      <c r="AA416" s="59"/>
      <c r="AB416" s="2"/>
      <c r="AC416" s="32"/>
      <c r="AD416" s="59"/>
      <c r="AE416" s="2"/>
      <c r="AF416" s="32"/>
      <c r="AG416" s="59"/>
      <c r="AH416" s="2"/>
      <c r="AI416" s="32"/>
    </row>
    <row r="417" spans="1:35" ht="22.05" customHeight="1">
      <c r="A417" s="72"/>
      <c r="B417" s="72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86"/>
      <c r="Q417" s="86"/>
      <c r="R417" s="86"/>
      <c r="S417" s="86"/>
      <c r="T417" s="59"/>
      <c r="U417" s="59"/>
      <c r="V417" s="59"/>
      <c r="W417" s="59"/>
      <c r="X417" s="59"/>
      <c r="Y417" s="59"/>
      <c r="Z417" s="59"/>
      <c r="AA417" s="59"/>
      <c r="AB417" s="2"/>
      <c r="AC417" s="32"/>
      <c r="AD417" s="59"/>
      <c r="AE417" s="2"/>
      <c r="AF417" s="32"/>
      <c r="AG417" s="59"/>
      <c r="AH417" s="2"/>
      <c r="AI417" s="32"/>
    </row>
    <row r="418" spans="1:35" ht="22.05" customHeight="1">
      <c r="A418" s="72"/>
      <c r="B418" s="72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86"/>
      <c r="Q418" s="86"/>
      <c r="R418" s="86"/>
      <c r="S418" s="86"/>
      <c r="T418" s="59"/>
      <c r="U418" s="59"/>
      <c r="V418" s="59"/>
      <c r="W418" s="59"/>
      <c r="X418" s="59"/>
      <c r="Y418" s="59"/>
      <c r="Z418" s="59"/>
      <c r="AA418" s="59"/>
      <c r="AB418" s="2"/>
      <c r="AC418" s="32"/>
      <c r="AD418" s="59"/>
      <c r="AE418" s="2"/>
      <c r="AF418" s="32"/>
      <c r="AG418" s="59"/>
      <c r="AH418" s="2"/>
      <c r="AI418" s="32"/>
    </row>
    <row r="419" spans="1:35" ht="22.05" customHeight="1">
      <c r="A419" s="72"/>
      <c r="B419" s="72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86"/>
      <c r="Q419" s="86"/>
      <c r="R419" s="86"/>
      <c r="S419" s="86"/>
      <c r="T419" s="59"/>
      <c r="U419" s="59"/>
      <c r="V419" s="59"/>
      <c r="W419" s="59"/>
      <c r="X419" s="59"/>
      <c r="Y419" s="59"/>
      <c r="Z419" s="59"/>
      <c r="AA419" s="59"/>
      <c r="AB419" s="2"/>
      <c r="AC419" s="32"/>
      <c r="AD419" s="59"/>
      <c r="AE419" s="2"/>
      <c r="AF419" s="32"/>
      <c r="AG419" s="59"/>
      <c r="AH419" s="2"/>
      <c r="AI419" s="32"/>
    </row>
    <row r="420" spans="1:35" ht="22.05" customHeight="1">
      <c r="A420" s="72"/>
      <c r="B420" s="72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86"/>
      <c r="Q420" s="86"/>
      <c r="R420" s="86"/>
      <c r="S420" s="86"/>
      <c r="T420" s="59"/>
      <c r="U420" s="59"/>
      <c r="V420" s="59"/>
      <c r="W420" s="59"/>
      <c r="X420" s="59"/>
      <c r="Y420" s="59"/>
      <c r="Z420" s="59"/>
      <c r="AA420" s="59"/>
      <c r="AB420" s="2"/>
      <c r="AC420" s="32"/>
      <c r="AD420" s="59"/>
      <c r="AE420" s="2"/>
      <c r="AF420" s="32"/>
      <c r="AG420" s="59"/>
      <c r="AH420" s="2"/>
      <c r="AI420" s="32"/>
    </row>
    <row r="421" spans="1:35" ht="22.05" customHeight="1">
      <c r="A421" s="72"/>
      <c r="B421" s="72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86"/>
      <c r="Q421" s="86"/>
      <c r="R421" s="86"/>
      <c r="S421" s="86"/>
      <c r="T421" s="59"/>
      <c r="U421" s="59"/>
      <c r="V421" s="59"/>
      <c r="W421" s="59"/>
      <c r="X421" s="59"/>
      <c r="Y421" s="59"/>
      <c r="Z421" s="59"/>
      <c r="AA421" s="59"/>
      <c r="AB421" s="2"/>
      <c r="AC421" s="32"/>
      <c r="AD421" s="59"/>
      <c r="AE421" s="2"/>
      <c r="AF421" s="32"/>
      <c r="AG421" s="59"/>
      <c r="AH421" s="2"/>
      <c r="AI421" s="32"/>
    </row>
    <row r="422" spans="1:35" ht="22.05" customHeight="1">
      <c r="A422" s="72"/>
      <c r="B422" s="72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86"/>
      <c r="Q422" s="86"/>
      <c r="R422" s="86"/>
      <c r="S422" s="86"/>
      <c r="T422" s="59"/>
      <c r="U422" s="59"/>
      <c r="V422" s="59"/>
      <c r="W422" s="59"/>
      <c r="X422" s="59"/>
      <c r="Y422" s="59"/>
      <c r="Z422" s="59"/>
      <c r="AA422" s="59"/>
      <c r="AB422" s="2"/>
      <c r="AC422" s="32"/>
      <c r="AD422" s="59"/>
      <c r="AE422" s="2"/>
      <c r="AF422" s="32"/>
      <c r="AG422" s="59"/>
      <c r="AH422" s="2"/>
      <c r="AI422" s="32"/>
    </row>
    <row r="423" spans="1:35" ht="22.05" customHeight="1">
      <c r="A423" s="72"/>
      <c r="B423" s="72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86"/>
      <c r="Q423" s="86"/>
      <c r="R423" s="86"/>
      <c r="S423" s="86"/>
      <c r="T423" s="59"/>
      <c r="U423" s="59"/>
      <c r="V423" s="59"/>
      <c r="W423" s="59"/>
      <c r="X423" s="59"/>
      <c r="Y423" s="59"/>
      <c r="Z423" s="59"/>
      <c r="AA423" s="59"/>
      <c r="AB423" s="2"/>
      <c r="AC423" s="32"/>
      <c r="AD423" s="59"/>
      <c r="AE423" s="2"/>
      <c r="AF423" s="32"/>
      <c r="AG423" s="59"/>
      <c r="AH423" s="2"/>
      <c r="AI423" s="32"/>
    </row>
    <row r="424" spans="1:35" ht="22.05" customHeight="1">
      <c r="A424" s="72"/>
      <c r="B424" s="72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86"/>
      <c r="Q424" s="86"/>
      <c r="R424" s="86"/>
      <c r="S424" s="86"/>
      <c r="T424" s="59"/>
      <c r="U424" s="59"/>
      <c r="V424" s="59"/>
      <c r="W424" s="59"/>
      <c r="X424" s="59"/>
      <c r="Y424" s="59"/>
      <c r="Z424" s="59"/>
      <c r="AA424" s="59"/>
      <c r="AB424" s="2"/>
      <c r="AC424" s="32"/>
      <c r="AD424" s="59"/>
      <c r="AE424" s="2"/>
      <c r="AF424" s="32"/>
      <c r="AG424" s="59"/>
      <c r="AH424" s="2"/>
      <c r="AI424" s="32"/>
    </row>
    <row r="425" spans="1:35" ht="22.05" customHeight="1">
      <c r="A425" s="72"/>
      <c r="B425" s="72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86"/>
      <c r="Q425" s="86"/>
      <c r="R425" s="86"/>
      <c r="S425" s="86"/>
      <c r="T425" s="59"/>
      <c r="U425" s="59"/>
      <c r="V425" s="59"/>
      <c r="W425" s="59"/>
      <c r="X425" s="59"/>
      <c r="Y425" s="59"/>
      <c r="Z425" s="59"/>
      <c r="AA425" s="59"/>
      <c r="AB425" s="2"/>
      <c r="AC425" s="32"/>
      <c r="AD425" s="59"/>
      <c r="AE425" s="2"/>
      <c r="AF425" s="32"/>
      <c r="AG425" s="59"/>
      <c r="AH425" s="2"/>
      <c r="AI425" s="32"/>
    </row>
    <row r="426" spans="1:35" ht="22.05" customHeight="1">
      <c r="A426" s="72"/>
      <c r="B426" s="72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86"/>
      <c r="Q426" s="86"/>
      <c r="R426" s="86"/>
      <c r="S426" s="86"/>
      <c r="T426" s="59"/>
      <c r="U426" s="59"/>
      <c r="V426" s="59"/>
      <c r="W426" s="59"/>
      <c r="X426" s="59"/>
      <c r="Y426" s="59"/>
      <c r="Z426" s="59"/>
      <c r="AA426" s="59"/>
      <c r="AB426" s="2"/>
      <c r="AC426" s="32"/>
      <c r="AD426" s="59"/>
      <c r="AE426" s="2"/>
      <c r="AF426" s="32"/>
      <c r="AG426" s="59"/>
      <c r="AH426" s="2"/>
      <c r="AI426" s="32"/>
    </row>
    <row r="427" spans="1:35" ht="22.05" customHeight="1">
      <c r="A427" s="72"/>
      <c r="B427" s="72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86"/>
      <c r="Q427" s="86"/>
      <c r="R427" s="86"/>
      <c r="S427" s="86"/>
      <c r="T427" s="59"/>
      <c r="U427" s="59"/>
      <c r="V427" s="59"/>
      <c r="W427" s="59"/>
      <c r="X427" s="59"/>
      <c r="Y427" s="59"/>
      <c r="Z427" s="59"/>
      <c r="AA427" s="59"/>
      <c r="AB427" s="2"/>
      <c r="AC427" s="32"/>
      <c r="AD427" s="59"/>
      <c r="AE427" s="2"/>
      <c r="AF427" s="32"/>
      <c r="AG427" s="59"/>
      <c r="AH427" s="2"/>
      <c r="AI427" s="32"/>
    </row>
    <row r="428" spans="1:35" ht="22.05" customHeight="1">
      <c r="A428" s="72"/>
      <c r="B428" s="72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86"/>
      <c r="Q428" s="86"/>
      <c r="R428" s="86"/>
      <c r="S428" s="86"/>
      <c r="T428" s="59"/>
      <c r="U428" s="59"/>
      <c r="V428" s="59"/>
      <c r="W428" s="59"/>
      <c r="X428" s="59"/>
      <c r="Y428" s="59"/>
      <c r="Z428" s="59"/>
      <c r="AA428" s="59"/>
      <c r="AB428" s="2"/>
      <c r="AC428" s="32"/>
      <c r="AD428" s="59"/>
      <c r="AE428" s="2"/>
      <c r="AF428" s="32"/>
      <c r="AG428" s="59"/>
      <c r="AH428" s="2"/>
      <c r="AI428" s="32"/>
    </row>
    <row r="429" spans="1:35" ht="22.05" customHeight="1">
      <c r="A429" s="72"/>
      <c r="B429" s="72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86"/>
      <c r="Q429" s="86"/>
      <c r="R429" s="86"/>
      <c r="S429" s="86"/>
      <c r="T429" s="59"/>
      <c r="U429" s="59"/>
      <c r="V429" s="59"/>
      <c r="W429" s="59"/>
      <c r="X429" s="59"/>
      <c r="Y429" s="59"/>
      <c r="Z429" s="59"/>
      <c r="AA429" s="59"/>
      <c r="AB429" s="2"/>
      <c r="AC429" s="32"/>
      <c r="AD429" s="59"/>
      <c r="AE429" s="2"/>
      <c r="AF429" s="32"/>
      <c r="AG429" s="59"/>
      <c r="AH429" s="2"/>
      <c r="AI429" s="32"/>
    </row>
    <row r="430" spans="1:35" ht="22.05" customHeight="1">
      <c r="A430" s="72"/>
      <c r="B430" s="72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86"/>
      <c r="Q430" s="86"/>
      <c r="R430" s="86"/>
      <c r="S430" s="86"/>
      <c r="T430" s="59"/>
      <c r="U430" s="59"/>
      <c r="V430" s="59"/>
      <c r="W430" s="59"/>
      <c r="X430" s="59"/>
      <c r="Y430" s="59"/>
      <c r="Z430" s="59"/>
      <c r="AA430" s="59"/>
      <c r="AB430" s="2"/>
      <c r="AC430" s="32"/>
      <c r="AD430" s="59"/>
      <c r="AE430" s="2"/>
      <c r="AF430" s="32"/>
      <c r="AG430" s="59"/>
      <c r="AH430" s="2"/>
      <c r="AI430" s="32"/>
    </row>
    <row r="431" spans="1:35" ht="22.05" customHeight="1">
      <c r="A431" s="72"/>
      <c r="B431" s="72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86"/>
      <c r="Q431" s="86"/>
      <c r="R431" s="86"/>
      <c r="S431" s="86"/>
      <c r="T431" s="59"/>
      <c r="U431" s="59"/>
      <c r="V431" s="59"/>
      <c r="W431" s="59"/>
      <c r="X431" s="59"/>
      <c r="Y431" s="59"/>
      <c r="Z431" s="59"/>
      <c r="AA431" s="59"/>
      <c r="AB431" s="2"/>
      <c r="AC431" s="32"/>
      <c r="AD431" s="59"/>
      <c r="AE431" s="2"/>
      <c r="AF431" s="32"/>
      <c r="AG431" s="59"/>
      <c r="AH431" s="2"/>
      <c r="AI431" s="32"/>
    </row>
    <row r="432" spans="1:35" ht="22.05" customHeight="1">
      <c r="A432" s="72"/>
      <c r="B432" s="72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86"/>
      <c r="Q432" s="86"/>
      <c r="R432" s="86"/>
      <c r="S432" s="86"/>
      <c r="T432" s="59"/>
      <c r="U432" s="59"/>
      <c r="V432" s="59"/>
      <c r="W432" s="59"/>
      <c r="X432" s="59"/>
      <c r="Y432" s="59"/>
      <c r="Z432" s="59"/>
      <c r="AA432" s="59"/>
      <c r="AB432" s="2"/>
      <c r="AC432" s="32"/>
      <c r="AD432" s="59"/>
      <c r="AE432" s="2"/>
      <c r="AF432" s="32"/>
      <c r="AG432" s="59"/>
      <c r="AH432" s="2"/>
      <c r="AI432" s="32"/>
    </row>
    <row r="433" spans="1:35" ht="22.05" customHeight="1">
      <c r="A433" s="72"/>
      <c r="B433" s="72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86"/>
      <c r="Q433" s="86"/>
      <c r="R433" s="86"/>
      <c r="S433" s="86"/>
      <c r="T433" s="59"/>
      <c r="U433" s="59"/>
      <c r="V433" s="59"/>
      <c r="W433" s="59"/>
      <c r="X433" s="59"/>
      <c r="Y433" s="59"/>
      <c r="Z433" s="59"/>
      <c r="AA433" s="59"/>
      <c r="AB433" s="2"/>
      <c r="AC433" s="32"/>
      <c r="AD433" s="59"/>
      <c r="AE433" s="2"/>
      <c r="AF433" s="32"/>
      <c r="AG433" s="59"/>
      <c r="AH433" s="2"/>
      <c r="AI433" s="32"/>
    </row>
  </sheetData>
  <autoFilter ref="A4:AI321" xr:uid="{BE4E3835-FA5B-49E1-8DAD-A6F0D7302B7E}"/>
  <mergeCells count="24">
    <mergeCell ref="X1:Z1"/>
    <mergeCell ref="A1:B1"/>
    <mergeCell ref="C1:D1"/>
    <mergeCell ref="F1:J1"/>
    <mergeCell ref="L1:N1"/>
    <mergeCell ref="T1:V1"/>
    <mergeCell ref="T3:V3"/>
    <mergeCell ref="X3:Z3"/>
    <mergeCell ref="A2:B2"/>
    <mergeCell ref="C2:D2"/>
    <mergeCell ref="F2:J2"/>
    <mergeCell ref="L2:N2"/>
    <mergeCell ref="T2:V2"/>
    <mergeCell ref="X2:Z2"/>
    <mergeCell ref="H375:L375"/>
    <mergeCell ref="A3:B3"/>
    <mergeCell ref="C3:D3"/>
    <mergeCell ref="F3:J3"/>
    <mergeCell ref="L3:N3"/>
    <mergeCell ref="Y5:Y15"/>
    <mergeCell ref="H324:N324"/>
    <mergeCell ref="H342:L342"/>
    <mergeCell ref="C345:F345"/>
    <mergeCell ref="H357:N357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55C6-BFBD-4C3F-9B50-86225678AF88}">
  <dimension ref="A1:R135"/>
  <sheetViews>
    <sheetView topLeftCell="A90" workbookViewId="0">
      <selection activeCell="M99" sqref="M99"/>
    </sheetView>
  </sheetViews>
  <sheetFormatPr defaultRowHeight="13.8"/>
  <cols>
    <col min="2" max="2" width="13.88671875" bestFit="1" customWidth="1"/>
    <col min="3" max="3" width="16.109375" bestFit="1" customWidth="1"/>
    <col min="12" max="12" width="15.33203125" customWidth="1"/>
    <col min="14" max="14" width="11.6640625" bestFit="1" customWidth="1"/>
  </cols>
  <sheetData>
    <row r="1" spans="1:18">
      <c r="A1" s="236" t="s">
        <v>2041</v>
      </c>
      <c r="B1" s="236"/>
      <c r="C1" s="236"/>
      <c r="D1" s="236"/>
      <c r="E1" s="236"/>
      <c r="F1" s="236"/>
      <c r="G1" s="236"/>
      <c r="H1" s="236"/>
      <c r="I1" s="236"/>
      <c r="J1" s="236" t="s">
        <v>2042</v>
      </c>
      <c r="K1" s="236"/>
      <c r="L1" s="236"/>
      <c r="M1" s="236"/>
      <c r="N1" s="236"/>
      <c r="O1" s="236"/>
      <c r="P1" s="236"/>
      <c r="Q1" s="236"/>
      <c r="R1" s="236"/>
    </row>
    <row r="2" spans="1:18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</row>
    <row r="3" spans="1:18">
      <c r="A3" s="236" t="s">
        <v>2043</v>
      </c>
      <c r="B3" s="236"/>
      <c r="C3" s="236"/>
      <c r="D3" s="236"/>
      <c r="E3" s="42"/>
      <c r="F3" s="42"/>
      <c r="G3" s="42"/>
      <c r="H3" s="42"/>
      <c r="I3" s="42"/>
      <c r="J3" s="236" t="s">
        <v>2043</v>
      </c>
      <c r="K3" s="236"/>
      <c r="L3" s="236"/>
      <c r="M3" s="236"/>
      <c r="N3" s="42"/>
      <c r="O3" s="42"/>
      <c r="P3" s="42"/>
      <c r="Q3" s="42"/>
      <c r="R3" s="42"/>
    </row>
    <row r="4" spans="1:18">
      <c r="A4" s="43" t="s">
        <v>2044</v>
      </c>
      <c r="B4" s="43" t="s">
        <v>2045</v>
      </c>
      <c r="C4" s="43" t="s">
        <v>2046</v>
      </c>
      <c r="D4" s="43" t="s">
        <v>86</v>
      </c>
      <c r="E4" s="42"/>
      <c r="F4" s="42"/>
      <c r="G4" s="42"/>
      <c r="H4" s="42"/>
      <c r="I4" s="42"/>
      <c r="J4" s="43" t="s">
        <v>2044</v>
      </c>
      <c r="K4" s="43" t="s">
        <v>2045</v>
      </c>
      <c r="L4" s="43" t="s">
        <v>2046</v>
      </c>
      <c r="M4" s="43" t="s">
        <v>86</v>
      </c>
      <c r="N4" s="42"/>
      <c r="O4" s="42"/>
      <c r="P4" s="42"/>
      <c r="Q4" s="42"/>
      <c r="R4" s="42"/>
    </row>
    <row r="5" spans="1:18">
      <c r="A5" s="43" t="s">
        <v>2047</v>
      </c>
      <c r="B5" s="43">
        <v>1101.001</v>
      </c>
      <c r="C5" s="43">
        <v>5.5999999999999999E-3</v>
      </c>
      <c r="D5" s="43">
        <v>6.1656000000000004</v>
      </c>
      <c r="E5" s="42"/>
      <c r="F5" s="42"/>
      <c r="G5" s="42"/>
      <c r="H5" s="42"/>
      <c r="I5" s="42"/>
      <c r="J5" s="43" t="s">
        <v>2047</v>
      </c>
      <c r="K5" s="43">
        <v>1101.001</v>
      </c>
      <c r="L5" s="43">
        <v>5.5999999999999999E-3</v>
      </c>
      <c r="M5" s="43">
        <v>6.1656000000000004</v>
      </c>
      <c r="N5" s="42"/>
      <c r="O5" s="42"/>
      <c r="P5" s="42"/>
      <c r="Q5" s="42"/>
      <c r="R5" s="42"/>
    </row>
    <row r="6" spans="1:18">
      <c r="A6" s="43" t="s">
        <v>2048</v>
      </c>
      <c r="B6" s="43">
        <v>14</v>
      </c>
      <c r="C6" s="43">
        <v>1.7100000000000001E-2</v>
      </c>
      <c r="D6" s="43">
        <f>B6*C6</f>
        <v>0.2394</v>
      </c>
      <c r="E6" s="42"/>
      <c r="F6" s="42"/>
      <c r="G6" s="42"/>
      <c r="H6" s="42"/>
      <c r="I6" s="42"/>
      <c r="J6" s="43" t="s">
        <v>2048</v>
      </c>
      <c r="K6" s="43">
        <v>14</v>
      </c>
      <c r="L6" s="43">
        <v>1.7100000000000001E-2</v>
      </c>
      <c r="M6" s="43">
        <f>K6*L6</f>
        <v>0.2394</v>
      </c>
      <c r="N6" s="42"/>
      <c r="O6" s="42"/>
      <c r="P6" s="42"/>
      <c r="Q6" s="42"/>
      <c r="R6" s="42"/>
    </row>
    <row r="7" spans="1:18">
      <c r="A7" s="43" t="s">
        <v>2049</v>
      </c>
      <c r="B7" s="43">
        <v>0</v>
      </c>
      <c r="C7" s="43">
        <v>4.9799999999999997E-2</v>
      </c>
      <c r="D7" s="43">
        <v>0</v>
      </c>
      <c r="E7" s="42"/>
      <c r="F7" s="42"/>
      <c r="G7" s="42"/>
      <c r="H7" s="42"/>
      <c r="I7" s="42"/>
      <c r="J7" s="43" t="s">
        <v>2049</v>
      </c>
      <c r="K7" s="43">
        <v>0</v>
      </c>
      <c r="L7" s="43">
        <v>4.9799999999999997E-2</v>
      </c>
      <c r="M7" s="43">
        <v>0</v>
      </c>
      <c r="N7" s="42"/>
      <c r="O7" s="42"/>
      <c r="P7" s="42"/>
      <c r="Q7" s="42"/>
      <c r="R7" s="42"/>
    </row>
    <row r="8" spans="1:18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9" spans="1:18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</row>
    <row r="10" spans="1:18">
      <c r="A10" s="236" t="s">
        <v>30</v>
      </c>
      <c r="B10" s="236"/>
      <c r="C10" s="236"/>
      <c r="D10" s="236"/>
      <c r="E10" s="236"/>
      <c r="F10" s="236"/>
      <c r="G10" s="42"/>
      <c r="H10" s="42"/>
      <c r="I10" s="42"/>
      <c r="J10" s="236" t="s">
        <v>30</v>
      </c>
      <c r="K10" s="236"/>
      <c r="L10" s="236"/>
      <c r="M10" s="236"/>
      <c r="N10" s="236"/>
      <c r="O10" s="236"/>
      <c r="P10" s="42"/>
      <c r="Q10" s="42"/>
      <c r="R10" s="42"/>
    </row>
    <row r="11" spans="1:18">
      <c r="A11" s="43" t="s">
        <v>2050</v>
      </c>
      <c r="B11" s="43" t="s">
        <v>2051</v>
      </c>
      <c r="C11" s="43" t="s">
        <v>2052</v>
      </c>
      <c r="D11" s="43" t="s">
        <v>2044</v>
      </c>
      <c r="E11" s="43" t="s">
        <v>2053</v>
      </c>
      <c r="F11" s="43" t="s">
        <v>30</v>
      </c>
      <c r="G11" s="42"/>
      <c r="H11" s="42"/>
      <c r="I11" s="42"/>
      <c r="J11" s="43" t="s">
        <v>2050</v>
      </c>
      <c r="K11" s="43" t="s">
        <v>2051</v>
      </c>
      <c r="L11" s="43" t="s">
        <v>2052</v>
      </c>
      <c r="M11" s="43" t="s">
        <v>2044</v>
      </c>
      <c r="N11" s="43" t="s">
        <v>2053</v>
      </c>
      <c r="O11" s="43" t="s">
        <v>30</v>
      </c>
      <c r="P11" s="42"/>
      <c r="Q11" s="42"/>
      <c r="R11" s="42"/>
    </row>
    <row r="12" spans="1:18">
      <c r="A12" s="43" t="s">
        <v>2054</v>
      </c>
      <c r="B12" s="43" t="s">
        <v>2055</v>
      </c>
      <c r="C12" s="43">
        <v>8</v>
      </c>
      <c r="D12" s="43" t="s">
        <v>150</v>
      </c>
      <c r="E12" s="43">
        <v>10</v>
      </c>
      <c r="F12" s="43" t="s">
        <v>2056</v>
      </c>
      <c r="G12" s="42"/>
      <c r="H12" s="42"/>
      <c r="I12" s="42"/>
      <c r="J12" s="43" t="s">
        <v>2054</v>
      </c>
      <c r="K12" s="43" t="s">
        <v>2055</v>
      </c>
      <c r="L12" s="43">
        <v>12</v>
      </c>
      <c r="M12" s="43" t="s">
        <v>150</v>
      </c>
      <c r="N12" s="43">
        <v>10</v>
      </c>
      <c r="O12" s="43" t="s">
        <v>2056</v>
      </c>
      <c r="P12" s="42"/>
      <c r="Q12" s="42"/>
      <c r="R12" s="42"/>
    </row>
    <row r="13" spans="1:18">
      <c r="A13" s="43" t="s">
        <v>2054</v>
      </c>
      <c r="B13" s="43" t="s">
        <v>2057</v>
      </c>
      <c r="C13" s="43">
        <v>8</v>
      </c>
      <c r="D13" s="43" t="s">
        <v>150</v>
      </c>
      <c r="E13" s="43">
        <v>2</v>
      </c>
      <c r="F13" s="43" t="s">
        <v>2056</v>
      </c>
      <c r="G13" s="42"/>
      <c r="H13" s="42"/>
      <c r="I13" s="42"/>
      <c r="J13" s="43" t="s">
        <v>2054</v>
      </c>
      <c r="K13" s="43" t="s">
        <v>2057</v>
      </c>
      <c r="L13" s="43">
        <v>12</v>
      </c>
      <c r="M13" s="43" t="s">
        <v>150</v>
      </c>
      <c r="N13" s="43">
        <v>2</v>
      </c>
      <c r="O13" s="43" t="s">
        <v>2056</v>
      </c>
      <c r="P13" s="42"/>
      <c r="Q13" s="42"/>
      <c r="R13" s="42"/>
    </row>
    <row r="14" spans="1:18">
      <c r="A14" s="43" t="s">
        <v>2054</v>
      </c>
      <c r="B14" s="43" t="s">
        <v>2058</v>
      </c>
      <c r="C14" s="43">
        <v>8</v>
      </c>
      <c r="D14" s="43" t="s">
        <v>150</v>
      </c>
      <c r="E14" s="43">
        <v>2</v>
      </c>
      <c r="F14" s="43" t="s">
        <v>2056</v>
      </c>
      <c r="G14" s="42"/>
      <c r="H14" s="42"/>
      <c r="I14" s="42"/>
      <c r="J14" s="43" t="s">
        <v>2054</v>
      </c>
      <c r="K14" s="43" t="s">
        <v>2058</v>
      </c>
      <c r="L14" s="43">
        <v>12</v>
      </c>
      <c r="M14" s="43" t="s">
        <v>150</v>
      </c>
      <c r="N14" s="43">
        <v>2</v>
      </c>
      <c r="O14" s="43" t="s">
        <v>2056</v>
      </c>
      <c r="P14" s="42"/>
      <c r="Q14" s="42"/>
      <c r="R14" s="42"/>
    </row>
    <row r="15" spans="1:18">
      <c r="A15" s="43" t="s">
        <v>2054</v>
      </c>
      <c r="B15" s="43" t="s">
        <v>2059</v>
      </c>
      <c r="C15" s="43">
        <v>8</v>
      </c>
      <c r="D15" s="43" t="s">
        <v>150</v>
      </c>
      <c r="E15" s="43">
        <v>0.24</v>
      </c>
      <c r="F15" s="43" t="s">
        <v>2056</v>
      </c>
      <c r="G15" s="42"/>
      <c r="H15" s="42"/>
      <c r="I15" s="42"/>
      <c r="J15" s="43" t="s">
        <v>2054</v>
      </c>
      <c r="K15" s="43" t="s">
        <v>2059</v>
      </c>
      <c r="L15" s="43">
        <v>12</v>
      </c>
      <c r="M15" s="43" t="s">
        <v>150</v>
      </c>
      <c r="N15" s="43">
        <v>0.24</v>
      </c>
      <c r="O15" s="43" t="s">
        <v>2056</v>
      </c>
      <c r="P15" s="42"/>
      <c r="Q15" s="42"/>
      <c r="R15" s="42"/>
    </row>
    <row r="16" spans="1:18">
      <c r="A16" s="43" t="s">
        <v>2054</v>
      </c>
      <c r="B16" s="43" t="s">
        <v>2060</v>
      </c>
      <c r="C16" s="43">
        <v>8</v>
      </c>
      <c r="D16" s="43" t="s">
        <v>150</v>
      </c>
      <c r="E16" s="43">
        <v>0.6</v>
      </c>
      <c r="F16" s="43" t="s">
        <v>2056</v>
      </c>
      <c r="G16" s="42"/>
      <c r="H16" s="42"/>
      <c r="I16" s="42"/>
      <c r="J16" s="43" t="s">
        <v>2054</v>
      </c>
      <c r="K16" s="43" t="s">
        <v>2060</v>
      </c>
      <c r="L16" s="43">
        <v>12</v>
      </c>
      <c r="M16" s="43" t="s">
        <v>150</v>
      </c>
      <c r="N16" s="43">
        <v>0.6</v>
      </c>
      <c r="O16" s="43" t="s">
        <v>2056</v>
      </c>
      <c r="P16" s="42"/>
      <c r="Q16" s="42"/>
      <c r="R16" s="42"/>
    </row>
    <row r="17" spans="1:18">
      <c r="A17" s="43" t="s">
        <v>2054</v>
      </c>
      <c r="B17" s="43" t="s">
        <v>2061</v>
      </c>
      <c r="C17" s="43">
        <v>8</v>
      </c>
      <c r="D17" s="43" t="s">
        <v>150</v>
      </c>
      <c r="E17" s="43">
        <v>0.6</v>
      </c>
      <c r="F17" s="43" t="s">
        <v>2056</v>
      </c>
      <c r="G17" s="42"/>
      <c r="H17" s="42"/>
      <c r="I17" s="42"/>
      <c r="J17" s="43" t="s">
        <v>2054</v>
      </c>
      <c r="K17" s="43" t="s">
        <v>2061</v>
      </c>
      <c r="L17" s="43">
        <v>12</v>
      </c>
      <c r="M17" s="43" t="s">
        <v>150</v>
      </c>
      <c r="N17" s="43">
        <v>0.6</v>
      </c>
      <c r="O17" s="43" t="s">
        <v>2056</v>
      </c>
      <c r="P17" s="42"/>
      <c r="Q17" s="42"/>
      <c r="R17" s="42"/>
    </row>
    <row r="18" spans="1:18">
      <c r="A18" s="43" t="s">
        <v>2054</v>
      </c>
      <c r="B18" s="43" t="s">
        <v>2062</v>
      </c>
      <c r="C18" s="43">
        <v>8</v>
      </c>
      <c r="D18" s="43" t="s">
        <v>150</v>
      </c>
      <c r="E18" s="43">
        <v>0.36</v>
      </c>
      <c r="F18" s="43" t="s">
        <v>2056</v>
      </c>
      <c r="G18" s="42"/>
      <c r="H18" s="42"/>
      <c r="I18" s="42"/>
      <c r="J18" s="43" t="s">
        <v>2054</v>
      </c>
      <c r="K18" s="43" t="s">
        <v>2062</v>
      </c>
      <c r="L18" s="43">
        <v>12</v>
      </c>
      <c r="M18" s="43" t="s">
        <v>150</v>
      </c>
      <c r="N18" s="43">
        <v>0.36</v>
      </c>
      <c r="O18" s="43" t="s">
        <v>2056</v>
      </c>
      <c r="P18" s="42"/>
      <c r="Q18" s="42"/>
      <c r="R18" s="42"/>
    </row>
    <row r="19" spans="1:18">
      <c r="A19" s="43" t="s">
        <v>2054</v>
      </c>
      <c r="B19" s="43" t="s">
        <v>2063</v>
      </c>
      <c r="C19" s="43">
        <v>8</v>
      </c>
      <c r="D19" s="43" t="s">
        <v>150</v>
      </c>
      <c r="E19" s="43">
        <v>2</v>
      </c>
      <c r="F19" s="43" t="s">
        <v>2056</v>
      </c>
      <c r="G19" s="42"/>
      <c r="H19" s="42"/>
      <c r="I19" s="42"/>
      <c r="J19" s="43" t="s">
        <v>2054</v>
      </c>
      <c r="K19" s="43" t="s">
        <v>2063</v>
      </c>
      <c r="L19" s="43">
        <v>12</v>
      </c>
      <c r="M19" s="43" t="s">
        <v>150</v>
      </c>
      <c r="N19" s="43">
        <v>2</v>
      </c>
      <c r="O19" s="43" t="s">
        <v>2056</v>
      </c>
      <c r="P19" s="42"/>
      <c r="Q19" s="42"/>
      <c r="R19" s="42"/>
    </row>
    <row r="20" spans="1:18">
      <c r="A20" s="43" t="s">
        <v>2064</v>
      </c>
      <c r="B20" s="43" t="s">
        <v>2065</v>
      </c>
      <c r="C20" s="43">
        <v>80</v>
      </c>
      <c r="D20" s="43" t="s">
        <v>150</v>
      </c>
      <c r="E20" s="43">
        <v>9</v>
      </c>
      <c r="F20" s="43" t="s">
        <v>2056</v>
      </c>
      <c r="G20" s="42"/>
      <c r="H20" s="42"/>
      <c r="I20" s="42"/>
      <c r="J20" s="43" t="s">
        <v>2064</v>
      </c>
      <c r="K20" s="43" t="s">
        <v>2066</v>
      </c>
      <c r="L20" s="43">
        <v>80</v>
      </c>
      <c r="M20" s="43" t="s">
        <v>150</v>
      </c>
      <c r="N20" s="43">
        <v>5</v>
      </c>
      <c r="O20" s="43" t="s">
        <v>2056</v>
      </c>
      <c r="P20" s="42"/>
      <c r="Q20" s="42"/>
      <c r="R20" s="42"/>
    </row>
    <row r="21" spans="1:18">
      <c r="A21" s="43" t="s">
        <v>2064</v>
      </c>
      <c r="B21" s="43" t="s">
        <v>2066</v>
      </c>
      <c r="C21" s="43">
        <v>80</v>
      </c>
      <c r="D21" s="43" t="s">
        <v>150</v>
      </c>
      <c r="E21" s="43">
        <v>5</v>
      </c>
      <c r="F21" s="43" t="s">
        <v>2056</v>
      </c>
      <c r="G21" s="42"/>
      <c r="H21" s="42"/>
      <c r="I21" s="42"/>
      <c r="J21" s="43" t="s">
        <v>2064</v>
      </c>
      <c r="K21" s="43" t="s">
        <v>2065</v>
      </c>
      <c r="L21" s="43">
        <v>80</v>
      </c>
      <c r="M21" s="43" t="s">
        <v>150</v>
      </c>
      <c r="N21" s="43">
        <v>9</v>
      </c>
      <c r="O21" s="43" t="s">
        <v>2056</v>
      </c>
      <c r="P21" s="42"/>
      <c r="Q21" s="42"/>
      <c r="R21" s="42"/>
    </row>
    <row r="22" spans="1:18">
      <c r="A22" s="43" t="s">
        <v>2064</v>
      </c>
      <c r="B22" s="43" t="s">
        <v>2062</v>
      </c>
      <c r="C22" s="43">
        <v>80</v>
      </c>
      <c r="D22" s="43" t="s">
        <v>150</v>
      </c>
      <c r="E22" s="43">
        <v>0.5</v>
      </c>
      <c r="F22" s="43" t="s">
        <v>2056</v>
      </c>
      <c r="G22" s="42"/>
      <c r="H22" s="42"/>
      <c r="I22" s="42"/>
      <c r="J22" s="43" t="s">
        <v>2064</v>
      </c>
      <c r="K22" s="43" t="s">
        <v>2062</v>
      </c>
      <c r="L22" s="43">
        <v>80</v>
      </c>
      <c r="M22" s="43" t="s">
        <v>150</v>
      </c>
      <c r="N22" s="43">
        <v>0.5</v>
      </c>
      <c r="O22" s="43" t="s">
        <v>2056</v>
      </c>
      <c r="P22" s="42"/>
      <c r="Q22" s="42"/>
      <c r="R22" s="42"/>
    </row>
    <row r="23" spans="1:18">
      <c r="A23" s="43" t="s">
        <v>2064</v>
      </c>
      <c r="B23" s="43" t="s">
        <v>2067</v>
      </c>
      <c r="C23" s="43">
        <v>80</v>
      </c>
      <c r="D23" s="43" t="s">
        <v>150</v>
      </c>
      <c r="E23" s="43">
        <v>0.6</v>
      </c>
      <c r="F23" s="43" t="s">
        <v>2056</v>
      </c>
      <c r="G23" s="42"/>
      <c r="H23" s="42"/>
      <c r="I23" s="42"/>
      <c r="J23" s="43" t="s">
        <v>2064</v>
      </c>
      <c r="K23" s="43" t="s">
        <v>2067</v>
      </c>
      <c r="L23" s="43">
        <v>80</v>
      </c>
      <c r="M23" s="43" t="s">
        <v>150</v>
      </c>
      <c r="N23" s="43">
        <v>0.6</v>
      </c>
      <c r="O23" s="43" t="s">
        <v>2056</v>
      </c>
      <c r="P23" s="42"/>
      <c r="Q23" s="42"/>
      <c r="R23" s="42"/>
    </row>
    <row r="24" spans="1:18">
      <c r="A24" s="43" t="s">
        <v>2064</v>
      </c>
      <c r="B24" s="43" t="s">
        <v>2061</v>
      </c>
      <c r="C24" s="43">
        <v>80</v>
      </c>
      <c r="D24" s="43" t="s">
        <v>150</v>
      </c>
      <c r="E24" s="43">
        <v>0.4</v>
      </c>
      <c r="F24" s="43" t="s">
        <v>2056</v>
      </c>
      <c r="G24" s="42"/>
      <c r="H24" s="42"/>
      <c r="I24" s="42"/>
      <c r="J24" s="43" t="s">
        <v>2064</v>
      </c>
      <c r="K24" s="43" t="s">
        <v>2061</v>
      </c>
      <c r="L24" s="43">
        <v>80</v>
      </c>
      <c r="M24" s="43" t="s">
        <v>150</v>
      </c>
      <c r="N24" s="43">
        <v>0.4</v>
      </c>
      <c r="O24" s="43" t="s">
        <v>2056</v>
      </c>
      <c r="P24" s="42"/>
      <c r="Q24" s="42"/>
      <c r="R24" s="42"/>
    </row>
    <row r="25" spans="1:18">
      <c r="A25" s="43" t="s">
        <v>2064</v>
      </c>
      <c r="B25" s="43" t="s">
        <v>2068</v>
      </c>
      <c r="C25" s="43">
        <v>80</v>
      </c>
      <c r="D25" s="43" t="s">
        <v>150</v>
      </c>
      <c r="E25" s="43">
        <v>0.4</v>
      </c>
      <c r="F25" s="43" t="s">
        <v>2056</v>
      </c>
      <c r="G25" s="42"/>
      <c r="H25" s="42"/>
      <c r="I25" s="42"/>
      <c r="J25" s="43" t="s">
        <v>2064</v>
      </c>
      <c r="K25" s="43" t="s">
        <v>2068</v>
      </c>
      <c r="L25" s="43">
        <v>80</v>
      </c>
      <c r="M25" s="43" t="s">
        <v>150</v>
      </c>
      <c r="N25" s="43">
        <v>0.4</v>
      </c>
      <c r="O25" s="43" t="s">
        <v>2056</v>
      </c>
      <c r="P25" s="42"/>
      <c r="Q25" s="42"/>
      <c r="R25" s="42"/>
    </row>
    <row r="26" spans="1:18">
      <c r="A26" s="43" t="s">
        <v>2064</v>
      </c>
      <c r="B26" s="43" t="s">
        <v>2060</v>
      </c>
      <c r="C26" s="43">
        <v>80</v>
      </c>
      <c r="D26" s="43" t="s">
        <v>150</v>
      </c>
      <c r="E26" s="43">
        <v>0.5</v>
      </c>
      <c r="F26" s="43" t="s">
        <v>2056</v>
      </c>
      <c r="G26" s="42"/>
      <c r="H26" s="42"/>
      <c r="I26" s="42"/>
      <c r="J26" s="43" t="s">
        <v>2064</v>
      </c>
      <c r="K26" s="43" t="s">
        <v>2060</v>
      </c>
      <c r="L26" s="43">
        <v>80</v>
      </c>
      <c r="M26" s="43" t="s">
        <v>150</v>
      </c>
      <c r="N26" s="43">
        <v>0.5</v>
      </c>
      <c r="O26" s="43" t="s">
        <v>2056</v>
      </c>
      <c r="P26" s="42"/>
      <c r="Q26" s="42"/>
      <c r="R26" s="42"/>
    </row>
    <row r="27" spans="1:18">
      <c r="A27" s="43" t="s">
        <v>2064</v>
      </c>
      <c r="B27" s="43" t="s">
        <v>2069</v>
      </c>
      <c r="C27" s="43">
        <v>80</v>
      </c>
      <c r="D27" s="43" t="s">
        <v>150</v>
      </c>
      <c r="E27" s="43">
        <v>1</v>
      </c>
      <c r="F27" s="43" t="s">
        <v>2056</v>
      </c>
      <c r="G27" s="42"/>
      <c r="H27" s="42"/>
      <c r="I27" s="42"/>
      <c r="J27" s="43" t="s">
        <v>2064</v>
      </c>
      <c r="K27" s="43" t="s">
        <v>2069</v>
      </c>
      <c r="L27" s="43">
        <v>80</v>
      </c>
      <c r="M27" s="43" t="s">
        <v>150</v>
      </c>
      <c r="N27" s="43">
        <v>1</v>
      </c>
      <c r="O27" s="43" t="s">
        <v>2056</v>
      </c>
      <c r="P27" s="42"/>
      <c r="Q27" s="42"/>
      <c r="R27" s="42"/>
    </row>
    <row r="28" spans="1:18">
      <c r="A28" s="43" t="s">
        <v>2064</v>
      </c>
      <c r="B28" s="43" t="s">
        <v>2058</v>
      </c>
      <c r="C28" s="43">
        <v>80</v>
      </c>
      <c r="D28" s="43" t="s">
        <v>150</v>
      </c>
      <c r="E28" s="43">
        <v>1</v>
      </c>
      <c r="F28" s="43" t="s">
        <v>2056</v>
      </c>
      <c r="G28" s="42"/>
      <c r="H28" s="42"/>
      <c r="I28" s="42"/>
      <c r="J28" s="43" t="s">
        <v>2064</v>
      </c>
      <c r="K28" s="43" t="s">
        <v>2058</v>
      </c>
      <c r="L28" s="43">
        <v>80</v>
      </c>
      <c r="M28" s="43" t="s">
        <v>150</v>
      </c>
      <c r="N28" s="43">
        <v>1</v>
      </c>
      <c r="O28" s="43" t="s">
        <v>2056</v>
      </c>
      <c r="P28" s="42"/>
      <c r="Q28" s="42"/>
      <c r="R28" s="42"/>
    </row>
    <row r="29" spans="1:18">
      <c r="A29" s="43" t="s">
        <v>2064</v>
      </c>
      <c r="B29" s="43" t="s">
        <v>2070</v>
      </c>
      <c r="C29" s="43">
        <v>80</v>
      </c>
      <c r="D29" s="43" t="s">
        <v>150</v>
      </c>
      <c r="E29" s="43">
        <v>1</v>
      </c>
      <c r="F29" s="43" t="s">
        <v>2056</v>
      </c>
      <c r="G29" s="42"/>
      <c r="H29" s="42"/>
      <c r="I29" s="42"/>
      <c r="J29" s="43" t="s">
        <v>2064</v>
      </c>
      <c r="K29" s="43" t="s">
        <v>2070</v>
      </c>
      <c r="L29" s="43">
        <v>80</v>
      </c>
      <c r="M29" s="43" t="s">
        <v>150</v>
      </c>
      <c r="N29" s="43">
        <v>1</v>
      </c>
      <c r="O29" s="43" t="s">
        <v>2056</v>
      </c>
      <c r="P29" s="42"/>
      <c r="Q29" s="42"/>
      <c r="R29" s="42"/>
    </row>
    <row r="30" spans="1:18">
      <c r="A30" s="43" t="s">
        <v>2064</v>
      </c>
      <c r="B30" s="43" t="s">
        <v>2071</v>
      </c>
      <c r="C30" s="43">
        <v>80</v>
      </c>
      <c r="D30" s="43" t="s">
        <v>150</v>
      </c>
      <c r="E30" s="43">
        <v>1</v>
      </c>
      <c r="F30" s="43" t="s">
        <v>2056</v>
      </c>
      <c r="G30" s="42"/>
      <c r="H30" s="42"/>
      <c r="I30" s="42"/>
      <c r="J30" s="43" t="s">
        <v>2064</v>
      </c>
      <c r="K30" s="43" t="s">
        <v>2071</v>
      </c>
      <c r="L30" s="43">
        <v>80</v>
      </c>
      <c r="M30" s="43" t="s">
        <v>150</v>
      </c>
      <c r="N30" s="43">
        <v>1</v>
      </c>
      <c r="O30" s="43" t="s">
        <v>2056</v>
      </c>
      <c r="P30" s="42"/>
      <c r="Q30" s="42"/>
      <c r="R30" s="42"/>
    </row>
    <row r="31" spans="1:18">
      <c r="A31" s="43" t="s">
        <v>2064</v>
      </c>
      <c r="B31" s="43" t="s">
        <v>2057</v>
      </c>
      <c r="C31" s="43">
        <v>80</v>
      </c>
      <c r="D31" s="43" t="s">
        <v>150</v>
      </c>
      <c r="E31" s="43">
        <v>2</v>
      </c>
      <c r="F31" s="43" t="s">
        <v>2056</v>
      </c>
      <c r="G31" s="42"/>
      <c r="H31" s="42"/>
      <c r="I31" s="42"/>
      <c r="J31" s="43" t="s">
        <v>2064</v>
      </c>
      <c r="K31" s="43" t="s">
        <v>2057</v>
      </c>
      <c r="L31" s="43">
        <v>80</v>
      </c>
      <c r="M31" s="43" t="s">
        <v>150</v>
      </c>
      <c r="N31" s="43">
        <v>2</v>
      </c>
      <c r="O31" s="43" t="s">
        <v>2056</v>
      </c>
      <c r="P31" s="42"/>
      <c r="Q31" s="42"/>
      <c r="R31" s="42"/>
    </row>
    <row r="32" spans="1:18">
      <c r="A32" s="43" t="s">
        <v>2072</v>
      </c>
      <c r="B32" s="43" t="s">
        <v>2058</v>
      </c>
      <c r="C32" s="43">
        <v>40</v>
      </c>
      <c r="D32" s="43" t="s">
        <v>150</v>
      </c>
      <c r="E32" s="43">
        <v>1</v>
      </c>
      <c r="F32" s="43" t="s">
        <v>2056</v>
      </c>
      <c r="G32" s="42"/>
      <c r="H32" s="42"/>
      <c r="I32" s="42"/>
      <c r="J32" s="43" t="s">
        <v>2072</v>
      </c>
      <c r="K32" s="43" t="s">
        <v>2058</v>
      </c>
      <c r="L32" s="43">
        <v>40</v>
      </c>
      <c r="M32" s="43" t="s">
        <v>150</v>
      </c>
      <c r="N32" s="43">
        <v>1</v>
      </c>
      <c r="O32" s="43" t="s">
        <v>2056</v>
      </c>
      <c r="P32" s="42"/>
      <c r="Q32" s="42"/>
      <c r="R32" s="42"/>
    </row>
    <row r="33" spans="1:18">
      <c r="A33" s="43" t="s">
        <v>2072</v>
      </c>
      <c r="B33" s="43" t="s">
        <v>2057</v>
      </c>
      <c r="C33" s="43">
        <v>40</v>
      </c>
      <c r="D33" s="43" t="s">
        <v>150</v>
      </c>
      <c r="E33" s="43">
        <v>2</v>
      </c>
      <c r="F33" s="43" t="s">
        <v>2056</v>
      </c>
      <c r="G33" s="42"/>
      <c r="H33" s="42"/>
      <c r="I33" s="42"/>
      <c r="J33" s="43" t="s">
        <v>2072</v>
      </c>
      <c r="K33" s="43" t="s">
        <v>2057</v>
      </c>
      <c r="L33" s="43">
        <v>40</v>
      </c>
      <c r="M33" s="43" t="s">
        <v>150</v>
      </c>
      <c r="N33" s="43">
        <v>2</v>
      </c>
      <c r="O33" s="43" t="s">
        <v>2056</v>
      </c>
      <c r="P33" s="42"/>
      <c r="Q33" s="42"/>
      <c r="R33" s="42"/>
    </row>
    <row r="34" spans="1:18">
      <c r="A34" s="43" t="s">
        <v>2072</v>
      </c>
      <c r="B34" s="43" t="s">
        <v>2055</v>
      </c>
      <c r="C34" s="43">
        <v>40</v>
      </c>
      <c r="D34" s="43" t="s">
        <v>150</v>
      </c>
      <c r="E34" s="43">
        <v>2</v>
      </c>
      <c r="F34" s="43" t="s">
        <v>2056</v>
      </c>
      <c r="G34" s="42"/>
      <c r="H34" s="42"/>
      <c r="I34" s="42"/>
      <c r="J34" s="43" t="s">
        <v>2072</v>
      </c>
      <c r="K34" s="43" t="s">
        <v>2055</v>
      </c>
      <c r="L34" s="43">
        <v>40</v>
      </c>
      <c r="M34" s="43" t="s">
        <v>150</v>
      </c>
      <c r="N34" s="43">
        <v>2</v>
      </c>
      <c r="O34" s="43" t="s">
        <v>2056</v>
      </c>
      <c r="P34" s="42"/>
      <c r="Q34" s="42"/>
      <c r="R34" s="42"/>
    </row>
    <row r="35" spans="1:18">
      <c r="A35" s="43" t="s">
        <v>2072</v>
      </c>
      <c r="B35" s="43" t="s">
        <v>2066</v>
      </c>
      <c r="C35" s="43">
        <v>40</v>
      </c>
      <c r="D35" s="43" t="s">
        <v>150</v>
      </c>
      <c r="E35" s="43">
        <v>6</v>
      </c>
      <c r="F35" s="43" t="s">
        <v>2056</v>
      </c>
      <c r="G35" s="42"/>
      <c r="H35" s="42"/>
      <c r="I35" s="42"/>
      <c r="J35" s="43" t="s">
        <v>2072</v>
      </c>
      <c r="K35" s="43" t="s">
        <v>2066</v>
      </c>
      <c r="L35" s="43">
        <v>40</v>
      </c>
      <c r="M35" s="43" t="s">
        <v>150</v>
      </c>
      <c r="N35" s="43">
        <v>6</v>
      </c>
      <c r="O35" s="43" t="s">
        <v>2056</v>
      </c>
      <c r="P35" s="42"/>
      <c r="Q35" s="42"/>
      <c r="R35" s="42"/>
    </row>
    <row r="36" spans="1:18">
      <c r="A36" s="43" t="s">
        <v>2072</v>
      </c>
      <c r="B36" s="43" t="s">
        <v>2062</v>
      </c>
      <c r="C36" s="43">
        <v>40</v>
      </c>
      <c r="D36" s="43" t="s">
        <v>150</v>
      </c>
      <c r="E36" s="43">
        <v>0.4</v>
      </c>
      <c r="F36" s="43" t="s">
        <v>2056</v>
      </c>
      <c r="G36" s="42"/>
      <c r="H36" s="42"/>
      <c r="I36" s="42"/>
      <c r="J36" s="43" t="s">
        <v>2072</v>
      </c>
      <c r="K36" s="43" t="s">
        <v>2062</v>
      </c>
      <c r="L36" s="43">
        <v>40</v>
      </c>
      <c r="M36" s="43" t="s">
        <v>150</v>
      </c>
      <c r="N36" s="43">
        <v>0.4</v>
      </c>
      <c r="O36" s="43" t="s">
        <v>2056</v>
      </c>
      <c r="P36" s="42"/>
      <c r="Q36" s="42"/>
      <c r="R36" s="42"/>
    </row>
    <row r="37" spans="1:18">
      <c r="A37" s="43" t="s">
        <v>2072</v>
      </c>
      <c r="B37" s="43" t="s">
        <v>2061</v>
      </c>
      <c r="C37" s="43">
        <v>40</v>
      </c>
      <c r="D37" s="43" t="s">
        <v>150</v>
      </c>
      <c r="E37" s="43">
        <v>0.3</v>
      </c>
      <c r="F37" s="43" t="s">
        <v>2056</v>
      </c>
      <c r="G37" s="42"/>
      <c r="H37" s="42"/>
      <c r="I37" s="42"/>
      <c r="J37" s="43" t="s">
        <v>2072</v>
      </c>
      <c r="K37" s="43" t="s">
        <v>2061</v>
      </c>
      <c r="L37" s="43">
        <v>40</v>
      </c>
      <c r="M37" s="43" t="s">
        <v>150</v>
      </c>
      <c r="N37" s="43">
        <v>0.3</v>
      </c>
      <c r="O37" s="43" t="s">
        <v>2056</v>
      </c>
      <c r="P37" s="42"/>
      <c r="Q37" s="42"/>
      <c r="R37" s="42"/>
    </row>
    <row r="38" spans="1:18">
      <c r="A38" s="43" t="s">
        <v>2072</v>
      </c>
      <c r="B38" s="43" t="s">
        <v>2060</v>
      </c>
      <c r="C38" s="43">
        <v>40</v>
      </c>
      <c r="D38" s="43" t="s">
        <v>150</v>
      </c>
      <c r="E38" s="43">
        <v>0.6</v>
      </c>
      <c r="F38" s="43" t="s">
        <v>2056</v>
      </c>
      <c r="G38" s="42"/>
      <c r="H38" s="42"/>
      <c r="I38" s="42"/>
      <c r="J38" s="43" t="s">
        <v>2072</v>
      </c>
      <c r="K38" s="43" t="s">
        <v>2060</v>
      </c>
      <c r="L38" s="43">
        <v>40</v>
      </c>
      <c r="M38" s="43" t="s">
        <v>150</v>
      </c>
      <c r="N38" s="43">
        <v>0.6</v>
      </c>
      <c r="O38" s="43" t="s">
        <v>2056</v>
      </c>
      <c r="P38" s="42"/>
      <c r="Q38" s="42"/>
      <c r="R38" s="42"/>
    </row>
    <row r="39" spans="1:18">
      <c r="A39" s="43" t="s">
        <v>2072</v>
      </c>
      <c r="B39" s="43" t="s">
        <v>2059</v>
      </c>
      <c r="C39" s="43">
        <v>40</v>
      </c>
      <c r="D39" s="43" t="s">
        <v>150</v>
      </c>
      <c r="E39" s="43">
        <v>0.5</v>
      </c>
      <c r="F39" s="43" t="s">
        <v>2056</v>
      </c>
      <c r="G39" s="42"/>
      <c r="H39" s="42"/>
      <c r="I39" s="42"/>
      <c r="J39" s="43" t="s">
        <v>2072</v>
      </c>
      <c r="K39" s="43" t="s">
        <v>2059</v>
      </c>
      <c r="L39" s="43">
        <v>40</v>
      </c>
      <c r="M39" s="43" t="s">
        <v>150</v>
      </c>
      <c r="N39" s="43">
        <v>0.5</v>
      </c>
      <c r="O39" s="43" t="s">
        <v>2056</v>
      </c>
      <c r="P39" s="42"/>
      <c r="Q39" s="42"/>
      <c r="R39" s="42"/>
    </row>
    <row r="40" spans="1:18">
      <c r="A40" s="43" t="s">
        <v>2064</v>
      </c>
      <c r="B40" s="43" t="s">
        <v>2060</v>
      </c>
      <c r="C40" s="43">
        <v>110</v>
      </c>
      <c r="D40" s="43" t="s">
        <v>150</v>
      </c>
      <c r="E40" s="43">
        <v>0.5</v>
      </c>
      <c r="F40" s="43" t="s">
        <v>2056</v>
      </c>
      <c r="G40" s="42"/>
      <c r="H40" s="42"/>
      <c r="I40" s="42"/>
      <c r="J40" s="43" t="s">
        <v>2064</v>
      </c>
      <c r="K40" s="43" t="s">
        <v>2066</v>
      </c>
      <c r="L40" s="43">
        <v>110</v>
      </c>
      <c r="M40" s="43" t="s">
        <v>150</v>
      </c>
      <c r="N40" s="43">
        <v>3</v>
      </c>
      <c r="O40" s="43" t="s">
        <v>2056</v>
      </c>
      <c r="P40" s="42"/>
      <c r="Q40" s="42"/>
      <c r="R40" s="42"/>
    </row>
    <row r="41" spans="1:18">
      <c r="A41" s="43" t="s">
        <v>2064</v>
      </c>
      <c r="B41" s="43" t="s">
        <v>2068</v>
      </c>
      <c r="C41" s="43">
        <v>110</v>
      </c>
      <c r="D41" s="43" t="s">
        <v>150</v>
      </c>
      <c r="E41" s="43">
        <v>0.4</v>
      </c>
      <c r="F41" s="43" t="s">
        <v>2056</v>
      </c>
      <c r="G41" s="42"/>
      <c r="H41" s="42"/>
      <c r="I41" s="42"/>
      <c r="J41" s="43" t="s">
        <v>2064</v>
      </c>
      <c r="K41" s="43" t="s">
        <v>2070</v>
      </c>
      <c r="L41" s="43">
        <v>110</v>
      </c>
      <c r="M41" s="43" t="s">
        <v>150</v>
      </c>
      <c r="N41" s="43">
        <v>1</v>
      </c>
      <c r="O41" s="43" t="s">
        <v>2056</v>
      </c>
      <c r="P41" s="42"/>
      <c r="Q41" s="42"/>
      <c r="R41" s="42"/>
    </row>
    <row r="42" spans="1:18">
      <c r="A42" s="43" t="s">
        <v>2064</v>
      </c>
      <c r="B42" s="43" t="s">
        <v>2061</v>
      </c>
      <c r="C42" s="43">
        <v>110</v>
      </c>
      <c r="D42" s="43" t="s">
        <v>150</v>
      </c>
      <c r="E42" s="43">
        <v>0.3</v>
      </c>
      <c r="F42" s="43" t="s">
        <v>2056</v>
      </c>
      <c r="G42" s="42"/>
      <c r="H42" s="42"/>
      <c r="I42" s="42"/>
      <c r="J42" s="43" t="s">
        <v>2064</v>
      </c>
      <c r="K42" s="43" t="s">
        <v>2071</v>
      </c>
      <c r="L42" s="43">
        <v>110</v>
      </c>
      <c r="M42" s="43" t="s">
        <v>150</v>
      </c>
      <c r="N42" s="43">
        <v>1</v>
      </c>
      <c r="O42" s="43" t="s">
        <v>2056</v>
      </c>
      <c r="P42" s="42"/>
      <c r="Q42" s="42"/>
      <c r="R42" s="42"/>
    </row>
    <row r="43" spans="1:18">
      <c r="A43" s="43" t="s">
        <v>2064</v>
      </c>
      <c r="B43" s="43" t="s">
        <v>2067</v>
      </c>
      <c r="C43" s="43">
        <v>110</v>
      </c>
      <c r="D43" s="43" t="s">
        <v>150</v>
      </c>
      <c r="E43" s="43">
        <v>0.3</v>
      </c>
      <c r="F43" s="43" t="s">
        <v>2056</v>
      </c>
      <c r="G43" s="42"/>
      <c r="H43" s="42"/>
      <c r="I43" s="42"/>
      <c r="J43" s="43" t="s">
        <v>2064</v>
      </c>
      <c r="K43" s="43" t="s">
        <v>2057</v>
      </c>
      <c r="L43" s="43">
        <v>110</v>
      </c>
      <c r="M43" s="43" t="s">
        <v>150</v>
      </c>
      <c r="N43" s="43">
        <v>3</v>
      </c>
      <c r="O43" s="43" t="s">
        <v>2056</v>
      </c>
      <c r="P43" s="42"/>
      <c r="Q43" s="42"/>
      <c r="R43" s="42"/>
    </row>
    <row r="44" spans="1:18">
      <c r="A44" s="43" t="s">
        <v>2064</v>
      </c>
      <c r="B44" s="43" t="s">
        <v>2062</v>
      </c>
      <c r="C44" s="43">
        <v>110</v>
      </c>
      <c r="D44" s="43" t="s">
        <v>150</v>
      </c>
      <c r="E44" s="43">
        <v>0.6</v>
      </c>
      <c r="F44" s="43" t="s">
        <v>2056</v>
      </c>
      <c r="G44" s="42"/>
      <c r="H44" s="42"/>
      <c r="I44" s="42"/>
      <c r="J44" s="43" t="s">
        <v>2064</v>
      </c>
      <c r="K44" s="43" t="s">
        <v>2058</v>
      </c>
      <c r="L44" s="43">
        <v>110</v>
      </c>
      <c r="M44" s="43" t="s">
        <v>150</v>
      </c>
      <c r="N44" s="43">
        <v>2</v>
      </c>
      <c r="O44" s="43" t="s">
        <v>2056</v>
      </c>
      <c r="P44" s="42"/>
      <c r="Q44" s="42"/>
      <c r="R44" s="42"/>
    </row>
    <row r="45" spans="1:18">
      <c r="A45" s="43" t="s">
        <v>2064</v>
      </c>
      <c r="B45" s="43" t="s">
        <v>2059</v>
      </c>
      <c r="C45" s="43">
        <v>110</v>
      </c>
      <c r="D45" s="43" t="s">
        <v>150</v>
      </c>
      <c r="E45" s="43">
        <v>0.3</v>
      </c>
      <c r="F45" s="43" t="s">
        <v>2056</v>
      </c>
      <c r="G45" s="42"/>
      <c r="H45" s="42"/>
      <c r="I45" s="42"/>
      <c r="J45" s="43" t="s">
        <v>2064</v>
      </c>
      <c r="K45" s="43" t="s">
        <v>2069</v>
      </c>
      <c r="L45" s="43">
        <v>110</v>
      </c>
      <c r="M45" s="43" t="s">
        <v>150</v>
      </c>
      <c r="N45" s="43">
        <v>1</v>
      </c>
      <c r="O45" s="43" t="s">
        <v>2056</v>
      </c>
      <c r="P45" s="42"/>
      <c r="Q45" s="42"/>
      <c r="R45" s="42"/>
    </row>
    <row r="46" spans="1:18">
      <c r="A46" s="43" t="s">
        <v>2064</v>
      </c>
      <c r="B46" s="43" t="s">
        <v>2069</v>
      </c>
      <c r="C46" s="43">
        <v>110</v>
      </c>
      <c r="D46" s="43" t="s">
        <v>150</v>
      </c>
      <c r="E46" s="43">
        <v>1</v>
      </c>
      <c r="F46" s="43" t="s">
        <v>2056</v>
      </c>
      <c r="G46" s="42"/>
      <c r="H46" s="42"/>
      <c r="I46" s="42"/>
      <c r="J46" s="43" t="s">
        <v>2064</v>
      </c>
      <c r="K46" s="43" t="s">
        <v>2059</v>
      </c>
      <c r="L46" s="43">
        <v>110</v>
      </c>
      <c r="M46" s="43" t="s">
        <v>150</v>
      </c>
      <c r="N46" s="43">
        <v>0.3</v>
      </c>
      <c r="O46" s="43" t="s">
        <v>2056</v>
      </c>
      <c r="P46" s="42"/>
      <c r="Q46" s="42"/>
      <c r="R46" s="42"/>
    </row>
    <row r="47" spans="1:18">
      <c r="A47" s="43" t="s">
        <v>2064</v>
      </c>
      <c r="B47" s="43" t="s">
        <v>2066</v>
      </c>
      <c r="C47" s="43">
        <v>110</v>
      </c>
      <c r="D47" s="43" t="s">
        <v>150</v>
      </c>
      <c r="E47" s="43">
        <v>5</v>
      </c>
      <c r="F47" s="43" t="s">
        <v>2056</v>
      </c>
      <c r="G47" s="42"/>
      <c r="H47" s="42"/>
      <c r="I47" s="42"/>
      <c r="J47" s="43" t="s">
        <v>2064</v>
      </c>
      <c r="K47" s="43" t="s">
        <v>2068</v>
      </c>
      <c r="L47" s="43">
        <v>110</v>
      </c>
      <c r="M47" s="43" t="s">
        <v>150</v>
      </c>
      <c r="N47" s="43">
        <v>0.4</v>
      </c>
      <c r="O47" s="43" t="s">
        <v>2056</v>
      </c>
      <c r="P47" s="42"/>
      <c r="Q47" s="42"/>
      <c r="R47" s="42"/>
    </row>
    <row r="48" spans="1:18">
      <c r="A48" s="43" t="s">
        <v>2064</v>
      </c>
      <c r="B48" s="43" t="s">
        <v>2070</v>
      </c>
      <c r="C48" s="43">
        <v>110</v>
      </c>
      <c r="D48" s="43" t="s">
        <v>150</v>
      </c>
      <c r="E48" s="43">
        <v>1</v>
      </c>
      <c r="F48" s="43" t="s">
        <v>2056</v>
      </c>
      <c r="G48" s="42"/>
      <c r="H48" s="42"/>
      <c r="I48" s="42"/>
      <c r="J48" s="43" t="s">
        <v>2064</v>
      </c>
      <c r="K48" s="43" t="s">
        <v>2065</v>
      </c>
      <c r="L48" s="43">
        <v>110</v>
      </c>
      <c r="M48" s="43" t="s">
        <v>150</v>
      </c>
      <c r="N48" s="43">
        <v>9</v>
      </c>
      <c r="O48" s="43" t="s">
        <v>2056</v>
      </c>
      <c r="P48" s="42"/>
      <c r="Q48" s="42"/>
      <c r="R48" s="42"/>
    </row>
    <row r="49" spans="1:18">
      <c r="A49" s="43" t="s">
        <v>2064</v>
      </c>
      <c r="B49" s="43" t="s">
        <v>2071</v>
      </c>
      <c r="C49" s="43">
        <v>110</v>
      </c>
      <c r="D49" s="43" t="s">
        <v>150</v>
      </c>
      <c r="E49" s="43">
        <v>1</v>
      </c>
      <c r="F49" s="43" t="s">
        <v>2056</v>
      </c>
      <c r="G49" s="42"/>
      <c r="H49" s="42"/>
      <c r="I49" s="42"/>
      <c r="J49" s="43" t="s">
        <v>2064</v>
      </c>
      <c r="K49" s="43" t="s">
        <v>2061</v>
      </c>
      <c r="L49" s="43">
        <v>110</v>
      </c>
      <c r="M49" s="43" t="s">
        <v>150</v>
      </c>
      <c r="N49" s="43">
        <v>0.3</v>
      </c>
      <c r="O49" s="43" t="s">
        <v>2056</v>
      </c>
      <c r="P49" s="42"/>
      <c r="Q49" s="42"/>
      <c r="R49" s="42"/>
    </row>
    <row r="50" spans="1:18">
      <c r="A50" s="43" t="s">
        <v>2064</v>
      </c>
      <c r="B50" s="43" t="s">
        <v>2057</v>
      </c>
      <c r="C50" s="43">
        <v>110</v>
      </c>
      <c r="D50" s="43" t="s">
        <v>150</v>
      </c>
      <c r="E50" s="43">
        <v>3</v>
      </c>
      <c r="F50" s="43" t="s">
        <v>2056</v>
      </c>
      <c r="G50" s="42"/>
      <c r="H50" s="42"/>
      <c r="I50" s="42"/>
      <c r="J50" s="43" t="s">
        <v>2064</v>
      </c>
      <c r="K50" s="43" t="s">
        <v>2067</v>
      </c>
      <c r="L50" s="43">
        <v>110</v>
      </c>
      <c r="M50" s="43" t="s">
        <v>150</v>
      </c>
      <c r="N50" s="43">
        <v>0.3</v>
      </c>
      <c r="O50" s="43" t="s">
        <v>2056</v>
      </c>
      <c r="P50" s="42"/>
      <c r="Q50" s="42"/>
      <c r="R50" s="42"/>
    </row>
    <row r="51" spans="1:18">
      <c r="A51" s="43" t="s">
        <v>2064</v>
      </c>
      <c r="B51" s="43" t="s">
        <v>2058</v>
      </c>
      <c r="C51" s="43">
        <v>110</v>
      </c>
      <c r="D51" s="43" t="s">
        <v>150</v>
      </c>
      <c r="E51" s="43">
        <v>2</v>
      </c>
      <c r="F51" s="43" t="s">
        <v>2056</v>
      </c>
      <c r="G51" s="42"/>
      <c r="H51" s="42"/>
      <c r="I51" s="42"/>
      <c r="J51" s="43" t="s">
        <v>2064</v>
      </c>
      <c r="K51" s="43" t="s">
        <v>2062</v>
      </c>
      <c r="L51" s="43">
        <v>110</v>
      </c>
      <c r="M51" s="43" t="s">
        <v>150</v>
      </c>
      <c r="N51" s="43">
        <v>0.6</v>
      </c>
      <c r="O51" s="43" t="s">
        <v>2056</v>
      </c>
      <c r="P51" s="42"/>
      <c r="Q51" s="42"/>
      <c r="R51" s="42"/>
    </row>
    <row r="52" spans="1:18">
      <c r="A52" s="43" t="s">
        <v>2064</v>
      </c>
      <c r="B52" s="43" t="s">
        <v>2065</v>
      </c>
      <c r="C52" s="43">
        <v>110</v>
      </c>
      <c r="D52" s="43" t="s">
        <v>150</v>
      </c>
      <c r="E52" s="43">
        <v>9</v>
      </c>
      <c r="F52" s="43" t="s">
        <v>2056</v>
      </c>
      <c r="G52" s="42"/>
      <c r="H52" s="42"/>
      <c r="I52" s="42"/>
      <c r="J52" s="43" t="s">
        <v>2064</v>
      </c>
      <c r="K52" s="43" t="s">
        <v>2060</v>
      </c>
      <c r="L52" s="43">
        <v>110</v>
      </c>
      <c r="M52" s="43" t="s">
        <v>150</v>
      </c>
      <c r="N52" s="43">
        <v>0.5</v>
      </c>
      <c r="O52" s="43" t="s">
        <v>2056</v>
      </c>
      <c r="P52" s="42"/>
      <c r="Q52" s="42"/>
      <c r="R52" s="42"/>
    </row>
    <row r="53" spans="1:18">
      <c r="A53" s="43" t="s">
        <v>2064</v>
      </c>
      <c r="B53" s="43" t="s">
        <v>2069</v>
      </c>
      <c r="C53" s="43">
        <v>280</v>
      </c>
      <c r="D53" s="43" t="s">
        <v>150</v>
      </c>
      <c r="E53" s="43">
        <v>1</v>
      </c>
      <c r="F53" s="43" t="s">
        <v>2056</v>
      </c>
      <c r="G53" s="42"/>
      <c r="H53" s="42"/>
      <c r="I53" s="42"/>
      <c r="J53" s="43" t="s">
        <v>2064</v>
      </c>
      <c r="K53" s="43" t="s">
        <v>2058</v>
      </c>
      <c r="L53" s="43">
        <v>240</v>
      </c>
      <c r="M53" s="43" t="s">
        <v>150</v>
      </c>
      <c r="N53" s="43">
        <v>1</v>
      </c>
      <c r="O53" s="43" t="s">
        <v>2056</v>
      </c>
      <c r="P53" s="42"/>
      <c r="Q53" s="42"/>
      <c r="R53" s="42"/>
    </row>
    <row r="54" spans="1:18">
      <c r="A54" s="43" t="s">
        <v>2064</v>
      </c>
      <c r="B54" s="43" t="s">
        <v>2062</v>
      </c>
      <c r="C54" s="43">
        <v>280</v>
      </c>
      <c r="D54" s="43" t="s">
        <v>150</v>
      </c>
      <c r="E54" s="43">
        <v>0.6</v>
      </c>
      <c r="F54" s="43" t="s">
        <v>2056</v>
      </c>
      <c r="G54" s="42"/>
      <c r="H54" s="42"/>
      <c r="I54" s="42"/>
      <c r="J54" s="43" t="s">
        <v>2064</v>
      </c>
      <c r="K54" s="43" t="s">
        <v>2065</v>
      </c>
      <c r="L54" s="43">
        <v>240</v>
      </c>
      <c r="M54" s="43" t="s">
        <v>150</v>
      </c>
      <c r="N54" s="43">
        <v>6</v>
      </c>
      <c r="O54" s="43" t="s">
        <v>2056</v>
      </c>
      <c r="P54" s="42"/>
      <c r="Q54" s="42"/>
      <c r="R54" s="42"/>
    </row>
    <row r="55" spans="1:18">
      <c r="A55" s="43" t="s">
        <v>2064</v>
      </c>
      <c r="B55" s="43" t="s">
        <v>2065</v>
      </c>
      <c r="C55" s="43">
        <v>280</v>
      </c>
      <c r="D55" s="43" t="s">
        <v>150</v>
      </c>
      <c r="E55" s="43">
        <v>10</v>
      </c>
      <c r="F55" s="43" t="s">
        <v>2056</v>
      </c>
      <c r="G55" s="42"/>
      <c r="H55" s="42"/>
      <c r="I55" s="42"/>
      <c r="J55" s="43" t="s">
        <v>2064</v>
      </c>
      <c r="K55" s="43" t="s">
        <v>2066</v>
      </c>
      <c r="L55" s="43">
        <v>240</v>
      </c>
      <c r="M55" s="43" t="s">
        <v>150</v>
      </c>
      <c r="N55" s="43">
        <v>7</v>
      </c>
      <c r="O55" s="43" t="s">
        <v>2056</v>
      </c>
      <c r="P55" s="42"/>
      <c r="Q55" s="42"/>
      <c r="R55" s="42"/>
    </row>
    <row r="56" spans="1:18">
      <c r="A56" s="43" t="s">
        <v>2064</v>
      </c>
      <c r="B56" s="43" t="s">
        <v>2066</v>
      </c>
      <c r="C56" s="43">
        <v>280</v>
      </c>
      <c r="D56" s="43" t="s">
        <v>150</v>
      </c>
      <c r="E56" s="43">
        <v>4</v>
      </c>
      <c r="F56" s="43" t="s">
        <v>2056</v>
      </c>
      <c r="G56" s="42"/>
      <c r="H56" s="42"/>
      <c r="I56" s="42"/>
      <c r="J56" s="43" t="s">
        <v>2064</v>
      </c>
      <c r="K56" s="43" t="s">
        <v>2070</v>
      </c>
      <c r="L56" s="43">
        <v>240</v>
      </c>
      <c r="M56" s="43" t="s">
        <v>150</v>
      </c>
      <c r="N56" s="43">
        <v>1</v>
      </c>
      <c r="O56" s="43" t="s">
        <v>2056</v>
      </c>
      <c r="P56" s="42"/>
      <c r="Q56" s="42"/>
      <c r="R56" s="42"/>
    </row>
    <row r="57" spans="1:18">
      <c r="A57" s="43" t="s">
        <v>2064</v>
      </c>
      <c r="B57" s="43" t="s">
        <v>2070</v>
      </c>
      <c r="C57" s="43">
        <v>280</v>
      </c>
      <c r="D57" s="43" t="s">
        <v>150</v>
      </c>
      <c r="E57" s="43">
        <v>1</v>
      </c>
      <c r="F57" s="43" t="s">
        <v>2056</v>
      </c>
      <c r="G57" s="42"/>
      <c r="H57" s="42"/>
      <c r="I57" s="42"/>
      <c r="J57" s="43" t="s">
        <v>2064</v>
      </c>
      <c r="K57" s="43" t="s">
        <v>2069</v>
      </c>
      <c r="L57" s="43">
        <v>240</v>
      </c>
      <c r="M57" s="43" t="s">
        <v>150</v>
      </c>
      <c r="N57" s="43">
        <v>1</v>
      </c>
      <c r="O57" s="43" t="s">
        <v>2056</v>
      </c>
      <c r="P57" s="42"/>
      <c r="Q57" s="42"/>
      <c r="R57" s="42"/>
    </row>
    <row r="58" spans="1:18">
      <c r="A58" s="43" t="s">
        <v>2064</v>
      </c>
      <c r="B58" s="43" t="s">
        <v>2059</v>
      </c>
      <c r="C58" s="43">
        <v>280</v>
      </c>
      <c r="D58" s="43" t="s">
        <v>150</v>
      </c>
      <c r="E58" s="43">
        <v>0.4</v>
      </c>
      <c r="F58" s="43" t="s">
        <v>2056</v>
      </c>
      <c r="G58" s="42"/>
      <c r="H58" s="42"/>
      <c r="I58" s="42"/>
      <c r="J58" s="43" t="s">
        <v>2064</v>
      </c>
      <c r="K58" s="43" t="s">
        <v>2059</v>
      </c>
      <c r="L58" s="43">
        <v>240</v>
      </c>
      <c r="M58" s="43" t="s">
        <v>150</v>
      </c>
      <c r="N58" s="43">
        <v>0.4</v>
      </c>
      <c r="O58" s="43" t="s">
        <v>2056</v>
      </c>
      <c r="P58" s="42"/>
      <c r="Q58" s="42"/>
      <c r="R58" s="42"/>
    </row>
    <row r="59" spans="1:18">
      <c r="A59" s="43" t="s">
        <v>2064</v>
      </c>
      <c r="B59" s="43" t="s">
        <v>2060</v>
      </c>
      <c r="C59" s="43">
        <v>280</v>
      </c>
      <c r="D59" s="43" t="s">
        <v>150</v>
      </c>
      <c r="E59" s="43">
        <v>0.6</v>
      </c>
      <c r="F59" s="43" t="s">
        <v>2056</v>
      </c>
      <c r="G59" s="42"/>
      <c r="H59" s="42"/>
      <c r="I59" s="42"/>
      <c r="J59" s="43" t="s">
        <v>2064</v>
      </c>
      <c r="K59" s="43" t="s">
        <v>2068</v>
      </c>
      <c r="L59" s="43">
        <v>240</v>
      </c>
      <c r="M59" s="43" t="s">
        <v>150</v>
      </c>
      <c r="N59" s="43">
        <v>0.4</v>
      </c>
      <c r="O59" s="43" t="s">
        <v>2056</v>
      </c>
      <c r="P59" s="42"/>
      <c r="Q59" s="42"/>
      <c r="R59" s="42"/>
    </row>
    <row r="60" spans="1:18">
      <c r="A60" s="43" t="s">
        <v>2064</v>
      </c>
      <c r="B60" s="43" t="s">
        <v>2068</v>
      </c>
      <c r="C60" s="43">
        <v>280</v>
      </c>
      <c r="D60" s="43" t="s">
        <v>150</v>
      </c>
      <c r="E60" s="43">
        <v>0.4</v>
      </c>
      <c r="F60" s="43" t="s">
        <v>2056</v>
      </c>
      <c r="G60" s="42"/>
      <c r="H60" s="42"/>
      <c r="I60" s="42"/>
      <c r="J60" s="43" t="s">
        <v>2064</v>
      </c>
      <c r="K60" s="43" t="s">
        <v>2061</v>
      </c>
      <c r="L60" s="43">
        <v>240</v>
      </c>
      <c r="M60" s="43" t="s">
        <v>150</v>
      </c>
      <c r="N60" s="43">
        <v>0.3</v>
      </c>
      <c r="O60" s="43" t="s">
        <v>2056</v>
      </c>
      <c r="P60" s="42"/>
      <c r="Q60" s="42"/>
      <c r="R60" s="42"/>
    </row>
    <row r="61" spans="1:18">
      <c r="A61" s="43" t="s">
        <v>2064</v>
      </c>
      <c r="B61" s="43" t="s">
        <v>2061</v>
      </c>
      <c r="C61" s="43">
        <v>280</v>
      </c>
      <c r="D61" s="43" t="s">
        <v>150</v>
      </c>
      <c r="E61" s="43">
        <v>0.3</v>
      </c>
      <c r="F61" s="43" t="s">
        <v>2056</v>
      </c>
      <c r="G61" s="42"/>
      <c r="H61" s="42"/>
      <c r="I61" s="42"/>
      <c r="J61" s="43" t="s">
        <v>2064</v>
      </c>
      <c r="K61" s="43" t="s">
        <v>2067</v>
      </c>
      <c r="L61" s="43">
        <v>240</v>
      </c>
      <c r="M61" s="43" t="s">
        <v>150</v>
      </c>
      <c r="N61" s="43">
        <v>0.5</v>
      </c>
      <c r="O61" s="43" t="s">
        <v>2056</v>
      </c>
      <c r="P61" s="42"/>
      <c r="Q61" s="42"/>
      <c r="R61" s="42"/>
    </row>
    <row r="62" spans="1:18">
      <c r="A62" s="43" t="s">
        <v>2064</v>
      </c>
      <c r="B62" s="43" t="s">
        <v>2067</v>
      </c>
      <c r="C62" s="43">
        <v>280</v>
      </c>
      <c r="D62" s="43" t="s">
        <v>150</v>
      </c>
      <c r="E62" s="43">
        <v>0.5</v>
      </c>
      <c r="F62" s="43" t="s">
        <v>2056</v>
      </c>
      <c r="G62" s="42"/>
      <c r="H62" s="42"/>
      <c r="I62" s="42"/>
      <c r="J62" s="43" t="s">
        <v>2064</v>
      </c>
      <c r="K62" s="43" t="s">
        <v>2062</v>
      </c>
      <c r="L62" s="43">
        <v>240</v>
      </c>
      <c r="M62" s="43" t="s">
        <v>150</v>
      </c>
      <c r="N62" s="43">
        <v>0.6</v>
      </c>
      <c r="O62" s="43" t="s">
        <v>2056</v>
      </c>
      <c r="P62" s="42"/>
      <c r="Q62" s="42"/>
      <c r="R62" s="42"/>
    </row>
    <row r="63" spans="1:18">
      <c r="A63" s="43" t="s">
        <v>2073</v>
      </c>
      <c r="B63" s="43" t="s">
        <v>2058</v>
      </c>
      <c r="C63" s="43">
        <v>200</v>
      </c>
      <c r="D63" s="43" t="s">
        <v>150</v>
      </c>
      <c r="E63" s="43">
        <v>1</v>
      </c>
      <c r="F63" s="43" t="s">
        <v>2056</v>
      </c>
      <c r="G63" s="42"/>
      <c r="H63" s="42"/>
      <c r="I63" s="42"/>
      <c r="J63" s="43" t="s">
        <v>2064</v>
      </c>
      <c r="K63" s="43" t="s">
        <v>2060</v>
      </c>
      <c r="L63" s="43">
        <v>240</v>
      </c>
      <c r="M63" s="43" t="s">
        <v>150</v>
      </c>
      <c r="N63" s="43">
        <v>0.6</v>
      </c>
      <c r="O63" s="43" t="s">
        <v>2056</v>
      </c>
      <c r="P63" s="42"/>
      <c r="Q63" s="42"/>
      <c r="R63" s="42"/>
    </row>
    <row r="64" spans="1:18">
      <c r="A64" s="43" t="s">
        <v>2073</v>
      </c>
      <c r="B64" s="43" t="s">
        <v>2057</v>
      </c>
      <c r="C64" s="43">
        <v>200</v>
      </c>
      <c r="D64" s="43" t="s">
        <v>150</v>
      </c>
      <c r="E64" s="43">
        <v>3</v>
      </c>
      <c r="F64" s="43" t="s">
        <v>2056</v>
      </c>
      <c r="G64" s="42"/>
      <c r="H64" s="42"/>
      <c r="I64" s="42"/>
      <c r="J64" s="236" t="s">
        <v>2074</v>
      </c>
      <c r="K64" s="236"/>
      <c r="L64" s="236"/>
      <c r="M64" s="236"/>
      <c r="N64" s="236"/>
      <c r="O64" s="43">
        <v>82.088200000000001</v>
      </c>
      <c r="P64" s="42"/>
      <c r="Q64" s="42"/>
      <c r="R64" s="42"/>
    </row>
    <row r="65" spans="1:18">
      <c r="A65" s="236" t="s">
        <v>2074</v>
      </c>
      <c r="B65" s="236"/>
      <c r="C65" s="236"/>
      <c r="D65" s="236"/>
      <c r="E65" s="236"/>
      <c r="F65" s="43">
        <v>111.0501</v>
      </c>
      <c r="G65" s="42"/>
      <c r="H65" s="42"/>
      <c r="I65" s="42"/>
      <c r="J65" s="42"/>
      <c r="K65" s="42"/>
      <c r="L65" s="42"/>
      <c r="M65" s="42"/>
      <c r="N65" s="44"/>
      <c r="O65" s="44"/>
      <c r="P65" s="44"/>
      <c r="Q65" s="44"/>
      <c r="R65" s="44"/>
    </row>
    <row r="66" spans="1:18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4"/>
      <c r="O66" s="44"/>
      <c r="P66" s="44"/>
      <c r="Q66" s="44"/>
      <c r="R66" s="44"/>
    </row>
    <row r="67" spans="1:18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4"/>
      <c r="O67" s="44"/>
      <c r="P67" s="44"/>
      <c r="Q67" s="44"/>
      <c r="R67" s="44"/>
    </row>
    <row r="68" spans="1:18">
      <c r="A68" s="236" t="s">
        <v>2075</v>
      </c>
      <c r="B68" s="236"/>
      <c r="C68" s="236"/>
      <c r="D68" s="236"/>
      <c r="E68" s="236"/>
      <c r="F68" s="236"/>
      <c r="G68" s="236"/>
      <c r="H68" s="42"/>
      <c r="I68" s="42"/>
      <c r="J68" s="236" t="s">
        <v>2075</v>
      </c>
      <c r="K68" s="236"/>
      <c r="L68" s="236"/>
      <c r="M68" s="236"/>
      <c r="N68" s="236"/>
      <c r="O68" s="236"/>
      <c r="P68" s="236"/>
      <c r="Q68" s="44"/>
      <c r="R68" s="44"/>
    </row>
    <row r="69" spans="1:18">
      <c r="A69" s="43" t="s">
        <v>2076</v>
      </c>
      <c r="B69" s="43" t="s">
        <v>2077</v>
      </c>
      <c r="C69" s="43" t="s">
        <v>1999</v>
      </c>
      <c r="D69" s="43" t="s">
        <v>2001</v>
      </c>
      <c r="E69" s="43" t="s">
        <v>2078</v>
      </c>
      <c r="F69" s="43" t="s">
        <v>2075</v>
      </c>
      <c r="G69" s="43" t="s">
        <v>86</v>
      </c>
      <c r="H69" s="42"/>
      <c r="I69" s="42"/>
      <c r="J69" s="43" t="s">
        <v>2076</v>
      </c>
      <c r="K69" s="43" t="s">
        <v>2077</v>
      </c>
      <c r="L69" s="43" t="s">
        <v>1999</v>
      </c>
      <c r="M69" s="43" t="s">
        <v>2001</v>
      </c>
      <c r="N69" s="43" t="s">
        <v>2078</v>
      </c>
      <c r="O69" s="43" t="s">
        <v>2075</v>
      </c>
      <c r="P69" s="43" t="s">
        <v>86</v>
      </c>
      <c r="Q69" s="44"/>
      <c r="R69" s="44"/>
    </row>
    <row r="70" spans="1:18">
      <c r="A70" s="43" t="s">
        <v>2055</v>
      </c>
      <c r="B70" s="43" t="s">
        <v>2079</v>
      </c>
      <c r="C70" s="43">
        <v>2</v>
      </c>
      <c r="D70" s="43">
        <v>2000</v>
      </c>
      <c r="E70" s="43">
        <v>5000</v>
      </c>
      <c r="F70" s="43">
        <v>0.26669999999999999</v>
      </c>
      <c r="G70" s="43">
        <f t="shared" ref="G70:G85" si="0">C70*D70</f>
        <v>4000</v>
      </c>
      <c r="H70" s="42"/>
      <c r="I70" s="42"/>
      <c r="J70" s="43" t="s">
        <v>2055</v>
      </c>
      <c r="K70" s="43" t="s">
        <v>2079</v>
      </c>
      <c r="L70" s="43">
        <v>2</v>
      </c>
      <c r="M70" s="43">
        <v>2000</v>
      </c>
      <c r="N70" s="43">
        <v>5000</v>
      </c>
      <c r="O70" s="43">
        <v>0.26669999999999999</v>
      </c>
      <c r="P70" s="43">
        <f t="shared" ref="P70:P85" si="1">L70*M70</f>
        <v>4000</v>
      </c>
      <c r="Q70" s="44"/>
      <c r="R70" s="44"/>
    </row>
    <row r="71" spans="1:18">
      <c r="A71" s="43" t="s">
        <v>2080</v>
      </c>
      <c r="B71" s="43" t="s">
        <v>2081</v>
      </c>
      <c r="C71" s="43">
        <v>2</v>
      </c>
      <c r="D71" s="43">
        <v>4000</v>
      </c>
      <c r="E71" s="43">
        <v>5000</v>
      </c>
      <c r="F71" s="43">
        <v>0.5333</v>
      </c>
      <c r="G71" s="43">
        <f t="shared" si="0"/>
        <v>8000</v>
      </c>
      <c r="H71" s="42"/>
      <c r="I71" s="42"/>
      <c r="J71" s="43" t="s">
        <v>2080</v>
      </c>
      <c r="K71" s="43" t="s">
        <v>2081</v>
      </c>
      <c r="L71" s="43">
        <v>2</v>
      </c>
      <c r="M71" s="43">
        <v>4000</v>
      </c>
      <c r="N71" s="43">
        <v>5000</v>
      </c>
      <c r="O71" s="43">
        <v>0.5333</v>
      </c>
      <c r="P71" s="43">
        <f t="shared" si="1"/>
        <v>8000</v>
      </c>
      <c r="Q71" s="44"/>
      <c r="R71" s="44"/>
    </row>
    <row r="72" spans="1:18">
      <c r="A72" s="43" t="s">
        <v>2068</v>
      </c>
      <c r="B72" s="43" t="s">
        <v>2082</v>
      </c>
      <c r="C72" s="43">
        <v>15</v>
      </c>
      <c r="D72" s="43">
        <v>300</v>
      </c>
      <c r="E72" s="43">
        <v>5000</v>
      </c>
      <c r="F72" s="43">
        <v>0.3</v>
      </c>
      <c r="G72" s="43">
        <f t="shared" si="0"/>
        <v>4500</v>
      </c>
      <c r="H72" s="42"/>
      <c r="I72" s="42"/>
      <c r="J72" s="43" t="s">
        <v>2068</v>
      </c>
      <c r="K72" s="43" t="s">
        <v>2082</v>
      </c>
      <c r="L72" s="43">
        <v>15</v>
      </c>
      <c r="M72" s="43">
        <v>300</v>
      </c>
      <c r="N72" s="43">
        <v>5000</v>
      </c>
      <c r="O72" s="43">
        <v>0.3</v>
      </c>
      <c r="P72" s="43">
        <f t="shared" si="1"/>
        <v>4500</v>
      </c>
      <c r="Q72" s="44"/>
      <c r="R72" s="44"/>
    </row>
    <row r="73" spans="1:18">
      <c r="A73" s="43" t="s">
        <v>2083</v>
      </c>
      <c r="B73" s="43" t="s">
        <v>2084</v>
      </c>
      <c r="C73" s="43">
        <v>0</v>
      </c>
      <c r="D73" s="43">
        <v>0</v>
      </c>
      <c r="E73" s="43">
        <v>5000</v>
      </c>
      <c r="F73" s="43">
        <v>0</v>
      </c>
      <c r="G73" s="43">
        <f t="shared" si="0"/>
        <v>0</v>
      </c>
      <c r="H73" s="42"/>
      <c r="I73" s="42"/>
      <c r="J73" s="43" t="s">
        <v>2083</v>
      </c>
      <c r="K73" s="43" t="s">
        <v>2084</v>
      </c>
      <c r="L73" s="43">
        <v>0</v>
      </c>
      <c r="M73" s="43">
        <v>0</v>
      </c>
      <c r="N73" s="43">
        <v>5000</v>
      </c>
      <c r="O73" s="43">
        <v>0</v>
      </c>
      <c r="P73" s="43">
        <f t="shared" si="1"/>
        <v>0</v>
      </c>
      <c r="Q73" s="44"/>
      <c r="R73" s="44"/>
    </row>
    <row r="74" spans="1:18">
      <c r="A74" s="43" t="s">
        <v>2080</v>
      </c>
      <c r="B74" s="43" t="s">
        <v>2085</v>
      </c>
      <c r="C74" s="43">
        <v>2</v>
      </c>
      <c r="D74" s="43">
        <v>4000</v>
      </c>
      <c r="E74" s="43">
        <v>5000</v>
      </c>
      <c r="F74" s="43">
        <v>0.5333</v>
      </c>
      <c r="G74" s="43">
        <f t="shared" si="0"/>
        <v>8000</v>
      </c>
      <c r="H74" s="42"/>
      <c r="I74" s="42"/>
      <c r="J74" s="43" t="s">
        <v>2080</v>
      </c>
      <c r="K74" s="43" t="s">
        <v>2085</v>
      </c>
      <c r="L74" s="43">
        <v>2</v>
      </c>
      <c r="M74" s="43">
        <v>4000</v>
      </c>
      <c r="N74" s="43">
        <v>5000</v>
      </c>
      <c r="O74" s="43">
        <v>0.5333</v>
      </c>
      <c r="P74" s="43">
        <f t="shared" si="1"/>
        <v>8000</v>
      </c>
      <c r="Q74" s="44"/>
      <c r="R74" s="44"/>
    </row>
    <row r="75" spans="1:18">
      <c r="A75" s="43" t="s">
        <v>2070</v>
      </c>
      <c r="B75" s="43" t="s">
        <v>2086</v>
      </c>
      <c r="C75" s="43">
        <v>1</v>
      </c>
      <c r="D75" s="43">
        <v>0</v>
      </c>
      <c r="E75" s="43">
        <v>5000</v>
      </c>
      <c r="F75" s="43">
        <v>0</v>
      </c>
      <c r="G75" s="43">
        <f t="shared" si="0"/>
        <v>0</v>
      </c>
      <c r="H75" s="42"/>
      <c r="I75" s="42"/>
      <c r="J75" s="43" t="s">
        <v>2070</v>
      </c>
      <c r="K75" s="43" t="s">
        <v>2086</v>
      </c>
      <c r="L75" s="43">
        <v>1</v>
      </c>
      <c r="M75" s="43">
        <v>0</v>
      </c>
      <c r="N75" s="43">
        <v>5000</v>
      </c>
      <c r="O75" s="43">
        <v>0</v>
      </c>
      <c r="P75" s="43">
        <f t="shared" si="1"/>
        <v>0</v>
      </c>
      <c r="Q75" s="44"/>
      <c r="R75" s="44"/>
    </row>
    <row r="76" spans="1:18">
      <c r="A76" s="43" t="s">
        <v>2055</v>
      </c>
      <c r="B76" s="43" t="s">
        <v>2079</v>
      </c>
      <c r="C76" s="43">
        <v>3</v>
      </c>
      <c r="D76" s="43">
        <v>0</v>
      </c>
      <c r="E76" s="43">
        <v>5000</v>
      </c>
      <c r="F76" s="43">
        <v>0</v>
      </c>
      <c r="G76" s="43">
        <f t="shared" si="0"/>
        <v>0</v>
      </c>
      <c r="H76" s="42"/>
      <c r="I76" s="42"/>
      <c r="J76" s="43" t="s">
        <v>2055</v>
      </c>
      <c r="K76" s="43" t="s">
        <v>2079</v>
      </c>
      <c r="L76" s="43">
        <v>3</v>
      </c>
      <c r="M76" s="43">
        <v>0</v>
      </c>
      <c r="N76" s="43">
        <v>5000</v>
      </c>
      <c r="O76" s="43">
        <v>0</v>
      </c>
      <c r="P76" s="43">
        <f t="shared" si="1"/>
        <v>0</v>
      </c>
      <c r="Q76" s="44"/>
      <c r="R76" s="44"/>
    </row>
    <row r="77" spans="1:18">
      <c r="A77" s="43" t="s">
        <v>2087</v>
      </c>
      <c r="B77" s="43" t="s">
        <v>2088</v>
      </c>
      <c r="C77" s="43">
        <v>3</v>
      </c>
      <c r="D77" s="43">
        <v>400</v>
      </c>
      <c r="E77" s="43">
        <v>5000</v>
      </c>
      <c r="F77" s="43">
        <v>0.08</v>
      </c>
      <c r="G77" s="43">
        <f t="shared" si="0"/>
        <v>1200</v>
      </c>
      <c r="H77" s="42"/>
      <c r="I77" s="42"/>
      <c r="J77" s="43" t="s">
        <v>2087</v>
      </c>
      <c r="K77" s="43" t="s">
        <v>2088</v>
      </c>
      <c r="L77" s="43">
        <v>3</v>
      </c>
      <c r="M77" s="43">
        <v>400</v>
      </c>
      <c r="N77" s="43">
        <v>5000</v>
      </c>
      <c r="O77" s="43">
        <v>0.08</v>
      </c>
      <c r="P77" s="43">
        <f t="shared" si="1"/>
        <v>1200</v>
      </c>
      <c r="Q77" s="44"/>
      <c r="R77" s="44"/>
    </row>
    <row r="78" spans="1:18">
      <c r="A78" s="43" t="s">
        <v>2083</v>
      </c>
      <c r="B78" s="43" t="s">
        <v>2084</v>
      </c>
      <c r="C78" s="43">
        <v>15</v>
      </c>
      <c r="D78" s="43">
        <v>0</v>
      </c>
      <c r="E78" s="43">
        <v>5000</v>
      </c>
      <c r="F78" s="43">
        <v>0</v>
      </c>
      <c r="G78" s="43">
        <f t="shared" si="0"/>
        <v>0</v>
      </c>
      <c r="H78" s="42"/>
      <c r="I78" s="42"/>
      <c r="J78" s="43" t="s">
        <v>2083</v>
      </c>
      <c r="K78" s="43" t="s">
        <v>2084</v>
      </c>
      <c r="L78" s="43">
        <v>15</v>
      </c>
      <c r="M78" s="43">
        <v>0</v>
      </c>
      <c r="N78" s="43">
        <v>5000</v>
      </c>
      <c r="O78" s="43">
        <v>0</v>
      </c>
      <c r="P78" s="43">
        <f t="shared" si="1"/>
        <v>0</v>
      </c>
      <c r="Q78" s="44"/>
      <c r="R78" s="44"/>
    </row>
    <row r="79" spans="1:18">
      <c r="A79" s="43" t="s">
        <v>2070</v>
      </c>
      <c r="B79" s="43" t="s">
        <v>2086</v>
      </c>
      <c r="C79" s="43">
        <v>1</v>
      </c>
      <c r="D79" s="43">
        <v>0</v>
      </c>
      <c r="E79" s="43">
        <v>5000</v>
      </c>
      <c r="F79" s="43">
        <v>0</v>
      </c>
      <c r="G79" s="43">
        <f t="shared" si="0"/>
        <v>0</v>
      </c>
      <c r="H79" s="42"/>
      <c r="I79" s="42"/>
      <c r="J79" s="43" t="s">
        <v>2070</v>
      </c>
      <c r="K79" s="43" t="s">
        <v>2086</v>
      </c>
      <c r="L79" s="43">
        <v>1</v>
      </c>
      <c r="M79" s="43">
        <v>0</v>
      </c>
      <c r="N79" s="43">
        <v>5000</v>
      </c>
      <c r="O79" s="43">
        <v>0</v>
      </c>
      <c r="P79" s="43">
        <f t="shared" si="1"/>
        <v>0</v>
      </c>
      <c r="Q79" s="44"/>
      <c r="R79" s="44"/>
    </row>
    <row r="80" spans="1:18">
      <c r="A80" s="43" t="s">
        <v>2080</v>
      </c>
      <c r="B80" s="43" t="s">
        <v>2080</v>
      </c>
      <c r="C80" s="43">
        <v>3</v>
      </c>
      <c r="D80" s="43">
        <v>0</v>
      </c>
      <c r="E80" s="43">
        <v>5000</v>
      </c>
      <c r="F80" s="43">
        <v>0</v>
      </c>
      <c r="G80" s="43">
        <f t="shared" si="0"/>
        <v>0</v>
      </c>
      <c r="H80" s="42"/>
      <c r="I80" s="42"/>
      <c r="J80" s="43" t="s">
        <v>2080</v>
      </c>
      <c r="K80" s="43" t="s">
        <v>2080</v>
      </c>
      <c r="L80" s="43">
        <v>3</v>
      </c>
      <c r="M80" s="43">
        <v>0</v>
      </c>
      <c r="N80" s="43">
        <v>5000</v>
      </c>
      <c r="O80" s="43">
        <v>0</v>
      </c>
      <c r="P80" s="43">
        <f t="shared" si="1"/>
        <v>0</v>
      </c>
      <c r="Q80" s="44"/>
      <c r="R80" s="44"/>
    </row>
    <row r="81" spans="1:18">
      <c r="A81" s="43" t="s">
        <v>2068</v>
      </c>
      <c r="B81" s="43" t="s">
        <v>2082</v>
      </c>
      <c r="C81" s="43">
        <v>0</v>
      </c>
      <c r="D81" s="43">
        <v>0</v>
      </c>
      <c r="E81" s="43">
        <v>0</v>
      </c>
      <c r="F81" s="43">
        <v>0</v>
      </c>
      <c r="G81" s="43">
        <f t="shared" si="0"/>
        <v>0</v>
      </c>
      <c r="H81" s="42"/>
      <c r="I81" s="42"/>
      <c r="J81" s="43" t="s">
        <v>2068</v>
      </c>
      <c r="K81" s="43" t="s">
        <v>2082</v>
      </c>
      <c r="L81" s="43">
        <v>0</v>
      </c>
      <c r="M81" s="43">
        <v>0</v>
      </c>
      <c r="N81" s="43">
        <v>0</v>
      </c>
      <c r="O81" s="43">
        <v>0</v>
      </c>
      <c r="P81" s="43">
        <f t="shared" si="1"/>
        <v>0</v>
      </c>
      <c r="Q81" s="44"/>
      <c r="R81" s="44"/>
    </row>
    <row r="82" spans="1:18">
      <c r="A82" s="43" t="s">
        <v>2068</v>
      </c>
      <c r="B82" s="43" t="s">
        <v>2082</v>
      </c>
      <c r="C82" s="43">
        <v>25</v>
      </c>
      <c r="D82" s="43">
        <v>300</v>
      </c>
      <c r="E82" s="43">
        <v>5000</v>
      </c>
      <c r="F82" s="43">
        <v>0.5</v>
      </c>
      <c r="G82" s="43">
        <f t="shared" si="0"/>
        <v>7500</v>
      </c>
      <c r="H82" s="42"/>
      <c r="I82" s="42"/>
      <c r="J82" s="43" t="s">
        <v>2068</v>
      </c>
      <c r="K82" s="43" t="s">
        <v>2082</v>
      </c>
      <c r="L82" s="43">
        <v>25</v>
      </c>
      <c r="M82" s="43">
        <v>300</v>
      </c>
      <c r="N82" s="43">
        <v>5000</v>
      </c>
      <c r="O82" s="43">
        <v>0.5</v>
      </c>
      <c r="P82" s="43">
        <f t="shared" si="1"/>
        <v>7500</v>
      </c>
      <c r="Q82" s="44"/>
      <c r="R82" s="44"/>
    </row>
    <row r="83" spans="1:18">
      <c r="A83" s="43" t="s">
        <v>2089</v>
      </c>
      <c r="B83" s="43" t="s">
        <v>2084</v>
      </c>
      <c r="C83" s="43">
        <v>15</v>
      </c>
      <c r="D83" s="43">
        <v>0</v>
      </c>
      <c r="E83" s="43">
        <v>5000</v>
      </c>
      <c r="F83" s="43">
        <v>0</v>
      </c>
      <c r="G83" s="43">
        <f t="shared" si="0"/>
        <v>0</v>
      </c>
      <c r="H83" s="42"/>
      <c r="I83" s="42"/>
      <c r="J83" s="43" t="s">
        <v>2089</v>
      </c>
      <c r="K83" s="43" t="s">
        <v>2084</v>
      </c>
      <c r="L83" s="43">
        <v>15</v>
      </c>
      <c r="M83" s="43">
        <v>0</v>
      </c>
      <c r="N83" s="43">
        <v>5000</v>
      </c>
      <c r="O83" s="43">
        <v>0</v>
      </c>
      <c r="P83" s="43">
        <f t="shared" si="1"/>
        <v>0</v>
      </c>
      <c r="Q83" s="44"/>
      <c r="R83" s="44"/>
    </row>
    <row r="84" spans="1:18">
      <c r="A84" s="43" t="s">
        <v>2080</v>
      </c>
      <c r="B84" s="43" t="s">
        <v>2085</v>
      </c>
      <c r="C84" s="43">
        <v>3</v>
      </c>
      <c r="D84" s="43">
        <v>4000</v>
      </c>
      <c r="E84" s="43">
        <v>5000</v>
      </c>
      <c r="F84" s="43">
        <v>0.8</v>
      </c>
      <c r="G84" s="43">
        <f t="shared" si="0"/>
        <v>12000</v>
      </c>
      <c r="H84" s="42"/>
      <c r="I84" s="42"/>
      <c r="J84" s="43" t="s">
        <v>2080</v>
      </c>
      <c r="K84" s="43" t="s">
        <v>2085</v>
      </c>
      <c r="L84" s="43">
        <v>3</v>
      </c>
      <c r="M84" s="43">
        <v>4000</v>
      </c>
      <c r="N84" s="43">
        <v>5000</v>
      </c>
      <c r="O84" s="43">
        <v>0.8</v>
      </c>
      <c r="P84" s="43">
        <f t="shared" si="1"/>
        <v>12000</v>
      </c>
      <c r="Q84" s="44"/>
      <c r="R84" s="44"/>
    </row>
    <row r="85" spans="1:18">
      <c r="A85" s="43" t="s">
        <v>2070</v>
      </c>
      <c r="B85" s="43" t="s">
        <v>2086</v>
      </c>
      <c r="C85" s="43">
        <v>1</v>
      </c>
      <c r="D85" s="43">
        <v>3500</v>
      </c>
      <c r="E85" s="43">
        <v>5000</v>
      </c>
      <c r="F85" s="43">
        <v>0.23330000000000001</v>
      </c>
      <c r="G85" s="43">
        <f t="shared" si="0"/>
        <v>3500</v>
      </c>
      <c r="H85" s="42"/>
      <c r="I85" s="42"/>
      <c r="J85" s="43" t="s">
        <v>2070</v>
      </c>
      <c r="K85" s="43" t="s">
        <v>2086</v>
      </c>
      <c r="L85" s="43">
        <v>1</v>
      </c>
      <c r="M85" s="43">
        <v>3500</v>
      </c>
      <c r="N85" s="43">
        <v>5000</v>
      </c>
      <c r="O85" s="43">
        <v>0.23330000000000001</v>
      </c>
      <c r="P85" s="43">
        <f t="shared" si="1"/>
        <v>3500</v>
      </c>
      <c r="Q85" s="44"/>
      <c r="R85" s="44"/>
    </row>
    <row r="86" spans="1:18">
      <c r="A86" s="236" t="s">
        <v>2025</v>
      </c>
      <c r="B86" s="236"/>
      <c r="C86" s="236"/>
      <c r="D86" s="236"/>
      <c r="E86" s="236"/>
      <c r="F86" s="43" t="s">
        <v>2090</v>
      </c>
      <c r="G86" s="43">
        <f>SUM(G70:G85)</f>
        <v>48700</v>
      </c>
      <c r="H86" s="42"/>
      <c r="I86" s="42"/>
      <c r="J86" s="236" t="s">
        <v>2025</v>
      </c>
      <c r="K86" s="236"/>
      <c r="L86" s="236"/>
      <c r="M86" s="236"/>
      <c r="N86" s="236"/>
      <c r="O86" s="43" t="s">
        <v>2090</v>
      </c>
      <c r="P86" s="43">
        <f>SUM(P70:P85)</f>
        <v>48700</v>
      </c>
      <c r="Q86" s="44"/>
      <c r="R86" s="44"/>
    </row>
    <row r="87" spans="1:18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4"/>
      <c r="R87" s="44"/>
    </row>
    <row r="88" spans="1:18">
      <c r="A88" s="236" t="s">
        <v>2091</v>
      </c>
      <c r="B88" s="236"/>
      <c r="C88" s="236"/>
      <c r="D88" s="236"/>
      <c r="E88" s="44"/>
      <c r="F88" s="44"/>
      <c r="G88" s="44"/>
      <c r="H88" s="42"/>
      <c r="I88" s="42"/>
      <c r="J88" s="236" t="s">
        <v>2091</v>
      </c>
      <c r="K88" s="236"/>
      <c r="L88" s="236"/>
      <c r="M88" s="236"/>
      <c r="N88" s="44"/>
      <c r="O88" s="44"/>
      <c r="P88" s="44"/>
      <c r="Q88" s="44"/>
      <c r="R88" s="44"/>
    </row>
    <row r="89" spans="1:18">
      <c r="A89" s="43" t="s">
        <v>2051</v>
      </c>
      <c r="B89" s="236" t="s">
        <v>2092</v>
      </c>
      <c r="C89" s="236"/>
      <c r="D89" s="43" t="s">
        <v>86</v>
      </c>
      <c r="E89" s="44"/>
      <c r="F89" s="44"/>
      <c r="G89" s="44"/>
      <c r="H89" s="42"/>
      <c r="I89" s="42"/>
      <c r="J89" s="43" t="s">
        <v>2051</v>
      </c>
      <c r="K89" s="236" t="s">
        <v>2092</v>
      </c>
      <c r="L89" s="236"/>
      <c r="M89" s="43" t="s">
        <v>86</v>
      </c>
      <c r="N89" s="44"/>
      <c r="O89" s="44"/>
      <c r="P89" s="44"/>
      <c r="Q89" s="44"/>
      <c r="R89" s="44"/>
    </row>
    <row r="90" spans="1:18">
      <c r="A90" s="236" t="s">
        <v>2093</v>
      </c>
      <c r="B90" s="43" t="s">
        <v>2094</v>
      </c>
      <c r="C90" s="43" t="s">
        <v>27</v>
      </c>
      <c r="D90" s="43">
        <v>6.1656000000000004</v>
      </c>
      <c r="E90" s="44"/>
      <c r="F90" s="44"/>
      <c r="G90" s="44"/>
      <c r="H90" s="42"/>
      <c r="I90" s="42"/>
      <c r="J90" s="236" t="s">
        <v>2093</v>
      </c>
      <c r="K90" s="43" t="s">
        <v>2094</v>
      </c>
      <c r="L90" s="43" t="s">
        <v>27</v>
      </c>
      <c r="M90" s="43">
        <v>6.1656000000000004</v>
      </c>
      <c r="N90" s="44"/>
      <c r="O90" s="44"/>
      <c r="P90" s="44"/>
      <c r="Q90" s="44"/>
      <c r="R90" s="44"/>
    </row>
    <row r="91" spans="1:18">
      <c r="A91" s="237"/>
      <c r="B91" s="43" t="s">
        <v>2095</v>
      </c>
      <c r="C91" s="43" t="s">
        <v>28</v>
      </c>
      <c r="D91" s="43">
        <v>0.2394</v>
      </c>
      <c r="E91" s="44"/>
      <c r="F91" s="44"/>
      <c r="G91" s="44"/>
      <c r="H91" s="42"/>
      <c r="I91" s="42"/>
      <c r="J91" s="237"/>
      <c r="K91" s="43" t="s">
        <v>2095</v>
      </c>
      <c r="L91" s="43" t="s">
        <v>28</v>
      </c>
      <c r="M91" s="43">
        <v>0.2394</v>
      </c>
      <c r="N91" s="44"/>
      <c r="O91" s="44"/>
      <c r="P91" s="44"/>
      <c r="Q91" s="44"/>
      <c r="R91" s="44"/>
    </row>
    <row r="92" spans="1:18">
      <c r="A92" s="42"/>
      <c r="B92" s="43"/>
      <c r="C92" s="43" t="s">
        <v>29</v>
      </c>
      <c r="D92" s="43">
        <v>0</v>
      </c>
      <c r="E92" s="44"/>
      <c r="F92" s="44"/>
      <c r="G92" s="44"/>
      <c r="H92" s="42"/>
      <c r="I92" s="42"/>
      <c r="J92" s="42"/>
      <c r="K92" s="43"/>
      <c r="L92" s="43" t="s">
        <v>29</v>
      </c>
      <c r="M92" s="43">
        <v>0</v>
      </c>
      <c r="N92" s="44"/>
      <c r="O92" s="44"/>
      <c r="P92" s="44"/>
      <c r="Q92" s="44"/>
      <c r="R92" s="44"/>
    </row>
    <row r="93" spans="1:18">
      <c r="A93" s="236" t="s">
        <v>2096</v>
      </c>
      <c r="B93" s="43" t="s">
        <v>2097</v>
      </c>
      <c r="C93" s="43" t="s">
        <v>30</v>
      </c>
      <c r="D93" s="43">
        <v>111.0501</v>
      </c>
      <c r="E93" s="44"/>
      <c r="F93" s="44"/>
      <c r="G93" s="44"/>
      <c r="H93" s="42"/>
      <c r="I93" s="42"/>
      <c r="J93" s="236" t="s">
        <v>2096</v>
      </c>
      <c r="K93" s="43" t="s">
        <v>2097</v>
      </c>
      <c r="L93" s="43" t="s">
        <v>30</v>
      </c>
      <c r="M93" s="43">
        <v>82.088200000000001</v>
      </c>
      <c r="N93" s="44"/>
      <c r="O93" s="44"/>
      <c r="P93" s="44"/>
      <c r="Q93" s="44"/>
      <c r="R93" s="44"/>
    </row>
    <row r="94" spans="1:18">
      <c r="A94" s="237"/>
      <c r="B94" s="43" t="s">
        <v>2098</v>
      </c>
      <c r="C94" s="43" t="s">
        <v>31</v>
      </c>
      <c r="D94" s="43">
        <v>0.84240000000000004</v>
      </c>
      <c r="E94" s="44"/>
      <c r="F94" s="44"/>
      <c r="G94" s="44"/>
      <c r="H94" s="42"/>
      <c r="I94" s="42"/>
      <c r="J94" s="237"/>
      <c r="K94" s="43" t="s">
        <v>2098</v>
      </c>
      <c r="L94" s="43" t="s">
        <v>31</v>
      </c>
      <c r="M94" s="43">
        <v>0.84240000000000004</v>
      </c>
      <c r="N94" s="44"/>
      <c r="O94" s="44"/>
      <c r="P94" s="44"/>
      <c r="Q94" s="44"/>
      <c r="R94" s="44"/>
    </row>
    <row r="95" spans="1:18">
      <c r="A95" s="237"/>
      <c r="B95" s="43" t="s">
        <v>2099</v>
      </c>
      <c r="C95" s="43" t="s">
        <v>32</v>
      </c>
      <c r="D95" s="43">
        <v>2.9761000000000002</v>
      </c>
      <c r="E95" s="44"/>
      <c r="F95" s="44"/>
      <c r="G95" s="44"/>
      <c r="H95" s="42"/>
      <c r="I95" s="42"/>
      <c r="J95" s="237"/>
      <c r="K95" s="43" t="s">
        <v>2099</v>
      </c>
      <c r="L95" s="43" t="s">
        <v>32</v>
      </c>
      <c r="M95" s="43">
        <v>2.2000000000000002</v>
      </c>
      <c r="N95" s="44"/>
      <c r="O95" s="44"/>
      <c r="P95" s="44"/>
      <c r="Q95" s="44"/>
      <c r="R95" s="44"/>
    </row>
    <row r="96" spans="1:18">
      <c r="A96" s="237"/>
      <c r="B96" s="43" t="s">
        <v>2100</v>
      </c>
      <c r="C96" s="43" t="s">
        <v>33</v>
      </c>
      <c r="D96" s="43">
        <v>1.4744999999999999</v>
      </c>
      <c r="E96" s="44"/>
      <c r="F96" s="44"/>
      <c r="G96" s="44"/>
      <c r="H96" s="42"/>
      <c r="I96" s="42"/>
      <c r="J96" s="237"/>
      <c r="K96" s="43" t="s">
        <v>2100</v>
      </c>
      <c r="L96" s="43" t="s">
        <v>33</v>
      </c>
      <c r="M96" s="43">
        <v>1.4744999999999999</v>
      </c>
      <c r="N96" s="44"/>
      <c r="O96" s="44"/>
      <c r="P96" s="44"/>
      <c r="Q96" s="44"/>
      <c r="R96" s="44"/>
    </row>
    <row r="97" spans="1:18">
      <c r="A97" s="237"/>
      <c r="B97" s="43" t="s">
        <v>2101</v>
      </c>
      <c r="C97" s="43" t="s">
        <v>34</v>
      </c>
      <c r="D97" s="43">
        <v>1.9988999999999999</v>
      </c>
      <c r="E97" s="44"/>
      <c r="F97" s="44"/>
      <c r="G97" s="44"/>
      <c r="H97" s="42"/>
      <c r="I97" s="42"/>
      <c r="J97" s="237"/>
      <c r="K97" s="43" t="s">
        <v>2101</v>
      </c>
      <c r="L97" s="43" t="s">
        <v>34</v>
      </c>
      <c r="M97" s="43">
        <v>1.4776</v>
      </c>
      <c r="N97" s="44"/>
      <c r="O97" s="44"/>
      <c r="P97" s="44"/>
      <c r="Q97" s="44"/>
      <c r="R97" s="44"/>
    </row>
    <row r="98" spans="1:18">
      <c r="A98" s="237"/>
      <c r="B98" s="43" t="s">
        <v>2102</v>
      </c>
      <c r="C98" s="43" t="s">
        <v>35</v>
      </c>
      <c r="D98" s="43">
        <v>0</v>
      </c>
      <c r="E98" s="44"/>
      <c r="F98" s="44"/>
      <c r="G98" s="44"/>
      <c r="H98" s="42"/>
      <c r="I98" s="42"/>
      <c r="J98" s="237"/>
      <c r="K98" s="43" t="s">
        <v>2102</v>
      </c>
      <c r="L98" s="43" t="s">
        <v>35</v>
      </c>
      <c r="M98" s="43">
        <v>0</v>
      </c>
      <c r="N98" s="44"/>
      <c r="O98" s="44"/>
      <c r="P98" s="44"/>
      <c r="Q98" s="44"/>
      <c r="R98" s="44"/>
    </row>
    <row r="99" spans="1:18">
      <c r="A99" s="237"/>
      <c r="B99" s="43" t="s">
        <v>2103</v>
      </c>
      <c r="C99" s="43" t="s">
        <v>36</v>
      </c>
      <c r="D99" s="43">
        <v>6.1521999999999997</v>
      </c>
      <c r="E99" s="44"/>
      <c r="F99" s="44"/>
      <c r="G99" s="44"/>
      <c r="H99" s="42"/>
      <c r="I99" s="42"/>
      <c r="J99" s="237"/>
      <c r="K99" s="43" t="s">
        <v>2103</v>
      </c>
      <c r="L99" s="43" t="s">
        <v>36</v>
      </c>
      <c r="M99" s="43">
        <v>4.5476999999999999</v>
      </c>
      <c r="N99" s="44"/>
      <c r="O99" s="44"/>
      <c r="P99" s="44"/>
      <c r="Q99" s="44"/>
      <c r="R99" s="44"/>
    </row>
    <row r="100" spans="1:18">
      <c r="A100" s="237"/>
      <c r="B100" s="43" t="s">
        <v>2104</v>
      </c>
      <c r="C100" s="43" t="s">
        <v>37</v>
      </c>
      <c r="D100" s="43">
        <v>31.971299999999999</v>
      </c>
      <c r="E100" s="44"/>
      <c r="F100" s="44"/>
      <c r="G100" s="44"/>
      <c r="H100" s="42"/>
      <c r="I100" s="42"/>
      <c r="J100" s="237"/>
      <c r="K100" s="43" t="s">
        <v>2104</v>
      </c>
      <c r="L100" s="43" t="s">
        <v>37</v>
      </c>
      <c r="M100" s="43">
        <v>21.367599999999999</v>
      </c>
      <c r="N100" s="44"/>
      <c r="O100" s="44"/>
      <c r="P100" s="44"/>
      <c r="Q100" s="44"/>
      <c r="R100" s="44"/>
    </row>
    <row r="101" spans="1:18">
      <c r="A101" s="237"/>
      <c r="B101" s="43" t="s">
        <v>2105</v>
      </c>
      <c r="C101" s="43" t="s">
        <v>38</v>
      </c>
      <c r="D101" s="43">
        <v>8.1510999999999996</v>
      </c>
      <c r="E101" s="44"/>
      <c r="F101" s="44"/>
      <c r="G101" s="44"/>
      <c r="H101" s="42"/>
      <c r="I101" s="42"/>
      <c r="J101" s="237"/>
      <c r="K101" s="43" t="s">
        <v>2105</v>
      </c>
      <c r="L101" s="43" t="s">
        <v>38</v>
      </c>
      <c r="M101" s="43">
        <v>6.0252999999999997</v>
      </c>
      <c r="N101" s="44"/>
      <c r="O101" s="44"/>
      <c r="P101" s="44"/>
      <c r="Q101" s="44"/>
      <c r="R101" s="44"/>
    </row>
    <row r="102" spans="1:18">
      <c r="A102" s="42"/>
      <c r="B102" s="43" t="s">
        <v>2106</v>
      </c>
      <c r="C102" s="43" t="s">
        <v>39</v>
      </c>
      <c r="D102" s="43">
        <v>0</v>
      </c>
      <c r="E102" s="44"/>
      <c r="F102" s="44"/>
      <c r="G102" s="44"/>
      <c r="H102" s="42"/>
      <c r="I102" s="42"/>
      <c r="J102" s="42"/>
      <c r="K102" s="43" t="s">
        <v>2106</v>
      </c>
      <c r="L102" s="43" t="s">
        <v>39</v>
      </c>
      <c r="M102" s="43">
        <v>0</v>
      </c>
      <c r="N102" s="44"/>
      <c r="O102" s="44"/>
      <c r="P102" s="44"/>
      <c r="Q102" s="44"/>
      <c r="R102" s="44"/>
    </row>
    <row r="103" spans="1:18">
      <c r="A103" s="236" t="s">
        <v>2025</v>
      </c>
      <c r="B103" s="236"/>
      <c r="C103" s="236"/>
      <c r="D103" s="43">
        <f>SUM(D90:D102)</f>
        <v>171.02159999999998</v>
      </c>
      <c r="E103" s="44"/>
      <c r="F103" s="44"/>
      <c r="G103" s="44"/>
      <c r="H103" s="42"/>
      <c r="I103" s="42"/>
      <c r="J103" s="236" t="s">
        <v>2025</v>
      </c>
      <c r="K103" s="236"/>
      <c r="L103" s="236"/>
      <c r="M103" s="43">
        <f>SUM(M90:M102)</f>
        <v>126.42830000000001</v>
      </c>
      <c r="N103" s="44"/>
      <c r="O103" s="44"/>
      <c r="P103" s="44"/>
      <c r="Q103" s="44"/>
      <c r="R103" s="44"/>
    </row>
    <row r="104" spans="1:18">
      <c r="A104" s="44"/>
      <c r="B104" s="44"/>
      <c r="C104" s="44"/>
      <c r="D104" s="44"/>
      <c r="E104" s="44"/>
      <c r="F104" s="44"/>
      <c r="G104" s="44"/>
      <c r="H104" s="42"/>
      <c r="I104" s="42"/>
      <c r="J104" s="42"/>
      <c r="K104" s="42"/>
      <c r="L104" s="42"/>
      <c r="M104" s="42"/>
      <c r="N104" s="44"/>
      <c r="O104" s="44"/>
      <c r="P104" s="44"/>
      <c r="Q104" s="44"/>
      <c r="R104" s="44"/>
    </row>
    <row r="105" spans="1:18">
      <c r="A105" s="44"/>
      <c r="B105" s="44"/>
      <c r="C105" s="44"/>
      <c r="D105" s="44"/>
      <c r="E105" s="44"/>
      <c r="F105" s="44"/>
      <c r="G105" s="44"/>
      <c r="H105" s="42"/>
      <c r="I105" s="42"/>
      <c r="J105" s="42"/>
      <c r="K105" s="42"/>
      <c r="L105" s="42"/>
      <c r="M105" s="42"/>
      <c r="N105" s="44"/>
      <c r="O105" s="44"/>
      <c r="P105" s="44"/>
      <c r="Q105" s="44"/>
      <c r="R105" s="44"/>
    </row>
    <row r="106" spans="1:18">
      <c r="A106" s="238" t="s">
        <v>2107</v>
      </c>
      <c r="B106" s="238"/>
      <c r="C106" s="238"/>
      <c r="D106" s="238"/>
      <c r="E106" s="238"/>
      <c r="F106" s="44"/>
      <c r="G106" s="44"/>
      <c r="H106" s="42"/>
      <c r="I106" s="42"/>
      <c r="J106" s="238" t="s">
        <v>2107</v>
      </c>
      <c r="K106" s="238"/>
      <c r="L106" s="238"/>
      <c r="M106" s="238"/>
      <c r="N106" s="238"/>
      <c r="O106" s="44"/>
      <c r="P106" s="44"/>
      <c r="Q106" s="44"/>
      <c r="R106" s="44"/>
    </row>
    <row r="107" spans="1:18">
      <c r="A107" s="45" t="s">
        <v>1998</v>
      </c>
      <c r="B107" s="45" t="s">
        <v>75</v>
      </c>
      <c r="C107" s="46" t="s">
        <v>2108</v>
      </c>
      <c r="D107" s="46" t="s">
        <v>2001</v>
      </c>
      <c r="E107" s="47" t="s">
        <v>2109</v>
      </c>
      <c r="F107" s="44"/>
      <c r="G107" s="44"/>
      <c r="H107" s="42"/>
      <c r="I107" s="42"/>
      <c r="J107" s="45" t="s">
        <v>1998</v>
      </c>
      <c r="K107" s="45" t="s">
        <v>75</v>
      </c>
      <c r="L107" s="46" t="s">
        <v>2108</v>
      </c>
      <c r="M107" s="46" t="s">
        <v>2001</v>
      </c>
      <c r="N107" s="47" t="s">
        <v>2109</v>
      </c>
      <c r="O107" s="44"/>
      <c r="P107" s="44"/>
      <c r="Q107" s="44"/>
      <c r="R107" s="44"/>
    </row>
    <row r="108" spans="1:18">
      <c r="A108" s="48"/>
      <c r="B108" s="48"/>
      <c r="C108" s="48"/>
      <c r="D108" s="48"/>
      <c r="E108" s="49">
        <f t="shared" ref="E108:E110" si="2">C108*D108</f>
        <v>0</v>
      </c>
      <c r="F108" s="44"/>
      <c r="G108" s="44"/>
      <c r="H108" s="42"/>
      <c r="I108" s="42"/>
      <c r="J108" s="48" t="s">
        <v>2031</v>
      </c>
      <c r="K108" s="48" t="s">
        <v>2032</v>
      </c>
      <c r="L108" s="48">
        <v>1</v>
      </c>
      <c r="M108" s="48">
        <f>16667/1.13</f>
        <v>14749.557522123896</v>
      </c>
      <c r="N108" s="49">
        <f t="shared" ref="N108:N110" si="3">L108*M108</f>
        <v>14749.557522123896</v>
      </c>
      <c r="O108" s="44"/>
      <c r="P108" s="44"/>
      <c r="Q108" s="44"/>
      <c r="R108" s="44"/>
    </row>
    <row r="109" spans="1:18">
      <c r="A109" s="48"/>
      <c r="B109" s="48"/>
      <c r="C109" s="48"/>
      <c r="D109" s="48"/>
      <c r="E109" s="49">
        <f t="shared" si="2"/>
        <v>0</v>
      </c>
      <c r="F109" s="44"/>
      <c r="G109" s="44"/>
      <c r="H109" s="42"/>
      <c r="I109" s="42"/>
      <c r="J109" s="48" t="s">
        <v>2035</v>
      </c>
      <c r="K109" s="48" t="s">
        <v>2036</v>
      </c>
      <c r="L109" s="48">
        <v>1</v>
      </c>
      <c r="M109" s="48">
        <f>16667/1.13</f>
        <v>14749.557522123896</v>
      </c>
      <c r="N109" s="49">
        <f t="shared" si="3"/>
        <v>14749.557522123896</v>
      </c>
      <c r="O109" s="44"/>
      <c r="P109" s="44"/>
      <c r="Q109" s="44"/>
      <c r="R109" s="44"/>
    </row>
    <row r="110" spans="1:18">
      <c r="A110" s="48"/>
      <c r="B110" s="48"/>
      <c r="C110" s="48"/>
      <c r="D110" s="48"/>
      <c r="E110" s="49">
        <f t="shared" si="2"/>
        <v>0</v>
      </c>
      <c r="F110" s="44"/>
      <c r="G110" s="44"/>
      <c r="H110" s="42"/>
      <c r="I110" s="42"/>
      <c r="J110" s="48"/>
      <c r="K110" s="48"/>
      <c r="L110" s="48"/>
      <c r="M110" s="48"/>
      <c r="N110" s="49">
        <f t="shared" si="3"/>
        <v>0</v>
      </c>
      <c r="O110" s="44"/>
      <c r="P110" s="44"/>
      <c r="Q110" s="44"/>
      <c r="R110" s="44"/>
    </row>
    <row r="111" spans="1:18">
      <c r="A111" s="50"/>
      <c r="B111" s="50"/>
      <c r="C111" s="50"/>
      <c r="D111" s="51" t="s">
        <v>2110</v>
      </c>
      <c r="E111" s="52">
        <f>SUM(E108:E110)</f>
        <v>0</v>
      </c>
      <c r="F111" s="44"/>
      <c r="G111" s="44"/>
      <c r="H111" s="42"/>
      <c r="I111" s="42"/>
      <c r="J111" s="50"/>
      <c r="K111" s="50"/>
      <c r="L111" s="50"/>
      <c r="M111" s="51" t="s">
        <v>2110</v>
      </c>
      <c r="N111" s="52">
        <f>SUM(N108:N110)</f>
        <v>29499.115044247792</v>
      </c>
      <c r="O111" s="44"/>
      <c r="P111" s="44"/>
      <c r="Q111" s="44"/>
      <c r="R111" s="44"/>
    </row>
    <row r="112" spans="1:18">
      <c r="A112" s="53"/>
      <c r="B112" s="53"/>
      <c r="C112" s="53"/>
      <c r="D112" s="53"/>
      <c r="E112" s="53"/>
      <c r="F112" s="44"/>
      <c r="G112" s="44"/>
      <c r="H112" s="42"/>
      <c r="I112" s="42"/>
      <c r="J112" s="53"/>
      <c r="K112" s="53"/>
      <c r="L112" s="53"/>
      <c r="M112" s="53"/>
      <c r="N112" s="53"/>
      <c r="O112" s="44"/>
      <c r="P112" s="44"/>
      <c r="Q112" s="44"/>
      <c r="R112" s="44"/>
    </row>
    <row r="113" spans="1:18">
      <c r="A113" s="234" t="s">
        <v>2111</v>
      </c>
      <c r="B113" s="235"/>
      <c r="C113" s="235"/>
      <c r="D113" s="235"/>
      <c r="E113" s="235"/>
      <c r="F113" s="44"/>
      <c r="G113" s="44"/>
      <c r="H113" s="42"/>
      <c r="I113" s="42"/>
      <c r="J113" s="234" t="s">
        <v>2111</v>
      </c>
      <c r="K113" s="235"/>
      <c r="L113" s="235"/>
      <c r="M113" s="235"/>
      <c r="N113" s="235"/>
      <c r="O113" s="44"/>
      <c r="P113" s="44"/>
      <c r="Q113" s="44"/>
      <c r="R113" s="44"/>
    </row>
    <row r="114" spans="1:18">
      <c r="A114" s="54" t="s">
        <v>2112</v>
      </c>
      <c r="B114" s="54" t="s">
        <v>2113</v>
      </c>
      <c r="C114" s="55" t="s">
        <v>2114</v>
      </c>
      <c r="D114" s="55" t="s">
        <v>2115</v>
      </c>
      <c r="E114" s="54" t="s">
        <v>2109</v>
      </c>
      <c r="F114" s="44"/>
      <c r="G114" s="44"/>
      <c r="H114" s="42"/>
      <c r="I114" s="42"/>
      <c r="J114" s="54" t="s">
        <v>2112</v>
      </c>
      <c r="K114" s="54" t="s">
        <v>2113</v>
      </c>
      <c r="L114" s="55" t="s">
        <v>2114</v>
      </c>
      <c r="M114" s="55" t="s">
        <v>2115</v>
      </c>
      <c r="N114" s="54" t="s">
        <v>2109</v>
      </c>
      <c r="O114" s="44"/>
      <c r="P114" s="44"/>
      <c r="Q114" s="44"/>
      <c r="R114" s="44"/>
    </row>
    <row r="115" spans="1:18">
      <c r="A115" s="54"/>
      <c r="B115" s="54"/>
      <c r="C115" s="54"/>
      <c r="D115" s="54"/>
      <c r="E115" s="56">
        <f t="shared" ref="E115:E117" si="4">C115*D115</f>
        <v>0</v>
      </c>
      <c r="F115" s="44"/>
      <c r="G115" s="44"/>
      <c r="H115" s="42"/>
      <c r="I115" s="42"/>
      <c r="J115" s="54"/>
      <c r="K115" s="54"/>
      <c r="L115" s="54"/>
      <c r="M115" s="54"/>
      <c r="N115" s="56">
        <f t="shared" ref="N115:N117" si="5">L115*M115</f>
        <v>0</v>
      </c>
      <c r="O115" s="44"/>
      <c r="P115" s="44"/>
      <c r="Q115" s="44"/>
      <c r="R115" s="44"/>
    </row>
    <row r="116" spans="1:18">
      <c r="A116" s="54"/>
      <c r="B116" s="54"/>
      <c r="C116" s="54"/>
      <c r="D116" s="54"/>
      <c r="E116" s="56">
        <f t="shared" si="4"/>
        <v>0</v>
      </c>
      <c r="F116" s="44"/>
      <c r="G116" s="44"/>
      <c r="H116" s="42"/>
      <c r="I116" s="42"/>
      <c r="J116" s="54"/>
      <c r="K116" s="54"/>
      <c r="L116" s="54"/>
      <c r="M116" s="54"/>
      <c r="N116" s="56">
        <f t="shared" si="5"/>
        <v>0</v>
      </c>
      <c r="O116" s="44"/>
      <c r="P116" s="44"/>
      <c r="Q116" s="44"/>
      <c r="R116" s="44"/>
    </row>
    <row r="117" spans="1:18">
      <c r="A117" s="54"/>
      <c r="B117" s="54"/>
      <c r="C117" s="54"/>
      <c r="D117" s="54"/>
      <c r="E117" s="56">
        <f t="shared" si="4"/>
        <v>0</v>
      </c>
      <c r="F117" s="44"/>
      <c r="G117" s="44"/>
      <c r="H117" s="42"/>
      <c r="I117" s="42"/>
      <c r="J117" s="54"/>
      <c r="K117" s="54"/>
      <c r="L117" s="54"/>
      <c r="M117" s="54"/>
      <c r="N117" s="56">
        <f t="shared" si="5"/>
        <v>0</v>
      </c>
      <c r="O117" s="44"/>
      <c r="P117" s="44"/>
      <c r="Q117" s="44"/>
      <c r="R117" s="44"/>
    </row>
    <row r="118" spans="1:18">
      <c r="A118" s="57"/>
      <c r="B118" s="57"/>
      <c r="C118" s="57"/>
      <c r="D118" s="51" t="s">
        <v>2110</v>
      </c>
      <c r="E118" s="56">
        <f>SUM(E115:E117)</f>
        <v>0</v>
      </c>
      <c r="F118" s="44"/>
      <c r="G118" s="44"/>
      <c r="H118" s="42"/>
      <c r="I118" s="42"/>
      <c r="J118" s="57"/>
      <c r="K118" s="57"/>
      <c r="L118" s="57"/>
      <c r="M118" s="51" t="s">
        <v>2110</v>
      </c>
      <c r="N118" s="56">
        <f>SUM(N115:N117)</f>
        <v>0</v>
      </c>
      <c r="O118" s="44"/>
      <c r="P118" s="44"/>
      <c r="Q118" s="44"/>
      <c r="R118" s="44"/>
    </row>
    <row r="119" spans="1:18">
      <c r="A119" s="58"/>
      <c r="B119" s="58"/>
      <c r="C119" s="58"/>
      <c r="D119" s="58"/>
      <c r="E119" s="58"/>
      <c r="F119" s="44"/>
      <c r="G119" s="44"/>
      <c r="H119" s="42"/>
      <c r="I119" s="42"/>
      <c r="J119" s="58"/>
      <c r="K119" s="58"/>
      <c r="L119" s="58"/>
      <c r="M119" s="58"/>
      <c r="N119" s="58"/>
      <c r="O119" s="44"/>
      <c r="P119" s="44"/>
      <c r="Q119" s="44"/>
      <c r="R119" s="44"/>
    </row>
    <row r="120" spans="1:18">
      <c r="A120" s="235" t="s">
        <v>2116</v>
      </c>
      <c r="B120" s="235"/>
      <c r="C120" s="235"/>
      <c r="D120" s="235"/>
      <c r="E120" s="235"/>
      <c r="F120" s="44"/>
      <c r="G120" s="44"/>
      <c r="H120" s="42"/>
      <c r="I120" s="42"/>
      <c r="J120" s="235" t="s">
        <v>2116</v>
      </c>
      <c r="K120" s="235"/>
      <c r="L120" s="235"/>
      <c r="M120" s="235"/>
      <c r="N120" s="235"/>
      <c r="O120" s="44"/>
      <c r="P120" s="44"/>
      <c r="Q120" s="44"/>
      <c r="R120" s="44"/>
    </row>
    <row r="121" spans="1:18">
      <c r="A121" s="54" t="s">
        <v>2112</v>
      </c>
      <c r="B121" s="54" t="s">
        <v>2113</v>
      </c>
      <c r="C121" s="55" t="s">
        <v>2117</v>
      </c>
      <c r="D121" s="55" t="s">
        <v>2115</v>
      </c>
      <c r="E121" s="54" t="s">
        <v>2109</v>
      </c>
      <c r="F121" s="44"/>
      <c r="G121" s="44"/>
      <c r="H121" s="42"/>
      <c r="I121" s="42"/>
      <c r="J121" s="54" t="s">
        <v>2112</v>
      </c>
      <c r="K121" s="54" t="s">
        <v>2113</v>
      </c>
      <c r="L121" s="55" t="s">
        <v>2117</v>
      </c>
      <c r="M121" s="55" t="s">
        <v>2115</v>
      </c>
      <c r="N121" s="54" t="s">
        <v>2109</v>
      </c>
      <c r="O121" s="44"/>
      <c r="P121" s="44"/>
      <c r="Q121" s="44"/>
      <c r="R121" s="44"/>
    </row>
    <row r="122" spans="1:18">
      <c r="A122" s="54"/>
      <c r="B122" s="54"/>
      <c r="C122" s="54"/>
      <c r="D122" s="54"/>
      <c r="E122" s="56">
        <f t="shared" ref="E122:E124" si="6">C122*D122</f>
        <v>0</v>
      </c>
      <c r="F122" s="44"/>
      <c r="G122" s="44"/>
      <c r="H122" s="42"/>
      <c r="I122" s="42"/>
      <c r="J122" s="54"/>
      <c r="K122" s="54"/>
      <c r="L122" s="54"/>
      <c r="M122" s="54"/>
      <c r="N122" s="56">
        <f t="shared" ref="N122:N124" si="7">L122*M122</f>
        <v>0</v>
      </c>
      <c r="O122" s="44"/>
      <c r="P122" s="44"/>
      <c r="Q122" s="44"/>
      <c r="R122" s="44"/>
    </row>
    <row r="123" spans="1:18">
      <c r="A123" s="54"/>
      <c r="B123" s="54"/>
      <c r="C123" s="54"/>
      <c r="D123" s="54"/>
      <c r="E123" s="56">
        <f t="shared" si="6"/>
        <v>0</v>
      </c>
      <c r="F123" s="44"/>
      <c r="G123" s="44"/>
      <c r="H123" s="42"/>
      <c r="I123" s="42"/>
      <c r="J123" s="54"/>
      <c r="K123" s="54"/>
      <c r="L123" s="54"/>
      <c r="M123" s="54"/>
      <c r="N123" s="56">
        <f t="shared" si="7"/>
        <v>0</v>
      </c>
      <c r="O123" s="44"/>
      <c r="P123" s="44"/>
      <c r="Q123" s="44"/>
      <c r="R123" s="44"/>
    </row>
    <row r="124" spans="1:18">
      <c r="A124" s="54"/>
      <c r="B124" s="54"/>
      <c r="C124" s="54"/>
      <c r="D124" s="54"/>
      <c r="E124" s="56">
        <f t="shared" si="6"/>
        <v>0</v>
      </c>
      <c r="F124" s="44"/>
      <c r="G124" s="44"/>
      <c r="H124" s="42"/>
      <c r="I124" s="42"/>
      <c r="J124" s="54"/>
      <c r="K124" s="54"/>
      <c r="L124" s="54"/>
      <c r="M124" s="54"/>
      <c r="N124" s="56">
        <f t="shared" si="7"/>
        <v>0</v>
      </c>
      <c r="O124" s="44"/>
      <c r="P124" s="44"/>
      <c r="Q124" s="44"/>
      <c r="R124" s="44"/>
    </row>
    <row r="125" spans="1:18">
      <c r="A125" s="54"/>
      <c r="B125" s="54"/>
      <c r="C125" s="54"/>
      <c r="D125" s="51" t="s">
        <v>2110</v>
      </c>
      <c r="E125" s="56">
        <f>SUM(E122:E124)</f>
        <v>0</v>
      </c>
      <c r="F125" s="42"/>
      <c r="G125" s="42"/>
      <c r="H125" s="42"/>
      <c r="I125" s="42"/>
      <c r="J125" s="54"/>
      <c r="K125" s="54"/>
      <c r="L125" s="54"/>
      <c r="M125" s="51" t="s">
        <v>2110</v>
      </c>
      <c r="N125" s="56">
        <f>SUM(N122:N124)</f>
        <v>0</v>
      </c>
      <c r="O125" s="44"/>
      <c r="P125" s="44"/>
      <c r="Q125" s="44"/>
      <c r="R125" s="44"/>
    </row>
    <row r="126" spans="1:18">
      <c r="A126" s="53"/>
      <c r="B126" s="53"/>
      <c r="C126" s="53"/>
      <c r="D126" s="53"/>
      <c r="E126" s="53"/>
      <c r="F126" s="42"/>
      <c r="G126" s="42"/>
      <c r="H126" s="42"/>
      <c r="I126" s="42"/>
      <c r="J126" s="53"/>
      <c r="K126" s="53"/>
      <c r="L126" s="53"/>
      <c r="M126" s="53"/>
      <c r="N126" s="53"/>
      <c r="O126" s="44"/>
      <c r="P126" s="44"/>
      <c r="Q126" s="44"/>
      <c r="R126" s="44"/>
    </row>
    <row r="127" spans="1:18">
      <c r="A127" s="235" t="s">
        <v>2118</v>
      </c>
      <c r="B127" s="235"/>
      <c r="C127" s="235"/>
      <c r="D127" s="235"/>
      <c r="E127" s="235"/>
      <c r="F127" s="42"/>
      <c r="G127" s="42"/>
      <c r="H127" s="42"/>
      <c r="I127" s="42"/>
      <c r="J127" s="235" t="s">
        <v>2118</v>
      </c>
      <c r="K127" s="235"/>
      <c r="L127" s="235"/>
      <c r="M127" s="235"/>
      <c r="N127" s="235"/>
      <c r="O127" s="44"/>
      <c r="P127" s="44"/>
      <c r="Q127" s="44"/>
      <c r="R127" s="44"/>
    </row>
    <row r="128" spans="1:18">
      <c r="A128" s="54" t="s">
        <v>2112</v>
      </c>
      <c r="B128" s="54" t="s">
        <v>2113</v>
      </c>
      <c r="C128" s="55" t="s">
        <v>2119</v>
      </c>
      <c r="D128" s="55" t="s">
        <v>2001</v>
      </c>
      <c r="E128" s="54" t="s">
        <v>2109</v>
      </c>
      <c r="F128" s="42"/>
      <c r="G128" s="42"/>
      <c r="H128" s="42"/>
      <c r="I128" s="42"/>
      <c r="J128" s="54" t="s">
        <v>2112</v>
      </c>
      <c r="K128" s="54" t="s">
        <v>2113</v>
      </c>
      <c r="L128" s="55" t="s">
        <v>2119</v>
      </c>
      <c r="M128" s="55" t="s">
        <v>2001</v>
      </c>
      <c r="N128" s="54" t="s">
        <v>2109</v>
      </c>
      <c r="O128" s="44"/>
      <c r="P128" s="44"/>
      <c r="Q128" s="44"/>
      <c r="R128" s="44"/>
    </row>
    <row r="129" spans="1:18">
      <c r="A129" s="54"/>
      <c r="B129" s="54"/>
      <c r="C129" s="54"/>
      <c r="D129" s="54"/>
      <c r="E129" s="56">
        <f t="shared" ref="E129:E131" si="8">C129*D129</f>
        <v>0</v>
      </c>
      <c r="F129" s="42"/>
      <c r="G129" s="42"/>
      <c r="H129" s="42"/>
      <c r="I129" s="42"/>
      <c r="J129" s="54"/>
      <c r="K129" s="54"/>
      <c r="L129" s="54"/>
      <c r="M129" s="54"/>
      <c r="N129" s="56">
        <f t="shared" ref="N129:N131" si="9">L129*M129</f>
        <v>0</v>
      </c>
      <c r="O129" s="44"/>
      <c r="P129" s="44"/>
      <c r="Q129" s="44"/>
      <c r="R129" s="44"/>
    </row>
    <row r="130" spans="1:18">
      <c r="A130" s="54"/>
      <c r="B130" s="54"/>
      <c r="C130" s="54"/>
      <c r="D130" s="54"/>
      <c r="E130" s="56">
        <f t="shared" si="8"/>
        <v>0</v>
      </c>
      <c r="F130" s="42"/>
      <c r="G130" s="42"/>
      <c r="H130" s="42"/>
      <c r="I130" s="42"/>
      <c r="J130" s="54"/>
      <c r="K130" s="54"/>
      <c r="L130" s="54"/>
      <c r="M130" s="54"/>
      <c r="N130" s="56">
        <f t="shared" si="9"/>
        <v>0</v>
      </c>
      <c r="O130" s="44"/>
      <c r="P130" s="44"/>
      <c r="Q130" s="44"/>
      <c r="R130" s="44"/>
    </row>
    <row r="131" spans="1:18">
      <c r="A131" s="54"/>
      <c r="B131" s="54"/>
      <c r="C131" s="54"/>
      <c r="D131" s="54"/>
      <c r="E131" s="56">
        <f t="shared" si="8"/>
        <v>0</v>
      </c>
      <c r="F131" s="42"/>
      <c r="G131" s="42"/>
      <c r="H131" s="42"/>
      <c r="I131" s="42"/>
      <c r="J131" s="54"/>
      <c r="K131" s="54"/>
      <c r="L131" s="54"/>
      <c r="M131" s="54"/>
      <c r="N131" s="56">
        <f t="shared" si="9"/>
        <v>0</v>
      </c>
      <c r="O131" s="44"/>
      <c r="P131" s="44"/>
      <c r="Q131" s="44"/>
      <c r="R131" s="44"/>
    </row>
    <row r="132" spans="1:18">
      <c r="A132" s="54"/>
      <c r="B132" s="54"/>
      <c r="C132" s="54"/>
      <c r="D132" s="51" t="s">
        <v>2110</v>
      </c>
      <c r="E132" s="56">
        <f>SUM(E129:E131)</f>
        <v>0</v>
      </c>
      <c r="F132" s="42"/>
      <c r="G132" s="42"/>
      <c r="H132" s="42"/>
      <c r="I132" s="42"/>
      <c r="J132" s="54"/>
      <c r="K132" s="54"/>
      <c r="L132" s="54"/>
      <c r="M132" s="51" t="s">
        <v>2110</v>
      </c>
      <c r="N132" s="56">
        <f>SUM(N129:N131)</f>
        <v>0</v>
      </c>
      <c r="O132" s="44"/>
      <c r="P132" s="44"/>
      <c r="Q132" s="44"/>
      <c r="R132" s="44"/>
    </row>
    <row r="133" spans="1:18">
      <c r="A133" s="44"/>
      <c r="B133" s="44"/>
      <c r="C133" s="44"/>
      <c r="D133" s="44"/>
      <c r="E133" s="42"/>
      <c r="F133" s="42"/>
      <c r="G133" s="42"/>
      <c r="H133" s="42"/>
      <c r="I133" s="42"/>
      <c r="J133" s="42"/>
      <c r="K133" s="42"/>
      <c r="L133" s="42"/>
      <c r="M133" s="42"/>
      <c r="N133" s="44"/>
      <c r="O133" s="44"/>
      <c r="P133" s="44"/>
      <c r="Q133" s="44"/>
      <c r="R133" s="44"/>
    </row>
    <row r="134" spans="1:18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4"/>
      <c r="O134" s="44"/>
      <c r="P134" s="44"/>
      <c r="Q134" s="44"/>
      <c r="R134" s="44"/>
    </row>
    <row r="135" spans="1:18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4"/>
      <c r="O135" s="44"/>
      <c r="P135" s="44"/>
      <c r="Q135" s="44"/>
      <c r="R135" s="44"/>
    </row>
  </sheetData>
  <mergeCells count="30">
    <mergeCell ref="A1:I2"/>
    <mergeCell ref="J1:R2"/>
    <mergeCell ref="A3:D3"/>
    <mergeCell ref="J3:M3"/>
    <mergeCell ref="A10:F10"/>
    <mergeCell ref="J10:O10"/>
    <mergeCell ref="J64:N64"/>
    <mergeCell ref="A65:E65"/>
    <mergeCell ref="A68:G68"/>
    <mergeCell ref="J68:P68"/>
    <mergeCell ref="A86:E86"/>
    <mergeCell ref="J86:N86"/>
    <mergeCell ref="A88:D88"/>
    <mergeCell ref="J88:M88"/>
    <mergeCell ref="B89:C89"/>
    <mergeCell ref="K89:L89"/>
    <mergeCell ref="A90:A91"/>
    <mergeCell ref="J90:J91"/>
    <mergeCell ref="A93:A101"/>
    <mergeCell ref="J93:J101"/>
    <mergeCell ref="A103:C103"/>
    <mergeCell ref="J103:L103"/>
    <mergeCell ref="A106:E106"/>
    <mergeCell ref="J106:N106"/>
    <mergeCell ref="A113:E113"/>
    <mergeCell ref="J113:N113"/>
    <mergeCell ref="A120:E120"/>
    <mergeCell ref="J120:N120"/>
    <mergeCell ref="A127:E127"/>
    <mergeCell ref="J127:N127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E5B6-F48A-417B-A7F9-2D26E704F988}">
  <dimension ref="A1:AG322"/>
  <sheetViews>
    <sheetView topLeftCell="A311" zoomScale="70" zoomScaleNormal="70" workbookViewId="0">
      <selection activeCell="O5" sqref="O5:O315"/>
    </sheetView>
  </sheetViews>
  <sheetFormatPr defaultColWidth="9" defaultRowHeight="29.4" customHeight="1"/>
  <cols>
    <col min="1" max="3" width="9" style="44"/>
    <col min="4" max="4" width="41.44140625" style="44" customWidth="1"/>
    <col min="5" max="5" width="13.44140625" style="44" customWidth="1"/>
    <col min="6" max="8" width="9" style="44"/>
    <col min="9" max="9" width="25" style="44" customWidth="1"/>
    <col min="10" max="11" width="9" style="44"/>
    <col min="12" max="12" width="20.88671875" style="44" customWidth="1"/>
    <col min="13" max="13" width="9" style="44"/>
    <col min="14" max="15" width="9" style="113"/>
    <col min="16" max="16" width="19.6640625" style="44" customWidth="1"/>
    <col min="17" max="16384" width="9" style="44"/>
  </cols>
  <sheetData>
    <row r="1" spans="1:33" ht="29.4" customHeight="1">
      <c r="A1" s="242" t="s">
        <v>60</v>
      </c>
      <c r="B1" s="241"/>
      <c r="C1" s="242" t="s">
        <v>61</v>
      </c>
      <c r="D1" s="241"/>
      <c r="E1" s="90" t="s">
        <v>8</v>
      </c>
      <c r="F1" s="242" t="s">
        <v>9</v>
      </c>
      <c r="G1" s="240"/>
      <c r="H1" s="240"/>
      <c r="I1" s="240"/>
      <c r="J1" s="241"/>
      <c r="K1" s="90" t="s">
        <v>62</v>
      </c>
      <c r="L1" s="242" t="s">
        <v>63</v>
      </c>
      <c r="M1" s="240"/>
      <c r="N1" s="243"/>
      <c r="O1" s="243"/>
      <c r="P1" s="241"/>
      <c r="Q1" s="90" t="s">
        <v>64</v>
      </c>
      <c r="R1" s="242"/>
      <c r="S1" s="240"/>
      <c r="T1" s="241"/>
      <c r="U1" s="90" t="s">
        <v>65</v>
      </c>
      <c r="V1" s="242"/>
      <c r="W1" s="240"/>
      <c r="X1" s="241"/>
      <c r="Y1" s="91"/>
      <c r="Z1" s="92"/>
      <c r="AA1" s="93"/>
      <c r="AB1" s="91"/>
      <c r="AC1" s="92"/>
      <c r="AD1" s="93"/>
      <c r="AE1" s="91"/>
      <c r="AF1" s="92"/>
      <c r="AG1" s="93"/>
    </row>
    <row r="2" spans="1:33" ht="29.4" customHeight="1">
      <c r="A2" s="242" t="s">
        <v>66</v>
      </c>
      <c r="B2" s="241"/>
      <c r="C2" s="242" t="s">
        <v>5</v>
      </c>
      <c r="D2" s="241"/>
      <c r="E2" s="90" t="s">
        <v>67</v>
      </c>
      <c r="F2" s="242" t="s">
        <v>7</v>
      </c>
      <c r="G2" s="240"/>
      <c r="H2" s="240"/>
      <c r="I2" s="240"/>
      <c r="J2" s="241"/>
      <c r="K2" s="90" t="s">
        <v>68</v>
      </c>
      <c r="L2" s="242" t="s">
        <v>69</v>
      </c>
      <c r="M2" s="240"/>
      <c r="N2" s="243"/>
      <c r="O2" s="243"/>
      <c r="P2" s="241"/>
      <c r="Q2" s="90" t="s">
        <v>70</v>
      </c>
      <c r="R2" s="242"/>
      <c r="S2" s="240"/>
      <c r="T2" s="241"/>
      <c r="U2" s="90">
        <v>45950</v>
      </c>
      <c r="V2" s="244"/>
      <c r="W2" s="240"/>
      <c r="X2" s="241"/>
      <c r="Y2" s="91"/>
      <c r="Z2" s="92"/>
      <c r="AA2" s="93"/>
      <c r="AB2" s="91"/>
      <c r="AC2" s="92"/>
      <c r="AD2" s="93"/>
      <c r="AE2" s="91"/>
      <c r="AF2" s="92"/>
      <c r="AG2" s="93"/>
    </row>
    <row r="3" spans="1:33" ht="29.4" customHeight="1">
      <c r="A3" s="242" t="s">
        <v>71</v>
      </c>
      <c r="B3" s="241"/>
      <c r="C3" s="239"/>
      <c r="D3" s="241"/>
      <c r="E3" s="90" t="s">
        <v>22</v>
      </c>
      <c r="F3" s="245"/>
      <c r="G3" s="240"/>
      <c r="H3" s="240"/>
      <c r="I3" s="240"/>
      <c r="J3" s="241"/>
      <c r="K3" s="90" t="s">
        <v>23</v>
      </c>
      <c r="L3" s="239"/>
      <c r="M3" s="240"/>
      <c r="N3" s="243"/>
      <c r="O3" s="243"/>
      <c r="P3" s="241"/>
      <c r="Q3" s="90"/>
      <c r="R3" s="239">
        <v>0</v>
      </c>
      <c r="S3" s="240"/>
      <c r="T3" s="241"/>
      <c r="U3" s="90"/>
      <c r="V3" s="239">
        <v>0</v>
      </c>
      <c r="W3" s="240"/>
      <c r="X3" s="241"/>
      <c r="Y3" s="91"/>
      <c r="Z3" s="91"/>
      <c r="AA3" s="94"/>
      <c r="AB3" s="91"/>
      <c r="AC3" s="91"/>
      <c r="AD3" s="94"/>
      <c r="AE3" s="91"/>
      <c r="AF3" s="91"/>
      <c r="AG3" s="94"/>
    </row>
    <row r="4" spans="1:33" ht="29.4" customHeight="1">
      <c r="A4" s="95" t="s">
        <v>72</v>
      </c>
      <c r="B4" s="95" t="s">
        <v>73</v>
      </c>
      <c r="C4" s="95" t="s">
        <v>74</v>
      </c>
      <c r="D4" s="95" t="s">
        <v>75</v>
      </c>
      <c r="E4" s="95" t="s">
        <v>76</v>
      </c>
      <c r="F4" s="95" t="s">
        <v>77</v>
      </c>
      <c r="G4" s="95" t="s">
        <v>78</v>
      </c>
      <c r="H4" s="95" t="s">
        <v>79</v>
      </c>
      <c r="I4" s="95" t="s">
        <v>80</v>
      </c>
      <c r="J4" s="95" t="s">
        <v>81</v>
      </c>
      <c r="K4" s="95" t="s">
        <v>82</v>
      </c>
      <c r="L4" s="95" t="s">
        <v>83</v>
      </c>
      <c r="M4" s="95" t="s">
        <v>84</v>
      </c>
      <c r="N4" s="96" t="s">
        <v>2137</v>
      </c>
      <c r="O4" s="96" t="s">
        <v>2138</v>
      </c>
      <c r="P4" s="95" t="s">
        <v>85</v>
      </c>
      <c r="Q4" s="95" t="s">
        <v>86</v>
      </c>
      <c r="R4" s="95" t="s">
        <v>87</v>
      </c>
      <c r="S4" s="95" t="s">
        <v>88</v>
      </c>
      <c r="T4" s="95" t="s">
        <v>89</v>
      </c>
      <c r="U4" s="95" t="s">
        <v>90</v>
      </c>
      <c r="V4" s="95" t="s">
        <v>91</v>
      </c>
      <c r="W4" s="95" t="s">
        <v>15</v>
      </c>
      <c r="X4" s="95" t="s">
        <v>92</v>
      </c>
      <c r="Y4" s="95" t="s">
        <v>93</v>
      </c>
      <c r="Z4" s="95" t="s">
        <v>94</v>
      </c>
      <c r="AA4" s="95" t="s">
        <v>95</v>
      </c>
      <c r="AB4" s="95" t="s">
        <v>96</v>
      </c>
      <c r="AC4" s="95" t="s">
        <v>97</v>
      </c>
      <c r="AD4" s="95" t="s">
        <v>98</v>
      </c>
      <c r="AE4" s="95" t="s">
        <v>99</v>
      </c>
      <c r="AF4" s="95" t="s">
        <v>100</v>
      </c>
      <c r="AG4" s="95" t="s">
        <v>101</v>
      </c>
    </row>
    <row r="5" spans="1:33" ht="29.4" customHeight="1">
      <c r="A5" s="97">
        <v>16</v>
      </c>
      <c r="B5" s="98" t="s">
        <v>71</v>
      </c>
      <c r="C5" s="98" t="s">
        <v>142</v>
      </c>
      <c r="D5" s="98" t="s">
        <v>143</v>
      </c>
      <c r="E5" s="98" t="s">
        <v>105</v>
      </c>
      <c r="F5" s="98" t="s">
        <v>144</v>
      </c>
      <c r="G5" s="98">
        <v>18</v>
      </c>
      <c r="H5" s="99" t="s">
        <v>145</v>
      </c>
      <c r="I5" s="98" t="s">
        <v>146</v>
      </c>
      <c r="J5" s="98" t="s">
        <v>147</v>
      </c>
      <c r="K5" s="98" t="s">
        <v>148</v>
      </c>
      <c r="L5" s="98" t="s">
        <v>149</v>
      </c>
      <c r="M5" s="100">
        <v>4.4999999999999997E-3</v>
      </c>
      <c r="N5" s="101"/>
      <c r="O5" s="101"/>
      <c r="P5" s="102">
        <v>0</v>
      </c>
      <c r="Q5" s="102">
        <f t="shared" ref="Q5:Q68" si="0">G5*M5</f>
        <v>8.0999999999999989E-2</v>
      </c>
      <c r="R5" s="98">
        <v>56</v>
      </c>
      <c r="S5" s="98">
        <v>5000</v>
      </c>
      <c r="T5" s="98">
        <v>5000</v>
      </c>
      <c r="U5" s="98"/>
      <c r="V5" s="103"/>
      <c r="W5" s="98"/>
      <c r="X5" s="98" t="s">
        <v>151</v>
      </c>
      <c r="Y5" s="98" t="s">
        <v>152</v>
      </c>
      <c r="Z5" s="98" t="s">
        <v>153</v>
      </c>
      <c r="AA5" s="102">
        <v>4.8999999999999998E-3</v>
      </c>
      <c r="AB5" s="98" t="s">
        <v>142</v>
      </c>
      <c r="AC5" s="98" t="s">
        <v>143</v>
      </c>
      <c r="AD5" s="100" t="s">
        <v>154</v>
      </c>
      <c r="AE5" s="98"/>
      <c r="AF5" s="98"/>
      <c r="AG5" s="102"/>
    </row>
    <row r="6" spans="1:33" ht="29.4" customHeight="1">
      <c r="A6" s="97">
        <v>17</v>
      </c>
      <c r="B6" s="98" t="s">
        <v>71</v>
      </c>
      <c r="C6" s="98" t="s">
        <v>155</v>
      </c>
      <c r="D6" s="98" t="s">
        <v>156</v>
      </c>
      <c r="E6" s="98" t="s">
        <v>105</v>
      </c>
      <c r="F6" s="98" t="s">
        <v>157</v>
      </c>
      <c r="G6" s="98">
        <v>1</v>
      </c>
      <c r="H6" s="98">
        <v>306110396</v>
      </c>
      <c r="I6" s="98" t="s">
        <v>156</v>
      </c>
      <c r="J6" s="98" t="s">
        <v>147</v>
      </c>
      <c r="K6" s="98" t="s">
        <v>158</v>
      </c>
      <c r="L6" s="98" t="s">
        <v>159</v>
      </c>
      <c r="M6" s="100">
        <v>0.1331</v>
      </c>
      <c r="N6" s="101"/>
      <c r="O6" s="101"/>
      <c r="P6" s="102">
        <v>0</v>
      </c>
      <c r="Q6" s="102">
        <f t="shared" si="0"/>
        <v>0.1331</v>
      </c>
      <c r="R6" s="98">
        <v>50</v>
      </c>
      <c r="S6" s="98">
        <v>20000</v>
      </c>
      <c r="T6" s="98">
        <v>2000</v>
      </c>
      <c r="U6" s="98"/>
      <c r="V6" s="103"/>
      <c r="W6" s="98" t="s">
        <v>160</v>
      </c>
      <c r="X6" s="98" t="s">
        <v>161</v>
      </c>
      <c r="Y6" s="98"/>
      <c r="Z6" s="98"/>
      <c r="AA6" s="102"/>
      <c r="AB6" s="98"/>
      <c r="AC6" s="98"/>
      <c r="AD6" s="102"/>
      <c r="AE6" s="98"/>
      <c r="AF6" s="98"/>
      <c r="AG6" s="102"/>
    </row>
    <row r="7" spans="1:33" ht="29.4" customHeight="1">
      <c r="A7" s="97">
        <v>18</v>
      </c>
      <c r="B7" s="98" t="s">
        <v>71</v>
      </c>
      <c r="C7" s="98" t="s">
        <v>162</v>
      </c>
      <c r="D7" s="98" t="s">
        <v>163</v>
      </c>
      <c r="E7" s="98" t="s">
        <v>105</v>
      </c>
      <c r="F7" s="98" t="s">
        <v>144</v>
      </c>
      <c r="G7" s="98">
        <v>1</v>
      </c>
      <c r="H7" s="99" t="s">
        <v>164</v>
      </c>
      <c r="I7" s="98" t="s">
        <v>165</v>
      </c>
      <c r="J7" s="98" t="s">
        <v>166</v>
      </c>
      <c r="K7" s="98" t="s">
        <v>167</v>
      </c>
      <c r="L7" s="98" t="s">
        <v>168</v>
      </c>
      <c r="M7" s="102">
        <v>2.7400000000000001E-2</v>
      </c>
      <c r="N7" s="104"/>
      <c r="O7" s="101"/>
      <c r="P7" s="102">
        <v>0</v>
      </c>
      <c r="Q7" s="102">
        <f t="shared" si="0"/>
        <v>2.7400000000000001E-2</v>
      </c>
      <c r="R7" s="98">
        <v>35</v>
      </c>
      <c r="S7" s="98">
        <v>1</v>
      </c>
      <c r="T7" s="98">
        <v>1</v>
      </c>
      <c r="U7" s="98"/>
      <c r="V7" s="103"/>
      <c r="W7" s="98"/>
      <c r="X7" s="98" t="s">
        <v>169</v>
      </c>
      <c r="Y7" s="98" t="s">
        <v>162</v>
      </c>
      <c r="Z7" s="98" t="s">
        <v>163</v>
      </c>
      <c r="AA7" s="102">
        <v>8.4000000000000005E-2</v>
      </c>
      <c r="AB7" s="98"/>
      <c r="AC7" s="98"/>
      <c r="AD7" s="102"/>
      <c r="AE7" s="98"/>
      <c r="AF7" s="98"/>
      <c r="AG7" s="102"/>
    </row>
    <row r="8" spans="1:33" ht="29.4" customHeight="1">
      <c r="A8" s="97">
        <v>19</v>
      </c>
      <c r="B8" s="98" t="s">
        <v>71</v>
      </c>
      <c r="C8" s="98" t="s">
        <v>170</v>
      </c>
      <c r="D8" s="98" t="s">
        <v>171</v>
      </c>
      <c r="E8" s="98" t="s">
        <v>105</v>
      </c>
      <c r="F8" s="98" t="s">
        <v>157</v>
      </c>
      <c r="G8" s="98">
        <v>1</v>
      </c>
      <c r="H8" s="98" t="s">
        <v>170</v>
      </c>
      <c r="I8" s="98" t="s">
        <v>171</v>
      </c>
      <c r="J8" s="98" t="s">
        <v>172</v>
      </c>
      <c r="K8" s="98" t="s">
        <v>173</v>
      </c>
      <c r="L8" s="98" t="s">
        <v>174</v>
      </c>
      <c r="M8" s="102">
        <v>0.222</v>
      </c>
      <c r="N8" s="104"/>
      <c r="O8" s="101"/>
      <c r="P8" s="102">
        <v>0</v>
      </c>
      <c r="Q8" s="102">
        <f t="shared" si="0"/>
        <v>0.222</v>
      </c>
      <c r="R8" s="98">
        <v>150</v>
      </c>
      <c r="S8" s="98">
        <v>1000</v>
      </c>
      <c r="T8" s="98"/>
      <c r="U8" s="98"/>
      <c r="V8" s="103"/>
      <c r="W8" s="98"/>
      <c r="X8" s="98" t="s">
        <v>175</v>
      </c>
      <c r="Y8" s="98"/>
      <c r="Z8" s="98"/>
      <c r="AA8" s="102"/>
      <c r="AB8" s="98"/>
      <c r="AC8" s="98"/>
      <c r="AD8" s="102"/>
      <c r="AE8" s="98"/>
      <c r="AF8" s="98"/>
      <c r="AG8" s="102"/>
    </row>
    <row r="9" spans="1:33" ht="29.4" customHeight="1">
      <c r="A9" s="97">
        <v>20</v>
      </c>
      <c r="B9" s="98" t="s">
        <v>71</v>
      </c>
      <c r="C9" s="98" t="s">
        <v>176</v>
      </c>
      <c r="D9" s="98" t="s">
        <v>177</v>
      </c>
      <c r="E9" s="98" t="s">
        <v>105</v>
      </c>
      <c r="F9" s="98" t="s">
        <v>157</v>
      </c>
      <c r="G9" s="98">
        <v>2</v>
      </c>
      <c r="H9" s="98" t="s">
        <v>176</v>
      </c>
      <c r="I9" s="98" t="s">
        <v>177</v>
      </c>
      <c r="J9" s="98" t="s">
        <v>172</v>
      </c>
      <c r="K9" s="98" t="s">
        <v>173</v>
      </c>
      <c r="L9" s="98" t="s">
        <v>174</v>
      </c>
      <c r="M9" s="102">
        <v>0.32200000000000001</v>
      </c>
      <c r="N9" s="104"/>
      <c r="O9" s="101"/>
      <c r="P9" s="102">
        <v>0</v>
      </c>
      <c r="Q9" s="102">
        <f t="shared" si="0"/>
        <v>0.64400000000000002</v>
      </c>
      <c r="R9" s="98">
        <v>112</v>
      </c>
      <c r="S9" s="98">
        <v>1000</v>
      </c>
      <c r="T9" s="98"/>
      <c r="U9" s="98"/>
      <c r="V9" s="103"/>
      <c r="W9" s="98"/>
      <c r="X9" s="98" t="s">
        <v>178</v>
      </c>
      <c r="Y9" s="98"/>
      <c r="Z9" s="98"/>
      <c r="AA9" s="102"/>
      <c r="AB9" s="98"/>
      <c r="AC9" s="98"/>
      <c r="AD9" s="102"/>
      <c r="AE9" s="98"/>
      <c r="AF9" s="98"/>
      <c r="AG9" s="102"/>
    </row>
    <row r="10" spans="1:33" ht="29.4" customHeight="1">
      <c r="A10" s="97">
        <v>21</v>
      </c>
      <c r="B10" s="98" t="s">
        <v>71</v>
      </c>
      <c r="C10" s="98" t="s">
        <v>179</v>
      </c>
      <c r="D10" s="98" t="s">
        <v>180</v>
      </c>
      <c r="E10" s="98" t="s">
        <v>105</v>
      </c>
      <c r="F10" s="98" t="s">
        <v>144</v>
      </c>
      <c r="G10" s="98">
        <v>1</v>
      </c>
      <c r="H10" s="99" t="s">
        <v>181</v>
      </c>
      <c r="I10" s="98" t="s">
        <v>182</v>
      </c>
      <c r="J10" s="98" t="s">
        <v>183</v>
      </c>
      <c r="K10" s="98" t="s">
        <v>184</v>
      </c>
      <c r="L10" s="98" t="s">
        <v>185</v>
      </c>
      <c r="M10" s="102">
        <v>4.4999999999999997E-3</v>
      </c>
      <c r="N10" s="104">
        <v>5.7000000000000002E-3</v>
      </c>
      <c r="O10" s="101">
        <f t="shared" ref="O10:O69" si="1">(N10-M10)*G10</f>
        <v>1.2000000000000005E-3</v>
      </c>
      <c r="P10" s="102">
        <v>0</v>
      </c>
      <c r="Q10" s="102">
        <f t="shared" si="0"/>
        <v>4.4999999999999997E-3</v>
      </c>
      <c r="R10" s="98">
        <v>56</v>
      </c>
      <c r="S10" s="98">
        <v>0</v>
      </c>
      <c r="T10" s="98">
        <v>5000</v>
      </c>
      <c r="U10" s="98"/>
      <c r="V10" s="103"/>
      <c r="W10" s="98"/>
      <c r="X10" s="98" t="s">
        <v>186</v>
      </c>
      <c r="Y10" s="98" t="s">
        <v>187</v>
      </c>
      <c r="Z10" s="98" t="s">
        <v>188</v>
      </c>
      <c r="AA10" s="100">
        <v>7.7000000000000002E-3</v>
      </c>
      <c r="AB10" s="98" t="s">
        <v>179</v>
      </c>
      <c r="AC10" s="98" t="s">
        <v>180</v>
      </c>
      <c r="AD10" s="100" t="s">
        <v>154</v>
      </c>
      <c r="AE10" s="98"/>
      <c r="AF10" s="98"/>
      <c r="AG10" s="102"/>
    </row>
    <row r="11" spans="1:33" ht="29.4" customHeight="1">
      <c r="A11" s="97">
        <v>22</v>
      </c>
      <c r="B11" s="98" t="s">
        <v>71</v>
      </c>
      <c r="C11" s="98" t="s">
        <v>189</v>
      </c>
      <c r="D11" s="98" t="s">
        <v>190</v>
      </c>
      <c r="E11" s="98" t="s">
        <v>105</v>
      </c>
      <c r="F11" s="98" t="s">
        <v>144</v>
      </c>
      <c r="G11" s="98">
        <v>2</v>
      </c>
      <c r="H11" s="99" t="s">
        <v>191</v>
      </c>
      <c r="I11" s="98" t="s">
        <v>192</v>
      </c>
      <c r="J11" s="98" t="s">
        <v>183</v>
      </c>
      <c r="K11" s="98" t="s">
        <v>184</v>
      </c>
      <c r="L11" s="98" t="s">
        <v>185</v>
      </c>
      <c r="M11" s="102">
        <v>5.7999999999999996E-3</v>
      </c>
      <c r="N11" s="104">
        <v>7.4999999999999997E-3</v>
      </c>
      <c r="O11" s="101">
        <f t="shared" si="1"/>
        <v>3.4000000000000002E-3</v>
      </c>
      <c r="P11" s="102">
        <v>0</v>
      </c>
      <c r="Q11" s="102">
        <f t="shared" si="0"/>
        <v>1.1599999999999999E-2</v>
      </c>
      <c r="R11" s="98">
        <v>56</v>
      </c>
      <c r="S11" s="98">
        <v>0</v>
      </c>
      <c r="T11" s="98">
        <v>5000</v>
      </c>
      <c r="U11" s="98"/>
      <c r="V11" s="103"/>
      <c r="W11" s="98"/>
      <c r="X11" s="98" t="s">
        <v>193</v>
      </c>
      <c r="Y11" s="98" t="s">
        <v>194</v>
      </c>
      <c r="Z11" s="98" t="s">
        <v>195</v>
      </c>
      <c r="AA11" s="100">
        <v>8.6E-3</v>
      </c>
      <c r="AB11" s="98" t="s">
        <v>189</v>
      </c>
      <c r="AC11" s="98" t="s">
        <v>190</v>
      </c>
      <c r="AD11" s="100" t="s">
        <v>154</v>
      </c>
      <c r="AE11" s="98"/>
      <c r="AF11" s="98"/>
      <c r="AG11" s="102"/>
    </row>
    <row r="12" spans="1:33" ht="29.4" customHeight="1">
      <c r="A12" s="97">
        <v>23</v>
      </c>
      <c r="B12" s="98" t="s">
        <v>71</v>
      </c>
      <c r="C12" s="98" t="s">
        <v>196</v>
      </c>
      <c r="D12" s="98" t="s">
        <v>197</v>
      </c>
      <c r="E12" s="98" t="s">
        <v>105</v>
      </c>
      <c r="F12" s="98" t="s">
        <v>144</v>
      </c>
      <c r="G12" s="98">
        <v>2</v>
      </c>
      <c r="H12" s="99" t="s">
        <v>198</v>
      </c>
      <c r="I12" s="98" t="s">
        <v>199</v>
      </c>
      <c r="J12" s="98" t="s">
        <v>183</v>
      </c>
      <c r="K12" s="98" t="s">
        <v>184</v>
      </c>
      <c r="L12" s="98" t="s">
        <v>185</v>
      </c>
      <c r="M12" s="102">
        <v>8.3000000000000001E-3</v>
      </c>
      <c r="N12" s="104">
        <v>1.12E-2</v>
      </c>
      <c r="O12" s="101">
        <f t="shared" si="1"/>
        <v>5.7999999999999996E-3</v>
      </c>
      <c r="P12" s="102">
        <v>0</v>
      </c>
      <c r="Q12" s="102">
        <f t="shared" si="0"/>
        <v>1.66E-2</v>
      </c>
      <c r="R12" s="98">
        <v>56</v>
      </c>
      <c r="S12" s="98">
        <v>0</v>
      </c>
      <c r="T12" s="98">
        <v>5000</v>
      </c>
      <c r="U12" s="98"/>
      <c r="V12" s="103"/>
      <c r="W12" s="98"/>
      <c r="X12" s="98" t="s">
        <v>200</v>
      </c>
      <c r="Y12" s="98" t="s">
        <v>201</v>
      </c>
      <c r="Z12" s="98" t="s">
        <v>202</v>
      </c>
      <c r="AA12" s="100">
        <v>2.7900000000000001E-2</v>
      </c>
      <c r="AB12" s="98" t="s">
        <v>196</v>
      </c>
      <c r="AC12" s="98" t="s">
        <v>197</v>
      </c>
      <c r="AD12" s="100" t="s">
        <v>154</v>
      </c>
      <c r="AE12" s="98"/>
      <c r="AF12" s="98"/>
      <c r="AG12" s="102"/>
    </row>
    <row r="13" spans="1:33" ht="29.4" customHeight="1">
      <c r="A13" s="97">
        <v>24</v>
      </c>
      <c r="B13" s="98" t="s">
        <v>71</v>
      </c>
      <c r="C13" s="98" t="s">
        <v>203</v>
      </c>
      <c r="D13" s="98" t="s">
        <v>204</v>
      </c>
      <c r="E13" s="98" t="s">
        <v>105</v>
      </c>
      <c r="F13" s="98" t="s">
        <v>144</v>
      </c>
      <c r="G13" s="98">
        <v>2</v>
      </c>
      <c r="H13" s="98" t="s">
        <v>203</v>
      </c>
      <c r="I13" s="98" t="s">
        <v>204</v>
      </c>
      <c r="J13" s="98" t="s">
        <v>205</v>
      </c>
      <c r="K13" s="98" t="s">
        <v>206</v>
      </c>
      <c r="L13" s="98" t="s">
        <v>207</v>
      </c>
      <c r="M13" s="102">
        <v>2.38</v>
      </c>
      <c r="N13" s="104"/>
      <c r="O13" s="101"/>
      <c r="P13" s="102">
        <v>0</v>
      </c>
      <c r="Q13" s="102">
        <f t="shared" si="0"/>
        <v>4.76</v>
      </c>
      <c r="R13" s="98">
        <v>120</v>
      </c>
      <c r="S13" s="98">
        <v>1</v>
      </c>
      <c r="T13" s="98">
        <v>1</v>
      </c>
      <c r="U13" s="98"/>
      <c r="V13" s="103"/>
      <c r="W13" s="98"/>
      <c r="X13" s="98" t="s">
        <v>208</v>
      </c>
      <c r="Y13" s="98"/>
      <c r="Z13" s="98"/>
      <c r="AA13" s="102"/>
      <c r="AB13" s="98"/>
      <c r="AC13" s="98"/>
      <c r="AD13" s="102"/>
      <c r="AE13" s="98"/>
      <c r="AF13" s="98"/>
      <c r="AG13" s="102"/>
    </row>
    <row r="14" spans="1:33" ht="29.4" customHeight="1">
      <c r="A14" s="97">
        <v>25</v>
      </c>
      <c r="B14" s="98" t="s">
        <v>71</v>
      </c>
      <c r="C14" s="98" t="s">
        <v>209</v>
      </c>
      <c r="D14" s="98" t="s">
        <v>210</v>
      </c>
      <c r="E14" s="98" t="s">
        <v>105</v>
      </c>
      <c r="F14" s="98" t="s">
        <v>144</v>
      </c>
      <c r="G14" s="98">
        <v>8</v>
      </c>
      <c r="H14" s="98" t="s">
        <v>209</v>
      </c>
      <c r="I14" s="98" t="s">
        <v>210</v>
      </c>
      <c r="J14" s="98" t="s">
        <v>183</v>
      </c>
      <c r="K14" s="98" t="s">
        <v>184</v>
      </c>
      <c r="L14" s="98" t="s">
        <v>185</v>
      </c>
      <c r="M14" s="102">
        <v>2.3E-2</v>
      </c>
      <c r="N14" s="104"/>
      <c r="O14" s="101"/>
      <c r="P14" s="102">
        <v>0</v>
      </c>
      <c r="Q14" s="102">
        <f t="shared" si="0"/>
        <v>0.184</v>
      </c>
      <c r="R14" s="98">
        <v>91</v>
      </c>
      <c r="S14" s="98">
        <v>0</v>
      </c>
      <c r="T14" s="98">
        <v>20000</v>
      </c>
      <c r="U14" s="98"/>
      <c r="V14" s="103"/>
      <c r="W14" s="98"/>
      <c r="X14" s="98" t="s">
        <v>211</v>
      </c>
      <c r="Y14" s="98"/>
      <c r="Z14" s="98"/>
      <c r="AA14" s="102"/>
      <c r="AB14" s="98"/>
      <c r="AC14" s="98"/>
      <c r="AD14" s="102"/>
      <c r="AE14" s="98"/>
      <c r="AF14" s="98"/>
      <c r="AG14" s="102"/>
    </row>
    <row r="15" spans="1:33" ht="29.4" customHeight="1">
      <c r="A15" s="97">
        <v>26</v>
      </c>
      <c r="B15" s="98" t="s">
        <v>71</v>
      </c>
      <c r="C15" s="98" t="s">
        <v>212</v>
      </c>
      <c r="D15" s="98" t="s">
        <v>213</v>
      </c>
      <c r="E15" s="98" t="s">
        <v>105</v>
      </c>
      <c r="F15" s="98" t="s">
        <v>157</v>
      </c>
      <c r="G15" s="98">
        <v>3</v>
      </c>
      <c r="H15" s="98" t="s">
        <v>212</v>
      </c>
      <c r="I15" s="98" t="s">
        <v>213</v>
      </c>
      <c r="J15" s="98" t="s">
        <v>183</v>
      </c>
      <c r="K15" s="98" t="s">
        <v>184</v>
      </c>
      <c r="L15" s="98" t="s">
        <v>185</v>
      </c>
      <c r="M15" s="102">
        <v>6.5000000000000002E-2</v>
      </c>
      <c r="N15" s="104"/>
      <c r="O15" s="101"/>
      <c r="P15" s="102">
        <v>0</v>
      </c>
      <c r="Q15" s="102">
        <f t="shared" si="0"/>
        <v>0.19500000000000001</v>
      </c>
      <c r="R15" s="98">
        <v>91</v>
      </c>
      <c r="S15" s="98">
        <v>0</v>
      </c>
      <c r="T15" s="98">
        <v>20000</v>
      </c>
      <c r="U15" s="98"/>
      <c r="V15" s="103"/>
      <c r="W15" s="98"/>
      <c r="X15" s="98" t="s">
        <v>214</v>
      </c>
      <c r="Y15" s="98"/>
      <c r="Z15" s="98"/>
      <c r="AA15" s="102"/>
      <c r="AB15" s="98"/>
      <c r="AC15" s="98"/>
      <c r="AD15" s="102"/>
      <c r="AE15" s="98"/>
      <c r="AF15" s="98"/>
      <c r="AG15" s="102"/>
    </row>
    <row r="16" spans="1:33" ht="29.4" customHeight="1">
      <c r="A16" s="97">
        <v>27</v>
      </c>
      <c r="B16" s="98" t="s">
        <v>71</v>
      </c>
      <c r="C16" s="98" t="s">
        <v>215</v>
      </c>
      <c r="D16" s="98" t="s">
        <v>216</v>
      </c>
      <c r="E16" s="98" t="s">
        <v>105</v>
      </c>
      <c r="F16" s="98" t="s">
        <v>157</v>
      </c>
      <c r="G16" s="98">
        <v>1</v>
      </c>
      <c r="H16" s="98" t="s">
        <v>215</v>
      </c>
      <c r="I16" s="98" t="s">
        <v>217</v>
      </c>
      <c r="J16" s="98" t="s">
        <v>218</v>
      </c>
      <c r="K16" s="98" t="s">
        <v>219</v>
      </c>
      <c r="L16" s="98" t="s">
        <v>185</v>
      </c>
      <c r="M16" s="102">
        <v>8.2799999999999999E-2</v>
      </c>
      <c r="N16" s="104"/>
      <c r="O16" s="101"/>
      <c r="P16" s="102">
        <v>0</v>
      </c>
      <c r="Q16" s="102">
        <f t="shared" si="0"/>
        <v>8.2799999999999999E-2</v>
      </c>
      <c r="R16" s="98">
        <v>42</v>
      </c>
      <c r="S16" s="98">
        <v>1000</v>
      </c>
      <c r="T16" s="98">
        <v>1000</v>
      </c>
      <c r="U16" s="98"/>
      <c r="V16" s="103"/>
      <c r="W16" s="98"/>
      <c r="X16" s="98" t="s">
        <v>220</v>
      </c>
      <c r="Y16" s="98"/>
      <c r="Z16" s="98"/>
      <c r="AA16" s="102"/>
      <c r="AB16" s="98"/>
      <c r="AC16" s="98"/>
      <c r="AD16" s="102"/>
      <c r="AE16" s="98"/>
      <c r="AF16" s="98"/>
      <c r="AG16" s="102"/>
    </row>
    <row r="17" spans="1:33" ht="29.4" customHeight="1">
      <c r="A17" s="97">
        <v>28</v>
      </c>
      <c r="B17" s="98" t="s">
        <v>71</v>
      </c>
      <c r="C17" s="98" t="s">
        <v>221</v>
      </c>
      <c r="D17" s="98" t="s">
        <v>222</v>
      </c>
      <c r="E17" s="98" t="s">
        <v>105</v>
      </c>
      <c r="F17" s="98" t="s">
        <v>157</v>
      </c>
      <c r="G17" s="98">
        <v>1</v>
      </c>
      <c r="H17" s="98" t="s">
        <v>221</v>
      </c>
      <c r="I17" s="98" t="s">
        <v>222</v>
      </c>
      <c r="J17" s="98" t="s">
        <v>183</v>
      </c>
      <c r="K17" s="98" t="s">
        <v>184</v>
      </c>
      <c r="L17" s="98" t="s">
        <v>185</v>
      </c>
      <c r="M17" s="102">
        <v>9.1999999999999998E-2</v>
      </c>
      <c r="N17" s="104"/>
      <c r="O17" s="101"/>
      <c r="P17" s="102">
        <v>0</v>
      </c>
      <c r="Q17" s="102">
        <f t="shared" si="0"/>
        <v>9.1999999999999998E-2</v>
      </c>
      <c r="R17" s="98">
        <v>91</v>
      </c>
      <c r="S17" s="98">
        <v>0</v>
      </c>
      <c r="T17" s="98">
        <v>20000</v>
      </c>
      <c r="U17" s="98"/>
      <c r="V17" s="103"/>
      <c r="W17" s="98"/>
      <c r="X17" s="98" t="s">
        <v>223</v>
      </c>
      <c r="Y17" s="98"/>
      <c r="Z17" s="98"/>
      <c r="AA17" s="102"/>
      <c r="AB17" s="98"/>
      <c r="AC17" s="98"/>
      <c r="AD17" s="102"/>
      <c r="AE17" s="98"/>
      <c r="AF17" s="98"/>
      <c r="AG17" s="102"/>
    </row>
    <row r="18" spans="1:33" ht="29.4" customHeight="1">
      <c r="A18" s="97">
        <v>29</v>
      </c>
      <c r="B18" s="98" t="s">
        <v>71</v>
      </c>
      <c r="C18" s="98" t="s">
        <v>224</v>
      </c>
      <c r="D18" s="98" t="s">
        <v>225</v>
      </c>
      <c r="E18" s="98" t="s">
        <v>105</v>
      </c>
      <c r="F18" s="98" t="s">
        <v>144</v>
      </c>
      <c r="G18" s="98">
        <v>3</v>
      </c>
      <c r="H18" s="98" t="s">
        <v>224</v>
      </c>
      <c r="I18" s="98" t="s">
        <v>225</v>
      </c>
      <c r="J18" s="98" t="s">
        <v>205</v>
      </c>
      <c r="K18" s="98" t="s">
        <v>206</v>
      </c>
      <c r="L18" s="98" t="s">
        <v>207</v>
      </c>
      <c r="M18" s="102">
        <v>0.9</v>
      </c>
      <c r="N18" s="104"/>
      <c r="O18" s="101"/>
      <c r="P18" s="102">
        <v>0</v>
      </c>
      <c r="Q18" s="102">
        <f t="shared" si="0"/>
        <v>2.7</v>
      </c>
      <c r="R18" s="98">
        <v>120</v>
      </c>
      <c r="S18" s="98">
        <v>1</v>
      </c>
      <c r="T18" s="98">
        <v>1</v>
      </c>
      <c r="U18" s="98"/>
      <c r="V18" s="103"/>
      <c r="W18" s="98"/>
      <c r="X18" s="98" t="s">
        <v>226</v>
      </c>
      <c r="Y18" s="98"/>
      <c r="Z18" s="98"/>
      <c r="AA18" s="102"/>
      <c r="AB18" s="98"/>
      <c r="AC18" s="98"/>
      <c r="AD18" s="102"/>
      <c r="AE18" s="98"/>
      <c r="AF18" s="98"/>
      <c r="AG18" s="102"/>
    </row>
    <row r="19" spans="1:33" ht="29.4" customHeight="1">
      <c r="A19" s="97">
        <v>30</v>
      </c>
      <c r="B19" s="98" t="s">
        <v>71</v>
      </c>
      <c r="C19" s="98" t="s">
        <v>227</v>
      </c>
      <c r="D19" s="98" t="s">
        <v>228</v>
      </c>
      <c r="E19" s="98" t="s">
        <v>105</v>
      </c>
      <c r="F19" s="98" t="s">
        <v>144</v>
      </c>
      <c r="G19" s="98">
        <v>8</v>
      </c>
      <c r="H19" s="98" t="s">
        <v>227</v>
      </c>
      <c r="I19" s="98" t="s">
        <v>228</v>
      </c>
      <c r="J19" s="98" t="s">
        <v>205</v>
      </c>
      <c r="K19" s="98" t="s">
        <v>184</v>
      </c>
      <c r="L19" s="98" t="s">
        <v>185</v>
      </c>
      <c r="M19" s="102">
        <v>0.22</v>
      </c>
      <c r="N19" s="104"/>
      <c r="O19" s="101"/>
      <c r="P19" s="102">
        <v>0</v>
      </c>
      <c r="Q19" s="102">
        <f t="shared" si="0"/>
        <v>1.76</v>
      </c>
      <c r="R19" s="98">
        <v>1</v>
      </c>
      <c r="S19" s="98">
        <v>1</v>
      </c>
      <c r="T19" s="98">
        <v>4000</v>
      </c>
      <c r="U19" s="98"/>
      <c r="V19" s="103"/>
      <c r="W19" s="98"/>
      <c r="X19" s="98" t="s">
        <v>229</v>
      </c>
      <c r="Y19" s="98"/>
      <c r="Z19" s="98"/>
      <c r="AA19" s="102"/>
      <c r="AB19" s="98"/>
      <c r="AC19" s="98"/>
      <c r="AD19" s="102"/>
      <c r="AE19" s="98"/>
      <c r="AF19" s="98"/>
      <c r="AG19" s="102"/>
    </row>
    <row r="20" spans="1:33" ht="29.4" customHeight="1">
      <c r="A20" s="97">
        <v>31</v>
      </c>
      <c r="B20" s="98" t="s">
        <v>71</v>
      </c>
      <c r="C20" s="98" t="s">
        <v>230</v>
      </c>
      <c r="D20" s="98" t="s">
        <v>231</v>
      </c>
      <c r="E20" s="98" t="s">
        <v>105</v>
      </c>
      <c r="F20" s="98" t="s">
        <v>144</v>
      </c>
      <c r="G20" s="98">
        <v>1</v>
      </c>
      <c r="H20" s="99" t="s">
        <v>232</v>
      </c>
      <c r="I20" s="98" t="s">
        <v>233</v>
      </c>
      <c r="J20" s="98" t="s">
        <v>218</v>
      </c>
      <c r="K20" s="98" t="s">
        <v>234</v>
      </c>
      <c r="L20" s="98" t="s">
        <v>235</v>
      </c>
      <c r="M20" s="102">
        <v>4.1999999999999997E-3</v>
      </c>
      <c r="N20" s="104">
        <v>5.7000000000000002E-3</v>
      </c>
      <c r="O20" s="101">
        <f t="shared" si="1"/>
        <v>1.5000000000000005E-3</v>
      </c>
      <c r="P20" s="102">
        <v>0</v>
      </c>
      <c r="Q20" s="102">
        <f t="shared" si="0"/>
        <v>4.1999999999999997E-3</v>
      </c>
      <c r="R20" s="98">
        <v>56</v>
      </c>
      <c r="S20" s="98">
        <v>5000</v>
      </c>
      <c r="T20" s="98"/>
      <c r="U20" s="98"/>
      <c r="V20" s="103"/>
      <c r="W20" s="98"/>
      <c r="X20" s="98" t="s">
        <v>236</v>
      </c>
      <c r="Y20" s="98" t="s">
        <v>237</v>
      </c>
      <c r="Z20" s="98" t="s">
        <v>238</v>
      </c>
      <c r="AA20" s="102">
        <v>4.1999999999999997E-3</v>
      </c>
      <c r="AB20" s="98" t="s">
        <v>239</v>
      </c>
      <c r="AC20" s="98" t="s">
        <v>240</v>
      </c>
      <c r="AD20" s="100">
        <v>7.4999999999999997E-3</v>
      </c>
      <c r="AE20" s="98" t="s">
        <v>241</v>
      </c>
      <c r="AF20" s="98" t="s">
        <v>242</v>
      </c>
      <c r="AG20" s="100" t="s">
        <v>154</v>
      </c>
    </row>
    <row r="21" spans="1:33" ht="29.4" customHeight="1">
      <c r="A21" s="97">
        <v>32</v>
      </c>
      <c r="B21" s="98" t="s">
        <v>71</v>
      </c>
      <c r="C21" s="98" t="s">
        <v>243</v>
      </c>
      <c r="D21" s="98" t="s">
        <v>244</v>
      </c>
      <c r="E21" s="98" t="s">
        <v>105</v>
      </c>
      <c r="F21" s="98" t="s">
        <v>144</v>
      </c>
      <c r="G21" s="98">
        <v>49</v>
      </c>
      <c r="H21" s="99" t="s">
        <v>245</v>
      </c>
      <c r="I21" s="98" t="s">
        <v>246</v>
      </c>
      <c r="J21" s="98" t="s">
        <v>218</v>
      </c>
      <c r="K21" s="98" t="s">
        <v>219</v>
      </c>
      <c r="L21" s="98" t="s">
        <v>185</v>
      </c>
      <c r="M21" s="102">
        <v>1.8E-3</v>
      </c>
      <c r="N21" s="104">
        <v>2.3999999999999998E-3</v>
      </c>
      <c r="O21" s="101">
        <f t="shared" si="1"/>
        <v>2.9399999999999992E-2</v>
      </c>
      <c r="P21" s="102">
        <v>0</v>
      </c>
      <c r="Q21" s="102">
        <f t="shared" si="0"/>
        <v>8.8200000000000001E-2</v>
      </c>
      <c r="R21" s="98">
        <v>56</v>
      </c>
      <c r="S21" s="98">
        <v>5000</v>
      </c>
      <c r="T21" s="98"/>
      <c r="U21" s="98"/>
      <c r="V21" s="103"/>
      <c r="W21" s="98"/>
      <c r="X21" s="98" t="s">
        <v>247</v>
      </c>
      <c r="Y21" s="98" t="s">
        <v>248</v>
      </c>
      <c r="Z21" s="98" t="s">
        <v>249</v>
      </c>
      <c r="AA21" s="102">
        <v>1.8E-3</v>
      </c>
      <c r="AB21" s="98" t="s">
        <v>250</v>
      </c>
      <c r="AC21" s="98" t="s">
        <v>251</v>
      </c>
      <c r="AD21" s="102">
        <v>2.5000000000000001E-3</v>
      </c>
      <c r="AE21" s="98" t="s">
        <v>252</v>
      </c>
      <c r="AF21" s="98" t="s">
        <v>253</v>
      </c>
      <c r="AG21" s="100" t="s">
        <v>154</v>
      </c>
    </row>
    <row r="22" spans="1:33" ht="29.4" customHeight="1">
      <c r="A22" s="97">
        <v>33</v>
      </c>
      <c r="B22" s="98" t="s">
        <v>71</v>
      </c>
      <c r="C22" s="98" t="s">
        <v>254</v>
      </c>
      <c r="D22" s="98" t="s">
        <v>255</v>
      </c>
      <c r="E22" s="98" t="s">
        <v>105</v>
      </c>
      <c r="F22" s="98" t="s">
        <v>144</v>
      </c>
      <c r="G22" s="98">
        <v>25</v>
      </c>
      <c r="H22" s="99" t="s">
        <v>256</v>
      </c>
      <c r="I22" s="98" t="s">
        <v>257</v>
      </c>
      <c r="J22" s="98" t="s">
        <v>218</v>
      </c>
      <c r="K22" s="98" t="s">
        <v>234</v>
      </c>
      <c r="L22" s="98" t="s">
        <v>235</v>
      </c>
      <c r="M22" s="102">
        <v>1.8E-3</v>
      </c>
      <c r="N22" s="104">
        <v>2.3999999999999998E-3</v>
      </c>
      <c r="O22" s="101">
        <f t="shared" si="1"/>
        <v>1.4999999999999996E-2</v>
      </c>
      <c r="P22" s="102">
        <v>0</v>
      </c>
      <c r="Q22" s="102">
        <f t="shared" si="0"/>
        <v>4.4999999999999998E-2</v>
      </c>
      <c r="R22" s="98">
        <v>56</v>
      </c>
      <c r="S22" s="98">
        <v>5000</v>
      </c>
      <c r="T22" s="98"/>
      <c r="U22" s="98"/>
      <c r="V22" s="103"/>
      <c r="W22" s="98"/>
      <c r="X22" s="98" t="s">
        <v>258</v>
      </c>
      <c r="Y22" s="98" t="s">
        <v>259</v>
      </c>
      <c r="Z22" s="98" t="s">
        <v>260</v>
      </c>
      <c r="AA22" s="102">
        <v>1.8E-3</v>
      </c>
      <c r="AB22" s="98" t="s">
        <v>261</v>
      </c>
      <c r="AC22" s="98" t="s">
        <v>262</v>
      </c>
      <c r="AD22" s="102">
        <v>2.5000000000000001E-3</v>
      </c>
      <c r="AE22" s="98" t="s">
        <v>263</v>
      </c>
      <c r="AF22" s="98" t="s">
        <v>264</v>
      </c>
      <c r="AG22" s="100" t="s">
        <v>154</v>
      </c>
    </row>
    <row r="23" spans="1:33" ht="29.4" customHeight="1">
      <c r="A23" s="97">
        <v>34</v>
      </c>
      <c r="B23" s="98" t="s">
        <v>71</v>
      </c>
      <c r="C23" s="98" t="s">
        <v>265</v>
      </c>
      <c r="D23" s="98" t="s">
        <v>266</v>
      </c>
      <c r="E23" s="98" t="s">
        <v>105</v>
      </c>
      <c r="F23" s="98" t="s">
        <v>144</v>
      </c>
      <c r="G23" s="98">
        <v>9</v>
      </c>
      <c r="H23" s="99" t="s">
        <v>267</v>
      </c>
      <c r="I23" s="98" t="s">
        <v>268</v>
      </c>
      <c r="J23" s="98" t="s">
        <v>218</v>
      </c>
      <c r="K23" s="98" t="s">
        <v>234</v>
      </c>
      <c r="L23" s="98" t="s">
        <v>235</v>
      </c>
      <c r="M23" s="102">
        <v>1.8E-3</v>
      </c>
      <c r="N23" s="104">
        <v>2.3999999999999998E-3</v>
      </c>
      <c r="O23" s="101">
        <f t="shared" si="1"/>
        <v>5.3999999999999986E-3</v>
      </c>
      <c r="P23" s="102">
        <v>0</v>
      </c>
      <c r="Q23" s="102">
        <f t="shared" si="0"/>
        <v>1.6199999999999999E-2</v>
      </c>
      <c r="R23" s="98">
        <v>56</v>
      </c>
      <c r="S23" s="98">
        <v>5000</v>
      </c>
      <c r="T23" s="98"/>
      <c r="U23" s="98"/>
      <c r="V23" s="103"/>
      <c r="W23" s="98"/>
      <c r="X23" s="98" t="s">
        <v>269</v>
      </c>
      <c r="Y23" s="98" t="s">
        <v>270</v>
      </c>
      <c r="Z23" s="98" t="s">
        <v>271</v>
      </c>
      <c r="AA23" s="102">
        <v>1.8E-3</v>
      </c>
      <c r="AB23" s="98" t="s">
        <v>272</v>
      </c>
      <c r="AC23" s="98" t="s">
        <v>273</v>
      </c>
      <c r="AD23" s="102">
        <v>2.5999999999999999E-3</v>
      </c>
      <c r="AE23" s="98" t="s">
        <v>274</v>
      </c>
      <c r="AF23" s="98" t="s">
        <v>275</v>
      </c>
      <c r="AG23" s="100" t="s">
        <v>154</v>
      </c>
    </row>
    <row r="24" spans="1:33" ht="29.4" customHeight="1">
      <c r="A24" s="97">
        <v>35</v>
      </c>
      <c r="B24" s="98" t="s">
        <v>71</v>
      </c>
      <c r="C24" s="98" t="s">
        <v>276</v>
      </c>
      <c r="D24" s="98" t="s">
        <v>277</v>
      </c>
      <c r="E24" s="98" t="s">
        <v>105</v>
      </c>
      <c r="F24" s="98" t="s">
        <v>144</v>
      </c>
      <c r="G24" s="98">
        <v>2</v>
      </c>
      <c r="H24" s="99" t="s">
        <v>278</v>
      </c>
      <c r="I24" s="98" t="s">
        <v>279</v>
      </c>
      <c r="J24" s="98" t="s">
        <v>218</v>
      </c>
      <c r="K24" s="98" t="s">
        <v>234</v>
      </c>
      <c r="L24" s="98" t="s">
        <v>235</v>
      </c>
      <c r="M24" s="102">
        <v>1.8E-3</v>
      </c>
      <c r="N24" s="104">
        <v>2.3999999999999998E-3</v>
      </c>
      <c r="O24" s="101">
        <f t="shared" si="1"/>
        <v>1.1999999999999997E-3</v>
      </c>
      <c r="P24" s="102">
        <v>0</v>
      </c>
      <c r="Q24" s="102">
        <f t="shared" si="0"/>
        <v>3.5999999999999999E-3</v>
      </c>
      <c r="R24" s="98">
        <v>56</v>
      </c>
      <c r="S24" s="98">
        <v>5000</v>
      </c>
      <c r="T24" s="98"/>
      <c r="U24" s="98"/>
      <c r="V24" s="103"/>
      <c r="W24" s="98"/>
      <c r="X24" s="98" t="s">
        <v>280</v>
      </c>
      <c r="Y24" s="98" t="s">
        <v>281</v>
      </c>
      <c r="Z24" s="98" t="s">
        <v>282</v>
      </c>
      <c r="AA24" s="102">
        <v>1.8E-3</v>
      </c>
      <c r="AB24" s="98" t="s">
        <v>283</v>
      </c>
      <c r="AC24" s="98" t="s">
        <v>284</v>
      </c>
      <c r="AD24" s="100">
        <v>2.5999999999999999E-3</v>
      </c>
      <c r="AE24" s="98" t="s">
        <v>285</v>
      </c>
      <c r="AF24" s="98" t="s">
        <v>286</v>
      </c>
      <c r="AG24" s="100" t="s">
        <v>154</v>
      </c>
    </row>
    <row r="25" spans="1:33" ht="29.4" customHeight="1">
      <c r="A25" s="97">
        <v>36</v>
      </c>
      <c r="B25" s="98" t="s">
        <v>71</v>
      </c>
      <c r="C25" s="98" t="s">
        <v>287</v>
      </c>
      <c r="D25" s="98" t="s">
        <v>288</v>
      </c>
      <c r="E25" s="98" t="s">
        <v>105</v>
      </c>
      <c r="F25" s="98" t="s">
        <v>144</v>
      </c>
      <c r="G25" s="98">
        <v>7</v>
      </c>
      <c r="H25" s="99" t="s">
        <v>289</v>
      </c>
      <c r="I25" s="98" t="s">
        <v>290</v>
      </c>
      <c r="J25" s="98" t="s">
        <v>218</v>
      </c>
      <c r="K25" s="98" t="s">
        <v>234</v>
      </c>
      <c r="L25" s="98" t="s">
        <v>235</v>
      </c>
      <c r="M25" s="102">
        <v>1.8E-3</v>
      </c>
      <c r="N25" s="104">
        <v>2.3999999999999998E-3</v>
      </c>
      <c r="O25" s="101">
        <f t="shared" si="1"/>
        <v>4.1999999999999989E-3</v>
      </c>
      <c r="P25" s="102">
        <v>0</v>
      </c>
      <c r="Q25" s="102">
        <f t="shared" si="0"/>
        <v>1.26E-2</v>
      </c>
      <c r="R25" s="98">
        <v>56</v>
      </c>
      <c r="S25" s="98">
        <v>5000</v>
      </c>
      <c r="T25" s="98"/>
      <c r="U25" s="98"/>
      <c r="V25" s="103"/>
      <c r="W25" s="98"/>
      <c r="X25" s="98" t="s">
        <v>291</v>
      </c>
      <c r="Y25" s="98" t="s">
        <v>292</v>
      </c>
      <c r="Z25" s="98" t="s">
        <v>293</v>
      </c>
      <c r="AA25" s="102">
        <v>1.8E-3</v>
      </c>
      <c r="AB25" s="98" t="s">
        <v>294</v>
      </c>
      <c r="AC25" s="98" t="s">
        <v>295</v>
      </c>
      <c r="AD25" s="100">
        <v>2.5000000000000001E-3</v>
      </c>
      <c r="AE25" s="98" t="s">
        <v>296</v>
      </c>
      <c r="AF25" s="98" t="s">
        <v>297</v>
      </c>
      <c r="AG25" s="100" t="s">
        <v>154</v>
      </c>
    </row>
    <row r="26" spans="1:33" ht="29.4" customHeight="1">
      <c r="A26" s="97">
        <v>37</v>
      </c>
      <c r="B26" s="98" t="s">
        <v>71</v>
      </c>
      <c r="C26" s="98" t="s">
        <v>298</v>
      </c>
      <c r="D26" s="98" t="s">
        <v>299</v>
      </c>
      <c r="E26" s="98" t="s">
        <v>105</v>
      </c>
      <c r="F26" s="98" t="s">
        <v>144</v>
      </c>
      <c r="G26" s="98">
        <v>2</v>
      </c>
      <c r="H26" s="99" t="s">
        <v>300</v>
      </c>
      <c r="I26" s="98" t="s">
        <v>301</v>
      </c>
      <c r="J26" s="98" t="s">
        <v>302</v>
      </c>
      <c r="K26" s="98" t="s">
        <v>234</v>
      </c>
      <c r="L26" s="98" t="s">
        <v>235</v>
      </c>
      <c r="M26" s="102">
        <v>1.8E-3</v>
      </c>
      <c r="N26" s="104">
        <v>2.3999999999999998E-3</v>
      </c>
      <c r="O26" s="101">
        <f t="shared" si="1"/>
        <v>1.1999999999999997E-3</v>
      </c>
      <c r="P26" s="102">
        <v>0</v>
      </c>
      <c r="Q26" s="102">
        <f t="shared" si="0"/>
        <v>3.5999999999999999E-3</v>
      </c>
      <c r="R26" s="98">
        <v>56</v>
      </c>
      <c r="S26" s="98">
        <v>5000</v>
      </c>
      <c r="T26" s="98"/>
      <c r="U26" s="98"/>
      <c r="V26" s="103"/>
      <c r="W26" s="98"/>
      <c r="X26" s="98" t="s">
        <v>303</v>
      </c>
      <c r="Y26" s="98" t="s">
        <v>304</v>
      </c>
      <c r="Z26" s="98" t="s">
        <v>305</v>
      </c>
      <c r="AA26" s="102">
        <v>1.8E-3</v>
      </c>
      <c r="AB26" s="98" t="s">
        <v>306</v>
      </c>
      <c r="AC26" s="98" t="s">
        <v>307</v>
      </c>
      <c r="AD26" s="100">
        <v>2.5999999999999999E-3</v>
      </c>
      <c r="AE26" s="98" t="s">
        <v>308</v>
      </c>
      <c r="AF26" s="98" t="s">
        <v>309</v>
      </c>
      <c r="AG26" s="100" t="s">
        <v>154</v>
      </c>
    </row>
    <row r="27" spans="1:33" ht="29.4" customHeight="1">
      <c r="A27" s="97">
        <v>38</v>
      </c>
      <c r="B27" s="98" t="s">
        <v>71</v>
      </c>
      <c r="C27" s="98" t="s">
        <v>310</v>
      </c>
      <c r="D27" s="98" t="s">
        <v>311</v>
      </c>
      <c r="E27" s="98" t="s">
        <v>105</v>
      </c>
      <c r="F27" s="98" t="s">
        <v>144</v>
      </c>
      <c r="G27" s="98">
        <v>8</v>
      </c>
      <c r="H27" s="99" t="s">
        <v>312</v>
      </c>
      <c r="I27" s="98" t="s">
        <v>313</v>
      </c>
      <c r="J27" s="98" t="s">
        <v>218</v>
      </c>
      <c r="K27" s="98" t="s">
        <v>234</v>
      </c>
      <c r="L27" s="98" t="s">
        <v>235</v>
      </c>
      <c r="M27" s="102">
        <v>1.8E-3</v>
      </c>
      <c r="N27" s="104">
        <v>2.3999999999999998E-3</v>
      </c>
      <c r="O27" s="101">
        <f t="shared" si="1"/>
        <v>4.7999999999999987E-3</v>
      </c>
      <c r="P27" s="102">
        <v>0</v>
      </c>
      <c r="Q27" s="102">
        <f t="shared" si="0"/>
        <v>1.44E-2</v>
      </c>
      <c r="R27" s="98">
        <v>56</v>
      </c>
      <c r="S27" s="98">
        <v>5000</v>
      </c>
      <c r="T27" s="98"/>
      <c r="U27" s="98"/>
      <c r="V27" s="103"/>
      <c r="W27" s="98"/>
      <c r="X27" s="98" t="s">
        <v>314</v>
      </c>
      <c r="Y27" s="98" t="s">
        <v>315</v>
      </c>
      <c r="Z27" s="98" t="s">
        <v>316</v>
      </c>
      <c r="AA27" s="102">
        <v>1.8E-3</v>
      </c>
      <c r="AB27" s="98" t="s">
        <v>317</v>
      </c>
      <c r="AC27" s="98" t="s">
        <v>318</v>
      </c>
      <c r="AD27" s="100">
        <v>2.5999999999999999E-3</v>
      </c>
      <c r="AE27" s="98" t="s">
        <v>319</v>
      </c>
      <c r="AF27" s="98" t="s">
        <v>320</v>
      </c>
      <c r="AG27" s="100" t="s">
        <v>154</v>
      </c>
    </row>
    <row r="28" spans="1:33" ht="29.4" customHeight="1">
      <c r="A28" s="97">
        <v>39</v>
      </c>
      <c r="B28" s="98" t="s">
        <v>71</v>
      </c>
      <c r="C28" s="98" t="s">
        <v>321</v>
      </c>
      <c r="D28" s="98" t="s">
        <v>322</v>
      </c>
      <c r="E28" s="98" t="s">
        <v>105</v>
      </c>
      <c r="F28" s="98" t="s">
        <v>144</v>
      </c>
      <c r="G28" s="98">
        <v>2</v>
      </c>
      <c r="H28" s="99" t="s">
        <v>323</v>
      </c>
      <c r="I28" s="98" t="s">
        <v>324</v>
      </c>
      <c r="J28" s="98" t="s">
        <v>218</v>
      </c>
      <c r="K28" s="98" t="s">
        <v>234</v>
      </c>
      <c r="L28" s="98" t="s">
        <v>235</v>
      </c>
      <c r="M28" s="102">
        <v>4.1999999999999997E-3</v>
      </c>
      <c r="N28" s="104">
        <v>5.7000000000000002E-3</v>
      </c>
      <c r="O28" s="101">
        <f t="shared" si="1"/>
        <v>3.0000000000000009E-3</v>
      </c>
      <c r="P28" s="102">
        <v>0</v>
      </c>
      <c r="Q28" s="102">
        <f t="shared" si="0"/>
        <v>8.3999999999999995E-3</v>
      </c>
      <c r="R28" s="98">
        <v>56</v>
      </c>
      <c r="S28" s="98">
        <v>5000</v>
      </c>
      <c r="T28" s="98"/>
      <c r="U28" s="98"/>
      <c r="V28" s="103"/>
      <c r="W28" s="98"/>
      <c r="X28" s="98" t="s">
        <v>325</v>
      </c>
      <c r="Y28" s="98" t="s">
        <v>326</v>
      </c>
      <c r="Z28" s="98" t="s">
        <v>327</v>
      </c>
      <c r="AA28" s="102">
        <v>4.1999999999999997E-3</v>
      </c>
      <c r="AB28" s="98" t="s">
        <v>328</v>
      </c>
      <c r="AC28" s="98" t="s">
        <v>329</v>
      </c>
      <c r="AD28" s="100">
        <v>7.4999999999999997E-3</v>
      </c>
      <c r="AE28" s="98" t="s">
        <v>330</v>
      </c>
      <c r="AF28" s="98" t="s">
        <v>331</v>
      </c>
      <c r="AG28" s="100" t="s">
        <v>154</v>
      </c>
    </row>
    <row r="29" spans="1:33" ht="29.4" customHeight="1">
      <c r="A29" s="97">
        <v>40</v>
      </c>
      <c r="B29" s="98" t="s">
        <v>71</v>
      </c>
      <c r="C29" s="98" t="s">
        <v>332</v>
      </c>
      <c r="D29" s="98" t="s">
        <v>333</v>
      </c>
      <c r="E29" s="98" t="s">
        <v>105</v>
      </c>
      <c r="F29" s="98" t="s">
        <v>144</v>
      </c>
      <c r="G29" s="98">
        <v>1</v>
      </c>
      <c r="H29" s="99" t="s">
        <v>334</v>
      </c>
      <c r="I29" s="98" t="s">
        <v>335</v>
      </c>
      <c r="J29" s="98" t="s">
        <v>218</v>
      </c>
      <c r="K29" s="98" t="s">
        <v>234</v>
      </c>
      <c r="L29" s="98" t="s">
        <v>235</v>
      </c>
      <c r="M29" s="102">
        <v>1.8E-3</v>
      </c>
      <c r="N29" s="104">
        <v>2.3999999999999998E-3</v>
      </c>
      <c r="O29" s="101">
        <f t="shared" si="1"/>
        <v>5.9999999999999984E-4</v>
      </c>
      <c r="P29" s="102">
        <v>0</v>
      </c>
      <c r="Q29" s="102">
        <f t="shared" si="0"/>
        <v>1.8E-3</v>
      </c>
      <c r="R29" s="98">
        <v>56</v>
      </c>
      <c r="S29" s="98">
        <v>5000</v>
      </c>
      <c r="T29" s="98"/>
      <c r="U29" s="98"/>
      <c r="V29" s="103"/>
      <c r="W29" s="98"/>
      <c r="X29" s="98" t="s">
        <v>336</v>
      </c>
      <c r="Y29" s="98" t="s">
        <v>337</v>
      </c>
      <c r="Z29" s="98" t="s">
        <v>338</v>
      </c>
      <c r="AA29" s="102">
        <v>1.8E-3</v>
      </c>
      <c r="AB29" s="98" t="s">
        <v>339</v>
      </c>
      <c r="AC29" s="98" t="s">
        <v>340</v>
      </c>
      <c r="AD29" s="100">
        <v>2.5999999999999999E-3</v>
      </c>
      <c r="AE29" s="98" t="s">
        <v>341</v>
      </c>
      <c r="AF29" s="98" t="s">
        <v>342</v>
      </c>
      <c r="AG29" s="100" t="s">
        <v>154</v>
      </c>
    </row>
    <row r="30" spans="1:33" ht="29.4" customHeight="1">
      <c r="A30" s="97">
        <v>41</v>
      </c>
      <c r="B30" s="98" t="s">
        <v>71</v>
      </c>
      <c r="C30" s="98" t="s">
        <v>343</v>
      </c>
      <c r="D30" s="98" t="s">
        <v>344</v>
      </c>
      <c r="E30" s="98" t="s">
        <v>105</v>
      </c>
      <c r="F30" s="98" t="s">
        <v>144</v>
      </c>
      <c r="G30" s="98">
        <v>1</v>
      </c>
      <c r="H30" s="99" t="s">
        <v>345</v>
      </c>
      <c r="I30" s="98" t="s">
        <v>346</v>
      </c>
      <c r="J30" s="98" t="s">
        <v>183</v>
      </c>
      <c r="K30" s="98" t="s">
        <v>184</v>
      </c>
      <c r="L30" s="98" t="s">
        <v>185</v>
      </c>
      <c r="M30" s="102">
        <v>1.8E-3</v>
      </c>
      <c r="N30" s="104">
        <v>2.3999999999999998E-3</v>
      </c>
      <c r="O30" s="101">
        <f t="shared" si="1"/>
        <v>5.9999999999999984E-4</v>
      </c>
      <c r="P30" s="102">
        <v>0</v>
      </c>
      <c r="Q30" s="102">
        <f t="shared" si="0"/>
        <v>1.8E-3</v>
      </c>
      <c r="R30" s="98">
        <v>56</v>
      </c>
      <c r="S30" s="98">
        <v>0</v>
      </c>
      <c r="T30" s="98">
        <v>5000</v>
      </c>
      <c r="U30" s="98"/>
      <c r="V30" s="103"/>
      <c r="W30" s="98"/>
      <c r="X30" s="98" t="s">
        <v>347</v>
      </c>
      <c r="Y30" s="98" t="s">
        <v>348</v>
      </c>
      <c r="Z30" s="98" t="s">
        <v>349</v>
      </c>
      <c r="AA30" s="100">
        <v>2.5000000000000001E-3</v>
      </c>
      <c r="AB30" s="98" t="s">
        <v>350</v>
      </c>
      <c r="AC30" s="98" t="s">
        <v>351</v>
      </c>
      <c r="AD30" s="100">
        <v>2.5000000000000001E-3</v>
      </c>
      <c r="AE30" s="98" t="s">
        <v>352</v>
      </c>
      <c r="AF30" s="98" t="s">
        <v>353</v>
      </c>
      <c r="AG30" s="100" t="s">
        <v>154</v>
      </c>
    </row>
    <row r="31" spans="1:33" ht="29.4" customHeight="1">
      <c r="A31" s="97">
        <v>42</v>
      </c>
      <c r="B31" s="98" t="s">
        <v>71</v>
      </c>
      <c r="C31" s="98" t="s">
        <v>354</v>
      </c>
      <c r="D31" s="98" t="s">
        <v>355</v>
      </c>
      <c r="E31" s="98" t="s">
        <v>105</v>
      </c>
      <c r="F31" s="98" t="s">
        <v>144</v>
      </c>
      <c r="G31" s="98">
        <v>8</v>
      </c>
      <c r="H31" s="99" t="s">
        <v>356</v>
      </c>
      <c r="I31" s="98" t="s">
        <v>357</v>
      </c>
      <c r="J31" s="98" t="s">
        <v>302</v>
      </c>
      <c r="K31" s="98" t="s">
        <v>234</v>
      </c>
      <c r="L31" s="98" t="s">
        <v>235</v>
      </c>
      <c r="M31" s="102">
        <v>1.8E-3</v>
      </c>
      <c r="N31" s="104">
        <v>2.3999999999999998E-3</v>
      </c>
      <c r="O31" s="101">
        <f t="shared" si="1"/>
        <v>4.7999999999999987E-3</v>
      </c>
      <c r="P31" s="102">
        <v>0</v>
      </c>
      <c r="Q31" s="102">
        <f t="shared" si="0"/>
        <v>1.44E-2</v>
      </c>
      <c r="R31" s="98">
        <v>56</v>
      </c>
      <c r="S31" s="98">
        <v>5000</v>
      </c>
      <c r="T31" s="98"/>
      <c r="U31" s="98"/>
      <c r="V31" s="103"/>
      <c r="W31" s="98"/>
      <c r="X31" s="98" t="s">
        <v>358</v>
      </c>
      <c r="Y31" s="98" t="s">
        <v>359</v>
      </c>
      <c r="Z31" s="98" t="s">
        <v>360</v>
      </c>
      <c r="AA31" s="102">
        <v>1.8E-3</v>
      </c>
      <c r="AB31" s="98" t="s">
        <v>361</v>
      </c>
      <c r="AC31" s="98" t="s">
        <v>362</v>
      </c>
      <c r="AD31" s="100">
        <v>2.5999999999999999E-3</v>
      </c>
      <c r="AE31" s="98" t="s">
        <v>363</v>
      </c>
      <c r="AF31" s="98" t="s">
        <v>364</v>
      </c>
      <c r="AG31" s="100" t="s">
        <v>154</v>
      </c>
    </row>
    <row r="32" spans="1:33" ht="29.4" customHeight="1">
      <c r="A32" s="97">
        <v>43</v>
      </c>
      <c r="B32" s="98" t="s">
        <v>71</v>
      </c>
      <c r="C32" s="98" t="s">
        <v>365</v>
      </c>
      <c r="D32" s="98" t="s">
        <v>366</v>
      </c>
      <c r="E32" s="98" t="s">
        <v>105</v>
      </c>
      <c r="F32" s="98" t="s">
        <v>144</v>
      </c>
      <c r="G32" s="98">
        <v>2</v>
      </c>
      <c r="H32" s="99" t="s">
        <v>367</v>
      </c>
      <c r="I32" s="98" t="s">
        <v>368</v>
      </c>
      <c r="J32" s="98" t="s">
        <v>183</v>
      </c>
      <c r="K32" s="98" t="s">
        <v>184</v>
      </c>
      <c r="L32" s="98" t="s">
        <v>185</v>
      </c>
      <c r="M32" s="102">
        <v>1.8E-3</v>
      </c>
      <c r="N32" s="104">
        <v>2.3999999999999998E-3</v>
      </c>
      <c r="O32" s="101">
        <f t="shared" si="1"/>
        <v>1.1999999999999997E-3</v>
      </c>
      <c r="P32" s="102">
        <v>0</v>
      </c>
      <c r="Q32" s="102">
        <f t="shared" si="0"/>
        <v>3.5999999999999999E-3</v>
      </c>
      <c r="R32" s="98">
        <v>56</v>
      </c>
      <c r="S32" s="98">
        <v>0</v>
      </c>
      <c r="T32" s="98">
        <v>5000</v>
      </c>
      <c r="U32" s="98"/>
      <c r="V32" s="103"/>
      <c r="W32" s="98"/>
      <c r="X32" s="98" t="s">
        <v>369</v>
      </c>
      <c r="Y32" s="98" t="s">
        <v>370</v>
      </c>
      <c r="Z32" s="98" t="s">
        <v>371</v>
      </c>
      <c r="AA32" s="102">
        <v>2.3999999999999998E-3</v>
      </c>
      <c r="AB32" s="98" t="s">
        <v>372</v>
      </c>
      <c r="AC32" s="98" t="s">
        <v>373</v>
      </c>
      <c r="AD32" s="100">
        <v>2.5999999999999999E-3</v>
      </c>
      <c r="AE32" s="98" t="s">
        <v>374</v>
      </c>
      <c r="AF32" s="98" t="s">
        <v>375</v>
      </c>
      <c r="AG32" s="100" t="s">
        <v>154</v>
      </c>
    </row>
    <row r="33" spans="1:33" ht="29.4" customHeight="1">
      <c r="A33" s="97">
        <v>44</v>
      </c>
      <c r="B33" s="98" t="s">
        <v>71</v>
      </c>
      <c r="C33" s="98" t="s">
        <v>376</v>
      </c>
      <c r="D33" s="98" t="s">
        <v>377</v>
      </c>
      <c r="E33" s="98" t="s">
        <v>105</v>
      </c>
      <c r="F33" s="98" t="s">
        <v>144</v>
      </c>
      <c r="G33" s="98">
        <v>29</v>
      </c>
      <c r="H33" s="99" t="s">
        <v>378</v>
      </c>
      <c r="I33" s="98" t="s">
        <v>379</v>
      </c>
      <c r="J33" s="98" t="s">
        <v>218</v>
      </c>
      <c r="K33" s="98" t="s">
        <v>234</v>
      </c>
      <c r="L33" s="98" t="s">
        <v>235</v>
      </c>
      <c r="M33" s="102">
        <v>1.8E-3</v>
      </c>
      <c r="N33" s="104">
        <v>2.3999999999999998E-3</v>
      </c>
      <c r="O33" s="101">
        <f t="shared" si="1"/>
        <v>1.7399999999999995E-2</v>
      </c>
      <c r="P33" s="102">
        <v>0</v>
      </c>
      <c r="Q33" s="102">
        <f t="shared" si="0"/>
        <v>5.2199999999999996E-2</v>
      </c>
      <c r="R33" s="98">
        <v>56</v>
      </c>
      <c r="S33" s="98">
        <v>5000</v>
      </c>
      <c r="T33" s="98"/>
      <c r="U33" s="98"/>
      <c r="V33" s="103"/>
      <c r="W33" s="98"/>
      <c r="X33" s="98" t="s">
        <v>380</v>
      </c>
      <c r="Y33" s="98" t="s">
        <v>381</v>
      </c>
      <c r="Z33" s="98" t="s">
        <v>382</v>
      </c>
      <c r="AA33" s="102">
        <v>1.8E-3</v>
      </c>
      <c r="AB33" s="98" t="s">
        <v>383</v>
      </c>
      <c r="AC33" s="98" t="s">
        <v>384</v>
      </c>
      <c r="AD33" s="102">
        <v>2.5000000000000001E-3</v>
      </c>
      <c r="AE33" s="98" t="s">
        <v>385</v>
      </c>
      <c r="AF33" s="98" t="s">
        <v>386</v>
      </c>
      <c r="AG33" s="100" t="s">
        <v>154</v>
      </c>
    </row>
    <row r="34" spans="1:33" ht="29.4" customHeight="1">
      <c r="A34" s="97">
        <v>45</v>
      </c>
      <c r="B34" s="98" t="s">
        <v>71</v>
      </c>
      <c r="C34" s="98" t="s">
        <v>387</v>
      </c>
      <c r="D34" s="98" t="s">
        <v>388</v>
      </c>
      <c r="E34" s="98" t="s">
        <v>105</v>
      </c>
      <c r="F34" s="98" t="s">
        <v>144</v>
      </c>
      <c r="G34" s="98">
        <v>2</v>
      </c>
      <c r="H34" s="99" t="s">
        <v>389</v>
      </c>
      <c r="I34" s="98" t="s">
        <v>390</v>
      </c>
      <c r="J34" s="98" t="s">
        <v>302</v>
      </c>
      <c r="K34" s="98" t="s">
        <v>234</v>
      </c>
      <c r="L34" s="98" t="s">
        <v>235</v>
      </c>
      <c r="M34" s="102">
        <v>1.8E-3</v>
      </c>
      <c r="N34" s="104">
        <v>2.3999999999999998E-3</v>
      </c>
      <c r="O34" s="101">
        <f t="shared" si="1"/>
        <v>1.1999999999999997E-3</v>
      </c>
      <c r="P34" s="102">
        <v>0</v>
      </c>
      <c r="Q34" s="102">
        <f t="shared" si="0"/>
        <v>3.5999999999999999E-3</v>
      </c>
      <c r="R34" s="98">
        <v>56</v>
      </c>
      <c r="S34" s="98">
        <v>5000</v>
      </c>
      <c r="T34" s="98"/>
      <c r="U34" s="98"/>
      <c r="V34" s="103"/>
      <c r="W34" s="98"/>
      <c r="X34" s="98" t="s">
        <v>391</v>
      </c>
      <c r="Y34" s="98" t="s">
        <v>392</v>
      </c>
      <c r="Z34" s="98" t="s">
        <v>393</v>
      </c>
      <c r="AA34" s="102">
        <v>1.8E-3</v>
      </c>
      <c r="AB34" s="98" t="s">
        <v>394</v>
      </c>
      <c r="AC34" s="98" t="s">
        <v>395</v>
      </c>
      <c r="AD34" s="100">
        <v>2.5000000000000001E-3</v>
      </c>
      <c r="AE34" s="98" t="s">
        <v>396</v>
      </c>
      <c r="AF34" s="98" t="s">
        <v>397</v>
      </c>
      <c r="AG34" s="100" t="s">
        <v>154</v>
      </c>
    </row>
    <row r="35" spans="1:33" ht="29.4" customHeight="1">
      <c r="A35" s="97">
        <v>46</v>
      </c>
      <c r="B35" s="98" t="s">
        <v>71</v>
      </c>
      <c r="C35" s="98" t="s">
        <v>398</v>
      </c>
      <c r="D35" s="98" t="s">
        <v>399</v>
      </c>
      <c r="E35" s="98" t="s">
        <v>105</v>
      </c>
      <c r="F35" s="98" t="s">
        <v>144</v>
      </c>
      <c r="G35" s="98">
        <v>1</v>
      </c>
      <c r="H35" s="99" t="s">
        <v>400</v>
      </c>
      <c r="I35" s="98" t="s">
        <v>401</v>
      </c>
      <c r="J35" s="98" t="s">
        <v>302</v>
      </c>
      <c r="K35" s="98" t="s">
        <v>234</v>
      </c>
      <c r="L35" s="98" t="s">
        <v>235</v>
      </c>
      <c r="M35" s="102">
        <v>1.8E-3</v>
      </c>
      <c r="N35" s="104">
        <v>2.3999999999999998E-3</v>
      </c>
      <c r="O35" s="101">
        <f t="shared" si="1"/>
        <v>5.9999999999999984E-4</v>
      </c>
      <c r="P35" s="102">
        <v>0</v>
      </c>
      <c r="Q35" s="102">
        <f t="shared" si="0"/>
        <v>1.8E-3</v>
      </c>
      <c r="R35" s="98">
        <v>56</v>
      </c>
      <c r="S35" s="98">
        <v>5000</v>
      </c>
      <c r="T35" s="98"/>
      <c r="U35" s="98"/>
      <c r="V35" s="103"/>
      <c r="W35" s="98"/>
      <c r="X35" s="98" t="s">
        <v>402</v>
      </c>
      <c r="Y35" s="98" t="s">
        <v>403</v>
      </c>
      <c r="Z35" s="98" t="s">
        <v>404</v>
      </c>
      <c r="AA35" s="102">
        <v>1.8E-3</v>
      </c>
      <c r="AB35" s="98" t="s">
        <v>405</v>
      </c>
      <c r="AC35" s="98" t="s">
        <v>406</v>
      </c>
      <c r="AD35" s="100">
        <v>2.5999999999999999E-3</v>
      </c>
      <c r="AE35" s="98" t="s">
        <v>407</v>
      </c>
      <c r="AF35" s="98" t="s">
        <v>408</v>
      </c>
      <c r="AG35" s="100" t="s">
        <v>154</v>
      </c>
    </row>
    <row r="36" spans="1:33" ht="29.4" customHeight="1">
      <c r="A36" s="97">
        <v>47</v>
      </c>
      <c r="B36" s="98" t="s">
        <v>71</v>
      </c>
      <c r="C36" s="98" t="s">
        <v>409</v>
      </c>
      <c r="D36" s="98" t="s">
        <v>410</v>
      </c>
      <c r="E36" s="98" t="s">
        <v>105</v>
      </c>
      <c r="F36" s="98" t="s">
        <v>144</v>
      </c>
      <c r="G36" s="98">
        <v>2</v>
      </c>
      <c r="H36" s="99" t="s">
        <v>411</v>
      </c>
      <c r="I36" s="98" t="s">
        <v>412</v>
      </c>
      <c r="J36" s="98" t="s">
        <v>302</v>
      </c>
      <c r="K36" s="98" t="s">
        <v>234</v>
      </c>
      <c r="L36" s="98" t="s">
        <v>235</v>
      </c>
      <c r="M36" s="102">
        <v>1.8E-3</v>
      </c>
      <c r="N36" s="104">
        <v>2.3999999999999998E-3</v>
      </c>
      <c r="O36" s="101">
        <f t="shared" si="1"/>
        <v>1.1999999999999997E-3</v>
      </c>
      <c r="P36" s="102">
        <v>0</v>
      </c>
      <c r="Q36" s="102">
        <f t="shared" si="0"/>
        <v>3.5999999999999999E-3</v>
      </c>
      <c r="R36" s="98">
        <v>56</v>
      </c>
      <c r="S36" s="98">
        <v>5000</v>
      </c>
      <c r="T36" s="98"/>
      <c r="U36" s="98"/>
      <c r="V36" s="103"/>
      <c r="W36" s="98"/>
      <c r="X36" s="98" t="s">
        <v>413</v>
      </c>
      <c r="Y36" s="98" t="s">
        <v>414</v>
      </c>
      <c r="Z36" s="98" t="s">
        <v>415</v>
      </c>
      <c r="AA36" s="102">
        <v>1.8E-3</v>
      </c>
      <c r="AB36" s="98" t="s">
        <v>416</v>
      </c>
      <c r="AC36" s="98" t="s">
        <v>417</v>
      </c>
      <c r="AD36" s="100">
        <v>2.5999999999999999E-3</v>
      </c>
      <c r="AE36" s="98" t="s">
        <v>418</v>
      </c>
      <c r="AF36" s="98" t="s">
        <v>419</v>
      </c>
      <c r="AG36" s="100" t="s">
        <v>154</v>
      </c>
    </row>
    <row r="37" spans="1:33" ht="29.4" customHeight="1">
      <c r="A37" s="97">
        <v>48</v>
      </c>
      <c r="B37" s="98" t="s">
        <v>71</v>
      </c>
      <c r="C37" s="98" t="s">
        <v>420</v>
      </c>
      <c r="D37" s="98" t="s">
        <v>421</v>
      </c>
      <c r="E37" s="98" t="s">
        <v>105</v>
      </c>
      <c r="F37" s="98" t="s">
        <v>144</v>
      </c>
      <c r="G37" s="98">
        <v>1</v>
      </c>
      <c r="H37" s="99" t="s">
        <v>422</v>
      </c>
      <c r="I37" s="98" t="s">
        <v>423</v>
      </c>
      <c r="J37" s="98" t="s">
        <v>218</v>
      </c>
      <c r="K37" s="98" t="s">
        <v>219</v>
      </c>
      <c r="L37" s="98" t="s">
        <v>185</v>
      </c>
      <c r="M37" s="102">
        <v>5.7999999999999996E-3</v>
      </c>
      <c r="N37" s="104"/>
      <c r="O37" s="101"/>
      <c r="P37" s="102">
        <v>0</v>
      </c>
      <c r="Q37" s="102">
        <f t="shared" si="0"/>
        <v>5.7999999999999996E-3</v>
      </c>
      <c r="R37" s="98">
        <v>49</v>
      </c>
      <c r="S37" s="98">
        <v>1</v>
      </c>
      <c r="T37" s="98"/>
      <c r="U37" s="98"/>
      <c r="V37" s="103"/>
      <c r="W37" s="98"/>
      <c r="X37" s="98" t="s">
        <v>424</v>
      </c>
      <c r="Y37" s="98" t="s">
        <v>425</v>
      </c>
      <c r="Z37" s="98" t="s">
        <v>426</v>
      </c>
      <c r="AA37" s="105">
        <v>6.8999999999999999E-3</v>
      </c>
      <c r="AB37" s="98" t="s">
        <v>427</v>
      </c>
      <c r="AC37" s="98" t="s">
        <v>428</v>
      </c>
      <c r="AD37" s="100">
        <v>8.0000000000000002E-3</v>
      </c>
      <c r="AE37" s="98" t="s">
        <v>429</v>
      </c>
      <c r="AF37" s="98" t="s">
        <v>430</v>
      </c>
      <c r="AG37" s="100" t="s">
        <v>154</v>
      </c>
    </row>
    <row r="38" spans="1:33" ht="29.4" customHeight="1">
      <c r="A38" s="97">
        <v>49</v>
      </c>
      <c r="B38" s="98" t="s">
        <v>71</v>
      </c>
      <c r="C38" s="98" t="s">
        <v>431</v>
      </c>
      <c r="D38" s="98" t="s">
        <v>432</v>
      </c>
      <c r="E38" s="98" t="s">
        <v>105</v>
      </c>
      <c r="F38" s="98" t="s">
        <v>144</v>
      </c>
      <c r="G38" s="98">
        <v>1</v>
      </c>
      <c r="H38" s="99" t="s">
        <v>433</v>
      </c>
      <c r="I38" s="98" t="s">
        <v>434</v>
      </c>
      <c r="J38" s="98" t="s">
        <v>218</v>
      </c>
      <c r="K38" s="98" t="s">
        <v>219</v>
      </c>
      <c r="L38" s="98" t="s">
        <v>185</v>
      </c>
      <c r="M38" s="102">
        <v>1.8E-3</v>
      </c>
      <c r="N38" s="104">
        <v>2.3999999999999998E-3</v>
      </c>
      <c r="O38" s="101">
        <f t="shared" si="1"/>
        <v>5.9999999999999984E-4</v>
      </c>
      <c r="P38" s="102">
        <v>0</v>
      </c>
      <c r="Q38" s="102">
        <f t="shared" si="0"/>
        <v>1.8E-3</v>
      </c>
      <c r="R38" s="98">
        <v>84</v>
      </c>
      <c r="S38" s="98">
        <v>5000</v>
      </c>
      <c r="T38" s="98"/>
      <c r="U38" s="98"/>
      <c r="V38" s="103"/>
      <c r="W38" s="98"/>
      <c r="X38" s="98" t="s">
        <v>435</v>
      </c>
      <c r="Y38" s="98" t="s">
        <v>436</v>
      </c>
      <c r="Z38" s="98" t="s">
        <v>437</v>
      </c>
      <c r="AA38" s="102">
        <v>1.8E-3</v>
      </c>
      <c r="AB38" s="98" t="s">
        <v>438</v>
      </c>
      <c r="AC38" s="98" t="s">
        <v>439</v>
      </c>
      <c r="AD38" s="102">
        <v>2.5000000000000001E-3</v>
      </c>
      <c r="AE38" s="98" t="s">
        <v>440</v>
      </c>
      <c r="AF38" s="98" t="s">
        <v>441</v>
      </c>
      <c r="AG38" s="100" t="s">
        <v>154</v>
      </c>
    </row>
    <row r="39" spans="1:33" ht="29.4" customHeight="1">
      <c r="A39" s="97">
        <v>50</v>
      </c>
      <c r="B39" s="98" t="s">
        <v>71</v>
      </c>
      <c r="C39" s="98" t="s">
        <v>442</v>
      </c>
      <c r="D39" s="98" t="s">
        <v>443</v>
      </c>
      <c r="E39" s="98" t="s">
        <v>105</v>
      </c>
      <c r="F39" s="98" t="s">
        <v>144</v>
      </c>
      <c r="G39" s="98">
        <v>2</v>
      </c>
      <c r="H39" s="99" t="s">
        <v>444</v>
      </c>
      <c r="I39" s="98" t="s">
        <v>445</v>
      </c>
      <c r="J39" s="98" t="s">
        <v>218</v>
      </c>
      <c r="K39" s="98" t="s">
        <v>234</v>
      </c>
      <c r="L39" s="98" t="s">
        <v>235</v>
      </c>
      <c r="M39" s="100">
        <v>4.3E-3</v>
      </c>
      <c r="N39" s="101">
        <v>5.7000000000000002E-3</v>
      </c>
      <c r="O39" s="101">
        <f t="shared" si="1"/>
        <v>2.8000000000000004E-3</v>
      </c>
      <c r="P39" s="102">
        <v>0</v>
      </c>
      <c r="Q39" s="102">
        <f t="shared" si="0"/>
        <v>8.6E-3</v>
      </c>
      <c r="R39" s="98">
        <v>56</v>
      </c>
      <c r="S39" s="98">
        <v>5000</v>
      </c>
      <c r="T39" s="98">
        <v>5000</v>
      </c>
      <c r="U39" s="98"/>
      <c r="V39" s="103"/>
      <c r="W39" s="98"/>
      <c r="X39" s="98" t="s">
        <v>446</v>
      </c>
      <c r="Y39" s="98" t="s">
        <v>447</v>
      </c>
      <c r="Z39" s="98" t="s">
        <v>448</v>
      </c>
      <c r="AA39" s="102">
        <v>4.3E-3</v>
      </c>
      <c r="AB39" s="98" t="s">
        <v>449</v>
      </c>
      <c r="AC39" s="98" t="s">
        <v>450</v>
      </c>
      <c r="AD39" s="100">
        <v>7.4999999999999997E-3</v>
      </c>
      <c r="AE39" s="98" t="s">
        <v>451</v>
      </c>
      <c r="AF39" s="98" t="s">
        <v>452</v>
      </c>
      <c r="AG39" s="100" t="s">
        <v>154</v>
      </c>
    </row>
    <row r="40" spans="1:33" ht="29.4" customHeight="1">
      <c r="A40" s="97">
        <v>51</v>
      </c>
      <c r="B40" s="98" t="s">
        <v>71</v>
      </c>
      <c r="C40" s="98" t="s">
        <v>453</v>
      </c>
      <c r="D40" s="98" t="s">
        <v>454</v>
      </c>
      <c r="E40" s="98" t="s">
        <v>105</v>
      </c>
      <c r="F40" s="98" t="s">
        <v>144</v>
      </c>
      <c r="G40" s="98">
        <v>4</v>
      </c>
      <c r="H40" s="99" t="s">
        <v>455</v>
      </c>
      <c r="I40" s="98" t="s">
        <v>456</v>
      </c>
      <c r="J40" s="98" t="s">
        <v>218</v>
      </c>
      <c r="K40" s="98" t="s">
        <v>234</v>
      </c>
      <c r="L40" s="98" t="s">
        <v>235</v>
      </c>
      <c r="M40" s="102">
        <v>5.7000000000000002E-3</v>
      </c>
      <c r="N40" s="104">
        <v>7.4999999999999997E-3</v>
      </c>
      <c r="O40" s="101">
        <f t="shared" si="1"/>
        <v>7.1999999999999981E-3</v>
      </c>
      <c r="P40" s="102">
        <v>0</v>
      </c>
      <c r="Q40" s="102">
        <f t="shared" si="0"/>
        <v>2.2800000000000001E-2</v>
      </c>
      <c r="R40" s="98">
        <v>56</v>
      </c>
      <c r="S40" s="98">
        <v>5000</v>
      </c>
      <c r="T40" s="98"/>
      <c r="U40" s="98"/>
      <c r="V40" s="103"/>
      <c r="W40" s="98"/>
      <c r="X40" s="98" t="s">
        <v>457</v>
      </c>
      <c r="Y40" s="98" t="s">
        <v>458</v>
      </c>
      <c r="Z40" s="98" t="s">
        <v>459</v>
      </c>
      <c r="AA40" s="102">
        <v>5.7000000000000002E-3</v>
      </c>
      <c r="AB40" s="98" t="s">
        <v>460</v>
      </c>
      <c r="AC40" s="98" t="s">
        <v>461</v>
      </c>
      <c r="AD40" s="100">
        <v>7.4999999999999997E-3</v>
      </c>
      <c r="AE40" s="98" t="s">
        <v>462</v>
      </c>
      <c r="AF40" s="98" t="s">
        <v>463</v>
      </c>
      <c r="AG40" s="100" t="s">
        <v>154</v>
      </c>
    </row>
    <row r="41" spans="1:33" ht="29.4" customHeight="1">
      <c r="A41" s="97">
        <v>52</v>
      </c>
      <c r="B41" s="98" t="s">
        <v>71</v>
      </c>
      <c r="C41" s="98" t="s">
        <v>464</v>
      </c>
      <c r="D41" s="98" t="s">
        <v>465</v>
      </c>
      <c r="E41" s="98" t="s">
        <v>105</v>
      </c>
      <c r="F41" s="98" t="s">
        <v>144</v>
      </c>
      <c r="G41" s="98">
        <v>10</v>
      </c>
      <c r="H41" s="99" t="s">
        <v>466</v>
      </c>
      <c r="I41" s="98" t="s">
        <v>467</v>
      </c>
      <c r="J41" s="98" t="s">
        <v>183</v>
      </c>
      <c r="K41" s="98" t="s">
        <v>184</v>
      </c>
      <c r="L41" s="98" t="s">
        <v>185</v>
      </c>
      <c r="M41" s="102">
        <v>5.7999999999999996E-3</v>
      </c>
      <c r="N41" s="104">
        <v>7.4999999999999997E-3</v>
      </c>
      <c r="O41" s="101">
        <f t="shared" si="1"/>
        <v>1.7000000000000001E-2</v>
      </c>
      <c r="P41" s="102">
        <v>0</v>
      </c>
      <c r="Q41" s="102">
        <f t="shared" si="0"/>
        <v>5.7999999999999996E-2</v>
      </c>
      <c r="R41" s="98">
        <v>56</v>
      </c>
      <c r="S41" s="98">
        <v>0</v>
      </c>
      <c r="T41" s="98">
        <v>5000</v>
      </c>
      <c r="U41" s="98"/>
      <c r="V41" s="103"/>
      <c r="W41" s="98"/>
      <c r="X41" s="98" t="s">
        <v>468</v>
      </c>
      <c r="Y41" s="98" t="s">
        <v>469</v>
      </c>
      <c r="Z41" s="98" t="s">
        <v>470</v>
      </c>
      <c r="AA41" s="105">
        <v>6.8999999999999999E-3</v>
      </c>
      <c r="AB41" s="98" t="s">
        <v>471</v>
      </c>
      <c r="AC41" s="98" t="s">
        <v>472</v>
      </c>
      <c r="AD41" s="100">
        <v>8.0000000000000002E-3</v>
      </c>
      <c r="AE41" s="98" t="s">
        <v>473</v>
      </c>
      <c r="AF41" s="98" t="s">
        <v>474</v>
      </c>
      <c r="AG41" s="100" t="s">
        <v>154</v>
      </c>
    </row>
    <row r="42" spans="1:33" ht="29.4" customHeight="1">
      <c r="A42" s="97">
        <v>53</v>
      </c>
      <c r="B42" s="98" t="s">
        <v>71</v>
      </c>
      <c r="C42" s="98" t="s">
        <v>475</v>
      </c>
      <c r="D42" s="98" t="s">
        <v>476</v>
      </c>
      <c r="E42" s="98" t="s">
        <v>105</v>
      </c>
      <c r="F42" s="98" t="s">
        <v>144</v>
      </c>
      <c r="G42" s="98">
        <v>9</v>
      </c>
      <c r="H42" s="99" t="s">
        <v>477</v>
      </c>
      <c r="I42" s="98" t="s">
        <v>478</v>
      </c>
      <c r="J42" s="98" t="s">
        <v>218</v>
      </c>
      <c r="K42" s="98" t="s">
        <v>219</v>
      </c>
      <c r="L42" s="98" t="s">
        <v>185</v>
      </c>
      <c r="M42" s="102">
        <v>5.7999999999999996E-3</v>
      </c>
      <c r="N42" s="104">
        <v>7.4999999999999997E-3</v>
      </c>
      <c r="O42" s="101">
        <f t="shared" si="1"/>
        <v>1.5300000000000001E-2</v>
      </c>
      <c r="P42" s="102">
        <v>0</v>
      </c>
      <c r="Q42" s="102">
        <f t="shared" si="0"/>
        <v>5.2199999999999996E-2</v>
      </c>
      <c r="R42" s="98">
        <v>49</v>
      </c>
      <c r="S42" s="98">
        <v>1</v>
      </c>
      <c r="T42" s="98"/>
      <c r="U42" s="98"/>
      <c r="V42" s="103"/>
      <c r="W42" s="98"/>
      <c r="X42" s="98" t="s">
        <v>479</v>
      </c>
      <c r="Y42" s="98" t="s">
        <v>480</v>
      </c>
      <c r="Z42" s="98" t="s">
        <v>481</v>
      </c>
      <c r="AA42" s="105">
        <v>6.8999999999999999E-3</v>
      </c>
      <c r="AB42" s="98" t="s">
        <v>482</v>
      </c>
      <c r="AC42" s="98" t="s">
        <v>483</v>
      </c>
      <c r="AD42" s="100">
        <v>8.0000000000000002E-3</v>
      </c>
      <c r="AE42" s="98" t="s">
        <v>484</v>
      </c>
      <c r="AF42" s="98" t="s">
        <v>485</v>
      </c>
      <c r="AG42" s="100" t="s">
        <v>154</v>
      </c>
    </row>
    <row r="43" spans="1:33" ht="29.4" customHeight="1">
      <c r="A43" s="97">
        <v>54</v>
      </c>
      <c r="B43" s="98" t="s">
        <v>71</v>
      </c>
      <c r="C43" s="98" t="s">
        <v>486</v>
      </c>
      <c r="D43" s="98" t="s">
        <v>487</v>
      </c>
      <c r="E43" s="98" t="s">
        <v>105</v>
      </c>
      <c r="F43" s="98" t="s">
        <v>144</v>
      </c>
      <c r="G43" s="98">
        <v>6</v>
      </c>
      <c r="H43" s="99" t="s">
        <v>488</v>
      </c>
      <c r="I43" s="98" t="s">
        <v>489</v>
      </c>
      <c r="J43" s="98" t="s">
        <v>183</v>
      </c>
      <c r="K43" s="98" t="s">
        <v>184</v>
      </c>
      <c r="L43" s="98" t="s">
        <v>185</v>
      </c>
      <c r="M43" s="102">
        <v>5.7999999999999996E-3</v>
      </c>
      <c r="N43" s="104">
        <v>7.4999999999999997E-3</v>
      </c>
      <c r="O43" s="101">
        <f t="shared" si="1"/>
        <v>1.0200000000000001E-2</v>
      </c>
      <c r="P43" s="102">
        <v>0</v>
      </c>
      <c r="Q43" s="102">
        <f t="shared" si="0"/>
        <v>3.4799999999999998E-2</v>
      </c>
      <c r="R43" s="98">
        <v>56</v>
      </c>
      <c r="S43" s="98">
        <v>0</v>
      </c>
      <c r="T43" s="98">
        <v>5000</v>
      </c>
      <c r="U43" s="98"/>
      <c r="V43" s="103"/>
      <c r="W43" s="98"/>
      <c r="X43" s="98" t="s">
        <v>490</v>
      </c>
      <c r="Y43" s="98" t="s">
        <v>491</v>
      </c>
      <c r="Z43" s="98" t="s">
        <v>492</v>
      </c>
      <c r="AA43" s="105">
        <v>7.1999999999999998E-3</v>
      </c>
      <c r="AB43" s="98" t="s">
        <v>493</v>
      </c>
      <c r="AC43" s="98" t="s">
        <v>494</v>
      </c>
      <c r="AD43" s="100">
        <v>2.7900000000000001E-2</v>
      </c>
      <c r="AE43" s="98" t="s">
        <v>495</v>
      </c>
      <c r="AF43" s="98" t="s">
        <v>496</v>
      </c>
      <c r="AG43" s="100" t="s">
        <v>154</v>
      </c>
    </row>
    <row r="44" spans="1:33" ht="29.4" customHeight="1">
      <c r="A44" s="97">
        <v>55</v>
      </c>
      <c r="B44" s="98" t="s">
        <v>71</v>
      </c>
      <c r="C44" s="98" t="s">
        <v>497</v>
      </c>
      <c r="D44" s="98" t="s">
        <v>498</v>
      </c>
      <c r="E44" s="98" t="s">
        <v>105</v>
      </c>
      <c r="F44" s="98" t="s">
        <v>144</v>
      </c>
      <c r="G44" s="98">
        <v>13</v>
      </c>
      <c r="H44" s="99" t="s">
        <v>499</v>
      </c>
      <c r="I44" s="98" t="s">
        <v>500</v>
      </c>
      <c r="J44" s="98" t="s">
        <v>218</v>
      </c>
      <c r="K44" s="98" t="s">
        <v>219</v>
      </c>
      <c r="L44" s="98" t="s">
        <v>185</v>
      </c>
      <c r="M44" s="102">
        <v>1.8E-3</v>
      </c>
      <c r="N44" s="104">
        <v>2.3999999999999998E-3</v>
      </c>
      <c r="O44" s="101">
        <f t="shared" si="1"/>
        <v>7.7999999999999979E-3</v>
      </c>
      <c r="P44" s="102">
        <v>0</v>
      </c>
      <c r="Q44" s="102">
        <f t="shared" si="0"/>
        <v>2.3400000000000001E-2</v>
      </c>
      <c r="R44" s="98">
        <v>49</v>
      </c>
      <c r="S44" s="98">
        <v>1</v>
      </c>
      <c r="T44" s="98"/>
      <c r="U44" s="98"/>
      <c r="V44" s="103"/>
      <c r="W44" s="98"/>
      <c r="X44" s="98" t="s">
        <v>501</v>
      </c>
      <c r="Y44" s="98" t="s">
        <v>502</v>
      </c>
      <c r="Z44" s="98" t="s">
        <v>503</v>
      </c>
      <c r="AA44" s="105">
        <v>2.2000000000000001E-3</v>
      </c>
      <c r="AB44" s="98" t="s">
        <v>504</v>
      </c>
      <c r="AC44" s="98" t="s">
        <v>505</v>
      </c>
      <c r="AD44" s="100">
        <v>2.5999999999999999E-3</v>
      </c>
      <c r="AE44" s="98" t="s">
        <v>506</v>
      </c>
      <c r="AF44" s="98" t="s">
        <v>507</v>
      </c>
      <c r="AG44" s="100" t="s">
        <v>154</v>
      </c>
    </row>
    <row r="45" spans="1:33" ht="29.4" customHeight="1">
      <c r="A45" s="97">
        <v>56</v>
      </c>
      <c r="B45" s="98" t="s">
        <v>71</v>
      </c>
      <c r="C45" s="98" t="s">
        <v>508</v>
      </c>
      <c r="D45" s="98" t="s">
        <v>509</v>
      </c>
      <c r="E45" s="98" t="s">
        <v>105</v>
      </c>
      <c r="F45" s="98" t="s">
        <v>144</v>
      </c>
      <c r="G45" s="98">
        <v>1</v>
      </c>
      <c r="H45" s="99" t="s">
        <v>510</v>
      </c>
      <c r="I45" s="98" t="s">
        <v>511</v>
      </c>
      <c r="J45" s="98" t="s">
        <v>218</v>
      </c>
      <c r="K45" s="98" t="s">
        <v>219</v>
      </c>
      <c r="L45" s="98" t="s">
        <v>185</v>
      </c>
      <c r="M45" s="102">
        <v>1.8E-3</v>
      </c>
      <c r="N45" s="104">
        <v>2.3999999999999998E-3</v>
      </c>
      <c r="O45" s="101">
        <f t="shared" si="1"/>
        <v>5.9999999999999984E-4</v>
      </c>
      <c r="P45" s="102">
        <v>0</v>
      </c>
      <c r="Q45" s="102">
        <f t="shared" si="0"/>
        <v>1.8E-3</v>
      </c>
      <c r="R45" s="98">
        <v>42</v>
      </c>
      <c r="S45" s="98">
        <v>1</v>
      </c>
      <c r="T45" s="98"/>
      <c r="U45" s="98"/>
      <c r="V45" s="103"/>
      <c r="W45" s="98"/>
      <c r="X45" s="98" t="s">
        <v>512</v>
      </c>
      <c r="Y45" s="98" t="s">
        <v>513</v>
      </c>
      <c r="Z45" s="98" t="s">
        <v>514</v>
      </c>
      <c r="AA45" s="100">
        <v>2.2000000000000001E-3</v>
      </c>
      <c r="AB45" s="98" t="s">
        <v>515</v>
      </c>
      <c r="AC45" s="98" t="s">
        <v>516</v>
      </c>
      <c r="AD45" s="102">
        <v>2.5999999999999999E-3</v>
      </c>
      <c r="AE45" s="98" t="s">
        <v>517</v>
      </c>
      <c r="AF45" s="98" t="s">
        <v>518</v>
      </c>
      <c r="AG45" s="100" t="s">
        <v>154</v>
      </c>
    </row>
    <row r="46" spans="1:33" ht="29.4" customHeight="1">
      <c r="A46" s="97">
        <v>57</v>
      </c>
      <c r="B46" s="98" t="s">
        <v>71</v>
      </c>
      <c r="C46" s="98" t="s">
        <v>519</v>
      </c>
      <c r="D46" s="98" t="s">
        <v>520</v>
      </c>
      <c r="E46" s="98" t="s">
        <v>105</v>
      </c>
      <c r="F46" s="98" t="s">
        <v>144</v>
      </c>
      <c r="G46" s="98">
        <v>2</v>
      </c>
      <c r="H46" s="99" t="s">
        <v>521</v>
      </c>
      <c r="I46" s="98" t="s">
        <v>522</v>
      </c>
      <c r="J46" s="98" t="s">
        <v>183</v>
      </c>
      <c r="K46" s="98" t="s">
        <v>184</v>
      </c>
      <c r="L46" s="98" t="s">
        <v>185</v>
      </c>
      <c r="M46" s="102">
        <v>1.8E-3</v>
      </c>
      <c r="N46" s="104">
        <v>2.3999999999999998E-3</v>
      </c>
      <c r="O46" s="101">
        <f t="shared" si="1"/>
        <v>1.1999999999999997E-3</v>
      </c>
      <c r="P46" s="102">
        <v>0</v>
      </c>
      <c r="Q46" s="102">
        <f t="shared" si="0"/>
        <v>3.5999999999999999E-3</v>
      </c>
      <c r="R46" s="98">
        <v>56</v>
      </c>
      <c r="S46" s="98">
        <v>0</v>
      </c>
      <c r="T46" s="98">
        <v>5000</v>
      </c>
      <c r="U46" s="98"/>
      <c r="V46" s="103"/>
      <c r="W46" s="98"/>
      <c r="X46" s="98" t="s">
        <v>523</v>
      </c>
      <c r="Y46" s="98" t="s">
        <v>524</v>
      </c>
      <c r="Z46" s="98" t="s">
        <v>525</v>
      </c>
      <c r="AA46" s="100">
        <v>2.3E-3</v>
      </c>
      <c r="AB46" s="98" t="s">
        <v>526</v>
      </c>
      <c r="AC46" s="98" t="s">
        <v>527</v>
      </c>
      <c r="AD46" s="100">
        <v>2.5999999999999999E-3</v>
      </c>
      <c r="AE46" s="98" t="s">
        <v>528</v>
      </c>
      <c r="AF46" s="98" t="s">
        <v>529</v>
      </c>
      <c r="AG46" s="100" t="s">
        <v>154</v>
      </c>
    </row>
    <row r="47" spans="1:33" ht="29.4" customHeight="1">
      <c r="A47" s="97">
        <v>58</v>
      </c>
      <c r="B47" s="98" t="s">
        <v>71</v>
      </c>
      <c r="C47" s="98" t="s">
        <v>530</v>
      </c>
      <c r="D47" s="98" t="s">
        <v>531</v>
      </c>
      <c r="E47" s="98" t="s">
        <v>105</v>
      </c>
      <c r="F47" s="98" t="s">
        <v>144</v>
      </c>
      <c r="G47" s="98">
        <v>3</v>
      </c>
      <c r="H47" s="99" t="s">
        <v>532</v>
      </c>
      <c r="I47" s="98" t="s">
        <v>533</v>
      </c>
      <c r="J47" s="98" t="s">
        <v>302</v>
      </c>
      <c r="K47" s="98" t="s">
        <v>234</v>
      </c>
      <c r="L47" s="98" t="s">
        <v>235</v>
      </c>
      <c r="M47" s="102">
        <v>1.8E-3</v>
      </c>
      <c r="N47" s="104">
        <v>2.3999999999999998E-3</v>
      </c>
      <c r="O47" s="101">
        <f t="shared" si="1"/>
        <v>1.7999999999999995E-3</v>
      </c>
      <c r="P47" s="102">
        <v>0</v>
      </c>
      <c r="Q47" s="102">
        <f t="shared" si="0"/>
        <v>5.4000000000000003E-3</v>
      </c>
      <c r="R47" s="98">
        <v>56</v>
      </c>
      <c r="S47" s="98">
        <v>1</v>
      </c>
      <c r="T47" s="98"/>
      <c r="U47" s="98"/>
      <c r="V47" s="103"/>
      <c r="W47" s="98"/>
      <c r="X47" s="98" t="s">
        <v>534</v>
      </c>
      <c r="Y47" s="98" t="s">
        <v>535</v>
      </c>
      <c r="Z47" s="98" t="s">
        <v>536</v>
      </c>
      <c r="AA47" s="102">
        <v>2E-3</v>
      </c>
      <c r="AB47" s="98" t="s">
        <v>537</v>
      </c>
      <c r="AC47" s="98" t="s">
        <v>538</v>
      </c>
      <c r="AD47" s="102">
        <v>2.5999999999999999E-3</v>
      </c>
      <c r="AE47" s="98"/>
      <c r="AF47" s="98"/>
      <c r="AG47" s="102"/>
    </row>
    <row r="48" spans="1:33" ht="29.4" customHeight="1">
      <c r="A48" s="97">
        <v>59</v>
      </c>
      <c r="B48" s="98" t="s">
        <v>71</v>
      </c>
      <c r="C48" s="98" t="s">
        <v>539</v>
      </c>
      <c r="D48" s="98" t="s">
        <v>540</v>
      </c>
      <c r="E48" s="98" t="s">
        <v>105</v>
      </c>
      <c r="F48" s="98" t="s">
        <v>144</v>
      </c>
      <c r="G48" s="98">
        <v>3</v>
      </c>
      <c r="H48" s="99" t="s">
        <v>541</v>
      </c>
      <c r="I48" s="98" t="s">
        <v>542</v>
      </c>
      <c r="J48" s="98" t="s">
        <v>543</v>
      </c>
      <c r="K48" s="98" t="s">
        <v>184</v>
      </c>
      <c r="L48" s="98" t="s">
        <v>185</v>
      </c>
      <c r="M48" s="102">
        <v>6.4999999999999997E-3</v>
      </c>
      <c r="N48" s="104">
        <v>7.4999999999999997E-3</v>
      </c>
      <c r="O48" s="101">
        <f t="shared" si="1"/>
        <v>3.0000000000000001E-3</v>
      </c>
      <c r="P48" s="102">
        <v>0</v>
      </c>
      <c r="Q48" s="102">
        <f t="shared" si="0"/>
        <v>1.95E-2</v>
      </c>
      <c r="R48" s="98">
        <v>42</v>
      </c>
      <c r="S48" s="98">
        <v>5000</v>
      </c>
      <c r="T48" s="98">
        <v>5000</v>
      </c>
      <c r="U48" s="98"/>
      <c r="V48" s="103"/>
      <c r="W48" s="98"/>
      <c r="X48" s="98" t="s">
        <v>544</v>
      </c>
      <c r="Y48" s="98" t="s">
        <v>545</v>
      </c>
      <c r="Z48" s="98" t="s">
        <v>546</v>
      </c>
      <c r="AA48" s="100">
        <v>7.1999999999999998E-3</v>
      </c>
      <c r="AB48" s="98" t="s">
        <v>547</v>
      </c>
      <c r="AC48" s="98" t="s">
        <v>548</v>
      </c>
      <c r="AD48" s="102">
        <v>7.6E-3</v>
      </c>
      <c r="AE48" s="98"/>
      <c r="AF48" s="98"/>
      <c r="AG48" s="102"/>
    </row>
    <row r="49" spans="1:33" ht="29.4" customHeight="1">
      <c r="A49" s="97">
        <v>60</v>
      </c>
      <c r="B49" s="98" t="s">
        <v>71</v>
      </c>
      <c r="C49" s="98" t="s">
        <v>549</v>
      </c>
      <c r="D49" s="98" t="s">
        <v>550</v>
      </c>
      <c r="E49" s="98" t="s">
        <v>105</v>
      </c>
      <c r="F49" s="98" t="s">
        <v>144</v>
      </c>
      <c r="G49" s="98">
        <v>2</v>
      </c>
      <c r="H49" s="99" t="s">
        <v>551</v>
      </c>
      <c r="I49" s="98" t="s">
        <v>552</v>
      </c>
      <c r="J49" s="98" t="s">
        <v>543</v>
      </c>
      <c r="K49" s="98" t="s">
        <v>184</v>
      </c>
      <c r="L49" s="98" t="s">
        <v>185</v>
      </c>
      <c r="M49" s="100">
        <v>2E-3</v>
      </c>
      <c r="N49" s="101">
        <v>2.3999999999999998E-3</v>
      </c>
      <c r="O49" s="101">
        <f t="shared" si="1"/>
        <v>7.999999999999995E-4</v>
      </c>
      <c r="P49" s="102">
        <v>0</v>
      </c>
      <c r="Q49" s="102">
        <f t="shared" si="0"/>
        <v>4.0000000000000001E-3</v>
      </c>
      <c r="R49" s="98">
        <v>42</v>
      </c>
      <c r="S49" s="98">
        <v>5000</v>
      </c>
      <c r="T49" s="98">
        <v>5000</v>
      </c>
      <c r="U49" s="98"/>
      <c r="V49" s="103"/>
      <c r="W49" s="98"/>
      <c r="X49" s="98" t="s">
        <v>553</v>
      </c>
      <c r="Y49" s="98" t="s">
        <v>554</v>
      </c>
      <c r="Z49" s="98" t="s">
        <v>555</v>
      </c>
      <c r="AA49" s="100">
        <v>2.2000000000000001E-3</v>
      </c>
      <c r="AB49" s="98" t="s">
        <v>556</v>
      </c>
      <c r="AC49" s="98" t="s">
        <v>557</v>
      </c>
      <c r="AD49" s="100">
        <v>2.5000000000000001E-3</v>
      </c>
      <c r="AE49" s="98"/>
      <c r="AF49" s="98"/>
      <c r="AG49" s="102"/>
    </row>
    <row r="50" spans="1:33" ht="29.4" customHeight="1">
      <c r="A50" s="97">
        <v>61</v>
      </c>
      <c r="B50" s="98" t="s">
        <v>71</v>
      </c>
      <c r="C50" s="98" t="s">
        <v>558</v>
      </c>
      <c r="D50" s="98" t="s">
        <v>559</v>
      </c>
      <c r="E50" s="98" t="s">
        <v>105</v>
      </c>
      <c r="F50" s="98" t="s">
        <v>157</v>
      </c>
      <c r="G50" s="98">
        <v>2</v>
      </c>
      <c r="H50" s="98" t="s">
        <v>558</v>
      </c>
      <c r="I50" s="98" t="s">
        <v>559</v>
      </c>
      <c r="J50" s="98" t="s">
        <v>543</v>
      </c>
      <c r="K50" s="98" t="s">
        <v>148</v>
      </c>
      <c r="L50" s="98" t="s">
        <v>149</v>
      </c>
      <c r="M50" s="102">
        <v>0.28599999999999998</v>
      </c>
      <c r="N50" s="104">
        <v>0.34320000000000001</v>
      </c>
      <c r="O50" s="101">
        <f t="shared" si="1"/>
        <v>0.11440000000000006</v>
      </c>
      <c r="P50" s="102">
        <v>0</v>
      </c>
      <c r="Q50" s="102">
        <f t="shared" si="0"/>
        <v>0.57199999999999995</v>
      </c>
      <c r="R50" s="98">
        <v>84</v>
      </c>
      <c r="S50" s="98">
        <v>1200</v>
      </c>
      <c r="T50" s="98">
        <v>300</v>
      </c>
      <c r="U50" s="98"/>
      <c r="V50" s="103"/>
      <c r="W50" s="98"/>
      <c r="X50" s="98" t="s">
        <v>560</v>
      </c>
      <c r="Y50" s="98"/>
      <c r="Z50" s="98"/>
      <c r="AA50" s="102"/>
      <c r="AB50" s="98"/>
      <c r="AC50" s="98"/>
      <c r="AD50" s="102"/>
      <c r="AE50" s="98"/>
      <c r="AF50" s="98"/>
      <c r="AG50" s="102"/>
    </row>
    <row r="51" spans="1:33" ht="29.4" customHeight="1">
      <c r="A51" s="97">
        <v>62</v>
      </c>
      <c r="B51" s="98" t="s">
        <v>71</v>
      </c>
      <c r="C51" s="98" t="s">
        <v>561</v>
      </c>
      <c r="D51" s="98" t="s">
        <v>562</v>
      </c>
      <c r="E51" s="98" t="s">
        <v>105</v>
      </c>
      <c r="F51" s="98" t="s">
        <v>157</v>
      </c>
      <c r="G51" s="98">
        <v>3</v>
      </c>
      <c r="H51" s="98" t="s">
        <v>561</v>
      </c>
      <c r="I51" s="98" t="s">
        <v>562</v>
      </c>
      <c r="J51" s="98" t="s">
        <v>205</v>
      </c>
      <c r="K51" s="98" t="s">
        <v>148</v>
      </c>
      <c r="L51" s="98" t="s">
        <v>149</v>
      </c>
      <c r="M51" s="102">
        <v>0.4425</v>
      </c>
      <c r="N51" s="104">
        <v>0.50690000000000002</v>
      </c>
      <c r="O51" s="101">
        <f t="shared" si="1"/>
        <v>0.19320000000000004</v>
      </c>
      <c r="P51" s="102">
        <v>0</v>
      </c>
      <c r="Q51" s="102">
        <f t="shared" si="0"/>
        <v>1.3275000000000001</v>
      </c>
      <c r="R51" s="98">
        <v>70</v>
      </c>
      <c r="S51" s="98">
        <v>2000</v>
      </c>
      <c r="T51" s="98">
        <v>400</v>
      </c>
      <c r="U51" s="98"/>
      <c r="V51" s="103"/>
      <c r="W51" s="98"/>
      <c r="X51" s="98" t="s">
        <v>563</v>
      </c>
      <c r="Y51" s="98"/>
      <c r="Z51" s="98"/>
      <c r="AA51" s="102"/>
      <c r="AB51" s="98"/>
      <c r="AC51" s="98"/>
      <c r="AD51" s="102"/>
      <c r="AE51" s="98"/>
      <c r="AF51" s="98"/>
      <c r="AG51" s="102"/>
    </row>
    <row r="52" spans="1:33" ht="29.4" customHeight="1">
      <c r="A52" s="97">
        <v>63</v>
      </c>
      <c r="B52" s="98" t="s">
        <v>71</v>
      </c>
      <c r="C52" s="98" t="s">
        <v>564</v>
      </c>
      <c r="D52" s="98" t="s">
        <v>565</v>
      </c>
      <c r="E52" s="98" t="s">
        <v>105</v>
      </c>
      <c r="F52" s="98" t="s">
        <v>157</v>
      </c>
      <c r="G52" s="98">
        <v>1</v>
      </c>
      <c r="H52" s="98" t="s">
        <v>564</v>
      </c>
      <c r="I52" s="98" t="s">
        <v>565</v>
      </c>
      <c r="J52" s="98" t="s">
        <v>205</v>
      </c>
      <c r="K52" s="98" t="s">
        <v>566</v>
      </c>
      <c r="L52" s="98" t="s">
        <v>567</v>
      </c>
      <c r="M52" s="102">
        <v>1.0619000000000001</v>
      </c>
      <c r="N52" s="104"/>
      <c r="O52" s="101"/>
      <c r="P52" s="102">
        <v>0</v>
      </c>
      <c r="Q52" s="102">
        <f t="shared" si="0"/>
        <v>1.0619000000000001</v>
      </c>
      <c r="R52" s="98">
        <v>42</v>
      </c>
      <c r="S52" s="98">
        <v>1</v>
      </c>
      <c r="T52" s="98">
        <v>1</v>
      </c>
      <c r="U52" s="98"/>
      <c r="V52" s="103"/>
      <c r="W52" s="98"/>
      <c r="X52" s="98" t="s">
        <v>568</v>
      </c>
      <c r="Y52" s="98"/>
      <c r="Z52" s="98"/>
      <c r="AA52" s="102"/>
      <c r="AB52" s="98"/>
      <c r="AC52" s="98"/>
      <c r="AD52" s="102"/>
      <c r="AE52" s="98"/>
      <c r="AF52" s="98"/>
      <c r="AG52" s="102"/>
    </row>
    <row r="53" spans="1:33" ht="29.4" customHeight="1">
      <c r="A53" s="97">
        <v>64</v>
      </c>
      <c r="B53" s="98" t="s">
        <v>71</v>
      </c>
      <c r="C53" s="98" t="s">
        <v>569</v>
      </c>
      <c r="D53" s="98" t="s">
        <v>570</v>
      </c>
      <c r="E53" s="98" t="s">
        <v>105</v>
      </c>
      <c r="F53" s="98" t="s">
        <v>157</v>
      </c>
      <c r="G53" s="98">
        <v>1</v>
      </c>
      <c r="H53" s="98" t="s">
        <v>569</v>
      </c>
      <c r="I53" s="98" t="s">
        <v>570</v>
      </c>
      <c r="J53" s="98" t="s">
        <v>205</v>
      </c>
      <c r="K53" s="98" t="s">
        <v>566</v>
      </c>
      <c r="L53" s="98" t="s">
        <v>567</v>
      </c>
      <c r="M53" s="102">
        <v>2.1238999999999999</v>
      </c>
      <c r="N53" s="104"/>
      <c r="O53" s="101"/>
      <c r="P53" s="102">
        <v>0</v>
      </c>
      <c r="Q53" s="102">
        <f t="shared" si="0"/>
        <v>2.1238999999999999</v>
      </c>
      <c r="R53" s="98">
        <v>42</v>
      </c>
      <c r="S53" s="98">
        <v>1</v>
      </c>
      <c r="T53" s="98">
        <v>1</v>
      </c>
      <c r="U53" s="98"/>
      <c r="V53" s="103"/>
      <c r="W53" s="98"/>
      <c r="X53" s="98" t="s">
        <v>571</v>
      </c>
      <c r="Y53" s="98"/>
      <c r="Z53" s="98"/>
      <c r="AA53" s="102"/>
      <c r="AB53" s="98"/>
      <c r="AC53" s="98"/>
      <c r="AD53" s="102"/>
      <c r="AE53" s="98"/>
      <c r="AF53" s="98"/>
      <c r="AG53" s="102"/>
    </row>
    <row r="54" spans="1:33" ht="29.4" customHeight="1">
      <c r="A54" s="97">
        <v>65</v>
      </c>
      <c r="B54" s="98" t="s">
        <v>71</v>
      </c>
      <c r="C54" s="98" t="s">
        <v>572</v>
      </c>
      <c r="D54" s="98" t="s">
        <v>573</v>
      </c>
      <c r="E54" s="98" t="s">
        <v>105</v>
      </c>
      <c r="F54" s="98" t="s">
        <v>157</v>
      </c>
      <c r="G54" s="98">
        <v>1</v>
      </c>
      <c r="H54" s="98" t="s">
        <v>572</v>
      </c>
      <c r="I54" s="98" t="s">
        <v>573</v>
      </c>
      <c r="J54" s="98" t="s">
        <v>543</v>
      </c>
      <c r="K54" s="98" t="s">
        <v>574</v>
      </c>
      <c r="L54" s="98" t="s">
        <v>575</v>
      </c>
      <c r="M54" s="102">
        <v>9.1999999999999993</v>
      </c>
      <c r="N54" s="104"/>
      <c r="O54" s="101"/>
      <c r="P54" s="102">
        <v>0</v>
      </c>
      <c r="Q54" s="102">
        <f t="shared" si="0"/>
        <v>9.1999999999999993</v>
      </c>
      <c r="R54" s="98">
        <v>56</v>
      </c>
      <c r="S54" s="98">
        <v>2400</v>
      </c>
      <c r="T54" s="98"/>
      <c r="U54" s="98"/>
      <c r="V54" s="103"/>
      <c r="W54" s="98"/>
      <c r="X54" s="98" t="s">
        <v>576</v>
      </c>
      <c r="Y54" s="98"/>
      <c r="Z54" s="98"/>
      <c r="AA54" s="102"/>
      <c r="AB54" s="98"/>
      <c r="AC54" s="98"/>
      <c r="AD54" s="102"/>
      <c r="AE54" s="98"/>
      <c r="AF54" s="98"/>
      <c r="AG54" s="102"/>
    </row>
    <row r="55" spans="1:33" ht="29.4" customHeight="1">
      <c r="A55" s="97">
        <v>66</v>
      </c>
      <c r="B55" s="98" t="s">
        <v>71</v>
      </c>
      <c r="C55" s="98" t="s">
        <v>577</v>
      </c>
      <c r="D55" s="98" t="s">
        <v>578</v>
      </c>
      <c r="E55" s="98" t="s">
        <v>105</v>
      </c>
      <c r="F55" s="98" t="s">
        <v>157</v>
      </c>
      <c r="G55" s="98">
        <v>3</v>
      </c>
      <c r="H55" s="98" t="s">
        <v>577</v>
      </c>
      <c r="I55" s="98" t="s">
        <v>578</v>
      </c>
      <c r="J55" s="98" t="s">
        <v>205</v>
      </c>
      <c r="K55" s="98" t="s">
        <v>579</v>
      </c>
      <c r="L55" s="98" t="s">
        <v>580</v>
      </c>
      <c r="M55" s="102">
        <v>1.2</v>
      </c>
      <c r="N55" s="104"/>
      <c r="O55" s="101"/>
      <c r="P55" s="102">
        <v>0</v>
      </c>
      <c r="Q55" s="102">
        <f t="shared" si="0"/>
        <v>3.5999999999999996</v>
      </c>
      <c r="R55" s="98">
        <v>30</v>
      </c>
      <c r="S55" s="98">
        <v>1</v>
      </c>
      <c r="T55" s="98">
        <v>1</v>
      </c>
      <c r="U55" s="98"/>
      <c r="V55" s="103"/>
      <c r="W55" s="98"/>
      <c r="X55" s="98" t="s">
        <v>581</v>
      </c>
      <c r="Y55" s="98"/>
      <c r="Z55" s="98"/>
      <c r="AA55" s="102"/>
      <c r="AB55" s="98"/>
      <c r="AC55" s="98"/>
      <c r="AD55" s="102"/>
      <c r="AE55" s="98"/>
      <c r="AF55" s="98"/>
      <c r="AG55" s="102"/>
    </row>
    <row r="56" spans="1:33" ht="29.4" customHeight="1">
      <c r="A56" s="97">
        <v>67</v>
      </c>
      <c r="B56" s="98" t="s">
        <v>71</v>
      </c>
      <c r="C56" s="98" t="s">
        <v>582</v>
      </c>
      <c r="D56" s="98" t="s">
        <v>583</v>
      </c>
      <c r="E56" s="98" t="s">
        <v>105</v>
      </c>
      <c r="F56" s="98" t="s">
        <v>157</v>
      </c>
      <c r="G56" s="98">
        <v>3</v>
      </c>
      <c r="H56" s="98" t="s">
        <v>582</v>
      </c>
      <c r="I56" s="98" t="s">
        <v>583</v>
      </c>
      <c r="J56" s="98" t="s">
        <v>543</v>
      </c>
      <c r="K56" s="98" t="s">
        <v>584</v>
      </c>
      <c r="L56" s="98" t="s">
        <v>585</v>
      </c>
      <c r="M56" s="102">
        <v>0.65</v>
      </c>
      <c r="N56" s="104"/>
      <c r="O56" s="101"/>
      <c r="P56" s="102">
        <v>0</v>
      </c>
      <c r="Q56" s="102">
        <f t="shared" si="0"/>
        <v>1.9500000000000002</v>
      </c>
      <c r="R56" s="98">
        <v>63</v>
      </c>
      <c r="S56" s="98">
        <v>1500</v>
      </c>
      <c r="T56" s="98">
        <v>1500</v>
      </c>
      <c r="U56" s="98"/>
      <c r="V56" s="103"/>
      <c r="W56" s="98"/>
      <c r="X56" s="98" t="s">
        <v>586</v>
      </c>
      <c r="Y56" s="98"/>
      <c r="Z56" s="98"/>
      <c r="AA56" s="102"/>
      <c r="AB56" s="98"/>
      <c r="AC56" s="98"/>
      <c r="AD56" s="102"/>
      <c r="AE56" s="98"/>
      <c r="AF56" s="98"/>
      <c r="AG56" s="102"/>
    </row>
    <row r="57" spans="1:33" ht="29.4" customHeight="1">
      <c r="A57" s="97">
        <v>68</v>
      </c>
      <c r="B57" s="98" t="s">
        <v>71</v>
      </c>
      <c r="C57" s="98" t="s">
        <v>587</v>
      </c>
      <c r="D57" s="98" t="s">
        <v>588</v>
      </c>
      <c r="E57" s="98" t="s">
        <v>105</v>
      </c>
      <c r="F57" s="98" t="s">
        <v>157</v>
      </c>
      <c r="G57" s="98">
        <v>1</v>
      </c>
      <c r="H57" s="98" t="s">
        <v>587</v>
      </c>
      <c r="I57" s="98" t="s">
        <v>589</v>
      </c>
      <c r="J57" s="98" t="s">
        <v>205</v>
      </c>
      <c r="K57" s="98" t="s">
        <v>584</v>
      </c>
      <c r="L57" s="98" t="s">
        <v>585</v>
      </c>
      <c r="M57" s="102">
        <v>0.18</v>
      </c>
      <c r="N57" s="104"/>
      <c r="O57" s="101"/>
      <c r="P57" s="102">
        <v>0</v>
      </c>
      <c r="Q57" s="102">
        <f t="shared" si="0"/>
        <v>0.18</v>
      </c>
      <c r="R57" s="98">
        <v>45</v>
      </c>
      <c r="S57" s="98">
        <v>1000</v>
      </c>
      <c r="T57" s="98">
        <v>1000</v>
      </c>
      <c r="U57" s="98"/>
      <c r="V57" s="103"/>
      <c r="W57" s="98"/>
      <c r="X57" s="98" t="s">
        <v>590</v>
      </c>
      <c r="Y57" s="98"/>
      <c r="Z57" s="98"/>
      <c r="AA57" s="102"/>
      <c r="AB57" s="98"/>
      <c r="AC57" s="98"/>
      <c r="AD57" s="102"/>
      <c r="AE57" s="98"/>
      <c r="AF57" s="98"/>
      <c r="AG57" s="102"/>
    </row>
    <row r="58" spans="1:33" ht="29.4" customHeight="1">
      <c r="A58" s="97">
        <v>69</v>
      </c>
      <c r="B58" s="98" t="s">
        <v>71</v>
      </c>
      <c r="C58" s="98" t="s">
        <v>591</v>
      </c>
      <c r="D58" s="98" t="s">
        <v>592</v>
      </c>
      <c r="E58" s="98" t="s">
        <v>105</v>
      </c>
      <c r="F58" s="98" t="s">
        <v>157</v>
      </c>
      <c r="G58" s="98">
        <v>1</v>
      </c>
      <c r="H58" s="98" t="s">
        <v>591</v>
      </c>
      <c r="I58" s="98" t="s">
        <v>593</v>
      </c>
      <c r="J58" s="98" t="s">
        <v>205</v>
      </c>
      <c r="K58" s="98" t="s">
        <v>584</v>
      </c>
      <c r="L58" s="98" t="s">
        <v>585</v>
      </c>
      <c r="M58" s="102">
        <v>0.22</v>
      </c>
      <c r="N58" s="104"/>
      <c r="O58" s="101"/>
      <c r="P58" s="102">
        <v>0</v>
      </c>
      <c r="Q58" s="102">
        <f t="shared" si="0"/>
        <v>0.22</v>
      </c>
      <c r="R58" s="98">
        <v>70</v>
      </c>
      <c r="S58" s="98">
        <v>1000</v>
      </c>
      <c r="T58" s="98">
        <v>1000</v>
      </c>
      <c r="U58" s="98"/>
      <c r="V58" s="103"/>
      <c r="W58" s="98"/>
      <c r="X58" s="98" t="s">
        <v>594</v>
      </c>
      <c r="Y58" s="98"/>
      <c r="Z58" s="98"/>
      <c r="AA58" s="102"/>
      <c r="AB58" s="98"/>
      <c r="AC58" s="98"/>
      <c r="AD58" s="102"/>
      <c r="AE58" s="98"/>
      <c r="AF58" s="98"/>
      <c r="AG58" s="102"/>
    </row>
    <row r="59" spans="1:33" ht="29.4" customHeight="1">
      <c r="A59" s="97">
        <v>70</v>
      </c>
      <c r="B59" s="98" t="s">
        <v>71</v>
      </c>
      <c r="C59" s="98" t="s">
        <v>595</v>
      </c>
      <c r="D59" s="98" t="s">
        <v>596</v>
      </c>
      <c r="E59" s="98" t="s">
        <v>105</v>
      </c>
      <c r="F59" s="98" t="s">
        <v>157</v>
      </c>
      <c r="G59" s="98">
        <v>1</v>
      </c>
      <c r="H59" s="98" t="s">
        <v>595</v>
      </c>
      <c r="I59" s="98" t="s">
        <v>596</v>
      </c>
      <c r="J59" s="98" t="s">
        <v>205</v>
      </c>
      <c r="K59" s="98" t="s">
        <v>597</v>
      </c>
      <c r="L59" s="98" t="s">
        <v>598</v>
      </c>
      <c r="M59" s="102">
        <v>0.33500000000000002</v>
      </c>
      <c r="N59" s="104"/>
      <c r="O59" s="101"/>
      <c r="P59" s="102">
        <v>0</v>
      </c>
      <c r="Q59" s="102">
        <f t="shared" si="0"/>
        <v>0.33500000000000002</v>
      </c>
      <c r="R59" s="98">
        <v>15</v>
      </c>
      <c r="S59" s="98">
        <v>1</v>
      </c>
      <c r="T59" s="98">
        <v>1</v>
      </c>
      <c r="U59" s="98"/>
      <c r="V59" s="103"/>
      <c r="W59" s="98"/>
      <c r="X59" s="98" t="s">
        <v>599</v>
      </c>
      <c r="Y59" s="98"/>
      <c r="Z59" s="98"/>
      <c r="AA59" s="102"/>
      <c r="AB59" s="98"/>
      <c r="AC59" s="98"/>
      <c r="AD59" s="102"/>
      <c r="AE59" s="98"/>
      <c r="AF59" s="98"/>
      <c r="AG59" s="102"/>
    </row>
    <row r="60" spans="1:33" ht="29.4" customHeight="1">
      <c r="A60" s="97">
        <v>71</v>
      </c>
      <c r="B60" s="98" t="s">
        <v>71</v>
      </c>
      <c r="C60" s="98" t="s">
        <v>600</v>
      </c>
      <c r="D60" s="98" t="s">
        <v>601</v>
      </c>
      <c r="E60" s="98" t="s">
        <v>105</v>
      </c>
      <c r="F60" s="98" t="s">
        <v>157</v>
      </c>
      <c r="G60" s="98">
        <v>3</v>
      </c>
      <c r="H60" s="98" t="s">
        <v>600</v>
      </c>
      <c r="I60" s="98" t="s">
        <v>601</v>
      </c>
      <c r="J60" s="98" t="s">
        <v>147</v>
      </c>
      <c r="K60" s="98"/>
      <c r="L60" s="106" t="s">
        <v>602</v>
      </c>
      <c r="M60" s="100">
        <v>0</v>
      </c>
      <c r="N60" s="101"/>
      <c r="O60" s="101"/>
      <c r="P60" s="102">
        <v>0</v>
      </c>
      <c r="Q60" s="102">
        <f t="shared" si="0"/>
        <v>0</v>
      </c>
      <c r="R60" s="98">
        <v>0</v>
      </c>
      <c r="S60" s="98"/>
      <c r="T60" s="98"/>
      <c r="U60" s="98"/>
      <c r="V60" s="106" t="s">
        <v>603</v>
      </c>
      <c r="W60" s="98"/>
      <c r="X60" s="98" t="s">
        <v>604</v>
      </c>
      <c r="Y60" s="98"/>
      <c r="Z60" s="98"/>
      <c r="AA60" s="102"/>
      <c r="AB60" s="98"/>
      <c r="AC60" s="98"/>
      <c r="AD60" s="102"/>
      <c r="AE60" s="98"/>
      <c r="AF60" s="98"/>
      <c r="AG60" s="102"/>
    </row>
    <row r="61" spans="1:33" ht="29.4" customHeight="1">
      <c r="A61" s="97">
        <v>72</v>
      </c>
      <c r="B61" s="98" t="s">
        <v>71</v>
      </c>
      <c r="C61" s="98" t="s">
        <v>605</v>
      </c>
      <c r="D61" s="98" t="s">
        <v>606</v>
      </c>
      <c r="E61" s="98" t="s">
        <v>105</v>
      </c>
      <c r="F61" s="98" t="s">
        <v>157</v>
      </c>
      <c r="G61" s="98">
        <v>2</v>
      </c>
      <c r="H61" s="98" t="s">
        <v>605</v>
      </c>
      <c r="I61" s="98" t="s">
        <v>606</v>
      </c>
      <c r="J61" s="98" t="s">
        <v>302</v>
      </c>
      <c r="K61" s="98" t="s">
        <v>607</v>
      </c>
      <c r="L61" s="98" t="s">
        <v>608</v>
      </c>
      <c r="M61" s="102">
        <v>0.14499999999999999</v>
      </c>
      <c r="N61" s="104"/>
      <c r="O61" s="101"/>
      <c r="P61" s="102">
        <v>0</v>
      </c>
      <c r="Q61" s="102">
        <f t="shared" si="0"/>
        <v>0.28999999999999998</v>
      </c>
      <c r="R61" s="98">
        <v>77</v>
      </c>
      <c r="S61" s="98">
        <v>2000</v>
      </c>
      <c r="T61" s="98"/>
      <c r="U61" s="98"/>
      <c r="V61" s="103"/>
      <c r="W61" s="98"/>
      <c r="X61" s="98" t="s">
        <v>609</v>
      </c>
      <c r="Y61" s="98"/>
      <c r="Z61" s="98"/>
      <c r="AA61" s="102"/>
      <c r="AB61" s="98"/>
      <c r="AC61" s="98"/>
      <c r="AD61" s="102"/>
      <c r="AE61" s="98"/>
      <c r="AF61" s="98"/>
      <c r="AG61" s="102"/>
    </row>
    <row r="62" spans="1:33" ht="29.4" customHeight="1">
      <c r="A62" s="97">
        <v>73</v>
      </c>
      <c r="B62" s="98" t="s">
        <v>71</v>
      </c>
      <c r="C62" s="98" t="s">
        <v>610</v>
      </c>
      <c r="D62" s="98" t="s">
        <v>611</v>
      </c>
      <c r="E62" s="98" t="s">
        <v>105</v>
      </c>
      <c r="F62" s="98" t="s">
        <v>157</v>
      </c>
      <c r="G62" s="98">
        <v>2</v>
      </c>
      <c r="H62" s="98" t="s">
        <v>610</v>
      </c>
      <c r="I62" s="98" t="s">
        <v>611</v>
      </c>
      <c r="J62" s="98" t="s">
        <v>612</v>
      </c>
      <c r="K62" s="98" t="s">
        <v>613</v>
      </c>
      <c r="L62" s="98" t="s">
        <v>608</v>
      </c>
      <c r="M62" s="102">
        <v>0.15129999999999999</v>
      </c>
      <c r="N62" s="104"/>
      <c r="O62" s="101"/>
      <c r="P62" s="102">
        <v>0</v>
      </c>
      <c r="Q62" s="102">
        <f t="shared" si="0"/>
        <v>0.30259999999999998</v>
      </c>
      <c r="R62" s="98">
        <v>97</v>
      </c>
      <c r="S62" s="98">
        <v>2000</v>
      </c>
      <c r="T62" s="98">
        <v>2000</v>
      </c>
      <c r="U62" s="98"/>
      <c r="V62" s="103"/>
      <c r="W62" s="98"/>
      <c r="X62" s="98" t="s">
        <v>614</v>
      </c>
      <c r="Y62" s="98"/>
      <c r="Z62" s="98"/>
      <c r="AA62" s="102"/>
      <c r="AB62" s="98"/>
      <c r="AC62" s="98"/>
      <c r="AD62" s="102"/>
      <c r="AE62" s="98"/>
      <c r="AF62" s="98"/>
      <c r="AG62" s="102"/>
    </row>
    <row r="63" spans="1:33" ht="29.4" customHeight="1">
      <c r="A63" s="97">
        <v>74</v>
      </c>
      <c r="B63" s="98" t="s">
        <v>71</v>
      </c>
      <c r="C63" s="98" t="s">
        <v>615</v>
      </c>
      <c r="D63" s="98" t="s">
        <v>616</v>
      </c>
      <c r="E63" s="98" t="s">
        <v>105</v>
      </c>
      <c r="F63" s="98" t="s">
        <v>157</v>
      </c>
      <c r="G63" s="98">
        <v>4</v>
      </c>
      <c r="H63" s="98" t="s">
        <v>615</v>
      </c>
      <c r="I63" s="98" t="s">
        <v>616</v>
      </c>
      <c r="J63" s="98" t="s">
        <v>612</v>
      </c>
      <c r="K63" s="98" t="s">
        <v>617</v>
      </c>
      <c r="L63" s="98" t="s">
        <v>608</v>
      </c>
      <c r="M63" s="102">
        <v>0.39689999999999998</v>
      </c>
      <c r="N63" s="104"/>
      <c r="O63" s="101"/>
      <c r="P63" s="102">
        <v>0</v>
      </c>
      <c r="Q63" s="102">
        <f t="shared" si="0"/>
        <v>1.5875999999999999</v>
      </c>
      <c r="R63" s="98">
        <v>112</v>
      </c>
      <c r="S63" s="98">
        <v>1000</v>
      </c>
      <c r="T63" s="98"/>
      <c r="U63" s="98"/>
      <c r="V63" s="103"/>
      <c r="W63" s="98"/>
      <c r="X63" s="98" t="s">
        <v>618</v>
      </c>
      <c r="Y63" s="98"/>
      <c r="Z63" s="98"/>
      <c r="AA63" s="102"/>
      <c r="AB63" s="98"/>
      <c r="AC63" s="98"/>
      <c r="AD63" s="102"/>
      <c r="AE63" s="98"/>
      <c r="AF63" s="98"/>
      <c r="AG63" s="102"/>
    </row>
    <row r="64" spans="1:33" ht="29.4" customHeight="1">
      <c r="A64" s="97">
        <v>75</v>
      </c>
      <c r="B64" s="98" t="s">
        <v>71</v>
      </c>
      <c r="C64" s="98" t="s">
        <v>619</v>
      </c>
      <c r="D64" s="98" t="s">
        <v>620</v>
      </c>
      <c r="E64" s="98" t="s">
        <v>105</v>
      </c>
      <c r="F64" s="98" t="s">
        <v>157</v>
      </c>
      <c r="G64" s="98">
        <v>2</v>
      </c>
      <c r="H64" s="98" t="s">
        <v>619</v>
      </c>
      <c r="I64" s="98" t="s">
        <v>620</v>
      </c>
      <c r="J64" s="98" t="s">
        <v>612</v>
      </c>
      <c r="K64" s="98" t="s">
        <v>617</v>
      </c>
      <c r="L64" s="98" t="s">
        <v>608</v>
      </c>
      <c r="M64" s="102">
        <v>0.1401</v>
      </c>
      <c r="N64" s="104"/>
      <c r="O64" s="101"/>
      <c r="P64" s="102">
        <v>0</v>
      </c>
      <c r="Q64" s="102">
        <f t="shared" si="0"/>
        <v>0.2802</v>
      </c>
      <c r="R64" s="98">
        <v>91</v>
      </c>
      <c r="S64" s="98">
        <v>1000</v>
      </c>
      <c r="T64" s="98"/>
      <c r="U64" s="98"/>
      <c r="V64" s="103"/>
      <c r="W64" s="98"/>
      <c r="X64" s="98" t="s">
        <v>621</v>
      </c>
      <c r="Y64" s="98"/>
      <c r="Z64" s="98"/>
      <c r="AA64" s="102"/>
      <c r="AB64" s="98"/>
      <c r="AC64" s="98"/>
      <c r="AD64" s="102"/>
      <c r="AE64" s="98"/>
      <c r="AF64" s="98"/>
      <c r="AG64" s="102"/>
    </row>
    <row r="65" spans="1:33" ht="29.4" customHeight="1">
      <c r="A65" s="97">
        <v>76</v>
      </c>
      <c r="B65" s="98" t="s">
        <v>71</v>
      </c>
      <c r="C65" s="98" t="s">
        <v>622</v>
      </c>
      <c r="D65" s="98" t="s">
        <v>623</v>
      </c>
      <c r="E65" s="98" t="s">
        <v>105</v>
      </c>
      <c r="F65" s="98" t="s">
        <v>157</v>
      </c>
      <c r="G65" s="98">
        <v>1</v>
      </c>
      <c r="H65" s="98" t="s">
        <v>622</v>
      </c>
      <c r="I65" s="98" t="s">
        <v>624</v>
      </c>
      <c r="J65" s="98" t="s">
        <v>612</v>
      </c>
      <c r="K65" s="98" t="s">
        <v>625</v>
      </c>
      <c r="L65" s="98" t="s">
        <v>626</v>
      </c>
      <c r="M65" s="102">
        <v>0.18</v>
      </c>
      <c r="N65" s="104"/>
      <c r="O65" s="101"/>
      <c r="P65" s="102">
        <v>0</v>
      </c>
      <c r="Q65" s="102">
        <f t="shared" si="0"/>
        <v>0.18</v>
      </c>
      <c r="R65" s="98">
        <v>21</v>
      </c>
      <c r="S65" s="98">
        <v>20000</v>
      </c>
      <c r="T65" s="98">
        <v>1000</v>
      </c>
      <c r="U65" s="98"/>
      <c r="V65" s="103"/>
      <c r="W65" s="98"/>
      <c r="X65" s="98" t="s">
        <v>627</v>
      </c>
      <c r="Y65" s="98"/>
      <c r="Z65" s="98"/>
      <c r="AA65" s="102"/>
      <c r="AB65" s="98"/>
      <c r="AC65" s="98"/>
      <c r="AD65" s="102"/>
      <c r="AE65" s="98"/>
      <c r="AF65" s="98"/>
      <c r="AG65" s="102"/>
    </row>
    <row r="66" spans="1:33" ht="29.4" customHeight="1">
      <c r="A66" s="97">
        <v>77</v>
      </c>
      <c r="B66" s="98" t="s">
        <v>71</v>
      </c>
      <c r="C66" s="98" t="s">
        <v>628</v>
      </c>
      <c r="D66" s="98" t="s">
        <v>629</v>
      </c>
      <c r="E66" s="98" t="s">
        <v>105</v>
      </c>
      <c r="F66" s="98" t="s">
        <v>157</v>
      </c>
      <c r="G66" s="98">
        <v>1</v>
      </c>
      <c r="H66" s="98" t="s">
        <v>628</v>
      </c>
      <c r="I66" s="98" t="s">
        <v>629</v>
      </c>
      <c r="J66" s="98" t="s">
        <v>630</v>
      </c>
      <c r="K66" s="98" t="s">
        <v>631</v>
      </c>
      <c r="L66" s="98" t="s">
        <v>632</v>
      </c>
      <c r="M66" s="102">
        <v>39.200000000000003</v>
      </c>
      <c r="N66" s="104"/>
      <c r="O66" s="101"/>
      <c r="P66" s="102">
        <v>0</v>
      </c>
      <c r="Q66" s="102">
        <f t="shared" si="0"/>
        <v>39.200000000000003</v>
      </c>
      <c r="R66" s="98">
        <v>56</v>
      </c>
      <c r="S66" s="98">
        <v>0</v>
      </c>
      <c r="T66" s="98">
        <v>1000</v>
      </c>
      <c r="U66" s="98"/>
      <c r="V66" s="103"/>
      <c r="W66" s="98"/>
      <c r="X66" s="98" t="s">
        <v>633</v>
      </c>
      <c r="Y66" s="98"/>
      <c r="Z66" s="98"/>
      <c r="AA66" s="102"/>
      <c r="AB66" s="98"/>
      <c r="AC66" s="98"/>
      <c r="AD66" s="102"/>
      <c r="AE66" s="98"/>
      <c r="AF66" s="98"/>
      <c r="AG66" s="102"/>
    </row>
    <row r="67" spans="1:33" ht="29.4" customHeight="1">
      <c r="A67" s="97">
        <v>78</v>
      </c>
      <c r="B67" s="98" t="s">
        <v>71</v>
      </c>
      <c r="C67" s="98" t="s">
        <v>634</v>
      </c>
      <c r="D67" s="98" t="s">
        <v>635</v>
      </c>
      <c r="E67" s="98" t="s">
        <v>105</v>
      </c>
      <c r="F67" s="98" t="s">
        <v>157</v>
      </c>
      <c r="G67" s="98">
        <v>2</v>
      </c>
      <c r="H67" s="98" t="s">
        <v>634</v>
      </c>
      <c r="I67" s="98" t="s">
        <v>635</v>
      </c>
      <c r="J67" s="98" t="s">
        <v>183</v>
      </c>
      <c r="K67" s="98" t="s">
        <v>636</v>
      </c>
      <c r="L67" s="98" t="s">
        <v>637</v>
      </c>
      <c r="M67" s="102">
        <v>0.16470000000000001</v>
      </c>
      <c r="N67" s="104"/>
      <c r="O67" s="101"/>
      <c r="P67" s="102">
        <v>0</v>
      </c>
      <c r="Q67" s="102">
        <f t="shared" si="0"/>
        <v>0.32940000000000003</v>
      </c>
      <c r="R67" s="98">
        <v>112</v>
      </c>
      <c r="S67" s="98">
        <v>0</v>
      </c>
      <c r="T67" s="98">
        <v>1000</v>
      </c>
      <c r="U67" s="98"/>
      <c r="V67" s="103"/>
      <c r="W67" s="98"/>
      <c r="X67" s="98" t="s">
        <v>638</v>
      </c>
      <c r="Y67" s="98"/>
      <c r="Z67" s="98"/>
      <c r="AA67" s="102"/>
      <c r="AB67" s="98"/>
      <c r="AC67" s="98"/>
      <c r="AD67" s="102"/>
      <c r="AE67" s="98"/>
      <c r="AF67" s="98"/>
      <c r="AG67" s="102"/>
    </row>
    <row r="68" spans="1:33" ht="29.4" customHeight="1">
      <c r="A68" s="97">
        <v>79</v>
      </c>
      <c r="B68" s="98" t="s">
        <v>71</v>
      </c>
      <c r="C68" s="98" t="s">
        <v>639</v>
      </c>
      <c r="D68" s="98" t="s">
        <v>640</v>
      </c>
      <c r="E68" s="98" t="s">
        <v>105</v>
      </c>
      <c r="F68" s="98" t="s">
        <v>144</v>
      </c>
      <c r="G68" s="98">
        <v>2</v>
      </c>
      <c r="H68" s="98" t="s">
        <v>639</v>
      </c>
      <c r="I68" s="98" t="s">
        <v>640</v>
      </c>
      <c r="J68" s="98" t="s">
        <v>205</v>
      </c>
      <c r="K68" s="98" t="s">
        <v>641</v>
      </c>
      <c r="L68" s="98" t="s">
        <v>235</v>
      </c>
      <c r="M68" s="102">
        <v>0.1</v>
      </c>
      <c r="N68" s="104">
        <v>0.1386</v>
      </c>
      <c r="O68" s="101">
        <f t="shared" si="1"/>
        <v>7.7199999999999991E-2</v>
      </c>
      <c r="P68" s="102">
        <v>0</v>
      </c>
      <c r="Q68" s="102">
        <f t="shared" si="0"/>
        <v>0.2</v>
      </c>
      <c r="R68" s="98">
        <v>56</v>
      </c>
      <c r="S68" s="98">
        <v>2000</v>
      </c>
      <c r="T68" s="98">
        <v>2000</v>
      </c>
      <c r="U68" s="98"/>
      <c r="V68" s="103"/>
      <c r="W68" s="98"/>
      <c r="X68" s="98" t="s">
        <v>642</v>
      </c>
      <c r="Y68" s="98"/>
      <c r="Z68" s="98"/>
      <c r="AA68" s="102"/>
      <c r="AB68" s="98"/>
      <c r="AC68" s="98"/>
      <c r="AD68" s="102"/>
      <c r="AE68" s="98"/>
      <c r="AF68" s="98"/>
      <c r="AG68" s="102"/>
    </row>
    <row r="69" spans="1:33" ht="29.4" customHeight="1">
      <c r="A69" s="97">
        <v>80</v>
      </c>
      <c r="B69" s="98" t="s">
        <v>71</v>
      </c>
      <c r="C69" s="98" t="s">
        <v>643</v>
      </c>
      <c r="D69" s="98" t="s">
        <v>644</v>
      </c>
      <c r="E69" s="98" t="s">
        <v>105</v>
      </c>
      <c r="F69" s="98" t="s">
        <v>144</v>
      </c>
      <c r="G69" s="98">
        <v>45</v>
      </c>
      <c r="H69" s="99" t="s">
        <v>645</v>
      </c>
      <c r="I69" s="98" t="s">
        <v>646</v>
      </c>
      <c r="J69" s="98" t="s">
        <v>218</v>
      </c>
      <c r="K69" s="98" t="s">
        <v>234</v>
      </c>
      <c r="L69" s="98" t="s">
        <v>235</v>
      </c>
      <c r="M69" s="102">
        <v>5.1000000000000004E-3</v>
      </c>
      <c r="N69" s="104">
        <v>5.1999999999999998E-3</v>
      </c>
      <c r="O69" s="101">
        <f t="shared" si="1"/>
        <v>4.4999999999999728E-3</v>
      </c>
      <c r="P69" s="102">
        <v>0</v>
      </c>
      <c r="Q69" s="102">
        <f t="shared" ref="Q69:Q132" si="2">G69*M69</f>
        <v>0.22950000000000001</v>
      </c>
      <c r="R69" s="98">
        <v>70</v>
      </c>
      <c r="S69" s="98">
        <v>4000</v>
      </c>
      <c r="T69" s="98"/>
      <c r="U69" s="98"/>
      <c r="V69" s="103"/>
      <c r="W69" s="98"/>
      <c r="X69" s="98" t="s">
        <v>647</v>
      </c>
      <c r="Y69" s="98" t="s">
        <v>648</v>
      </c>
      <c r="Z69" s="98" t="s">
        <v>649</v>
      </c>
      <c r="AA69" s="100">
        <v>5.7000000000000002E-3</v>
      </c>
      <c r="AB69" s="98" t="s">
        <v>650</v>
      </c>
      <c r="AC69" s="98" t="s">
        <v>651</v>
      </c>
      <c r="AD69" s="102">
        <v>6.4000000000000003E-3</v>
      </c>
      <c r="AE69" s="98" t="s">
        <v>652</v>
      </c>
      <c r="AF69" s="98" t="s">
        <v>653</v>
      </c>
      <c r="AG69" s="102">
        <v>6.6E-3</v>
      </c>
    </row>
    <row r="70" spans="1:33" ht="29.4" customHeight="1">
      <c r="A70" s="97">
        <v>81</v>
      </c>
      <c r="B70" s="98" t="s">
        <v>71</v>
      </c>
      <c r="C70" s="98" t="s">
        <v>654</v>
      </c>
      <c r="D70" s="98" t="s">
        <v>655</v>
      </c>
      <c r="E70" s="98" t="s">
        <v>105</v>
      </c>
      <c r="F70" s="98" t="s">
        <v>144</v>
      </c>
      <c r="G70" s="98">
        <v>31</v>
      </c>
      <c r="H70" s="99" t="s">
        <v>656</v>
      </c>
      <c r="I70" s="98" t="s">
        <v>657</v>
      </c>
      <c r="J70" s="98" t="s">
        <v>205</v>
      </c>
      <c r="K70" s="98" t="s">
        <v>641</v>
      </c>
      <c r="L70" s="98" t="s">
        <v>235</v>
      </c>
      <c r="M70" s="102">
        <v>5.0000000000000001E-3</v>
      </c>
      <c r="N70" s="104">
        <v>5.3E-3</v>
      </c>
      <c r="O70" s="101">
        <f>(N70-M70)*G70</f>
        <v>9.2999999999999975E-3</v>
      </c>
      <c r="P70" s="102">
        <v>0</v>
      </c>
      <c r="Q70" s="102">
        <f t="shared" si="2"/>
        <v>0.155</v>
      </c>
      <c r="R70" s="98">
        <v>56</v>
      </c>
      <c r="S70" s="98">
        <v>1</v>
      </c>
      <c r="T70" s="98">
        <v>1</v>
      </c>
      <c r="U70" s="98"/>
      <c r="V70" s="103"/>
      <c r="W70" s="98"/>
      <c r="X70" s="98" t="s">
        <v>658</v>
      </c>
      <c r="Y70" s="98" t="s">
        <v>659</v>
      </c>
      <c r="Z70" s="98" t="s">
        <v>660</v>
      </c>
      <c r="AA70" s="102">
        <v>5.3E-3</v>
      </c>
      <c r="AB70" s="98" t="s">
        <v>661</v>
      </c>
      <c r="AC70" s="98" t="s">
        <v>662</v>
      </c>
      <c r="AD70" s="100">
        <v>5.4999999999999997E-3</v>
      </c>
      <c r="AE70" s="98" t="s">
        <v>663</v>
      </c>
      <c r="AF70" s="98" t="s">
        <v>664</v>
      </c>
      <c r="AG70" s="102">
        <v>2.06E-2</v>
      </c>
    </row>
    <row r="71" spans="1:33" ht="29.4" customHeight="1">
      <c r="A71" s="97">
        <v>82</v>
      </c>
      <c r="B71" s="98" t="s">
        <v>71</v>
      </c>
      <c r="C71" s="98" t="s">
        <v>665</v>
      </c>
      <c r="D71" s="98" t="s">
        <v>666</v>
      </c>
      <c r="E71" s="98" t="s">
        <v>105</v>
      </c>
      <c r="F71" s="98" t="s">
        <v>144</v>
      </c>
      <c r="G71" s="98">
        <v>10</v>
      </c>
      <c r="H71" s="99" t="s">
        <v>667</v>
      </c>
      <c r="I71" s="98" t="s">
        <v>668</v>
      </c>
      <c r="J71" s="98" t="s">
        <v>218</v>
      </c>
      <c r="K71" s="98" t="s">
        <v>234</v>
      </c>
      <c r="L71" s="98" t="s">
        <v>235</v>
      </c>
      <c r="M71" s="102">
        <v>4.7999999999999996E-3</v>
      </c>
      <c r="N71" s="104">
        <v>4.8999999999999998E-3</v>
      </c>
      <c r="O71" s="101">
        <f>(N71-M71)*G71</f>
        <v>1.0000000000000026E-3</v>
      </c>
      <c r="P71" s="102">
        <v>0</v>
      </c>
      <c r="Q71" s="102">
        <f t="shared" si="2"/>
        <v>4.7999999999999994E-2</v>
      </c>
      <c r="R71" s="98">
        <v>70</v>
      </c>
      <c r="S71" s="98">
        <v>4000</v>
      </c>
      <c r="T71" s="98"/>
      <c r="U71" s="98"/>
      <c r="V71" s="103"/>
      <c r="W71" s="98"/>
      <c r="X71" s="98" t="s">
        <v>669</v>
      </c>
      <c r="Y71" s="98" t="s">
        <v>670</v>
      </c>
      <c r="Z71" s="98" t="s">
        <v>671</v>
      </c>
      <c r="AA71" s="102">
        <v>5.0000000000000001E-3</v>
      </c>
      <c r="AB71" s="98" t="s">
        <v>672</v>
      </c>
      <c r="AC71" s="98" t="s">
        <v>673</v>
      </c>
      <c r="AD71" s="100">
        <v>5.7000000000000002E-3</v>
      </c>
      <c r="AE71" s="98" t="s">
        <v>674</v>
      </c>
      <c r="AF71" s="98" t="s">
        <v>675</v>
      </c>
      <c r="AG71" s="105">
        <v>5.7999999999999996E-3</v>
      </c>
    </row>
    <row r="72" spans="1:33" ht="29.4" customHeight="1">
      <c r="A72" s="97">
        <v>83</v>
      </c>
      <c r="B72" s="98" t="s">
        <v>71</v>
      </c>
      <c r="C72" s="98" t="s">
        <v>676</v>
      </c>
      <c r="D72" s="98" t="s">
        <v>677</v>
      </c>
      <c r="E72" s="98" t="s">
        <v>105</v>
      </c>
      <c r="F72" s="98" t="s">
        <v>144</v>
      </c>
      <c r="G72" s="98">
        <v>7</v>
      </c>
      <c r="H72" s="99" t="s">
        <v>678</v>
      </c>
      <c r="I72" s="98" t="s">
        <v>679</v>
      </c>
      <c r="J72" s="98" t="s">
        <v>218</v>
      </c>
      <c r="K72" s="98" t="s">
        <v>234</v>
      </c>
      <c r="L72" s="98" t="s">
        <v>235</v>
      </c>
      <c r="M72" s="102">
        <v>4.7999999999999996E-3</v>
      </c>
      <c r="N72" s="104">
        <v>5.0000000000000001E-3</v>
      </c>
      <c r="O72" s="101">
        <f>(N72-M72)*G72</f>
        <v>1.4000000000000037E-3</v>
      </c>
      <c r="P72" s="102">
        <v>0</v>
      </c>
      <c r="Q72" s="102">
        <f t="shared" si="2"/>
        <v>3.3599999999999998E-2</v>
      </c>
      <c r="R72" s="98">
        <v>70</v>
      </c>
      <c r="S72" s="98">
        <v>4000</v>
      </c>
      <c r="T72" s="98"/>
      <c r="U72" s="98"/>
      <c r="V72" s="103"/>
      <c r="W72" s="98"/>
      <c r="X72" s="98" t="s">
        <v>680</v>
      </c>
      <c r="Y72" s="98" t="s">
        <v>681</v>
      </c>
      <c r="Z72" s="98" t="s">
        <v>682</v>
      </c>
      <c r="AA72" s="102">
        <v>4.8999999999999998E-3</v>
      </c>
      <c r="AB72" s="98" t="s">
        <v>683</v>
      </c>
      <c r="AC72" s="98" t="s">
        <v>684</v>
      </c>
      <c r="AD72" s="100">
        <v>5.7999999999999996E-3</v>
      </c>
      <c r="AE72" s="98" t="s">
        <v>685</v>
      </c>
      <c r="AF72" s="98" t="s">
        <v>686</v>
      </c>
      <c r="AG72" s="105">
        <v>6.3E-3</v>
      </c>
    </row>
    <row r="73" spans="1:33" ht="29.4" customHeight="1">
      <c r="A73" s="97">
        <v>84</v>
      </c>
      <c r="B73" s="98" t="s">
        <v>71</v>
      </c>
      <c r="C73" s="98" t="s">
        <v>687</v>
      </c>
      <c r="D73" s="98" t="s">
        <v>688</v>
      </c>
      <c r="E73" s="98" t="s">
        <v>105</v>
      </c>
      <c r="F73" s="98" t="s">
        <v>144</v>
      </c>
      <c r="G73" s="98">
        <v>1</v>
      </c>
      <c r="H73" s="99" t="s">
        <v>689</v>
      </c>
      <c r="I73" s="98" t="s">
        <v>690</v>
      </c>
      <c r="J73" s="98" t="s">
        <v>218</v>
      </c>
      <c r="K73" s="98" t="s">
        <v>234</v>
      </c>
      <c r="L73" s="98" t="s">
        <v>235</v>
      </c>
      <c r="M73" s="102">
        <v>2.1700000000000001E-2</v>
      </c>
      <c r="N73" s="104"/>
      <c r="O73" s="101"/>
      <c r="P73" s="102">
        <v>0</v>
      </c>
      <c r="Q73" s="102">
        <f t="shared" si="2"/>
        <v>2.1700000000000001E-2</v>
      </c>
      <c r="R73" s="98">
        <v>84</v>
      </c>
      <c r="S73" s="98">
        <v>4000</v>
      </c>
      <c r="T73" s="98"/>
      <c r="U73" s="98"/>
      <c r="V73" s="103"/>
      <c r="W73" s="98"/>
      <c r="X73" s="98" t="s">
        <v>691</v>
      </c>
      <c r="Y73" s="98" t="s">
        <v>692</v>
      </c>
      <c r="Z73" s="98" t="s">
        <v>693</v>
      </c>
      <c r="AA73" s="102">
        <v>2.2599999999999999E-2</v>
      </c>
      <c r="AB73" s="98" t="s">
        <v>694</v>
      </c>
      <c r="AC73" s="98" t="s">
        <v>695</v>
      </c>
      <c r="AD73" s="100">
        <v>2.7400000000000001E-2</v>
      </c>
      <c r="AE73" s="98" t="s">
        <v>696</v>
      </c>
      <c r="AF73" s="98" t="s">
        <v>697</v>
      </c>
      <c r="AG73" s="102">
        <v>2.75E-2</v>
      </c>
    </row>
    <row r="74" spans="1:33" ht="29.4" customHeight="1">
      <c r="A74" s="97">
        <v>85</v>
      </c>
      <c r="B74" s="98" t="s">
        <v>71</v>
      </c>
      <c r="C74" s="98" t="s">
        <v>698</v>
      </c>
      <c r="D74" s="98" t="s">
        <v>699</v>
      </c>
      <c r="E74" s="98" t="s">
        <v>105</v>
      </c>
      <c r="F74" s="98" t="s">
        <v>144</v>
      </c>
      <c r="G74" s="98">
        <v>2</v>
      </c>
      <c r="H74" s="99" t="s">
        <v>700</v>
      </c>
      <c r="I74" s="98" t="s">
        <v>701</v>
      </c>
      <c r="J74" s="98" t="s">
        <v>218</v>
      </c>
      <c r="K74" s="98" t="s">
        <v>234</v>
      </c>
      <c r="L74" s="98" t="s">
        <v>235</v>
      </c>
      <c r="M74" s="102">
        <v>5.1999999999999998E-3</v>
      </c>
      <c r="N74" s="104">
        <v>5.3E-3</v>
      </c>
      <c r="O74" s="101">
        <f>(N74-M74)*G74</f>
        <v>2.0000000000000052E-4</v>
      </c>
      <c r="P74" s="102">
        <v>0</v>
      </c>
      <c r="Q74" s="102">
        <f t="shared" si="2"/>
        <v>1.04E-2</v>
      </c>
      <c r="R74" s="98">
        <v>77</v>
      </c>
      <c r="S74" s="98">
        <v>4000</v>
      </c>
      <c r="T74" s="98"/>
      <c r="U74" s="98"/>
      <c r="V74" s="103"/>
      <c r="W74" s="98"/>
      <c r="X74" s="98" t="s">
        <v>702</v>
      </c>
      <c r="Y74" s="98" t="s">
        <v>703</v>
      </c>
      <c r="Z74" s="98" t="s">
        <v>704</v>
      </c>
      <c r="AA74" s="102">
        <v>5.4999999999999997E-3</v>
      </c>
      <c r="AB74" s="98" t="s">
        <v>705</v>
      </c>
      <c r="AC74" s="98" t="s">
        <v>706</v>
      </c>
      <c r="AD74" s="105">
        <v>6.8999999999999999E-3</v>
      </c>
      <c r="AE74" s="98" t="s">
        <v>707</v>
      </c>
      <c r="AF74" s="98" t="s">
        <v>708</v>
      </c>
      <c r="AG74" s="100">
        <v>8.8999999999999999E-3</v>
      </c>
    </row>
    <row r="75" spans="1:33" ht="29.4" customHeight="1">
      <c r="A75" s="97">
        <v>86</v>
      </c>
      <c r="B75" s="98" t="s">
        <v>71</v>
      </c>
      <c r="C75" s="98" t="s">
        <v>709</v>
      </c>
      <c r="D75" s="98" t="s">
        <v>710</v>
      </c>
      <c r="E75" s="98" t="s">
        <v>105</v>
      </c>
      <c r="F75" s="98" t="s">
        <v>144</v>
      </c>
      <c r="G75" s="98">
        <v>2</v>
      </c>
      <c r="H75" s="99" t="s">
        <v>711</v>
      </c>
      <c r="I75" s="98" t="s">
        <v>712</v>
      </c>
      <c r="J75" s="98" t="s">
        <v>218</v>
      </c>
      <c r="K75" s="98" t="s">
        <v>713</v>
      </c>
      <c r="L75" s="98" t="s">
        <v>714</v>
      </c>
      <c r="M75" s="102">
        <v>1.6500000000000001E-2</v>
      </c>
      <c r="N75" s="104"/>
      <c r="O75" s="101"/>
      <c r="P75" s="102">
        <v>0</v>
      </c>
      <c r="Q75" s="102">
        <f t="shared" si="2"/>
        <v>3.3000000000000002E-2</v>
      </c>
      <c r="R75" s="98">
        <v>63</v>
      </c>
      <c r="S75" s="98">
        <v>4000</v>
      </c>
      <c r="T75" s="98"/>
      <c r="U75" s="98"/>
      <c r="V75" s="103"/>
      <c r="W75" s="98"/>
      <c r="X75" s="98" t="s">
        <v>715</v>
      </c>
      <c r="Y75" s="98" t="s">
        <v>716</v>
      </c>
      <c r="Z75" s="98" t="s">
        <v>717</v>
      </c>
      <c r="AA75" s="102">
        <v>1.8100000000000002E-2</v>
      </c>
      <c r="AB75" s="98" t="s">
        <v>718</v>
      </c>
      <c r="AC75" s="98" t="s">
        <v>719</v>
      </c>
      <c r="AD75" s="102">
        <v>2.07E-2</v>
      </c>
      <c r="AE75" s="98" t="s">
        <v>720</v>
      </c>
      <c r="AF75" s="98" t="s">
        <v>721</v>
      </c>
      <c r="AG75" s="102">
        <v>5.5E-2</v>
      </c>
    </row>
    <row r="76" spans="1:33" ht="29.4" customHeight="1">
      <c r="A76" s="97">
        <v>87</v>
      </c>
      <c r="B76" s="98" t="s">
        <v>71</v>
      </c>
      <c r="C76" s="98" t="s">
        <v>722</v>
      </c>
      <c r="D76" s="98" t="s">
        <v>723</v>
      </c>
      <c r="E76" s="98" t="s">
        <v>105</v>
      </c>
      <c r="F76" s="98" t="s">
        <v>144</v>
      </c>
      <c r="G76" s="98">
        <v>2</v>
      </c>
      <c r="H76" s="99" t="s">
        <v>724</v>
      </c>
      <c r="I76" s="98" t="s">
        <v>725</v>
      </c>
      <c r="J76" s="98" t="s">
        <v>726</v>
      </c>
      <c r="K76" s="98" t="s">
        <v>727</v>
      </c>
      <c r="L76" s="98" t="s">
        <v>728</v>
      </c>
      <c r="M76" s="102">
        <v>3.1300000000000001E-2</v>
      </c>
      <c r="N76" s="104"/>
      <c r="O76" s="101"/>
      <c r="P76" s="102">
        <v>0</v>
      </c>
      <c r="Q76" s="102">
        <f t="shared" si="2"/>
        <v>6.2600000000000003E-2</v>
      </c>
      <c r="R76" s="98">
        <v>7</v>
      </c>
      <c r="S76" s="98">
        <v>1</v>
      </c>
      <c r="T76" s="98">
        <v>4000</v>
      </c>
      <c r="U76" s="98"/>
      <c r="V76" s="103"/>
      <c r="W76" s="98"/>
      <c r="X76" s="98" t="s">
        <v>729</v>
      </c>
      <c r="Y76" s="98" t="s">
        <v>730</v>
      </c>
      <c r="Z76" s="98" t="s">
        <v>731</v>
      </c>
      <c r="AA76" s="102">
        <v>3.1399999999999997E-2</v>
      </c>
      <c r="AB76" s="98" t="s">
        <v>732</v>
      </c>
      <c r="AC76" s="98" t="s">
        <v>733</v>
      </c>
      <c r="AD76" s="102">
        <v>4.7E-2</v>
      </c>
      <c r="AE76" s="98"/>
      <c r="AF76" s="98"/>
      <c r="AG76" s="102"/>
    </row>
    <row r="77" spans="1:33" ht="29.4" customHeight="1">
      <c r="A77" s="97">
        <v>88</v>
      </c>
      <c r="B77" s="98" t="s">
        <v>71</v>
      </c>
      <c r="C77" s="98" t="s">
        <v>734</v>
      </c>
      <c r="D77" s="98" t="s">
        <v>735</v>
      </c>
      <c r="E77" s="98" t="s">
        <v>105</v>
      </c>
      <c r="F77" s="98" t="s">
        <v>144</v>
      </c>
      <c r="G77" s="98">
        <v>8</v>
      </c>
      <c r="H77" s="99" t="s">
        <v>736</v>
      </c>
      <c r="I77" s="98" t="s">
        <v>737</v>
      </c>
      <c r="J77" s="98" t="s">
        <v>205</v>
      </c>
      <c r="K77" s="98" t="s">
        <v>206</v>
      </c>
      <c r="L77" s="98" t="s">
        <v>207</v>
      </c>
      <c r="M77" s="102">
        <v>1.6799999999999999E-2</v>
      </c>
      <c r="N77" s="104"/>
      <c r="O77" s="101"/>
      <c r="P77" s="102">
        <v>0</v>
      </c>
      <c r="Q77" s="102">
        <f t="shared" si="2"/>
        <v>0.13439999999999999</v>
      </c>
      <c r="R77" s="98">
        <v>90</v>
      </c>
      <c r="S77" s="98">
        <v>1</v>
      </c>
      <c r="T77" s="98">
        <v>4000</v>
      </c>
      <c r="U77" s="98"/>
      <c r="V77" s="103"/>
      <c r="W77" s="98"/>
      <c r="X77" s="98" t="s">
        <v>738</v>
      </c>
      <c r="Y77" s="98" t="s">
        <v>739</v>
      </c>
      <c r="Z77" s="98" t="s">
        <v>740</v>
      </c>
      <c r="AA77" s="102">
        <v>2.8000000000000001E-2</v>
      </c>
      <c r="AB77" s="98" t="s">
        <v>741</v>
      </c>
      <c r="AC77" s="98" t="s">
        <v>742</v>
      </c>
      <c r="AD77" s="102">
        <v>3.1E-2</v>
      </c>
      <c r="AE77" s="98" t="s">
        <v>743</v>
      </c>
      <c r="AF77" s="98" t="s">
        <v>744</v>
      </c>
      <c r="AG77" s="100">
        <v>5.9799999999999999E-2</v>
      </c>
    </row>
    <row r="78" spans="1:33" ht="29.4" customHeight="1">
      <c r="A78" s="97">
        <v>89</v>
      </c>
      <c r="B78" s="98" t="s">
        <v>71</v>
      </c>
      <c r="C78" s="98" t="s">
        <v>745</v>
      </c>
      <c r="D78" s="98" t="s">
        <v>746</v>
      </c>
      <c r="E78" s="98" t="s">
        <v>105</v>
      </c>
      <c r="F78" s="98" t="s">
        <v>144</v>
      </c>
      <c r="G78" s="98">
        <v>1</v>
      </c>
      <c r="H78" s="99" t="s">
        <v>747</v>
      </c>
      <c r="I78" s="98" t="s">
        <v>748</v>
      </c>
      <c r="J78" s="98" t="s">
        <v>218</v>
      </c>
      <c r="K78" s="98" t="s">
        <v>749</v>
      </c>
      <c r="L78" s="98" t="s">
        <v>149</v>
      </c>
      <c r="M78" s="102">
        <v>5.4000000000000003E-3</v>
      </c>
      <c r="N78" s="104">
        <v>6.4799999999999996E-3</v>
      </c>
      <c r="O78" s="101">
        <f>(N78-M78)*G78</f>
        <v>1.0799999999999994E-3</v>
      </c>
      <c r="P78" s="102">
        <v>0</v>
      </c>
      <c r="Q78" s="102">
        <f t="shared" si="2"/>
        <v>5.4000000000000003E-3</v>
      </c>
      <c r="R78" s="98">
        <v>56</v>
      </c>
      <c r="S78" s="98">
        <v>4000</v>
      </c>
      <c r="T78" s="98"/>
      <c r="U78" s="98"/>
      <c r="V78" s="103"/>
      <c r="W78" s="98"/>
      <c r="X78" s="98" t="s">
        <v>750</v>
      </c>
      <c r="Y78" s="98" t="s">
        <v>751</v>
      </c>
      <c r="Z78" s="98" t="s">
        <v>752</v>
      </c>
      <c r="AA78" s="100">
        <v>5.7999999999999996E-3</v>
      </c>
      <c r="AB78" s="98" t="s">
        <v>753</v>
      </c>
      <c r="AC78" s="98" t="s">
        <v>754</v>
      </c>
      <c r="AD78" s="100">
        <v>1.4999999999999999E-2</v>
      </c>
      <c r="AE78" s="98"/>
      <c r="AF78" s="98"/>
      <c r="AG78" s="102"/>
    </row>
    <row r="79" spans="1:33" ht="29.4" customHeight="1">
      <c r="A79" s="97">
        <v>90</v>
      </c>
      <c r="B79" s="98" t="s">
        <v>71</v>
      </c>
      <c r="C79" s="98" t="s">
        <v>755</v>
      </c>
      <c r="D79" s="98" t="s">
        <v>756</v>
      </c>
      <c r="E79" s="98" t="s">
        <v>105</v>
      </c>
      <c r="F79" s="98" t="s">
        <v>144</v>
      </c>
      <c r="G79" s="98">
        <v>28</v>
      </c>
      <c r="H79" s="99" t="s">
        <v>757</v>
      </c>
      <c r="I79" s="98" t="s">
        <v>758</v>
      </c>
      <c r="J79" s="98" t="s">
        <v>543</v>
      </c>
      <c r="K79" s="98" t="s">
        <v>759</v>
      </c>
      <c r="L79" s="98" t="s">
        <v>760</v>
      </c>
      <c r="M79" s="100">
        <v>0.16889999999999999</v>
      </c>
      <c r="N79" s="101">
        <v>0.192</v>
      </c>
      <c r="O79" s="101">
        <f>(N79-M79)*G79</f>
        <v>0.64680000000000026</v>
      </c>
      <c r="P79" s="102">
        <v>0</v>
      </c>
      <c r="Q79" s="102">
        <f t="shared" si="2"/>
        <v>4.7291999999999996</v>
      </c>
      <c r="R79" s="98">
        <v>56</v>
      </c>
      <c r="S79" s="98">
        <v>3000</v>
      </c>
      <c r="T79" s="98">
        <v>3000</v>
      </c>
      <c r="U79" s="98"/>
      <c r="V79" s="103"/>
      <c r="W79" s="98"/>
      <c r="X79" s="98" t="s">
        <v>761</v>
      </c>
      <c r="Y79" s="98" t="s">
        <v>762</v>
      </c>
      <c r="Z79" s="98" t="s">
        <v>763</v>
      </c>
      <c r="AA79" s="102">
        <v>0.27</v>
      </c>
      <c r="AB79" s="98"/>
      <c r="AC79" s="98"/>
      <c r="AD79" s="102"/>
      <c r="AE79" s="98"/>
      <c r="AF79" s="98"/>
      <c r="AG79" s="102"/>
    </row>
    <row r="80" spans="1:33" ht="29.4" customHeight="1">
      <c r="A80" s="97">
        <v>91</v>
      </c>
      <c r="B80" s="98" t="s">
        <v>71</v>
      </c>
      <c r="C80" s="98" t="s">
        <v>764</v>
      </c>
      <c r="D80" s="98" t="s">
        <v>765</v>
      </c>
      <c r="E80" s="98" t="s">
        <v>105</v>
      </c>
      <c r="F80" s="98" t="s">
        <v>144</v>
      </c>
      <c r="G80" s="98">
        <v>2</v>
      </c>
      <c r="H80" s="98" t="s">
        <v>764</v>
      </c>
      <c r="I80" s="98" t="s">
        <v>765</v>
      </c>
      <c r="J80" s="98" t="s">
        <v>726</v>
      </c>
      <c r="K80" s="98" t="s">
        <v>727</v>
      </c>
      <c r="L80" s="98" t="s">
        <v>728</v>
      </c>
      <c r="M80" s="102">
        <v>0.4178</v>
      </c>
      <c r="N80" s="104"/>
      <c r="O80" s="101"/>
      <c r="P80" s="102">
        <v>0</v>
      </c>
      <c r="Q80" s="102">
        <f t="shared" si="2"/>
        <v>0.83560000000000001</v>
      </c>
      <c r="R80" s="98">
        <v>7</v>
      </c>
      <c r="S80" s="98">
        <v>2000</v>
      </c>
      <c r="T80" s="98">
        <v>2001</v>
      </c>
      <c r="U80" s="98"/>
      <c r="V80" s="103"/>
      <c r="W80" s="98"/>
      <c r="X80" s="98" t="s">
        <v>766</v>
      </c>
      <c r="Y80" s="98"/>
      <c r="Z80" s="98"/>
      <c r="AA80" s="102"/>
      <c r="AB80" s="98"/>
      <c r="AC80" s="98"/>
      <c r="AD80" s="102"/>
      <c r="AE80" s="98"/>
      <c r="AF80" s="98"/>
      <c r="AG80" s="102"/>
    </row>
    <row r="81" spans="1:33" ht="29.4" customHeight="1">
      <c r="A81" s="97">
        <v>92</v>
      </c>
      <c r="B81" s="98" t="s">
        <v>71</v>
      </c>
      <c r="C81" s="98" t="s">
        <v>767</v>
      </c>
      <c r="D81" s="98" t="s">
        <v>768</v>
      </c>
      <c r="E81" s="98" t="s">
        <v>105</v>
      </c>
      <c r="F81" s="98" t="s">
        <v>144</v>
      </c>
      <c r="G81" s="98">
        <v>2</v>
      </c>
      <c r="H81" s="98" t="s">
        <v>767</v>
      </c>
      <c r="I81" s="98" t="s">
        <v>768</v>
      </c>
      <c r="J81" s="98" t="s">
        <v>172</v>
      </c>
      <c r="K81" s="98" t="s">
        <v>749</v>
      </c>
      <c r="L81" s="98" t="s">
        <v>149</v>
      </c>
      <c r="M81" s="102">
        <v>3.5499999999999997E-2</v>
      </c>
      <c r="N81" s="104">
        <v>3.6133199999999997E-2</v>
      </c>
      <c r="O81" s="101">
        <f>(N81-M81)*G81</f>
        <v>1.2664000000000009E-3</v>
      </c>
      <c r="P81" s="102">
        <v>0</v>
      </c>
      <c r="Q81" s="102">
        <f t="shared" si="2"/>
        <v>7.0999999999999994E-2</v>
      </c>
      <c r="R81" s="98">
        <v>84</v>
      </c>
      <c r="S81" s="98">
        <v>25000</v>
      </c>
      <c r="T81" s="98"/>
      <c r="U81" s="98"/>
      <c r="V81" s="103"/>
      <c r="W81" s="98"/>
      <c r="X81" s="98" t="s">
        <v>769</v>
      </c>
      <c r="Y81" s="98"/>
      <c r="Z81" s="98"/>
      <c r="AA81" s="102"/>
      <c r="AB81" s="98"/>
      <c r="AC81" s="98"/>
      <c r="AD81" s="102"/>
      <c r="AE81" s="98"/>
      <c r="AF81" s="98"/>
      <c r="AG81" s="102"/>
    </row>
    <row r="82" spans="1:33" ht="29.4" customHeight="1">
      <c r="A82" s="97">
        <v>93</v>
      </c>
      <c r="B82" s="98" t="s">
        <v>71</v>
      </c>
      <c r="C82" s="98" t="s">
        <v>770</v>
      </c>
      <c r="D82" s="98" t="s">
        <v>771</v>
      </c>
      <c r="E82" s="98" t="s">
        <v>105</v>
      </c>
      <c r="F82" s="98" t="s">
        <v>144</v>
      </c>
      <c r="G82" s="98">
        <v>4</v>
      </c>
      <c r="H82" s="98" t="s">
        <v>770</v>
      </c>
      <c r="I82" s="98" t="s">
        <v>771</v>
      </c>
      <c r="J82" s="98" t="s">
        <v>772</v>
      </c>
      <c r="K82" s="98" t="s">
        <v>773</v>
      </c>
      <c r="L82" s="98" t="s">
        <v>774</v>
      </c>
      <c r="M82" s="102">
        <v>6.2882999999999994E-2</v>
      </c>
      <c r="N82" s="104">
        <v>7.2267600000000001E-2</v>
      </c>
      <c r="O82" s="101">
        <f>(N82-M82)*G82</f>
        <v>3.7538400000000027E-2</v>
      </c>
      <c r="P82" s="102">
        <v>0</v>
      </c>
      <c r="Q82" s="102">
        <f t="shared" si="2"/>
        <v>0.25153199999999998</v>
      </c>
      <c r="R82" s="98">
        <v>84</v>
      </c>
      <c r="S82" s="98">
        <v>0</v>
      </c>
      <c r="T82" s="98">
        <v>25000</v>
      </c>
      <c r="U82" s="98"/>
      <c r="V82" s="103"/>
      <c r="W82" s="98"/>
      <c r="X82" s="98" t="s">
        <v>775</v>
      </c>
      <c r="Y82" s="98"/>
      <c r="Z82" s="98"/>
      <c r="AA82" s="102"/>
      <c r="AB82" s="98"/>
      <c r="AC82" s="98"/>
      <c r="AD82" s="102"/>
      <c r="AE82" s="98"/>
      <c r="AF82" s="98"/>
      <c r="AG82" s="102"/>
    </row>
    <row r="83" spans="1:33" ht="29.4" customHeight="1">
      <c r="A83" s="97">
        <v>94</v>
      </c>
      <c r="B83" s="98" t="s">
        <v>71</v>
      </c>
      <c r="C83" s="98" t="s">
        <v>776</v>
      </c>
      <c r="D83" s="98" t="s">
        <v>777</v>
      </c>
      <c r="E83" s="98" t="s">
        <v>105</v>
      </c>
      <c r="F83" s="98" t="s">
        <v>144</v>
      </c>
      <c r="G83" s="98">
        <v>2</v>
      </c>
      <c r="H83" s="98" t="s">
        <v>776</v>
      </c>
      <c r="I83" s="98" t="s">
        <v>777</v>
      </c>
      <c r="J83" s="98" t="s">
        <v>172</v>
      </c>
      <c r="K83" s="98" t="s">
        <v>778</v>
      </c>
      <c r="L83" s="98" t="s">
        <v>779</v>
      </c>
      <c r="M83" s="102">
        <v>4.1700000000000001E-2</v>
      </c>
      <c r="N83" s="104"/>
      <c r="O83" s="101"/>
      <c r="P83" s="102">
        <v>0</v>
      </c>
      <c r="Q83" s="102">
        <f t="shared" si="2"/>
        <v>8.3400000000000002E-2</v>
      </c>
      <c r="R83" s="98">
        <v>28</v>
      </c>
      <c r="S83" s="98">
        <v>4000</v>
      </c>
      <c r="T83" s="98"/>
      <c r="U83" s="98"/>
      <c r="V83" s="103"/>
      <c r="W83" s="98"/>
      <c r="X83" s="98" t="s">
        <v>780</v>
      </c>
      <c r="Y83" s="98"/>
      <c r="Z83" s="98"/>
      <c r="AA83" s="102"/>
      <c r="AB83" s="98"/>
      <c r="AC83" s="98"/>
      <c r="AD83" s="102"/>
      <c r="AE83" s="98"/>
      <c r="AF83" s="98"/>
      <c r="AG83" s="102"/>
    </row>
    <row r="84" spans="1:33" ht="29.4" customHeight="1">
      <c r="A84" s="97">
        <v>95</v>
      </c>
      <c r="B84" s="98" t="s">
        <v>71</v>
      </c>
      <c r="C84" s="98" t="s">
        <v>781</v>
      </c>
      <c r="D84" s="98" t="s">
        <v>782</v>
      </c>
      <c r="E84" s="98" t="s">
        <v>105</v>
      </c>
      <c r="F84" s="98" t="s">
        <v>144</v>
      </c>
      <c r="G84" s="98">
        <v>9</v>
      </c>
      <c r="H84" s="98" t="s">
        <v>781</v>
      </c>
      <c r="I84" s="98" t="s">
        <v>782</v>
      </c>
      <c r="J84" s="98" t="s">
        <v>783</v>
      </c>
      <c r="K84" s="98" t="s">
        <v>784</v>
      </c>
      <c r="L84" s="98" t="s">
        <v>785</v>
      </c>
      <c r="M84" s="102">
        <v>9.4E-2</v>
      </c>
      <c r="N84" s="104">
        <v>0.1116</v>
      </c>
      <c r="O84" s="101">
        <f>(N84-M84)*G84</f>
        <v>0.15840000000000004</v>
      </c>
      <c r="P84" s="102">
        <v>0</v>
      </c>
      <c r="Q84" s="102">
        <f t="shared" si="2"/>
        <v>0.84599999999999997</v>
      </c>
      <c r="R84" s="98">
        <v>84</v>
      </c>
      <c r="S84" s="98">
        <v>1800</v>
      </c>
      <c r="T84" s="98"/>
      <c r="U84" s="98"/>
      <c r="V84" s="103"/>
      <c r="W84" s="98"/>
      <c r="X84" s="98" t="s">
        <v>786</v>
      </c>
      <c r="Y84" s="98"/>
      <c r="Z84" s="98"/>
      <c r="AA84" s="102"/>
      <c r="AB84" s="98"/>
      <c r="AC84" s="98"/>
      <c r="AD84" s="102"/>
      <c r="AE84" s="98"/>
      <c r="AF84" s="98"/>
      <c r="AG84" s="102"/>
    </row>
    <row r="85" spans="1:33" ht="29.4" customHeight="1">
      <c r="A85" s="97">
        <v>96</v>
      </c>
      <c r="B85" s="98" t="s">
        <v>71</v>
      </c>
      <c r="C85" s="98" t="s">
        <v>787</v>
      </c>
      <c r="D85" s="98" t="s">
        <v>788</v>
      </c>
      <c r="E85" s="98" t="s">
        <v>105</v>
      </c>
      <c r="F85" s="98" t="s">
        <v>157</v>
      </c>
      <c r="G85" s="98">
        <v>1</v>
      </c>
      <c r="H85" s="98" t="s">
        <v>787</v>
      </c>
      <c r="I85" s="98" t="s">
        <v>788</v>
      </c>
      <c r="J85" s="98" t="s">
        <v>789</v>
      </c>
      <c r="K85" s="98" t="s">
        <v>790</v>
      </c>
      <c r="L85" s="98" t="s">
        <v>791</v>
      </c>
      <c r="M85" s="102">
        <v>1.8</v>
      </c>
      <c r="N85" s="104">
        <v>1.9601999999999999</v>
      </c>
      <c r="O85" s="101">
        <f>(N85-M85)*G85</f>
        <v>0.1601999999999999</v>
      </c>
      <c r="P85" s="102">
        <v>0</v>
      </c>
      <c r="Q85" s="102">
        <f t="shared" si="2"/>
        <v>1.8</v>
      </c>
      <c r="R85" s="98">
        <v>56</v>
      </c>
      <c r="S85" s="98">
        <v>400</v>
      </c>
      <c r="T85" s="98"/>
      <c r="U85" s="98"/>
      <c r="V85" s="103"/>
      <c r="W85" s="98"/>
      <c r="X85" s="98" t="s">
        <v>792</v>
      </c>
      <c r="Y85" s="98"/>
      <c r="Z85" s="98"/>
      <c r="AA85" s="102"/>
      <c r="AB85" s="98"/>
      <c r="AC85" s="98"/>
      <c r="AD85" s="102"/>
      <c r="AE85" s="98"/>
      <c r="AF85" s="98"/>
      <c r="AG85" s="102"/>
    </row>
    <row r="86" spans="1:33" ht="29.4" customHeight="1">
      <c r="A86" s="97">
        <v>97</v>
      </c>
      <c r="B86" s="98" t="s">
        <v>71</v>
      </c>
      <c r="C86" s="98" t="s">
        <v>793</v>
      </c>
      <c r="D86" s="98" t="s">
        <v>794</v>
      </c>
      <c r="E86" s="98" t="s">
        <v>105</v>
      </c>
      <c r="F86" s="98" t="s">
        <v>144</v>
      </c>
      <c r="G86" s="98">
        <v>6</v>
      </c>
      <c r="H86" s="98" t="s">
        <v>793</v>
      </c>
      <c r="I86" s="98" t="s">
        <v>794</v>
      </c>
      <c r="J86" s="98" t="s">
        <v>789</v>
      </c>
      <c r="K86" s="98" t="s">
        <v>795</v>
      </c>
      <c r="L86" s="98" t="s">
        <v>796</v>
      </c>
      <c r="M86" s="102">
        <v>0.02</v>
      </c>
      <c r="N86" s="104"/>
      <c r="O86" s="101"/>
      <c r="P86" s="102">
        <v>0</v>
      </c>
      <c r="Q86" s="102">
        <f t="shared" si="2"/>
        <v>0.12</v>
      </c>
      <c r="R86" s="98">
        <v>56</v>
      </c>
      <c r="S86" s="98">
        <v>3000</v>
      </c>
      <c r="T86" s="98"/>
      <c r="U86" s="98"/>
      <c r="V86" s="103"/>
      <c r="W86" s="98"/>
      <c r="X86" s="98" t="s">
        <v>797</v>
      </c>
      <c r="Y86" s="98"/>
      <c r="Z86" s="98"/>
      <c r="AA86" s="102"/>
      <c r="AB86" s="98"/>
      <c r="AC86" s="98"/>
      <c r="AD86" s="102"/>
      <c r="AE86" s="98"/>
      <c r="AF86" s="98"/>
      <c r="AG86" s="102"/>
    </row>
    <row r="87" spans="1:33" ht="29.4" customHeight="1">
      <c r="A87" s="97">
        <v>98</v>
      </c>
      <c r="B87" s="98" t="s">
        <v>71</v>
      </c>
      <c r="C87" s="98" t="s">
        <v>798</v>
      </c>
      <c r="D87" s="98" t="s">
        <v>799</v>
      </c>
      <c r="E87" s="98" t="s">
        <v>105</v>
      </c>
      <c r="F87" s="98" t="s">
        <v>144</v>
      </c>
      <c r="G87" s="98">
        <v>9</v>
      </c>
      <c r="H87" s="98" t="s">
        <v>798</v>
      </c>
      <c r="I87" s="98" t="s">
        <v>799</v>
      </c>
      <c r="J87" s="98" t="s">
        <v>166</v>
      </c>
      <c r="K87" s="98" t="s">
        <v>167</v>
      </c>
      <c r="L87" s="98" t="s">
        <v>168</v>
      </c>
      <c r="M87" s="102">
        <v>0.02</v>
      </c>
      <c r="N87" s="104"/>
      <c r="O87" s="101"/>
      <c r="P87" s="102">
        <v>0</v>
      </c>
      <c r="Q87" s="102">
        <f t="shared" si="2"/>
        <v>0.18</v>
      </c>
      <c r="R87" s="98">
        <v>35</v>
      </c>
      <c r="S87" s="98">
        <v>1</v>
      </c>
      <c r="T87" s="98">
        <v>1</v>
      </c>
      <c r="U87" s="98"/>
      <c r="V87" s="103"/>
      <c r="W87" s="98"/>
      <c r="X87" s="98" t="s">
        <v>800</v>
      </c>
      <c r="Y87" s="98"/>
      <c r="Z87" s="98"/>
      <c r="AA87" s="102"/>
      <c r="AB87" s="98"/>
      <c r="AC87" s="98"/>
      <c r="AD87" s="102"/>
      <c r="AE87" s="98"/>
      <c r="AF87" s="98"/>
      <c r="AG87" s="102"/>
    </row>
    <row r="88" spans="1:33" ht="29.4" customHeight="1">
      <c r="A88" s="97">
        <v>99</v>
      </c>
      <c r="B88" s="98" t="s">
        <v>71</v>
      </c>
      <c r="C88" s="98" t="s">
        <v>801</v>
      </c>
      <c r="D88" s="98" t="s">
        <v>802</v>
      </c>
      <c r="E88" s="98" t="s">
        <v>105</v>
      </c>
      <c r="F88" s="98" t="s">
        <v>144</v>
      </c>
      <c r="G88" s="98">
        <v>3</v>
      </c>
      <c r="H88" s="99" t="s">
        <v>803</v>
      </c>
      <c r="I88" s="98" t="s">
        <v>804</v>
      </c>
      <c r="J88" s="98" t="s">
        <v>805</v>
      </c>
      <c r="K88" s="98" t="s">
        <v>806</v>
      </c>
      <c r="L88" s="98" t="s">
        <v>807</v>
      </c>
      <c r="M88" s="100">
        <v>0.13300000000000001</v>
      </c>
      <c r="N88" s="101">
        <v>0.19</v>
      </c>
      <c r="O88" s="101">
        <f>(N88-M88)*G88</f>
        <v>0.17099999999999999</v>
      </c>
      <c r="P88" s="102">
        <v>0</v>
      </c>
      <c r="Q88" s="102">
        <f t="shared" si="2"/>
        <v>0.39900000000000002</v>
      </c>
      <c r="R88" s="98">
        <v>42</v>
      </c>
      <c r="S88" s="98">
        <v>3000</v>
      </c>
      <c r="T88" s="98">
        <v>3000</v>
      </c>
      <c r="U88" s="98"/>
      <c r="V88" s="103"/>
      <c r="W88" s="98"/>
      <c r="X88" s="98" t="s">
        <v>808</v>
      </c>
      <c r="Y88" s="98" t="s">
        <v>801</v>
      </c>
      <c r="Z88" s="98" t="s">
        <v>802</v>
      </c>
      <c r="AA88" s="102">
        <v>0.45</v>
      </c>
      <c r="AB88" s="98"/>
      <c r="AC88" s="98"/>
      <c r="AD88" s="102"/>
      <c r="AE88" s="98"/>
      <c r="AF88" s="98"/>
      <c r="AG88" s="102"/>
    </row>
    <row r="89" spans="1:33" ht="29.4" customHeight="1">
      <c r="A89" s="97">
        <v>100</v>
      </c>
      <c r="B89" s="98" t="s">
        <v>71</v>
      </c>
      <c r="C89" s="98" t="s">
        <v>809</v>
      </c>
      <c r="D89" s="98" t="s">
        <v>810</v>
      </c>
      <c r="E89" s="98" t="s">
        <v>105</v>
      </c>
      <c r="F89" s="98" t="s">
        <v>144</v>
      </c>
      <c r="G89" s="98">
        <v>1</v>
      </c>
      <c r="H89" s="98" t="s">
        <v>809</v>
      </c>
      <c r="I89" s="98" t="s">
        <v>810</v>
      </c>
      <c r="J89" s="98" t="s">
        <v>783</v>
      </c>
      <c r="K89" s="98" t="s">
        <v>811</v>
      </c>
      <c r="L89" s="98" t="s">
        <v>812</v>
      </c>
      <c r="M89" s="102">
        <v>0.2</v>
      </c>
      <c r="N89" s="104">
        <v>0.22035398230088499</v>
      </c>
      <c r="O89" s="101">
        <f>(N89-M89)*G89</f>
        <v>2.0353982300884976E-2</v>
      </c>
      <c r="P89" s="102">
        <v>0</v>
      </c>
      <c r="Q89" s="102">
        <f t="shared" si="2"/>
        <v>0.2</v>
      </c>
      <c r="R89" s="98">
        <v>56</v>
      </c>
      <c r="S89" s="98">
        <v>3000</v>
      </c>
      <c r="T89" s="98"/>
      <c r="U89" s="98"/>
      <c r="V89" s="103"/>
      <c r="W89" s="98"/>
      <c r="X89" s="98" t="s">
        <v>813</v>
      </c>
      <c r="Y89" s="98" t="s">
        <v>814</v>
      </c>
      <c r="Z89" s="98" t="s">
        <v>815</v>
      </c>
      <c r="AA89" s="102">
        <v>0.28000000000000003</v>
      </c>
      <c r="AB89" s="98"/>
      <c r="AC89" s="98"/>
      <c r="AD89" s="102"/>
      <c r="AE89" s="98"/>
      <c r="AF89" s="98"/>
      <c r="AG89" s="102"/>
    </row>
    <row r="90" spans="1:33" ht="29.4" customHeight="1">
      <c r="A90" s="97">
        <v>101</v>
      </c>
      <c r="B90" s="98" t="s">
        <v>71</v>
      </c>
      <c r="C90" s="98" t="s">
        <v>816</v>
      </c>
      <c r="D90" s="98" t="s">
        <v>817</v>
      </c>
      <c r="E90" s="98" t="s">
        <v>105</v>
      </c>
      <c r="F90" s="98" t="s">
        <v>144</v>
      </c>
      <c r="G90" s="98">
        <v>6</v>
      </c>
      <c r="H90" s="98" t="s">
        <v>816</v>
      </c>
      <c r="I90" s="98" t="s">
        <v>818</v>
      </c>
      <c r="J90" s="98" t="s">
        <v>819</v>
      </c>
      <c r="K90" s="98" t="s">
        <v>234</v>
      </c>
      <c r="L90" s="98" t="s">
        <v>235</v>
      </c>
      <c r="M90" s="102">
        <v>9.2899999999999996E-2</v>
      </c>
      <c r="N90" s="104"/>
      <c r="O90" s="101"/>
      <c r="P90" s="102">
        <v>0</v>
      </c>
      <c r="Q90" s="102">
        <f t="shared" si="2"/>
        <v>0.55740000000000001</v>
      </c>
      <c r="R90" s="98">
        <v>56</v>
      </c>
      <c r="S90" s="98">
        <v>3000</v>
      </c>
      <c r="T90" s="98">
        <v>3000</v>
      </c>
      <c r="U90" s="98"/>
      <c r="V90" s="103"/>
      <c r="W90" s="98"/>
      <c r="X90" s="98" t="s">
        <v>820</v>
      </c>
      <c r="Y90" s="98"/>
      <c r="Z90" s="98"/>
      <c r="AA90" s="102"/>
      <c r="AB90" s="98"/>
      <c r="AC90" s="98"/>
      <c r="AD90" s="102"/>
      <c r="AE90" s="98"/>
      <c r="AF90" s="98"/>
      <c r="AG90" s="102"/>
    </row>
    <row r="91" spans="1:33" ht="29.4" customHeight="1">
      <c r="A91" s="97">
        <v>102</v>
      </c>
      <c r="B91" s="98" t="s">
        <v>71</v>
      </c>
      <c r="C91" s="98" t="s">
        <v>821</v>
      </c>
      <c r="D91" s="98" t="s">
        <v>822</v>
      </c>
      <c r="E91" s="98" t="s">
        <v>105</v>
      </c>
      <c r="F91" s="98" t="s">
        <v>144</v>
      </c>
      <c r="G91" s="98">
        <v>6</v>
      </c>
      <c r="H91" s="98" t="s">
        <v>821</v>
      </c>
      <c r="I91" s="98" t="s">
        <v>822</v>
      </c>
      <c r="J91" s="98" t="s">
        <v>823</v>
      </c>
      <c r="K91" s="98" t="s">
        <v>206</v>
      </c>
      <c r="L91" s="98" t="s">
        <v>207</v>
      </c>
      <c r="M91" s="102">
        <v>8.8499999999999995E-2</v>
      </c>
      <c r="N91" s="104"/>
      <c r="O91" s="101"/>
      <c r="P91" s="102">
        <v>0</v>
      </c>
      <c r="Q91" s="102">
        <f t="shared" si="2"/>
        <v>0.53099999999999992</v>
      </c>
      <c r="R91" s="98">
        <v>56</v>
      </c>
      <c r="S91" s="98">
        <v>0</v>
      </c>
      <c r="T91" s="98">
        <v>3000</v>
      </c>
      <c r="U91" s="98"/>
      <c r="V91" s="103"/>
      <c r="W91" s="98"/>
      <c r="X91" s="98" t="s">
        <v>824</v>
      </c>
      <c r="Y91" s="98"/>
      <c r="Z91" s="98"/>
      <c r="AA91" s="102"/>
      <c r="AB91" s="98"/>
      <c r="AC91" s="98"/>
      <c r="AD91" s="102"/>
      <c r="AE91" s="98"/>
      <c r="AF91" s="98"/>
      <c r="AG91" s="102"/>
    </row>
    <row r="92" spans="1:33" ht="29.4" customHeight="1">
      <c r="A92" s="97">
        <v>103</v>
      </c>
      <c r="B92" s="98" t="s">
        <v>71</v>
      </c>
      <c r="C92" s="98" t="s">
        <v>825</v>
      </c>
      <c r="D92" s="98" t="s">
        <v>826</v>
      </c>
      <c r="E92" s="98" t="s">
        <v>105</v>
      </c>
      <c r="F92" s="98" t="s">
        <v>144</v>
      </c>
      <c r="G92" s="98">
        <v>2</v>
      </c>
      <c r="H92" s="98" t="s">
        <v>825</v>
      </c>
      <c r="I92" s="98" t="s">
        <v>826</v>
      </c>
      <c r="J92" s="98" t="s">
        <v>823</v>
      </c>
      <c r="K92" s="98" t="s">
        <v>641</v>
      </c>
      <c r="L92" s="98" t="s">
        <v>235</v>
      </c>
      <c r="M92" s="102">
        <v>0.33250000000000002</v>
      </c>
      <c r="N92" s="104"/>
      <c r="O92" s="101"/>
      <c r="P92" s="102">
        <v>0</v>
      </c>
      <c r="Q92" s="102">
        <f t="shared" si="2"/>
        <v>0.66500000000000004</v>
      </c>
      <c r="R92" s="98">
        <v>56</v>
      </c>
      <c r="S92" s="98">
        <v>0</v>
      </c>
      <c r="T92" s="98">
        <v>3000</v>
      </c>
      <c r="U92" s="98"/>
      <c r="V92" s="103"/>
      <c r="W92" s="98"/>
      <c r="X92" s="98" t="s">
        <v>827</v>
      </c>
      <c r="Y92" s="98"/>
      <c r="Z92" s="98"/>
      <c r="AA92" s="102"/>
      <c r="AB92" s="98"/>
      <c r="AC92" s="98"/>
      <c r="AD92" s="102"/>
      <c r="AE92" s="98"/>
      <c r="AF92" s="98"/>
      <c r="AG92" s="102"/>
    </row>
    <row r="93" spans="1:33" ht="29.4" customHeight="1">
      <c r="A93" s="97">
        <v>104</v>
      </c>
      <c r="B93" s="98" t="s">
        <v>71</v>
      </c>
      <c r="C93" s="98" t="s">
        <v>828</v>
      </c>
      <c r="D93" s="98" t="s">
        <v>829</v>
      </c>
      <c r="E93" s="98" t="s">
        <v>105</v>
      </c>
      <c r="F93" s="98" t="s">
        <v>144</v>
      </c>
      <c r="G93" s="98">
        <v>2</v>
      </c>
      <c r="H93" s="99" t="s">
        <v>830</v>
      </c>
      <c r="I93" s="98" t="s">
        <v>831</v>
      </c>
      <c r="J93" s="98" t="s">
        <v>823</v>
      </c>
      <c r="K93" s="98" t="s">
        <v>641</v>
      </c>
      <c r="L93" s="98" t="s">
        <v>235</v>
      </c>
      <c r="M93" s="102">
        <v>7.9000000000000001E-2</v>
      </c>
      <c r="N93" s="104"/>
      <c r="O93" s="101"/>
      <c r="P93" s="102">
        <v>0</v>
      </c>
      <c r="Q93" s="102">
        <f t="shared" si="2"/>
        <v>0.158</v>
      </c>
      <c r="R93" s="98">
        <v>70</v>
      </c>
      <c r="S93" s="98">
        <v>0</v>
      </c>
      <c r="T93" s="98">
        <v>3000</v>
      </c>
      <c r="U93" s="98"/>
      <c r="V93" s="103"/>
      <c r="W93" s="98"/>
      <c r="X93" s="98" t="s">
        <v>832</v>
      </c>
      <c r="Y93" s="98" t="s">
        <v>833</v>
      </c>
      <c r="Z93" s="98" t="s">
        <v>834</v>
      </c>
      <c r="AA93" s="100">
        <v>0.53650500000000001</v>
      </c>
      <c r="AB93" s="98" t="s">
        <v>835</v>
      </c>
      <c r="AC93" s="98" t="s">
        <v>836</v>
      </c>
      <c r="AD93" s="100">
        <v>0.81699999999999995</v>
      </c>
      <c r="AE93" s="98"/>
      <c r="AF93" s="98"/>
      <c r="AG93" s="102"/>
    </row>
    <row r="94" spans="1:33" ht="29.4" customHeight="1">
      <c r="A94" s="97">
        <v>105</v>
      </c>
      <c r="B94" s="98" t="s">
        <v>71</v>
      </c>
      <c r="C94" s="98" t="s">
        <v>837</v>
      </c>
      <c r="D94" s="98" t="s">
        <v>838</v>
      </c>
      <c r="E94" s="98" t="s">
        <v>105</v>
      </c>
      <c r="F94" s="98" t="s">
        <v>144</v>
      </c>
      <c r="G94" s="98">
        <v>1</v>
      </c>
      <c r="H94" s="98" t="s">
        <v>837</v>
      </c>
      <c r="I94" s="98" t="s">
        <v>838</v>
      </c>
      <c r="J94" s="98" t="s">
        <v>823</v>
      </c>
      <c r="K94" s="98" t="s">
        <v>839</v>
      </c>
      <c r="L94" s="98" t="s">
        <v>840</v>
      </c>
      <c r="M94" s="102">
        <v>4.8000000000000001E-2</v>
      </c>
      <c r="N94" s="104"/>
      <c r="O94" s="101"/>
      <c r="P94" s="102">
        <v>0</v>
      </c>
      <c r="Q94" s="102">
        <f t="shared" si="2"/>
        <v>4.8000000000000001E-2</v>
      </c>
      <c r="R94" s="98">
        <v>56</v>
      </c>
      <c r="S94" s="98">
        <v>0</v>
      </c>
      <c r="T94" s="98">
        <v>3000</v>
      </c>
      <c r="U94" s="98"/>
      <c r="V94" s="103"/>
      <c r="W94" s="98"/>
      <c r="X94" s="98" t="s">
        <v>841</v>
      </c>
      <c r="Y94" s="98" t="s">
        <v>842</v>
      </c>
      <c r="Z94" s="98" t="s">
        <v>843</v>
      </c>
      <c r="AA94" s="100">
        <v>0.104</v>
      </c>
      <c r="AB94" s="98"/>
      <c r="AC94" s="98"/>
      <c r="AD94" s="102"/>
      <c r="AE94" s="98"/>
      <c r="AF94" s="98"/>
      <c r="AG94" s="102"/>
    </row>
    <row r="95" spans="1:33" ht="29.4" customHeight="1">
      <c r="A95" s="97">
        <v>106</v>
      </c>
      <c r="B95" s="98" t="s">
        <v>71</v>
      </c>
      <c r="C95" s="98" t="s">
        <v>844</v>
      </c>
      <c r="D95" s="98" t="s">
        <v>845</v>
      </c>
      <c r="E95" s="98" t="s">
        <v>105</v>
      </c>
      <c r="F95" s="98" t="s">
        <v>144</v>
      </c>
      <c r="G95" s="98">
        <v>3</v>
      </c>
      <c r="H95" s="98" t="s">
        <v>844</v>
      </c>
      <c r="I95" s="98" t="s">
        <v>845</v>
      </c>
      <c r="J95" s="98" t="s">
        <v>166</v>
      </c>
      <c r="K95" s="98" t="s">
        <v>727</v>
      </c>
      <c r="L95" s="98" t="s">
        <v>728</v>
      </c>
      <c r="M95" s="102">
        <v>2.46E-2</v>
      </c>
      <c r="N95" s="104">
        <v>2.691E-2</v>
      </c>
      <c r="O95" s="101">
        <f>(N95-M95)*G95</f>
        <v>6.9299999999999987E-3</v>
      </c>
      <c r="P95" s="102">
        <v>0</v>
      </c>
      <c r="Q95" s="102">
        <f t="shared" si="2"/>
        <v>7.3800000000000004E-2</v>
      </c>
      <c r="R95" s="98">
        <v>35</v>
      </c>
      <c r="S95" s="98">
        <v>1</v>
      </c>
      <c r="T95" s="98">
        <v>1</v>
      </c>
      <c r="U95" s="98"/>
      <c r="V95" s="103"/>
      <c r="W95" s="98"/>
      <c r="X95" s="98" t="s">
        <v>846</v>
      </c>
      <c r="Y95" s="98"/>
      <c r="Z95" s="98"/>
      <c r="AA95" s="102"/>
      <c r="AB95" s="98"/>
      <c r="AC95" s="98"/>
      <c r="AD95" s="102"/>
      <c r="AE95" s="98"/>
      <c r="AF95" s="98"/>
      <c r="AG95" s="102"/>
    </row>
    <row r="96" spans="1:33" ht="29.4" customHeight="1">
      <c r="A96" s="97">
        <v>107</v>
      </c>
      <c r="B96" s="98" t="s">
        <v>71</v>
      </c>
      <c r="C96" s="98" t="s">
        <v>847</v>
      </c>
      <c r="D96" s="98" t="s">
        <v>2131</v>
      </c>
      <c r="E96" s="98" t="s">
        <v>105</v>
      </c>
      <c r="F96" s="98" t="s">
        <v>144</v>
      </c>
      <c r="G96" s="98">
        <v>2</v>
      </c>
      <c r="H96" s="98" t="s">
        <v>847</v>
      </c>
      <c r="I96" s="98" t="s">
        <v>2131</v>
      </c>
      <c r="J96" s="98" t="s">
        <v>726</v>
      </c>
      <c r="K96" s="98" t="s">
        <v>727</v>
      </c>
      <c r="L96" s="98" t="s">
        <v>728</v>
      </c>
      <c r="M96" s="102">
        <v>5.9485999999999999</v>
      </c>
      <c r="N96" s="104"/>
      <c r="O96" s="101"/>
      <c r="P96" s="102">
        <v>0</v>
      </c>
      <c r="Q96" s="102">
        <f t="shared" si="2"/>
        <v>11.8972</v>
      </c>
      <c r="R96" s="98">
        <v>1</v>
      </c>
      <c r="S96" s="98">
        <v>1</v>
      </c>
      <c r="T96" s="98">
        <v>0</v>
      </c>
      <c r="U96" s="98"/>
      <c r="V96" s="103"/>
      <c r="W96" s="98"/>
      <c r="X96" s="98" t="s">
        <v>848</v>
      </c>
      <c r="Y96" s="98"/>
      <c r="Z96" s="98"/>
      <c r="AA96" s="102"/>
      <c r="AB96" s="98"/>
      <c r="AC96" s="98"/>
      <c r="AD96" s="102"/>
      <c r="AE96" s="98"/>
      <c r="AF96" s="98"/>
      <c r="AG96" s="102"/>
    </row>
    <row r="97" spans="1:33" ht="29.4" customHeight="1">
      <c r="A97" s="97">
        <v>108</v>
      </c>
      <c r="B97" s="98" t="s">
        <v>71</v>
      </c>
      <c r="C97" s="98" t="s">
        <v>849</v>
      </c>
      <c r="D97" s="98" t="s">
        <v>850</v>
      </c>
      <c r="E97" s="98" t="s">
        <v>105</v>
      </c>
      <c r="F97" s="98" t="s">
        <v>144</v>
      </c>
      <c r="G97" s="98">
        <v>2</v>
      </c>
      <c r="H97" s="98" t="s">
        <v>849</v>
      </c>
      <c r="I97" s="98" t="s">
        <v>850</v>
      </c>
      <c r="J97" s="98" t="s">
        <v>851</v>
      </c>
      <c r="K97" s="98"/>
      <c r="L97" s="106" t="s">
        <v>602</v>
      </c>
      <c r="M97" s="100">
        <v>0</v>
      </c>
      <c r="N97" s="101">
        <v>0</v>
      </c>
      <c r="O97" s="101">
        <f>(N97-M97)*G97</f>
        <v>0</v>
      </c>
      <c r="P97" s="102">
        <v>0</v>
      </c>
      <c r="Q97" s="102">
        <f t="shared" si="2"/>
        <v>0</v>
      </c>
      <c r="R97" s="98">
        <v>0</v>
      </c>
      <c r="S97" s="98"/>
      <c r="T97" s="98"/>
      <c r="U97" s="98"/>
      <c r="V97" s="106" t="s">
        <v>603</v>
      </c>
      <c r="W97" s="98"/>
      <c r="X97" s="98" t="s">
        <v>852</v>
      </c>
      <c r="Y97" s="98"/>
      <c r="Z97" s="98"/>
      <c r="AA97" s="102"/>
      <c r="AB97" s="98"/>
      <c r="AC97" s="98"/>
      <c r="AD97" s="102"/>
      <c r="AE97" s="98"/>
      <c r="AF97" s="98"/>
      <c r="AG97" s="102"/>
    </row>
    <row r="98" spans="1:33" ht="29.4" customHeight="1">
      <c r="A98" s="97">
        <v>109</v>
      </c>
      <c r="B98" s="98" t="s">
        <v>71</v>
      </c>
      <c r="C98" s="98" t="s">
        <v>853</v>
      </c>
      <c r="D98" s="98" t="s">
        <v>854</v>
      </c>
      <c r="E98" s="98" t="s">
        <v>105</v>
      </c>
      <c r="F98" s="98" t="s">
        <v>144</v>
      </c>
      <c r="G98" s="98">
        <v>1</v>
      </c>
      <c r="H98" s="98" t="s">
        <v>853</v>
      </c>
      <c r="I98" s="98" t="s">
        <v>854</v>
      </c>
      <c r="J98" s="98" t="s">
        <v>166</v>
      </c>
      <c r="K98" s="98" t="s">
        <v>855</v>
      </c>
      <c r="L98" s="98" t="s">
        <v>856</v>
      </c>
      <c r="M98" s="102">
        <v>0.24152599999999999</v>
      </c>
      <c r="N98" s="104"/>
      <c r="O98" s="101"/>
      <c r="P98" s="102">
        <v>0</v>
      </c>
      <c r="Q98" s="102">
        <f t="shared" si="2"/>
        <v>0.24152599999999999</v>
      </c>
      <c r="R98" s="98">
        <v>140</v>
      </c>
      <c r="S98" s="98">
        <v>3000</v>
      </c>
      <c r="T98" s="98">
        <v>3000</v>
      </c>
      <c r="U98" s="98"/>
      <c r="V98" s="103"/>
      <c r="W98" s="98"/>
      <c r="X98" s="98" t="s">
        <v>857</v>
      </c>
      <c r="Y98" s="98"/>
      <c r="Z98" s="98"/>
      <c r="AA98" s="102"/>
      <c r="AB98" s="98"/>
      <c r="AC98" s="98"/>
      <c r="AD98" s="102"/>
      <c r="AE98" s="98"/>
      <c r="AF98" s="98"/>
      <c r="AG98" s="102"/>
    </row>
    <row r="99" spans="1:33" ht="29.4" customHeight="1">
      <c r="A99" s="97">
        <v>110</v>
      </c>
      <c r="B99" s="98" t="s">
        <v>71</v>
      </c>
      <c r="C99" s="98" t="s">
        <v>858</v>
      </c>
      <c r="D99" s="98" t="s">
        <v>859</v>
      </c>
      <c r="E99" s="98" t="s">
        <v>105</v>
      </c>
      <c r="F99" s="98" t="s">
        <v>144</v>
      </c>
      <c r="G99" s="98">
        <v>1</v>
      </c>
      <c r="H99" s="98" t="s">
        <v>858</v>
      </c>
      <c r="I99" s="98" t="s">
        <v>859</v>
      </c>
      <c r="J99" s="98" t="s">
        <v>166</v>
      </c>
      <c r="K99" s="98" t="s">
        <v>206</v>
      </c>
      <c r="L99" s="98" t="s">
        <v>207</v>
      </c>
      <c r="M99" s="102">
        <v>0.26700000000000002</v>
      </c>
      <c r="N99" s="104"/>
      <c r="O99" s="101"/>
      <c r="P99" s="102">
        <v>0</v>
      </c>
      <c r="Q99" s="102">
        <f t="shared" si="2"/>
        <v>0.26700000000000002</v>
      </c>
      <c r="R99" s="98">
        <v>70</v>
      </c>
      <c r="S99" s="98">
        <v>2500</v>
      </c>
      <c r="T99" s="98">
        <v>2500</v>
      </c>
      <c r="U99" s="98"/>
      <c r="V99" s="103"/>
      <c r="W99" s="98"/>
      <c r="X99" s="98" t="s">
        <v>860</v>
      </c>
      <c r="Y99" s="98"/>
      <c r="Z99" s="98"/>
      <c r="AA99" s="102"/>
      <c r="AB99" s="98"/>
      <c r="AC99" s="98"/>
      <c r="AD99" s="102"/>
      <c r="AE99" s="98"/>
      <c r="AF99" s="98"/>
      <c r="AG99" s="102"/>
    </row>
    <row r="100" spans="1:33" ht="29.4" customHeight="1">
      <c r="A100" s="97">
        <v>111</v>
      </c>
      <c r="B100" s="98" t="s">
        <v>71</v>
      </c>
      <c r="C100" s="98" t="s">
        <v>861</v>
      </c>
      <c r="D100" s="98" t="s">
        <v>862</v>
      </c>
      <c r="E100" s="98" t="s">
        <v>105</v>
      </c>
      <c r="F100" s="98" t="s">
        <v>144</v>
      </c>
      <c r="G100" s="98">
        <v>2</v>
      </c>
      <c r="H100" s="98" t="s">
        <v>861</v>
      </c>
      <c r="I100" s="98" t="s">
        <v>862</v>
      </c>
      <c r="J100" s="98" t="s">
        <v>726</v>
      </c>
      <c r="K100" s="98" t="s">
        <v>727</v>
      </c>
      <c r="L100" s="98" t="s">
        <v>728</v>
      </c>
      <c r="M100" s="102">
        <v>0.60389999999999999</v>
      </c>
      <c r="N100" s="104"/>
      <c r="O100" s="101"/>
      <c r="P100" s="102">
        <v>0</v>
      </c>
      <c r="Q100" s="102">
        <f t="shared" si="2"/>
        <v>1.2078</v>
      </c>
      <c r="R100" s="98">
        <v>7</v>
      </c>
      <c r="S100" s="98">
        <v>1</v>
      </c>
      <c r="T100" s="98">
        <v>1</v>
      </c>
      <c r="U100" s="98"/>
      <c r="V100" s="103"/>
      <c r="W100" s="98"/>
      <c r="X100" s="98" t="s">
        <v>863</v>
      </c>
      <c r="Y100" s="98"/>
      <c r="Z100" s="98"/>
      <c r="AA100" s="102"/>
      <c r="AB100" s="98"/>
      <c r="AC100" s="98"/>
      <c r="AD100" s="102"/>
      <c r="AE100" s="98"/>
      <c r="AF100" s="98"/>
      <c r="AG100" s="102"/>
    </row>
    <row r="101" spans="1:33" ht="29.4" customHeight="1">
      <c r="A101" s="97">
        <v>112</v>
      </c>
      <c r="B101" s="98" t="s">
        <v>71</v>
      </c>
      <c r="C101" s="98" t="s">
        <v>864</v>
      </c>
      <c r="D101" s="98" t="s">
        <v>865</v>
      </c>
      <c r="E101" s="98" t="s">
        <v>105</v>
      </c>
      <c r="F101" s="98" t="s">
        <v>144</v>
      </c>
      <c r="G101" s="98">
        <v>1</v>
      </c>
      <c r="H101" s="98" t="s">
        <v>864</v>
      </c>
      <c r="I101" s="98" t="s">
        <v>865</v>
      </c>
      <c r="J101" s="98" t="s">
        <v>866</v>
      </c>
      <c r="K101" s="98" t="s">
        <v>855</v>
      </c>
      <c r="L101" s="98" t="s">
        <v>856</v>
      </c>
      <c r="M101" s="102">
        <v>0.67884599999999995</v>
      </c>
      <c r="N101" s="104"/>
      <c r="O101" s="101"/>
      <c r="P101" s="102">
        <v>0</v>
      </c>
      <c r="Q101" s="102">
        <f t="shared" si="2"/>
        <v>0.67884599999999995</v>
      </c>
      <c r="R101" s="98">
        <v>196</v>
      </c>
      <c r="S101" s="98">
        <v>5000</v>
      </c>
      <c r="T101" s="98">
        <v>1</v>
      </c>
      <c r="U101" s="98"/>
      <c r="V101" s="103"/>
      <c r="W101" s="98"/>
      <c r="X101" s="98" t="s">
        <v>867</v>
      </c>
      <c r="Y101" s="98"/>
      <c r="Z101" s="98"/>
      <c r="AA101" s="102"/>
      <c r="AB101" s="98"/>
      <c r="AC101" s="98"/>
      <c r="AD101" s="102"/>
      <c r="AE101" s="98"/>
      <c r="AF101" s="98"/>
      <c r="AG101" s="102"/>
    </row>
    <row r="102" spans="1:33" ht="29.4" customHeight="1">
      <c r="A102" s="97">
        <v>113</v>
      </c>
      <c r="B102" s="98" t="s">
        <v>71</v>
      </c>
      <c r="C102" s="98" t="s">
        <v>868</v>
      </c>
      <c r="D102" s="98" t="s">
        <v>869</v>
      </c>
      <c r="E102" s="98" t="s">
        <v>105</v>
      </c>
      <c r="F102" s="98" t="s">
        <v>144</v>
      </c>
      <c r="G102" s="98">
        <v>1</v>
      </c>
      <c r="H102" s="98" t="s">
        <v>868</v>
      </c>
      <c r="I102" s="98" t="s">
        <v>870</v>
      </c>
      <c r="J102" s="98" t="s">
        <v>543</v>
      </c>
      <c r="K102" s="98" t="s">
        <v>871</v>
      </c>
      <c r="L102" s="98" t="s">
        <v>872</v>
      </c>
      <c r="M102" s="100">
        <v>0.51880000000000004</v>
      </c>
      <c r="N102" s="101">
        <v>0.70759000000000005</v>
      </c>
      <c r="O102" s="101">
        <f>(N102-M102)*G102</f>
        <v>0.18879000000000001</v>
      </c>
      <c r="P102" s="102">
        <v>0</v>
      </c>
      <c r="Q102" s="102">
        <f t="shared" si="2"/>
        <v>0.51880000000000004</v>
      </c>
      <c r="R102" s="98">
        <v>126</v>
      </c>
      <c r="S102" s="98">
        <v>3000</v>
      </c>
      <c r="T102" s="98">
        <v>3000</v>
      </c>
      <c r="U102" s="98"/>
      <c r="V102" s="103"/>
      <c r="W102" s="98"/>
      <c r="X102" s="98" t="s">
        <v>873</v>
      </c>
      <c r="Y102" s="98"/>
      <c r="Z102" s="98"/>
      <c r="AA102" s="102"/>
      <c r="AB102" s="98"/>
      <c r="AC102" s="98"/>
      <c r="AD102" s="102"/>
      <c r="AE102" s="98"/>
      <c r="AF102" s="98"/>
      <c r="AG102" s="102"/>
    </row>
    <row r="103" spans="1:33" ht="29.4" customHeight="1">
      <c r="A103" s="97">
        <v>114</v>
      </c>
      <c r="B103" s="98" t="s">
        <v>71</v>
      </c>
      <c r="C103" s="98" t="s">
        <v>874</v>
      </c>
      <c r="D103" s="98" t="s">
        <v>875</v>
      </c>
      <c r="E103" s="98" t="s">
        <v>105</v>
      </c>
      <c r="F103" s="98" t="s">
        <v>144</v>
      </c>
      <c r="G103" s="98">
        <v>1</v>
      </c>
      <c r="H103" s="98" t="s">
        <v>874</v>
      </c>
      <c r="I103" s="98" t="s">
        <v>875</v>
      </c>
      <c r="J103" s="98" t="s">
        <v>851</v>
      </c>
      <c r="K103" s="98"/>
      <c r="L103" s="106" t="s">
        <v>602</v>
      </c>
      <c r="M103" s="100">
        <v>0</v>
      </c>
      <c r="N103" s="101">
        <v>0</v>
      </c>
      <c r="O103" s="101">
        <f>(N103-M103)*G103</f>
        <v>0</v>
      </c>
      <c r="P103" s="102">
        <v>0</v>
      </c>
      <c r="Q103" s="102">
        <f t="shared" si="2"/>
        <v>0</v>
      </c>
      <c r="R103" s="98">
        <v>0</v>
      </c>
      <c r="S103" s="98"/>
      <c r="T103" s="98"/>
      <c r="U103" s="98"/>
      <c r="V103" s="106" t="s">
        <v>603</v>
      </c>
      <c r="W103" s="98"/>
      <c r="X103" s="98" t="s">
        <v>876</v>
      </c>
      <c r="Y103" s="98"/>
      <c r="Z103" s="98"/>
      <c r="AA103" s="102"/>
      <c r="AB103" s="98"/>
      <c r="AC103" s="98"/>
      <c r="AD103" s="102"/>
      <c r="AE103" s="98"/>
      <c r="AF103" s="98"/>
      <c r="AG103" s="102"/>
    </row>
    <row r="104" spans="1:33" ht="29.4" customHeight="1">
      <c r="A104" s="97">
        <v>115</v>
      </c>
      <c r="B104" s="98" t="s">
        <v>71</v>
      </c>
      <c r="C104" s="98" t="s">
        <v>877</v>
      </c>
      <c r="D104" s="98" t="s">
        <v>878</v>
      </c>
      <c r="E104" s="98" t="s">
        <v>105</v>
      </c>
      <c r="F104" s="98" t="s">
        <v>144</v>
      </c>
      <c r="G104" s="98">
        <v>1</v>
      </c>
      <c r="H104" s="98" t="s">
        <v>877</v>
      </c>
      <c r="I104" s="98" t="s">
        <v>878</v>
      </c>
      <c r="J104" s="98" t="s">
        <v>866</v>
      </c>
      <c r="K104" s="98" t="s">
        <v>879</v>
      </c>
      <c r="L104" s="98" t="s">
        <v>880</v>
      </c>
      <c r="M104" s="102">
        <v>0.78100000000000003</v>
      </c>
      <c r="N104" s="104"/>
      <c r="O104" s="101"/>
      <c r="P104" s="102">
        <v>0</v>
      </c>
      <c r="Q104" s="102">
        <f t="shared" si="2"/>
        <v>0.78100000000000003</v>
      </c>
      <c r="R104" s="98">
        <v>70</v>
      </c>
      <c r="S104" s="98">
        <v>3000</v>
      </c>
      <c r="T104" s="98">
        <v>3000</v>
      </c>
      <c r="U104" s="98"/>
      <c r="V104" s="103"/>
      <c r="W104" s="98"/>
      <c r="X104" s="98" t="s">
        <v>881</v>
      </c>
      <c r="Y104" s="98"/>
      <c r="Z104" s="98"/>
      <c r="AA104" s="102"/>
      <c r="AB104" s="98"/>
      <c r="AC104" s="98"/>
      <c r="AD104" s="102"/>
      <c r="AE104" s="98"/>
      <c r="AF104" s="98"/>
      <c r="AG104" s="102"/>
    </row>
    <row r="105" spans="1:33" ht="29.4" customHeight="1">
      <c r="A105" s="97">
        <v>116</v>
      </c>
      <c r="B105" s="98" t="s">
        <v>71</v>
      </c>
      <c r="C105" s="98" t="s">
        <v>882</v>
      </c>
      <c r="D105" s="98" t="s">
        <v>883</v>
      </c>
      <c r="E105" s="98" t="s">
        <v>105</v>
      </c>
      <c r="F105" s="98" t="s">
        <v>144</v>
      </c>
      <c r="G105" s="98">
        <v>1</v>
      </c>
      <c r="H105" s="98" t="s">
        <v>882</v>
      </c>
      <c r="I105" s="98" t="s">
        <v>884</v>
      </c>
      <c r="J105" s="98" t="s">
        <v>543</v>
      </c>
      <c r="K105" s="98" t="s">
        <v>885</v>
      </c>
      <c r="L105" s="98" t="s">
        <v>880</v>
      </c>
      <c r="M105" s="100">
        <v>0.15670000000000001</v>
      </c>
      <c r="N105" s="101">
        <v>0.16897899999999999</v>
      </c>
      <c r="O105" s="101">
        <f>(N105-M105)*G105</f>
        <v>1.2278999999999984E-2</v>
      </c>
      <c r="P105" s="102">
        <v>0</v>
      </c>
      <c r="Q105" s="102">
        <f t="shared" si="2"/>
        <v>0.15670000000000001</v>
      </c>
      <c r="R105" s="98">
        <v>42</v>
      </c>
      <c r="S105" s="98">
        <v>24000</v>
      </c>
      <c r="T105" s="98">
        <v>3000</v>
      </c>
      <c r="U105" s="98"/>
      <c r="V105" s="103"/>
      <c r="W105" s="98"/>
      <c r="X105" s="98" t="s">
        <v>886</v>
      </c>
      <c r="Y105" s="98"/>
      <c r="Z105" s="98"/>
      <c r="AA105" s="102"/>
      <c r="AB105" s="98"/>
      <c r="AC105" s="98"/>
      <c r="AD105" s="102"/>
      <c r="AE105" s="98"/>
      <c r="AF105" s="98"/>
      <c r="AG105" s="102"/>
    </row>
    <row r="106" spans="1:33" ht="29.4" customHeight="1">
      <c r="A106" s="97">
        <v>117</v>
      </c>
      <c r="B106" s="98" t="s">
        <v>71</v>
      </c>
      <c r="C106" s="98" t="s">
        <v>887</v>
      </c>
      <c r="D106" s="98" t="s">
        <v>888</v>
      </c>
      <c r="E106" s="98" t="s">
        <v>105</v>
      </c>
      <c r="F106" s="98" t="s">
        <v>144</v>
      </c>
      <c r="G106" s="98">
        <v>3</v>
      </c>
      <c r="H106" s="98" t="s">
        <v>887</v>
      </c>
      <c r="I106" s="98" t="s">
        <v>889</v>
      </c>
      <c r="J106" s="98" t="s">
        <v>890</v>
      </c>
      <c r="K106" s="98" t="s">
        <v>891</v>
      </c>
      <c r="L106" s="98" t="s">
        <v>892</v>
      </c>
      <c r="M106" s="102">
        <v>2.965487</v>
      </c>
      <c r="N106" s="104">
        <v>3.5632999999999999</v>
      </c>
      <c r="O106" s="101">
        <f>(N106-M106)*G106</f>
        <v>1.7934389999999998</v>
      </c>
      <c r="P106" s="102">
        <v>0</v>
      </c>
      <c r="Q106" s="102">
        <f t="shared" si="2"/>
        <v>8.8964610000000004</v>
      </c>
      <c r="R106" s="98">
        <v>140</v>
      </c>
      <c r="S106" s="98">
        <v>0</v>
      </c>
      <c r="T106" s="98">
        <v>20000</v>
      </c>
      <c r="U106" s="98"/>
      <c r="V106" s="103"/>
      <c r="W106" s="98"/>
      <c r="X106" s="98" t="s">
        <v>893</v>
      </c>
      <c r="Y106" s="98"/>
      <c r="Z106" s="98"/>
      <c r="AA106" s="102"/>
      <c r="AB106" s="98"/>
      <c r="AC106" s="98"/>
      <c r="AD106" s="102"/>
      <c r="AE106" s="98"/>
      <c r="AF106" s="98"/>
      <c r="AG106" s="102"/>
    </row>
    <row r="107" spans="1:33" ht="29.4" customHeight="1">
      <c r="A107" s="97">
        <v>118</v>
      </c>
      <c r="B107" s="98" t="s">
        <v>71</v>
      </c>
      <c r="C107" s="98" t="s">
        <v>894</v>
      </c>
      <c r="D107" s="98" t="s">
        <v>895</v>
      </c>
      <c r="E107" s="98" t="s">
        <v>105</v>
      </c>
      <c r="F107" s="98" t="s">
        <v>144</v>
      </c>
      <c r="G107" s="98">
        <v>6</v>
      </c>
      <c r="H107" s="98" t="s">
        <v>894</v>
      </c>
      <c r="I107" s="98" t="s">
        <v>895</v>
      </c>
      <c r="J107" s="98" t="s">
        <v>851</v>
      </c>
      <c r="K107" s="98"/>
      <c r="L107" s="106" t="s">
        <v>602</v>
      </c>
      <c r="M107" s="100">
        <v>0</v>
      </c>
      <c r="N107" s="101">
        <v>0</v>
      </c>
      <c r="O107" s="101">
        <f>(N107-M107)*G107</f>
        <v>0</v>
      </c>
      <c r="P107" s="102">
        <v>0</v>
      </c>
      <c r="Q107" s="102">
        <f t="shared" si="2"/>
        <v>0</v>
      </c>
      <c r="R107" s="98">
        <v>0</v>
      </c>
      <c r="S107" s="98"/>
      <c r="T107" s="98"/>
      <c r="U107" s="98"/>
      <c r="V107" s="106" t="s">
        <v>603</v>
      </c>
      <c r="W107" s="98"/>
      <c r="X107" s="98" t="s">
        <v>896</v>
      </c>
      <c r="Y107" s="98"/>
      <c r="Z107" s="98"/>
      <c r="AA107" s="102"/>
      <c r="AB107" s="98"/>
      <c r="AC107" s="98"/>
      <c r="AD107" s="102"/>
      <c r="AE107" s="98"/>
      <c r="AF107" s="98"/>
      <c r="AG107" s="102"/>
    </row>
    <row r="108" spans="1:33" ht="29.4" customHeight="1">
      <c r="A108" s="97">
        <v>119</v>
      </c>
      <c r="B108" s="98" t="s">
        <v>71</v>
      </c>
      <c r="C108" s="98" t="s">
        <v>897</v>
      </c>
      <c r="D108" s="98" t="s">
        <v>898</v>
      </c>
      <c r="E108" s="98" t="s">
        <v>105</v>
      </c>
      <c r="F108" s="98" t="s">
        <v>144</v>
      </c>
      <c r="G108" s="98">
        <v>1</v>
      </c>
      <c r="H108" s="98" t="s">
        <v>897</v>
      </c>
      <c r="I108" s="98" t="s">
        <v>898</v>
      </c>
      <c r="J108" s="98" t="s">
        <v>543</v>
      </c>
      <c r="K108" s="98" t="s">
        <v>891</v>
      </c>
      <c r="L108" s="98" t="s">
        <v>892</v>
      </c>
      <c r="M108" s="102">
        <v>0.36229</v>
      </c>
      <c r="N108" s="104"/>
      <c r="O108" s="101"/>
      <c r="P108" s="102">
        <v>0</v>
      </c>
      <c r="Q108" s="102">
        <f t="shared" si="2"/>
        <v>0.36229</v>
      </c>
      <c r="R108" s="98">
        <v>140</v>
      </c>
      <c r="S108" s="98">
        <v>2500</v>
      </c>
      <c r="T108" s="98"/>
      <c r="U108" s="98"/>
      <c r="V108" s="103"/>
      <c r="W108" s="98"/>
      <c r="X108" s="98" t="s">
        <v>899</v>
      </c>
      <c r="Y108" s="98"/>
      <c r="Z108" s="98"/>
      <c r="AA108" s="102"/>
      <c r="AB108" s="98"/>
      <c r="AC108" s="98"/>
      <c r="AD108" s="102"/>
      <c r="AE108" s="98"/>
      <c r="AF108" s="98"/>
      <c r="AG108" s="102"/>
    </row>
    <row r="109" spans="1:33" ht="29.4" customHeight="1">
      <c r="A109" s="97">
        <v>120</v>
      </c>
      <c r="B109" s="98" t="s">
        <v>71</v>
      </c>
      <c r="C109" s="98" t="s">
        <v>900</v>
      </c>
      <c r="D109" s="98" t="s">
        <v>901</v>
      </c>
      <c r="E109" s="98" t="s">
        <v>105</v>
      </c>
      <c r="F109" s="98" t="s">
        <v>157</v>
      </c>
      <c r="G109" s="98">
        <v>1</v>
      </c>
      <c r="H109" s="98" t="s">
        <v>900</v>
      </c>
      <c r="I109" s="98" t="s">
        <v>901</v>
      </c>
      <c r="J109" s="98" t="s">
        <v>902</v>
      </c>
      <c r="K109" s="98" t="s">
        <v>903</v>
      </c>
      <c r="L109" s="98" t="s">
        <v>904</v>
      </c>
      <c r="M109" s="102">
        <v>2.5299999999999998</v>
      </c>
      <c r="N109" s="104"/>
      <c r="O109" s="101"/>
      <c r="P109" s="102">
        <v>0</v>
      </c>
      <c r="Q109" s="102">
        <f t="shared" si="2"/>
        <v>2.5299999999999998</v>
      </c>
      <c r="R109" s="98">
        <v>49</v>
      </c>
      <c r="S109" s="98">
        <v>1</v>
      </c>
      <c r="T109" s="98">
        <v>5000</v>
      </c>
      <c r="U109" s="98"/>
      <c r="V109" s="103"/>
      <c r="W109" s="98"/>
      <c r="X109" s="98" t="s">
        <v>905</v>
      </c>
      <c r="Y109" s="98"/>
      <c r="Z109" s="98"/>
      <c r="AA109" s="102"/>
      <c r="AB109" s="98"/>
      <c r="AC109" s="98"/>
      <c r="AD109" s="102"/>
      <c r="AE109" s="98"/>
      <c r="AF109" s="98"/>
      <c r="AG109" s="102"/>
    </row>
    <row r="110" spans="1:33" ht="29.4" customHeight="1">
      <c r="A110" s="97">
        <v>121</v>
      </c>
      <c r="B110" s="98" t="s">
        <v>71</v>
      </c>
      <c r="C110" s="98" t="s">
        <v>906</v>
      </c>
      <c r="D110" s="98" t="s">
        <v>907</v>
      </c>
      <c r="E110" s="98" t="s">
        <v>105</v>
      </c>
      <c r="F110" s="98" t="s">
        <v>157</v>
      </c>
      <c r="G110" s="98">
        <v>1</v>
      </c>
      <c r="H110" s="98" t="s">
        <v>906</v>
      </c>
      <c r="I110" s="98" t="s">
        <v>907</v>
      </c>
      <c r="J110" s="98" t="s">
        <v>902</v>
      </c>
      <c r="K110" s="98" t="s">
        <v>903</v>
      </c>
      <c r="L110" s="98" t="s">
        <v>904</v>
      </c>
      <c r="M110" s="102">
        <v>0.33</v>
      </c>
      <c r="N110" s="104"/>
      <c r="O110" s="101"/>
      <c r="P110" s="102">
        <v>0</v>
      </c>
      <c r="Q110" s="102">
        <f t="shared" si="2"/>
        <v>0.33</v>
      </c>
      <c r="R110" s="98">
        <v>49</v>
      </c>
      <c r="S110" s="98">
        <v>1</v>
      </c>
      <c r="T110" s="98">
        <v>5000</v>
      </c>
      <c r="U110" s="98"/>
      <c r="V110" s="103"/>
      <c r="W110" s="98"/>
      <c r="X110" s="98" t="s">
        <v>908</v>
      </c>
      <c r="Y110" s="98"/>
      <c r="Z110" s="98"/>
      <c r="AA110" s="102"/>
      <c r="AB110" s="98"/>
      <c r="AC110" s="98"/>
      <c r="AD110" s="102"/>
      <c r="AE110" s="98"/>
      <c r="AF110" s="98"/>
      <c r="AG110" s="102"/>
    </row>
    <row r="111" spans="1:33" ht="29.4" customHeight="1">
      <c r="A111" s="97">
        <v>122</v>
      </c>
      <c r="B111" s="98" t="s">
        <v>71</v>
      </c>
      <c r="C111" s="98" t="s">
        <v>909</v>
      </c>
      <c r="D111" s="98" t="s">
        <v>910</v>
      </c>
      <c r="E111" s="98" t="s">
        <v>105</v>
      </c>
      <c r="F111" s="98" t="s">
        <v>157</v>
      </c>
      <c r="G111" s="98">
        <v>1</v>
      </c>
      <c r="H111" s="98" t="s">
        <v>909</v>
      </c>
      <c r="I111" s="98" t="s">
        <v>911</v>
      </c>
      <c r="J111" s="98" t="s">
        <v>912</v>
      </c>
      <c r="K111" s="98"/>
      <c r="L111" s="106" t="s">
        <v>602</v>
      </c>
      <c r="M111" s="100">
        <v>0</v>
      </c>
      <c r="N111" s="101">
        <v>0</v>
      </c>
      <c r="O111" s="101"/>
      <c r="P111" s="102">
        <v>0</v>
      </c>
      <c r="Q111" s="102">
        <f t="shared" si="2"/>
        <v>0</v>
      </c>
      <c r="R111" s="98">
        <v>0</v>
      </c>
      <c r="S111" s="98"/>
      <c r="T111" s="98"/>
      <c r="U111" s="98"/>
      <c r="V111" s="106" t="s">
        <v>603</v>
      </c>
      <c r="W111" s="98"/>
      <c r="X111" s="98" t="s">
        <v>913</v>
      </c>
      <c r="Y111" s="98"/>
      <c r="Z111" s="98"/>
      <c r="AA111" s="102"/>
      <c r="AB111" s="98"/>
      <c r="AC111" s="98"/>
      <c r="AD111" s="102"/>
      <c r="AE111" s="98"/>
      <c r="AF111" s="98"/>
      <c r="AG111" s="102"/>
    </row>
    <row r="112" spans="1:33" ht="29.4" customHeight="1">
      <c r="A112" s="97">
        <v>123</v>
      </c>
      <c r="B112" s="98" t="s">
        <v>71</v>
      </c>
      <c r="C112" s="98" t="s">
        <v>914</v>
      </c>
      <c r="D112" s="98" t="s">
        <v>915</v>
      </c>
      <c r="E112" s="98" t="s">
        <v>105</v>
      </c>
      <c r="F112" s="98" t="s">
        <v>157</v>
      </c>
      <c r="G112" s="98">
        <v>3</v>
      </c>
      <c r="H112" s="98" t="s">
        <v>914</v>
      </c>
      <c r="I112" s="98" t="s">
        <v>915</v>
      </c>
      <c r="J112" s="98" t="s">
        <v>172</v>
      </c>
      <c r="K112" s="98" t="s">
        <v>916</v>
      </c>
      <c r="L112" s="98" t="s">
        <v>917</v>
      </c>
      <c r="M112" s="102">
        <v>1.85</v>
      </c>
      <c r="N112" s="104">
        <v>2.109</v>
      </c>
      <c r="O112" s="101">
        <f>(N112-M112)*G112</f>
        <v>0.77699999999999969</v>
      </c>
      <c r="P112" s="102">
        <v>0</v>
      </c>
      <c r="Q112" s="102">
        <f t="shared" si="2"/>
        <v>5.5500000000000007</v>
      </c>
      <c r="R112" s="98">
        <v>30</v>
      </c>
      <c r="S112" s="98">
        <v>500</v>
      </c>
      <c r="T112" s="98"/>
      <c r="U112" s="98"/>
      <c r="V112" s="103"/>
      <c r="W112" s="98"/>
      <c r="X112" s="98" t="s">
        <v>918</v>
      </c>
      <c r="Y112" s="98"/>
      <c r="Z112" s="98"/>
      <c r="AA112" s="102"/>
      <c r="AB112" s="98"/>
      <c r="AC112" s="98"/>
      <c r="AD112" s="102"/>
      <c r="AE112" s="98"/>
      <c r="AF112" s="98"/>
      <c r="AG112" s="102"/>
    </row>
    <row r="113" spans="1:33" ht="29.4" customHeight="1">
      <c r="A113" s="97">
        <v>124</v>
      </c>
      <c r="B113" s="98" t="s">
        <v>71</v>
      </c>
      <c r="C113" s="98" t="s">
        <v>919</v>
      </c>
      <c r="D113" s="98" t="s">
        <v>920</v>
      </c>
      <c r="E113" s="98" t="s">
        <v>105</v>
      </c>
      <c r="F113" s="98" t="s">
        <v>157</v>
      </c>
      <c r="G113" s="98">
        <v>1</v>
      </c>
      <c r="H113" s="98" t="s">
        <v>919</v>
      </c>
      <c r="I113" s="98" t="s">
        <v>920</v>
      </c>
      <c r="J113" s="98" t="s">
        <v>172</v>
      </c>
      <c r="K113" s="98" t="s">
        <v>916</v>
      </c>
      <c r="L113" s="98" t="s">
        <v>917</v>
      </c>
      <c r="M113" s="102">
        <v>28.3186</v>
      </c>
      <c r="N113" s="104">
        <v>32.283203999999998</v>
      </c>
      <c r="O113" s="101">
        <f>(N113-M113)*G113</f>
        <v>3.9646039999999978</v>
      </c>
      <c r="P113" s="102">
        <v>0</v>
      </c>
      <c r="Q113" s="102">
        <f t="shared" si="2"/>
        <v>28.3186</v>
      </c>
      <c r="R113" s="98">
        <v>1</v>
      </c>
      <c r="S113" s="98">
        <v>120</v>
      </c>
      <c r="T113" s="98"/>
      <c r="U113" s="98"/>
      <c r="V113" s="103"/>
      <c r="W113" s="98"/>
      <c r="X113" s="98" t="s">
        <v>921</v>
      </c>
      <c r="Y113" s="98"/>
      <c r="Z113" s="98"/>
      <c r="AA113" s="102"/>
      <c r="AB113" s="98"/>
      <c r="AC113" s="98"/>
      <c r="AD113" s="102"/>
      <c r="AE113" s="98"/>
      <c r="AF113" s="98"/>
      <c r="AG113" s="102"/>
    </row>
    <row r="114" spans="1:33" ht="29.4" customHeight="1">
      <c r="A114" s="97">
        <v>125</v>
      </c>
      <c r="B114" s="98" t="s">
        <v>71</v>
      </c>
      <c r="C114" s="98" t="s">
        <v>922</v>
      </c>
      <c r="D114" s="98" t="s">
        <v>923</v>
      </c>
      <c r="E114" s="98" t="s">
        <v>105</v>
      </c>
      <c r="F114" s="98" t="s">
        <v>144</v>
      </c>
      <c r="G114" s="98">
        <v>1</v>
      </c>
      <c r="H114" s="98" t="s">
        <v>922</v>
      </c>
      <c r="I114" s="98" t="s">
        <v>923</v>
      </c>
      <c r="J114" s="98" t="s">
        <v>172</v>
      </c>
      <c r="K114" s="98" t="s">
        <v>924</v>
      </c>
      <c r="L114" s="98" t="s">
        <v>925</v>
      </c>
      <c r="M114" s="102">
        <v>1.4047000000000001</v>
      </c>
      <c r="N114" s="104"/>
      <c r="O114" s="101"/>
      <c r="P114" s="102">
        <v>0</v>
      </c>
      <c r="Q114" s="102">
        <f t="shared" si="2"/>
        <v>1.4047000000000001</v>
      </c>
      <c r="R114" s="98">
        <v>56</v>
      </c>
      <c r="S114" s="98">
        <v>1600</v>
      </c>
      <c r="T114" s="98">
        <v>800</v>
      </c>
      <c r="U114" s="98"/>
      <c r="V114" s="103"/>
      <c r="W114" s="98"/>
      <c r="X114" s="98" t="s">
        <v>926</v>
      </c>
      <c r="Y114" s="98"/>
      <c r="Z114" s="98"/>
      <c r="AA114" s="102"/>
      <c r="AB114" s="98"/>
      <c r="AC114" s="98"/>
      <c r="AD114" s="102"/>
      <c r="AE114" s="98"/>
      <c r="AF114" s="98"/>
      <c r="AG114" s="102"/>
    </row>
    <row r="115" spans="1:33" ht="29.4" customHeight="1">
      <c r="A115" s="97">
        <v>126</v>
      </c>
      <c r="B115" s="98" t="s">
        <v>71</v>
      </c>
      <c r="C115" s="98" t="s">
        <v>927</v>
      </c>
      <c r="D115" s="98" t="s">
        <v>928</v>
      </c>
      <c r="E115" s="98" t="s">
        <v>105</v>
      </c>
      <c r="F115" s="98" t="s">
        <v>929</v>
      </c>
      <c r="G115" s="98">
        <v>1</v>
      </c>
      <c r="H115" s="98" t="s">
        <v>927</v>
      </c>
      <c r="I115" s="98" t="s">
        <v>928</v>
      </c>
      <c r="J115" s="98" t="s">
        <v>166</v>
      </c>
      <c r="K115" s="98" t="s">
        <v>930</v>
      </c>
      <c r="L115" s="98" t="s">
        <v>931</v>
      </c>
      <c r="M115" s="102">
        <v>0.28999999999999998</v>
      </c>
      <c r="N115" s="104"/>
      <c r="O115" s="101"/>
      <c r="P115" s="102">
        <v>0</v>
      </c>
      <c r="Q115" s="102">
        <f t="shared" si="2"/>
        <v>0.28999999999999998</v>
      </c>
      <c r="R115" s="98">
        <v>56</v>
      </c>
      <c r="S115" s="98">
        <v>5000</v>
      </c>
      <c r="T115" s="98">
        <v>5000</v>
      </c>
      <c r="U115" s="98"/>
      <c r="V115" s="103"/>
      <c r="W115" s="98"/>
      <c r="X115" s="98" t="s">
        <v>932</v>
      </c>
      <c r="Y115" s="98"/>
      <c r="Z115" s="98"/>
      <c r="AA115" s="102"/>
      <c r="AB115" s="98"/>
      <c r="AC115" s="98"/>
      <c r="AD115" s="102"/>
      <c r="AE115" s="98"/>
      <c r="AF115" s="98"/>
      <c r="AG115" s="102"/>
    </row>
    <row r="116" spans="1:33" ht="29.4" customHeight="1">
      <c r="A116" s="97">
        <v>127</v>
      </c>
      <c r="B116" s="98" t="s">
        <v>71</v>
      </c>
      <c r="C116" s="98" t="s">
        <v>933</v>
      </c>
      <c r="D116" s="98" t="s">
        <v>934</v>
      </c>
      <c r="E116" s="98" t="s">
        <v>105</v>
      </c>
      <c r="F116" s="98" t="s">
        <v>935</v>
      </c>
      <c r="G116" s="98">
        <v>1</v>
      </c>
      <c r="H116" s="98" t="s">
        <v>933</v>
      </c>
      <c r="I116" s="98" t="s">
        <v>934</v>
      </c>
      <c r="J116" s="98" t="s">
        <v>936</v>
      </c>
      <c r="K116" s="98" t="s">
        <v>937</v>
      </c>
      <c r="L116" s="98" t="s">
        <v>938</v>
      </c>
      <c r="M116" s="102">
        <v>0.38319999999999999</v>
      </c>
      <c r="N116" s="104"/>
      <c r="O116" s="101"/>
      <c r="P116" s="102">
        <v>0</v>
      </c>
      <c r="Q116" s="102">
        <f t="shared" si="2"/>
        <v>0.38319999999999999</v>
      </c>
      <c r="R116" s="98">
        <v>35</v>
      </c>
      <c r="S116" s="98">
        <v>2000</v>
      </c>
      <c r="T116" s="98">
        <v>1</v>
      </c>
      <c r="U116" s="98"/>
      <c r="V116" s="103"/>
      <c r="W116" s="98"/>
      <c r="X116" s="98" t="s">
        <v>175</v>
      </c>
      <c r="Y116" s="98"/>
      <c r="Z116" s="98"/>
      <c r="AA116" s="102"/>
      <c r="AB116" s="98"/>
      <c r="AC116" s="98"/>
      <c r="AD116" s="102"/>
      <c r="AE116" s="98"/>
      <c r="AF116" s="98"/>
      <c r="AG116" s="102"/>
    </row>
    <row r="117" spans="1:33" ht="29.4" customHeight="1">
      <c r="A117" s="97">
        <v>128</v>
      </c>
      <c r="B117" s="98" t="s">
        <v>71</v>
      </c>
      <c r="C117" s="98" t="s">
        <v>939</v>
      </c>
      <c r="D117" s="98" t="s">
        <v>940</v>
      </c>
      <c r="E117" s="98" t="s">
        <v>105</v>
      </c>
      <c r="F117" s="98" t="s">
        <v>157</v>
      </c>
      <c r="G117" s="98">
        <v>1</v>
      </c>
      <c r="H117" s="98" t="s">
        <v>939</v>
      </c>
      <c r="I117" s="98" t="s">
        <v>940</v>
      </c>
      <c r="J117" s="98" t="s">
        <v>543</v>
      </c>
      <c r="K117" s="98" t="s">
        <v>941</v>
      </c>
      <c r="L117" s="98" t="s">
        <v>942</v>
      </c>
      <c r="M117" s="102">
        <v>1.84E-2</v>
      </c>
      <c r="N117" s="104"/>
      <c r="O117" s="101"/>
      <c r="P117" s="102">
        <v>0</v>
      </c>
      <c r="Q117" s="102">
        <f t="shared" si="2"/>
        <v>1.84E-2</v>
      </c>
      <c r="R117" s="98">
        <v>28</v>
      </c>
      <c r="S117" s="98">
        <v>1000</v>
      </c>
      <c r="T117" s="98"/>
      <c r="U117" s="98"/>
      <c r="V117" s="103"/>
      <c r="W117" s="98"/>
      <c r="X117" s="98" t="s">
        <v>943</v>
      </c>
      <c r="Y117" s="98"/>
      <c r="Z117" s="98"/>
      <c r="AA117" s="102"/>
      <c r="AB117" s="98"/>
      <c r="AC117" s="98"/>
      <c r="AD117" s="102"/>
      <c r="AE117" s="98"/>
      <c r="AF117" s="98"/>
      <c r="AG117" s="102"/>
    </row>
    <row r="118" spans="1:33" ht="29.4" customHeight="1">
      <c r="A118" s="97">
        <v>129</v>
      </c>
      <c r="B118" s="98" t="s">
        <v>71</v>
      </c>
      <c r="C118" s="98" t="s">
        <v>944</v>
      </c>
      <c r="D118" s="98" t="s">
        <v>945</v>
      </c>
      <c r="E118" s="98" t="s">
        <v>105</v>
      </c>
      <c r="F118" s="98" t="s">
        <v>157</v>
      </c>
      <c r="G118" s="98">
        <v>2</v>
      </c>
      <c r="H118" s="98" t="s">
        <v>944</v>
      </c>
      <c r="I118" s="98" t="s">
        <v>945</v>
      </c>
      <c r="J118" s="98" t="s">
        <v>543</v>
      </c>
      <c r="K118" s="98" t="s">
        <v>941</v>
      </c>
      <c r="L118" s="98" t="s">
        <v>942</v>
      </c>
      <c r="M118" s="102">
        <v>4.4299999999999999E-2</v>
      </c>
      <c r="N118" s="104"/>
      <c r="O118" s="101"/>
      <c r="P118" s="102">
        <v>0</v>
      </c>
      <c r="Q118" s="102">
        <f t="shared" si="2"/>
        <v>8.8599999999999998E-2</v>
      </c>
      <c r="R118" s="98">
        <v>21</v>
      </c>
      <c r="S118" s="98">
        <v>1000</v>
      </c>
      <c r="T118" s="98"/>
      <c r="U118" s="98"/>
      <c r="V118" s="103"/>
      <c r="W118" s="98"/>
      <c r="X118" s="98" t="s">
        <v>946</v>
      </c>
      <c r="Y118" s="98"/>
      <c r="Z118" s="98"/>
      <c r="AA118" s="102"/>
      <c r="AB118" s="98"/>
      <c r="AC118" s="98"/>
      <c r="AD118" s="102"/>
      <c r="AE118" s="98"/>
      <c r="AF118" s="98"/>
      <c r="AG118" s="102"/>
    </row>
    <row r="119" spans="1:33" ht="29.4" customHeight="1">
      <c r="A119" s="97">
        <v>130</v>
      </c>
      <c r="B119" s="98" t="s">
        <v>71</v>
      </c>
      <c r="C119" s="98" t="s">
        <v>947</v>
      </c>
      <c r="D119" s="98" t="s">
        <v>948</v>
      </c>
      <c r="E119" s="98" t="s">
        <v>105</v>
      </c>
      <c r="F119" s="98" t="s">
        <v>157</v>
      </c>
      <c r="G119" s="98">
        <v>2</v>
      </c>
      <c r="H119" s="98" t="s">
        <v>947</v>
      </c>
      <c r="I119" s="98" t="s">
        <v>948</v>
      </c>
      <c r="J119" s="98" t="s">
        <v>543</v>
      </c>
      <c r="K119" s="98" t="s">
        <v>941</v>
      </c>
      <c r="L119" s="98" t="s">
        <v>942</v>
      </c>
      <c r="M119" s="102">
        <v>4.5999999999999999E-2</v>
      </c>
      <c r="N119" s="104"/>
      <c r="O119" s="101"/>
      <c r="P119" s="102">
        <v>0</v>
      </c>
      <c r="Q119" s="102">
        <f t="shared" si="2"/>
        <v>9.1999999999999998E-2</v>
      </c>
      <c r="R119" s="98">
        <v>21</v>
      </c>
      <c r="S119" s="98">
        <v>1000</v>
      </c>
      <c r="T119" s="98"/>
      <c r="U119" s="98"/>
      <c r="V119" s="103"/>
      <c r="W119" s="98"/>
      <c r="X119" s="98" t="s">
        <v>949</v>
      </c>
      <c r="Y119" s="98"/>
      <c r="Z119" s="98"/>
      <c r="AA119" s="102"/>
      <c r="AB119" s="98"/>
      <c r="AC119" s="98"/>
      <c r="AD119" s="102"/>
      <c r="AE119" s="98"/>
      <c r="AF119" s="98"/>
      <c r="AG119" s="102"/>
    </row>
    <row r="120" spans="1:33" ht="29.4" customHeight="1">
      <c r="A120" s="97">
        <v>131</v>
      </c>
      <c r="B120" s="98" t="s">
        <v>71</v>
      </c>
      <c r="C120" s="98" t="s">
        <v>950</v>
      </c>
      <c r="D120" s="98" t="s">
        <v>951</v>
      </c>
      <c r="E120" s="98" t="s">
        <v>105</v>
      </c>
      <c r="F120" s="98" t="s">
        <v>157</v>
      </c>
      <c r="G120" s="98">
        <v>2</v>
      </c>
      <c r="H120" s="98" t="s">
        <v>950</v>
      </c>
      <c r="I120" s="98" t="s">
        <v>951</v>
      </c>
      <c r="J120" s="98" t="s">
        <v>543</v>
      </c>
      <c r="K120" s="98" t="s">
        <v>941</v>
      </c>
      <c r="L120" s="98" t="s">
        <v>942</v>
      </c>
      <c r="M120" s="102">
        <v>5.3699999999999998E-2</v>
      </c>
      <c r="N120" s="104"/>
      <c r="O120" s="101"/>
      <c r="P120" s="102">
        <v>0</v>
      </c>
      <c r="Q120" s="102">
        <f t="shared" si="2"/>
        <v>0.1074</v>
      </c>
      <c r="R120" s="98">
        <v>21</v>
      </c>
      <c r="S120" s="98">
        <v>1000</v>
      </c>
      <c r="T120" s="98"/>
      <c r="U120" s="98"/>
      <c r="V120" s="103"/>
      <c r="W120" s="98"/>
      <c r="X120" s="98" t="s">
        <v>952</v>
      </c>
      <c r="Y120" s="98"/>
      <c r="Z120" s="98"/>
      <c r="AA120" s="102"/>
      <c r="AB120" s="98"/>
      <c r="AC120" s="98"/>
      <c r="AD120" s="102"/>
      <c r="AE120" s="98"/>
      <c r="AF120" s="98"/>
      <c r="AG120" s="102"/>
    </row>
    <row r="121" spans="1:33" ht="29.4" customHeight="1">
      <c r="A121" s="97">
        <v>132</v>
      </c>
      <c r="B121" s="98" t="s">
        <v>71</v>
      </c>
      <c r="C121" s="98" t="s">
        <v>953</v>
      </c>
      <c r="D121" s="98" t="s">
        <v>954</v>
      </c>
      <c r="E121" s="98" t="s">
        <v>105</v>
      </c>
      <c r="F121" s="98" t="s">
        <v>157</v>
      </c>
      <c r="G121" s="98">
        <v>6</v>
      </c>
      <c r="H121" s="98" t="s">
        <v>953</v>
      </c>
      <c r="I121" s="98" t="s">
        <v>954</v>
      </c>
      <c r="J121" s="98" t="s">
        <v>955</v>
      </c>
      <c r="K121" s="98" t="s">
        <v>956</v>
      </c>
      <c r="L121" s="98" t="s">
        <v>957</v>
      </c>
      <c r="M121" s="102">
        <v>1.2</v>
      </c>
      <c r="N121" s="104"/>
      <c r="O121" s="101"/>
      <c r="P121" s="102">
        <v>0</v>
      </c>
      <c r="Q121" s="102">
        <f t="shared" si="2"/>
        <v>7.1999999999999993</v>
      </c>
      <c r="R121" s="98">
        <v>30</v>
      </c>
      <c r="S121" s="98">
        <v>5000</v>
      </c>
      <c r="T121" s="98">
        <v>5000</v>
      </c>
      <c r="U121" s="98"/>
      <c r="V121" s="103"/>
      <c r="W121" s="98"/>
      <c r="X121" s="98" t="s">
        <v>958</v>
      </c>
      <c r="Y121" s="98"/>
      <c r="Z121" s="98"/>
      <c r="AA121" s="102"/>
      <c r="AB121" s="98"/>
      <c r="AC121" s="98"/>
      <c r="AD121" s="102"/>
      <c r="AE121" s="98"/>
      <c r="AF121" s="98"/>
      <c r="AG121" s="102"/>
    </row>
    <row r="122" spans="1:33" ht="29.4" customHeight="1">
      <c r="A122" s="97">
        <v>133</v>
      </c>
      <c r="B122" s="98" t="s">
        <v>71</v>
      </c>
      <c r="C122" s="98" t="s">
        <v>959</v>
      </c>
      <c r="D122" s="98" t="s">
        <v>960</v>
      </c>
      <c r="E122" s="98" t="s">
        <v>105</v>
      </c>
      <c r="F122" s="98" t="s">
        <v>157</v>
      </c>
      <c r="G122" s="98">
        <v>1</v>
      </c>
      <c r="H122" s="98" t="s">
        <v>959</v>
      </c>
      <c r="I122" s="98" t="s">
        <v>960</v>
      </c>
      <c r="J122" s="98" t="s">
        <v>955</v>
      </c>
      <c r="K122" s="98" t="s">
        <v>956</v>
      </c>
      <c r="L122" s="98" t="s">
        <v>957</v>
      </c>
      <c r="M122" s="102">
        <v>0.71</v>
      </c>
      <c r="N122" s="104"/>
      <c r="O122" s="101"/>
      <c r="P122" s="102">
        <v>0</v>
      </c>
      <c r="Q122" s="102">
        <f t="shared" si="2"/>
        <v>0.71</v>
      </c>
      <c r="R122" s="98">
        <v>30</v>
      </c>
      <c r="S122" s="98">
        <v>5000</v>
      </c>
      <c r="T122" s="98">
        <v>5000</v>
      </c>
      <c r="U122" s="98"/>
      <c r="V122" s="103"/>
      <c r="W122" s="98"/>
      <c r="X122" s="98" t="s">
        <v>961</v>
      </c>
      <c r="Y122" s="98"/>
      <c r="Z122" s="98"/>
      <c r="AA122" s="102"/>
      <c r="AB122" s="98"/>
      <c r="AC122" s="98"/>
      <c r="AD122" s="102"/>
      <c r="AE122" s="98"/>
      <c r="AF122" s="98"/>
      <c r="AG122" s="102"/>
    </row>
    <row r="123" spans="1:33" ht="29.4" customHeight="1">
      <c r="A123" s="97">
        <v>134</v>
      </c>
      <c r="B123" s="98" t="s">
        <v>71</v>
      </c>
      <c r="C123" s="98" t="s">
        <v>962</v>
      </c>
      <c r="D123" s="98" t="s">
        <v>963</v>
      </c>
      <c r="E123" s="98" t="s">
        <v>105</v>
      </c>
      <c r="F123" s="98" t="s">
        <v>157</v>
      </c>
      <c r="G123" s="98">
        <v>1</v>
      </c>
      <c r="H123" s="98" t="s">
        <v>962</v>
      </c>
      <c r="I123" s="98" t="s">
        <v>963</v>
      </c>
      <c r="J123" s="98" t="s">
        <v>912</v>
      </c>
      <c r="K123" s="98"/>
      <c r="L123" s="106" t="s">
        <v>602</v>
      </c>
      <c r="M123" s="100">
        <v>0</v>
      </c>
      <c r="N123" s="101">
        <v>0</v>
      </c>
      <c r="O123" s="101">
        <f>(N123-M123)*G123</f>
        <v>0</v>
      </c>
      <c r="P123" s="102">
        <v>0</v>
      </c>
      <c r="Q123" s="102">
        <f t="shared" si="2"/>
        <v>0</v>
      </c>
      <c r="R123" s="98">
        <v>0</v>
      </c>
      <c r="S123" s="98"/>
      <c r="T123" s="98"/>
      <c r="U123" s="98"/>
      <c r="V123" s="106" t="s">
        <v>603</v>
      </c>
      <c r="W123" s="98"/>
      <c r="X123" s="98" t="s">
        <v>964</v>
      </c>
      <c r="Y123" s="98"/>
      <c r="Z123" s="98"/>
      <c r="AA123" s="102"/>
      <c r="AB123" s="98"/>
      <c r="AC123" s="98"/>
      <c r="AD123" s="102"/>
      <c r="AE123" s="98"/>
      <c r="AF123" s="98"/>
      <c r="AG123" s="102"/>
    </row>
    <row r="124" spans="1:33" ht="29.4" customHeight="1">
      <c r="A124" s="97">
        <v>135</v>
      </c>
      <c r="B124" s="98" t="s">
        <v>71</v>
      </c>
      <c r="C124" s="98" t="s">
        <v>965</v>
      </c>
      <c r="D124" s="98" t="s">
        <v>966</v>
      </c>
      <c r="E124" s="98" t="s">
        <v>105</v>
      </c>
      <c r="F124" s="98" t="s">
        <v>157</v>
      </c>
      <c r="G124" s="98">
        <v>2</v>
      </c>
      <c r="H124" s="98" t="s">
        <v>965</v>
      </c>
      <c r="I124" s="98" t="s">
        <v>966</v>
      </c>
      <c r="J124" s="98" t="s">
        <v>912</v>
      </c>
      <c r="K124" s="98"/>
      <c r="L124" s="106" t="s">
        <v>602</v>
      </c>
      <c r="M124" s="100">
        <v>0</v>
      </c>
      <c r="N124" s="101">
        <v>0</v>
      </c>
      <c r="O124" s="101">
        <f>(N124-M124)*G124</f>
        <v>0</v>
      </c>
      <c r="P124" s="102">
        <v>0</v>
      </c>
      <c r="Q124" s="102">
        <f t="shared" si="2"/>
        <v>0</v>
      </c>
      <c r="R124" s="98">
        <v>0</v>
      </c>
      <c r="S124" s="98"/>
      <c r="T124" s="98"/>
      <c r="U124" s="98"/>
      <c r="V124" s="106" t="s">
        <v>603</v>
      </c>
      <c r="W124" s="98"/>
      <c r="X124" s="98" t="s">
        <v>967</v>
      </c>
      <c r="Y124" s="98"/>
      <c r="Z124" s="98"/>
      <c r="AA124" s="102"/>
      <c r="AB124" s="98"/>
      <c r="AC124" s="98"/>
      <c r="AD124" s="102"/>
      <c r="AE124" s="98"/>
      <c r="AF124" s="98"/>
      <c r="AG124" s="102"/>
    </row>
    <row r="125" spans="1:33" ht="29.4" customHeight="1">
      <c r="A125" s="97">
        <v>136</v>
      </c>
      <c r="B125" s="98" t="s">
        <v>71</v>
      </c>
      <c r="C125" s="98" t="s">
        <v>968</v>
      </c>
      <c r="D125" s="98" t="s">
        <v>969</v>
      </c>
      <c r="E125" s="98" t="s">
        <v>105</v>
      </c>
      <c r="F125" s="98" t="s">
        <v>970</v>
      </c>
      <c r="G125" s="98">
        <v>1</v>
      </c>
      <c r="H125" s="98" t="s">
        <v>968</v>
      </c>
      <c r="I125" s="98" t="s">
        <v>971</v>
      </c>
      <c r="J125" s="98" t="s">
        <v>138</v>
      </c>
      <c r="K125" s="98" t="s">
        <v>972</v>
      </c>
      <c r="L125" s="98" t="s">
        <v>973</v>
      </c>
      <c r="M125" s="102">
        <v>0.11799999999999999</v>
      </c>
      <c r="N125" s="104"/>
      <c r="O125" s="101"/>
      <c r="P125" s="102">
        <v>0</v>
      </c>
      <c r="Q125" s="102">
        <f t="shared" si="2"/>
        <v>0.11799999999999999</v>
      </c>
      <c r="R125" s="98">
        <v>21</v>
      </c>
      <c r="S125" s="98">
        <v>10000</v>
      </c>
      <c r="T125" s="98"/>
      <c r="U125" s="98"/>
      <c r="V125" s="103"/>
      <c r="W125" s="98"/>
      <c r="X125" s="98" t="s">
        <v>974</v>
      </c>
      <c r="Y125" s="98"/>
      <c r="Z125" s="98"/>
      <c r="AA125" s="102"/>
      <c r="AB125" s="98"/>
      <c r="AC125" s="98"/>
      <c r="AD125" s="102"/>
      <c r="AE125" s="98"/>
      <c r="AF125" s="98"/>
      <c r="AG125" s="102"/>
    </row>
    <row r="126" spans="1:33" ht="29.4" customHeight="1">
      <c r="A126" s="97">
        <v>137</v>
      </c>
      <c r="B126" s="98" t="s">
        <v>71</v>
      </c>
      <c r="C126" s="98" t="s">
        <v>975</v>
      </c>
      <c r="D126" s="98" t="s">
        <v>976</v>
      </c>
      <c r="E126" s="98" t="s">
        <v>105</v>
      </c>
      <c r="F126" s="98" t="s">
        <v>970</v>
      </c>
      <c r="G126" s="98">
        <v>6</v>
      </c>
      <c r="H126" s="98" t="s">
        <v>975</v>
      </c>
      <c r="I126" s="98" t="s">
        <v>976</v>
      </c>
      <c r="J126" s="98" t="s">
        <v>977</v>
      </c>
      <c r="K126" s="98" t="s">
        <v>978</v>
      </c>
      <c r="L126" s="98" t="s">
        <v>979</v>
      </c>
      <c r="M126" s="102">
        <v>0.24</v>
      </c>
      <c r="N126" s="104"/>
      <c r="O126" s="101"/>
      <c r="P126" s="102">
        <v>0</v>
      </c>
      <c r="Q126" s="102">
        <f t="shared" si="2"/>
        <v>1.44</v>
      </c>
      <c r="R126" s="98">
        <v>21</v>
      </c>
      <c r="S126" s="98">
        <v>10000</v>
      </c>
      <c r="T126" s="98">
        <v>1000</v>
      </c>
      <c r="U126" s="98"/>
      <c r="V126" s="103"/>
      <c r="W126" s="98"/>
      <c r="X126" s="98" t="s">
        <v>980</v>
      </c>
      <c r="Y126" s="98"/>
      <c r="Z126" s="98"/>
      <c r="AA126" s="102"/>
      <c r="AB126" s="98"/>
      <c r="AC126" s="98"/>
      <c r="AD126" s="102"/>
      <c r="AE126" s="98"/>
      <c r="AF126" s="98"/>
      <c r="AG126" s="102"/>
    </row>
    <row r="127" spans="1:33" ht="29.4" customHeight="1">
      <c r="A127" s="97">
        <v>138</v>
      </c>
      <c r="B127" s="98" t="s">
        <v>71</v>
      </c>
      <c r="C127" s="98" t="s">
        <v>981</v>
      </c>
      <c r="D127" s="98" t="s">
        <v>982</v>
      </c>
      <c r="E127" s="98" t="s">
        <v>105</v>
      </c>
      <c r="F127" s="98" t="s">
        <v>144</v>
      </c>
      <c r="G127" s="98">
        <v>133</v>
      </c>
      <c r="H127" s="98" t="s">
        <v>981</v>
      </c>
      <c r="I127" s="98" t="s">
        <v>982</v>
      </c>
      <c r="J127" s="98" t="s">
        <v>983</v>
      </c>
      <c r="K127" s="98" t="s">
        <v>984</v>
      </c>
      <c r="L127" s="98" t="s">
        <v>985</v>
      </c>
      <c r="M127" s="102">
        <v>0.21779999999999999</v>
      </c>
      <c r="N127" s="104">
        <v>0.26700000000000002</v>
      </c>
      <c r="O127" s="101">
        <f>(N127-M127)*G127</f>
        <v>6.5436000000000032</v>
      </c>
      <c r="P127" s="102">
        <v>0</v>
      </c>
      <c r="Q127" s="102">
        <f t="shared" si="2"/>
        <v>28.967399999999998</v>
      </c>
      <c r="R127" s="98">
        <v>35</v>
      </c>
      <c r="S127" s="98">
        <v>5000</v>
      </c>
      <c r="T127" s="98">
        <v>1</v>
      </c>
      <c r="U127" s="98"/>
      <c r="V127" s="103"/>
      <c r="W127" s="98"/>
      <c r="X127" s="98" t="s">
        <v>986</v>
      </c>
      <c r="Y127" s="98"/>
      <c r="Z127" s="98"/>
      <c r="AA127" s="102"/>
      <c r="AB127" s="98"/>
      <c r="AC127" s="98"/>
      <c r="AD127" s="102"/>
      <c r="AE127" s="98"/>
      <c r="AF127" s="98"/>
      <c r="AG127" s="102"/>
    </row>
    <row r="128" spans="1:33" ht="29.4" customHeight="1">
      <c r="A128" s="97">
        <v>139</v>
      </c>
      <c r="B128" s="98" t="s">
        <v>71</v>
      </c>
      <c r="C128" s="98" t="s">
        <v>987</v>
      </c>
      <c r="D128" s="98" t="s">
        <v>988</v>
      </c>
      <c r="E128" s="98" t="s">
        <v>105</v>
      </c>
      <c r="F128" s="98" t="s">
        <v>989</v>
      </c>
      <c r="G128" s="98">
        <v>5</v>
      </c>
      <c r="H128" s="98" t="s">
        <v>987</v>
      </c>
      <c r="I128" s="98" t="s">
        <v>988</v>
      </c>
      <c r="J128" s="98" t="s">
        <v>108</v>
      </c>
      <c r="K128" s="98" t="s">
        <v>990</v>
      </c>
      <c r="L128" s="98" t="s">
        <v>991</v>
      </c>
      <c r="M128" s="102">
        <v>3.73E-2</v>
      </c>
      <c r="N128" s="104"/>
      <c r="O128" s="101"/>
      <c r="P128" s="102">
        <v>0</v>
      </c>
      <c r="Q128" s="102">
        <f t="shared" si="2"/>
        <v>0.1865</v>
      </c>
      <c r="R128" s="98">
        <v>28</v>
      </c>
      <c r="S128" s="98">
        <v>10000</v>
      </c>
      <c r="T128" s="98"/>
      <c r="U128" s="98"/>
      <c r="V128" s="103"/>
      <c r="W128" s="98"/>
      <c r="X128" s="98" t="s">
        <v>992</v>
      </c>
      <c r="Y128" s="98"/>
      <c r="Z128" s="98"/>
      <c r="AA128" s="102"/>
      <c r="AB128" s="98"/>
      <c r="AC128" s="98"/>
      <c r="AD128" s="102"/>
      <c r="AE128" s="98"/>
      <c r="AF128" s="98"/>
      <c r="AG128" s="102"/>
    </row>
    <row r="129" spans="1:33" ht="29.4" customHeight="1">
      <c r="A129" s="97">
        <v>140</v>
      </c>
      <c r="B129" s="98" t="s">
        <v>71</v>
      </c>
      <c r="C129" s="98" t="s">
        <v>993</v>
      </c>
      <c r="D129" s="98" t="s">
        <v>994</v>
      </c>
      <c r="E129" s="98" t="s">
        <v>105</v>
      </c>
      <c r="F129" s="98" t="s">
        <v>995</v>
      </c>
      <c r="G129" s="98">
        <v>1</v>
      </c>
      <c r="H129" s="98" t="s">
        <v>993</v>
      </c>
      <c r="I129" s="98" t="s">
        <v>994</v>
      </c>
      <c r="J129" s="98" t="s">
        <v>996</v>
      </c>
      <c r="K129" s="98" t="s">
        <v>997</v>
      </c>
      <c r="L129" s="98" t="s">
        <v>998</v>
      </c>
      <c r="M129" s="102">
        <v>38.278500000000001</v>
      </c>
      <c r="N129" s="104">
        <v>48.506399999999999</v>
      </c>
      <c r="O129" s="101">
        <f>(N129-M129)*G129</f>
        <v>10.227899999999998</v>
      </c>
      <c r="P129" s="102">
        <v>0</v>
      </c>
      <c r="Q129" s="102">
        <f t="shared" si="2"/>
        <v>38.278500000000001</v>
      </c>
      <c r="R129" s="98">
        <v>20</v>
      </c>
      <c r="S129" s="98">
        <v>100</v>
      </c>
      <c r="T129" s="98">
        <v>100</v>
      </c>
      <c r="U129" s="98"/>
      <c r="V129" s="103"/>
      <c r="W129" s="98"/>
      <c r="X129" s="98"/>
      <c r="Y129" s="98"/>
      <c r="Z129" s="98"/>
      <c r="AA129" s="102"/>
      <c r="AB129" s="98"/>
      <c r="AC129" s="98"/>
      <c r="AD129" s="102"/>
      <c r="AE129" s="98"/>
      <c r="AF129" s="98"/>
      <c r="AG129" s="102"/>
    </row>
    <row r="130" spans="1:33" ht="29.4" customHeight="1">
      <c r="A130" s="97">
        <v>141</v>
      </c>
      <c r="B130" s="98" t="s">
        <v>71</v>
      </c>
      <c r="C130" s="98" t="s">
        <v>212</v>
      </c>
      <c r="D130" s="98" t="s">
        <v>213</v>
      </c>
      <c r="E130" s="98" t="s">
        <v>105</v>
      </c>
      <c r="F130" s="98" t="s">
        <v>157</v>
      </c>
      <c r="G130" s="98">
        <v>3</v>
      </c>
      <c r="H130" s="98" t="s">
        <v>212</v>
      </c>
      <c r="I130" s="98" t="s">
        <v>213</v>
      </c>
      <c r="J130" s="98" t="s">
        <v>183</v>
      </c>
      <c r="K130" s="98" t="s">
        <v>184</v>
      </c>
      <c r="L130" s="98" t="s">
        <v>185</v>
      </c>
      <c r="M130" s="102">
        <v>6.5000000000000002E-2</v>
      </c>
      <c r="N130" s="104"/>
      <c r="O130" s="101"/>
      <c r="P130" s="102">
        <v>0</v>
      </c>
      <c r="Q130" s="102">
        <f t="shared" si="2"/>
        <v>0.19500000000000001</v>
      </c>
      <c r="R130" s="98">
        <v>91</v>
      </c>
      <c r="S130" s="98">
        <v>0</v>
      </c>
      <c r="T130" s="98">
        <v>20000</v>
      </c>
      <c r="U130" s="98"/>
      <c r="V130" s="103"/>
      <c r="W130" s="98"/>
      <c r="X130" s="98" t="s">
        <v>999</v>
      </c>
      <c r="Y130" s="98"/>
      <c r="Z130" s="98"/>
      <c r="AA130" s="102"/>
      <c r="AB130" s="98"/>
      <c r="AC130" s="98"/>
      <c r="AD130" s="102"/>
      <c r="AE130" s="98"/>
      <c r="AF130" s="98"/>
      <c r="AG130" s="102"/>
    </row>
    <row r="131" spans="1:33" ht="29.4" customHeight="1">
      <c r="A131" s="97">
        <v>142</v>
      </c>
      <c r="B131" s="98" t="s">
        <v>71</v>
      </c>
      <c r="C131" s="98" t="s">
        <v>558</v>
      </c>
      <c r="D131" s="98" t="s">
        <v>559</v>
      </c>
      <c r="E131" s="98" t="s">
        <v>105</v>
      </c>
      <c r="F131" s="98" t="s">
        <v>157</v>
      </c>
      <c r="G131" s="98">
        <v>4</v>
      </c>
      <c r="H131" s="98" t="s">
        <v>558</v>
      </c>
      <c r="I131" s="98" t="s">
        <v>559</v>
      </c>
      <c r="J131" s="98" t="s">
        <v>543</v>
      </c>
      <c r="K131" s="98" t="s">
        <v>148</v>
      </c>
      <c r="L131" s="98" t="s">
        <v>149</v>
      </c>
      <c r="M131" s="102">
        <v>0.28599999999999998</v>
      </c>
      <c r="N131" s="104">
        <v>0.34320000000000001</v>
      </c>
      <c r="O131" s="101">
        <f>(N131-M131)*G131</f>
        <v>0.22880000000000011</v>
      </c>
      <c r="P131" s="102">
        <v>0</v>
      </c>
      <c r="Q131" s="102">
        <f t="shared" si="2"/>
        <v>1.1439999999999999</v>
      </c>
      <c r="R131" s="98">
        <v>84</v>
      </c>
      <c r="S131" s="98">
        <v>1200</v>
      </c>
      <c r="T131" s="98">
        <v>300</v>
      </c>
      <c r="U131" s="98"/>
      <c r="V131" s="103"/>
      <c r="W131" s="98"/>
      <c r="X131" s="98" t="s">
        <v>1000</v>
      </c>
      <c r="Y131" s="98"/>
      <c r="Z131" s="98"/>
      <c r="AA131" s="102"/>
      <c r="AB131" s="98"/>
      <c r="AC131" s="98"/>
      <c r="AD131" s="102"/>
      <c r="AE131" s="98"/>
      <c r="AF131" s="98"/>
      <c r="AG131" s="102"/>
    </row>
    <row r="132" spans="1:33" ht="29.4" customHeight="1">
      <c r="A132" s="97">
        <v>143</v>
      </c>
      <c r="B132" s="98" t="s">
        <v>71</v>
      </c>
      <c r="C132" s="98" t="s">
        <v>577</v>
      </c>
      <c r="D132" s="98" t="s">
        <v>578</v>
      </c>
      <c r="E132" s="98" t="s">
        <v>105</v>
      </c>
      <c r="F132" s="98" t="s">
        <v>157</v>
      </c>
      <c r="G132" s="98">
        <v>6</v>
      </c>
      <c r="H132" s="98" t="s">
        <v>577</v>
      </c>
      <c r="I132" s="98" t="s">
        <v>578</v>
      </c>
      <c r="J132" s="98" t="s">
        <v>205</v>
      </c>
      <c r="K132" s="98" t="s">
        <v>579</v>
      </c>
      <c r="L132" s="98" t="s">
        <v>580</v>
      </c>
      <c r="M132" s="102">
        <v>1.2</v>
      </c>
      <c r="N132" s="104"/>
      <c r="O132" s="101"/>
      <c r="P132" s="102">
        <v>0</v>
      </c>
      <c r="Q132" s="102">
        <f t="shared" si="2"/>
        <v>7.1999999999999993</v>
      </c>
      <c r="R132" s="98">
        <v>30</v>
      </c>
      <c r="S132" s="98">
        <v>1</v>
      </c>
      <c r="T132" s="98">
        <v>1</v>
      </c>
      <c r="U132" s="98"/>
      <c r="V132" s="103"/>
      <c r="W132" s="98"/>
      <c r="X132" s="98" t="s">
        <v>1001</v>
      </c>
      <c r="Y132" s="98"/>
      <c r="Z132" s="98"/>
      <c r="AA132" s="102"/>
      <c r="AB132" s="98"/>
      <c r="AC132" s="98"/>
      <c r="AD132" s="102"/>
      <c r="AE132" s="98"/>
      <c r="AF132" s="98"/>
      <c r="AG132" s="102"/>
    </row>
    <row r="133" spans="1:33" ht="29.4" customHeight="1">
      <c r="A133" s="97">
        <v>144</v>
      </c>
      <c r="B133" s="98" t="s">
        <v>71</v>
      </c>
      <c r="C133" s="98" t="s">
        <v>1002</v>
      </c>
      <c r="D133" s="98" t="s">
        <v>1003</v>
      </c>
      <c r="E133" s="98" t="s">
        <v>105</v>
      </c>
      <c r="F133" s="98" t="s">
        <v>157</v>
      </c>
      <c r="G133" s="98">
        <v>6</v>
      </c>
      <c r="H133" s="98" t="s">
        <v>1002</v>
      </c>
      <c r="I133" s="98" t="s">
        <v>1003</v>
      </c>
      <c r="J133" s="98" t="s">
        <v>183</v>
      </c>
      <c r="K133" s="98" t="s">
        <v>636</v>
      </c>
      <c r="L133" s="98" t="s">
        <v>637</v>
      </c>
      <c r="M133" s="102">
        <v>0.24879999999999999</v>
      </c>
      <c r="N133" s="104"/>
      <c r="O133" s="101"/>
      <c r="P133" s="102">
        <v>0</v>
      </c>
      <c r="Q133" s="102">
        <f t="shared" ref="Q133:Q196" si="3">G133*M133</f>
        <v>1.4927999999999999</v>
      </c>
      <c r="R133" s="98">
        <v>112</v>
      </c>
      <c r="S133" s="98">
        <v>0</v>
      </c>
      <c r="T133" s="98">
        <v>3000</v>
      </c>
      <c r="U133" s="98"/>
      <c r="V133" s="103"/>
      <c r="W133" s="98"/>
      <c r="X133" s="98" t="s">
        <v>1004</v>
      </c>
      <c r="Y133" s="98"/>
      <c r="Z133" s="98"/>
      <c r="AA133" s="102"/>
      <c r="AB133" s="98"/>
      <c r="AC133" s="98"/>
      <c r="AD133" s="102"/>
      <c r="AE133" s="98"/>
      <c r="AF133" s="98"/>
      <c r="AG133" s="102"/>
    </row>
    <row r="134" spans="1:33" ht="29.4" customHeight="1">
      <c r="A134" s="97">
        <v>145</v>
      </c>
      <c r="B134" s="98" t="s">
        <v>71</v>
      </c>
      <c r="C134" s="98" t="s">
        <v>1005</v>
      </c>
      <c r="D134" s="98" t="s">
        <v>1006</v>
      </c>
      <c r="E134" s="98" t="s">
        <v>105</v>
      </c>
      <c r="F134" s="98" t="s">
        <v>157</v>
      </c>
      <c r="G134" s="98">
        <v>1</v>
      </c>
      <c r="H134" s="98" t="s">
        <v>1005</v>
      </c>
      <c r="I134" s="98" t="s">
        <v>1007</v>
      </c>
      <c r="J134" s="98" t="s">
        <v>789</v>
      </c>
      <c r="K134" s="98" t="s">
        <v>1008</v>
      </c>
      <c r="L134" s="98" t="s">
        <v>1009</v>
      </c>
      <c r="M134" s="102">
        <v>0.72</v>
      </c>
      <c r="N134" s="104"/>
      <c r="O134" s="101"/>
      <c r="P134" s="102">
        <v>0</v>
      </c>
      <c r="Q134" s="102">
        <f t="shared" si="3"/>
        <v>0.72</v>
      </c>
      <c r="R134" s="98">
        <v>56</v>
      </c>
      <c r="S134" s="98">
        <v>3000</v>
      </c>
      <c r="T134" s="98">
        <v>3000</v>
      </c>
      <c r="U134" s="98"/>
      <c r="V134" s="103"/>
      <c r="W134" s="98"/>
      <c r="X134" s="98" t="s">
        <v>1010</v>
      </c>
      <c r="Y134" s="98"/>
      <c r="Z134" s="98"/>
      <c r="AA134" s="102"/>
      <c r="AB134" s="98"/>
      <c r="AC134" s="98"/>
      <c r="AD134" s="102"/>
      <c r="AE134" s="98"/>
      <c r="AF134" s="98"/>
      <c r="AG134" s="102"/>
    </row>
    <row r="135" spans="1:33" ht="29.4" customHeight="1">
      <c r="A135" s="97">
        <v>146</v>
      </c>
      <c r="B135" s="98" t="s">
        <v>71</v>
      </c>
      <c r="C135" s="98" t="s">
        <v>1011</v>
      </c>
      <c r="D135" s="98" t="s">
        <v>1012</v>
      </c>
      <c r="E135" s="98" t="s">
        <v>105</v>
      </c>
      <c r="F135" s="98" t="s">
        <v>157</v>
      </c>
      <c r="G135" s="98">
        <v>2</v>
      </c>
      <c r="H135" s="98" t="s">
        <v>1011</v>
      </c>
      <c r="I135" s="98" t="s">
        <v>1013</v>
      </c>
      <c r="J135" s="98" t="s">
        <v>912</v>
      </c>
      <c r="K135" s="98"/>
      <c r="L135" s="106" t="s">
        <v>602</v>
      </c>
      <c r="M135" s="100">
        <v>0</v>
      </c>
      <c r="N135" s="101"/>
      <c r="O135" s="101"/>
      <c r="P135" s="102">
        <v>0</v>
      </c>
      <c r="Q135" s="102">
        <f t="shared" si="3"/>
        <v>0</v>
      </c>
      <c r="R135" s="98">
        <v>0</v>
      </c>
      <c r="S135" s="98"/>
      <c r="T135" s="98"/>
      <c r="U135" s="98"/>
      <c r="V135" s="106" t="s">
        <v>603</v>
      </c>
      <c r="W135" s="98"/>
      <c r="X135" s="98" t="s">
        <v>1014</v>
      </c>
      <c r="Y135" s="98"/>
      <c r="Z135" s="98"/>
      <c r="AA135" s="102"/>
      <c r="AB135" s="98"/>
      <c r="AC135" s="98"/>
      <c r="AD135" s="102"/>
      <c r="AE135" s="98"/>
      <c r="AF135" s="98"/>
      <c r="AG135" s="102"/>
    </row>
    <row r="136" spans="1:33" ht="29.4" customHeight="1">
      <c r="A136" s="97">
        <v>147</v>
      </c>
      <c r="B136" s="98" t="s">
        <v>71</v>
      </c>
      <c r="C136" s="98" t="s">
        <v>1015</v>
      </c>
      <c r="D136" s="98" t="s">
        <v>1016</v>
      </c>
      <c r="E136" s="98" t="s">
        <v>105</v>
      </c>
      <c r="F136" s="98" t="s">
        <v>989</v>
      </c>
      <c r="G136" s="98">
        <v>1</v>
      </c>
      <c r="H136" s="98" t="s">
        <v>1015</v>
      </c>
      <c r="I136" s="98" t="s">
        <v>1017</v>
      </c>
      <c r="J136" s="98" t="s">
        <v>983</v>
      </c>
      <c r="K136" s="98" t="s">
        <v>937</v>
      </c>
      <c r="L136" s="98" t="s">
        <v>938</v>
      </c>
      <c r="M136" s="102">
        <v>3</v>
      </c>
      <c r="N136" s="104"/>
      <c r="O136" s="101"/>
      <c r="P136" s="102">
        <v>0</v>
      </c>
      <c r="Q136" s="102">
        <f t="shared" si="3"/>
        <v>3</v>
      </c>
      <c r="R136" s="98">
        <v>28</v>
      </c>
      <c r="S136" s="98">
        <v>1000</v>
      </c>
      <c r="T136" s="98">
        <v>1</v>
      </c>
      <c r="U136" s="98"/>
      <c r="V136" s="103"/>
      <c r="W136" s="98"/>
      <c r="X136" s="98" t="s">
        <v>1018</v>
      </c>
      <c r="Y136" s="98"/>
      <c r="Z136" s="98"/>
      <c r="AA136" s="102"/>
      <c r="AB136" s="98"/>
      <c r="AC136" s="98"/>
      <c r="AD136" s="102"/>
      <c r="AE136" s="98"/>
      <c r="AF136" s="98"/>
      <c r="AG136" s="102"/>
    </row>
    <row r="137" spans="1:33" ht="29.4" customHeight="1">
      <c r="A137" s="97">
        <v>148</v>
      </c>
      <c r="B137" s="98" t="s">
        <v>71</v>
      </c>
      <c r="C137" s="98" t="s">
        <v>953</v>
      </c>
      <c r="D137" s="98" t="s">
        <v>954</v>
      </c>
      <c r="E137" s="98" t="s">
        <v>105</v>
      </c>
      <c r="F137" s="98" t="s">
        <v>157</v>
      </c>
      <c r="G137" s="98">
        <v>8</v>
      </c>
      <c r="H137" s="98" t="s">
        <v>953</v>
      </c>
      <c r="I137" s="98" t="s">
        <v>954</v>
      </c>
      <c r="J137" s="98" t="s">
        <v>955</v>
      </c>
      <c r="K137" s="98" t="s">
        <v>956</v>
      </c>
      <c r="L137" s="98" t="s">
        <v>957</v>
      </c>
      <c r="M137" s="102">
        <v>1.2</v>
      </c>
      <c r="N137" s="104"/>
      <c r="O137" s="101"/>
      <c r="P137" s="102">
        <v>0</v>
      </c>
      <c r="Q137" s="102">
        <f t="shared" si="3"/>
        <v>9.6</v>
      </c>
      <c r="R137" s="98">
        <v>30</v>
      </c>
      <c r="S137" s="98">
        <v>5000</v>
      </c>
      <c r="T137" s="98">
        <v>5000</v>
      </c>
      <c r="U137" s="98"/>
      <c r="V137" s="103"/>
      <c r="W137" s="98"/>
      <c r="X137" s="98" t="s">
        <v>1019</v>
      </c>
      <c r="Y137" s="98"/>
      <c r="Z137" s="98"/>
      <c r="AA137" s="102"/>
      <c r="AB137" s="98"/>
      <c r="AC137" s="98"/>
      <c r="AD137" s="102"/>
      <c r="AE137" s="98"/>
      <c r="AF137" s="98"/>
      <c r="AG137" s="102"/>
    </row>
    <row r="138" spans="1:33" ht="29.4" customHeight="1">
      <c r="A138" s="97">
        <v>149</v>
      </c>
      <c r="B138" s="98" t="s">
        <v>71</v>
      </c>
      <c r="C138" s="98" t="s">
        <v>1020</v>
      </c>
      <c r="D138" s="98" t="s">
        <v>1021</v>
      </c>
      <c r="E138" s="98" t="s">
        <v>105</v>
      </c>
      <c r="F138" s="98" t="s">
        <v>157</v>
      </c>
      <c r="G138" s="98">
        <v>14</v>
      </c>
      <c r="H138" s="98" t="s">
        <v>1020</v>
      </c>
      <c r="I138" s="98" t="s">
        <v>1021</v>
      </c>
      <c r="J138" s="98" t="s">
        <v>1022</v>
      </c>
      <c r="K138" s="98" t="s">
        <v>1023</v>
      </c>
      <c r="L138" s="98" t="s">
        <v>1024</v>
      </c>
      <c r="M138" s="102">
        <v>7.8200000000000006E-2</v>
      </c>
      <c r="N138" s="104"/>
      <c r="O138" s="101"/>
      <c r="P138" s="102">
        <v>0</v>
      </c>
      <c r="Q138" s="102">
        <f t="shared" si="3"/>
        <v>1.0948</v>
      </c>
      <c r="R138" s="98">
        <v>98</v>
      </c>
      <c r="S138" s="98">
        <v>0</v>
      </c>
      <c r="T138" s="98">
        <v>24000</v>
      </c>
      <c r="U138" s="98"/>
      <c r="V138" s="103"/>
      <c r="W138" s="98"/>
      <c r="X138" s="98" t="s">
        <v>1025</v>
      </c>
      <c r="Y138" s="98"/>
      <c r="Z138" s="98"/>
      <c r="AA138" s="102"/>
      <c r="AB138" s="98"/>
      <c r="AC138" s="98"/>
      <c r="AD138" s="102"/>
      <c r="AE138" s="98"/>
      <c r="AF138" s="98"/>
      <c r="AG138" s="102"/>
    </row>
    <row r="139" spans="1:33" ht="29.4" customHeight="1">
      <c r="A139" s="97">
        <v>150</v>
      </c>
      <c r="B139" s="98" t="s">
        <v>71</v>
      </c>
      <c r="C139" s="98" t="s">
        <v>975</v>
      </c>
      <c r="D139" s="98" t="s">
        <v>976</v>
      </c>
      <c r="E139" s="98" t="s">
        <v>105</v>
      </c>
      <c r="F139" s="98" t="s">
        <v>970</v>
      </c>
      <c r="G139" s="98">
        <v>8</v>
      </c>
      <c r="H139" s="98" t="s">
        <v>975</v>
      </c>
      <c r="I139" s="98" t="s">
        <v>976</v>
      </c>
      <c r="J139" s="98" t="s">
        <v>977</v>
      </c>
      <c r="K139" s="98" t="s">
        <v>978</v>
      </c>
      <c r="L139" s="98" t="s">
        <v>979</v>
      </c>
      <c r="M139" s="102">
        <v>0.24</v>
      </c>
      <c r="N139" s="104"/>
      <c r="O139" s="101"/>
      <c r="P139" s="102">
        <v>0</v>
      </c>
      <c r="Q139" s="102">
        <f t="shared" si="3"/>
        <v>1.92</v>
      </c>
      <c r="R139" s="98">
        <v>21</v>
      </c>
      <c r="S139" s="98">
        <v>10000</v>
      </c>
      <c r="T139" s="98">
        <v>1000</v>
      </c>
      <c r="U139" s="98"/>
      <c r="V139" s="103"/>
      <c r="W139" s="98"/>
      <c r="X139" s="98" t="s">
        <v>1019</v>
      </c>
      <c r="Y139" s="98"/>
      <c r="Z139" s="98"/>
      <c r="AA139" s="102"/>
      <c r="AB139" s="98"/>
      <c r="AC139" s="98"/>
      <c r="AD139" s="102"/>
      <c r="AE139" s="98"/>
      <c r="AF139" s="98"/>
      <c r="AG139" s="102"/>
    </row>
    <row r="140" spans="1:33" ht="29.4" customHeight="1">
      <c r="A140" s="97">
        <v>151</v>
      </c>
      <c r="B140" s="98" t="s">
        <v>71</v>
      </c>
      <c r="C140" s="98" t="s">
        <v>987</v>
      </c>
      <c r="D140" s="98" t="s">
        <v>988</v>
      </c>
      <c r="E140" s="98" t="s">
        <v>105</v>
      </c>
      <c r="F140" s="98" t="s">
        <v>989</v>
      </c>
      <c r="G140" s="98">
        <v>4</v>
      </c>
      <c r="H140" s="98" t="s">
        <v>987</v>
      </c>
      <c r="I140" s="98" t="s">
        <v>988</v>
      </c>
      <c r="J140" s="98" t="s">
        <v>108</v>
      </c>
      <c r="K140" s="98" t="s">
        <v>990</v>
      </c>
      <c r="L140" s="98" t="s">
        <v>991</v>
      </c>
      <c r="M140" s="102">
        <v>3.73E-2</v>
      </c>
      <c r="N140" s="104"/>
      <c r="O140" s="101"/>
      <c r="P140" s="102">
        <v>0</v>
      </c>
      <c r="Q140" s="102">
        <f t="shared" si="3"/>
        <v>0.1492</v>
      </c>
      <c r="R140" s="98">
        <v>28</v>
      </c>
      <c r="S140" s="98">
        <v>10000</v>
      </c>
      <c r="T140" s="98"/>
      <c r="U140" s="98"/>
      <c r="V140" s="103"/>
      <c r="W140" s="98"/>
      <c r="X140" s="98" t="s">
        <v>1000</v>
      </c>
      <c r="Y140" s="98"/>
      <c r="Z140" s="98"/>
      <c r="AA140" s="102"/>
      <c r="AB140" s="98"/>
      <c r="AC140" s="98"/>
      <c r="AD140" s="102"/>
      <c r="AE140" s="98"/>
      <c r="AF140" s="98"/>
      <c r="AG140" s="102"/>
    </row>
    <row r="141" spans="1:33" ht="29.4" customHeight="1">
      <c r="A141" s="97">
        <v>152</v>
      </c>
      <c r="B141" s="98" t="s">
        <v>71</v>
      </c>
      <c r="C141" s="98" t="s">
        <v>1026</v>
      </c>
      <c r="D141" s="98" t="s">
        <v>1027</v>
      </c>
      <c r="E141" s="98" t="s">
        <v>105</v>
      </c>
      <c r="F141" s="98" t="s">
        <v>995</v>
      </c>
      <c r="G141" s="98">
        <v>1</v>
      </c>
      <c r="H141" s="98" t="s">
        <v>1026</v>
      </c>
      <c r="I141" s="98" t="s">
        <v>1027</v>
      </c>
      <c r="J141" s="98" t="s">
        <v>996</v>
      </c>
      <c r="K141" s="98" t="s">
        <v>997</v>
      </c>
      <c r="L141" s="98" t="s">
        <v>998</v>
      </c>
      <c r="M141" s="102">
        <v>10.567500000000001</v>
      </c>
      <c r="N141" s="104">
        <v>13.64</v>
      </c>
      <c r="O141" s="101">
        <f t="shared" ref="O141:O197" si="4">(N141-M141)*G141</f>
        <v>3.0724999999999998</v>
      </c>
      <c r="P141" s="102">
        <v>0</v>
      </c>
      <c r="Q141" s="102">
        <f t="shared" si="3"/>
        <v>10.567500000000001</v>
      </c>
      <c r="R141" s="98">
        <v>20</v>
      </c>
      <c r="S141" s="98">
        <v>100</v>
      </c>
      <c r="T141" s="98">
        <v>100</v>
      </c>
      <c r="U141" s="98"/>
      <c r="V141" s="103"/>
      <c r="W141" s="98"/>
      <c r="X141" s="98"/>
      <c r="Y141" s="98"/>
      <c r="Z141" s="98"/>
      <c r="AA141" s="102"/>
      <c r="AB141" s="98"/>
      <c r="AC141" s="98"/>
      <c r="AD141" s="102"/>
      <c r="AE141" s="98"/>
      <c r="AF141" s="98"/>
      <c r="AG141" s="102"/>
    </row>
    <row r="142" spans="1:33" ht="29.4" customHeight="1">
      <c r="A142" s="97">
        <v>153</v>
      </c>
      <c r="B142" s="98" t="s">
        <v>71</v>
      </c>
      <c r="C142" s="98" t="s">
        <v>1028</v>
      </c>
      <c r="D142" s="98" t="s">
        <v>1029</v>
      </c>
      <c r="E142" s="98" t="s">
        <v>105</v>
      </c>
      <c r="F142" s="98" t="s">
        <v>144</v>
      </c>
      <c r="G142" s="98">
        <v>2</v>
      </c>
      <c r="H142" s="99" t="s">
        <v>237</v>
      </c>
      <c r="I142" s="98" t="s">
        <v>238</v>
      </c>
      <c r="J142" s="98" t="s">
        <v>218</v>
      </c>
      <c r="K142" s="98" t="s">
        <v>219</v>
      </c>
      <c r="L142" s="98" t="s">
        <v>185</v>
      </c>
      <c r="M142" s="102">
        <v>4.1999999999999997E-3</v>
      </c>
      <c r="N142" s="104">
        <v>5.7000000000000002E-3</v>
      </c>
      <c r="O142" s="101">
        <f t="shared" si="4"/>
        <v>3.0000000000000009E-3</v>
      </c>
      <c r="P142" s="102">
        <v>0</v>
      </c>
      <c r="Q142" s="102">
        <f t="shared" si="3"/>
        <v>8.3999999999999995E-3</v>
      </c>
      <c r="R142" s="98">
        <v>49</v>
      </c>
      <c r="S142" s="98">
        <v>1</v>
      </c>
      <c r="T142" s="98"/>
      <c r="U142" s="98"/>
      <c r="V142" s="103"/>
      <c r="W142" s="98"/>
      <c r="X142" s="98" t="s">
        <v>1030</v>
      </c>
      <c r="Y142" s="98" t="s">
        <v>239</v>
      </c>
      <c r="Z142" s="98" t="s">
        <v>240</v>
      </c>
      <c r="AA142" s="100">
        <v>7.4999999999999997E-3</v>
      </c>
      <c r="AB142" s="98" t="s">
        <v>1028</v>
      </c>
      <c r="AC142" s="98" t="s">
        <v>1029</v>
      </c>
      <c r="AD142" s="100" t="s">
        <v>154</v>
      </c>
      <c r="AE142" s="98"/>
      <c r="AF142" s="98"/>
      <c r="AG142" s="102"/>
    </row>
    <row r="143" spans="1:33" ht="29.4" customHeight="1">
      <c r="A143" s="97">
        <v>154</v>
      </c>
      <c r="B143" s="98" t="s">
        <v>71</v>
      </c>
      <c r="C143" s="98" t="s">
        <v>1031</v>
      </c>
      <c r="D143" s="98" t="s">
        <v>1032</v>
      </c>
      <c r="E143" s="98" t="s">
        <v>105</v>
      </c>
      <c r="F143" s="98" t="s">
        <v>144</v>
      </c>
      <c r="G143" s="98">
        <v>1</v>
      </c>
      <c r="H143" s="99" t="s">
        <v>1033</v>
      </c>
      <c r="I143" s="98" t="s">
        <v>1034</v>
      </c>
      <c r="J143" s="98" t="s">
        <v>183</v>
      </c>
      <c r="K143" s="98" t="s">
        <v>184</v>
      </c>
      <c r="L143" s="98" t="s">
        <v>185</v>
      </c>
      <c r="M143" s="102">
        <v>4.4999999999999997E-3</v>
      </c>
      <c r="N143" s="104">
        <v>5.7000000000000002E-3</v>
      </c>
      <c r="O143" s="101">
        <f t="shared" si="4"/>
        <v>1.2000000000000005E-3</v>
      </c>
      <c r="P143" s="102">
        <v>0</v>
      </c>
      <c r="Q143" s="102">
        <f t="shared" si="3"/>
        <v>4.4999999999999997E-3</v>
      </c>
      <c r="R143" s="98">
        <v>56</v>
      </c>
      <c r="S143" s="98">
        <v>0</v>
      </c>
      <c r="T143" s="98">
        <v>5000</v>
      </c>
      <c r="U143" s="98"/>
      <c r="V143" s="103"/>
      <c r="W143" s="98"/>
      <c r="X143" s="98" t="s">
        <v>220</v>
      </c>
      <c r="Y143" s="98" t="s">
        <v>1035</v>
      </c>
      <c r="Z143" s="98" t="s">
        <v>1036</v>
      </c>
      <c r="AA143" s="100">
        <v>7.4999999999999997E-3</v>
      </c>
      <c r="AB143" s="98" t="s">
        <v>1031</v>
      </c>
      <c r="AC143" s="98" t="s">
        <v>1032</v>
      </c>
      <c r="AD143" s="100" t="s">
        <v>154</v>
      </c>
      <c r="AE143" s="98"/>
      <c r="AF143" s="98"/>
      <c r="AG143" s="102"/>
    </row>
    <row r="144" spans="1:33" ht="29.4" customHeight="1">
      <c r="A144" s="97">
        <v>155</v>
      </c>
      <c r="B144" s="98" t="s">
        <v>71</v>
      </c>
      <c r="C144" s="98" t="s">
        <v>1037</v>
      </c>
      <c r="D144" s="98" t="s">
        <v>1038</v>
      </c>
      <c r="E144" s="98" t="s">
        <v>105</v>
      </c>
      <c r="F144" s="98" t="s">
        <v>157</v>
      </c>
      <c r="G144" s="98">
        <v>1</v>
      </c>
      <c r="H144" s="98">
        <v>3033056102</v>
      </c>
      <c r="I144" s="98" t="s">
        <v>1038</v>
      </c>
      <c r="J144" s="98" t="s">
        <v>183</v>
      </c>
      <c r="K144" s="98" t="s">
        <v>1039</v>
      </c>
      <c r="L144" s="98" t="s">
        <v>110</v>
      </c>
      <c r="M144" s="102">
        <v>0.1842</v>
      </c>
      <c r="N144" s="104">
        <v>0.22289999999999999</v>
      </c>
      <c r="O144" s="101">
        <f t="shared" si="4"/>
        <v>3.8699999999999984E-2</v>
      </c>
      <c r="P144" s="102">
        <v>0</v>
      </c>
      <c r="Q144" s="102">
        <f t="shared" si="3"/>
        <v>0.1842</v>
      </c>
      <c r="R144" s="98">
        <v>56</v>
      </c>
      <c r="S144" s="98">
        <v>0</v>
      </c>
      <c r="T144" s="98">
        <v>1000</v>
      </c>
      <c r="U144" s="98"/>
      <c r="V144" s="103"/>
      <c r="W144" s="98"/>
      <c r="X144" s="98" t="s">
        <v>1040</v>
      </c>
      <c r="Y144" s="98" t="s">
        <v>1041</v>
      </c>
      <c r="Z144" s="98" t="s">
        <v>1042</v>
      </c>
      <c r="AA144" s="102">
        <v>0.21390000000000001</v>
      </c>
      <c r="AB144" s="98"/>
      <c r="AC144" s="98"/>
      <c r="AD144" s="102"/>
      <c r="AE144" s="98"/>
      <c r="AF144" s="98"/>
      <c r="AG144" s="102"/>
    </row>
    <row r="145" spans="1:33" ht="29.4" customHeight="1">
      <c r="A145" s="97">
        <v>156</v>
      </c>
      <c r="B145" s="98" t="s">
        <v>71</v>
      </c>
      <c r="C145" s="98" t="s">
        <v>1043</v>
      </c>
      <c r="D145" s="98" t="s">
        <v>1044</v>
      </c>
      <c r="E145" s="98" t="s">
        <v>105</v>
      </c>
      <c r="F145" s="98" t="s">
        <v>157</v>
      </c>
      <c r="G145" s="98">
        <v>1</v>
      </c>
      <c r="H145" s="98" t="s">
        <v>1043</v>
      </c>
      <c r="I145" s="98" t="s">
        <v>1044</v>
      </c>
      <c r="J145" s="98" t="s">
        <v>218</v>
      </c>
      <c r="K145" s="98" t="s">
        <v>234</v>
      </c>
      <c r="L145" s="98" t="s">
        <v>235</v>
      </c>
      <c r="M145" s="102">
        <v>0.108</v>
      </c>
      <c r="N145" s="104">
        <v>0.1512</v>
      </c>
      <c r="O145" s="101">
        <f t="shared" si="4"/>
        <v>4.3200000000000002E-2</v>
      </c>
      <c r="P145" s="102">
        <v>0</v>
      </c>
      <c r="Q145" s="102">
        <f t="shared" si="3"/>
        <v>0.108</v>
      </c>
      <c r="R145" s="98">
        <v>42</v>
      </c>
      <c r="S145" s="98">
        <v>500</v>
      </c>
      <c r="T145" s="98"/>
      <c r="U145" s="98"/>
      <c r="V145" s="103"/>
      <c r="W145" s="98"/>
      <c r="X145" s="98" t="s">
        <v>1045</v>
      </c>
      <c r="Y145" s="98" t="s">
        <v>1046</v>
      </c>
      <c r="Z145" s="98" t="s">
        <v>1047</v>
      </c>
      <c r="AA145" s="102">
        <v>0.20960000000000001</v>
      </c>
      <c r="AB145" s="98"/>
      <c r="AC145" s="98"/>
      <c r="AD145" s="102"/>
      <c r="AE145" s="98"/>
      <c r="AF145" s="98"/>
      <c r="AG145" s="102"/>
    </row>
    <row r="146" spans="1:33" ht="29.4" customHeight="1">
      <c r="A146" s="97">
        <v>157</v>
      </c>
      <c r="B146" s="98" t="s">
        <v>71</v>
      </c>
      <c r="C146" s="98" t="s">
        <v>1048</v>
      </c>
      <c r="D146" s="98" t="s">
        <v>1049</v>
      </c>
      <c r="E146" s="98" t="s">
        <v>105</v>
      </c>
      <c r="F146" s="98" t="s">
        <v>157</v>
      </c>
      <c r="G146" s="98">
        <v>1</v>
      </c>
      <c r="H146" s="98" t="s">
        <v>1048</v>
      </c>
      <c r="I146" s="98" t="s">
        <v>1049</v>
      </c>
      <c r="J146" s="98" t="s">
        <v>183</v>
      </c>
      <c r="K146" s="98" t="s">
        <v>1008</v>
      </c>
      <c r="L146" s="98" t="s">
        <v>1009</v>
      </c>
      <c r="M146" s="102">
        <v>6.8000000000000005E-2</v>
      </c>
      <c r="N146" s="104"/>
      <c r="O146" s="101"/>
      <c r="P146" s="102">
        <v>0</v>
      </c>
      <c r="Q146" s="102">
        <f t="shared" si="3"/>
        <v>6.8000000000000005E-2</v>
      </c>
      <c r="R146" s="98">
        <v>105</v>
      </c>
      <c r="S146" s="98">
        <v>0</v>
      </c>
      <c r="T146" s="98">
        <v>1000</v>
      </c>
      <c r="U146" s="98"/>
      <c r="V146" s="103"/>
      <c r="W146" s="98"/>
      <c r="X146" s="98" t="s">
        <v>1050</v>
      </c>
      <c r="Y146" s="98" t="s">
        <v>1051</v>
      </c>
      <c r="Z146" s="98" t="s">
        <v>1052</v>
      </c>
      <c r="AA146" s="100">
        <v>0.2</v>
      </c>
      <c r="AB146" s="98"/>
      <c r="AC146" s="98"/>
      <c r="AD146" s="102"/>
      <c r="AE146" s="98"/>
      <c r="AF146" s="98"/>
      <c r="AG146" s="102"/>
    </row>
    <row r="147" spans="1:33" ht="29.4" customHeight="1">
      <c r="A147" s="97">
        <v>158</v>
      </c>
      <c r="B147" s="98" t="s">
        <v>71</v>
      </c>
      <c r="C147" s="98" t="s">
        <v>1053</v>
      </c>
      <c r="D147" s="98" t="s">
        <v>1054</v>
      </c>
      <c r="E147" s="98" t="s">
        <v>105</v>
      </c>
      <c r="F147" s="98" t="s">
        <v>144</v>
      </c>
      <c r="G147" s="98">
        <v>1</v>
      </c>
      <c r="H147" s="98" t="s">
        <v>1053</v>
      </c>
      <c r="I147" s="98" t="s">
        <v>1054</v>
      </c>
      <c r="J147" s="98" t="s">
        <v>789</v>
      </c>
      <c r="K147" s="98" t="s">
        <v>795</v>
      </c>
      <c r="L147" s="98" t="s">
        <v>796</v>
      </c>
      <c r="M147" s="102">
        <v>0.28060000000000002</v>
      </c>
      <c r="N147" s="104"/>
      <c r="O147" s="101"/>
      <c r="P147" s="102">
        <v>0</v>
      </c>
      <c r="Q147" s="102">
        <f t="shared" si="3"/>
        <v>0.28060000000000002</v>
      </c>
      <c r="R147" s="98">
        <v>56</v>
      </c>
      <c r="S147" s="98">
        <v>1500</v>
      </c>
      <c r="T147" s="98"/>
      <c r="U147" s="98"/>
      <c r="V147" s="103"/>
      <c r="W147" s="98"/>
      <c r="X147" s="98" t="s">
        <v>1055</v>
      </c>
      <c r="Y147" s="98"/>
      <c r="Z147" s="98"/>
      <c r="AA147" s="102"/>
      <c r="AB147" s="98"/>
      <c r="AC147" s="98"/>
      <c r="AD147" s="102"/>
      <c r="AE147" s="98"/>
      <c r="AF147" s="98"/>
      <c r="AG147" s="102"/>
    </row>
    <row r="148" spans="1:33" ht="29.4" customHeight="1">
      <c r="A148" s="97">
        <v>159</v>
      </c>
      <c r="B148" s="98" t="s">
        <v>71</v>
      </c>
      <c r="C148" s="98" t="s">
        <v>1056</v>
      </c>
      <c r="D148" s="98" t="s">
        <v>1057</v>
      </c>
      <c r="E148" s="98" t="s">
        <v>105</v>
      </c>
      <c r="F148" s="98" t="s">
        <v>157</v>
      </c>
      <c r="G148" s="98">
        <v>5</v>
      </c>
      <c r="H148" s="98" t="s">
        <v>1056</v>
      </c>
      <c r="I148" s="98" t="s">
        <v>1057</v>
      </c>
      <c r="J148" s="98" t="s">
        <v>172</v>
      </c>
      <c r="K148" s="98" t="s">
        <v>1058</v>
      </c>
      <c r="L148" s="98" t="s">
        <v>1059</v>
      </c>
      <c r="M148" s="102">
        <v>0.08</v>
      </c>
      <c r="N148" s="104"/>
      <c r="O148" s="101"/>
      <c r="P148" s="102">
        <v>0</v>
      </c>
      <c r="Q148" s="102">
        <f t="shared" si="3"/>
        <v>0.4</v>
      </c>
      <c r="R148" s="98">
        <v>35</v>
      </c>
      <c r="S148" s="98">
        <v>7500</v>
      </c>
      <c r="T148" s="98"/>
      <c r="U148" s="98"/>
      <c r="V148" s="103"/>
      <c r="W148" s="98"/>
      <c r="X148" s="98" t="s">
        <v>1060</v>
      </c>
      <c r="Y148" s="98"/>
      <c r="Z148" s="98"/>
      <c r="AA148" s="102"/>
      <c r="AB148" s="98"/>
      <c r="AC148" s="98"/>
      <c r="AD148" s="102"/>
      <c r="AE148" s="98"/>
      <c r="AF148" s="98"/>
      <c r="AG148" s="102"/>
    </row>
    <row r="149" spans="1:33" ht="29.4" customHeight="1">
      <c r="A149" s="97">
        <v>160</v>
      </c>
      <c r="B149" s="98" t="s">
        <v>71</v>
      </c>
      <c r="C149" s="98" t="s">
        <v>1061</v>
      </c>
      <c r="D149" s="98" t="s">
        <v>1062</v>
      </c>
      <c r="E149" s="98" t="s">
        <v>105</v>
      </c>
      <c r="F149" s="98" t="s">
        <v>106</v>
      </c>
      <c r="G149" s="98">
        <v>1</v>
      </c>
      <c r="H149" s="98" t="s">
        <v>1061</v>
      </c>
      <c r="I149" s="98" t="s">
        <v>1062</v>
      </c>
      <c r="J149" s="98" t="s">
        <v>1022</v>
      </c>
      <c r="K149" s="98" t="s">
        <v>1063</v>
      </c>
      <c r="L149" s="98" t="s">
        <v>1064</v>
      </c>
      <c r="M149" s="102">
        <v>3.6700000000000003E-2</v>
      </c>
      <c r="N149" s="104"/>
      <c r="O149" s="101"/>
      <c r="P149" s="102">
        <v>0</v>
      </c>
      <c r="Q149" s="102">
        <f t="shared" si="3"/>
        <v>3.6700000000000003E-2</v>
      </c>
      <c r="R149" s="98">
        <v>14</v>
      </c>
      <c r="S149" s="98">
        <v>0</v>
      </c>
      <c r="T149" s="98">
        <v>100</v>
      </c>
      <c r="U149" s="98"/>
      <c r="V149" s="103"/>
      <c r="W149" s="98"/>
      <c r="X149" s="98" t="s">
        <v>1040</v>
      </c>
      <c r="Y149" s="98"/>
      <c r="Z149" s="98"/>
      <c r="AA149" s="102"/>
      <c r="AB149" s="98"/>
      <c r="AC149" s="98"/>
      <c r="AD149" s="102"/>
      <c r="AE149" s="98"/>
      <c r="AF149" s="98"/>
      <c r="AG149" s="102"/>
    </row>
    <row r="150" spans="1:33" ht="29.4" customHeight="1">
      <c r="A150" s="97">
        <v>161</v>
      </c>
      <c r="B150" s="98" t="s">
        <v>71</v>
      </c>
      <c r="C150" s="98" t="s">
        <v>1065</v>
      </c>
      <c r="D150" s="98" t="s">
        <v>1066</v>
      </c>
      <c r="E150" s="98" t="s">
        <v>105</v>
      </c>
      <c r="F150" s="98" t="s">
        <v>157</v>
      </c>
      <c r="G150" s="98">
        <v>2</v>
      </c>
      <c r="H150" s="98" t="s">
        <v>1065</v>
      </c>
      <c r="I150" s="98" t="s">
        <v>1066</v>
      </c>
      <c r="J150" s="98" t="s">
        <v>1022</v>
      </c>
      <c r="K150" s="98" t="s">
        <v>1063</v>
      </c>
      <c r="L150" s="98" t="s">
        <v>1064</v>
      </c>
      <c r="M150" s="102">
        <v>5.8000000000000003E-2</v>
      </c>
      <c r="N150" s="104"/>
      <c r="O150" s="101"/>
      <c r="P150" s="102">
        <v>0</v>
      </c>
      <c r="Q150" s="102">
        <f t="shared" si="3"/>
        <v>0.11600000000000001</v>
      </c>
      <c r="R150" s="98">
        <v>28</v>
      </c>
      <c r="S150" s="98">
        <v>0</v>
      </c>
      <c r="T150" s="98">
        <v>1000</v>
      </c>
      <c r="U150" s="98"/>
      <c r="V150" s="103"/>
      <c r="W150" s="98"/>
      <c r="X150" s="98" t="s">
        <v>1067</v>
      </c>
      <c r="Y150" s="98" t="s">
        <v>1068</v>
      </c>
      <c r="Z150" s="98" t="s">
        <v>1069</v>
      </c>
      <c r="AA150" s="100">
        <v>6.0699999999999997E-2</v>
      </c>
      <c r="AB150" s="98"/>
      <c r="AC150" s="98"/>
      <c r="AD150" s="102"/>
      <c r="AE150" s="98"/>
      <c r="AF150" s="98"/>
      <c r="AG150" s="102"/>
    </row>
    <row r="151" spans="1:33" ht="29.4" customHeight="1">
      <c r="A151" s="97">
        <v>162</v>
      </c>
      <c r="B151" s="98" t="s">
        <v>71</v>
      </c>
      <c r="C151" s="98" t="s">
        <v>1070</v>
      </c>
      <c r="D151" s="98" t="s">
        <v>1071</v>
      </c>
      <c r="E151" s="98" t="s">
        <v>105</v>
      </c>
      <c r="F151" s="98" t="s">
        <v>157</v>
      </c>
      <c r="G151" s="98">
        <v>1</v>
      </c>
      <c r="H151" s="98" t="s">
        <v>1070</v>
      </c>
      <c r="I151" s="98" t="s">
        <v>1071</v>
      </c>
      <c r="J151" s="98" t="s">
        <v>543</v>
      </c>
      <c r="K151" s="98" t="s">
        <v>1072</v>
      </c>
      <c r="L151" s="98" t="s">
        <v>1073</v>
      </c>
      <c r="M151" s="102">
        <v>8.9499999999999996E-2</v>
      </c>
      <c r="N151" s="104"/>
      <c r="O151" s="101"/>
      <c r="P151" s="102">
        <v>0</v>
      </c>
      <c r="Q151" s="102">
        <f t="shared" si="3"/>
        <v>8.9499999999999996E-2</v>
      </c>
      <c r="R151" s="98">
        <v>28</v>
      </c>
      <c r="S151" s="98">
        <v>5000</v>
      </c>
      <c r="T151" s="98">
        <v>1000</v>
      </c>
      <c r="U151" s="98"/>
      <c r="V151" s="103"/>
      <c r="W151" s="98"/>
      <c r="X151" s="98" t="s">
        <v>1074</v>
      </c>
      <c r="Y151" s="98" t="s">
        <v>1075</v>
      </c>
      <c r="Z151" s="98" t="s">
        <v>1076</v>
      </c>
      <c r="AA151" s="102">
        <v>0.12</v>
      </c>
      <c r="AB151" s="98"/>
      <c r="AC151" s="98"/>
      <c r="AD151" s="102"/>
      <c r="AE151" s="98"/>
      <c r="AF151" s="98"/>
      <c r="AG151" s="102"/>
    </row>
    <row r="152" spans="1:33" ht="29.4" customHeight="1">
      <c r="A152" s="97">
        <v>163</v>
      </c>
      <c r="B152" s="98" t="s">
        <v>71</v>
      </c>
      <c r="C152" s="98" t="s">
        <v>1077</v>
      </c>
      <c r="D152" s="98" t="s">
        <v>1078</v>
      </c>
      <c r="E152" s="98" t="s">
        <v>105</v>
      </c>
      <c r="F152" s="98" t="s">
        <v>157</v>
      </c>
      <c r="G152" s="98">
        <v>2</v>
      </c>
      <c r="H152" s="98" t="s">
        <v>1077</v>
      </c>
      <c r="I152" s="98" t="s">
        <v>1078</v>
      </c>
      <c r="J152" s="98" t="s">
        <v>543</v>
      </c>
      <c r="K152" s="98" t="s">
        <v>1072</v>
      </c>
      <c r="L152" s="98" t="s">
        <v>1073</v>
      </c>
      <c r="M152" s="102">
        <v>8.9499999999999996E-2</v>
      </c>
      <c r="N152" s="104"/>
      <c r="O152" s="101"/>
      <c r="P152" s="102">
        <v>0</v>
      </c>
      <c r="Q152" s="102">
        <f t="shared" si="3"/>
        <v>0.17899999999999999</v>
      </c>
      <c r="R152" s="98">
        <v>28</v>
      </c>
      <c r="S152" s="98">
        <v>5000</v>
      </c>
      <c r="T152" s="98">
        <v>1000</v>
      </c>
      <c r="U152" s="98"/>
      <c r="V152" s="103"/>
      <c r="W152" s="98"/>
      <c r="X152" s="98" t="s">
        <v>1079</v>
      </c>
      <c r="Y152" s="98" t="s">
        <v>1080</v>
      </c>
      <c r="Z152" s="98" t="s">
        <v>1081</v>
      </c>
      <c r="AA152" s="100">
        <v>0.105</v>
      </c>
      <c r="AB152" s="98"/>
      <c r="AC152" s="98"/>
      <c r="AD152" s="102"/>
      <c r="AE152" s="98"/>
      <c r="AF152" s="98"/>
      <c r="AG152" s="102"/>
    </row>
    <row r="153" spans="1:33" ht="29.4" customHeight="1">
      <c r="A153" s="97">
        <v>164</v>
      </c>
      <c r="B153" s="98" t="s">
        <v>71</v>
      </c>
      <c r="C153" s="98" t="s">
        <v>1082</v>
      </c>
      <c r="D153" s="98" t="s">
        <v>1083</v>
      </c>
      <c r="E153" s="98" t="s">
        <v>105</v>
      </c>
      <c r="F153" s="98" t="s">
        <v>157</v>
      </c>
      <c r="G153" s="98">
        <v>1</v>
      </c>
      <c r="H153" s="98" t="s">
        <v>1082</v>
      </c>
      <c r="I153" s="98" t="s">
        <v>1083</v>
      </c>
      <c r="J153" s="98" t="s">
        <v>543</v>
      </c>
      <c r="K153" s="98" t="s">
        <v>1072</v>
      </c>
      <c r="L153" s="98" t="s">
        <v>1073</v>
      </c>
      <c r="M153" s="102">
        <v>0.2031</v>
      </c>
      <c r="N153" s="104"/>
      <c r="O153" s="101"/>
      <c r="P153" s="102">
        <v>0</v>
      </c>
      <c r="Q153" s="102">
        <f t="shared" si="3"/>
        <v>0.2031</v>
      </c>
      <c r="R153" s="98">
        <v>28</v>
      </c>
      <c r="S153" s="98">
        <v>5000</v>
      </c>
      <c r="T153" s="98">
        <v>1000</v>
      </c>
      <c r="U153" s="98"/>
      <c r="V153" s="103"/>
      <c r="W153" s="98"/>
      <c r="X153" s="98" t="s">
        <v>1084</v>
      </c>
      <c r="Y153" s="98" t="s">
        <v>1085</v>
      </c>
      <c r="Z153" s="98" t="s">
        <v>1086</v>
      </c>
      <c r="AA153" s="102">
        <v>0.27379999999999999</v>
      </c>
      <c r="AB153" s="98"/>
      <c r="AC153" s="98"/>
      <c r="AD153" s="102"/>
      <c r="AE153" s="98"/>
      <c r="AF153" s="98"/>
      <c r="AG153" s="102"/>
    </row>
    <row r="154" spans="1:33" ht="29.4" customHeight="1">
      <c r="A154" s="97">
        <v>165</v>
      </c>
      <c r="B154" s="98" t="s">
        <v>71</v>
      </c>
      <c r="C154" s="98" t="s">
        <v>1087</v>
      </c>
      <c r="D154" s="98" t="s">
        <v>1088</v>
      </c>
      <c r="E154" s="98" t="s">
        <v>105</v>
      </c>
      <c r="F154" s="98" t="s">
        <v>157</v>
      </c>
      <c r="G154" s="98">
        <v>1</v>
      </c>
      <c r="H154" s="98" t="s">
        <v>1087</v>
      </c>
      <c r="I154" s="98" t="s">
        <v>1088</v>
      </c>
      <c r="J154" s="98" t="s">
        <v>1089</v>
      </c>
      <c r="K154" s="98" t="s">
        <v>1090</v>
      </c>
      <c r="L154" s="98" t="s">
        <v>1091</v>
      </c>
      <c r="M154" s="102">
        <v>0.3135</v>
      </c>
      <c r="N154" s="104"/>
      <c r="O154" s="101"/>
      <c r="P154" s="102">
        <v>0</v>
      </c>
      <c r="Q154" s="102">
        <f t="shared" si="3"/>
        <v>0.3135</v>
      </c>
      <c r="R154" s="98">
        <v>21</v>
      </c>
      <c r="S154" s="98">
        <v>0</v>
      </c>
      <c r="T154" s="98">
        <v>300</v>
      </c>
      <c r="U154" s="98"/>
      <c r="V154" s="103"/>
      <c r="W154" s="98"/>
      <c r="X154" s="98" t="s">
        <v>1092</v>
      </c>
      <c r="Y154" s="98"/>
      <c r="Z154" s="98"/>
      <c r="AA154" s="102"/>
      <c r="AB154" s="98"/>
      <c r="AC154" s="98"/>
      <c r="AD154" s="102"/>
      <c r="AE154" s="98"/>
      <c r="AF154" s="98"/>
      <c r="AG154" s="102"/>
    </row>
    <row r="155" spans="1:33" ht="29.4" customHeight="1">
      <c r="A155" s="97">
        <v>166</v>
      </c>
      <c r="B155" s="98" t="s">
        <v>71</v>
      </c>
      <c r="C155" s="98" t="s">
        <v>1093</v>
      </c>
      <c r="D155" s="98" t="s">
        <v>1094</v>
      </c>
      <c r="E155" s="98" t="s">
        <v>105</v>
      </c>
      <c r="F155" s="98" t="s">
        <v>144</v>
      </c>
      <c r="G155" s="98">
        <v>1</v>
      </c>
      <c r="H155" s="99" t="s">
        <v>1095</v>
      </c>
      <c r="I155" s="98" t="s">
        <v>1096</v>
      </c>
      <c r="J155" s="98" t="s">
        <v>218</v>
      </c>
      <c r="K155" s="98" t="s">
        <v>219</v>
      </c>
      <c r="L155" s="98" t="s">
        <v>185</v>
      </c>
      <c r="M155" s="102">
        <v>1E-3</v>
      </c>
      <c r="N155" s="104">
        <v>1.2999999999999999E-3</v>
      </c>
      <c r="O155" s="101">
        <f t="shared" si="4"/>
        <v>2.9999999999999992E-4</v>
      </c>
      <c r="P155" s="102">
        <v>0</v>
      </c>
      <c r="Q155" s="102">
        <f t="shared" si="3"/>
        <v>1E-3</v>
      </c>
      <c r="R155" s="98">
        <v>42</v>
      </c>
      <c r="S155" s="98">
        <v>1</v>
      </c>
      <c r="T155" s="98"/>
      <c r="U155" s="98"/>
      <c r="V155" s="103"/>
      <c r="W155" s="98"/>
      <c r="X155" s="98" t="s">
        <v>1097</v>
      </c>
      <c r="Y155" s="98" t="s">
        <v>1098</v>
      </c>
      <c r="Z155" s="98" t="s">
        <v>1099</v>
      </c>
      <c r="AA155" s="100">
        <v>1.4E-3</v>
      </c>
      <c r="AB155" s="98" t="s">
        <v>1093</v>
      </c>
      <c r="AC155" s="98" t="s">
        <v>1094</v>
      </c>
      <c r="AD155" s="100" t="s">
        <v>154</v>
      </c>
      <c r="AE155" s="98"/>
      <c r="AF155" s="98"/>
      <c r="AG155" s="102"/>
    </row>
    <row r="156" spans="1:33" ht="29.4" customHeight="1">
      <c r="A156" s="97">
        <v>167</v>
      </c>
      <c r="B156" s="98" t="s">
        <v>71</v>
      </c>
      <c r="C156" s="98" t="s">
        <v>1100</v>
      </c>
      <c r="D156" s="98" t="s">
        <v>1101</v>
      </c>
      <c r="E156" s="98" t="s">
        <v>105</v>
      </c>
      <c r="F156" s="98" t="s">
        <v>144</v>
      </c>
      <c r="G156" s="98">
        <v>11</v>
      </c>
      <c r="H156" s="99" t="s">
        <v>1102</v>
      </c>
      <c r="I156" s="98" t="s">
        <v>1103</v>
      </c>
      <c r="J156" s="98" t="s">
        <v>218</v>
      </c>
      <c r="K156" s="98" t="s">
        <v>219</v>
      </c>
      <c r="L156" s="98" t="s">
        <v>185</v>
      </c>
      <c r="M156" s="102">
        <v>1E-3</v>
      </c>
      <c r="N156" s="104">
        <v>1.2999999999999999E-3</v>
      </c>
      <c r="O156" s="101">
        <f t="shared" si="4"/>
        <v>3.2999999999999991E-3</v>
      </c>
      <c r="P156" s="102">
        <v>0</v>
      </c>
      <c r="Q156" s="102">
        <f t="shared" si="3"/>
        <v>1.0999999999999999E-2</v>
      </c>
      <c r="R156" s="98">
        <v>42</v>
      </c>
      <c r="S156" s="98">
        <v>1</v>
      </c>
      <c r="T156" s="98"/>
      <c r="U156" s="98"/>
      <c r="V156" s="103"/>
      <c r="W156" s="98"/>
      <c r="X156" s="98" t="s">
        <v>1104</v>
      </c>
      <c r="Y156" s="98" t="s">
        <v>1105</v>
      </c>
      <c r="Z156" s="98" t="s">
        <v>1106</v>
      </c>
      <c r="AA156" s="100">
        <v>1.4E-3</v>
      </c>
      <c r="AB156" s="98" t="s">
        <v>1100</v>
      </c>
      <c r="AC156" s="98" t="s">
        <v>1101</v>
      </c>
      <c r="AD156" s="100" t="s">
        <v>154</v>
      </c>
      <c r="AE156" s="98"/>
      <c r="AF156" s="98"/>
      <c r="AG156" s="102"/>
    </row>
    <row r="157" spans="1:33" ht="29.4" customHeight="1">
      <c r="A157" s="97">
        <v>168</v>
      </c>
      <c r="B157" s="98" t="s">
        <v>71</v>
      </c>
      <c r="C157" s="98" t="s">
        <v>1107</v>
      </c>
      <c r="D157" s="98" t="s">
        <v>1108</v>
      </c>
      <c r="E157" s="98" t="s">
        <v>105</v>
      </c>
      <c r="F157" s="98" t="s">
        <v>144</v>
      </c>
      <c r="G157" s="98">
        <v>5</v>
      </c>
      <c r="H157" s="99" t="s">
        <v>1109</v>
      </c>
      <c r="I157" s="98" t="s">
        <v>1110</v>
      </c>
      <c r="J157" s="98" t="s">
        <v>183</v>
      </c>
      <c r="K157" s="98" t="s">
        <v>184</v>
      </c>
      <c r="L157" s="98" t="s">
        <v>185</v>
      </c>
      <c r="M157" s="102">
        <v>8.0000000000000004E-4</v>
      </c>
      <c r="N157" s="104">
        <v>1E-3</v>
      </c>
      <c r="O157" s="101">
        <f t="shared" si="4"/>
        <v>1E-3</v>
      </c>
      <c r="P157" s="102">
        <v>0</v>
      </c>
      <c r="Q157" s="102">
        <f t="shared" si="3"/>
        <v>4.0000000000000001E-3</v>
      </c>
      <c r="R157" s="98">
        <v>56</v>
      </c>
      <c r="S157" s="98">
        <v>0</v>
      </c>
      <c r="T157" s="98">
        <v>10000</v>
      </c>
      <c r="U157" s="98"/>
      <c r="V157" s="103"/>
      <c r="W157" s="98"/>
      <c r="X157" s="98" t="s">
        <v>1111</v>
      </c>
      <c r="Y157" s="98" t="s">
        <v>1112</v>
      </c>
      <c r="Z157" s="98" t="s">
        <v>1113</v>
      </c>
      <c r="AA157" s="100">
        <v>1.2999999999999999E-3</v>
      </c>
      <c r="AB157" s="98" t="s">
        <v>1107</v>
      </c>
      <c r="AC157" s="98" t="s">
        <v>1108</v>
      </c>
      <c r="AD157" s="100" t="s">
        <v>154</v>
      </c>
      <c r="AE157" s="98"/>
      <c r="AF157" s="98"/>
      <c r="AG157" s="102"/>
    </row>
    <row r="158" spans="1:33" ht="29.4" customHeight="1">
      <c r="A158" s="97">
        <v>169</v>
      </c>
      <c r="B158" s="98" t="s">
        <v>71</v>
      </c>
      <c r="C158" s="98" t="s">
        <v>1114</v>
      </c>
      <c r="D158" s="98" t="s">
        <v>1115</v>
      </c>
      <c r="E158" s="98" t="s">
        <v>105</v>
      </c>
      <c r="F158" s="98" t="s">
        <v>144</v>
      </c>
      <c r="G158" s="98">
        <v>4</v>
      </c>
      <c r="H158" s="99" t="s">
        <v>1116</v>
      </c>
      <c r="I158" s="98" t="s">
        <v>1117</v>
      </c>
      <c r="J158" s="98" t="s">
        <v>218</v>
      </c>
      <c r="K158" s="98" t="s">
        <v>219</v>
      </c>
      <c r="L158" s="98" t="s">
        <v>185</v>
      </c>
      <c r="M158" s="102">
        <v>1E-3</v>
      </c>
      <c r="N158" s="104">
        <v>1.2999999999999999E-3</v>
      </c>
      <c r="O158" s="101">
        <f t="shared" si="4"/>
        <v>1.1999999999999997E-3</v>
      </c>
      <c r="P158" s="102">
        <v>0</v>
      </c>
      <c r="Q158" s="102">
        <f t="shared" si="3"/>
        <v>4.0000000000000001E-3</v>
      </c>
      <c r="R158" s="98">
        <v>49</v>
      </c>
      <c r="S158" s="98">
        <v>1</v>
      </c>
      <c r="T158" s="98"/>
      <c r="U158" s="98"/>
      <c r="V158" s="103"/>
      <c r="W158" s="98"/>
      <c r="X158" s="98" t="s">
        <v>1118</v>
      </c>
      <c r="Y158" s="98" t="s">
        <v>1119</v>
      </c>
      <c r="Z158" s="98" t="s">
        <v>1120</v>
      </c>
      <c r="AA158" s="100">
        <v>1.4E-3</v>
      </c>
      <c r="AB158" s="98" t="s">
        <v>1114</v>
      </c>
      <c r="AC158" s="98" t="s">
        <v>1115</v>
      </c>
      <c r="AD158" s="100" t="s">
        <v>154</v>
      </c>
      <c r="AE158" s="98"/>
      <c r="AF158" s="98"/>
      <c r="AG158" s="102"/>
    </row>
    <row r="159" spans="1:33" ht="29.4" customHeight="1">
      <c r="A159" s="97">
        <v>170</v>
      </c>
      <c r="B159" s="98" t="s">
        <v>71</v>
      </c>
      <c r="C159" s="98" t="s">
        <v>1121</v>
      </c>
      <c r="D159" s="98" t="s">
        <v>1122</v>
      </c>
      <c r="E159" s="98" t="s">
        <v>105</v>
      </c>
      <c r="F159" s="98" t="s">
        <v>157</v>
      </c>
      <c r="G159" s="98">
        <v>1</v>
      </c>
      <c r="H159" s="98" t="s">
        <v>1121</v>
      </c>
      <c r="I159" s="98" t="s">
        <v>1122</v>
      </c>
      <c r="J159" s="98" t="s">
        <v>302</v>
      </c>
      <c r="K159" s="98" t="s">
        <v>219</v>
      </c>
      <c r="L159" s="98" t="s">
        <v>185</v>
      </c>
      <c r="M159" s="102">
        <v>6.3E-2</v>
      </c>
      <c r="N159" s="104"/>
      <c r="O159" s="101"/>
      <c r="P159" s="102">
        <v>0</v>
      </c>
      <c r="Q159" s="102">
        <f t="shared" si="3"/>
        <v>6.3E-2</v>
      </c>
      <c r="R159" s="98">
        <v>42</v>
      </c>
      <c r="S159" s="98">
        <v>1000</v>
      </c>
      <c r="T159" s="98"/>
      <c r="U159" s="98"/>
      <c r="V159" s="103"/>
      <c r="W159" s="98"/>
      <c r="X159" s="98" t="s">
        <v>1123</v>
      </c>
      <c r="Y159" s="98"/>
      <c r="Z159" s="98"/>
      <c r="AA159" s="102"/>
      <c r="AB159" s="98"/>
      <c r="AC159" s="98"/>
      <c r="AD159" s="102"/>
      <c r="AE159" s="98"/>
      <c r="AF159" s="98"/>
      <c r="AG159" s="102"/>
    </row>
    <row r="160" spans="1:33" ht="29.4" customHeight="1">
      <c r="A160" s="97">
        <v>171</v>
      </c>
      <c r="B160" s="98" t="s">
        <v>71</v>
      </c>
      <c r="C160" s="98" t="s">
        <v>1124</v>
      </c>
      <c r="D160" s="98" t="s">
        <v>1125</v>
      </c>
      <c r="E160" s="98" t="s">
        <v>105</v>
      </c>
      <c r="F160" s="98" t="s">
        <v>144</v>
      </c>
      <c r="G160" s="98">
        <v>1</v>
      </c>
      <c r="H160" s="99" t="s">
        <v>1126</v>
      </c>
      <c r="I160" s="98" t="s">
        <v>1127</v>
      </c>
      <c r="J160" s="98" t="s">
        <v>218</v>
      </c>
      <c r="K160" s="98" t="s">
        <v>234</v>
      </c>
      <c r="L160" s="98" t="s">
        <v>235</v>
      </c>
      <c r="M160" s="102">
        <v>2.5000000000000001E-3</v>
      </c>
      <c r="N160" s="104">
        <v>3.5999999999999999E-3</v>
      </c>
      <c r="O160" s="101">
        <f t="shared" si="4"/>
        <v>1.0999999999999998E-3</v>
      </c>
      <c r="P160" s="102">
        <v>0</v>
      </c>
      <c r="Q160" s="102">
        <f t="shared" si="3"/>
        <v>2.5000000000000001E-3</v>
      </c>
      <c r="R160" s="98">
        <v>56</v>
      </c>
      <c r="S160" s="98">
        <v>5000</v>
      </c>
      <c r="T160" s="98"/>
      <c r="U160" s="98"/>
      <c r="V160" s="103"/>
      <c r="W160" s="98"/>
      <c r="X160" s="98" t="s">
        <v>1128</v>
      </c>
      <c r="Y160" s="98" t="s">
        <v>1129</v>
      </c>
      <c r="Z160" s="98" t="s">
        <v>1130</v>
      </c>
      <c r="AA160" s="102">
        <v>2.5000000000000001E-3</v>
      </c>
      <c r="AB160" s="98" t="s">
        <v>1131</v>
      </c>
      <c r="AC160" s="98" t="s">
        <v>1132</v>
      </c>
      <c r="AD160" s="100">
        <v>3.8999999999999998E-3</v>
      </c>
      <c r="AE160" s="98" t="s">
        <v>1133</v>
      </c>
      <c r="AF160" s="98" t="s">
        <v>1134</v>
      </c>
      <c r="AG160" s="100" t="s">
        <v>154</v>
      </c>
    </row>
    <row r="161" spans="1:33" ht="29.4" customHeight="1">
      <c r="A161" s="97">
        <v>172</v>
      </c>
      <c r="B161" s="98" t="s">
        <v>71</v>
      </c>
      <c r="C161" s="98" t="s">
        <v>1135</v>
      </c>
      <c r="D161" s="98" t="s">
        <v>1136</v>
      </c>
      <c r="E161" s="98" t="s">
        <v>105</v>
      </c>
      <c r="F161" s="98" t="s">
        <v>144</v>
      </c>
      <c r="G161" s="98">
        <v>1</v>
      </c>
      <c r="H161" s="99" t="s">
        <v>1137</v>
      </c>
      <c r="I161" s="98" t="s">
        <v>1138</v>
      </c>
      <c r="J161" s="98" t="s">
        <v>218</v>
      </c>
      <c r="K161" s="98" t="s">
        <v>234</v>
      </c>
      <c r="L161" s="98" t="s">
        <v>235</v>
      </c>
      <c r="M161" s="102">
        <v>2.5000000000000001E-3</v>
      </c>
      <c r="N161" s="104">
        <v>3.5999999999999999E-3</v>
      </c>
      <c r="O161" s="101">
        <f t="shared" si="4"/>
        <v>1.0999999999999998E-3</v>
      </c>
      <c r="P161" s="102">
        <v>0</v>
      </c>
      <c r="Q161" s="102">
        <f t="shared" si="3"/>
        <v>2.5000000000000001E-3</v>
      </c>
      <c r="R161" s="98">
        <v>56</v>
      </c>
      <c r="S161" s="98">
        <v>5000</v>
      </c>
      <c r="T161" s="98"/>
      <c r="U161" s="98"/>
      <c r="V161" s="103"/>
      <c r="W161" s="98"/>
      <c r="X161" s="98" t="s">
        <v>1139</v>
      </c>
      <c r="Y161" s="98" t="s">
        <v>1140</v>
      </c>
      <c r="Z161" s="98" t="s">
        <v>1141</v>
      </c>
      <c r="AA161" s="102">
        <v>2.5000000000000001E-3</v>
      </c>
      <c r="AB161" s="98" t="s">
        <v>1142</v>
      </c>
      <c r="AC161" s="98" t="s">
        <v>1143</v>
      </c>
      <c r="AD161" s="100">
        <v>3.8999999999999998E-3</v>
      </c>
      <c r="AE161" s="98" t="s">
        <v>1144</v>
      </c>
      <c r="AF161" s="98" t="s">
        <v>1145</v>
      </c>
      <c r="AG161" s="100" t="s">
        <v>154</v>
      </c>
    </row>
    <row r="162" spans="1:33" ht="29.4" customHeight="1">
      <c r="A162" s="97">
        <v>173</v>
      </c>
      <c r="B162" s="98" t="s">
        <v>71</v>
      </c>
      <c r="C162" s="98" t="s">
        <v>1146</v>
      </c>
      <c r="D162" s="98" t="s">
        <v>1147</v>
      </c>
      <c r="E162" s="98" t="s">
        <v>105</v>
      </c>
      <c r="F162" s="98" t="s">
        <v>144</v>
      </c>
      <c r="G162" s="98">
        <v>1</v>
      </c>
      <c r="H162" s="99" t="s">
        <v>1148</v>
      </c>
      <c r="I162" s="98" t="s">
        <v>1149</v>
      </c>
      <c r="J162" s="98" t="s">
        <v>218</v>
      </c>
      <c r="K162" s="98" t="s">
        <v>234</v>
      </c>
      <c r="L162" s="98" t="s">
        <v>235</v>
      </c>
      <c r="M162" s="102">
        <v>1.5E-3</v>
      </c>
      <c r="N162" s="104">
        <v>2.0999999999999999E-3</v>
      </c>
      <c r="O162" s="101">
        <f t="shared" si="4"/>
        <v>5.9999999999999984E-4</v>
      </c>
      <c r="P162" s="102">
        <v>0</v>
      </c>
      <c r="Q162" s="102">
        <f t="shared" si="3"/>
        <v>1.5E-3</v>
      </c>
      <c r="R162" s="98">
        <v>56</v>
      </c>
      <c r="S162" s="98">
        <v>5000</v>
      </c>
      <c r="T162" s="98"/>
      <c r="U162" s="98"/>
      <c r="V162" s="103"/>
      <c r="W162" s="98"/>
      <c r="X162" s="98" t="s">
        <v>1150</v>
      </c>
      <c r="Y162" s="98" t="s">
        <v>1151</v>
      </c>
      <c r="Z162" s="98" t="s">
        <v>1152</v>
      </c>
      <c r="AA162" s="102">
        <v>1.5E-3</v>
      </c>
      <c r="AB162" s="98" t="s">
        <v>1153</v>
      </c>
      <c r="AC162" s="98" t="s">
        <v>1154</v>
      </c>
      <c r="AD162" s="100">
        <v>2.2000000000000001E-3</v>
      </c>
      <c r="AE162" s="98" t="s">
        <v>1155</v>
      </c>
      <c r="AF162" s="98" t="s">
        <v>1156</v>
      </c>
      <c r="AG162" s="100" t="s">
        <v>154</v>
      </c>
    </row>
    <row r="163" spans="1:33" ht="29.4" customHeight="1">
      <c r="A163" s="97">
        <v>174</v>
      </c>
      <c r="B163" s="98" t="s">
        <v>71</v>
      </c>
      <c r="C163" s="98" t="s">
        <v>1157</v>
      </c>
      <c r="D163" s="98" t="s">
        <v>1158</v>
      </c>
      <c r="E163" s="98" t="s">
        <v>105</v>
      </c>
      <c r="F163" s="98" t="s">
        <v>144</v>
      </c>
      <c r="G163" s="98">
        <v>1</v>
      </c>
      <c r="H163" s="99" t="s">
        <v>1159</v>
      </c>
      <c r="I163" s="98" t="s">
        <v>1160</v>
      </c>
      <c r="J163" s="98" t="s">
        <v>218</v>
      </c>
      <c r="K163" s="98" t="s">
        <v>219</v>
      </c>
      <c r="L163" s="98" t="s">
        <v>185</v>
      </c>
      <c r="M163" s="102">
        <v>1.5E-3</v>
      </c>
      <c r="N163" s="104">
        <v>2.0999999999999999E-3</v>
      </c>
      <c r="O163" s="101">
        <f t="shared" si="4"/>
        <v>5.9999999999999984E-4</v>
      </c>
      <c r="P163" s="102">
        <v>0</v>
      </c>
      <c r="Q163" s="102">
        <f t="shared" si="3"/>
        <v>1.5E-3</v>
      </c>
      <c r="R163" s="98">
        <v>49</v>
      </c>
      <c r="S163" s="98">
        <v>5000</v>
      </c>
      <c r="T163" s="98"/>
      <c r="U163" s="98"/>
      <c r="V163" s="103"/>
      <c r="W163" s="98"/>
      <c r="X163" s="98" t="s">
        <v>1161</v>
      </c>
      <c r="Y163" s="98" t="s">
        <v>1162</v>
      </c>
      <c r="Z163" s="98" t="s">
        <v>1163</v>
      </c>
      <c r="AA163" s="102">
        <v>1.5E-3</v>
      </c>
      <c r="AB163" s="98" t="s">
        <v>1164</v>
      </c>
      <c r="AC163" s="98" t="s">
        <v>1165</v>
      </c>
      <c r="AD163" s="102">
        <v>2.2000000000000001E-3</v>
      </c>
      <c r="AE163" s="98" t="s">
        <v>1166</v>
      </c>
      <c r="AF163" s="98" t="s">
        <v>1167</v>
      </c>
      <c r="AG163" s="100" t="s">
        <v>154</v>
      </c>
    </row>
    <row r="164" spans="1:33" ht="29.4" customHeight="1">
      <c r="A164" s="97">
        <v>175</v>
      </c>
      <c r="B164" s="98" t="s">
        <v>71</v>
      </c>
      <c r="C164" s="98" t="s">
        <v>1168</v>
      </c>
      <c r="D164" s="98" t="s">
        <v>1169</v>
      </c>
      <c r="E164" s="98" t="s">
        <v>105</v>
      </c>
      <c r="F164" s="98" t="s">
        <v>144</v>
      </c>
      <c r="G164" s="98">
        <v>4</v>
      </c>
      <c r="H164" s="99" t="s">
        <v>1170</v>
      </c>
      <c r="I164" s="98" t="s">
        <v>1171</v>
      </c>
      <c r="J164" s="98" t="s">
        <v>218</v>
      </c>
      <c r="K164" s="98" t="s">
        <v>234</v>
      </c>
      <c r="L164" s="98" t="s">
        <v>235</v>
      </c>
      <c r="M164" s="102">
        <v>4.1999999999999997E-3</v>
      </c>
      <c r="N164" s="104">
        <v>5.7000000000000002E-3</v>
      </c>
      <c r="O164" s="101">
        <f t="shared" si="4"/>
        <v>6.0000000000000019E-3</v>
      </c>
      <c r="P164" s="102">
        <v>0</v>
      </c>
      <c r="Q164" s="102">
        <f t="shared" si="3"/>
        <v>1.6799999999999999E-2</v>
      </c>
      <c r="R164" s="98">
        <v>56</v>
      </c>
      <c r="S164" s="98">
        <v>5000</v>
      </c>
      <c r="T164" s="98"/>
      <c r="U164" s="98"/>
      <c r="V164" s="103"/>
      <c r="W164" s="98"/>
      <c r="X164" s="98" t="s">
        <v>1172</v>
      </c>
      <c r="Y164" s="98" t="s">
        <v>1173</v>
      </c>
      <c r="Z164" s="98" t="s">
        <v>1174</v>
      </c>
      <c r="AA164" s="102">
        <v>4.1999999999999997E-3</v>
      </c>
      <c r="AB164" s="98" t="s">
        <v>1175</v>
      </c>
      <c r="AC164" s="98" t="s">
        <v>1176</v>
      </c>
      <c r="AD164" s="100">
        <v>7.4999999999999997E-3</v>
      </c>
      <c r="AE164" s="98" t="s">
        <v>1177</v>
      </c>
      <c r="AF164" s="98" t="s">
        <v>1178</v>
      </c>
      <c r="AG164" s="100" t="s">
        <v>154</v>
      </c>
    </row>
    <row r="165" spans="1:33" ht="29.4" customHeight="1">
      <c r="A165" s="97">
        <v>176</v>
      </c>
      <c r="B165" s="98" t="s">
        <v>71</v>
      </c>
      <c r="C165" s="98" t="s">
        <v>1179</v>
      </c>
      <c r="D165" s="98" t="s">
        <v>1180</v>
      </c>
      <c r="E165" s="98" t="s">
        <v>105</v>
      </c>
      <c r="F165" s="98" t="s">
        <v>144</v>
      </c>
      <c r="G165" s="98">
        <v>36</v>
      </c>
      <c r="H165" s="99" t="s">
        <v>1181</v>
      </c>
      <c r="I165" s="98" t="s">
        <v>1182</v>
      </c>
      <c r="J165" s="98" t="s">
        <v>218</v>
      </c>
      <c r="K165" s="98" t="s">
        <v>234</v>
      </c>
      <c r="L165" s="98" t="s">
        <v>235</v>
      </c>
      <c r="M165" s="102">
        <v>8.0000000000000004E-4</v>
      </c>
      <c r="N165" s="104">
        <v>1E-3</v>
      </c>
      <c r="O165" s="101">
        <f t="shared" si="4"/>
        <v>7.1999999999999998E-3</v>
      </c>
      <c r="P165" s="102">
        <v>0</v>
      </c>
      <c r="Q165" s="102">
        <f t="shared" si="3"/>
        <v>2.8800000000000003E-2</v>
      </c>
      <c r="R165" s="98">
        <v>56</v>
      </c>
      <c r="S165" s="98">
        <v>10000</v>
      </c>
      <c r="T165" s="98"/>
      <c r="U165" s="98"/>
      <c r="V165" s="103"/>
      <c r="W165" s="98"/>
      <c r="X165" s="98" t="s">
        <v>1183</v>
      </c>
      <c r="Y165" s="98" t="s">
        <v>1184</v>
      </c>
      <c r="Z165" s="98" t="s">
        <v>1185</v>
      </c>
      <c r="AA165" s="102">
        <v>8.0000000000000004E-4</v>
      </c>
      <c r="AB165" s="98" t="s">
        <v>1186</v>
      </c>
      <c r="AC165" s="98" t="s">
        <v>1187</v>
      </c>
      <c r="AD165" s="100">
        <v>1.1999999999999999E-3</v>
      </c>
      <c r="AE165" s="98" t="s">
        <v>1188</v>
      </c>
      <c r="AF165" s="98" t="s">
        <v>1189</v>
      </c>
      <c r="AG165" s="100" t="s">
        <v>154</v>
      </c>
    </row>
    <row r="166" spans="1:33" ht="29.4" customHeight="1">
      <c r="A166" s="97">
        <v>177</v>
      </c>
      <c r="B166" s="98" t="s">
        <v>71</v>
      </c>
      <c r="C166" s="98" t="s">
        <v>1190</v>
      </c>
      <c r="D166" s="98" t="s">
        <v>1191</v>
      </c>
      <c r="E166" s="98" t="s">
        <v>105</v>
      </c>
      <c r="F166" s="98" t="s">
        <v>144</v>
      </c>
      <c r="G166" s="98">
        <v>2</v>
      </c>
      <c r="H166" s="99" t="s">
        <v>1192</v>
      </c>
      <c r="I166" s="98" t="s">
        <v>1193</v>
      </c>
      <c r="J166" s="98" t="s">
        <v>218</v>
      </c>
      <c r="K166" s="98" t="s">
        <v>234</v>
      </c>
      <c r="L166" s="98" t="s">
        <v>235</v>
      </c>
      <c r="M166" s="102">
        <v>8.0000000000000004E-4</v>
      </c>
      <c r="N166" s="104">
        <v>1E-3</v>
      </c>
      <c r="O166" s="101">
        <f t="shared" si="4"/>
        <v>3.9999999999999996E-4</v>
      </c>
      <c r="P166" s="102">
        <v>0</v>
      </c>
      <c r="Q166" s="102">
        <f t="shared" si="3"/>
        <v>1.6000000000000001E-3</v>
      </c>
      <c r="R166" s="98">
        <v>56</v>
      </c>
      <c r="S166" s="98">
        <v>10000</v>
      </c>
      <c r="T166" s="98"/>
      <c r="U166" s="98"/>
      <c r="V166" s="103"/>
      <c r="W166" s="98"/>
      <c r="X166" s="98" t="s">
        <v>1194</v>
      </c>
      <c r="Y166" s="98" t="s">
        <v>1195</v>
      </c>
      <c r="Z166" s="98" t="s">
        <v>1196</v>
      </c>
      <c r="AA166" s="102">
        <v>8.0000000000000004E-4</v>
      </c>
      <c r="AB166" s="98" t="s">
        <v>1197</v>
      </c>
      <c r="AC166" s="98" t="s">
        <v>1198</v>
      </c>
      <c r="AD166" s="102">
        <v>1.2999999999999999E-3</v>
      </c>
      <c r="AE166" s="98" t="s">
        <v>1199</v>
      </c>
      <c r="AF166" s="98" t="s">
        <v>1200</v>
      </c>
      <c r="AG166" s="100" t="s">
        <v>154</v>
      </c>
    </row>
    <row r="167" spans="1:33" ht="29.4" customHeight="1">
      <c r="A167" s="97">
        <v>178</v>
      </c>
      <c r="B167" s="98" t="s">
        <v>71</v>
      </c>
      <c r="C167" s="98" t="s">
        <v>254</v>
      </c>
      <c r="D167" s="98" t="s">
        <v>255</v>
      </c>
      <c r="E167" s="98" t="s">
        <v>105</v>
      </c>
      <c r="F167" s="98" t="s">
        <v>144</v>
      </c>
      <c r="G167" s="98">
        <v>1</v>
      </c>
      <c r="H167" s="99" t="s">
        <v>256</v>
      </c>
      <c r="I167" s="98" t="s">
        <v>257</v>
      </c>
      <c r="J167" s="98" t="s">
        <v>218</v>
      </c>
      <c r="K167" s="98" t="s">
        <v>234</v>
      </c>
      <c r="L167" s="98" t="s">
        <v>235</v>
      </c>
      <c r="M167" s="102">
        <v>1.8E-3</v>
      </c>
      <c r="N167" s="104">
        <v>2.3999999999999998E-3</v>
      </c>
      <c r="O167" s="101">
        <f t="shared" si="4"/>
        <v>5.9999999999999984E-4</v>
      </c>
      <c r="P167" s="102">
        <v>0</v>
      </c>
      <c r="Q167" s="102">
        <f t="shared" si="3"/>
        <v>1.8E-3</v>
      </c>
      <c r="R167" s="98">
        <v>56</v>
      </c>
      <c r="S167" s="98">
        <v>5000</v>
      </c>
      <c r="T167" s="98"/>
      <c r="U167" s="98"/>
      <c r="V167" s="103"/>
      <c r="W167" s="98"/>
      <c r="X167" s="98" t="s">
        <v>1201</v>
      </c>
      <c r="Y167" s="98" t="s">
        <v>259</v>
      </c>
      <c r="Z167" s="98" t="s">
        <v>260</v>
      </c>
      <c r="AA167" s="102">
        <v>1.8E-3</v>
      </c>
      <c r="AB167" s="98" t="s">
        <v>261</v>
      </c>
      <c r="AC167" s="98" t="s">
        <v>262</v>
      </c>
      <c r="AD167" s="102">
        <v>2.5000000000000001E-3</v>
      </c>
      <c r="AE167" s="98" t="s">
        <v>1202</v>
      </c>
      <c r="AF167" s="98" t="s">
        <v>1203</v>
      </c>
      <c r="AG167" s="100" t="s">
        <v>154</v>
      </c>
    </row>
    <row r="168" spans="1:33" ht="29.4" customHeight="1">
      <c r="A168" s="97">
        <v>179</v>
      </c>
      <c r="B168" s="98" t="s">
        <v>71</v>
      </c>
      <c r="C168" s="98" t="s">
        <v>1204</v>
      </c>
      <c r="D168" s="98" t="s">
        <v>1205</v>
      </c>
      <c r="E168" s="98" t="s">
        <v>105</v>
      </c>
      <c r="F168" s="98" t="s">
        <v>144</v>
      </c>
      <c r="G168" s="98">
        <v>26</v>
      </c>
      <c r="H168" s="99" t="s">
        <v>1206</v>
      </c>
      <c r="I168" s="98" t="s">
        <v>1207</v>
      </c>
      <c r="J168" s="98" t="s">
        <v>218</v>
      </c>
      <c r="K168" s="98" t="s">
        <v>234</v>
      </c>
      <c r="L168" s="98" t="s">
        <v>235</v>
      </c>
      <c r="M168" s="102">
        <v>8.0000000000000004E-4</v>
      </c>
      <c r="N168" s="104">
        <v>1E-3</v>
      </c>
      <c r="O168" s="101">
        <f t="shared" si="4"/>
        <v>5.1999999999999998E-3</v>
      </c>
      <c r="P168" s="102">
        <v>0</v>
      </c>
      <c r="Q168" s="102">
        <f t="shared" si="3"/>
        <v>2.0800000000000003E-2</v>
      </c>
      <c r="R168" s="98">
        <v>56</v>
      </c>
      <c r="S168" s="98">
        <v>10000</v>
      </c>
      <c r="T168" s="98"/>
      <c r="U168" s="98"/>
      <c r="V168" s="103"/>
      <c r="W168" s="98"/>
      <c r="X168" s="98" t="s">
        <v>1208</v>
      </c>
      <c r="Y168" s="98" t="s">
        <v>1209</v>
      </c>
      <c r="Z168" s="98" t="s">
        <v>1210</v>
      </c>
      <c r="AA168" s="102">
        <v>8.0000000000000004E-4</v>
      </c>
      <c r="AB168" s="98" t="s">
        <v>1211</v>
      </c>
      <c r="AC168" s="98" t="s">
        <v>1212</v>
      </c>
      <c r="AD168" s="102">
        <v>1.2999999999999999E-3</v>
      </c>
      <c r="AE168" s="98" t="s">
        <v>1213</v>
      </c>
      <c r="AF168" s="98" t="s">
        <v>1214</v>
      </c>
      <c r="AG168" s="100" t="s">
        <v>154</v>
      </c>
    </row>
    <row r="169" spans="1:33" ht="29.4" customHeight="1">
      <c r="A169" s="97">
        <v>180</v>
      </c>
      <c r="B169" s="98" t="s">
        <v>71</v>
      </c>
      <c r="C169" s="98" t="s">
        <v>1215</v>
      </c>
      <c r="D169" s="98" t="s">
        <v>1216</v>
      </c>
      <c r="E169" s="98" t="s">
        <v>105</v>
      </c>
      <c r="F169" s="98" t="s">
        <v>144</v>
      </c>
      <c r="G169" s="98">
        <v>1</v>
      </c>
      <c r="H169" s="99" t="s">
        <v>1217</v>
      </c>
      <c r="I169" s="98" t="s">
        <v>1218</v>
      </c>
      <c r="J169" s="98" t="s">
        <v>218</v>
      </c>
      <c r="K169" s="98" t="s">
        <v>234</v>
      </c>
      <c r="L169" s="98" t="s">
        <v>235</v>
      </c>
      <c r="M169" s="102">
        <v>1.5E-3</v>
      </c>
      <c r="N169" s="104">
        <v>2.0999999999999999E-3</v>
      </c>
      <c r="O169" s="101">
        <f t="shared" si="4"/>
        <v>5.9999999999999984E-4</v>
      </c>
      <c r="P169" s="102">
        <v>0</v>
      </c>
      <c r="Q169" s="102">
        <f t="shared" si="3"/>
        <v>1.5E-3</v>
      </c>
      <c r="R169" s="98">
        <v>56</v>
      </c>
      <c r="S169" s="98">
        <v>5000</v>
      </c>
      <c r="T169" s="98"/>
      <c r="U169" s="98"/>
      <c r="V169" s="103"/>
      <c r="W169" s="98"/>
      <c r="X169" s="98" t="s">
        <v>1219</v>
      </c>
      <c r="Y169" s="98" t="s">
        <v>1220</v>
      </c>
      <c r="Z169" s="98" t="s">
        <v>1221</v>
      </c>
      <c r="AA169" s="102">
        <v>1.5E-3</v>
      </c>
      <c r="AB169" s="98" t="s">
        <v>1222</v>
      </c>
      <c r="AC169" s="98" t="s">
        <v>1223</v>
      </c>
      <c r="AD169" s="100">
        <v>2.3E-3</v>
      </c>
      <c r="AE169" s="98" t="s">
        <v>1224</v>
      </c>
      <c r="AF169" s="98" t="s">
        <v>1225</v>
      </c>
      <c r="AG169" s="100" t="s">
        <v>154</v>
      </c>
    </row>
    <row r="170" spans="1:33" ht="29.4" customHeight="1">
      <c r="A170" s="97">
        <v>181</v>
      </c>
      <c r="B170" s="98" t="s">
        <v>71</v>
      </c>
      <c r="C170" s="98" t="s">
        <v>1226</v>
      </c>
      <c r="D170" s="98" t="s">
        <v>1227</v>
      </c>
      <c r="E170" s="98" t="s">
        <v>105</v>
      </c>
      <c r="F170" s="98" t="s">
        <v>144</v>
      </c>
      <c r="G170" s="98">
        <v>3</v>
      </c>
      <c r="H170" s="99" t="s">
        <v>1228</v>
      </c>
      <c r="I170" s="98" t="s">
        <v>1229</v>
      </c>
      <c r="J170" s="98" t="s">
        <v>218</v>
      </c>
      <c r="K170" s="98" t="s">
        <v>234</v>
      </c>
      <c r="L170" s="98" t="s">
        <v>235</v>
      </c>
      <c r="M170" s="102">
        <v>2.5000000000000001E-3</v>
      </c>
      <c r="N170" s="104">
        <v>3.5999999999999999E-3</v>
      </c>
      <c r="O170" s="101">
        <f t="shared" si="4"/>
        <v>3.2999999999999995E-3</v>
      </c>
      <c r="P170" s="102">
        <v>0</v>
      </c>
      <c r="Q170" s="102">
        <f t="shared" si="3"/>
        <v>7.4999999999999997E-3</v>
      </c>
      <c r="R170" s="98">
        <v>56</v>
      </c>
      <c r="S170" s="98">
        <v>5000</v>
      </c>
      <c r="T170" s="98"/>
      <c r="U170" s="98"/>
      <c r="V170" s="103"/>
      <c r="W170" s="98"/>
      <c r="X170" s="98" t="s">
        <v>1230</v>
      </c>
      <c r="Y170" s="98" t="s">
        <v>1231</v>
      </c>
      <c r="Z170" s="98" t="s">
        <v>1232</v>
      </c>
      <c r="AA170" s="102">
        <v>2.5000000000000001E-3</v>
      </c>
      <c r="AB170" s="98" t="s">
        <v>1233</v>
      </c>
      <c r="AC170" s="98" t="s">
        <v>1234</v>
      </c>
      <c r="AD170" s="100">
        <v>3.8999999999999998E-3</v>
      </c>
      <c r="AE170" s="98" t="s">
        <v>1235</v>
      </c>
      <c r="AF170" s="98" t="s">
        <v>1236</v>
      </c>
      <c r="AG170" s="100" t="s">
        <v>154</v>
      </c>
    </row>
    <row r="171" spans="1:33" ht="29.4" customHeight="1">
      <c r="A171" s="97">
        <v>182</v>
      </c>
      <c r="B171" s="98" t="s">
        <v>71</v>
      </c>
      <c r="C171" s="98" t="s">
        <v>1237</v>
      </c>
      <c r="D171" s="98" t="s">
        <v>1238</v>
      </c>
      <c r="E171" s="98" t="s">
        <v>105</v>
      </c>
      <c r="F171" s="98" t="s">
        <v>144</v>
      </c>
      <c r="G171" s="98">
        <v>1</v>
      </c>
      <c r="H171" s="99" t="s">
        <v>1239</v>
      </c>
      <c r="I171" s="98" t="s">
        <v>1240</v>
      </c>
      <c r="J171" s="98" t="s">
        <v>218</v>
      </c>
      <c r="K171" s="98" t="s">
        <v>234</v>
      </c>
      <c r="L171" s="98" t="s">
        <v>235</v>
      </c>
      <c r="M171" s="102">
        <v>8.0000000000000004E-4</v>
      </c>
      <c r="N171" s="104">
        <v>1E-3</v>
      </c>
      <c r="O171" s="101">
        <f t="shared" si="4"/>
        <v>1.9999999999999998E-4</v>
      </c>
      <c r="P171" s="102">
        <v>0</v>
      </c>
      <c r="Q171" s="102">
        <f t="shared" si="3"/>
        <v>8.0000000000000004E-4</v>
      </c>
      <c r="R171" s="98">
        <v>56</v>
      </c>
      <c r="S171" s="98">
        <v>10000</v>
      </c>
      <c r="T171" s="98"/>
      <c r="U171" s="98"/>
      <c r="V171" s="103"/>
      <c r="W171" s="98"/>
      <c r="X171" s="98" t="s">
        <v>1241</v>
      </c>
      <c r="Y171" s="98" t="s">
        <v>1242</v>
      </c>
      <c r="Z171" s="98" t="s">
        <v>1243</v>
      </c>
      <c r="AA171" s="102">
        <v>8.0000000000000004E-4</v>
      </c>
      <c r="AB171" s="98" t="s">
        <v>1244</v>
      </c>
      <c r="AC171" s="98" t="s">
        <v>1245</v>
      </c>
      <c r="AD171" s="100">
        <v>1.2999999999999999E-3</v>
      </c>
      <c r="AE171" s="98" t="s">
        <v>1246</v>
      </c>
      <c r="AF171" s="98" t="s">
        <v>1247</v>
      </c>
      <c r="AG171" s="100" t="s">
        <v>154</v>
      </c>
    </row>
    <row r="172" spans="1:33" ht="29.4" customHeight="1">
      <c r="A172" s="97">
        <v>183</v>
      </c>
      <c r="B172" s="98" t="s">
        <v>71</v>
      </c>
      <c r="C172" s="98" t="s">
        <v>265</v>
      </c>
      <c r="D172" s="98" t="s">
        <v>266</v>
      </c>
      <c r="E172" s="98" t="s">
        <v>105</v>
      </c>
      <c r="F172" s="98" t="s">
        <v>144</v>
      </c>
      <c r="G172" s="98">
        <v>1</v>
      </c>
      <c r="H172" s="99" t="s">
        <v>267</v>
      </c>
      <c r="I172" s="98" t="s">
        <v>268</v>
      </c>
      <c r="J172" s="98" t="s">
        <v>218</v>
      </c>
      <c r="K172" s="98" t="s">
        <v>234</v>
      </c>
      <c r="L172" s="98" t="s">
        <v>235</v>
      </c>
      <c r="M172" s="102">
        <v>1.8E-3</v>
      </c>
      <c r="N172" s="104">
        <v>2.3999999999999998E-3</v>
      </c>
      <c r="O172" s="101">
        <f t="shared" si="4"/>
        <v>5.9999999999999984E-4</v>
      </c>
      <c r="P172" s="102">
        <v>0</v>
      </c>
      <c r="Q172" s="102">
        <f t="shared" si="3"/>
        <v>1.8E-3</v>
      </c>
      <c r="R172" s="98">
        <v>56</v>
      </c>
      <c r="S172" s="98">
        <v>5000</v>
      </c>
      <c r="T172" s="98"/>
      <c r="U172" s="98"/>
      <c r="V172" s="103"/>
      <c r="W172" s="98"/>
      <c r="X172" s="98" t="s">
        <v>1248</v>
      </c>
      <c r="Y172" s="98" t="s">
        <v>270</v>
      </c>
      <c r="Z172" s="98" t="s">
        <v>271</v>
      </c>
      <c r="AA172" s="102">
        <v>1.8E-3</v>
      </c>
      <c r="AB172" s="98" t="s">
        <v>272</v>
      </c>
      <c r="AC172" s="98" t="s">
        <v>273</v>
      </c>
      <c r="AD172" s="102">
        <v>2.5999999999999999E-3</v>
      </c>
      <c r="AE172" s="98" t="s">
        <v>274</v>
      </c>
      <c r="AF172" s="98" t="s">
        <v>275</v>
      </c>
      <c r="AG172" s="100" t="s">
        <v>154</v>
      </c>
    </row>
    <row r="173" spans="1:33" ht="29.4" customHeight="1">
      <c r="A173" s="97">
        <v>184</v>
      </c>
      <c r="B173" s="98" t="s">
        <v>71</v>
      </c>
      <c r="C173" s="98" t="s">
        <v>1249</v>
      </c>
      <c r="D173" s="98" t="s">
        <v>1250</v>
      </c>
      <c r="E173" s="98" t="s">
        <v>105</v>
      </c>
      <c r="F173" s="98" t="s">
        <v>144</v>
      </c>
      <c r="G173" s="98">
        <v>2</v>
      </c>
      <c r="H173" s="99" t="s">
        <v>1251</v>
      </c>
      <c r="I173" s="98" t="s">
        <v>1252</v>
      </c>
      <c r="J173" s="98" t="s">
        <v>218</v>
      </c>
      <c r="K173" s="98" t="s">
        <v>234</v>
      </c>
      <c r="L173" s="98" t="s">
        <v>235</v>
      </c>
      <c r="M173" s="102">
        <v>4.1999999999999997E-3</v>
      </c>
      <c r="N173" s="104">
        <v>5.7000000000000002E-3</v>
      </c>
      <c r="O173" s="101">
        <f t="shared" si="4"/>
        <v>3.0000000000000009E-3</v>
      </c>
      <c r="P173" s="102">
        <v>0</v>
      </c>
      <c r="Q173" s="102">
        <f t="shared" si="3"/>
        <v>8.3999999999999995E-3</v>
      </c>
      <c r="R173" s="98">
        <v>56</v>
      </c>
      <c r="S173" s="98">
        <v>5000</v>
      </c>
      <c r="T173" s="98"/>
      <c r="U173" s="98"/>
      <c r="V173" s="103"/>
      <c r="W173" s="98"/>
      <c r="X173" s="98" t="s">
        <v>1253</v>
      </c>
      <c r="Y173" s="98" t="s">
        <v>1254</v>
      </c>
      <c r="Z173" s="98" t="s">
        <v>1255</v>
      </c>
      <c r="AA173" s="102">
        <v>4.1999999999999997E-3</v>
      </c>
      <c r="AB173" s="98" t="s">
        <v>1256</v>
      </c>
      <c r="AC173" s="98" t="s">
        <v>1257</v>
      </c>
      <c r="AD173" s="100">
        <v>7.4999999999999997E-3</v>
      </c>
      <c r="AE173" s="98" t="s">
        <v>1258</v>
      </c>
      <c r="AF173" s="98" t="s">
        <v>1259</v>
      </c>
      <c r="AG173" s="100" t="s">
        <v>154</v>
      </c>
    </row>
    <row r="174" spans="1:33" ht="29.4" customHeight="1">
      <c r="A174" s="97">
        <v>185</v>
      </c>
      <c r="B174" s="98" t="s">
        <v>71</v>
      </c>
      <c r="C174" s="98" t="s">
        <v>1260</v>
      </c>
      <c r="D174" s="98" t="s">
        <v>1261</v>
      </c>
      <c r="E174" s="98" t="s">
        <v>105</v>
      </c>
      <c r="F174" s="98" t="s">
        <v>144</v>
      </c>
      <c r="G174" s="98">
        <v>1</v>
      </c>
      <c r="H174" s="99" t="s">
        <v>1262</v>
      </c>
      <c r="I174" s="98" t="s">
        <v>1263</v>
      </c>
      <c r="J174" s="98" t="s">
        <v>218</v>
      </c>
      <c r="K174" s="98" t="s">
        <v>234</v>
      </c>
      <c r="L174" s="98" t="s">
        <v>235</v>
      </c>
      <c r="M174" s="102">
        <v>2.5000000000000001E-3</v>
      </c>
      <c r="N174" s="104">
        <v>3.5999999999999999E-3</v>
      </c>
      <c r="O174" s="101">
        <f t="shared" si="4"/>
        <v>1.0999999999999998E-3</v>
      </c>
      <c r="P174" s="102">
        <v>0</v>
      </c>
      <c r="Q174" s="102">
        <f t="shared" si="3"/>
        <v>2.5000000000000001E-3</v>
      </c>
      <c r="R174" s="98">
        <v>56</v>
      </c>
      <c r="S174" s="98">
        <v>5000</v>
      </c>
      <c r="T174" s="98"/>
      <c r="U174" s="98"/>
      <c r="V174" s="103"/>
      <c r="W174" s="98"/>
      <c r="X174" s="98" t="s">
        <v>1264</v>
      </c>
      <c r="Y174" s="98" t="s">
        <v>1265</v>
      </c>
      <c r="Z174" s="98" t="s">
        <v>1266</v>
      </c>
      <c r="AA174" s="102">
        <v>2.5000000000000001E-3</v>
      </c>
      <c r="AB174" s="98" t="s">
        <v>1267</v>
      </c>
      <c r="AC174" s="98" t="s">
        <v>1268</v>
      </c>
      <c r="AD174" s="100">
        <v>3.8999999999999998E-3</v>
      </c>
      <c r="AE174" s="98" t="s">
        <v>1269</v>
      </c>
      <c r="AF174" s="98" t="s">
        <v>1270</v>
      </c>
      <c r="AG174" s="100" t="s">
        <v>154</v>
      </c>
    </row>
    <row r="175" spans="1:33" ht="29.4" customHeight="1">
      <c r="A175" s="97">
        <v>186</v>
      </c>
      <c r="B175" s="98" t="s">
        <v>71</v>
      </c>
      <c r="C175" s="98" t="s">
        <v>321</v>
      </c>
      <c r="D175" s="98" t="s">
        <v>322</v>
      </c>
      <c r="E175" s="98" t="s">
        <v>105</v>
      </c>
      <c r="F175" s="98" t="s">
        <v>144</v>
      </c>
      <c r="G175" s="98">
        <v>2</v>
      </c>
      <c r="H175" s="99" t="s">
        <v>323</v>
      </c>
      <c r="I175" s="98" t="s">
        <v>324</v>
      </c>
      <c r="J175" s="98" t="s">
        <v>218</v>
      </c>
      <c r="K175" s="98" t="s">
        <v>234</v>
      </c>
      <c r="L175" s="98" t="s">
        <v>235</v>
      </c>
      <c r="M175" s="102">
        <v>4.1999999999999997E-3</v>
      </c>
      <c r="N175" s="104">
        <v>5.7000000000000002E-3</v>
      </c>
      <c r="O175" s="101">
        <f t="shared" si="4"/>
        <v>3.0000000000000009E-3</v>
      </c>
      <c r="P175" s="102">
        <v>0</v>
      </c>
      <c r="Q175" s="102">
        <f t="shared" si="3"/>
        <v>8.3999999999999995E-3</v>
      </c>
      <c r="R175" s="98">
        <v>56</v>
      </c>
      <c r="S175" s="98">
        <v>5000</v>
      </c>
      <c r="T175" s="98"/>
      <c r="U175" s="98"/>
      <c r="V175" s="103"/>
      <c r="W175" s="98"/>
      <c r="X175" s="98" t="s">
        <v>1271</v>
      </c>
      <c r="Y175" s="98" t="s">
        <v>326</v>
      </c>
      <c r="Z175" s="98" t="s">
        <v>327</v>
      </c>
      <c r="AA175" s="102">
        <v>4.1999999999999997E-3</v>
      </c>
      <c r="AB175" s="98" t="s">
        <v>328</v>
      </c>
      <c r="AC175" s="98" t="s">
        <v>329</v>
      </c>
      <c r="AD175" s="100">
        <v>7.4999999999999997E-3</v>
      </c>
      <c r="AE175" s="98" t="s">
        <v>1272</v>
      </c>
      <c r="AF175" s="98" t="s">
        <v>1273</v>
      </c>
      <c r="AG175" s="100" t="s">
        <v>154</v>
      </c>
    </row>
    <row r="176" spans="1:33" ht="29.4" customHeight="1">
      <c r="A176" s="97">
        <v>187</v>
      </c>
      <c r="B176" s="98" t="s">
        <v>71</v>
      </c>
      <c r="C176" s="98" t="s">
        <v>1274</v>
      </c>
      <c r="D176" s="98" t="s">
        <v>1275</v>
      </c>
      <c r="E176" s="98" t="s">
        <v>105</v>
      </c>
      <c r="F176" s="98" t="s">
        <v>144</v>
      </c>
      <c r="G176" s="98">
        <v>6</v>
      </c>
      <c r="H176" s="99" t="s">
        <v>1276</v>
      </c>
      <c r="I176" s="98" t="s">
        <v>1277</v>
      </c>
      <c r="J176" s="98" t="s">
        <v>218</v>
      </c>
      <c r="K176" s="98" t="s">
        <v>219</v>
      </c>
      <c r="L176" s="98" t="s">
        <v>185</v>
      </c>
      <c r="M176" s="102">
        <v>4.3E-3</v>
      </c>
      <c r="N176" s="104">
        <v>5.7000000000000002E-3</v>
      </c>
      <c r="O176" s="101">
        <f t="shared" si="4"/>
        <v>8.4000000000000012E-3</v>
      </c>
      <c r="P176" s="102">
        <v>0</v>
      </c>
      <c r="Q176" s="102">
        <f t="shared" si="3"/>
        <v>2.58E-2</v>
      </c>
      <c r="R176" s="98">
        <v>42</v>
      </c>
      <c r="S176" s="98">
        <v>1</v>
      </c>
      <c r="T176" s="98"/>
      <c r="U176" s="98"/>
      <c r="V176" s="103"/>
      <c r="W176" s="98"/>
      <c r="X176" s="98" t="s">
        <v>1278</v>
      </c>
      <c r="Y176" s="98" t="s">
        <v>1279</v>
      </c>
      <c r="Z176" s="98" t="s">
        <v>1280</v>
      </c>
      <c r="AA176" s="100">
        <v>5.7000000000000002E-3</v>
      </c>
      <c r="AB176" s="98" t="s">
        <v>1281</v>
      </c>
      <c r="AC176" s="98" t="s">
        <v>1282</v>
      </c>
      <c r="AD176" s="100">
        <v>7.4999999999999997E-3</v>
      </c>
      <c r="AE176" s="98" t="s">
        <v>1283</v>
      </c>
      <c r="AF176" s="98" t="s">
        <v>1284</v>
      </c>
      <c r="AG176" s="100" t="s">
        <v>154</v>
      </c>
    </row>
    <row r="177" spans="1:33" ht="29.4" customHeight="1">
      <c r="A177" s="97">
        <v>188</v>
      </c>
      <c r="B177" s="98" t="s">
        <v>71</v>
      </c>
      <c r="C177" s="98" t="s">
        <v>1285</v>
      </c>
      <c r="D177" s="98" t="s">
        <v>1286</v>
      </c>
      <c r="E177" s="98" t="s">
        <v>105</v>
      </c>
      <c r="F177" s="98" t="s">
        <v>144</v>
      </c>
      <c r="G177" s="98">
        <v>1</v>
      </c>
      <c r="H177" s="99" t="s">
        <v>1287</v>
      </c>
      <c r="I177" s="98" t="s">
        <v>1288</v>
      </c>
      <c r="J177" s="98" t="s">
        <v>183</v>
      </c>
      <c r="K177" s="98" t="s">
        <v>641</v>
      </c>
      <c r="L177" s="98" t="s">
        <v>235</v>
      </c>
      <c r="M177" s="102">
        <v>4.1999999999999997E-3</v>
      </c>
      <c r="N177" s="104">
        <v>5.7000000000000002E-3</v>
      </c>
      <c r="O177" s="101">
        <f t="shared" si="4"/>
        <v>1.5000000000000005E-3</v>
      </c>
      <c r="P177" s="102">
        <v>0</v>
      </c>
      <c r="Q177" s="102">
        <f t="shared" si="3"/>
        <v>4.1999999999999997E-3</v>
      </c>
      <c r="R177" s="98">
        <v>56</v>
      </c>
      <c r="S177" s="98">
        <v>0</v>
      </c>
      <c r="T177" s="98">
        <v>5000</v>
      </c>
      <c r="U177" s="98"/>
      <c r="V177" s="103"/>
      <c r="W177" s="98"/>
      <c r="X177" s="98" t="s">
        <v>1289</v>
      </c>
      <c r="Y177" s="98" t="s">
        <v>1290</v>
      </c>
      <c r="Z177" s="98" t="s">
        <v>1291</v>
      </c>
      <c r="AA177" s="102">
        <v>4.1999999999999997E-3</v>
      </c>
      <c r="AB177" s="98" t="s">
        <v>1292</v>
      </c>
      <c r="AC177" s="98" t="s">
        <v>1293</v>
      </c>
      <c r="AD177" s="100">
        <v>7.4999999999999997E-3</v>
      </c>
      <c r="AE177" s="98" t="s">
        <v>1294</v>
      </c>
      <c r="AF177" s="98" t="s">
        <v>1295</v>
      </c>
      <c r="AG177" s="100" t="s">
        <v>154</v>
      </c>
    </row>
    <row r="178" spans="1:33" ht="29.4" customHeight="1">
      <c r="A178" s="97">
        <v>189</v>
      </c>
      <c r="B178" s="98" t="s">
        <v>71</v>
      </c>
      <c r="C178" s="98" t="s">
        <v>1296</v>
      </c>
      <c r="D178" s="98" t="s">
        <v>1297</v>
      </c>
      <c r="E178" s="98" t="s">
        <v>105</v>
      </c>
      <c r="F178" s="98" t="s">
        <v>144</v>
      </c>
      <c r="G178" s="98">
        <v>2</v>
      </c>
      <c r="H178" s="99" t="s">
        <v>1298</v>
      </c>
      <c r="I178" s="98" t="s">
        <v>1299</v>
      </c>
      <c r="J178" s="98" t="s">
        <v>302</v>
      </c>
      <c r="K178" s="98" t="s">
        <v>234</v>
      </c>
      <c r="L178" s="98" t="s">
        <v>235</v>
      </c>
      <c r="M178" s="102">
        <v>8.0000000000000004E-4</v>
      </c>
      <c r="N178" s="104">
        <v>1E-3</v>
      </c>
      <c r="O178" s="101">
        <f t="shared" si="4"/>
        <v>3.9999999999999996E-4</v>
      </c>
      <c r="P178" s="102">
        <v>0</v>
      </c>
      <c r="Q178" s="102">
        <f t="shared" si="3"/>
        <v>1.6000000000000001E-3</v>
      </c>
      <c r="R178" s="98">
        <v>56</v>
      </c>
      <c r="S178" s="98">
        <v>10000</v>
      </c>
      <c r="T178" s="98"/>
      <c r="U178" s="98"/>
      <c r="V178" s="103"/>
      <c r="W178" s="98"/>
      <c r="X178" s="98" t="s">
        <v>1300</v>
      </c>
      <c r="Y178" s="98" t="s">
        <v>1301</v>
      </c>
      <c r="Z178" s="98" t="s">
        <v>1302</v>
      </c>
      <c r="AA178" s="102">
        <v>8.0000000000000004E-4</v>
      </c>
      <c r="AB178" s="98" t="s">
        <v>1303</v>
      </c>
      <c r="AC178" s="98" t="s">
        <v>1304</v>
      </c>
      <c r="AD178" s="100">
        <v>1.1999999999999999E-3</v>
      </c>
      <c r="AE178" s="98" t="s">
        <v>1305</v>
      </c>
      <c r="AF178" s="98" t="s">
        <v>1306</v>
      </c>
      <c r="AG178" s="100" t="s">
        <v>154</v>
      </c>
    </row>
    <row r="179" spans="1:33" ht="29.4" customHeight="1">
      <c r="A179" s="97">
        <v>190</v>
      </c>
      <c r="B179" s="98" t="s">
        <v>71</v>
      </c>
      <c r="C179" s="98" t="s">
        <v>1307</v>
      </c>
      <c r="D179" s="98" t="s">
        <v>1308</v>
      </c>
      <c r="E179" s="98" t="s">
        <v>105</v>
      </c>
      <c r="F179" s="98" t="s">
        <v>144</v>
      </c>
      <c r="G179" s="98">
        <v>1</v>
      </c>
      <c r="H179" s="99" t="s">
        <v>1309</v>
      </c>
      <c r="I179" s="98" t="s">
        <v>1310</v>
      </c>
      <c r="J179" s="98" t="s">
        <v>218</v>
      </c>
      <c r="K179" s="98" t="s">
        <v>234</v>
      </c>
      <c r="L179" s="98" t="s">
        <v>235</v>
      </c>
      <c r="M179" s="102">
        <v>4.1999999999999997E-3</v>
      </c>
      <c r="N179" s="104">
        <v>5.7000000000000002E-3</v>
      </c>
      <c r="O179" s="101">
        <f t="shared" si="4"/>
        <v>1.5000000000000005E-3</v>
      </c>
      <c r="P179" s="102">
        <v>0</v>
      </c>
      <c r="Q179" s="102">
        <f t="shared" si="3"/>
        <v>4.1999999999999997E-3</v>
      </c>
      <c r="R179" s="98">
        <v>56</v>
      </c>
      <c r="S179" s="98">
        <v>5000</v>
      </c>
      <c r="T179" s="98"/>
      <c r="U179" s="98"/>
      <c r="V179" s="103"/>
      <c r="W179" s="98"/>
      <c r="X179" s="98" t="s">
        <v>1311</v>
      </c>
      <c r="Y179" s="98" t="s">
        <v>1312</v>
      </c>
      <c r="Z179" s="98" t="s">
        <v>1313</v>
      </c>
      <c r="AA179" s="102">
        <v>4.1999999999999997E-3</v>
      </c>
      <c r="AB179" s="98" t="s">
        <v>1314</v>
      </c>
      <c r="AC179" s="98" t="s">
        <v>1315</v>
      </c>
      <c r="AD179" s="100">
        <v>2.1399999999999999E-2</v>
      </c>
      <c r="AE179" s="98" t="s">
        <v>1316</v>
      </c>
      <c r="AF179" s="98" t="s">
        <v>1317</v>
      </c>
      <c r="AG179" s="100" t="s">
        <v>154</v>
      </c>
    </row>
    <row r="180" spans="1:33" ht="29.4" customHeight="1">
      <c r="A180" s="97">
        <v>191</v>
      </c>
      <c r="B180" s="98" t="s">
        <v>71</v>
      </c>
      <c r="C180" s="98" t="s">
        <v>1318</v>
      </c>
      <c r="D180" s="98" t="s">
        <v>1319</v>
      </c>
      <c r="E180" s="98" t="s">
        <v>105</v>
      </c>
      <c r="F180" s="98" t="s">
        <v>144</v>
      </c>
      <c r="G180" s="98">
        <v>2</v>
      </c>
      <c r="H180" s="99" t="s">
        <v>1320</v>
      </c>
      <c r="I180" s="98" t="s">
        <v>1321</v>
      </c>
      <c r="J180" s="98" t="s">
        <v>302</v>
      </c>
      <c r="K180" s="98" t="s">
        <v>234</v>
      </c>
      <c r="L180" s="98" t="s">
        <v>235</v>
      </c>
      <c r="M180" s="102">
        <v>8.0000000000000004E-4</v>
      </c>
      <c r="N180" s="104">
        <v>1E-3</v>
      </c>
      <c r="O180" s="101">
        <f t="shared" si="4"/>
        <v>3.9999999999999996E-4</v>
      </c>
      <c r="P180" s="102">
        <v>0</v>
      </c>
      <c r="Q180" s="102">
        <f t="shared" si="3"/>
        <v>1.6000000000000001E-3</v>
      </c>
      <c r="R180" s="98">
        <v>56</v>
      </c>
      <c r="S180" s="98">
        <v>10000</v>
      </c>
      <c r="T180" s="98"/>
      <c r="U180" s="98"/>
      <c r="V180" s="103"/>
      <c r="W180" s="98"/>
      <c r="X180" s="98" t="s">
        <v>1322</v>
      </c>
      <c r="Y180" s="98" t="s">
        <v>1323</v>
      </c>
      <c r="Z180" s="98" t="s">
        <v>1324</v>
      </c>
      <c r="AA180" s="102">
        <v>8.0000000000000004E-4</v>
      </c>
      <c r="AB180" s="98" t="s">
        <v>1325</v>
      </c>
      <c r="AC180" s="98" t="s">
        <v>1326</v>
      </c>
      <c r="AD180" s="100">
        <v>2.8999999999999998E-3</v>
      </c>
      <c r="AE180" s="98" t="s">
        <v>1327</v>
      </c>
      <c r="AF180" s="98" t="s">
        <v>1328</v>
      </c>
      <c r="AG180" s="100" t="s">
        <v>154</v>
      </c>
    </row>
    <row r="181" spans="1:33" ht="29.4" customHeight="1">
      <c r="A181" s="97">
        <v>192</v>
      </c>
      <c r="B181" s="98" t="s">
        <v>71</v>
      </c>
      <c r="C181" s="98" t="s">
        <v>1329</v>
      </c>
      <c r="D181" s="98" t="s">
        <v>1330</v>
      </c>
      <c r="E181" s="98" t="s">
        <v>105</v>
      </c>
      <c r="F181" s="98" t="s">
        <v>144</v>
      </c>
      <c r="G181" s="98">
        <v>5</v>
      </c>
      <c r="H181" s="99" t="s">
        <v>1331</v>
      </c>
      <c r="I181" s="98" t="s">
        <v>1332</v>
      </c>
      <c r="J181" s="98" t="s">
        <v>205</v>
      </c>
      <c r="K181" s="98" t="s">
        <v>641</v>
      </c>
      <c r="L181" s="98" t="s">
        <v>235</v>
      </c>
      <c r="M181" s="102">
        <v>1E-3</v>
      </c>
      <c r="N181" s="104">
        <v>1.2999999999999999E-3</v>
      </c>
      <c r="O181" s="101">
        <f t="shared" si="4"/>
        <v>1.4999999999999996E-3</v>
      </c>
      <c r="P181" s="102">
        <v>0</v>
      </c>
      <c r="Q181" s="102">
        <f t="shared" si="3"/>
        <v>5.0000000000000001E-3</v>
      </c>
      <c r="R181" s="98">
        <v>56</v>
      </c>
      <c r="S181" s="98">
        <v>10000</v>
      </c>
      <c r="T181" s="98">
        <v>10000</v>
      </c>
      <c r="U181" s="98"/>
      <c r="V181" s="103"/>
      <c r="W181" s="98"/>
      <c r="X181" s="98" t="s">
        <v>1333</v>
      </c>
      <c r="Y181" s="98" t="s">
        <v>1334</v>
      </c>
      <c r="Z181" s="98" t="s">
        <v>1335</v>
      </c>
      <c r="AA181" s="102">
        <v>1E-3</v>
      </c>
      <c r="AB181" s="98" t="s">
        <v>1336</v>
      </c>
      <c r="AC181" s="98" t="s">
        <v>1337</v>
      </c>
      <c r="AD181" s="102">
        <v>1.2999999999999999E-3</v>
      </c>
      <c r="AE181" s="98" t="s">
        <v>1338</v>
      </c>
      <c r="AF181" s="98" t="s">
        <v>1339</v>
      </c>
      <c r="AG181" s="100" t="s">
        <v>154</v>
      </c>
    </row>
    <row r="182" spans="1:33" ht="29.4" customHeight="1">
      <c r="A182" s="97">
        <v>193</v>
      </c>
      <c r="B182" s="98" t="s">
        <v>71</v>
      </c>
      <c r="C182" s="98" t="s">
        <v>1340</v>
      </c>
      <c r="D182" s="98" t="s">
        <v>1341</v>
      </c>
      <c r="E182" s="98" t="s">
        <v>105</v>
      </c>
      <c r="F182" s="98" t="s">
        <v>144</v>
      </c>
      <c r="G182" s="98">
        <v>1</v>
      </c>
      <c r="H182" s="99" t="s">
        <v>1342</v>
      </c>
      <c r="I182" s="98" t="s">
        <v>1343</v>
      </c>
      <c r="J182" s="98" t="s">
        <v>218</v>
      </c>
      <c r="K182" s="98" t="s">
        <v>234</v>
      </c>
      <c r="L182" s="98" t="s">
        <v>235</v>
      </c>
      <c r="M182" s="102">
        <v>1.8E-3</v>
      </c>
      <c r="N182" s="104">
        <v>2.3999999999999998E-3</v>
      </c>
      <c r="O182" s="101">
        <f t="shared" si="4"/>
        <v>5.9999999999999984E-4</v>
      </c>
      <c r="P182" s="102">
        <v>0</v>
      </c>
      <c r="Q182" s="102">
        <f t="shared" si="3"/>
        <v>1.8E-3</v>
      </c>
      <c r="R182" s="98">
        <v>56</v>
      </c>
      <c r="S182" s="98">
        <v>5000</v>
      </c>
      <c r="T182" s="98">
        <v>5000</v>
      </c>
      <c r="U182" s="98"/>
      <c r="V182" s="103"/>
      <c r="W182" s="98"/>
      <c r="X182" s="98" t="s">
        <v>1344</v>
      </c>
      <c r="Y182" s="98" t="s">
        <v>1345</v>
      </c>
      <c r="Z182" s="98" t="s">
        <v>1346</v>
      </c>
      <c r="AA182" s="102">
        <v>1.8E-3</v>
      </c>
      <c r="AB182" s="98" t="s">
        <v>1347</v>
      </c>
      <c r="AC182" s="98" t="s">
        <v>1348</v>
      </c>
      <c r="AD182" s="100">
        <v>2.5999999999999999E-3</v>
      </c>
      <c r="AE182" s="98" t="s">
        <v>1349</v>
      </c>
      <c r="AF182" s="98" t="s">
        <v>1350</v>
      </c>
      <c r="AG182" s="100" t="s">
        <v>154</v>
      </c>
    </row>
    <row r="183" spans="1:33" ht="29.4" customHeight="1">
      <c r="A183" s="97">
        <v>194</v>
      </c>
      <c r="B183" s="98" t="s">
        <v>71</v>
      </c>
      <c r="C183" s="98" t="s">
        <v>1351</v>
      </c>
      <c r="D183" s="98" t="s">
        <v>1352</v>
      </c>
      <c r="E183" s="98" t="s">
        <v>105</v>
      </c>
      <c r="F183" s="98" t="s">
        <v>144</v>
      </c>
      <c r="G183" s="98">
        <v>1</v>
      </c>
      <c r="H183" s="99" t="s">
        <v>1353</v>
      </c>
      <c r="I183" s="98" t="s">
        <v>1354</v>
      </c>
      <c r="J183" s="98" t="s">
        <v>302</v>
      </c>
      <c r="K183" s="98" t="s">
        <v>234</v>
      </c>
      <c r="L183" s="98" t="s">
        <v>235</v>
      </c>
      <c r="M183" s="102">
        <v>1.5E-3</v>
      </c>
      <c r="N183" s="104">
        <v>2.0999999999999999E-3</v>
      </c>
      <c r="O183" s="101">
        <f t="shared" si="4"/>
        <v>5.9999999999999984E-4</v>
      </c>
      <c r="P183" s="102">
        <v>0</v>
      </c>
      <c r="Q183" s="102">
        <f t="shared" si="3"/>
        <v>1.5E-3</v>
      </c>
      <c r="R183" s="98">
        <v>56</v>
      </c>
      <c r="S183" s="98">
        <v>5000</v>
      </c>
      <c r="T183" s="98"/>
      <c r="U183" s="98"/>
      <c r="V183" s="103"/>
      <c r="W183" s="98"/>
      <c r="X183" s="98" t="s">
        <v>1355</v>
      </c>
      <c r="Y183" s="98" t="s">
        <v>1356</v>
      </c>
      <c r="Z183" s="98" t="s">
        <v>1357</v>
      </c>
      <c r="AA183" s="102">
        <v>1.5E-3</v>
      </c>
      <c r="AB183" s="98" t="s">
        <v>1358</v>
      </c>
      <c r="AC183" s="98" t="s">
        <v>1359</v>
      </c>
      <c r="AD183" s="100">
        <v>2.3E-3</v>
      </c>
      <c r="AE183" s="98" t="s">
        <v>1360</v>
      </c>
      <c r="AF183" s="98" t="s">
        <v>1361</v>
      </c>
      <c r="AG183" s="100" t="s">
        <v>154</v>
      </c>
    </row>
    <row r="184" spans="1:33" ht="29.4" customHeight="1">
      <c r="A184" s="97">
        <v>195</v>
      </c>
      <c r="B184" s="98" t="s">
        <v>71</v>
      </c>
      <c r="C184" s="98" t="s">
        <v>1362</v>
      </c>
      <c r="D184" s="98" t="s">
        <v>1363</v>
      </c>
      <c r="E184" s="98" t="s">
        <v>105</v>
      </c>
      <c r="F184" s="98" t="s">
        <v>144</v>
      </c>
      <c r="G184" s="98">
        <v>3</v>
      </c>
      <c r="H184" s="99" t="s">
        <v>1364</v>
      </c>
      <c r="I184" s="98" t="s">
        <v>1365</v>
      </c>
      <c r="J184" s="98" t="s">
        <v>183</v>
      </c>
      <c r="K184" s="98" t="s">
        <v>184</v>
      </c>
      <c r="L184" s="98" t="s">
        <v>185</v>
      </c>
      <c r="M184" s="102">
        <v>5.7999999999999996E-3</v>
      </c>
      <c r="N184" s="104">
        <v>1.12E-2</v>
      </c>
      <c r="O184" s="101">
        <f t="shared" si="4"/>
        <v>1.6199999999999999E-2</v>
      </c>
      <c r="P184" s="102">
        <v>0</v>
      </c>
      <c r="Q184" s="102">
        <f t="shared" si="3"/>
        <v>1.7399999999999999E-2</v>
      </c>
      <c r="R184" s="98">
        <v>56</v>
      </c>
      <c r="S184" s="98">
        <v>0</v>
      </c>
      <c r="T184" s="98">
        <v>5000</v>
      </c>
      <c r="U184" s="98"/>
      <c r="V184" s="103"/>
      <c r="W184" s="98"/>
      <c r="X184" s="98" t="s">
        <v>1366</v>
      </c>
      <c r="Y184" s="98" t="s">
        <v>1367</v>
      </c>
      <c r="Z184" s="98" t="s">
        <v>1368</v>
      </c>
      <c r="AA184" s="105">
        <v>8.9999999999999993E-3</v>
      </c>
      <c r="AB184" s="98" t="s">
        <v>1369</v>
      </c>
      <c r="AC184" s="98" t="s">
        <v>1370</v>
      </c>
      <c r="AD184" s="100">
        <v>2.7900000000000001E-2</v>
      </c>
      <c r="AE184" s="98" t="s">
        <v>1371</v>
      </c>
      <c r="AF184" s="98" t="s">
        <v>1372</v>
      </c>
      <c r="AG184" s="100" t="s">
        <v>154</v>
      </c>
    </row>
    <row r="185" spans="1:33" ht="29.4" customHeight="1">
      <c r="A185" s="97">
        <v>196</v>
      </c>
      <c r="B185" s="98" t="s">
        <v>71</v>
      </c>
      <c r="C185" s="98" t="s">
        <v>1373</v>
      </c>
      <c r="D185" s="98" t="s">
        <v>1374</v>
      </c>
      <c r="E185" s="98" t="s">
        <v>105</v>
      </c>
      <c r="F185" s="98" t="s">
        <v>144</v>
      </c>
      <c r="G185" s="98">
        <v>1</v>
      </c>
      <c r="H185" s="99" t="s">
        <v>1375</v>
      </c>
      <c r="I185" s="98" t="s">
        <v>1376</v>
      </c>
      <c r="J185" s="98" t="s">
        <v>302</v>
      </c>
      <c r="K185" s="98" t="s">
        <v>234</v>
      </c>
      <c r="L185" s="98" t="s">
        <v>235</v>
      </c>
      <c r="M185" s="102">
        <v>1.5E-3</v>
      </c>
      <c r="N185" s="104">
        <v>2.0999999999999999E-3</v>
      </c>
      <c r="O185" s="101">
        <f t="shared" si="4"/>
        <v>5.9999999999999984E-4</v>
      </c>
      <c r="P185" s="102">
        <v>0</v>
      </c>
      <c r="Q185" s="102">
        <f t="shared" si="3"/>
        <v>1.5E-3</v>
      </c>
      <c r="R185" s="98">
        <v>56</v>
      </c>
      <c r="S185" s="98">
        <v>5000</v>
      </c>
      <c r="T185" s="98"/>
      <c r="U185" s="98"/>
      <c r="V185" s="103"/>
      <c r="W185" s="98"/>
      <c r="X185" s="98" t="s">
        <v>1377</v>
      </c>
      <c r="Y185" s="98" t="s">
        <v>1378</v>
      </c>
      <c r="Z185" s="98" t="s">
        <v>1379</v>
      </c>
      <c r="AA185" s="102">
        <v>1.5E-3</v>
      </c>
      <c r="AB185" s="98" t="s">
        <v>1380</v>
      </c>
      <c r="AC185" s="98" t="s">
        <v>1381</v>
      </c>
      <c r="AD185" s="100">
        <v>2.3E-3</v>
      </c>
      <c r="AE185" s="98" t="s">
        <v>1382</v>
      </c>
      <c r="AF185" s="98" t="s">
        <v>1383</v>
      </c>
      <c r="AG185" s="100" t="s">
        <v>154</v>
      </c>
    </row>
    <row r="186" spans="1:33" ht="29.4" customHeight="1">
      <c r="A186" s="97">
        <v>197</v>
      </c>
      <c r="B186" s="98" t="s">
        <v>71</v>
      </c>
      <c r="C186" s="98" t="s">
        <v>1384</v>
      </c>
      <c r="D186" s="98" t="s">
        <v>1385</v>
      </c>
      <c r="E186" s="98" t="s">
        <v>105</v>
      </c>
      <c r="F186" s="98" t="s">
        <v>144</v>
      </c>
      <c r="G186" s="98">
        <v>12</v>
      </c>
      <c r="H186" s="99" t="s">
        <v>1386</v>
      </c>
      <c r="I186" s="98" t="s">
        <v>1387</v>
      </c>
      <c r="J186" s="98" t="s">
        <v>302</v>
      </c>
      <c r="K186" s="98" t="s">
        <v>234</v>
      </c>
      <c r="L186" s="98" t="s">
        <v>235</v>
      </c>
      <c r="M186" s="102">
        <v>8.0000000000000004E-4</v>
      </c>
      <c r="N186" s="104">
        <v>1E-3</v>
      </c>
      <c r="O186" s="101">
        <f t="shared" si="4"/>
        <v>2.3999999999999998E-3</v>
      </c>
      <c r="P186" s="102">
        <v>0</v>
      </c>
      <c r="Q186" s="102">
        <f t="shared" si="3"/>
        <v>9.6000000000000009E-3</v>
      </c>
      <c r="R186" s="98">
        <v>56</v>
      </c>
      <c r="S186" s="98">
        <v>10000</v>
      </c>
      <c r="T186" s="98"/>
      <c r="U186" s="98"/>
      <c r="V186" s="103"/>
      <c r="W186" s="98"/>
      <c r="X186" s="98" t="s">
        <v>1388</v>
      </c>
      <c r="Y186" s="98" t="s">
        <v>1389</v>
      </c>
      <c r="Z186" s="98" t="s">
        <v>1390</v>
      </c>
      <c r="AA186" s="102">
        <v>8.0000000000000004E-4</v>
      </c>
      <c r="AB186" s="98" t="s">
        <v>1391</v>
      </c>
      <c r="AC186" s="98" t="s">
        <v>1392</v>
      </c>
      <c r="AD186" s="100">
        <v>1.1999999999999999E-3</v>
      </c>
      <c r="AE186" s="98" t="s">
        <v>1393</v>
      </c>
      <c r="AF186" s="98" t="s">
        <v>1394</v>
      </c>
      <c r="AG186" s="100" t="s">
        <v>154</v>
      </c>
    </row>
    <row r="187" spans="1:33" ht="29.4" customHeight="1">
      <c r="A187" s="97">
        <v>198</v>
      </c>
      <c r="B187" s="98" t="s">
        <v>71</v>
      </c>
      <c r="C187" s="98" t="s">
        <v>1395</v>
      </c>
      <c r="D187" s="98" t="s">
        <v>1396</v>
      </c>
      <c r="E187" s="98" t="s">
        <v>105</v>
      </c>
      <c r="F187" s="98" t="s">
        <v>144</v>
      </c>
      <c r="G187" s="98">
        <v>1</v>
      </c>
      <c r="H187" s="99" t="s">
        <v>1397</v>
      </c>
      <c r="I187" s="98" t="s">
        <v>1398</v>
      </c>
      <c r="J187" s="98" t="s">
        <v>302</v>
      </c>
      <c r="K187" s="98" t="s">
        <v>234</v>
      </c>
      <c r="L187" s="98" t="s">
        <v>235</v>
      </c>
      <c r="M187" s="102">
        <v>1.8E-3</v>
      </c>
      <c r="N187" s="104">
        <v>2.3999999999999998E-3</v>
      </c>
      <c r="O187" s="101">
        <f t="shared" si="4"/>
        <v>5.9999999999999984E-4</v>
      </c>
      <c r="P187" s="102">
        <v>0</v>
      </c>
      <c r="Q187" s="102">
        <f t="shared" si="3"/>
        <v>1.8E-3</v>
      </c>
      <c r="R187" s="98">
        <v>56</v>
      </c>
      <c r="S187" s="98">
        <v>5000</v>
      </c>
      <c r="T187" s="98"/>
      <c r="U187" s="98"/>
      <c r="V187" s="103"/>
      <c r="W187" s="98"/>
      <c r="X187" s="98" t="s">
        <v>1399</v>
      </c>
      <c r="Y187" s="98" t="s">
        <v>1400</v>
      </c>
      <c r="Z187" s="98" t="s">
        <v>1401</v>
      </c>
      <c r="AA187" s="102">
        <v>1.8E-3</v>
      </c>
      <c r="AB187" s="98" t="s">
        <v>1402</v>
      </c>
      <c r="AC187" s="98" t="s">
        <v>1403</v>
      </c>
      <c r="AD187" s="102">
        <v>2.5999999999999999E-3</v>
      </c>
      <c r="AE187" s="98" t="s">
        <v>1404</v>
      </c>
      <c r="AF187" s="98" t="s">
        <v>1405</v>
      </c>
      <c r="AG187" s="100" t="s">
        <v>154</v>
      </c>
    </row>
    <row r="188" spans="1:33" ht="29.4" customHeight="1">
      <c r="A188" s="97">
        <v>199</v>
      </c>
      <c r="B188" s="98" t="s">
        <v>71</v>
      </c>
      <c r="C188" s="98" t="s">
        <v>1406</v>
      </c>
      <c r="D188" s="98" t="s">
        <v>1407</v>
      </c>
      <c r="E188" s="98" t="s">
        <v>105</v>
      </c>
      <c r="F188" s="98" t="s">
        <v>144</v>
      </c>
      <c r="G188" s="98">
        <v>1</v>
      </c>
      <c r="H188" s="99" t="s">
        <v>1408</v>
      </c>
      <c r="I188" s="98" t="s">
        <v>1409</v>
      </c>
      <c r="J188" s="98" t="s">
        <v>302</v>
      </c>
      <c r="K188" s="98" t="s">
        <v>234</v>
      </c>
      <c r="L188" s="98" t="s">
        <v>235</v>
      </c>
      <c r="M188" s="102">
        <v>1.8E-3</v>
      </c>
      <c r="N188" s="104">
        <v>2.3999999999999998E-3</v>
      </c>
      <c r="O188" s="101">
        <f t="shared" si="4"/>
        <v>5.9999999999999984E-4</v>
      </c>
      <c r="P188" s="102">
        <v>0</v>
      </c>
      <c r="Q188" s="102">
        <f t="shared" si="3"/>
        <v>1.8E-3</v>
      </c>
      <c r="R188" s="98">
        <v>56</v>
      </c>
      <c r="S188" s="98">
        <v>5000</v>
      </c>
      <c r="T188" s="98"/>
      <c r="U188" s="98"/>
      <c r="V188" s="103"/>
      <c r="W188" s="98"/>
      <c r="X188" s="98" t="s">
        <v>1410</v>
      </c>
      <c r="Y188" s="98" t="s">
        <v>1411</v>
      </c>
      <c r="Z188" s="98" t="s">
        <v>1412</v>
      </c>
      <c r="AA188" s="102">
        <v>1.8E-3</v>
      </c>
      <c r="AB188" s="98" t="s">
        <v>1413</v>
      </c>
      <c r="AC188" s="98" t="s">
        <v>1414</v>
      </c>
      <c r="AD188" s="100">
        <v>2.5000000000000001E-3</v>
      </c>
      <c r="AE188" s="98" t="s">
        <v>1415</v>
      </c>
      <c r="AF188" s="98" t="s">
        <v>1416</v>
      </c>
      <c r="AG188" s="100" t="s">
        <v>154</v>
      </c>
    </row>
    <row r="189" spans="1:33" ht="29.4" customHeight="1">
      <c r="A189" s="97">
        <v>200</v>
      </c>
      <c r="B189" s="98" t="s">
        <v>71</v>
      </c>
      <c r="C189" s="98" t="s">
        <v>1417</v>
      </c>
      <c r="D189" s="98" t="s">
        <v>1418</v>
      </c>
      <c r="E189" s="98" t="s">
        <v>105</v>
      </c>
      <c r="F189" s="98" t="s">
        <v>144</v>
      </c>
      <c r="G189" s="98">
        <v>4</v>
      </c>
      <c r="H189" s="99" t="s">
        <v>1419</v>
      </c>
      <c r="I189" s="98" t="s">
        <v>1420</v>
      </c>
      <c r="J189" s="98" t="s">
        <v>302</v>
      </c>
      <c r="K189" s="98" t="s">
        <v>234</v>
      </c>
      <c r="L189" s="98" t="s">
        <v>235</v>
      </c>
      <c r="M189" s="102">
        <v>1E-3</v>
      </c>
      <c r="N189" s="104">
        <v>1.2999999999999999E-3</v>
      </c>
      <c r="O189" s="101">
        <f t="shared" si="4"/>
        <v>1.1999999999999997E-3</v>
      </c>
      <c r="P189" s="102">
        <v>0</v>
      </c>
      <c r="Q189" s="102">
        <f t="shared" si="3"/>
        <v>4.0000000000000001E-3</v>
      </c>
      <c r="R189" s="98">
        <v>56</v>
      </c>
      <c r="S189" s="98">
        <v>10000</v>
      </c>
      <c r="T189" s="98"/>
      <c r="U189" s="98"/>
      <c r="V189" s="103"/>
      <c r="W189" s="98"/>
      <c r="X189" s="98" t="s">
        <v>1421</v>
      </c>
      <c r="Y189" s="98" t="s">
        <v>1422</v>
      </c>
      <c r="Z189" s="98" t="s">
        <v>1423</v>
      </c>
      <c r="AA189" s="102">
        <v>1E-3</v>
      </c>
      <c r="AB189" s="98" t="s">
        <v>1424</v>
      </c>
      <c r="AC189" s="98" t="s">
        <v>1425</v>
      </c>
      <c r="AD189" s="100">
        <v>1.4E-3</v>
      </c>
      <c r="AE189" s="98" t="s">
        <v>1426</v>
      </c>
      <c r="AF189" s="98" t="s">
        <v>1427</v>
      </c>
      <c r="AG189" s="100" t="s">
        <v>154</v>
      </c>
    </row>
    <row r="190" spans="1:33" ht="29.4" customHeight="1">
      <c r="A190" s="97">
        <v>201</v>
      </c>
      <c r="B190" s="98" t="s">
        <v>71</v>
      </c>
      <c r="C190" s="98" t="s">
        <v>1428</v>
      </c>
      <c r="D190" s="98" t="s">
        <v>1429</v>
      </c>
      <c r="E190" s="98" t="s">
        <v>105</v>
      </c>
      <c r="F190" s="98" t="s">
        <v>144</v>
      </c>
      <c r="G190" s="98">
        <v>4</v>
      </c>
      <c r="H190" s="99" t="s">
        <v>1430</v>
      </c>
      <c r="I190" s="98" t="s">
        <v>1431</v>
      </c>
      <c r="J190" s="98" t="s">
        <v>302</v>
      </c>
      <c r="K190" s="98" t="s">
        <v>234</v>
      </c>
      <c r="L190" s="98" t="s">
        <v>235</v>
      </c>
      <c r="M190" s="102">
        <v>8.0000000000000004E-4</v>
      </c>
      <c r="N190" s="104">
        <v>1E-3</v>
      </c>
      <c r="O190" s="101">
        <f t="shared" si="4"/>
        <v>7.9999999999999993E-4</v>
      </c>
      <c r="P190" s="102">
        <v>0</v>
      </c>
      <c r="Q190" s="102">
        <f t="shared" si="3"/>
        <v>3.2000000000000002E-3</v>
      </c>
      <c r="R190" s="98">
        <v>56</v>
      </c>
      <c r="S190" s="98">
        <v>10000</v>
      </c>
      <c r="T190" s="98"/>
      <c r="U190" s="98"/>
      <c r="V190" s="103"/>
      <c r="W190" s="98"/>
      <c r="X190" s="98" t="s">
        <v>1432</v>
      </c>
      <c r="Y190" s="98" t="s">
        <v>1433</v>
      </c>
      <c r="Z190" s="98" t="s">
        <v>1434</v>
      </c>
      <c r="AA190" s="102">
        <v>8.0000000000000004E-4</v>
      </c>
      <c r="AB190" s="98" t="s">
        <v>1435</v>
      </c>
      <c r="AC190" s="98" t="s">
        <v>1436</v>
      </c>
      <c r="AD190" s="100">
        <v>1.2999999999999999E-3</v>
      </c>
      <c r="AE190" s="98" t="s">
        <v>1437</v>
      </c>
      <c r="AF190" s="98" t="s">
        <v>1438</v>
      </c>
      <c r="AG190" s="100" t="s">
        <v>154</v>
      </c>
    </row>
    <row r="191" spans="1:33" ht="29.4" customHeight="1">
      <c r="A191" s="97">
        <v>202</v>
      </c>
      <c r="B191" s="98" t="s">
        <v>71</v>
      </c>
      <c r="C191" s="98" t="s">
        <v>1439</v>
      </c>
      <c r="D191" s="98" t="s">
        <v>1440</v>
      </c>
      <c r="E191" s="98" t="s">
        <v>105</v>
      </c>
      <c r="F191" s="98" t="s">
        <v>144</v>
      </c>
      <c r="G191" s="98">
        <v>8</v>
      </c>
      <c r="H191" s="99" t="s">
        <v>1441</v>
      </c>
      <c r="I191" s="98" t="s">
        <v>1442</v>
      </c>
      <c r="J191" s="98" t="s">
        <v>302</v>
      </c>
      <c r="K191" s="98" t="s">
        <v>234</v>
      </c>
      <c r="L191" s="98" t="s">
        <v>235</v>
      </c>
      <c r="M191" s="102">
        <v>8.0000000000000004E-4</v>
      </c>
      <c r="N191" s="104">
        <v>1E-3</v>
      </c>
      <c r="O191" s="101">
        <f t="shared" si="4"/>
        <v>1.5999999999999999E-3</v>
      </c>
      <c r="P191" s="102">
        <v>0</v>
      </c>
      <c r="Q191" s="102">
        <f t="shared" si="3"/>
        <v>6.4000000000000003E-3</v>
      </c>
      <c r="R191" s="98">
        <v>56</v>
      </c>
      <c r="S191" s="98">
        <v>10000</v>
      </c>
      <c r="T191" s="98"/>
      <c r="U191" s="98"/>
      <c r="V191" s="103"/>
      <c r="W191" s="98"/>
      <c r="X191" s="98" t="s">
        <v>1443</v>
      </c>
      <c r="Y191" s="98" t="s">
        <v>1444</v>
      </c>
      <c r="Z191" s="98" t="s">
        <v>1445</v>
      </c>
      <c r="AA191" s="102">
        <v>8.0000000000000004E-4</v>
      </c>
      <c r="AB191" s="98" t="s">
        <v>1446</v>
      </c>
      <c r="AC191" s="98" t="s">
        <v>1447</v>
      </c>
      <c r="AD191" s="100">
        <v>1.2999999999999999E-3</v>
      </c>
      <c r="AE191" s="98" t="s">
        <v>1448</v>
      </c>
      <c r="AF191" s="98" t="s">
        <v>1449</v>
      </c>
      <c r="AG191" s="100" t="s">
        <v>154</v>
      </c>
    </row>
    <row r="192" spans="1:33" ht="29.4" customHeight="1">
      <c r="A192" s="97">
        <v>203</v>
      </c>
      <c r="B192" s="98" t="s">
        <v>71</v>
      </c>
      <c r="C192" s="98" t="s">
        <v>1450</v>
      </c>
      <c r="D192" s="98" t="s">
        <v>1451</v>
      </c>
      <c r="E192" s="98" t="s">
        <v>105</v>
      </c>
      <c r="F192" s="98" t="s">
        <v>144</v>
      </c>
      <c r="G192" s="98">
        <v>1</v>
      </c>
      <c r="H192" s="99" t="s">
        <v>1452</v>
      </c>
      <c r="I192" s="98" t="s">
        <v>1453</v>
      </c>
      <c r="J192" s="98" t="s">
        <v>218</v>
      </c>
      <c r="K192" s="98" t="s">
        <v>234</v>
      </c>
      <c r="L192" s="98" t="s">
        <v>235</v>
      </c>
      <c r="M192" s="102">
        <v>1.8E-3</v>
      </c>
      <c r="N192" s="104">
        <v>2.3999999999999998E-3</v>
      </c>
      <c r="O192" s="101">
        <f t="shared" si="4"/>
        <v>5.9999999999999984E-4</v>
      </c>
      <c r="P192" s="102">
        <v>0</v>
      </c>
      <c r="Q192" s="102">
        <f t="shared" si="3"/>
        <v>1.8E-3</v>
      </c>
      <c r="R192" s="98">
        <v>56</v>
      </c>
      <c r="S192" s="98">
        <v>5000</v>
      </c>
      <c r="T192" s="98">
        <v>5000</v>
      </c>
      <c r="U192" s="98"/>
      <c r="V192" s="103"/>
      <c r="W192" s="98"/>
      <c r="X192" s="98" t="s">
        <v>1454</v>
      </c>
      <c r="Y192" s="98" t="s">
        <v>1455</v>
      </c>
      <c r="Z192" s="98" t="s">
        <v>1456</v>
      </c>
      <c r="AA192" s="102">
        <v>1.8E-3</v>
      </c>
      <c r="AB192" s="98" t="s">
        <v>1457</v>
      </c>
      <c r="AC192" s="98" t="s">
        <v>1458</v>
      </c>
      <c r="AD192" s="100">
        <v>2.5999999999999999E-3</v>
      </c>
      <c r="AE192" s="98" t="s">
        <v>1459</v>
      </c>
      <c r="AF192" s="98" t="s">
        <v>1460</v>
      </c>
      <c r="AG192" s="100" t="s">
        <v>154</v>
      </c>
    </row>
    <row r="193" spans="1:33" ht="29.4" customHeight="1">
      <c r="A193" s="97">
        <v>204</v>
      </c>
      <c r="B193" s="98" t="s">
        <v>71</v>
      </c>
      <c r="C193" s="98" t="s">
        <v>1461</v>
      </c>
      <c r="D193" s="98" t="s">
        <v>1462</v>
      </c>
      <c r="E193" s="98" t="s">
        <v>105</v>
      </c>
      <c r="F193" s="98" t="s">
        <v>144</v>
      </c>
      <c r="G193" s="98">
        <v>1</v>
      </c>
      <c r="H193" s="99" t="s">
        <v>1463</v>
      </c>
      <c r="I193" s="98" t="s">
        <v>1464</v>
      </c>
      <c r="J193" s="98" t="s">
        <v>218</v>
      </c>
      <c r="K193" s="98" t="s">
        <v>234</v>
      </c>
      <c r="L193" s="98" t="s">
        <v>235</v>
      </c>
      <c r="M193" s="102">
        <v>8.0000000000000004E-4</v>
      </c>
      <c r="N193" s="104">
        <v>1E-3</v>
      </c>
      <c r="O193" s="101">
        <f t="shared" si="4"/>
        <v>1.9999999999999998E-4</v>
      </c>
      <c r="P193" s="102">
        <v>0</v>
      </c>
      <c r="Q193" s="102">
        <f t="shared" si="3"/>
        <v>8.0000000000000004E-4</v>
      </c>
      <c r="R193" s="98">
        <v>56</v>
      </c>
      <c r="S193" s="98">
        <v>10000</v>
      </c>
      <c r="T193" s="98"/>
      <c r="U193" s="98"/>
      <c r="V193" s="103"/>
      <c r="W193" s="98"/>
      <c r="X193" s="98" t="s">
        <v>435</v>
      </c>
      <c r="Y193" s="98" t="s">
        <v>1465</v>
      </c>
      <c r="Z193" s="98" t="s">
        <v>1466</v>
      </c>
      <c r="AA193" s="102">
        <v>8.0000000000000004E-4</v>
      </c>
      <c r="AB193" s="98" t="s">
        <v>1467</v>
      </c>
      <c r="AC193" s="98" t="s">
        <v>1468</v>
      </c>
      <c r="AD193" s="100">
        <v>1.2999999999999999E-3</v>
      </c>
      <c r="AE193" s="98" t="s">
        <v>1469</v>
      </c>
      <c r="AF193" s="98" t="s">
        <v>1470</v>
      </c>
      <c r="AG193" s="100" t="s">
        <v>154</v>
      </c>
    </row>
    <row r="194" spans="1:33" ht="29.4" customHeight="1">
      <c r="A194" s="97">
        <v>205</v>
      </c>
      <c r="B194" s="98" t="s">
        <v>71</v>
      </c>
      <c r="C194" s="98" t="s">
        <v>1471</v>
      </c>
      <c r="D194" s="98" t="s">
        <v>1472</v>
      </c>
      <c r="E194" s="98" t="s">
        <v>105</v>
      </c>
      <c r="F194" s="98" t="s">
        <v>144</v>
      </c>
      <c r="G194" s="98">
        <v>2</v>
      </c>
      <c r="H194" s="99" t="s">
        <v>1473</v>
      </c>
      <c r="I194" s="98" t="s">
        <v>1474</v>
      </c>
      <c r="J194" s="98" t="s">
        <v>543</v>
      </c>
      <c r="K194" s="98" t="s">
        <v>234</v>
      </c>
      <c r="L194" s="98" t="s">
        <v>235</v>
      </c>
      <c r="M194" s="102">
        <v>8.0000000000000004E-4</v>
      </c>
      <c r="N194" s="104">
        <v>1E-3</v>
      </c>
      <c r="O194" s="101">
        <f t="shared" si="4"/>
        <v>3.9999999999999996E-4</v>
      </c>
      <c r="P194" s="102">
        <v>0</v>
      </c>
      <c r="Q194" s="102">
        <f t="shared" si="3"/>
        <v>1.6000000000000001E-3</v>
      </c>
      <c r="R194" s="98">
        <v>56</v>
      </c>
      <c r="S194" s="98">
        <v>10000</v>
      </c>
      <c r="T194" s="98">
        <v>10000</v>
      </c>
      <c r="U194" s="98"/>
      <c r="V194" s="103"/>
      <c r="W194" s="98"/>
      <c r="X194" s="98" t="s">
        <v>1475</v>
      </c>
      <c r="Y194" s="98" t="s">
        <v>1476</v>
      </c>
      <c r="Z194" s="98" t="s">
        <v>1477</v>
      </c>
      <c r="AA194" s="102">
        <v>8.0000000000000004E-4</v>
      </c>
      <c r="AB194" s="98" t="s">
        <v>1478</v>
      </c>
      <c r="AC194" s="98" t="s">
        <v>1479</v>
      </c>
      <c r="AD194" s="100">
        <v>1.2999999999999999E-3</v>
      </c>
      <c r="AE194" s="98" t="s">
        <v>1480</v>
      </c>
      <c r="AF194" s="98" t="s">
        <v>1481</v>
      </c>
      <c r="AG194" s="100" t="s">
        <v>154</v>
      </c>
    </row>
    <row r="195" spans="1:33" ht="29.4" customHeight="1">
      <c r="A195" s="97">
        <v>206</v>
      </c>
      <c r="B195" s="98" t="s">
        <v>71</v>
      </c>
      <c r="C195" s="98" t="s">
        <v>1482</v>
      </c>
      <c r="D195" s="98" t="s">
        <v>1483</v>
      </c>
      <c r="E195" s="98" t="s">
        <v>105</v>
      </c>
      <c r="F195" s="98" t="s">
        <v>144</v>
      </c>
      <c r="G195" s="98">
        <v>4</v>
      </c>
      <c r="H195" s="99" t="s">
        <v>1484</v>
      </c>
      <c r="I195" s="98" t="s">
        <v>1485</v>
      </c>
      <c r="J195" s="98" t="s">
        <v>218</v>
      </c>
      <c r="K195" s="98" t="s">
        <v>219</v>
      </c>
      <c r="L195" s="98" t="s">
        <v>185</v>
      </c>
      <c r="M195" s="102">
        <v>8.0000000000000004E-4</v>
      </c>
      <c r="N195" s="104">
        <v>1E-3</v>
      </c>
      <c r="O195" s="101">
        <f t="shared" si="4"/>
        <v>7.9999999999999993E-4</v>
      </c>
      <c r="P195" s="102">
        <v>0</v>
      </c>
      <c r="Q195" s="102">
        <f t="shared" si="3"/>
        <v>3.2000000000000002E-3</v>
      </c>
      <c r="R195" s="98">
        <v>49</v>
      </c>
      <c r="S195" s="98">
        <v>1</v>
      </c>
      <c r="T195" s="98"/>
      <c r="U195" s="98"/>
      <c r="V195" s="103"/>
      <c r="W195" s="98"/>
      <c r="X195" s="98" t="s">
        <v>1486</v>
      </c>
      <c r="Y195" s="98" t="s">
        <v>1487</v>
      </c>
      <c r="Z195" s="98" t="s">
        <v>1488</v>
      </c>
      <c r="AA195" s="100">
        <v>1E-3</v>
      </c>
      <c r="AB195" s="98" t="s">
        <v>1489</v>
      </c>
      <c r="AC195" s="98" t="s">
        <v>1490</v>
      </c>
      <c r="AD195" s="100">
        <v>1.2999999999999999E-3</v>
      </c>
      <c r="AE195" s="98" t="s">
        <v>1491</v>
      </c>
      <c r="AF195" s="98" t="s">
        <v>1492</v>
      </c>
      <c r="AG195" s="100" t="s">
        <v>154</v>
      </c>
    </row>
    <row r="196" spans="1:33" ht="29.4" customHeight="1">
      <c r="A196" s="97">
        <v>207</v>
      </c>
      <c r="B196" s="98" t="s">
        <v>71</v>
      </c>
      <c r="C196" s="98" t="s">
        <v>1493</v>
      </c>
      <c r="D196" s="98" t="s">
        <v>1494</v>
      </c>
      <c r="E196" s="98" t="s">
        <v>105</v>
      </c>
      <c r="F196" s="98" t="s">
        <v>144</v>
      </c>
      <c r="G196" s="98">
        <v>12</v>
      </c>
      <c r="H196" s="99" t="s">
        <v>1495</v>
      </c>
      <c r="I196" s="98" t="s">
        <v>1496</v>
      </c>
      <c r="J196" s="98" t="s">
        <v>218</v>
      </c>
      <c r="K196" s="98" t="s">
        <v>234</v>
      </c>
      <c r="L196" s="98" t="s">
        <v>235</v>
      </c>
      <c r="M196" s="102">
        <v>2.7400000000000001E-2</v>
      </c>
      <c r="N196" s="104">
        <v>2.9000000000000001E-2</v>
      </c>
      <c r="O196" s="101">
        <f t="shared" si="4"/>
        <v>1.9200000000000009E-2</v>
      </c>
      <c r="P196" s="102">
        <v>0</v>
      </c>
      <c r="Q196" s="102">
        <f t="shared" si="3"/>
        <v>0.32879999999999998</v>
      </c>
      <c r="R196" s="98">
        <v>70</v>
      </c>
      <c r="S196" s="98">
        <v>4000</v>
      </c>
      <c r="T196" s="98"/>
      <c r="U196" s="98"/>
      <c r="V196" s="103"/>
      <c r="W196" s="98"/>
      <c r="X196" s="98" t="s">
        <v>1497</v>
      </c>
      <c r="Y196" s="98" t="s">
        <v>1498</v>
      </c>
      <c r="Z196" s="98" t="s">
        <v>1499</v>
      </c>
      <c r="AA196" s="102">
        <v>2.7400000000000001E-2</v>
      </c>
      <c r="AB196" s="98" t="s">
        <v>1500</v>
      </c>
      <c r="AC196" s="98" t="s">
        <v>1501</v>
      </c>
      <c r="AD196" s="100">
        <v>4.2000000000000003E-2</v>
      </c>
      <c r="AE196" s="98" t="s">
        <v>1502</v>
      </c>
      <c r="AF196" s="98" t="s">
        <v>1503</v>
      </c>
      <c r="AG196" s="100" t="s">
        <v>154</v>
      </c>
    </row>
    <row r="197" spans="1:33" ht="29.4" customHeight="1">
      <c r="A197" s="97">
        <v>208</v>
      </c>
      <c r="B197" s="98" t="s">
        <v>71</v>
      </c>
      <c r="C197" s="98" t="s">
        <v>1504</v>
      </c>
      <c r="D197" s="98" t="s">
        <v>1505</v>
      </c>
      <c r="E197" s="98" t="s">
        <v>105</v>
      </c>
      <c r="F197" s="98" t="s">
        <v>157</v>
      </c>
      <c r="G197" s="98">
        <v>1</v>
      </c>
      <c r="H197" s="98" t="s">
        <v>1504</v>
      </c>
      <c r="I197" s="98" t="s">
        <v>1505</v>
      </c>
      <c r="J197" s="98" t="s">
        <v>205</v>
      </c>
      <c r="K197" s="98" t="s">
        <v>1506</v>
      </c>
      <c r="L197" s="98" t="s">
        <v>1507</v>
      </c>
      <c r="M197" s="102">
        <v>0.25480000000000003</v>
      </c>
      <c r="N197" s="104">
        <v>0.31850000000000001</v>
      </c>
      <c r="O197" s="101">
        <f t="shared" si="4"/>
        <v>6.3699999999999979E-2</v>
      </c>
      <c r="P197" s="102">
        <v>0</v>
      </c>
      <c r="Q197" s="102">
        <f t="shared" ref="Q197:Q260" si="5">G197*M197</f>
        <v>0.25480000000000003</v>
      </c>
      <c r="R197" s="98">
        <v>91</v>
      </c>
      <c r="S197" s="98">
        <v>1500</v>
      </c>
      <c r="T197" s="98">
        <v>1500</v>
      </c>
      <c r="U197" s="98"/>
      <c r="V197" s="103"/>
      <c r="W197" s="98"/>
      <c r="X197" s="98" t="s">
        <v>1508</v>
      </c>
      <c r="Y197" s="98"/>
      <c r="Z197" s="98"/>
      <c r="AA197" s="102"/>
      <c r="AB197" s="98"/>
      <c r="AC197" s="98"/>
      <c r="AD197" s="102"/>
      <c r="AE197" s="98"/>
      <c r="AF197" s="98"/>
      <c r="AG197" s="102"/>
    </row>
    <row r="198" spans="1:33" ht="29.4" customHeight="1">
      <c r="A198" s="97">
        <v>209</v>
      </c>
      <c r="B198" s="98" t="s">
        <v>71</v>
      </c>
      <c r="C198" s="98" t="s">
        <v>1509</v>
      </c>
      <c r="D198" s="98" t="s">
        <v>1510</v>
      </c>
      <c r="E198" s="98" t="s">
        <v>105</v>
      </c>
      <c r="F198" s="98" t="s">
        <v>157</v>
      </c>
      <c r="G198" s="98">
        <v>1</v>
      </c>
      <c r="H198" s="98" t="s">
        <v>1509</v>
      </c>
      <c r="I198" s="98" t="s">
        <v>1510</v>
      </c>
      <c r="J198" s="98" t="s">
        <v>218</v>
      </c>
      <c r="K198" s="98" t="s">
        <v>1511</v>
      </c>
      <c r="L198" s="98" t="s">
        <v>585</v>
      </c>
      <c r="M198" s="102">
        <v>0.10199999999999999</v>
      </c>
      <c r="N198" s="104"/>
      <c r="O198" s="101"/>
      <c r="P198" s="102">
        <v>0</v>
      </c>
      <c r="Q198" s="102">
        <f t="shared" si="5"/>
        <v>0.10199999999999999</v>
      </c>
      <c r="R198" s="98">
        <v>63</v>
      </c>
      <c r="S198" s="98">
        <v>3000</v>
      </c>
      <c r="T198" s="98"/>
      <c r="U198" s="98"/>
      <c r="V198" s="103"/>
      <c r="W198" s="98"/>
      <c r="X198" s="98" t="s">
        <v>1512</v>
      </c>
      <c r="Y198" s="98"/>
      <c r="Z198" s="98"/>
      <c r="AA198" s="102"/>
      <c r="AB198" s="98"/>
      <c r="AC198" s="98"/>
      <c r="AD198" s="102"/>
      <c r="AE198" s="98"/>
      <c r="AF198" s="98"/>
      <c r="AG198" s="102"/>
    </row>
    <row r="199" spans="1:33" ht="29.4" customHeight="1">
      <c r="A199" s="97">
        <v>210</v>
      </c>
      <c r="B199" s="98" t="s">
        <v>71</v>
      </c>
      <c r="C199" s="98" t="s">
        <v>1513</v>
      </c>
      <c r="D199" s="98" t="s">
        <v>1514</v>
      </c>
      <c r="E199" s="98" t="s">
        <v>105</v>
      </c>
      <c r="F199" s="98" t="s">
        <v>157</v>
      </c>
      <c r="G199" s="98">
        <v>1</v>
      </c>
      <c r="H199" s="99" t="s">
        <v>1515</v>
      </c>
      <c r="I199" s="98" t="s">
        <v>1516</v>
      </c>
      <c r="J199" s="98" t="s">
        <v>612</v>
      </c>
      <c r="K199" s="98" t="s">
        <v>1517</v>
      </c>
      <c r="L199" s="98" t="s">
        <v>632</v>
      </c>
      <c r="M199" s="102">
        <v>0.88</v>
      </c>
      <c r="N199" s="104"/>
      <c r="O199" s="101"/>
      <c r="P199" s="102">
        <v>0</v>
      </c>
      <c r="Q199" s="102">
        <f t="shared" si="5"/>
        <v>0.88</v>
      </c>
      <c r="R199" s="98">
        <v>35</v>
      </c>
      <c r="S199" s="98">
        <v>500</v>
      </c>
      <c r="T199" s="98"/>
      <c r="U199" s="98"/>
      <c r="V199" s="103"/>
      <c r="W199" s="98"/>
      <c r="X199" s="98" t="s">
        <v>1518</v>
      </c>
      <c r="Y199" s="98" t="s">
        <v>1513</v>
      </c>
      <c r="Z199" s="98" t="s">
        <v>1514</v>
      </c>
      <c r="AA199" s="102">
        <v>1.1619999999999999</v>
      </c>
      <c r="AB199" s="98"/>
      <c r="AC199" s="98"/>
      <c r="AD199" s="102"/>
      <c r="AE199" s="98"/>
      <c r="AF199" s="98"/>
      <c r="AG199" s="102"/>
    </row>
    <row r="200" spans="1:33" ht="29.4" customHeight="1">
      <c r="A200" s="97">
        <v>211</v>
      </c>
      <c r="B200" s="98" t="s">
        <v>71</v>
      </c>
      <c r="C200" s="98" t="s">
        <v>1519</v>
      </c>
      <c r="D200" s="98" t="s">
        <v>1520</v>
      </c>
      <c r="E200" s="98" t="s">
        <v>105</v>
      </c>
      <c r="F200" s="98" t="s">
        <v>144</v>
      </c>
      <c r="G200" s="98">
        <v>1</v>
      </c>
      <c r="H200" s="98" t="s">
        <v>1519</v>
      </c>
      <c r="I200" s="98" t="s">
        <v>1520</v>
      </c>
      <c r="J200" s="98" t="s">
        <v>902</v>
      </c>
      <c r="K200" s="98" t="s">
        <v>1521</v>
      </c>
      <c r="L200" s="98" t="s">
        <v>1522</v>
      </c>
      <c r="M200" s="102">
        <v>0.16500000000000001</v>
      </c>
      <c r="N200" s="104"/>
      <c r="O200" s="101"/>
      <c r="P200" s="102">
        <v>0</v>
      </c>
      <c r="Q200" s="102">
        <f t="shared" si="5"/>
        <v>0.16500000000000001</v>
      </c>
      <c r="R200" s="98">
        <v>98</v>
      </c>
      <c r="S200" s="98">
        <v>2000</v>
      </c>
      <c r="T200" s="98">
        <v>1</v>
      </c>
      <c r="U200" s="98"/>
      <c r="V200" s="103"/>
      <c r="W200" s="98"/>
      <c r="X200" s="98" t="s">
        <v>1523</v>
      </c>
      <c r="Y200" s="98" t="s">
        <v>1524</v>
      </c>
      <c r="Z200" s="98" t="s">
        <v>1525</v>
      </c>
      <c r="AA200" s="105">
        <v>0.38500000000000001</v>
      </c>
      <c r="AB200" s="98"/>
      <c r="AC200" s="98"/>
      <c r="AD200" s="102"/>
      <c r="AE200" s="98"/>
      <c r="AF200" s="98"/>
      <c r="AG200" s="102"/>
    </row>
    <row r="201" spans="1:33" ht="29.4" customHeight="1">
      <c r="A201" s="97">
        <v>212</v>
      </c>
      <c r="B201" s="98" t="s">
        <v>71</v>
      </c>
      <c r="C201" s="98" t="s">
        <v>1526</v>
      </c>
      <c r="D201" s="98" t="s">
        <v>1527</v>
      </c>
      <c r="E201" s="98" t="s">
        <v>105</v>
      </c>
      <c r="F201" s="98" t="s">
        <v>144</v>
      </c>
      <c r="G201" s="98">
        <v>6</v>
      </c>
      <c r="H201" s="98" t="s">
        <v>1526</v>
      </c>
      <c r="I201" s="98" t="s">
        <v>1527</v>
      </c>
      <c r="J201" s="98" t="s">
        <v>630</v>
      </c>
      <c r="K201" s="98" t="s">
        <v>1008</v>
      </c>
      <c r="L201" s="98" t="s">
        <v>1009</v>
      </c>
      <c r="M201" s="102">
        <v>0.15</v>
      </c>
      <c r="N201" s="104"/>
      <c r="O201" s="101"/>
      <c r="P201" s="102">
        <v>0</v>
      </c>
      <c r="Q201" s="102">
        <f t="shared" si="5"/>
        <v>0.89999999999999991</v>
      </c>
      <c r="R201" s="98">
        <v>98</v>
      </c>
      <c r="S201" s="98">
        <v>0</v>
      </c>
      <c r="T201" s="98">
        <v>1</v>
      </c>
      <c r="U201" s="98"/>
      <c r="V201" s="103"/>
      <c r="W201" s="98"/>
      <c r="X201" s="98" t="s">
        <v>1528</v>
      </c>
      <c r="Y201" s="98" t="s">
        <v>1529</v>
      </c>
      <c r="Z201" s="98" t="s">
        <v>1530</v>
      </c>
      <c r="AA201" s="102">
        <v>0.16500000000000001</v>
      </c>
      <c r="AB201" s="98" t="s">
        <v>1531</v>
      </c>
      <c r="AC201" s="98" t="s">
        <v>1532</v>
      </c>
      <c r="AD201" s="102">
        <v>0.1782</v>
      </c>
      <c r="AE201" s="98"/>
      <c r="AF201" s="98"/>
      <c r="AG201" s="102"/>
    </row>
    <row r="202" spans="1:33" ht="29.4" customHeight="1">
      <c r="A202" s="97">
        <v>213</v>
      </c>
      <c r="B202" s="98" t="s">
        <v>71</v>
      </c>
      <c r="C202" s="98" t="s">
        <v>1533</v>
      </c>
      <c r="D202" s="98" t="s">
        <v>1534</v>
      </c>
      <c r="E202" s="98" t="s">
        <v>105</v>
      </c>
      <c r="F202" s="98" t="s">
        <v>144</v>
      </c>
      <c r="G202" s="98">
        <v>6</v>
      </c>
      <c r="H202" s="98" t="s">
        <v>1533</v>
      </c>
      <c r="I202" s="98" t="s">
        <v>1534</v>
      </c>
      <c r="J202" s="98" t="s">
        <v>630</v>
      </c>
      <c r="K202" s="98" t="s">
        <v>1008</v>
      </c>
      <c r="L202" s="98" t="s">
        <v>1009</v>
      </c>
      <c r="M202" s="102">
        <v>0.155</v>
      </c>
      <c r="N202" s="104"/>
      <c r="O202" s="101"/>
      <c r="P202" s="102">
        <v>0</v>
      </c>
      <c r="Q202" s="102">
        <f t="shared" si="5"/>
        <v>0.92999999999999994</v>
      </c>
      <c r="R202" s="98">
        <v>84</v>
      </c>
      <c r="S202" s="98">
        <v>0</v>
      </c>
      <c r="T202" s="98">
        <v>1</v>
      </c>
      <c r="U202" s="98"/>
      <c r="V202" s="103"/>
      <c r="W202" s="98"/>
      <c r="X202" s="98" t="s">
        <v>1535</v>
      </c>
      <c r="Y202" s="98" t="s">
        <v>1536</v>
      </c>
      <c r="Z202" s="98" t="s">
        <v>1537</v>
      </c>
      <c r="AA202" s="102">
        <v>0.17299999999999999</v>
      </c>
      <c r="AB202" s="98" t="s">
        <v>1538</v>
      </c>
      <c r="AC202" s="98" t="s">
        <v>1539</v>
      </c>
      <c r="AD202" s="100">
        <v>0.42</v>
      </c>
      <c r="AE202" s="98"/>
      <c r="AF202" s="98"/>
      <c r="AG202" s="102"/>
    </row>
    <row r="203" spans="1:33" ht="29.4" customHeight="1">
      <c r="A203" s="97">
        <v>214</v>
      </c>
      <c r="B203" s="98" t="s">
        <v>71</v>
      </c>
      <c r="C203" s="98" t="s">
        <v>1540</v>
      </c>
      <c r="D203" s="98" t="s">
        <v>1541</v>
      </c>
      <c r="E203" s="98" t="s">
        <v>105</v>
      </c>
      <c r="F203" s="98" t="s">
        <v>157</v>
      </c>
      <c r="G203" s="98">
        <v>2</v>
      </c>
      <c r="H203" s="98" t="s">
        <v>1540</v>
      </c>
      <c r="I203" s="98" t="s">
        <v>1542</v>
      </c>
      <c r="J203" s="98" t="s">
        <v>302</v>
      </c>
      <c r="K203" s="98" t="s">
        <v>1517</v>
      </c>
      <c r="L203" s="98" t="s">
        <v>632</v>
      </c>
      <c r="M203" s="102">
        <v>0.45</v>
      </c>
      <c r="N203" s="104"/>
      <c r="O203" s="101"/>
      <c r="P203" s="102">
        <v>0</v>
      </c>
      <c r="Q203" s="102">
        <f t="shared" si="5"/>
        <v>0.9</v>
      </c>
      <c r="R203" s="98">
        <v>28</v>
      </c>
      <c r="S203" s="98">
        <v>500</v>
      </c>
      <c r="T203" s="98"/>
      <c r="U203" s="98"/>
      <c r="V203" s="103"/>
      <c r="W203" s="98"/>
      <c r="X203" s="98" t="s">
        <v>1543</v>
      </c>
      <c r="Y203" s="98"/>
      <c r="Z203" s="98"/>
      <c r="AA203" s="102"/>
      <c r="AB203" s="98"/>
      <c r="AC203" s="98"/>
      <c r="AD203" s="102"/>
      <c r="AE203" s="98"/>
      <c r="AF203" s="98"/>
      <c r="AG203" s="102"/>
    </row>
    <row r="204" spans="1:33" ht="29.4" customHeight="1">
      <c r="A204" s="97">
        <v>215</v>
      </c>
      <c r="B204" s="98" t="s">
        <v>71</v>
      </c>
      <c r="C204" s="98" t="s">
        <v>1544</v>
      </c>
      <c r="D204" s="98" t="s">
        <v>1545</v>
      </c>
      <c r="E204" s="98" t="s">
        <v>105</v>
      </c>
      <c r="F204" s="98" t="s">
        <v>144</v>
      </c>
      <c r="G204" s="98">
        <v>1</v>
      </c>
      <c r="H204" s="99" t="s">
        <v>1546</v>
      </c>
      <c r="I204" s="98" t="s">
        <v>1547</v>
      </c>
      <c r="J204" s="98" t="s">
        <v>630</v>
      </c>
      <c r="K204" s="98" t="s">
        <v>1008</v>
      </c>
      <c r="L204" s="98" t="s">
        <v>1009</v>
      </c>
      <c r="M204" s="102">
        <v>0.112</v>
      </c>
      <c r="N204" s="104"/>
      <c r="O204" s="101"/>
      <c r="P204" s="102">
        <v>0</v>
      </c>
      <c r="Q204" s="102">
        <f t="shared" si="5"/>
        <v>0.112</v>
      </c>
      <c r="R204" s="98">
        <v>84</v>
      </c>
      <c r="S204" s="98">
        <v>0</v>
      </c>
      <c r="T204" s="98">
        <v>1</v>
      </c>
      <c r="U204" s="98"/>
      <c r="V204" s="103"/>
      <c r="W204" s="98"/>
      <c r="X204" s="98" t="s">
        <v>1548</v>
      </c>
      <c r="Y204" s="98" t="s">
        <v>1544</v>
      </c>
      <c r="Z204" s="98" t="s">
        <v>1545</v>
      </c>
      <c r="AA204" s="102">
        <v>0.114</v>
      </c>
      <c r="AB204" s="98"/>
      <c r="AC204" s="98"/>
      <c r="AD204" s="102"/>
      <c r="AE204" s="98"/>
      <c r="AF204" s="98"/>
      <c r="AG204" s="102"/>
    </row>
    <row r="205" spans="1:33" ht="29.4" customHeight="1">
      <c r="A205" s="97">
        <v>216</v>
      </c>
      <c r="B205" s="98" t="s">
        <v>71</v>
      </c>
      <c r="C205" s="98" t="s">
        <v>1549</v>
      </c>
      <c r="D205" s="98" t="s">
        <v>1550</v>
      </c>
      <c r="E205" s="98" t="s">
        <v>105</v>
      </c>
      <c r="F205" s="98" t="s">
        <v>157</v>
      </c>
      <c r="G205" s="98">
        <v>1</v>
      </c>
      <c r="H205" s="98" t="s">
        <v>1549</v>
      </c>
      <c r="I205" s="98" t="s">
        <v>1550</v>
      </c>
      <c r="J205" s="98" t="s">
        <v>218</v>
      </c>
      <c r="K205" s="98" t="s">
        <v>1551</v>
      </c>
      <c r="L205" s="98" t="s">
        <v>1552</v>
      </c>
      <c r="M205" s="102">
        <v>0.15</v>
      </c>
      <c r="N205" s="104"/>
      <c r="O205" s="101"/>
      <c r="P205" s="102">
        <v>0</v>
      </c>
      <c r="Q205" s="102">
        <f t="shared" si="5"/>
        <v>0.15</v>
      </c>
      <c r="R205" s="98">
        <v>140</v>
      </c>
      <c r="S205" s="98">
        <v>2000</v>
      </c>
      <c r="T205" s="98"/>
      <c r="U205" s="98"/>
      <c r="V205" s="103"/>
      <c r="W205" s="98"/>
      <c r="X205" s="98" t="s">
        <v>1553</v>
      </c>
      <c r="Y205" s="98" t="s">
        <v>1554</v>
      </c>
      <c r="Z205" s="98" t="s">
        <v>1555</v>
      </c>
      <c r="AA205" s="102">
        <v>0.22889999999999999</v>
      </c>
      <c r="AB205" s="98"/>
      <c r="AC205" s="98"/>
      <c r="AD205" s="102"/>
      <c r="AE205" s="98"/>
      <c r="AF205" s="98"/>
      <c r="AG205" s="102"/>
    </row>
    <row r="206" spans="1:33" ht="29.4" customHeight="1">
      <c r="A206" s="97">
        <v>217</v>
      </c>
      <c r="B206" s="98" t="s">
        <v>71</v>
      </c>
      <c r="C206" s="98" t="s">
        <v>1556</v>
      </c>
      <c r="D206" s="98" t="s">
        <v>1557</v>
      </c>
      <c r="E206" s="98" t="s">
        <v>105</v>
      </c>
      <c r="F206" s="98" t="s">
        <v>144</v>
      </c>
      <c r="G206" s="98">
        <v>2</v>
      </c>
      <c r="H206" s="98" t="s">
        <v>1556</v>
      </c>
      <c r="I206" s="98" t="s">
        <v>1557</v>
      </c>
      <c r="J206" s="98" t="s">
        <v>218</v>
      </c>
      <c r="K206" s="98" t="s">
        <v>1558</v>
      </c>
      <c r="L206" s="98" t="s">
        <v>1009</v>
      </c>
      <c r="M206" s="102">
        <v>2.5000000000000001E-3</v>
      </c>
      <c r="N206" s="104"/>
      <c r="O206" s="101"/>
      <c r="P206" s="102">
        <v>0</v>
      </c>
      <c r="Q206" s="102">
        <f t="shared" si="5"/>
        <v>5.0000000000000001E-3</v>
      </c>
      <c r="R206" s="98">
        <v>77</v>
      </c>
      <c r="S206" s="98">
        <v>10000</v>
      </c>
      <c r="T206" s="98"/>
      <c r="U206" s="98"/>
      <c r="V206" s="103"/>
      <c r="W206" s="98"/>
      <c r="X206" s="98" t="s">
        <v>1559</v>
      </c>
      <c r="Y206" s="98"/>
      <c r="Z206" s="98"/>
      <c r="AA206" s="102"/>
      <c r="AB206" s="98"/>
      <c r="AC206" s="98"/>
      <c r="AD206" s="102"/>
      <c r="AE206" s="98"/>
      <c r="AF206" s="98"/>
      <c r="AG206" s="102"/>
    </row>
    <row r="207" spans="1:33" ht="29.4" customHeight="1">
      <c r="A207" s="97">
        <v>218</v>
      </c>
      <c r="B207" s="98" t="s">
        <v>71</v>
      </c>
      <c r="C207" s="98" t="s">
        <v>643</v>
      </c>
      <c r="D207" s="98" t="s">
        <v>644</v>
      </c>
      <c r="E207" s="98" t="s">
        <v>105</v>
      </c>
      <c r="F207" s="98" t="s">
        <v>144</v>
      </c>
      <c r="G207" s="98">
        <v>3</v>
      </c>
      <c r="H207" s="99" t="s">
        <v>645</v>
      </c>
      <c r="I207" s="98" t="s">
        <v>646</v>
      </c>
      <c r="J207" s="98" t="s">
        <v>218</v>
      </c>
      <c r="K207" s="98" t="s">
        <v>234</v>
      </c>
      <c r="L207" s="98" t="s">
        <v>235</v>
      </c>
      <c r="M207" s="102">
        <v>5.1000000000000004E-3</v>
      </c>
      <c r="N207" s="104">
        <v>5.1999999999999998E-3</v>
      </c>
      <c r="O207" s="101">
        <f>(N207-M207)*G207</f>
        <v>2.9999999999999818E-4</v>
      </c>
      <c r="P207" s="102">
        <v>0</v>
      </c>
      <c r="Q207" s="102">
        <f t="shared" si="5"/>
        <v>1.5300000000000001E-2</v>
      </c>
      <c r="R207" s="98">
        <v>70</v>
      </c>
      <c r="S207" s="98">
        <v>4000</v>
      </c>
      <c r="T207" s="98"/>
      <c r="U207" s="98"/>
      <c r="V207" s="103"/>
      <c r="W207" s="98"/>
      <c r="X207" s="98" t="s">
        <v>1560</v>
      </c>
      <c r="Y207" s="98" t="s">
        <v>648</v>
      </c>
      <c r="Z207" s="98" t="s">
        <v>649</v>
      </c>
      <c r="AA207" s="100">
        <v>5.7000000000000002E-3</v>
      </c>
      <c r="AB207" s="98" t="s">
        <v>650</v>
      </c>
      <c r="AC207" s="98" t="s">
        <v>651</v>
      </c>
      <c r="AD207" s="102">
        <v>6.4000000000000003E-3</v>
      </c>
      <c r="AE207" s="98" t="s">
        <v>652</v>
      </c>
      <c r="AF207" s="98" t="s">
        <v>653</v>
      </c>
      <c r="AG207" s="102">
        <v>6.6E-3</v>
      </c>
    </row>
    <row r="208" spans="1:33" ht="29.4" customHeight="1">
      <c r="A208" s="97">
        <v>219</v>
      </c>
      <c r="B208" s="98" t="s">
        <v>71</v>
      </c>
      <c r="C208" s="98" t="s">
        <v>1561</v>
      </c>
      <c r="D208" s="98" t="s">
        <v>1562</v>
      </c>
      <c r="E208" s="98" t="s">
        <v>105</v>
      </c>
      <c r="F208" s="98" t="s">
        <v>144</v>
      </c>
      <c r="G208" s="98">
        <v>4</v>
      </c>
      <c r="H208" s="99" t="s">
        <v>1563</v>
      </c>
      <c r="I208" s="98" t="s">
        <v>1564</v>
      </c>
      <c r="J208" s="98" t="s">
        <v>218</v>
      </c>
      <c r="K208" s="98" t="s">
        <v>234</v>
      </c>
      <c r="L208" s="98" t="s">
        <v>235</v>
      </c>
      <c r="M208" s="102">
        <v>8.6E-3</v>
      </c>
      <c r="N208" s="104">
        <v>9.2999999999999992E-3</v>
      </c>
      <c r="O208" s="101">
        <f>(N208-M208)*G208</f>
        <v>2.7999999999999969E-3</v>
      </c>
      <c r="P208" s="102">
        <v>0</v>
      </c>
      <c r="Q208" s="102">
        <f t="shared" si="5"/>
        <v>3.44E-2</v>
      </c>
      <c r="R208" s="98">
        <v>70</v>
      </c>
      <c r="S208" s="98">
        <v>4000</v>
      </c>
      <c r="T208" s="98"/>
      <c r="U208" s="98"/>
      <c r="V208" s="103"/>
      <c r="W208" s="98"/>
      <c r="X208" s="98" t="s">
        <v>1565</v>
      </c>
      <c r="Y208" s="98" t="s">
        <v>1566</v>
      </c>
      <c r="Z208" s="98" t="s">
        <v>1567</v>
      </c>
      <c r="AA208" s="100">
        <v>9.4000000000000004E-3</v>
      </c>
      <c r="AB208" s="98" t="s">
        <v>1568</v>
      </c>
      <c r="AC208" s="98" t="s">
        <v>1569</v>
      </c>
      <c r="AD208" s="100">
        <v>4.5999999999999999E-2</v>
      </c>
      <c r="AE208" s="98" t="s">
        <v>1570</v>
      </c>
      <c r="AF208" s="98" t="s">
        <v>1571</v>
      </c>
      <c r="AG208" s="102">
        <v>1.2200000000000001E-2</v>
      </c>
    </row>
    <row r="209" spans="1:33" ht="29.4" customHeight="1">
      <c r="A209" s="97">
        <v>220</v>
      </c>
      <c r="B209" s="98" t="s">
        <v>71</v>
      </c>
      <c r="C209" s="98" t="s">
        <v>1572</v>
      </c>
      <c r="D209" s="98" t="s">
        <v>1573</v>
      </c>
      <c r="E209" s="98" t="s">
        <v>105</v>
      </c>
      <c r="F209" s="98" t="s">
        <v>144</v>
      </c>
      <c r="G209" s="98">
        <v>87</v>
      </c>
      <c r="H209" s="99" t="s">
        <v>1574</v>
      </c>
      <c r="I209" s="98" t="s">
        <v>1575</v>
      </c>
      <c r="J209" s="98" t="s">
        <v>218</v>
      </c>
      <c r="K209" s="98" t="s">
        <v>234</v>
      </c>
      <c r="L209" s="98" t="s">
        <v>235</v>
      </c>
      <c r="M209" s="102">
        <v>2.3999999999999998E-3</v>
      </c>
      <c r="N209" s="104">
        <v>2.5999999999999999E-3</v>
      </c>
      <c r="O209" s="101">
        <f>(N209-M209)*G209</f>
        <v>1.7400000000000009E-2</v>
      </c>
      <c r="P209" s="102">
        <v>0</v>
      </c>
      <c r="Q209" s="102">
        <f t="shared" si="5"/>
        <v>0.20879999999999999</v>
      </c>
      <c r="R209" s="98">
        <v>70</v>
      </c>
      <c r="S209" s="98">
        <v>10000</v>
      </c>
      <c r="T209" s="98"/>
      <c r="U209" s="98"/>
      <c r="V209" s="103"/>
      <c r="W209" s="98"/>
      <c r="X209" s="98" t="s">
        <v>1576</v>
      </c>
      <c r="Y209" s="98" t="s">
        <v>1577</v>
      </c>
      <c r="Z209" s="98" t="s">
        <v>1578</v>
      </c>
      <c r="AA209" s="102">
        <v>3.0000000000000001E-3</v>
      </c>
      <c r="AB209" s="98" t="s">
        <v>1579</v>
      </c>
      <c r="AC209" s="98" t="s">
        <v>1580</v>
      </c>
      <c r="AD209" s="105">
        <v>3.2000000000000002E-3</v>
      </c>
      <c r="AE209" s="98"/>
      <c r="AF209" s="98"/>
      <c r="AG209" s="102"/>
    </row>
    <row r="210" spans="1:33" ht="29.4" customHeight="1">
      <c r="A210" s="97">
        <v>221</v>
      </c>
      <c r="B210" s="98" t="s">
        <v>71</v>
      </c>
      <c r="C210" s="98" t="s">
        <v>1581</v>
      </c>
      <c r="D210" s="98" t="s">
        <v>1582</v>
      </c>
      <c r="E210" s="98" t="s">
        <v>105</v>
      </c>
      <c r="F210" s="98" t="s">
        <v>144</v>
      </c>
      <c r="G210" s="98">
        <v>12</v>
      </c>
      <c r="H210" s="99" t="s">
        <v>1583</v>
      </c>
      <c r="I210" s="98" t="s">
        <v>1584</v>
      </c>
      <c r="J210" s="98" t="s">
        <v>218</v>
      </c>
      <c r="K210" s="98" t="s">
        <v>234</v>
      </c>
      <c r="L210" s="98" t="s">
        <v>235</v>
      </c>
      <c r="M210" s="102">
        <v>1.8E-3</v>
      </c>
      <c r="N210" s="104"/>
      <c r="O210" s="101"/>
      <c r="P210" s="102">
        <v>0</v>
      </c>
      <c r="Q210" s="102">
        <f t="shared" si="5"/>
        <v>2.1600000000000001E-2</v>
      </c>
      <c r="R210" s="98">
        <v>77</v>
      </c>
      <c r="S210" s="98">
        <v>10000</v>
      </c>
      <c r="T210" s="98"/>
      <c r="U210" s="98"/>
      <c r="V210" s="103"/>
      <c r="W210" s="98"/>
      <c r="X210" s="98" t="s">
        <v>1585</v>
      </c>
      <c r="Y210" s="98" t="s">
        <v>1586</v>
      </c>
      <c r="Z210" s="98" t="s">
        <v>1587</v>
      </c>
      <c r="AA210" s="102">
        <v>1.9E-3</v>
      </c>
      <c r="AB210" s="98" t="s">
        <v>1588</v>
      </c>
      <c r="AC210" s="98" t="s">
        <v>1589</v>
      </c>
      <c r="AD210" s="102">
        <v>2.3E-3</v>
      </c>
      <c r="AE210" s="98" t="s">
        <v>1590</v>
      </c>
      <c r="AF210" s="98" t="s">
        <v>1591</v>
      </c>
      <c r="AG210" s="102">
        <v>5.4000000000000003E-3</v>
      </c>
    </row>
    <row r="211" spans="1:33" ht="29.4" customHeight="1">
      <c r="A211" s="97">
        <v>222</v>
      </c>
      <c r="B211" s="98" t="s">
        <v>71</v>
      </c>
      <c r="C211" s="98" t="s">
        <v>1592</v>
      </c>
      <c r="D211" s="98" t="s">
        <v>1593</v>
      </c>
      <c r="E211" s="98" t="s">
        <v>105</v>
      </c>
      <c r="F211" s="98" t="s">
        <v>144</v>
      </c>
      <c r="G211" s="98">
        <v>2</v>
      </c>
      <c r="H211" s="99" t="s">
        <v>1594</v>
      </c>
      <c r="I211" s="98" t="s">
        <v>1595</v>
      </c>
      <c r="J211" s="98" t="s">
        <v>218</v>
      </c>
      <c r="K211" s="98" t="s">
        <v>713</v>
      </c>
      <c r="L211" s="98" t="s">
        <v>714</v>
      </c>
      <c r="M211" s="102">
        <v>1.12E-2</v>
      </c>
      <c r="N211" s="104"/>
      <c r="O211" s="101"/>
      <c r="P211" s="102">
        <v>0</v>
      </c>
      <c r="Q211" s="102">
        <f t="shared" si="5"/>
        <v>2.24E-2</v>
      </c>
      <c r="R211" s="98">
        <v>77</v>
      </c>
      <c r="S211" s="98">
        <v>4000</v>
      </c>
      <c r="T211" s="98"/>
      <c r="U211" s="98"/>
      <c r="V211" s="103"/>
      <c r="W211" s="98"/>
      <c r="X211" s="98" t="s">
        <v>1596</v>
      </c>
      <c r="Y211" s="98" t="s">
        <v>1597</v>
      </c>
      <c r="Z211" s="98" t="s">
        <v>1598</v>
      </c>
      <c r="AA211" s="102">
        <v>1.1299999999999999E-2</v>
      </c>
      <c r="AB211" s="98" t="s">
        <v>1599</v>
      </c>
      <c r="AC211" s="98" t="s">
        <v>1600</v>
      </c>
      <c r="AD211" s="102">
        <v>1.2999999999999999E-2</v>
      </c>
      <c r="AE211" s="98" t="s">
        <v>1601</v>
      </c>
      <c r="AF211" s="98" t="s">
        <v>1602</v>
      </c>
      <c r="AG211" s="100">
        <v>2.92E-2</v>
      </c>
    </row>
    <row r="212" spans="1:33" ht="29.4" customHeight="1">
      <c r="A212" s="97">
        <v>223</v>
      </c>
      <c r="B212" s="98" t="s">
        <v>71</v>
      </c>
      <c r="C212" s="98" t="s">
        <v>698</v>
      </c>
      <c r="D212" s="98" t="s">
        <v>699</v>
      </c>
      <c r="E212" s="98" t="s">
        <v>105</v>
      </c>
      <c r="F212" s="98" t="s">
        <v>144</v>
      </c>
      <c r="G212" s="98">
        <v>1</v>
      </c>
      <c r="H212" s="99" t="s">
        <v>700</v>
      </c>
      <c r="I212" s="98" t="s">
        <v>701</v>
      </c>
      <c r="J212" s="98" t="s">
        <v>218</v>
      </c>
      <c r="K212" s="98" t="s">
        <v>234</v>
      </c>
      <c r="L212" s="98" t="s">
        <v>235</v>
      </c>
      <c r="M212" s="102">
        <v>5.1999999999999998E-3</v>
      </c>
      <c r="N212" s="104">
        <v>5.3E-3</v>
      </c>
      <c r="O212" s="101">
        <f t="shared" ref="O212:O218" si="6">(N212-M212)*G212</f>
        <v>1.0000000000000026E-4</v>
      </c>
      <c r="P212" s="102">
        <v>0</v>
      </c>
      <c r="Q212" s="102">
        <f t="shared" si="5"/>
        <v>5.1999999999999998E-3</v>
      </c>
      <c r="R212" s="98">
        <v>77</v>
      </c>
      <c r="S212" s="98">
        <v>4000</v>
      </c>
      <c r="T212" s="98"/>
      <c r="U212" s="98"/>
      <c r="V212" s="103"/>
      <c r="W212" s="98"/>
      <c r="X212" s="98" t="s">
        <v>1603</v>
      </c>
      <c r="Y212" s="98" t="s">
        <v>703</v>
      </c>
      <c r="Z212" s="98" t="s">
        <v>704</v>
      </c>
      <c r="AA212" s="102">
        <v>5.4999999999999997E-3</v>
      </c>
      <c r="AB212" s="98" t="s">
        <v>705</v>
      </c>
      <c r="AC212" s="98" t="s">
        <v>706</v>
      </c>
      <c r="AD212" s="105">
        <v>6.8999999999999999E-3</v>
      </c>
      <c r="AE212" s="98" t="s">
        <v>707</v>
      </c>
      <c r="AF212" s="98" t="s">
        <v>708</v>
      </c>
      <c r="AG212" s="100">
        <v>8.8999999999999999E-3</v>
      </c>
    </row>
    <row r="213" spans="1:33" ht="29.4" customHeight="1">
      <c r="A213" s="97">
        <v>224</v>
      </c>
      <c r="B213" s="98" t="s">
        <v>71</v>
      </c>
      <c r="C213" s="98" t="s">
        <v>1604</v>
      </c>
      <c r="D213" s="98" t="s">
        <v>1605</v>
      </c>
      <c r="E213" s="98" t="s">
        <v>105</v>
      </c>
      <c r="F213" s="98" t="s">
        <v>144</v>
      </c>
      <c r="G213" s="98">
        <v>21</v>
      </c>
      <c r="H213" s="99" t="s">
        <v>1606</v>
      </c>
      <c r="I213" s="98" t="s">
        <v>1607</v>
      </c>
      <c r="J213" s="98" t="s">
        <v>218</v>
      </c>
      <c r="K213" s="98" t="s">
        <v>713</v>
      </c>
      <c r="L213" s="98" t="s">
        <v>714</v>
      </c>
      <c r="M213" s="102">
        <v>1.0800000000000001E-2</v>
      </c>
      <c r="N213" s="104">
        <v>1.1299999999999999E-2</v>
      </c>
      <c r="O213" s="101">
        <f t="shared" si="6"/>
        <v>1.0499999999999973E-2</v>
      </c>
      <c r="P213" s="102">
        <v>0</v>
      </c>
      <c r="Q213" s="102">
        <f t="shared" si="5"/>
        <v>0.2268</v>
      </c>
      <c r="R213" s="98">
        <v>56</v>
      </c>
      <c r="S213" s="98">
        <v>4000</v>
      </c>
      <c r="T213" s="98"/>
      <c r="U213" s="98"/>
      <c r="V213" s="103"/>
      <c r="W213" s="98"/>
      <c r="X213" s="98" t="s">
        <v>1608</v>
      </c>
      <c r="Y213" s="98" t="s">
        <v>1609</v>
      </c>
      <c r="Z213" s="98" t="s">
        <v>1610</v>
      </c>
      <c r="AA213" s="102">
        <v>1.1299999999999999E-2</v>
      </c>
      <c r="AB213" s="98" t="s">
        <v>1611</v>
      </c>
      <c r="AC213" s="98" t="s">
        <v>1612</v>
      </c>
      <c r="AD213" s="102">
        <v>1.32E-2</v>
      </c>
      <c r="AE213" s="98" t="s">
        <v>1613</v>
      </c>
      <c r="AF213" s="98" t="s">
        <v>1614</v>
      </c>
      <c r="AG213" s="102">
        <v>1.6500000000000001E-2</v>
      </c>
    </row>
    <row r="214" spans="1:33" ht="29.4" customHeight="1">
      <c r="A214" s="97">
        <v>225</v>
      </c>
      <c r="B214" s="98" t="s">
        <v>71</v>
      </c>
      <c r="C214" s="98" t="s">
        <v>1615</v>
      </c>
      <c r="D214" s="98" t="s">
        <v>1616</v>
      </c>
      <c r="E214" s="98" t="s">
        <v>105</v>
      </c>
      <c r="F214" s="98" t="s">
        <v>144</v>
      </c>
      <c r="G214" s="98">
        <v>1</v>
      </c>
      <c r="H214" s="99" t="s">
        <v>1617</v>
      </c>
      <c r="I214" s="98" t="s">
        <v>1618</v>
      </c>
      <c r="J214" s="98" t="s">
        <v>218</v>
      </c>
      <c r="K214" s="98" t="s">
        <v>234</v>
      </c>
      <c r="L214" s="98" t="s">
        <v>235</v>
      </c>
      <c r="M214" s="102">
        <v>1.67E-2</v>
      </c>
      <c r="N214" s="104">
        <v>1.7399999999999999E-2</v>
      </c>
      <c r="O214" s="101">
        <f t="shared" si="6"/>
        <v>6.9999999999999923E-4</v>
      </c>
      <c r="P214" s="102">
        <v>0</v>
      </c>
      <c r="Q214" s="102">
        <f t="shared" si="5"/>
        <v>1.67E-2</v>
      </c>
      <c r="R214" s="98">
        <v>56</v>
      </c>
      <c r="S214" s="98">
        <v>3000</v>
      </c>
      <c r="T214" s="98"/>
      <c r="U214" s="98"/>
      <c r="V214" s="103"/>
      <c r="W214" s="98"/>
      <c r="X214" s="98" t="s">
        <v>1619</v>
      </c>
      <c r="Y214" s="98" t="s">
        <v>1620</v>
      </c>
      <c r="Z214" s="98" t="s">
        <v>1621</v>
      </c>
      <c r="AA214" s="102">
        <v>1.7399999999999999E-2</v>
      </c>
      <c r="AB214" s="98" t="s">
        <v>1622</v>
      </c>
      <c r="AC214" s="98" t="s">
        <v>1623</v>
      </c>
      <c r="AD214" s="102">
        <v>1.8800000000000001E-2</v>
      </c>
      <c r="AE214" s="98" t="s">
        <v>1624</v>
      </c>
      <c r="AF214" s="98" t="s">
        <v>1625</v>
      </c>
      <c r="AG214" s="102">
        <v>2.5600000000000001E-2</v>
      </c>
    </row>
    <row r="215" spans="1:33" ht="29.4" customHeight="1">
      <c r="A215" s="97">
        <v>226</v>
      </c>
      <c r="B215" s="98" t="s">
        <v>71</v>
      </c>
      <c r="C215" s="98" t="s">
        <v>1626</v>
      </c>
      <c r="D215" s="98" t="s">
        <v>1627</v>
      </c>
      <c r="E215" s="98" t="s">
        <v>105</v>
      </c>
      <c r="F215" s="98" t="s">
        <v>144</v>
      </c>
      <c r="G215" s="98">
        <v>2</v>
      </c>
      <c r="H215" s="99" t="s">
        <v>1628</v>
      </c>
      <c r="I215" s="98" t="s">
        <v>1629</v>
      </c>
      <c r="J215" s="98" t="s">
        <v>218</v>
      </c>
      <c r="K215" s="98" t="s">
        <v>234</v>
      </c>
      <c r="L215" s="98" t="s">
        <v>235</v>
      </c>
      <c r="M215" s="102">
        <v>4.8500000000000001E-2</v>
      </c>
      <c r="N215" s="104">
        <v>5.0500000000000003E-2</v>
      </c>
      <c r="O215" s="101">
        <f t="shared" si="6"/>
        <v>4.0000000000000036E-3</v>
      </c>
      <c r="P215" s="102">
        <v>0</v>
      </c>
      <c r="Q215" s="102">
        <f t="shared" si="5"/>
        <v>9.7000000000000003E-2</v>
      </c>
      <c r="R215" s="98">
        <v>56</v>
      </c>
      <c r="S215" s="98">
        <v>2000</v>
      </c>
      <c r="T215" s="98"/>
      <c r="U215" s="98"/>
      <c r="V215" s="103"/>
      <c r="W215" s="98"/>
      <c r="X215" s="98" t="s">
        <v>1630</v>
      </c>
      <c r="Y215" s="98" t="s">
        <v>1631</v>
      </c>
      <c r="Z215" s="98" t="s">
        <v>1632</v>
      </c>
      <c r="AA215" s="102">
        <v>5.0500000000000003E-2</v>
      </c>
      <c r="AB215" s="98" t="s">
        <v>1633</v>
      </c>
      <c r="AC215" s="98" t="s">
        <v>1634</v>
      </c>
      <c r="AD215" s="102">
        <v>6.8000000000000005E-2</v>
      </c>
      <c r="AE215" s="98" t="s">
        <v>1635</v>
      </c>
      <c r="AF215" s="98" t="s">
        <v>1636</v>
      </c>
      <c r="AG215" s="102">
        <v>7.9000000000000001E-2</v>
      </c>
    </row>
    <row r="216" spans="1:33" ht="29.4" customHeight="1">
      <c r="A216" s="97">
        <v>227</v>
      </c>
      <c r="B216" s="98" t="s">
        <v>71</v>
      </c>
      <c r="C216" s="98" t="s">
        <v>1637</v>
      </c>
      <c r="D216" s="98" t="s">
        <v>1638</v>
      </c>
      <c r="E216" s="98" t="s">
        <v>105</v>
      </c>
      <c r="F216" s="98" t="s">
        <v>144</v>
      </c>
      <c r="G216" s="98">
        <v>4</v>
      </c>
      <c r="H216" s="98" t="s">
        <v>1637</v>
      </c>
      <c r="I216" s="98" t="s">
        <v>1638</v>
      </c>
      <c r="J216" s="98" t="s">
        <v>172</v>
      </c>
      <c r="K216" s="98" t="s">
        <v>1639</v>
      </c>
      <c r="L216" s="98" t="s">
        <v>1640</v>
      </c>
      <c r="M216" s="102">
        <v>0.16650000000000001</v>
      </c>
      <c r="N216" s="104">
        <v>0.1957932</v>
      </c>
      <c r="O216" s="101">
        <f t="shared" si="6"/>
        <v>0.11717279999999997</v>
      </c>
      <c r="P216" s="102">
        <v>0</v>
      </c>
      <c r="Q216" s="102">
        <f t="shared" si="5"/>
        <v>0.66600000000000004</v>
      </c>
      <c r="R216" s="98">
        <v>84</v>
      </c>
      <c r="S216" s="98">
        <v>2000</v>
      </c>
      <c r="T216" s="98"/>
      <c r="U216" s="98"/>
      <c r="V216" s="103"/>
      <c r="W216" s="98"/>
      <c r="X216" s="98" t="s">
        <v>1641</v>
      </c>
      <c r="Y216" s="98" t="s">
        <v>1642</v>
      </c>
      <c r="Z216" s="98" t="s">
        <v>1643</v>
      </c>
      <c r="AA216" s="102">
        <v>0.18007300000000001</v>
      </c>
      <c r="AB216" s="98" t="s">
        <v>764</v>
      </c>
      <c r="AC216" s="98" t="s">
        <v>765</v>
      </c>
      <c r="AD216" s="102">
        <v>0.4178</v>
      </c>
      <c r="AE216" s="98"/>
      <c r="AF216" s="98"/>
      <c r="AG216" s="102"/>
    </row>
    <row r="217" spans="1:33" ht="29.4" customHeight="1">
      <c r="A217" s="97">
        <v>228</v>
      </c>
      <c r="B217" s="98" t="s">
        <v>71</v>
      </c>
      <c r="C217" s="98" t="s">
        <v>767</v>
      </c>
      <c r="D217" s="98" t="s">
        <v>768</v>
      </c>
      <c r="E217" s="98" t="s">
        <v>105</v>
      </c>
      <c r="F217" s="98" t="s">
        <v>144</v>
      </c>
      <c r="G217" s="98">
        <v>1</v>
      </c>
      <c r="H217" s="98" t="s">
        <v>767</v>
      </c>
      <c r="I217" s="98" t="s">
        <v>768</v>
      </c>
      <c r="J217" s="98" t="s">
        <v>172</v>
      </c>
      <c r="K217" s="98" t="s">
        <v>749</v>
      </c>
      <c r="L217" s="98" t="s">
        <v>149</v>
      </c>
      <c r="M217" s="102">
        <v>3.5499999999999997E-2</v>
      </c>
      <c r="N217" s="104">
        <v>3.6133199999999997E-2</v>
      </c>
      <c r="O217" s="101">
        <f t="shared" si="6"/>
        <v>6.3320000000000043E-4</v>
      </c>
      <c r="P217" s="102">
        <v>0</v>
      </c>
      <c r="Q217" s="102">
        <f t="shared" si="5"/>
        <v>3.5499999999999997E-2</v>
      </c>
      <c r="R217" s="98">
        <v>84</v>
      </c>
      <c r="S217" s="98">
        <v>25000</v>
      </c>
      <c r="T217" s="98"/>
      <c r="U217" s="98"/>
      <c r="V217" s="103"/>
      <c r="W217" s="98"/>
      <c r="X217" s="98" t="s">
        <v>1644</v>
      </c>
      <c r="Y217" s="98" t="s">
        <v>1645</v>
      </c>
      <c r="Z217" s="98" t="s">
        <v>1646</v>
      </c>
      <c r="AA217" s="102">
        <v>3.6443000000000003E-2</v>
      </c>
      <c r="AB217" s="98"/>
      <c r="AC217" s="98"/>
      <c r="AD217" s="102"/>
      <c r="AE217" s="98"/>
      <c r="AF217" s="98"/>
      <c r="AG217" s="102"/>
    </row>
    <row r="218" spans="1:33" ht="29.4" customHeight="1">
      <c r="A218" s="97">
        <v>229</v>
      </c>
      <c r="B218" s="98" t="s">
        <v>71</v>
      </c>
      <c r="C218" s="98" t="s">
        <v>1647</v>
      </c>
      <c r="D218" s="98" t="s">
        <v>1648</v>
      </c>
      <c r="E218" s="98" t="s">
        <v>105</v>
      </c>
      <c r="F218" s="98" t="s">
        <v>144</v>
      </c>
      <c r="G218" s="98">
        <v>4</v>
      </c>
      <c r="H218" s="98" t="s">
        <v>1647</v>
      </c>
      <c r="I218" s="98" t="s">
        <v>1648</v>
      </c>
      <c r="J218" s="98" t="s">
        <v>772</v>
      </c>
      <c r="K218" s="98" t="s">
        <v>773</v>
      </c>
      <c r="L218" s="98" t="s">
        <v>774</v>
      </c>
      <c r="M218" s="102">
        <v>3.9301999999999997E-2</v>
      </c>
      <c r="N218" s="104">
        <v>4.6218000000000002E-2</v>
      </c>
      <c r="O218" s="101">
        <f t="shared" si="6"/>
        <v>2.7664000000000022E-2</v>
      </c>
      <c r="P218" s="102">
        <v>0</v>
      </c>
      <c r="Q218" s="102">
        <f t="shared" si="5"/>
        <v>0.15720799999999999</v>
      </c>
      <c r="R218" s="98">
        <v>84</v>
      </c>
      <c r="S218" s="98">
        <v>0</v>
      </c>
      <c r="T218" s="98">
        <v>3000</v>
      </c>
      <c r="U218" s="98"/>
      <c r="V218" s="103"/>
      <c r="W218" s="98"/>
      <c r="X218" s="98" t="s">
        <v>1649</v>
      </c>
      <c r="Y218" s="98" t="s">
        <v>1650</v>
      </c>
      <c r="Z218" s="98" t="s">
        <v>1651</v>
      </c>
      <c r="AA218" s="102">
        <v>4.2160000000000003E-2</v>
      </c>
      <c r="AB218" s="98"/>
      <c r="AC218" s="98"/>
      <c r="AD218" s="102"/>
      <c r="AE218" s="98"/>
      <c r="AF218" s="98"/>
      <c r="AG218" s="102"/>
    </row>
    <row r="219" spans="1:33" ht="29.4" customHeight="1">
      <c r="A219" s="97">
        <v>230</v>
      </c>
      <c r="B219" s="98" t="s">
        <v>71</v>
      </c>
      <c r="C219" s="98" t="s">
        <v>1652</v>
      </c>
      <c r="D219" s="98" t="s">
        <v>1653</v>
      </c>
      <c r="E219" s="98" t="s">
        <v>105</v>
      </c>
      <c r="F219" s="98" t="s">
        <v>157</v>
      </c>
      <c r="G219" s="98">
        <v>1</v>
      </c>
      <c r="H219" s="99" t="s">
        <v>1654</v>
      </c>
      <c r="I219" s="98" t="s">
        <v>1655</v>
      </c>
      <c r="J219" s="98" t="s">
        <v>789</v>
      </c>
      <c r="K219" s="98" t="s">
        <v>784</v>
      </c>
      <c r="L219" s="98" t="s">
        <v>785</v>
      </c>
      <c r="M219" s="102">
        <v>0.7</v>
      </c>
      <c r="N219" s="104"/>
      <c r="O219" s="101"/>
      <c r="P219" s="102">
        <v>0</v>
      </c>
      <c r="Q219" s="102">
        <f t="shared" si="5"/>
        <v>0.7</v>
      </c>
      <c r="R219" s="98">
        <v>84</v>
      </c>
      <c r="S219" s="98">
        <v>50</v>
      </c>
      <c r="T219" s="98"/>
      <c r="U219" s="98"/>
      <c r="V219" s="103"/>
      <c r="W219" s="98"/>
      <c r="X219" s="98" t="s">
        <v>1092</v>
      </c>
      <c r="Y219" s="98" t="s">
        <v>1652</v>
      </c>
      <c r="Z219" s="98" t="s">
        <v>1653</v>
      </c>
      <c r="AA219" s="102">
        <v>1</v>
      </c>
      <c r="AB219" s="98"/>
      <c r="AC219" s="98"/>
      <c r="AD219" s="102"/>
      <c r="AE219" s="98"/>
      <c r="AF219" s="98"/>
      <c r="AG219" s="102"/>
    </row>
    <row r="220" spans="1:33" ht="29.4" customHeight="1">
      <c r="A220" s="97">
        <v>231</v>
      </c>
      <c r="B220" s="98" t="s">
        <v>71</v>
      </c>
      <c r="C220" s="98" t="s">
        <v>1656</v>
      </c>
      <c r="D220" s="98" t="s">
        <v>1657</v>
      </c>
      <c r="E220" s="98" t="s">
        <v>105</v>
      </c>
      <c r="F220" s="98" t="s">
        <v>144</v>
      </c>
      <c r="G220" s="98">
        <v>10</v>
      </c>
      <c r="H220" s="98" t="s">
        <v>1656</v>
      </c>
      <c r="I220" s="98" t="s">
        <v>1657</v>
      </c>
      <c r="J220" s="98" t="s">
        <v>789</v>
      </c>
      <c r="K220" s="98" t="s">
        <v>795</v>
      </c>
      <c r="L220" s="98" t="s">
        <v>796</v>
      </c>
      <c r="M220" s="102">
        <v>7.4999999999999997E-2</v>
      </c>
      <c r="N220" s="104"/>
      <c r="O220" s="101"/>
      <c r="P220" s="102">
        <v>0</v>
      </c>
      <c r="Q220" s="102">
        <f t="shared" si="5"/>
        <v>0.75</v>
      </c>
      <c r="R220" s="98">
        <v>56</v>
      </c>
      <c r="S220" s="98">
        <v>3000</v>
      </c>
      <c r="T220" s="98"/>
      <c r="U220" s="98"/>
      <c r="V220" s="103"/>
      <c r="W220" s="98"/>
      <c r="X220" s="98" t="s">
        <v>1658</v>
      </c>
      <c r="Y220" s="98"/>
      <c r="Z220" s="98"/>
      <c r="AA220" s="102"/>
      <c r="AB220" s="98"/>
      <c r="AC220" s="98"/>
      <c r="AD220" s="102"/>
      <c r="AE220" s="98"/>
      <c r="AF220" s="98"/>
      <c r="AG220" s="102"/>
    </row>
    <row r="221" spans="1:33" ht="29.4" customHeight="1">
      <c r="A221" s="97">
        <v>232</v>
      </c>
      <c r="B221" s="98" t="s">
        <v>71</v>
      </c>
      <c r="C221" s="98" t="s">
        <v>1659</v>
      </c>
      <c r="D221" s="98" t="s">
        <v>1660</v>
      </c>
      <c r="E221" s="98" t="s">
        <v>105</v>
      </c>
      <c r="F221" s="98" t="s">
        <v>144</v>
      </c>
      <c r="G221" s="98">
        <v>2</v>
      </c>
      <c r="H221" s="98" t="s">
        <v>1659</v>
      </c>
      <c r="I221" s="98" t="s">
        <v>1660</v>
      </c>
      <c r="J221" s="98" t="s">
        <v>789</v>
      </c>
      <c r="K221" s="98" t="s">
        <v>749</v>
      </c>
      <c r="L221" s="98" t="s">
        <v>149</v>
      </c>
      <c r="M221" s="102">
        <v>9.7000000000000003E-2</v>
      </c>
      <c r="N221" s="104">
        <v>0.1164</v>
      </c>
      <c r="O221" s="101">
        <f>(N221-M221)*G221</f>
        <v>3.8800000000000001E-2</v>
      </c>
      <c r="P221" s="102">
        <v>0</v>
      </c>
      <c r="Q221" s="102">
        <f t="shared" si="5"/>
        <v>0.19400000000000001</v>
      </c>
      <c r="R221" s="98">
        <v>112</v>
      </c>
      <c r="S221" s="98">
        <v>3000</v>
      </c>
      <c r="T221" s="98"/>
      <c r="U221" s="98"/>
      <c r="V221" s="103"/>
      <c r="W221" s="98"/>
      <c r="X221" s="98" t="s">
        <v>1661</v>
      </c>
      <c r="Y221" s="98"/>
      <c r="Z221" s="98"/>
      <c r="AA221" s="102"/>
      <c r="AB221" s="98"/>
      <c r="AC221" s="98"/>
      <c r="AD221" s="102"/>
      <c r="AE221" s="98"/>
      <c r="AF221" s="98"/>
      <c r="AG221" s="102"/>
    </row>
    <row r="222" spans="1:33" ht="29.4" customHeight="1">
      <c r="A222" s="97">
        <v>233</v>
      </c>
      <c r="B222" s="98" t="s">
        <v>71</v>
      </c>
      <c r="C222" s="98" t="s">
        <v>1662</v>
      </c>
      <c r="D222" s="98" t="s">
        <v>1663</v>
      </c>
      <c r="E222" s="98" t="s">
        <v>105</v>
      </c>
      <c r="F222" s="98" t="s">
        <v>144</v>
      </c>
      <c r="G222" s="98">
        <v>12</v>
      </c>
      <c r="H222" s="99" t="s">
        <v>1664</v>
      </c>
      <c r="I222" s="98" t="s">
        <v>1665</v>
      </c>
      <c r="J222" s="98" t="s">
        <v>823</v>
      </c>
      <c r="K222" s="98" t="s">
        <v>641</v>
      </c>
      <c r="L222" s="98" t="s">
        <v>235</v>
      </c>
      <c r="M222" s="102">
        <v>0.15</v>
      </c>
      <c r="N222" s="104"/>
      <c r="O222" s="101"/>
      <c r="P222" s="102">
        <v>0</v>
      </c>
      <c r="Q222" s="102">
        <f t="shared" si="5"/>
        <v>1.7999999999999998</v>
      </c>
      <c r="R222" s="98">
        <v>84</v>
      </c>
      <c r="S222" s="98">
        <v>0</v>
      </c>
      <c r="T222" s="98">
        <v>3000</v>
      </c>
      <c r="U222" s="98"/>
      <c r="V222" s="103"/>
      <c r="W222" s="98"/>
      <c r="X222" s="98" t="s">
        <v>1666</v>
      </c>
      <c r="Y222" s="98" t="s">
        <v>1662</v>
      </c>
      <c r="Z222" s="98" t="s">
        <v>1663</v>
      </c>
      <c r="AA222" s="102">
        <v>0.15129999999999999</v>
      </c>
      <c r="AB222" s="98"/>
      <c r="AC222" s="98"/>
      <c r="AD222" s="102"/>
      <c r="AE222" s="98"/>
      <c r="AF222" s="98"/>
      <c r="AG222" s="102"/>
    </row>
    <row r="223" spans="1:33" ht="29.4" customHeight="1">
      <c r="A223" s="97">
        <v>234</v>
      </c>
      <c r="B223" s="98" t="s">
        <v>71</v>
      </c>
      <c r="C223" s="98" t="s">
        <v>1667</v>
      </c>
      <c r="D223" s="98" t="s">
        <v>1668</v>
      </c>
      <c r="E223" s="98" t="s">
        <v>105</v>
      </c>
      <c r="F223" s="98" t="s">
        <v>144</v>
      </c>
      <c r="G223" s="98">
        <v>4</v>
      </c>
      <c r="H223" s="99" t="s">
        <v>1669</v>
      </c>
      <c r="I223" s="98" t="s">
        <v>1670</v>
      </c>
      <c r="J223" s="98" t="s">
        <v>166</v>
      </c>
      <c r="K223" s="98" t="s">
        <v>167</v>
      </c>
      <c r="L223" s="98" t="s">
        <v>168</v>
      </c>
      <c r="M223" s="102">
        <v>1.6899999999999998E-2</v>
      </c>
      <c r="N223" s="104">
        <v>1.7000000000000001E-2</v>
      </c>
      <c r="O223" s="101">
        <f>(N223-M223)*G223</f>
        <v>4.0000000000001146E-4</v>
      </c>
      <c r="P223" s="102">
        <v>0</v>
      </c>
      <c r="Q223" s="102">
        <f t="shared" si="5"/>
        <v>6.7599999999999993E-2</v>
      </c>
      <c r="R223" s="98">
        <v>35</v>
      </c>
      <c r="S223" s="98">
        <v>1</v>
      </c>
      <c r="T223" s="98">
        <v>1</v>
      </c>
      <c r="U223" s="98"/>
      <c r="V223" s="103"/>
      <c r="W223" s="98"/>
      <c r="X223" s="98" t="s">
        <v>1671</v>
      </c>
      <c r="Y223" s="98" t="s">
        <v>1672</v>
      </c>
      <c r="Z223" s="98" t="s">
        <v>1673</v>
      </c>
      <c r="AA223" s="102">
        <v>2.4500000000000001E-2</v>
      </c>
      <c r="AB223" s="98" t="s">
        <v>1674</v>
      </c>
      <c r="AC223" s="98" t="s">
        <v>1675</v>
      </c>
      <c r="AD223" s="102">
        <v>3.3000000000000002E-2</v>
      </c>
      <c r="AE223" s="98"/>
      <c r="AF223" s="98"/>
      <c r="AG223" s="102"/>
    </row>
    <row r="224" spans="1:33" ht="29.4" customHeight="1">
      <c r="A224" s="97">
        <v>235</v>
      </c>
      <c r="B224" s="98" t="s">
        <v>71</v>
      </c>
      <c r="C224" s="98" t="s">
        <v>1676</v>
      </c>
      <c r="D224" s="98" t="s">
        <v>1677</v>
      </c>
      <c r="E224" s="98" t="s">
        <v>105</v>
      </c>
      <c r="F224" s="98" t="s">
        <v>144</v>
      </c>
      <c r="G224" s="98">
        <v>4</v>
      </c>
      <c r="H224" s="99" t="s">
        <v>798</v>
      </c>
      <c r="I224" s="98" t="s">
        <v>799</v>
      </c>
      <c r="J224" s="98" t="s">
        <v>166</v>
      </c>
      <c r="K224" s="98" t="s">
        <v>167</v>
      </c>
      <c r="L224" s="98" t="s">
        <v>168</v>
      </c>
      <c r="M224" s="102">
        <v>0.02</v>
      </c>
      <c r="N224" s="104"/>
      <c r="O224" s="101"/>
      <c r="P224" s="102">
        <v>0</v>
      </c>
      <c r="Q224" s="102">
        <f t="shared" si="5"/>
        <v>0.08</v>
      </c>
      <c r="R224" s="98">
        <v>35</v>
      </c>
      <c r="S224" s="98">
        <v>1</v>
      </c>
      <c r="T224" s="98">
        <v>1</v>
      </c>
      <c r="U224" s="98"/>
      <c r="V224" s="103"/>
      <c r="W224" s="98"/>
      <c r="X224" s="98" t="s">
        <v>1678</v>
      </c>
      <c r="Y224" s="98" t="s">
        <v>1679</v>
      </c>
      <c r="Z224" s="98" t="s">
        <v>1680</v>
      </c>
      <c r="AA224" s="102">
        <v>2.4500000000000001E-2</v>
      </c>
      <c r="AB224" s="98" t="s">
        <v>1681</v>
      </c>
      <c r="AC224" s="98" t="s">
        <v>1682</v>
      </c>
      <c r="AD224" s="102">
        <v>2.5725000000000001E-2</v>
      </c>
      <c r="AE224" s="98" t="s">
        <v>1683</v>
      </c>
      <c r="AF224" s="98" t="s">
        <v>1684</v>
      </c>
      <c r="AG224" s="102">
        <v>3.4000000000000002E-2</v>
      </c>
    </row>
    <row r="225" spans="1:33" ht="29.4" customHeight="1">
      <c r="A225" s="97">
        <v>236</v>
      </c>
      <c r="B225" s="98" t="s">
        <v>71</v>
      </c>
      <c r="C225" s="98" t="s">
        <v>1685</v>
      </c>
      <c r="D225" s="98" t="s">
        <v>1686</v>
      </c>
      <c r="E225" s="98" t="s">
        <v>105</v>
      </c>
      <c r="F225" s="98" t="s">
        <v>144</v>
      </c>
      <c r="G225" s="98">
        <v>2</v>
      </c>
      <c r="H225" s="99" t="s">
        <v>164</v>
      </c>
      <c r="I225" s="98" t="s">
        <v>165</v>
      </c>
      <c r="J225" s="98" t="s">
        <v>166</v>
      </c>
      <c r="K225" s="98" t="s">
        <v>167</v>
      </c>
      <c r="L225" s="98" t="s">
        <v>168</v>
      </c>
      <c r="M225" s="102">
        <v>2.7400000000000001E-2</v>
      </c>
      <c r="N225" s="104"/>
      <c r="O225" s="101"/>
      <c r="P225" s="102">
        <v>0</v>
      </c>
      <c r="Q225" s="102">
        <f t="shared" si="5"/>
        <v>5.4800000000000001E-2</v>
      </c>
      <c r="R225" s="98">
        <v>35</v>
      </c>
      <c r="S225" s="98">
        <v>1</v>
      </c>
      <c r="T225" s="98">
        <v>1</v>
      </c>
      <c r="U225" s="98"/>
      <c r="V225" s="103"/>
      <c r="W225" s="98"/>
      <c r="X225" s="98" t="s">
        <v>1687</v>
      </c>
      <c r="Y225" s="98" t="s">
        <v>1688</v>
      </c>
      <c r="Z225" s="98" t="s">
        <v>1689</v>
      </c>
      <c r="AA225" s="102">
        <v>3.7499999999999999E-2</v>
      </c>
      <c r="AB225" s="98" t="s">
        <v>1690</v>
      </c>
      <c r="AC225" s="98" t="s">
        <v>1691</v>
      </c>
      <c r="AD225" s="102">
        <v>4.2999999999999997E-2</v>
      </c>
      <c r="AE225" s="98" t="s">
        <v>1692</v>
      </c>
      <c r="AF225" s="98" t="s">
        <v>1693</v>
      </c>
      <c r="AG225" s="102">
        <v>6.8000000000000005E-2</v>
      </c>
    </row>
    <row r="226" spans="1:33" ht="29.4" customHeight="1">
      <c r="A226" s="97">
        <v>237</v>
      </c>
      <c r="B226" s="98" t="s">
        <v>71</v>
      </c>
      <c r="C226" s="98" t="s">
        <v>1694</v>
      </c>
      <c r="D226" s="98" t="s">
        <v>1695</v>
      </c>
      <c r="E226" s="98" t="s">
        <v>105</v>
      </c>
      <c r="F226" s="98" t="s">
        <v>144</v>
      </c>
      <c r="G226" s="98">
        <v>4</v>
      </c>
      <c r="H226" s="99" t="s">
        <v>1696</v>
      </c>
      <c r="I226" s="98" t="s">
        <v>1697</v>
      </c>
      <c r="J226" s="98" t="s">
        <v>166</v>
      </c>
      <c r="K226" s="98" t="s">
        <v>727</v>
      </c>
      <c r="L226" s="98" t="s">
        <v>728</v>
      </c>
      <c r="M226" s="102">
        <v>1.38E-2</v>
      </c>
      <c r="N226" s="104"/>
      <c r="O226" s="101"/>
      <c r="P226" s="102">
        <v>0</v>
      </c>
      <c r="Q226" s="102">
        <f t="shared" si="5"/>
        <v>5.5199999999999999E-2</v>
      </c>
      <c r="R226" s="98">
        <v>35</v>
      </c>
      <c r="S226" s="98">
        <v>3000</v>
      </c>
      <c r="T226" s="98">
        <v>3000</v>
      </c>
      <c r="U226" s="98"/>
      <c r="V226" s="103"/>
      <c r="W226" s="98"/>
      <c r="X226" s="98" t="s">
        <v>1698</v>
      </c>
      <c r="Y226" s="98" t="s">
        <v>1699</v>
      </c>
      <c r="Z226" s="98" t="s">
        <v>1700</v>
      </c>
      <c r="AA226" s="102">
        <v>1.5006E-2</v>
      </c>
      <c r="AB226" s="98" t="s">
        <v>1701</v>
      </c>
      <c r="AC226" s="98" t="s">
        <v>1702</v>
      </c>
      <c r="AD226" s="102">
        <v>1.9400000000000001E-2</v>
      </c>
      <c r="AE226" s="98" t="s">
        <v>1703</v>
      </c>
      <c r="AF226" s="98" t="s">
        <v>1704</v>
      </c>
      <c r="AG226" s="102">
        <v>2.5000000000000001E-2</v>
      </c>
    </row>
    <row r="227" spans="1:33" ht="29.4" customHeight="1">
      <c r="A227" s="97">
        <v>238</v>
      </c>
      <c r="B227" s="98" t="s">
        <v>71</v>
      </c>
      <c r="C227" s="98" t="s">
        <v>1705</v>
      </c>
      <c r="D227" s="98" t="s">
        <v>1706</v>
      </c>
      <c r="E227" s="98" t="s">
        <v>105</v>
      </c>
      <c r="F227" s="98" t="s">
        <v>157</v>
      </c>
      <c r="G227" s="98">
        <v>1</v>
      </c>
      <c r="H227" s="98" t="s">
        <v>1705</v>
      </c>
      <c r="I227" s="98" t="s">
        <v>1706</v>
      </c>
      <c r="J227" s="98" t="s">
        <v>302</v>
      </c>
      <c r="K227" s="98" t="s">
        <v>1707</v>
      </c>
      <c r="L227" s="98" t="s">
        <v>1708</v>
      </c>
      <c r="M227" s="102">
        <v>1.7607999999999999</v>
      </c>
      <c r="N227" s="104"/>
      <c r="O227" s="101"/>
      <c r="P227" s="102">
        <v>0</v>
      </c>
      <c r="Q227" s="102">
        <f t="shared" si="5"/>
        <v>1.7607999999999999</v>
      </c>
      <c r="R227" s="98">
        <v>35</v>
      </c>
      <c r="S227" s="98">
        <v>1</v>
      </c>
      <c r="T227" s="98"/>
      <c r="U227" s="98"/>
      <c r="V227" s="103"/>
      <c r="W227" s="98"/>
      <c r="X227" s="98" t="s">
        <v>1709</v>
      </c>
      <c r="Y227" s="98"/>
      <c r="Z227" s="98"/>
      <c r="AA227" s="102"/>
      <c r="AB227" s="98"/>
      <c r="AC227" s="98"/>
      <c r="AD227" s="102"/>
      <c r="AE227" s="98"/>
      <c r="AF227" s="98"/>
      <c r="AG227" s="102"/>
    </row>
    <row r="228" spans="1:33" ht="29.4" customHeight="1">
      <c r="A228" s="97">
        <v>239</v>
      </c>
      <c r="B228" s="98" t="s">
        <v>71</v>
      </c>
      <c r="C228" s="98" t="s">
        <v>1710</v>
      </c>
      <c r="D228" s="98" t="s">
        <v>1711</v>
      </c>
      <c r="E228" s="98" t="s">
        <v>105</v>
      </c>
      <c r="F228" s="98" t="s">
        <v>144</v>
      </c>
      <c r="G228" s="98">
        <v>3</v>
      </c>
      <c r="H228" s="99" t="s">
        <v>1712</v>
      </c>
      <c r="I228" s="98" t="s">
        <v>1713</v>
      </c>
      <c r="J228" s="98" t="s">
        <v>789</v>
      </c>
      <c r="K228" s="98" t="s">
        <v>1714</v>
      </c>
      <c r="L228" s="98" t="s">
        <v>1715</v>
      </c>
      <c r="M228" s="102">
        <v>2.6800000000000001E-2</v>
      </c>
      <c r="N228" s="104"/>
      <c r="O228" s="101"/>
      <c r="P228" s="102">
        <v>0</v>
      </c>
      <c r="Q228" s="102">
        <f t="shared" si="5"/>
        <v>8.0399999999999999E-2</v>
      </c>
      <c r="R228" s="98">
        <v>28</v>
      </c>
      <c r="S228" s="98">
        <v>3000</v>
      </c>
      <c r="T228" s="98"/>
      <c r="U228" s="98"/>
      <c r="V228" s="103"/>
      <c r="W228" s="98"/>
      <c r="X228" s="98" t="s">
        <v>1716</v>
      </c>
      <c r="Y228" s="98" t="s">
        <v>1710</v>
      </c>
      <c r="Z228" s="98" t="s">
        <v>1711</v>
      </c>
      <c r="AA228" s="102">
        <v>3.8199999999999998E-2</v>
      </c>
      <c r="AB228" s="98"/>
      <c r="AC228" s="98"/>
      <c r="AD228" s="102"/>
      <c r="AE228" s="98"/>
      <c r="AF228" s="98"/>
      <c r="AG228" s="102"/>
    </row>
    <row r="229" spans="1:33" ht="29.4" customHeight="1">
      <c r="A229" s="97">
        <v>240</v>
      </c>
      <c r="B229" s="98" t="s">
        <v>71</v>
      </c>
      <c r="C229" s="98" t="s">
        <v>1717</v>
      </c>
      <c r="D229" s="98" t="s">
        <v>1718</v>
      </c>
      <c r="E229" s="98" t="s">
        <v>105</v>
      </c>
      <c r="F229" s="98" t="s">
        <v>144</v>
      </c>
      <c r="G229" s="98">
        <v>3</v>
      </c>
      <c r="H229" s="99" t="s">
        <v>1719</v>
      </c>
      <c r="I229" s="98" t="s">
        <v>1720</v>
      </c>
      <c r="J229" s="98" t="s">
        <v>726</v>
      </c>
      <c r="K229" s="98" t="s">
        <v>727</v>
      </c>
      <c r="L229" s="98" t="s">
        <v>728</v>
      </c>
      <c r="M229" s="102">
        <v>0.31759999999999999</v>
      </c>
      <c r="N229" s="104"/>
      <c r="O229" s="101"/>
      <c r="P229" s="102">
        <v>0</v>
      </c>
      <c r="Q229" s="102">
        <f t="shared" si="5"/>
        <v>0.95279999999999998</v>
      </c>
      <c r="R229" s="98">
        <v>7</v>
      </c>
      <c r="S229" s="98">
        <v>2500</v>
      </c>
      <c r="T229" s="98">
        <v>2501</v>
      </c>
      <c r="U229" s="98"/>
      <c r="V229" s="103"/>
      <c r="W229" s="98"/>
      <c r="X229" s="98" t="s">
        <v>1721</v>
      </c>
      <c r="Y229" s="98" t="s">
        <v>1717</v>
      </c>
      <c r="Z229" s="98" t="s">
        <v>1718</v>
      </c>
      <c r="AA229" s="102">
        <v>0.32750000000000001</v>
      </c>
      <c r="AB229" s="98"/>
      <c r="AC229" s="98"/>
      <c r="AD229" s="102"/>
      <c r="AE229" s="98"/>
      <c r="AF229" s="98"/>
      <c r="AG229" s="102"/>
    </row>
    <row r="230" spans="1:33" ht="29.4" customHeight="1">
      <c r="A230" s="97">
        <v>241</v>
      </c>
      <c r="B230" s="98" t="s">
        <v>71</v>
      </c>
      <c r="C230" s="98" t="s">
        <v>1722</v>
      </c>
      <c r="D230" s="98" t="s">
        <v>1723</v>
      </c>
      <c r="E230" s="98" t="s">
        <v>105</v>
      </c>
      <c r="F230" s="98" t="s">
        <v>144</v>
      </c>
      <c r="G230" s="98">
        <v>4</v>
      </c>
      <c r="H230" s="98" t="s">
        <v>1722</v>
      </c>
      <c r="I230" s="98" t="s">
        <v>1723</v>
      </c>
      <c r="J230" s="98" t="s">
        <v>890</v>
      </c>
      <c r="K230" s="98" t="s">
        <v>727</v>
      </c>
      <c r="L230" s="98" t="s">
        <v>728</v>
      </c>
      <c r="M230" s="102">
        <v>2.3561999999999999</v>
      </c>
      <c r="N230" s="104"/>
      <c r="O230" s="101"/>
      <c r="P230" s="102">
        <v>0</v>
      </c>
      <c r="Q230" s="102">
        <f t="shared" si="5"/>
        <v>9.4247999999999994</v>
      </c>
      <c r="R230" s="98">
        <v>140</v>
      </c>
      <c r="S230" s="98">
        <v>0</v>
      </c>
      <c r="T230" s="98">
        <v>2500</v>
      </c>
      <c r="U230" s="98"/>
      <c r="V230" s="103"/>
      <c r="W230" s="98"/>
      <c r="X230" s="98" t="s">
        <v>1724</v>
      </c>
      <c r="Y230" s="98"/>
      <c r="Z230" s="98"/>
      <c r="AA230" s="102"/>
      <c r="AB230" s="98"/>
      <c r="AC230" s="98"/>
      <c r="AD230" s="102"/>
      <c r="AE230" s="98"/>
      <c r="AF230" s="98"/>
      <c r="AG230" s="102"/>
    </row>
    <row r="231" spans="1:33" ht="29.4" customHeight="1">
      <c r="A231" s="97">
        <v>242</v>
      </c>
      <c r="B231" s="98" t="s">
        <v>71</v>
      </c>
      <c r="C231" s="98" t="s">
        <v>1725</v>
      </c>
      <c r="D231" s="98" t="s">
        <v>1726</v>
      </c>
      <c r="E231" s="98" t="s">
        <v>105</v>
      </c>
      <c r="F231" s="98" t="s">
        <v>144</v>
      </c>
      <c r="G231" s="98">
        <v>1</v>
      </c>
      <c r="H231" s="98" t="s">
        <v>1725</v>
      </c>
      <c r="I231" s="98" t="s">
        <v>1726</v>
      </c>
      <c r="J231" s="98" t="s">
        <v>726</v>
      </c>
      <c r="K231" s="98" t="s">
        <v>727</v>
      </c>
      <c r="L231" s="98" t="s">
        <v>728</v>
      </c>
      <c r="M231" s="102">
        <v>18.581</v>
      </c>
      <c r="N231" s="104"/>
      <c r="O231" s="101"/>
      <c r="P231" s="102">
        <v>0</v>
      </c>
      <c r="Q231" s="102">
        <f t="shared" si="5"/>
        <v>18.581</v>
      </c>
      <c r="R231" s="98">
        <v>7</v>
      </c>
      <c r="S231" s="98">
        <v>360</v>
      </c>
      <c r="T231" s="98">
        <v>360</v>
      </c>
      <c r="U231" s="98"/>
      <c r="V231" s="103"/>
      <c r="W231" s="98"/>
      <c r="X231" s="98" t="s">
        <v>1727</v>
      </c>
      <c r="Y231" s="98"/>
      <c r="Z231" s="98"/>
      <c r="AA231" s="102"/>
      <c r="AB231" s="98"/>
      <c r="AC231" s="98"/>
      <c r="AD231" s="102"/>
      <c r="AE231" s="98"/>
      <c r="AF231" s="98"/>
      <c r="AG231" s="102"/>
    </row>
    <row r="232" spans="1:33" ht="29.4" customHeight="1">
      <c r="A232" s="97">
        <v>243</v>
      </c>
      <c r="B232" s="98" t="s">
        <v>71</v>
      </c>
      <c r="C232" s="98" t="s">
        <v>1728</v>
      </c>
      <c r="D232" s="98" t="s">
        <v>1729</v>
      </c>
      <c r="E232" s="98" t="s">
        <v>105</v>
      </c>
      <c r="F232" s="98" t="s">
        <v>144</v>
      </c>
      <c r="G232" s="98">
        <v>1</v>
      </c>
      <c r="H232" s="98" t="s">
        <v>1728</v>
      </c>
      <c r="I232" s="98" t="s">
        <v>1729</v>
      </c>
      <c r="J232" s="98" t="s">
        <v>890</v>
      </c>
      <c r="K232" s="98" t="s">
        <v>930</v>
      </c>
      <c r="L232" s="98" t="s">
        <v>931</v>
      </c>
      <c r="M232" s="102">
        <v>0.33550000000000002</v>
      </c>
      <c r="N232" s="104"/>
      <c r="O232" s="101"/>
      <c r="P232" s="102">
        <v>0</v>
      </c>
      <c r="Q232" s="102">
        <f t="shared" si="5"/>
        <v>0.33550000000000002</v>
      </c>
      <c r="R232" s="98">
        <v>140</v>
      </c>
      <c r="S232" s="98">
        <v>0</v>
      </c>
      <c r="T232" s="98">
        <v>2500</v>
      </c>
      <c r="U232" s="98"/>
      <c r="V232" s="103"/>
      <c r="W232" s="98"/>
      <c r="X232" s="98" t="s">
        <v>1730</v>
      </c>
      <c r="Y232" s="98" t="s">
        <v>1731</v>
      </c>
      <c r="Z232" s="98" t="s">
        <v>1732</v>
      </c>
      <c r="AA232" s="102">
        <v>0.58299999999999996</v>
      </c>
      <c r="AB232" s="98"/>
      <c r="AC232" s="98"/>
      <c r="AD232" s="102"/>
      <c r="AE232" s="98"/>
      <c r="AF232" s="98"/>
      <c r="AG232" s="102"/>
    </row>
    <row r="233" spans="1:33" ht="29.4" customHeight="1">
      <c r="A233" s="97">
        <v>244</v>
      </c>
      <c r="B233" s="98" t="s">
        <v>71</v>
      </c>
      <c r="C233" s="98" t="s">
        <v>1733</v>
      </c>
      <c r="D233" s="98" t="s">
        <v>1734</v>
      </c>
      <c r="E233" s="98" t="s">
        <v>105</v>
      </c>
      <c r="F233" s="98" t="s">
        <v>144</v>
      </c>
      <c r="G233" s="98">
        <v>1</v>
      </c>
      <c r="H233" s="98" t="s">
        <v>1733</v>
      </c>
      <c r="I233" s="98" t="s">
        <v>1734</v>
      </c>
      <c r="J233" s="98" t="s">
        <v>543</v>
      </c>
      <c r="K233" s="98" t="s">
        <v>1735</v>
      </c>
      <c r="L233" s="98" t="s">
        <v>1736</v>
      </c>
      <c r="M233" s="102">
        <v>0.52039999999999997</v>
      </c>
      <c r="N233" s="104"/>
      <c r="O233" s="101"/>
      <c r="P233" s="102">
        <v>0</v>
      </c>
      <c r="Q233" s="102">
        <f t="shared" si="5"/>
        <v>0.52039999999999997</v>
      </c>
      <c r="R233" s="98">
        <v>56</v>
      </c>
      <c r="S233" s="98">
        <v>3000</v>
      </c>
      <c r="T233" s="98"/>
      <c r="U233" s="98"/>
      <c r="V233" s="103"/>
      <c r="W233" s="98"/>
      <c r="X233" s="98" t="s">
        <v>1737</v>
      </c>
      <c r="Y233" s="98" t="s">
        <v>1738</v>
      </c>
      <c r="Z233" s="98" t="s">
        <v>1739</v>
      </c>
      <c r="AA233" s="100">
        <v>1.3295999999999999</v>
      </c>
      <c r="AB233" s="98"/>
      <c r="AC233" s="98"/>
      <c r="AD233" s="102"/>
      <c r="AE233" s="98"/>
      <c r="AF233" s="98"/>
      <c r="AG233" s="102"/>
    </row>
    <row r="234" spans="1:33" ht="29.4" customHeight="1">
      <c r="A234" s="97">
        <v>245</v>
      </c>
      <c r="B234" s="98" t="s">
        <v>71</v>
      </c>
      <c r="C234" s="98" t="s">
        <v>1740</v>
      </c>
      <c r="D234" s="98" t="s">
        <v>1741</v>
      </c>
      <c r="E234" s="98" t="s">
        <v>105</v>
      </c>
      <c r="F234" s="98" t="s">
        <v>144</v>
      </c>
      <c r="G234" s="98">
        <v>1</v>
      </c>
      <c r="H234" s="99" t="s">
        <v>1742</v>
      </c>
      <c r="I234" s="98" t="s">
        <v>1743</v>
      </c>
      <c r="J234" s="98" t="s">
        <v>866</v>
      </c>
      <c r="K234" s="98" t="s">
        <v>1744</v>
      </c>
      <c r="L234" s="98" t="s">
        <v>1745</v>
      </c>
      <c r="M234" s="102">
        <v>0.1726</v>
      </c>
      <c r="N234" s="104"/>
      <c r="O234" s="101"/>
      <c r="P234" s="102">
        <v>0</v>
      </c>
      <c r="Q234" s="102">
        <f t="shared" si="5"/>
        <v>0.1726</v>
      </c>
      <c r="R234" s="98">
        <v>98</v>
      </c>
      <c r="S234" s="98">
        <v>1</v>
      </c>
      <c r="T234" s="98">
        <v>1</v>
      </c>
      <c r="U234" s="98"/>
      <c r="V234" s="103"/>
      <c r="W234" s="98"/>
      <c r="X234" s="98" t="s">
        <v>1746</v>
      </c>
      <c r="Y234" s="98" t="s">
        <v>1740</v>
      </c>
      <c r="Z234" s="98" t="s">
        <v>1741</v>
      </c>
      <c r="AA234" s="102">
        <v>0.63109999999999999</v>
      </c>
      <c r="AB234" s="98"/>
      <c r="AC234" s="98"/>
      <c r="AD234" s="102"/>
      <c r="AE234" s="98"/>
      <c r="AF234" s="98"/>
      <c r="AG234" s="102"/>
    </row>
    <row r="235" spans="1:33" ht="29.4" customHeight="1">
      <c r="A235" s="97">
        <v>246</v>
      </c>
      <c r="B235" s="98" t="s">
        <v>71</v>
      </c>
      <c r="C235" s="98" t="s">
        <v>1747</v>
      </c>
      <c r="D235" s="98" t="s">
        <v>1748</v>
      </c>
      <c r="E235" s="98" t="s">
        <v>105</v>
      </c>
      <c r="F235" s="98" t="s">
        <v>144</v>
      </c>
      <c r="G235" s="98">
        <v>1</v>
      </c>
      <c r="H235" s="98" t="s">
        <v>1747</v>
      </c>
      <c r="I235" s="98" t="s">
        <v>1748</v>
      </c>
      <c r="J235" s="98" t="s">
        <v>866</v>
      </c>
      <c r="K235" s="98" t="s">
        <v>1744</v>
      </c>
      <c r="L235" s="98" t="s">
        <v>1745</v>
      </c>
      <c r="M235" s="102">
        <v>8.8499999999999995E-2</v>
      </c>
      <c r="N235" s="104"/>
      <c r="O235" s="101"/>
      <c r="P235" s="102">
        <v>0</v>
      </c>
      <c r="Q235" s="102">
        <f t="shared" si="5"/>
        <v>8.8499999999999995E-2</v>
      </c>
      <c r="R235" s="98">
        <v>98</v>
      </c>
      <c r="S235" s="98">
        <v>1</v>
      </c>
      <c r="T235" s="98">
        <v>1</v>
      </c>
      <c r="U235" s="98"/>
      <c r="V235" s="103"/>
      <c r="W235" s="98"/>
      <c r="X235" s="98" t="s">
        <v>1749</v>
      </c>
      <c r="Y235" s="98" t="s">
        <v>1750</v>
      </c>
      <c r="Z235" s="98" t="s">
        <v>1751</v>
      </c>
      <c r="AA235" s="102">
        <v>9.0036000000000005E-2</v>
      </c>
      <c r="AB235" s="98"/>
      <c r="AC235" s="98"/>
      <c r="AD235" s="102"/>
      <c r="AE235" s="98"/>
      <c r="AF235" s="98"/>
      <c r="AG235" s="102"/>
    </row>
    <row r="236" spans="1:33" ht="29.4" customHeight="1">
      <c r="A236" s="97">
        <v>247</v>
      </c>
      <c r="B236" s="98" t="s">
        <v>71</v>
      </c>
      <c r="C236" s="98" t="s">
        <v>1752</v>
      </c>
      <c r="D236" s="98" t="s">
        <v>1753</v>
      </c>
      <c r="E236" s="98" t="s">
        <v>105</v>
      </c>
      <c r="F236" s="98" t="s">
        <v>144</v>
      </c>
      <c r="G236" s="98">
        <v>1</v>
      </c>
      <c r="H236" s="98" t="s">
        <v>1752</v>
      </c>
      <c r="I236" s="98" t="s">
        <v>1753</v>
      </c>
      <c r="J236" s="98" t="s">
        <v>890</v>
      </c>
      <c r="K236" s="98" t="s">
        <v>1754</v>
      </c>
      <c r="L236" s="98" t="s">
        <v>1755</v>
      </c>
      <c r="M236" s="102">
        <v>0.54450600000000005</v>
      </c>
      <c r="N236" s="104"/>
      <c r="O236" s="101"/>
      <c r="P236" s="102">
        <v>0</v>
      </c>
      <c r="Q236" s="102">
        <f t="shared" si="5"/>
        <v>0.54450600000000005</v>
      </c>
      <c r="R236" s="98">
        <v>140</v>
      </c>
      <c r="S236" s="98">
        <v>0</v>
      </c>
      <c r="T236" s="98">
        <v>3000</v>
      </c>
      <c r="U236" s="98"/>
      <c r="V236" s="103"/>
      <c r="W236" s="98"/>
      <c r="X236" s="98" t="s">
        <v>1756</v>
      </c>
      <c r="Y236" s="98"/>
      <c r="Z236" s="98"/>
      <c r="AA236" s="102"/>
      <c r="AB236" s="98"/>
      <c r="AC236" s="98"/>
      <c r="AD236" s="102"/>
      <c r="AE236" s="98"/>
      <c r="AF236" s="98"/>
      <c r="AG236" s="102"/>
    </row>
    <row r="237" spans="1:33" ht="29.4" customHeight="1">
      <c r="A237" s="97">
        <v>248</v>
      </c>
      <c r="B237" s="98" t="s">
        <v>71</v>
      </c>
      <c r="C237" s="98" t="s">
        <v>1757</v>
      </c>
      <c r="D237" s="98" t="s">
        <v>1758</v>
      </c>
      <c r="E237" s="98" t="s">
        <v>105</v>
      </c>
      <c r="F237" s="98" t="s">
        <v>157</v>
      </c>
      <c r="G237" s="98">
        <v>1</v>
      </c>
      <c r="H237" s="98" t="s">
        <v>1757</v>
      </c>
      <c r="I237" s="98" t="s">
        <v>1758</v>
      </c>
      <c r="J237" s="98" t="s">
        <v>866</v>
      </c>
      <c r="K237" s="98" t="s">
        <v>1759</v>
      </c>
      <c r="L237" s="98" t="s">
        <v>1760</v>
      </c>
      <c r="M237" s="102">
        <v>1.6815</v>
      </c>
      <c r="N237" s="104"/>
      <c r="O237" s="101"/>
      <c r="P237" s="102">
        <v>0</v>
      </c>
      <c r="Q237" s="102">
        <f t="shared" si="5"/>
        <v>1.6815</v>
      </c>
      <c r="R237" s="98">
        <v>70</v>
      </c>
      <c r="S237" s="98">
        <v>1</v>
      </c>
      <c r="T237" s="98">
        <v>1</v>
      </c>
      <c r="U237" s="98"/>
      <c r="V237" s="103"/>
      <c r="W237" s="98"/>
      <c r="X237" s="98" t="s">
        <v>1761</v>
      </c>
      <c r="Y237" s="98"/>
      <c r="Z237" s="98"/>
      <c r="AA237" s="102"/>
      <c r="AB237" s="98"/>
      <c r="AC237" s="98"/>
      <c r="AD237" s="102"/>
      <c r="AE237" s="98"/>
      <c r="AF237" s="98"/>
      <c r="AG237" s="102"/>
    </row>
    <row r="238" spans="1:33" ht="29.4" customHeight="1">
      <c r="A238" s="97">
        <v>249</v>
      </c>
      <c r="B238" s="98" t="s">
        <v>71</v>
      </c>
      <c r="C238" s="98" t="s">
        <v>1762</v>
      </c>
      <c r="D238" s="98" t="s">
        <v>1763</v>
      </c>
      <c r="E238" s="98" t="s">
        <v>105</v>
      </c>
      <c r="F238" s="98" t="s">
        <v>157</v>
      </c>
      <c r="G238" s="98">
        <v>2</v>
      </c>
      <c r="H238" s="99" t="s">
        <v>1764</v>
      </c>
      <c r="I238" s="98" t="s">
        <v>1765</v>
      </c>
      <c r="J238" s="98" t="s">
        <v>866</v>
      </c>
      <c r="K238" s="98" t="s">
        <v>1766</v>
      </c>
      <c r="L238" s="98" t="s">
        <v>1767</v>
      </c>
      <c r="M238" s="102">
        <v>0.67884599999999995</v>
      </c>
      <c r="N238" s="104"/>
      <c r="O238" s="101"/>
      <c r="P238" s="102">
        <v>0</v>
      </c>
      <c r="Q238" s="102">
        <f t="shared" si="5"/>
        <v>1.3576919999999999</v>
      </c>
      <c r="R238" s="98">
        <v>140</v>
      </c>
      <c r="S238" s="98">
        <v>6000</v>
      </c>
      <c r="T238" s="98">
        <v>1000</v>
      </c>
      <c r="U238" s="98"/>
      <c r="V238" s="103"/>
      <c r="W238" s="98"/>
      <c r="X238" s="98" t="s">
        <v>1768</v>
      </c>
      <c r="Y238" s="98" t="s">
        <v>1762</v>
      </c>
      <c r="Z238" s="98" t="s">
        <v>1763</v>
      </c>
      <c r="AA238" s="102">
        <v>0.68500000000000005</v>
      </c>
      <c r="AB238" s="98"/>
      <c r="AC238" s="98"/>
      <c r="AD238" s="102"/>
      <c r="AE238" s="98"/>
      <c r="AF238" s="98"/>
      <c r="AG238" s="102"/>
    </row>
    <row r="239" spans="1:33" ht="29.4" customHeight="1">
      <c r="A239" s="97">
        <v>250</v>
      </c>
      <c r="B239" s="98" t="s">
        <v>71</v>
      </c>
      <c r="C239" s="98" t="s">
        <v>1769</v>
      </c>
      <c r="D239" s="98" t="s">
        <v>1770</v>
      </c>
      <c r="E239" s="98" t="s">
        <v>105</v>
      </c>
      <c r="F239" s="98" t="s">
        <v>144</v>
      </c>
      <c r="G239" s="98">
        <v>1</v>
      </c>
      <c r="H239" s="98" t="s">
        <v>1769</v>
      </c>
      <c r="I239" s="98" t="s">
        <v>1770</v>
      </c>
      <c r="J239" s="98" t="s">
        <v>726</v>
      </c>
      <c r="K239" s="98" t="s">
        <v>727</v>
      </c>
      <c r="L239" s="98" t="s">
        <v>728</v>
      </c>
      <c r="M239" s="102">
        <v>0.40589999999999998</v>
      </c>
      <c r="N239" s="104"/>
      <c r="O239" s="101"/>
      <c r="P239" s="102">
        <v>0</v>
      </c>
      <c r="Q239" s="102">
        <f t="shared" si="5"/>
        <v>0.40589999999999998</v>
      </c>
      <c r="R239" s="98">
        <v>7</v>
      </c>
      <c r="S239" s="98">
        <v>1</v>
      </c>
      <c r="T239" s="98">
        <v>2500</v>
      </c>
      <c r="U239" s="98"/>
      <c r="V239" s="103"/>
      <c r="W239" s="98"/>
      <c r="X239" s="98" t="s">
        <v>1771</v>
      </c>
      <c r="Y239" s="98"/>
      <c r="Z239" s="98"/>
      <c r="AA239" s="102"/>
      <c r="AB239" s="98"/>
      <c r="AC239" s="98"/>
      <c r="AD239" s="102"/>
      <c r="AE239" s="98"/>
      <c r="AF239" s="98"/>
      <c r="AG239" s="102"/>
    </row>
    <row r="240" spans="1:33" ht="29.4" customHeight="1">
      <c r="A240" s="97">
        <v>251</v>
      </c>
      <c r="B240" s="98" t="s">
        <v>71</v>
      </c>
      <c r="C240" s="98" t="s">
        <v>1772</v>
      </c>
      <c r="D240" s="98" t="s">
        <v>1773</v>
      </c>
      <c r="E240" s="98" t="s">
        <v>105</v>
      </c>
      <c r="F240" s="98" t="s">
        <v>144</v>
      </c>
      <c r="G240" s="98">
        <v>1</v>
      </c>
      <c r="H240" s="98" t="s">
        <v>1772</v>
      </c>
      <c r="I240" s="98" t="s">
        <v>1773</v>
      </c>
      <c r="J240" s="98" t="s">
        <v>772</v>
      </c>
      <c r="K240" s="98" t="s">
        <v>1774</v>
      </c>
      <c r="L240" s="98" t="s">
        <v>1775</v>
      </c>
      <c r="M240" s="102">
        <v>0.28000000000000003</v>
      </c>
      <c r="N240" s="104"/>
      <c r="O240" s="101"/>
      <c r="P240" s="102">
        <v>0</v>
      </c>
      <c r="Q240" s="102">
        <f t="shared" si="5"/>
        <v>0.28000000000000003</v>
      </c>
      <c r="R240" s="98">
        <v>28</v>
      </c>
      <c r="S240" s="98">
        <v>0</v>
      </c>
      <c r="T240" s="98">
        <v>1000</v>
      </c>
      <c r="U240" s="98"/>
      <c r="V240" s="103"/>
      <c r="W240" s="98"/>
      <c r="X240" s="98" t="s">
        <v>1776</v>
      </c>
      <c r="Y240" s="98"/>
      <c r="Z240" s="98"/>
      <c r="AA240" s="102"/>
      <c r="AB240" s="98"/>
      <c r="AC240" s="98"/>
      <c r="AD240" s="102"/>
      <c r="AE240" s="98"/>
      <c r="AF240" s="98"/>
      <c r="AG240" s="102"/>
    </row>
    <row r="241" spans="1:33" ht="29.4" customHeight="1">
      <c r="A241" s="97">
        <v>252</v>
      </c>
      <c r="B241" s="98" t="s">
        <v>71</v>
      </c>
      <c r="C241" s="98" t="s">
        <v>1777</v>
      </c>
      <c r="D241" s="98" t="s">
        <v>1778</v>
      </c>
      <c r="E241" s="98" t="s">
        <v>105</v>
      </c>
      <c r="F241" s="98" t="s">
        <v>157</v>
      </c>
      <c r="G241" s="98">
        <v>1</v>
      </c>
      <c r="H241" s="98" t="s">
        <v>1777</v>
      </c>
      <c r="I241" s="98" t="s">
        <v>1778</v>
      </c>
      <c r="J241" s="98" t="s">
        <v>612</v>
      </c>
      <c r="K241" s="98" t="s">
        <v>1779</v>
      </c>
      <c r="L241" s="98" t="s">
        <v>1780</v>
      </c>
      <c r="M241" s="102">
        <v>4.3844000000000003</v>
      </c>
      <c r="N241" s="104"/>
      <c r="O241" s="101"/>
      <c r="P241" s="102">
        <v>0</v>
      </c>
      <c r="Q241" s="102">
        <f t="shared" si="5"/>
        <v>4.3844000000000003</v>
      </c>
      <c r="R241" s="98">
        <v>42</v>
      </c>
      <c r="S241" s="98">
        <v>2000</v>
      </c>
      <c r="T241" s="98"/>
      <c r="U241" s="98"/>
      <c r="V241" s="103"/>
      <c r="W241" s="98"/>
      <c r="X241" s="98" t="s">
        <v>1781</v>
      </c>
      <c r="Y241" s="98"/>
      <c r="Z241" s="98"/>
      <c r="AA241" s="102"/>
      <c r="AB241" s="98"/>
      <c r="AC241" s="98"/>
      <c r="AD241" s="102"/>
      <c r="AE241" s="98"/>
      <c r="AF241" s="98"/>
      <c r="AG241" s="102"/>
    </row>
    <row r="242" spans="1:33" ht="29.4" customHeight="1">
      <c r="A242" s="97">
        <v>253</v>
      </c>
      <c r="B242" s="98" t="s">
        <v>71</v>
      </c>
      <c r="C242" s="98" t="s">
        <v>1782</v>
      </c>
      <c r="D242" s="98" t="s">
        <v>1783</v>
      </c>
      <c r="E242" s="98" t="s">
        <v>105</v>
      </c>
      <c r="F242" s="98" t="s">
        <v>144</v>
      </c>
      <c r="G242" s="98">
        <v>1</v>
      </c>
      <c r="H242" s="98" t="s">
        <v>1782</v>
      </c>
      <c r="I242" s="98" t="s">
        <v>1783</v>
      </c>
      <c r="J242" s="98" t="s">
        <v>183</v>
      </c>
      <c r="K242" s="98" t="s">
        <v>1008</v>
      </c>
      <c r="L242" s="98" t="s">
        <v>1009</v>
      </c>
      <c r="M242" s="102">
        <v>0.155</v>
      </c>
      <c r="N242" s="104"/>
      <c r="O242" s="101"/>
      <c r="P242" s="102">
        <v>0</v>
      </c>
      <c r="Q242" s="102">
        <f t="shared" si="5"/>
        <v>0.155</v>
      </c>
      <c r="R242" s="98">
        <v>112</v>
      </c>
      <c r="S242" s="98">
        <v>0</v>
      </c>
      <c r="T242" s="98">
        <v>2000</v>
      </c>
      <c r="U242" s="98"/>
      <c r="V242" s="103"/>
      <c r="W242" s="98"/>
      <c r="X242" s="98" t="s">
        <v>1784</v>
      </c>
      <c r="Y242" s="98"/>
      <c r="Z242" s="98"/>
      <c r="AA242" s="102"/>
      <c r="AB242" s="98"/>
      <c r="AC242" s="98"/>
      <c r="AD242" s="102"/>
      <c r="AE242" s="98"/>
      <c r="AF242" s="98"/>
      <c r="AG242" s="102"/>
    </row>
    <row r="243" spans="1:33" ht="29.4" customHeight="1">
      <c r="A243" s="97">
        <v>254</v>
      </c>
      <c r="B243" s="98" t="s">
        <v>71</v>
      </c>
      <c r="C243" s="98" t="s">
        <v>1785</v>
      </c>
      <c r="D243" s="98" t="s">
        <v>1786</v>
      </c>
      <c r="E243" s="98" t="s">
        <v>105</v>
      </c>
      <c r="F243" s="98" t="s">
        <v>144</v>
      </c>
      <c r="G243" s="98">
        <v>1</v>
      </c>
      <c r="H243" s="98" t="s">
        <v>1785</v>
      </c>
      <c r="I243" s="98" t="s">
        <v>1786</v>
      </c>
      <c r="J243" s="98" t="s">
        <v>726</v>
      </c>
      <c r="K243" s="98" t="s">
        <v>727</v>
      </c>
      <c r="L243" s="98" t="s">
        <v>728</v>
      </c>
      <c r="M243" s="102">
        <v>0.27939999999999998</v>
      </c>
      <c r="N243" s="104">
        <v>0.34620000000000001</v>
      </c>
      <c r="O243" s="101">
        <f>(N243-M243)*G243</f>
        <v>6.6800000000000026E-2</v>
      </c>
      <c r="P243" s="102">
        <v>0</v>
      </c>
      <c r="Q243" s="102">
        <f t="shared" si="5"/>
        <v>0.27939999999999998</v>
      </c>
      <c r="R243" s="98">
        <v>7</v>
      </c>
      <c r="S243" s="98">
        <v>1000</v>
      </c>
      <c r="T243" s="98">
        <v>1000</v>
      </c>
      <c r="U243" s="98"/>
      <c r="V243" s="103"/>
      <c r="W243" s="98"/>
      <c r="X243" s="98" t="s">
        <v>908</v>
      </c>
      <c r="Y243" s="98"/>
      <c r="Z243" s="98"/>
      <c r="AA243" s="102"/>
      <c r="AB243" s="98"/>
      <c r="AC243" s="98"/>
      <c r="AD243" s="102"/>
      <c r="AE243" s="98"/>
      <c r="AF243" s="98"/>
      <c r="AG243" s="102"/>
    </row>
    <row r="244" spans="1:33" ht="29.4" customHeight="1">
      <c r="A244" s="97">
        <v>255</v>
      </c>
      <c r="B244" s="98" t="s">
        <v>71</v>
      </c>
      <c r="C244" s="98" t="s">
        <v>1787</v>
      </c>
      <c r="D244" s="98" t="s">
        <v>1788</v>
      </c>
      <c r="E244" s="98" t="s">
        <v>105</v>
      </c>
      <c r="F244" s="98" t="s">
        <v>157</v>
      </c>
      <c r="G244" s="98">
        <v>1</v>
      </c>
      <c r="H244" s="98" t="s">
        <v>1787</v>
      </c>
      <c r="I244" s="98" t="s">
        <v>1788</v>
      </c>
      <c r="J244" s="98" t="s">
        <v>612</v>
      </c>
      <c r="K244" s="98" t="s">
        <v>1779</v>
      </c>
      <c r="L244" s="98" t="s">
        <v>1780</v>
      </c>
      <c r="M244" s="102">
        <v>1.6451</v>
      </c>
      <c r="N244" s="104"/>
      <c r="O244" s="101"/>
      <c r="P244" s="102">
        <v>0</v>
      </c>
      <c r="Q244" s="102">
        <f t="shared" si="5"/>
        <v>1.6451</v>
      </c>
      <c r="R244" s="98">
        <v>35</v>
      </c>
      <c r="S244" s="98">
        <v>810</v>
      </c>
      <c r="T244" s="98"/>
      <c r="U244" s="98"/>
      <c r="V244" s="103"/>
      <c r="W244" s="98"/>
      <c r="X244" s="98" t="s">
        <v>913</v>
      </c>
      <c r="Y244" s="98"/>
      <c r="Z244" s="98"/>
      <c r="AA244" s="102"/>
      <c r="AB244" s="98"/>
      <c r="AC244" s="98"/>
      <c r="AD244" s="102"/>
      <c r="AE244" s="98"/>
      <c r="AF244" s="98"/>
      <c r="AG244" s="102"/>
    </row>
    <row r="245" spans="1:33" ht="29.4" customHeight="1">
      <c r="A245" s="97">
        <v>256</v>
      </c>
      <c r="B245" s="98" t="s">
        <v>71</v>
      </c>
      <c r="C245" s="98" t="s">
        <v>1789</v>
      </c>
      <c r="D245" s="98" t="s">
        <v>1790</v>
      </c>
      <c r="E245" s="98" t="s">
        <v>105</v>
      </c>
      <c r="F245" s="98" t="s">
        <v>157</v>
      </c>
      <c r="G245" s="98">
        <v>10</v>
      </c>
      <c r="H245" s="98" t="s">
        <v>1789</v>
      </c>
      <c r="I245" s="98" t="s">
        <v>1790</v>
      </c>
      <c r="J245" s="98" t="s">
        <v>172</v>
      </c>
      <c r="K245" s="98" t="s">
        <v>916</v>
      </c>
      <c r="L245" s="98" t="s">
        <v>917</v>
      </c>
      <c r="M245" s="102">
        <v>0.9</v>
      </c>
      <c r="N245" s="104">
        <v>1.143</v>
      </c>
      <c r="O245" s="101">
        <f>(N245-M245)*G245</f>
        <v>2.4299999999999997</v>
      </c>
      <c r="P245" s="102">
        <v>0</v>
      </c>
      <c r="Q245" s="102">
        <f t="shared" si="5"/>
        <v>9</v>
      </c>
      <c r="R245" s="98">
        <v>42</v>
      </c>
      <c r="S245" s="98">
        <v>1600</v>
      </c>
      <c r="T245" s="98">
        <v>160</v>
      </c>
      <c r="U245" s="98"/>
      <c r="V245" s="103"/>
      <c r="W245" s="98"/>
      <c r="X245" s="98" t="s">
        <v>1791</v>
      </c>
      <c r="Y245" s="98"/>
      <c r="Z245" s="98"/>
      <c r="AA245" s="102"/>
      <c r="AB245" s="98"/>
      <c r="AC245" s="98"/>
      <c r="AD245" s="102"/>
      <c r="AE245" s="98"/>
      <c r="AF245" s="98"/>
      <c r="AG245" s="102"/>
    </row>
    <row r="246" spans="1:33" ht="29.4" customHeight="1">
      <c r="A246" s="97">
        <v>257</v>
      </c>
      <c r="B246" s="98" t="s">
        <v>71</v>
      </c>
      <c r="C246" s="98" t="s">
        <v>1792</v>
      </c>
      <c r="D246" s="98" t="s">
        <v>1793</v>
      </c>
      <c r="E246" s="98" t="s">
        <v>105</v>
      </c>
      <c r="F246" s="98" t="s">
        <v>144</v>
      </c>
      <c r="G246" s="98">
        <v>1</v>
      </c>
      <c r="H246" s="99" t="s">
        <v>1794</v>
      </c>
      <c r="I246" s="98" t="s">
        <v>1795</v>
      </c>
      <c r="J246" s="98" t="s">
        <v>302</v>
      </c>
      <c r="K246" s="98" t="s">
        <v>924</v>
      </c>
      <c r="L246" s="98" t="s">
        <v>925</v>
      </c>
      <c r="M246" s="102">
        <v>1.395</v>
      </c>
      <c r="N246" s="104"/>
      <c r="O246" s="101"/>
      <c r="P246" s="102">
        <v>0</v>
      </c>
      <c r="Q246" s="102">
        <f t="shared" si="5"/>
        <v>1.395</v>
      </c>
      <c r="R246" s="98">
        <v>42</v>
      </c>
      <c r="S246" s="98">
        <v>1400</v>
      </c>
      <c r="T246" s="98"/>
      <c r="U246" s="98"/>
      <c r="V246" s="103"/>
      <c r="W246" s="98"/>
      <c r="X246" s="98" t="s">
        <v>926</v>
      </c>
      <c r="Y246" s="98" t="s">
        <v>1792</v>
      </c>
      <c r="Z246" s="98" t="s">
        <v>1793</v>
      </c>
      <c r="AA246" s="102">
        <v>1.58</v>
      </c>
      <c r="AB246" s="98"/>
      <c r="AC246" s="98"/>
      <c r="AD246" s="102"/>
      <c r="AE246" s="98"/>
      <c r="AF246" s="98"/>
      <c r="AG246" s="102"/>
    </row>
    <row r="247" spans="1:33" ht="29.4" customHeight="1">
      <c r="A247" s="97">
        <v>258</v>
      </c>
      <c r="B247" s="98" t="s">
        <v>71</v>
      </c>
      <c r="C247" s="98" t="s">
        <v>1796</v>
      </c>
      <c r="D247" s="98" t="s">
        <v>1797</v>
      </c>
      <c r="E247" s="98" t="s">
        <v>105</v>
      </c>
      <c r="F247" s="98" t="s">
        <v>144</v>
      </c>
      <c r="G247" s="98">
        <v>2</v>
      </c>
      <c r="H247" s="98" t="s">
        <v>1796</v>
      </c>
      <c r="I247" s="98" t="s">
        <v>1797</v>
      </c>
      <c r="J247" s="98" t="s">
        <v>302</v>
      </c>
      <c r="K247" s="98" t="s">
        <v>1798</v>
      </c>
      <c r="L247" s="98" t="s">
        <v>1799</v>
      </c>
      <c r="M247" s="102">
        <v>1.4158999999999999</v>
      </c>
      <c r="N247" s="104"/>
      <c r="O247" s="101"/>
      <c r="P247" s="102">
        <v>0</v>
      </c>
      <c r="Q247" s="102">
        <f t="shared" si="5"/>
        <v>2.8317999999999999</v>
      </c>
      <c r="R247" s="98">
        <v>21</v>
      </c>
      <c r="S247" s="98">
        <v>5000</v>
      </c>
      <c r="T247" s="98"/>
      <c r="U247" s="98"/>
      <c r="V247" s="103"/>
      <c r="W247" s="98"/>
      <c r="X247" s="98" t="s">
        <v>1800</v>
      </c>
      <c r="Y247" s="98" t="s">
        <v>1801</v>
      </c>
      <c r="Z247" s="98" t="s">
        <v>1802</v>
      </c>
      <c r="AA247" s="100">
        <v>1.4593</v>
      </c>
      <c r="AB247" s="98"/>
      <c r="AC247" s="98"/>
      <c r="AD247" s="102"/>
      <c r="AE247" s="98"/>
      <c r="AF247" s="98"/>
      <c r="AG247" s="102"/>
    </row>
    <row r="248" spans="1:33" ht="29.4" customHeight="1">
      <c r="A248" s="97">
        <v>259</v>
      </c>
      <c r="B248" s="98" t="s">
        <v>71</v>
      </c>
      <c r="C248" s="98" t="s">
        <v>1803</v>
      </c>
      <c r="D248" s="98" t="s">
        <v>1804</v>
      </c>
      <c r="E248" s="98" t="s">
        <v>105</v>
      </c>
      <c r="F248" s="98" t="s">
        <v>157</v>
      </c>
      <c r="G248" s="98">
        <v>1</v>
      </c>
      <c r="H248" s="98" t="s">
        <v>1803</v>
      </c>
      <c r="I248" s="98" t="s">
        <v>1804</v>
      </c>
      <c r="J248" s="98" t="s">
        <v>108</v>
      </c>
      <c r="K248" s="98" t="s">
        <v>1805</v>
      </c>
      <c r="L248" s="98" t="s">
        <v>1806</v>
      </c>
      <c r="M248" s="102">
        <v>0.26319999999999999</v>
      </c>
      <c r="N248" s="104"/>
      <c r="O248" s="101"/>
      <c r="P248" s="102">
        <v>0</v>
      </c>
      <c r="Q248" s="102">
        <f t="shared" si="5"/>
        <v>0.26319999999999999</v>
      </c>
      <c r="R248" s="98">
        <v>21</v>
      </c>
      <c r="S248" s="98">
        <v>1</v>
      </c>
      <c r="T248" s="98"/>
      <c r="U248" s="98"/>
      <c r="V248" s="103"/>
      <c r="W248" s="98"/>
      <c r="X248" s="98" t="s">
        <v>1807</v>
      </c>
      <c r="Y248" s="98"/>
      <c r="Z248" s="98"/>
      <c r="AA248" s="102"/>
      <c r="AB248" s="98"/>
      <c r="AC248" s="98"/>
      <c r="AD248" s="102"/>
      <c r="AE248" s="98"/>
      <c r="AF248" s="98"/>
      <c r="AG248" s="102"/>
    </row>
    <row r="249" spans="1:33" ht="29.4" customHeight="1">
      <c r="A249" s="97">
        <v>260</v>
      </c>
      <c r="B249" s="98" t="s">
        <v>71</v>
      </c>
      <c r="C249" s="98" t="s">
        <v>1808</v>
      </c>
      <c r="D249" s="98" t="s">
        <v>1809</v>
      </c>
      <c r="E249" s="98" t="s">
        <v>105</v>
      </c>
      <c r="F249" s="98" t="s">
        <v>157</v>
      </c>
      <c r="G249" s="98">
        <v>2</v>
      </c>
      <c r="H249" s="98" t="s">
        <v>1808</v>
      </c>
      <c r="I249" s="98" t="s">
        <v>1809</v>
      </c>
      <c r="J249" s="98" t="s">
        <v>1022</v>
      </c>
      <c r="K249" s="98" t="s">
        <v>1063</v>
      </c>
      <c r="L249" s="98" t="s">
        <v>1064</v>
      </c>
      <c r="M249" s="102">
        <v>7.6999999999999999E-2</v>
      </c>
      <c r="N249" s="104"/>
      <c r="O249" s="101"/>
      <c r="P249" s="102">
        <v>0</v>
      </c>
      <c r="Q249" s="102">
        <f t="shared" si="5"/>
        <v>0.154</v>
      </c>
      <c r="R249" s="98">
        <v>28</v>
      </c>
      <c r="S249" s="98">
        <v>0</v>
      </c>
      <c r="T249" s="98">
        <v>1000</v>
      </c>
      <c r="U249" s="98"/>
      <c r="V249" s="103"/>
      <c r="W249" s="98"/>
      <c r="X249" s="98" t="s">
        <v>1810</v>
      </c>
      <c r="Y249" s="98"/>
      <c r="Z249" s="98"/>
      <c r="AA249" s="102"/>
      <c r="AB249" s="98"/>
      <c r="AC249" s="98"/>
      <c r="AD249" s="102"/>
      <c r="AE249" s="98"/>
      <c r="AF249" s="98"/>
      <c r="AG249" s="102"/>
    </row>
    <row r="250" spans="1:33" ht="29.4" customHeight="1">
      <c r="A250" s="97">
        <v>261</v>
      </c>
      <c r="B250" s="98" t="s">
        <v>71</v>
      </c>
      <c r="C250" s="98" t="s">
        <v>1811</v>
      </c>
      <c r="D250" s="98" t="s">
        <v>1812</v>
      </c>
      <c r="E250" s="98" t="s">
        <v>105</v>
      </c>
      <c r="F250" s="98" t="s">
        <v>157</v>
      </c>
      <c r="G250" s="98">
        <v>1</v>
      </c>
      <c r="H250" s="98" t="s">
        <v>1811</v>
      </c>
      <c r="I250" s="98" t="s">
        <v>1812</v>
      </c>
      <c r="J250" s="98" t="s">
        <v>1022</v>
      </c>
      <c r="K250" s="98" t="s">
        <v>1063</v>
      </c>
      <c r="L250" s="98" t="s">
        <v>1064</v>
      </c>
      <c r="M250" s="102">
        <v>6.9199999999999998E-2</v>
      </c>
      <c r="N250" s="104"/>
      <c r="O250" s="101"/>
      <c r="P250" s="102">
        <v>0</v>
      </c>
      <c r="Q250" s="102">
        <f t="shared" si="5"/>
        <v>6.9199999999999998E-2</v>
      </c>
      <c r="R250" s="98">
        <v>28</v>
      </c>
      <c r="S250" s="98">
        <v>0</v>
      </c>
      <c r="T250" s="98">
        <v>1000</v>
      </c>
      <c r="U250" s="98"/>
      <c r="V250" s="103"/>
      <c r="W250" s="98"/>
      <c r="X250" s="98" t="s">
        <v>1813</v>
      </c>
      <c r="Y250" s="98"/>
      <c r="Z250" s="98"/>
      <c r="AA250" s="102"/>
      <c r="AB250" s="98"/>
      <c r="AC250" s="98"/>
      <c r="AD250" s="102"/>
      <c r="AE250" s="98"/>
      <c r="AF250" s="98"/>
      <c r="AG250" s="102"/>
    </row>
    <row r="251" spans="1:33" ht="29.4" customHeight="1">
      <c r="A251" s="97">
        <v>262</v>
      </c>
      <c r="B251" s="98" t="s">
        <v>71</v>
      </c>
      <c r="C251" s="98" t="s">
        <v>1814</v>
      </c>
      <c r="D251" s="98" t="s">
        <v>1815</v>
      </c>
      <c r="E251" s="98" t="s">
        <v>105</v>
      </c>
      <c r="F251" s="98" t="s">
        <v>157</v>
      </c>
      <c r="G251" s="98">
        <v>1</v>
      </c>
      <c r="H251" s="98" t="s">
        <v>1814</v>
      </c>
      <c r="I251" s="98" t="s">
        <v>1815</v>
      </c>
      <c r="J251" s="98" t="s">
        <v>543</v>
      </c>
      <c r="K251" s="98" t="s">
        <v>1072</v>
      </c>
      <c r="L251" s="98" t="s">
        <v>1073</v>
      </c>
      <c r="M251" s="102">
        <v>0.1</v>
      </c>
      <c r="N251" s="104"/>
      <c r="O251" s="101"/>
      <c r="P251" s="102">
        <v>0</v>
      </c>
      <c r="Q251" s="102">
        <f t="shared" si="5"/>
        <v>0.1</v>
      </c>
      <c r="R251" s="98">
        <v>28</v>
      </c>
      <c r="S251" s="98">
        <v>5000</v>
      </c>
      <c r="T251" s="98">
        <v>1000</v>
      </c>
      <c r="U251" s="98"/>
      <c r="V251" s="103"/>
      <c r="W251" s="98"/>
      <c r="X251" s="98" t="s">
        <v>1816</v>
      </c>
      <c r="Y251" s="98"/>
      <c r="Z251" s="98"/>
      <c r="AA251" s="102"/>
      <c r="AB251" s="98"/>
      <c r="AC251" s="98"/>
      <c r="AD251" s="102"/>
      <c r="AE251" s="98"/>
      <c r="AF251" s="98"/>
      <c r="AG251" s="102"/>
    </row>
    <row r="252" spans="1:33" ht="29.4" customHeight="1">
      <c r="A252" s="97">
        <v>263</v>
      </c>
      <c r="B252" s="98" t="s">
        <v>71</v>
      </c>
      <c r="C252" s="98" t="s">
        <v>1817</v>
      </c>
      <c r="D252" s="98" t="s">
        <v>1818</v>
      </c>
      <c r="E252" s="98" t="s">
        <v>105</v>
      </c>
      <c r="F252" s="98" t="s">
        <v>157</v>
      </c>
      <c r="G252" s="98">
        <v>1</v>
      </c>
      <c r="H252" s="98" t="s">
        <v>1817</v>
      </c>
      <c r="I252" s="98" t="s">
        <v>1818</v>
      </c>
      <c r="J252" s="98" t="s">
        <v>543</v>
      </c>
      <c r="K252" s="98" t="s">
        <v>1072</v>
      </c>
      <c r="L252" s="98" t="s">
        <v>1073</v>
      </c>
      <c r="M252" s="102">
        <v>5.5399999999999998E-2</v>
      </c>
      <c r="N252" s="104"/>
      <c r="O252" s="101"/>
      <c r="P252" s="102">
        <v>0</v>
      </c>
      <c r="Q252" s="102">
        <f t="shared" si="5"/>
        <v>5.5399999999999998E-2</v>
      </c>
      <c r="R252" s="98">
        <v>28</v>
      </c>
      <c r="S252" s="98">
        <v>5000</v>
      </c>
      <c r="T252" s="98">
        <v>1000</v>
      </c>
      <c r="U252" s="98"/>
      <c r="V252" s="103"/>
      <c r="W252" s="98"/>
      <c r="X252" s="98" t="s">
        <v>1819</v>
      </c>
      <c r="Y252" s="98"/>
      <c r="Z252" s="98"/>
      <c r="AA252" s="102"/>
      <c r="AB252" s="98"/>
      <c r="AC252" s="98"/>
      <c r="AD252" s="102"/>
      <c r="AE252" s="98"/>
      <c r="AF252" s="98"/>
      <c r="AG252" s="102"/>
    </row>
    <row r="253" spans="1:33" ht="29.4" customHeight="1">
      <c r="A253" s="97">
        <v>264</v>
      </c>
      <c r="B253" s="98" t="s">
        <v>71</v>
      </c>
      <c r="C253" s="98" t="s">
        <v>1820</v>
      </c>
      <c r="D253" s="98" t="s">
        <v>1821</v>
      </c>
      <c r="E253" s="98" t="s">
        <v>105</v>
      </c>
      <c r="F253" s="98" t="s">
        <v>157</v>
      </c>
      <c r="G253" s="98">
        <v>1</v>
      </c>
      <c r="H253" s="98" t="s">
        <v>1820</v>
      </c>
      <c r="I253" s="98" t="s">
        <v>1821</v>
      </c>
      <c r="J253" s="98" t="s">
        <v>1022</v>
      </c>
      <c r="K253" s="98" t="s">
        <v>1063</v>
      </c>
      <c r="L253" s="98" t="s">
        <v>1064</v>
      </c>
      <c r="M253" s="102">
        <v>8.9499999999999996E-2</v>
      </c>
      <c r="N253" s="104"/>
      <c r="O253" s="101"/>
      <c r="P253" s="102">
        <v>0</v>
      </c>
      <c r="Q253" s="102">
        <f t="shared" si="5"/>
        <v>8.9499999999999996E-2</v>
      </c>
      <c r="R253" s="98">
        <v>28</v>
      </c>
      <c r="S253" s="98">
        <v>0</v>
      </c>
      <c r="T253" s="98">
        <v>1000</v>
      </c>
      <c r="U253" s="98"/>
      <c r="V253" s="103"/>
      <c r="W253" s="98"/>
      <c r="X253" s="98" t="s">
        <v>1822</v>
      </c>
      <c r="Y253" s="98" t="s">
        <v>1823</v>
      </c>
      <c r="Z253" s="98" t="s">
        <v>1824</v>
      </c>
      <c r="AA253" s="102">
        <v>9.5500000000000002E-2</v>
      </c>
      <c r="AB253" s="98"/>
      <c r="AC253" s="98"/>
      <c r="AD253" s="102"/>
      <c r="AE253" s="98"/>
      <c r="AF253" s="98"/>
      <c r="AG253" s="102"/>
    </row>
    <row r="254" spans="1:33" ht="29.4" customHeight="1">
      <c r="A254" s="97">
        <v>265</v>
      </c>
      <c r="B254" s="98" t="s">
        <v>71</v>
      </c>
      <c r="C254" s="98" t="s">
        <v>1825</v>
      </c>
      <c r="D254" s="98" t="s">
        <v>1826</v>
      </c>
      <c r="E254" s="98" t="s">
        <v>105</v>
      </c>
      <c r="F254" s="98" t="s">
        <v>157</v>
      </c>
      <c r="G254" s="98">
        <v>1</v>
      </c>
      <c r="H254" s="98" t="s">
        <v>1825</v>
      </c>
      <c r="I254" s="98" t="s">
        <v>1826</v>
      </c>
      <c r="J254" s="98" t="s">
        <v>543</v>
      </c>
      <c r="K254" s="98" t="s">
        <v>1072</v>
      </c>
      <c r="L254" s="98" t="s">
        <v>1073</v>
      </c>
      <c r="M254" s="102">
        <v>8.9499999999999996E-2</v>
      </c>
      <c r="N254" s="104"/>
      <c r="O254" s="101"/>
      <c r="P254" s="102">
        <v>0</v>
      </c>
      <c r="Q254" s="102">
        <f t="shared" si="5"/>
        <v>8.9499999999999996E-2</v>
      </c>
      <c r="R254" s="98">
        <v>28</v>
      </c>
      <c r="S254" s="98">
        <v>5000</v>
      </c>
      <c r="T254" s="98">
        <v>1000</v>
      </c>
      <c r="U254" s="98"/>
      <c r="V254" s="103"/>
      <c r="W254" s="98"/>
      <c r="X254" s="98" t="s">
        <v>1827</v>
      </c>
      <c r="Y254" s="98"/>
      <c r="Z254" s="98"/>
      <c r="AA254" s="102"/>
      <c r="AB254" s="98"/>
      <c r="AC254" s="98"/>
      <c r="AD254" s="102"/>
      <c r="AE254" s="98"/>
      <c r="AF254" s="98"/>
      <c r="AG254" s="102"/>
    </row>
    <row r="255" spans="1:33" ht="29.4" customHeight="1">
      <c r="A255" s="97">
        <v>266</v>
      </c>
      <c r="B255" s="98" t="s">
        <v>71</v>
      </c>
      <c r="C255" s="98" t="s">
        <v>1828</v>
      </c>
      <c r="D255" s="98" t="s">
        <v>1829</v>
      </c>
      <c r="E255" s="98" t="s">
        <v>105</v>
      </c>
      <c r="F255" s="98" t="s">
        <v>157</v>
      </c>
      <c r="G255" s="98">
        <v>1</v>
      </c>
      <c r="H255" s="99" t="s">
        <v>1830</v>
      </c>
      <c r="I255" s="98" t="s">
        <v>1831</v>
      </c>
      <c r="J255" s="98" t="s">
        <v>543</v>
      </c>
      <c r="K255" s="98" t="s">
        <v>1072</v>
      </c>
      <c r="L255" s="98" t="s">
        <v>1073</v>
      </c>
      <c r="M255" s="102">
        <v>0.16</v>
      </c>
      <c r="N255" s="104"/>
      <c r="O255" s="101"/>
      <c r="P255" s="102">
        <v>0</v>
      </c>
      <c r="Q255" s="102">
        <f t="shared" si="5"/>
        <v>0.16</v>
      </c>
      <c r="R255" s="98">
        <v>28</v>
      </c>
      <c r="S255" s="98">
        <v>10000</v>
      </c>
      <c r="T255" s="98">
        <v>1000</v>
      </c>
      <c r="U255" s="98"/>
      <c r="V255" s="103"/>
      <c r="W255" s="98"/>
      <c r="X255" s="98" t="s">
        <v>1832</v>
      </c>
      <c r="Y255" s="98" t="s">
        <v>1828</v>
      </c>
      <c r="Z255" s="98" t="s">
        <v>1829</v>
      </c>
      <c r="AA255" s="105">
        <v>0.26</v>
      </c>
      <c r="AB255" s="98"/>
      <c r="AC255" s="98"/>
      <c r="AD255" s="102"/>
      <c r="AE255" s="98"/>
      <c r="AF255" s="98"/>
      <c r="AG255" s="102"/>
    </row>
    <row r="256" spans="1:33" ht="29.4" customHeight="1">
      <c r="A256" s="97">
        <v>267</v>
      </c>
      <c r="B256" s="98" t="s">
        <v>71</v>
      </c>
      <c r="C256" s="98" t="s">
        <v>1833</v>
      </c>
      <c r="D256" s="98" t="s">
        <v>1834</v>
      </c>
      <c r="E256" s="98" t="s">
        <v>105</v>
      </c>
      <c r="F256" s="98" t="s">
        <v>157</v>
      </c>
      <c r="G256" s="98">
        <v>1</v>
      </c>
      <c r="H256" s="99" t="s">
        <v>1835</v>
      </c>
      <c r="I256" s="98" t="s">
        <v>1836</v>
      </c>
      <c r="J256" s="98" t="s">
        <v>543</v>
      </c>
      <c r="K256" s="98" t="s">
        <v>941</v>
      </c>
      <c r="L256" s="98" t="s">
        <v>942</v>
      </c>
      <c r="M256" s="102">
        <v>4.4900000000000002E-2</v>
      </c>
      <c r="N256" s="104"/>
      <c r="O256" s="101"/>
      <c r="P256" s="102">
        <v>0</v>
      </c>
      <c r="Q256" s="102">
        <f t="shared" si="5"/>
        <v>4.4900000000000002E-2</v>
      </c>
      <c r="R256" s="98">
        <v>21</v>
      </c>
      <c r="S256" s="98">
        <v>1000</v>
      </c>
      <c r="T256" s="98"/>
      <c r="U256" s="98"/>
      <c r="V256" s="103"/>
      <c r="W256" s="98"/>
      <c r="X256" s="98" t="s">
        <v>1837</v>
      </c>
      <c r="Y256" s="98" t="s">
        <v>1833</v>
      </c>
      <c r="Z256" s="98" t="s">
        <v>1834</v>
      </c>
      <c r="AA256" s="102">
        <v>4.4999999999999998E-2</v>
      </c>
      <c r="AB256" s="98"/>
      <c r="AC256" s="98"/>
      <c r="AD256" s="102"/>
      <c r="AE256" s="98"/>
      <c r="AF256" s="98"/>
      <c r="AG256" s="102"/>
    </row>
    <row r="257" spans="1:33" ht="29.4" customHeight="1">
      <c r="A257" s="97">
        <v>268</v>
      </c>
      <c r="B257" s="98" t="s">
        <v>71</v>
      </c>
      <c r="C257" s="98" t="s">
        <v>1838</v>
      </c>
      <c r="D257" s="98" t="s">
        <v>1839</v>
      </c>
      <c r="E257" s="98" t="s">
        <v>105</v>
      </c>
      <c r="F257" s="98" t="s">
        <v>157</v>
      </c>
      <c r="G257" s="98">
        <v>1</v>
      </c>
      <c r="H257" s="99" t="s">
        <v>1840</v>
      </c>
      <c r="I257" s="98" t="s">
        <v>1841</v>
      </c>
      <c r="J257" s="98" t="s">
        <v>543</v>
      </c>
      <c r="K257" s="98" t="s">
        <v>941</v>
      </c>
      <c r="L257" s="98" t="s">
        <v>942</v>
      </c>
      <c r="M257" s="102">
        <v>7.85E-2</v>
      </c>
      <c r="N257" s="104"/>
      <c r="O257" s="101"/>
      <c r="P257" s="102">
        <v>0</v>
      </c>
      <c r="Q257" s="102">
        <f t="shared" si="5"/>
        <v>7.85E-2</v>
      </c>
      <c r="R257" s="98">
        <v>28</v>
      </c>
      <c r="S257" s="98">
        <v>1000</v>
      </c>
      <c r="T257" s="98"/>
      <c r="U257" s="98"/>
      <c r="V257" s="103"/>
      <c r="W257" s="98"/>
      <c r="X257" s="98" t="s">
        <v>1842</v>
      </c>
      <c r="Y257" s="98" t="s">
        <v>1838</v>
      </c>
      <c r="Z257" s="98" t="s">
        <v>1839</v>
      </c>
      <c r="AA257" s="102">
        <v>8.4000000000000005E-2</v>
      </c>
      <c r="AB257" s="98"/>
      <c r="AC257" s="98"/>
      <c r="AD257" s="102"/>
      <c r="AE257" s="98"/>
      <c r="AF257" s="98"/>
      <c r="AG257" s="102"/>
    </row>
    <row r="258" spans="1:33" ht="29.4" customHeight="1">
      <c r="A258" s="97">
        <v>269</v>
      </c>
      <c r="B258" s="98" t="s">
        <v>71</v>
      </c>
      <c r="C258" s="98" t="s">
        <v>1843</v>
      </c>
      <c r="D258" s="98" t="s">
        <v>1844</v>
      </c>
      <c r="E258" s="98" t="s">
        <v>105</v>
      </c>
      <c r="F258" s="98" t="s">
        <v>157</v>
      </c>
      <c r="G258" s="98">
        <v>1</v>
      </c>
      <c r="H258" s="99" t="s">
        <v>1845</v>
      </c>
      <c r="I258" s="98" t="s">
        <v>1846</v>
      </c>
      <c r="J258" s="98" t="s">
        <v>543</v>
      </c>
      <c r="K258" s="98" t="s">
        <v>941</v>
      </c>
      <c r="L258" s="98" t="s">
        <v>942</v>
      </c>
      <c r="M258" s="102">
        <v>0.1176</v>
      </c>
      <c r="N258" s="104"/>
      <c r="O258" s="101"/>
      <c r="P258" s="102">
        <v>0</v>
      </c>
      <c r="Q258" s="102">
        <f t="shared" si="5"/>
        <v>0.1176</v>
      </c>
      <c r="R258" s="98">
        <v>21</v>
      </c>
      <c r="S258" s="98">
        <v>1000</v>
      </c>
      <c r="T258" s="98"/>
      <c r="U258" s="98"/>
      <c r="V258" s="103"/>
      <c r="W258" s="98"/>
      <c r="X258" s="98" t="s">
        <v>1847</v>
      </c>
      <c r="Y258" s="98" t="s">
        <v>1843</v>
      </c>
      <c r="Z258" s="98" t="s">
        <v>1844</v>
      </c>
      <c r="AA258" s="102">
        <v>0.126</v>
      </c>
      <c r="AB258" s="98"/>
      <c r="AC258" s="98"/>
      <c r="AD258" s="102"/>
      <c r="AE258" s="98"/>
      <c r="AF258" s="98"/>
      <c r="AG258" s="102"/>
    </row>
    <row r="259" spans="1:33" ht="29.4" customHeight="1">
      <c r="A259" s="97">
        <v>270</v>
      </c>
      <c r="B259" s="98" t="s">
        <v>71</v>
      </c>
      <c r="C259" s="98" t="s">
        <v>1848</v>
      </c>
      <c r="D259" s="98" t="s">
        <v>1849</v>
      </c>
      <c r="E259" s="98" t="s">
        <v>105</v>
      </c>
      <c r="F259" s="98" t="s">
        <v>157</v>
      </c>
      <c r="G259" s="98">
        <v>1</v>
      </c>
      <c r="H259" s="98" t="s">
        <v>1848</v>
      </c>
      <c r="I259" s="98" t="s">
        <v>1849</v>
      </c>
      <c r="J259" s="98" t="s">
        <v>543</v>
      </c>
      <c r="K259" s="98" t="s">
        <v>1072</v>
      </c>
      <c r="L259" s="98" t="s">
        <v>1073</v>
      </c>
      <c r="M259" s="102">
        <v>0.16800000000000001</v>
      </c>
      <c r="N259" s="104"/>
      <c r="O259" s="101"/>
      <c r="P259" s="102">
        <v>0</v>
      </c>
      <c r="Q259" s="102">
        <f t="shared" si="5"/>
        <v>0.16800000000000001</v>
      </c>
      <c r="R259" s="98">
        <v>28</v>
      </c>
      <c r="S259" s="98">
        <v>5000</v>
      </c>
      <c r="T259" s="98">
        <v>1000</v>
      </c>
      <c r="U259" s="98"/>
      <c r="V259" s="103"/>
      <c r="W259" s="98"/>
      <c r="X259" s="98" t="s">
        <v>1850</v>
      </c>
      <c r="Y259" s="98"/>
      <c r="Z259" s="98"/>
      <c r="AA259" s="102"/>
      <c r="AB259" s="98"/>
      <c r="AC259" s="98"/>
      <c r="AD259" s="102"/>
      <c r="AE259" s="98"/>
      <c r="AF259" s="98"/>
      <c r="AG259" s="102"/>
    </row>
    <row r="260" spans="1:33" ht="29.4" customHeight="1">
      <c r="A260" s="97">
        <v>271</v>
      </c>
      <c r="B260" s="98" t="s">
        <v>71</v>
      </c>
      <c r="C260" s="98" t="s">
        <v>1851</v>
      </c>
      <c r="D260" s="98" t="s">
        <v>1852</v>
      </c>
      <c r="E260" s="98" t="s">
        <v>105</v>
      </c>
      <c r="F260" s="98" t="s">
        <v>157</v>
      </c>
      <c r="G260" s="98">
        <v>1</v>
      </c>
      <c r="H260" s="99" t="s">
        <v>1853</v>
      </c>
      <c r="I260" s="98" t="s">
        <v>1854</v>
      </c>
      <c r="J260" s="98" t="s">
        <v>543</v>
      </c>
      <c r="K260" s="98" t="s">
        <v>941</v>
      </c>
      <c r="L260" s="98" t="s">
        <v>942</v>
      </c>
      <c r="M260" s="102">
        <v>0.1961</v>
      </c>
      <c r="N260" s="104"/>
      <c r="O260" s="101"/>
      <c r="P260" s="102">
        <v>0</v>
      </c>
      <c r="Q260" s="102">
        <f t="shared" si="5"/>
        <v>0.1961</v>
      </c>
      <c r="R260" s="98">
        <v>28</v>
      </c>
      <c r="S260" s="98">
        <v>1000</v>
      </c>
      <c r="T260" s="98"/>
      <c r="U260" s="98"/>
      <c r="V260" s="103"/>
      <c r="W260" s="98"/>
      <c r="X260" s="98" t="s">
        <v>1855</v>
      </c>
      <c r="Y260" s="98" t="s">
        <v>1851</v>
      </c>
      <c r="Z260" s="98" t="s">
        <v>1852</v>
      </c>
      <c r="AA260" s="102">
        <v>0.45400000000000001</v>
      </c>
      <c r="AB260" s="98"/>
      <c r="AC260" s="98"/>
      <c r="AD260" s="102"/>
      <c r="AE260" s="98"/>
      <c r="AF260" s="98"/>
      <c r="AG260" s="102"/>
    </row>
    <row r="261" spans="1:33" ht="29.4" customHeight="1">
      <c r="A261" s="97">
        <v>272</v>
      </c>
      <c r="B261" s="98" t="s">
        <v>71</v>
      </c>
      <c r="C261" s="98" t="s">
        <v>1856</v>
      </c>
      <c r="D261" s="98" t="s">
        <v>1857</v>
      </c>
      <c r="E261" s="98" t="s">
        <v>105</v>
      </c>
      <c r="F261" s="98" t="s">
        <v>157</v>
      </c>
      <c r="G261" s="98">
        <v>1</v>
      </c>
      <c r="H261" s="98" t="s">
        <v>1856</v>
      </c>
      <c r="I261" s="98" t="s">
        <v>1857</v>
      </c>
      <c r="J261" s="98" t="s">
        <v>1022</v>
      </c>
      <c r="K261" s="98" t="s">
        <v>1063</v>
      </c>
      <c r="L261" s="98" t="s">
        <v>1064</v>
      </c>
      <c r="M261" s="102">
        <v>8.2000000000000003E-2</v>
      </c>
      <c r="N261" s="104"/>
      <c r="O261" s="101"/>
      <c r="P261" s="102">
        <v>0</v>
      </c>
      <c r="Q261" s="102">
        <f t="shared" ref="Q261:Q276" si="7">G261*M261</f>
        <v>8.2000000000000003E-2</v>
      </c>
      <c r="R261" s="98">
        <v>28</v>
      </c>
      <c r="S261" s="98">
        <v>0</v>
      </c>
      <c r="T261" s="98">
        <v>1000</v>
      </c>
      <c r="U261" s="98"/>
      <c r="V261" s="103"/>
      <c r="W261" s="98"/>
      <c r="X261" s="98" t="s">
        <v>1858</v>
      </c>
      <c r="Y261" s="98" t="s">
        <v>1859</v>
      </c>
      <c r="Z261" s="98" t="s">
        <v>1860</v>
      </c>
      <c r="AA261" s="102">
        <v>8.2000000000000003E-2</v>
      </c>
      <c r="AB261" s="98"/>
      <c r="AC261" s="98"/>
      <c r="AD261" s="102"/>
      <c r="AE261" s="98"/>
      <c r="AF261" s="98"/>
      <c r="AG261" s="102"/>
    </row>
    <row r="262" spans="1:33" ht="29.4" customHeight="1">
      <c r="A262" s="97">
        <v>273</v>
      </c>
      <c r="B262" s="98" t="s">
        <v>71</v>
      </c>
      <c r="C262" s="98" t="s">
        <v>1861</v>
      </c>
      <c r="D262" s="98" t="s">
        <v>1862</v>
      </c>
      <c r="E262" s="98" t="s">
        <v>105</v>
      </c>
      <c r="F262" s="98" t="s">
        <v>157</v>
      </c>
      <c r="G262" s="98">
        <v>2</v>
      </c>
      <c r="H262" s="98" t="s">
        <v>1861</v>
      </c>
      <c r="I262" s="98" t="s">
        <v>1862</v>
      </c>
      <c r="J262" s="98" t="s">
        <v>543</v>
      </c>
      <c r="K262" s="98" t="s">
        <v>1072</v>
      </c>
      <c r="L262" s="98" t="s">
        <v>1073</v>
      </c>
      <c r="M262" s="102">
        <v>9.1999999999999998E-2</v>
      </c>
      <c r="N262" s="104"/>
      <c r="O262" s="101"/>
      <c r="P262" s="102">
        <v>0</v>
      </c>
      <c r="Q262" s="102">
        <f t="shared" si="7"/>
        <v>0.184</v>
      </c>
      <c r="R262" s="98">
        <v>28</v>
      </c>
      <c r="S262" s="98">
        <v>5000</v>
      </c>
      <c r="T262" s="98">
        <v>1000</v>
      </c>
      <c r="U262" s="98"/>
      <c r="V262" s="103"/>
      <c r="W262" s="98"/>
      <c r="X262" s="98" t="s">
        <v>1863</v>
      </c>
      <c r="Y262" s="98" t="s">
        <v>1864</v>
      </c>
      <c r="Z262" s="98" t="s">
        <v>1865</v>
      </c>
      <c r="AA262" s="102">
        <v>0.105</v>
      </c>
      <c r="AB262" s="98"/>
      <c r="AC262" s="98"/>
      <c r="AD262" s="102"/>
      <c r="AE262" s="98"/>
      <c r="AF262" s="98"/>
      <c r="AG262" s="102"/>
    </row>
    <row r="263" spans="1:33" ht="29.4" customHeight="1">
      <c r="A263" s="97">
        <v>274</v>
      </c>
      <c r="B263" s="98" t="s">
        <v>71</v>
      </c>
      <c r="C263" s="98" t="s">
        <v>1866</v>
      </c>
      <c r="D263" s="98" t="s">
        <v>1867</v>
      </c>
      <c r="E263" s="98" t="s">
        <v>105</v>
      </c>
      <c r="F263" s="98" t="s">
        <v>157</v>
      </c>
      <c r="G263" s="98">
        <v>1</v>
      </c>
      <c r="H263" s="98" t="s">
        <v>1866</v>
      </c>
      <c r="I263" s="98" t="s">
        <v>1867</v>
      </c>
      <c r="J263" s="98" t="s">
        <v>543</v>
      </c>
      <c r="K263" s="98" t="s">
        <v>1072</v>
      </c>
      <c r="L263" s="98" t="s">
        <v>1073</v>
      </c>
      <c r="M263" s="102">
        <v>8.9499999999999996E-2</v>
      </c>
      <c r="N263" s="104"/>
      <c r="O263" s="101"/>
      <c r="P263" s="102">
        <v>0</v>
      </c>
      <c r="Q263" s="102">
        <f t="shared" si="7"/>
        <v>8.9499999999999996E-2</v>
      </c>
      <c r="R263" s="98">
        <v>28</v>
      </c>
      <c r="S263" s="98">
        <v>5000</v>
      </c>
      <c r="T263" s="98">
        <v>1000</v>
      </c>
      <c r="U263" s="98"/>
      <c r="V263" s="103"/>
      <c r="W263" s="98"/>
      <c r="X263" s="98" t="s">
        <v>1868</v>
      </c>
      <c r="Y263" s="98"/>
      <c r="Z263" s="98"/>
      <c r="AA263" s="102"/>
      <c r="AB263" s="98"/>
      <c r="AC263" s="98"/>
      <c r="AD263" s="102"/>
      <c r="AE263" s="98"/>
      <c r="AF263" s="98"/>
      <c r="AG263" s="102"/>
    </row>
    <row r="264" spans="1:33" ht="29.4" customHeight="1">
      <c r="A264" s="97">
        <v>275</v>
      </c>
      <c r="B264" s="98" t="s">
        <v>71</v>
      </c>
      <c r="C264" s="98" t="s">
        <v>1869</v>
      </c>
      <c r="D264" s="98" t="s">
        <v>1870</v>
      </c>
      <c r="E264" s="98" t="s">
        <v>105</v>
      </c>
      <c r="F264" s="98" t="s">
        <v>157</v>
      </c>
      <c r="G264" s="98">
        <v>1</v>
      </c>
      <c r="H264" s="98" t="s">
        <v>1869</v>
      </c>
      <c r="I264" s="98" t="s">
        <v>1870</v>
      </c>
      <c r="J264" s="98" t="s">
        <v>543</v>
      </c>
      <c r="K264" s="98" t="s">
        <v>1072</v>
      </c>
      <c r="L264" s="98" t="s">
        <v>1073</v>
      </c>
      <c r="M264" s="102">
        <v>7.9600000000000004E-2</v>
      </c>
      <c r="N264" s="104"/>
      <c r="O264" s="101"/>
      <c r="P264" s="102">
        <v>0</v>
      </c>
      <c r="Q264" s="102">
        <f t="shared" si="7"/>
        <v>7.9600000000000004E-2</v>
      </c>
      <c r="R264" s="98">
        <v>28</v>
      </c>
      <c r="S264" s="98">
        <v>5000</v>
      </c>
      <c r="T264" s="98">
        <v>1000</v>
      </c>
      <c r="U264" s="98"/>
      <c r="V264" s="103"/>
      <c r="W264" s="98"/>
      <c r="X264" s="98" t="s">
        <v>1871</v>
      </c>
      <c r="Y264" s="98"/>
      <c r="Z264" s="98"/>
      <c r="AA264" s="102"/>
      <c r="AB264" s="98"/>
      <c r="AC264" s="98"/>
      <c r="AD264" s="102"/>
      <c r="AE264" s="98"/>
      <c r="AF264" s="98"/>
      <c r="AG264" s="102"/>
    </row>
    <row r="265" spans="1:33" ht="29.4" customHeight="1">
      <c r="A265" s="97">
        <v>276</v>
      </c>
      <c r="B265" s="98" t="s">
        <v>71</v>
      </c>
      <c r="C265" s="98" t="s">
        <v>1872</v>
      </c>
      <c r="D265" s="98" t="s">
        <v>1873</v>
      </c>
      <c r="E265" s="98" t="s">
        <v>105</v>
      </c>
      <c r="F265" s="98" t="s">
        <v>157</v>
      </c>
      <c r="G265" s="98">
        <v>1</v>
      </c>
      <c r="H265" s="98" t="s">
        <v>1872</v>
      </c>
      <c r="I265" s="98" t="s">
        <v>1873</v>
      </c>
      <c r="J265" s="98" t="s">
        <v>543</v>
      </c>
      <c r="K265" s="98" t="s">
        <v>1072</v>
      </c>
      <c r="L265" s="98" t="s">
        <v>1073</v>
      </c>
      <c r="M265" s="102">
        <v>9.1999999999999998E-2</v>
      </c>
      <c r="N265" s="104"/>
      <c r="O265" s="101"/>
      <c r="P265" s="102">
        <v>0</v>
      </c>
      <c r="Q265" s="102">
        <f t="shared" si="7"/>
        <v>9.1999999999999998E-2</v>
      </c>
      <c r="R265" s="98">
        <v>28</v>
      </c>
      <c r="S265" s="98">
        <v>5000</v>
      </c>
      <c r="T265" s="98">
        <v>1000</v>
      </c>
      <c r="U265" s="98"/>
      <c r="V265" s="103"/>
      <c r="W265" s="98"/>
      <c r="X265" s="98" t="s">
        <v>1874</v>
      </c>
      <c r="Y265" s="98"/>
      <c r="Z265" s="98"/>
      <c r="AA265" s="102"/>
      <c r="AB265" s="98"/>
      <c r="AC265" s="98"/>
      <c r="AD265" s="102"/>
      <c r="AE265" s="98"/>
      <c r="AF265" s="98"/>
      <c r="AG265" s="102"/>
    </row>
    <row r="266" spans="1:33" ht="29.4" customHeight="1">
      <c r="A266" s="97">
        <v>277</v>
      </c>
      <c r="B266" s="98" t="s">
        <v>71</v>
      </c>
      <c r="C266" s="98" t="s">
        <v>1875</v>
      </c>
      <c r="D266" s="98" t="s">
        <v>1876</v>
      </c>
      <c r="E266" s="98" t="s">
        <v>105</v>
      </c>
      <c r="F266" s="98" t="s">
        <v>157</v>
      </c>
      <c r="G266" s="98">
        <v>1</v>
      </c>
      <c r="H266" s="98" t="s">
        <v>1875</v>
      </c>
      <c r="I266" s="98" t="s">
        <v>1876</v>
      </c>
      <c r="J266" s="98" t="s">
        <v>1022</v>
      </c>
      <c r="K266" s="98" t="s">
        <v>1063</v>
      </c>
      <c r="L266" s="98" t="s">
        <v>1064</v>
      </c>
      <c r="M266" s="102">
        <v>5.8000000000000003E-2</v>
      </c>
      <c r="N266" s="104"/>
      <c r="O266" s="101"/>
      <c r="P266" s="102">
        <v>0</v>
      </c>
      <c r="Q266" s="102">
        <f t="shared" si="7"/>
        <v>5.8000000000000003E-2</v>
      </c>
      <c r="R266" s="98">
        <v>28</v>
      </c>
      <c r="S266" s="98">
        <v>0</v>
      </c>
      <c r="T266" s="98">
        <v>1000</v>
      </c>
      <c r="U266" s="98"/>
      <c r="V266" s="103"/>
      <c r="W266" s="98"/>
      <c r="X266" s="98" t="s">
        <v>1877</v>
      </c>
      <c r="Y266" s="98" t="s">
        <v>1878</v>
      </c>
      <c r="Z266" s="98" t="s">
        <v>1879</v>
      </c>
      <c r="AA266" s="100">
        <v>7.0000000000000007E-2</v>
      </c>
      <c r="AB266" s="98"/>
      <c r="AC266" s="98"/>
      <c r="AD266" s="102"/>
      <c r="AE266" s="98"/>
      <c r="AF266" s="98"/>
      <c r="AG266" s="102"/>
    </row>
    <row r="267" spans="1:33" ht="29.4" customHeight="1">
      <c r="A267" s="97">
        <v>278</v>
      </c>
      <c r="B267" s="98" t="s">
        <v>71</v>
      </c>
      <c r="C267" s="98" t="s">
        <v>1880</v>
      </c>
      <c r="D267" s="98" t="s">
        <v>1881</v>
      </c>
      <c r="E267" s="98" t="s">
        <v>105</v>
      </c>
      <c r="F267" s="98" t="s">
        <v>157</v>
      </c>
      <c r="G267" s="98">
        <v>1</v>
      </c>
      <c r="H267" s="99" t="s">
        <v>1882</v>
      </c>
      <c r="I267" s="98" t="s">
        <v>1883</v>
      </c>
      <c r="J267" s="98" t="s">
        <v>543</v>
      </c>
      <c r="K267" s="98" t="s">
        <v>941</v>
      </c>
      <c r="L267" s="98" t="s">
        <v>942</v>
      </c>
      <c r="M267" s="102">
        <v>4.6699999999999998E-2</v>
      </c>
      <c r="N267" s="104"/>
      <c r="O267" s="101"/>
      <c r="P267" s="102">
        <v>0</v>
      </c>
      <c r="Q267" s="102">
        <f t="shared" si="7"/>
        <v>4.6699999999999998E-2</v>
      </c>
      <c r="R267" s="98">
        <v>21</v>
      </c>
      <c r="S267" s="98">
        <v>1000</v>
      </c>
      <c r="T267" s="98"/>
      <c r="U267" s="98"/>
      <c r="V267" s="103"/>
      <c r="W267" s="98"/>
      <c r="X267" s="98" t="s">
        <v>1884</v>
      </c>
      <c r="Y267" s="98" t="s">
        <v>1880</v>
      </c>
      <c r="Z267" s="98" t="s">
        <v>1881</v>
      </c>
      <c r="AA267" s="102">
        <v>8.5999999999999993E-2</v>
      </c>
      <c r="AB267" s="98"/>
      <c r="AC267" s="98"/>
      <c r="AD267" s="102"/>
      <c r="AE267" s="98"/>
      <c r="AF267" s="98"/>
      <c r="AG267" s="102"/>
    </row>
    <row r="268" spans="1:33" ht="29.4" customHeight="1">
      <c r="A268" s="97">
        <v>279</v>
      </c>
      <c r="B268" s="98" t="s">
        <v>71</v>
      </c>
      <c r="C268" s="98" t="s">
        <v>1885</v>
      </c>
      <c r="D268" s="98" t="s">
        <v>1886</v>
      </c>
      <c r="E268" s="98" t="s">
        <v>105</v>
      </c>
      <c r="F268" s="98" t="s">
        <v>157</v>
      </c>
      <c r="G268" s="98">
        <v>1</v>
      </c>
      <c r="H268" s="98" t="s">
        <v>1885</v>
      </c>
      <c r="I268" s="98" t="s">
        <v>1886</v>
      </c>
      <c r="J268" s="98" t="s">
        <v>543</v>
      </c>
      <c r="K268" s="98" t="s">
        <v>1072</v>
      </c>
      <c r="L268" s="98" t="s">
        <v>1073</v>
      </c>
      <c r="M268" s="102">
        <v>6.2E-2</v>
      </c>
      <c r="N268" s="104"/>
      <c r="O268" s="101"/>
      <c r="P268" s="102">
        <v>0</v>
      </c>
      <c r="Q268" s="102">
        <f t="shared" si="7"/>
        <v>6.2E-2</v>
      </c>
      <c r="R268" s="98">
        <v>28</v>
      </c>
      <c r="S268" s="98">
        <v>10000</v>
      </c>
      <c r="T268" s="98">
        <v>1000</v>
      </c>
      <c r="U268" s="98"/>
      <c r="V268" s="103"/>
      <c r="W268" s="98"/>
      <c r="X268" s="98" t="s">
        <v>1887</v>
      </c>
      <c r="Y268" s="98"/>
      <c r="Z268" s="98"/>
      <c r="AA268" s="102"/>
      <c r="AB268" s="98"/>
      <c r="AC268" s="98"/>
      <c r="AD268" s="102"/>
      <c r="AE268" s="98"/>
      <c r="AF268" s="98"/>
      <c r="AG268" s="102"/>
    </row>
    <row r="269" spans="1:33" ht="29.4" customHeight="1">
      <c r="A269" s="97">
        <v>280</v>
      </c>
      <c r="B269" s="98" t="s">
        <v>71</v>
      </c>
      <c r="C269" s="98" t="s">
        <v>1888</v>
      </c>
      <c r="D269" s="98" t="s">
        <v>1889</v>
      </c>
      <c r="E269" s="98" t="s">
        <v>105</v>
      </c>
      <c r="F269" s="98" t="s">
        <v>106</v>
      </c>
      <c r="G269" s="98">
        <v>2</v>
      </c>
      <c r="H269" s="98" t="s">
        <v>1888</v>
      </c>
      <c r="I269" s="98" t="s">
        <v>1889</v>
      </c>
      <c r="J269" s="98" t="s">
        <v>543</v>
      </c>
      <c r="K269" s="98" t="s">
        <v>1072</v>
      </c>
      <c r="L269" s="98" t="s">
        <v>1073</v>
      </c>
      <c r="M269" s="102">
        <v>8.9499999999999996E-2</v>
      </c>
      <c r="N269" s="104"/>
      <c r="O269" s="101"/>
      <c r="P269" s="102">
        <v>0</v>
      </c>
      <c r="Q269" s="102">
        <f t="shared" si="7"/>
        <v>0.17899999999999999</v>
      </c>
      <c r="R269" s="98">
        <v>28</v>
      </c>
      <c r="S269" s="98">
        <v>5000</v>
      </c>
      <c r="T269" s="98">
        <v>1000</v>
      </c>
      <c r="U269" s="98"/>
      <c r="V269" s="103"/>
      <c r="W269" s="98"/>
      <c r="X269" s="98" t="s">
        <v>1890</v>
      </c>
      <c r="Y269" s="98"/>
      <c r="Z269" s="98"/>
      <c r="AA269" s="102"/>
      <c r="AB269" s="98"/>
      <c r="AC269" s="98"/>
      <c r="AD269" s="102"/>
      <c r="AE269" s="98"/>
      <c r="AF269" s="98"/>
      <c r="AG269" s="102"/>
    </row>
    <row r="270" spans="1:33" ht="29.4" customHeight="1">
      <c r="A270" s="97">
        <v>281</v>
      </c>
      <c r="B270" s="98" t="s">
        <v>71</v>
      </c>
      <c r="C270" s="98" t="s">
        <v>1891</v>
      </c>
      <c r="D270" s="98" t="s">
        <v>1892</v>
      </c>
      <c r="E270" s="98" t="s">
        <v>105</v>
      </c>
      <c r="F270" s="98" t="s">
        <v>157</v>
      </c>
      <c r="G270" s="98">
        <v>1</v>
      </c>
      <c r="H270" s="98" t="s">
        <v>1891</v>
      </c>
      <c r="I270" s="98" t="s">
        <v>1892</v>
      </c>
      <c r="J270" s="98" t="s">
        <v>172</v>
      </c>
      <c r="K270" s="98" t="s">
        <v>1893</v>
      </c>
      <c r="L270" s="98" t="s">
        <v>1894</v>
      </c>
      <c r="M270" s="102">
        <v>6.2975000000000003</v>
      </c>
      <c r="N270" s="104"/>
      <c r="O270" s="101"/>
      <c r="P270" s="102">
        <v>0</v>
      </c>
      <c r="Q270" s="102">
        <f t="shared" si="7"/>
        <v>6.2975000000000003</v>
      </c>
      <c r="R270" s="98">
        <v>56</v>
      </c>
      <c r="S270" s="98">
        <v>1000</v>
      </c>
      <c r="T270" s="98"/>
      <c r="U270" s="98"/>
      <c r="V270" s="103"/>
      <c r="W270" s="98"/>
      <c r="X270" s="98" t="s">
        <v>1895</v>
      </c>
      <c r="Y270" s="98"/>
      <c r="Z270" s="98"/>
      <c r="AA270" s="102"/>
      <c r="AB270" s="98"/>
      <c r="AC270" s="98"/>
      <c r="AD270" s="102"/>
      <c r="AE270" s="98"/>
      <c r="AF270" s="98"/>
      <c r="AG270" s="102"/>
    </row>
    <row r="271" spans="1:33" ht="29.4" customHeight="1">
      <c r="A271" s="97">
        <v>282</v>
      </c>
      <c r="B271" s="98" t="s">
        <v>71</v>
      </c>
      <c r="C271" s="98" t="s">
        <v>1896</v>
      </c>
      <c r="D271" s="98" t="s">
        <v>1897</v>
      </c>
      <c r="E271" s="98" t="s">
        <v>105</v>
      </c>
      <c r="F271" s="98" t="s">
        <v>157</v>
      </c>
      <c r="G271" s="98">
        <v>1</v>
      </c>
      <c r="H271" s="98" t="s">
        <v>1896</v>
      </c>
      <c r="I271" s="98" t="s">
        <v>1897</v>
      </c>
      <c r="J271" s="98" t="s">
        <v>1022</v>
      </c>
      <c r="K271" s="98" t="s">
        <v>1023</v>
      </c>
      <c r="L271" s="98" t="s">
        <v>1024</v>
      </c>
      <c r="M271" s="102">
        <v>1.9</v>
      </c>
      <c r="N271" s="104"/>
      <c r="O271" s="101"/>
      <c r="P271" s="102">
        <v>0</v>
      </c>
      <c r="Q271" s="102">
        <f t="shared" si="7"/>
        <v>1.9</v>
      </c>
      <c r="R271" s="98">
        <v>70</v>
      </c>
      <c r="S271" s="98">
        <v>0</v>
      </c>
      <c r="T271" s="98">
        <v>24000</v>
      </c>
      <c r="U271" s="98"/>
      <c r="V271" s="103"/>
      <c r="W271" s="98"/>
      <c r="X271" s="98" t="s">
        <v>1898</v>
      </c>
      <c r="Y271" s="98"/>
      <c r="Z271" s="98"/>
      <c r="AA271" s="102"/>
      <c r="AB271" s="98"/>
      <c r="AC271" s="98"/>
      <c r="AD271" s="102"/>
      <c r="AE271" s="98"/>
      <c r="AF271" s="98"/>
      <c r="AG271" s="102"/>
    </row>
    <row r="272" spans="1:33" ht="29.4" customHeight="1">
      <c r="A272" s="97">
        <v>283</v>
      </c>
      <c r="B272" s="98" t="s">
        <v>71</v>
      </c>
      <c r="C272" s="98" t="s">
        <v>1899</v>
      </c>
      <c r="D272" s="98" t="s">
        <v>1900</v>
      </c>
      <c r="E272" s="98" t="s">
        <v>105</v>
      </c>
      <c r="F272" s="98" t="s">
        <v>157</v>
      </c>
      <c r="G272" s="98">
        <v>2</v>
      </c>
      <c r="H272" s="98" t="s">
        <v>1899</v>
      </c>
      <c r="I272" s="98" t="s">
        <v>1900</v>
      </c>
      <c r="J272" s="98" t="s">
        <v>543</v>
      </c>
      <c r="K272" s="98" t="s">
        <v>1901</v>
      </c>
      <c r="L272" s="98" t="s">
        <v>979</v>
      </c>
      <c r="M272" s="102">
        <v>0.11</v>
      </c>
      <c r="N272" s="104"/>
      <c r="O272" s="101"/>
      <c r="P272" s="102">
        <v>0</v>
      </c>
      <c r="Q272" s="102">
        <f t="shared" si="7"/>
        <v>0.22</v>
      </c>
      <c r="R272" s="98">
        <v>21</v>
      </c>
      <c r="S272" s="98">
        <v>1000</v>
      </c>
      <c r="T272" s="98"/>
      <c r="U272" s="98"/>
      <c r="V272" s="103"/>
      <c r="W272" s="98"/>
      <c r="X272" s="98" t="s">
        <v>1807</v>
      </c>
      <c r="Y272" s="98"/>
      <c r="Z272" s="98"/>
      <c r="AA272" s="102"/>
      <c r="AB272" s="98"/>
      <c r="AC272" s="98"/>
      <c r="AD272" s="102"/>
      <c r="AE272" s="98"/>
      <c r="AF272" s="98"/>
      <c r="AG272" s="102"/>
    </row>
    <row r="273" spans="1:33" ht="29.4" customHeight="1">
      <c r="A273" s="97">
        <v>284</v>
      </c>
      <c r="B273" s="98" t="s">
        <v>71</v>
      </c>
      <c r="C273" s="98" t="s">
        <v>1902</v>
      </c>
      <c r="D273" s="98" t="s">
        <v>1903</v>
      </c>
      <c r="E273" s="98" t="s">
        <v>105</v>
      </c>
      <c r="F273" s="98" t="s">
        <v>970</v>
      </c>
      <c r="G273" s="98">
        <v>1</v>
      </c>
      <c r="H273" s="98" t="s">
        <v>1902</v>
      </c>
      <c r="I273" s="98" t="s">
        <v>1904</v>
      </c>
      <c r="J273" s="98" t="s">
        <v>108</v>
      </c>
      <c r="K273" s="98" t="s">
        <v>972</v>
      </c>
      <c r="L273" s="98" t="s">
        <v>973</v>
      </c>
      <c r="M273" s="102">
        <v>8.2199999999999995E-2</v>
      </c>
      <c r="N273" s="104"/>
      <c r="O273" s="101"/>
      <c r="P273" s="102">
        <v>0</v>
      </c>
      <c r="Q273" s="102">
        <f t="shared" si="7"/>
        <v>8.2199999999999995E-2</v>
      </c>
      <c r="R273" s="98">
        <v>21</v>
      </c>
      <c r="S273" s="98">
        <v>10000</v>
      </c>
      <c r="T273" s="98"/>
      <c r="U273" s="98"/>
      <c r="V273" s="103"/>
      <c r="W273" s="98"/>
      <c r="X273" s="98" t="s">
        <v>1092</v>
      </c>
      <c r="Y273" s="98"/>
      <c r="Z273" s="98"/>
      <c r="AA273" s="102"/>
      <c r="AB273" s="98"/>
      <c r="AC273" s="98"/>
      <c r="AD273" s="102"/>
      <c r="AE273" s="98"/>
      <c r="AF273" s="98"/>
      <c r="AG273" s="102"/>
    </row>
    <row r="274" spans="1:33" ht="29.4" customHeight="1">
      <c r="A274" s="97">
        <v>285</v>
      </c>
      <c r="B274" s="98" t="s">
        <v>71</v>
      </c>
      <c r="C274" s="98" t="s">
        <v>1905</v>
      </c>
      <c r="D274" s="98" t="s">
        <v>1906</v>
      </c>
      <c r="E274" s="98" t="s">
        <v>105</v>
      </c>
      <c r="F274" s="98" t="s">
        <v>989</v>
      </c>
      <c r="G274" s="98">
        <v>1</v>
      </c>
      <c r="H274" s="98" t="s">
        <v>1905</v>
      </c>
      <c r="I274" s="98" t="s">
        <v>1906</v>
      </c>
      <c r="J274" s="98" t="s">
        <v>108</v>
      </c>
      <c r="K274" s="98" t="s">
        <v>990</v>
      </c>
      <c r="L274" s="98" t="s">
        <v>991</v>
      </c>
      <c r="M274" s="102">
        <v>3.4799999999999998E-2</v>
      </c>
      <c r="N274" s="104"/>
      <c r="O274" s="101"/>
      <c r="P274" s="102">
        <v>0</v>
      </c>
      <c r="Q274" s="102">
        <f t="shared" si="7"/>
        <v>3.4799999999999998E-2</v>
      </c>
      <c r="R274" s="98">
        <v>28</v>
      </c>
      <c r="S274" s="98">
        <v>10000</v>
      </c>
      <c r="T274" s="98"/>
      <c r="U274" s="98"/>
      <c r="V274" s="103"/>
      <c r="W274" s="98"/>
      <c r="X274" s="98" t="s">
        <v>1807</v>
      </c>
      <c r="Y274" s="98"/>
      <c r="Z274" s="98"/>
      <c r="AA274" s="102"/>
      <c r="AB274" s="98"/>
      <c r="AC274" s="98"/>
      <c r="AD274" s="102"/>
      <c r="AE274" s="98"/>
      <c r="AF274" s="98"/>
      <c r="AG274" s="102"/>
    </row>
    <row r="275" spans="1:33" ht="29.4" customHeight="1">
      <c r="A275" s="97">
        <v>286</v>
      </c>
      <c r="B275" s="98" t="s">
        <v>71</v>
      </c>
      <c r="C275" s="98" t="s">
        <v>1907</v>
      </c>
      <c r="D275" s="98" t="s">
        <v>1908</v>
      </c>
      <c r="E275" s="98" t="s">
        <v>105</v>
      </c>
      <c r="F275" s="98" t="s">
        <v>995</v>
      </c>
      <c r="G275" s="98">
        <v>1</v>
      </c>
      <c r="H275" s="98" t="s">
        <v>1907</v>
      </c>
      <c r="I275" s="98" t="s">
        <v>1908</v>
      </c>
      <c r="J275" s="98" t="s">
        <v>983</v>
      </c>
      <c r="K275" s="98" t="s">
        <v>997</v>
      </c>
      <c r="L275" s="98" t="s">
        <v>998</v>
      </c>
      <c r="M275" s="102">
        <v>12.578200000000001</v>
      </c>
      <c r="N275" s="104">
        <v>15.9071</v>
      </c>
      <c r="O275" s="101">
        <f>(N275-M275)*G275</f>
        <v>3.3288999999999991</v>
      </c>
      <c r="P275" s="102">
        <v>0</v>
      </c>
      <c r="Q275" s="102">
        <f t="shared" si="7"/>
        <v>12.578200000000001</v>
      </c>
      <c r="R275" s="98">
        <v>20</v>
      </c>
      <c r="S275" s="98">
        <v>1</v>
      </c>
      <c r="T275" s="98">
        <v>1</v>
      </c>
      <c r="U275" s="98"/>
      <c r="V275" s="103"/>
      <c r="W275" s="98"/>
      <c r="X275" s="98"/>
      <c r="Y275" s="98"/>
      <c r="Z275" s="98"/>
      <c r="AA275" s="102"/>
      <c r="AB275" s="98"/>
      <c r="AC275" s="98"/>
      <c r="AD275" s="102"/>
      <c r="AE275" s="98"/>
      <c r="AF275" s="98"/>
      <c r="AG275" s="102"/>
    </row>
    <row r="276" spans="1:33" ht="29.4" customHeight="1">
      <c r="A276" s="97">
        <v>287</v>
      </c>
      <c r="B276" s="98" t="s">
        <v>71</v>
      </c>
      <c r="C276" s="98" t="s">
        <v>1909</v>
      </c>
      <c r="D276" s="98" t="s">
        <v>1910</v>
      </c>
      <c r="E276" s="98" t="s">
        <v>105</v>
      </c>
      <c r="F276" s="98" t="s">
        <v>136</v>
      </c>
      <c r="G276" s="98">
        <v>1</v>
      </c>
      <c r="H276" s="98" t="s">
        <v>1909</v>
      </c>
      <c r="I276" s="98" t="s">
        <v>1910</v>
      </c>
      <c r="J276" s="98" t="s">
        <v>115</v>
      </c>
      <c r="K276" s="98" t="s">
        <v>1911</v>
      </c>
      <c r="L276" s="98" t="s">
        <v>1912</v>
      </c>
      <c r="M276" s="102">
        <v>2.0350000000000001</v>
      </c>
      <c r="N276" s="104"/>
      <c r="O276" s="101"/>
      <c r="P276" s="102">
        <v>0</v>
      </c>
      <c r="Q276" s="102">
        <f t="shared" si="7"/>
        <v>2.0350000000000001</v>
      </c>
      <c r="R276" s="98">
        <v>21</v>
      </c>
      <c r="S276" s="98">
        <v>1000</v>
      </c>
      <c r="T276" s="98">
        <v>1</v>
      </c>
      <c r="U276" s="98"/>
      <c r="V276" s="103"/>
      <c r="W276" s="98"/>
      <c r="X276" s="98"/>
      <c r="Y276" s="98"/>
      <c r="Z276" s="98"/>
      <c r="AA276" s="102"/>
      <c r="AB276" s="98"/>
      <c r="AC276" s="98"/>
      <c r="AD276" s="102"/>
      <c r="AE276" s="98"/>
      <c r="AF276" s="98"/>
      <c r="AG276" s="102"/>
    </row>
    <row r="277" spans="1:33" ht="29.4" customHeight="1">
      <c r="A277" s="97"/>
      <c r="B277" s="98"/>
      <c r="C277" s="98"/>
      <c r="D277" s="98"/>
      <c r="E277" s="98"/>
      <c r="F277" s="98"/>
      <c r="G277" s="98"/>
      <c r="H277" s="98"/>
      <c r="I277" s="107" t="s">
        <v>1913</v>
      </c>
      <c r="J277" s="107"/>
      <c r="K277" s="107"/>
      <c r="L277" s="107"/>
      <c r="M277" s="108"/>
      <c r="N277" s="109"/>
      <c r="O277" s="101">
        <f>(N277-M277)*G277</f>
        <v>0</v>
      </c>
      <c r="P277" s="108"/>
      <c r="Q277" s="108">
        <f>SUM(Q5:Q276)</f>
        <v>358.46316100000024</v>
      </c>
      <c r="R277" s="98"/>
      <c r="S277" s="98"/>
      <c r="T277" s="98"/>
      <c r="U277" s="98"/>
      <c r="V277" s="103"/>
      <c r="W277" s="98"/>
      <c r="X277" s="98"/>
      <c r="Y277" s="98"/>
      <c r="Z277" s="98"/>
      <c r="AA277" s="102"/>
      <c r="AB277" s="98"/>
      <c r="AC277" s="98"/>
      <c r="AD277" s="102"/>
      <c r="AE277" s="98"/>
      <c r="AF277" s="98"/>
      <c r="AG277" s="102"/>
    </row>
    <row r="278" spans="1:33" ht="29.4" customHeight="1">
      <c r="A278" s="97">
        <v>288</v>
      </c>
      <c r="B278" s="98" t="s">
        <v>1914</v>
      </c>
      <c r="C278" s="98" t="s">
        <v>103</v>
      </c>
      <c r="D278" s="98" t="s">
        <v>104</v>
      </c>
      <c r="E278" s="98" t="s">
        <v>105</v>
      </c>
      <c r="F278" s="98" t="s">
        <v>106</v>
      </c>
      <c r="G278" s="98">
        <v>6</v>
      </c>
      <c r="H278" s="98" t="s">
        <v>103</v>
      </c>
      <c r="I278" s="98" t="s">
        <v>107</v>
      </c>
      <c r="J278" s="98" t="s">
        <v>108</v>
      </c>
      <c r="K278" s="98" t="s">
        <v>109</v>
      </c>
      <c r="L278" s="98" t="s">
        <v>110</v>
      </c>
      <c r="M278" s="102">
        <v>9.9000000000000005E-2</v>
      </c>
      <c r="N278" s="104"/>
      <c r="O278" s="101"/>
      <c r="P278" s="102">
        <v>0</v>
      </c>
      <c r="Q278" s="102">
        <f t="shared" ref="Q278:Q317" si="8">G278*M278</f>
        <v>0.59400000000000008</v>
      </c>
      <c r="R278" s="98">
        <v>21</v>
      </c>
      <c r="S278" s="98">
        <v>10000</v>
      </c>
      <c r="T278" s="98"/>
      <c r="U278" s="98"/>
      <c r="V278" s="103"/>
      <c r="W278" s="98"/>
      <c r="X278" s="98"/>
      <c r="Y278" s="98"/>
      <c r="Z278" s="98"/>
      <c r="AA278" s="102"/>
      <c r="AB278" s="98"/>
      <c r="AC278" s="98"/>
      <c r="AD278" s="102"/>
      <c r="AE278" s="98"/>
      <c r="AF278" s="98"/>
      <c r="AG278" s="102"/>
    </row>
    <row r="279" spans="1:33" ht="29.4" customHeight="1">
      <c r="A279" s="97">
        <v>289</v>
      </c>
      <c r="B279" s="98" t="s">
        <v>1914</v>
      </c>
      <c r="C279" s="98" t="s">
        <v>1915</v>
      </c>
      <c r="D279" s="98" t="s">
        <v>1916</v>
      </c>
      <c r="E279" s="98" t="s">
        <v>105</v>
      </c>
      <c r="F279" s="98" t="s">
        <v>989</v>
      </c>
      <c r="G279" s="98">
        <v>1</v>
      </c>
      <c r="H279" s="98" t="s">
        <v>1915</v>
      </c>
      <c r="I279" s="98" t="s">
        <v>1916</v>
      </c>
      <c r="J279" s="98" t="s">
        <v>166</v>
      </c>
      <c r="K279" s="98" t="s">
        <v>1917</v>
      </c>
      <c r="L279" s="98" t="s">
        <v>1918</v>
      </c>
      <c r="M279" s="102">
        <v>28</v>
      </c>
      <c r="N279" s="104">
        <v>30</v>
      </c>
      <c r="O279" s="101">
        <f t="shared" ref="O279:O292" si="9">(N279-M279)*G279</f>
        <v>2</v>
      </c>
      <c r="P279" s="102">
        <v>0</v>
      </c>
      <c r="Q279" s="102">
        <f t="shared" si="8"/>
        <v>28</v>
      </c>
      <c r="R279" s="98">
        <v>21</v>
      </c>
      <c r="S279" s="98">
        <v>1</v>
      </c>
      <c r="T279" s="98">
        <v>10000</v>
      </c>
      <c r="U279" s="98"/>
      <c r="V279" s="103"/>
      <c r="W279" s="98"/>
      <c r="X279" s="98"/>
      <c r="Y279" s="98"/>
      <c r="Z279" s="98"/>
      <c r="AA279" s="102"/>
      <c r="AB279" s="98"/>
      <c r="AC279" s="98"/>
      <c r="AD279" s="102"/>
      <c r="AE279" s="98"/>
      <c r="AF279" s="98"/>
      <c r="AG279" s="102"/>
    </row>
    <row r="280" spans="1:33" ht="29.4" customHeight="1">
      <c r="A280" s="97">
        <v>290</v>
      </c>
      <c r="B280" s="98" t="s">
        <v>1914</v>
      </c>
      <c r="C280" s="98" t="s">
        <v>1919</v>
      </c>
      <c r="D280" s="98" t="s">
        <v>1920</v>
      </c>
      <c r="E280" s="98" t="s">
        <v>105</v>
      </c>
      <c r="F280" s="98" t="s">
        <v>989</v>
      </c>
      <c r="G280" s="98">
        <v>1</v>
      </c>
      <c r="H280" s="98" t="s">
        <v>1919</v>
      </c>
      <c r="I280" s="98" t="s">
        <v>1920</v>
      </c>
      <c r="J280" s="98" t="s">
        <v>983</v>
      </c>
      <c r="K280" s="98" t="s">
        <v>1921</v>
      </c>
      <c r="L280" s="98" t="s">
        <v>1922</v>
      </c>
      <c r="M280" s="102">
        <v>2.17</v>
      </c>
      <c r="N280" s="104">
        <v>2.887</v>
      </c>
      <c r="O280" s="101">
        <f t="shared" si="9"/>
        <v>0.71700000000000008</v>
      </c>
      <c r="P280" s="102">
        <v>0</v>
      </c>
      <c r="Q280" s="102">
        <f t="shared" si="8"/>
        <v>2.17</v>
      </c>
      <c r="R280" s="98">
        <v>56</v>
      </c>
      <c r="S280" s="98">
        <v>1000</v>
      </c>
      <c r="T280" s="98">
        <v>500</v>
      </c>
      <c r="U280" s="98"/>
      <c r="V280" s="103"/>
      <c r="W280" s="98"/>
      <c r="X280" s="98"/>
      <c r="Y280" s="98"/>
      <c r="Z280" s="98"/>
      <c r="AA280" s="102"/>
      <c r="AB280" s="98"/>
      <c r="AC280" s="98"/>
      <c r="AD280" s="102"/>
      <c r="AE280" s="98"/>
      <c r="AF280" s="98"/>
      <c r="AG280" s="102"/>
    </row>
    <row r="281" spans="1:33" ht="29.4" customHeight="1">
      <c r="A281" s="97">
        <v>291</v>
      </c>
      <c r="B281" s="98" t="s">
        <v>1914</v>
      </c>
      <c r="C281" s="98" t="s">
        <v>1923</v>
      </c>
      <c r="D281" s="98" t="s">
        <v>1924</v>
      </c>
      <c r="E281" s="98" t="s">
        <v>105</v>
      </c>
      <c r="F281" s="98" t="s">
        <v>989</v>
      </c>
      <c r="G281" s="98">
        <v>1</v>
      </c>
      <c r="H281" s="98" t="s">
        <v>1923</v>
      </c>
      <c r="I281" s="98" t="s">
        <v>1924</v>
      </c>
      <c r="J281" s="98" t="s">
        <v>983</v>
      </c>
      <c r="K281" s="98" t="s">
        <v>1921</v>
      </c>
      <c r="L281" s="98" t="s">
        <v>1922</v>
      </c>
      <c r="M281" s="102">
        <v>1.37</v>
      </c>
      <c r="N281" s="104">
        <v>1.8069999999999999</v>
      </c>
      <c r="O281" s="101">
        <f t="shared" si="9"/>
        <v>0.43699999999999983</v>
      </c>
      <c r="P281" s="102">
        <v>0</v>
      </c>
      <c r="Q281" s="102">
        <f t="shared" si="8"/>
        <v>1.37</v>
      </c>
      <c r="R281" s="98">
        <v>56</v>
      </c>
      <c r="S281" s="98">
        <v>1000</v>
      </c>
      <c r="T281" s="98">
        <v>500</v>
      </c>
      <c r="U281" s="98"/>
      <c r="V281" s="103"/>
      <c r="W281" s="98"/>
      <c r="X281" s="98"/>
      <c r="Y281" s="98"/>
      <c r="Z281" s="98"/>
      <c r="AA281" s="102"/>
      <c r="AB281" s="98"/>
      <c r="AC281" s="98"/>
      <c r="AD281" s="102"/>
      <c r="AE281" s="98"/>
      <c r="AF281" s="98"/>
      <c r="AG281" s="102"/>
    </row>
    <row r="282" spans="1:33" ht="29.4" customHeight="1">
      <c r="A282" s="97">
        <v>292</v>
      </c>
      <c r="B282" s="98" t="s">
        <v>1914</v>
      </c>
      <c r="C282" s="98" t="s">
        <v>1925</v>
      </c>
      <c r="D282" s="98" t="s">
        <v>1926</v>
      </c>
      <c r="E282" s="98" t="s">
        <v>105</v>
      </c>
      <c r="F282" s="98" t="s">
        <v>989</v>
      </c>
      <c r="G282" s="98">
        <v>1</v>
      </c>
      <c r="H282" s="98" t="s">
        <v>1925</v>
      </c>
      <c r="I282" s="98" t="s">
        <v>1926</v>
      </c>
      <c r="J282" s="98" t="s">
        <v>983</v>
      </c>
      <c r="K282" s="98" t="s">
        <v>1921</v>
      </c>
      <c r="L282" s="98" t="s">
        <v>1922</v>
      </c>
      <c r="M282" s="102">
        <v>38.299999999999997</v>
      </c>
      <c r="N282" s="104">
        <v>42.13</v>
      </c>
      <c r="O282" s="101">
        <f t="shared" si="9"/>
        <v>3.8300000000000054</v>
      </c>
      <c r="P282" s="102">
        <v>0</v>
      </c>
      <c r="Q282" s="102">
        <f t="shared" si="8"/>
        <v>38.299999999999997</v>
      </c>
      <c r="R282" s="98">
        <v>56</v>
      </c>
      <c r="S282" s="98">
        <v>1000</v>
      </c>
      <c r="T282" s="98">
        <v>500</v>
      </c>
      <c r="U282" s="98"/>
      <c r="V282" s="103"/>
      <c r="W282" s="98"/>
      <c r="X282" s="98"/>
      <c r="Y282" s="98"/>
      <c r="Z282" s="98"/>
      <c r="AA282" s="102"/>
      <c r="AB282" s="98"/>
      <c r="AC282" s="98"/>
      <c r="AD282" s="102"/>
      <c r="AE282" s="98"/>
      <c r="AF282" s="98"/>
      <c r="AG282" s="102"/>
    </row>
    <row r="283" spans="1:33" ht="29.4" customHeight="1">
      <c r="A283" s="97">
        <v>293</v>
      </c>
      <c r="B283" s="98" t="s">
        <v>1914</v>
      </c>
      <c r="C283" s="98" t="s">
        <v>1927</v>
      </c>
      <c r="D283" s="98" t="s">
        <v>1928</v>
      </c>
      <c r="E283" s="98" t="s">
        <v>105</v>
      </c>
      <c r="F283" s="98" t="s">
        <v>989</v>
      </c>
      <c r="G283" s="98">
        <v>1</v>
      </c>
      <c r="H283" s="98" t="s">
        <v>1927</v>
      </c>
      <c r="I283" s="98" t="s">
        <v>1928</v>
      </c>
      <c r="J283" s="98" t="s">
        <v>983</v>
      </c>
      <c r="K283" s="98" t="s">
        <v>1921</v>
      </c>
      <c r="L283" s="98" t="s">
        <v>1922</v>
      </c>
      <c r="M283" s="102">
        <v>4.58</v>
      </c>
      <c r="N283" s="104">
        <v>5.81</v>
      </c>
      <c r="O283" s="101">
        <f t="shared" si="9"/>
        <v>1.2299999999999995</v>
      </c>
      <c r="P283" s="102">
        <v>0</v>
      </c>
      <c r="Q283" s="102">
        <f t="shared" si="8"/>
        <v>4.58</v>
      </c>
      <c r="R283" s="98">
        <v>56</v>
      </c>
      <c r="S283" s="98">
        <v>1000</v>
      </c>
      <c r="T283" s="98">
        <v>500</v>
      </c>
      <c r="U283" s="98"/>
      <c r="V283" s="103"/>
      <c r="W283" s="98"/>
      <c r="X283" s="98"/>
      <c r="Y283" s="98"/>
      <c r="Z283" s="98"/>
      <c r="AA283" s="102"/>
      <c r="AB283" s="98"/>
      <c r="AC283" s="98"/>
      <c r="AD283" s="102"/>
      <c r="AE283" s="98"/>
      <c r="AF283" s="98"/>
      <c r="AG283" s="102"/>
    </row>
    <row r="284" spans="1:33" ht="29.4" customHeight="1">
      <c r="A284" s="97">
        <v>294</v>
      </c>
      <c r="B284" s="98" t="s">
        <v>1914</v>
      </c>
      <c r="C284" s="98" t="s">
        <v>1929</v>
      </c>
      <c r="D284" s="98" t="s">
        <v>1930</v>
      </c>
      <c r="E284" s="98" t="s">
        <v>105</v>
      </c>
      <c r="F284" s="98" t="s">
        <v>989</v>
      </c>
      <c r="G284" s="98">
        <v>1</v>
      </c>
      <c r="H284" s="98" t="s">
        <v>1929</v>
      </c>
      <c r="I284" s="98" t="s">
        <v>1930</v>
      </c>
      <c r="J284" s="98" t="s">
        <v>983</v>
      </c>
      <c r="K284" s="98" t="s">
        <v>1921</v>
      </c>
      <c r="L284" s="98" t="s">
        <v>1922</v>
      </c>
      <c r="M284" s="102">
        <v>128.72</v>
      </c>
      <c r="N284" s="104">
        <v>133.72</v>
      </c>
      <c r="O284" s="101">
        <f t="shared" si="9"/>
        <v>5</v>
      </c>
      <c r="P284" s="102">
        <v>0</v>
      </c>
      <c r="Q284" s="102">
        <f t="shared" si="8"/>
        <v>128.72</v>
      </c>
      <c r="R284" s="98">
        <v>56</v>
      </c>
      <c r="S284" s="98">
        <v>1000</v>
      </c>
      <c r="T284" s="98">
        <v>500</v>
      </c>
      <c r="U284" s="98"/>
      <c r="V284" s="103"/>
      <c r="W284" s="98"/>
      <c r="X284" s="98"/>
      <c r="Y284" s="98"/>
      <c r="Z284" s="98"/>
      <c r="AA284" s="102"/>
      <c r="AB284" s="98"/>
      <c r="AC284" s="98"/>
      <c r="AD284" s="102"/>
      <c r="AE284" s="98"/>
      <c r="AF284" s="98"/>
      <c r="AG284" s="102"/>
    </row>
    <row r="285" spans="1:33" ht="29.4" customHeight="1">
      <c r="A285" s="97">
        <v>295</v>
      </c>
      <c r="B285" s="98" t="s">
        <v>1914</v>
      </c>
      <c r="C285" s="98" t="s">
        <v>1931</v>
      </c>
      <c r="D285" s="98" t="s">
        <v>1932</v>
      </c>
      <c r="E285" s="98" t="s">
        <v>105</v>
      </c>
      <c r="F285" s="98" t="s">
        <v>970</v>
      </c>
      <c r="G285" s="98">
        <v>1</v>
      </c>
      <c r="H285" s="98" t="s">
        <v>1931</v>
      </c>
      <c r="I285" s="98" t="s">
        <v>1932</v>
      </c>
      <c r="J285" s="98" t="s">
        <v>983</v>
      </c>
      <c r="K285" s="98" t="s">
        <v>1921</v>
      </c>
      <c r="L285" s="98" t="s">
        <v>1922</v>
      </c>
      <c r="M285" s="102">
        <v>3.51</v>
      </c>
      <c r="N285" s="104">
        <v>4.5609999999999999</v>
      </c>
      <c r="O285" s="101">
        <f t="shared" si="9"/>
        <v>1.0510000000000002</v>
      </c>
      <c r="P285" s="102">
        <v>0</v>
      </c>
      <c r="Q285" s="102">
        <f t="shared" si="8"/>
        <v>3.51</v>
      </c>
      <c r="R285" s="98">
        <v>28</v>
      </c>
      <c r="S285" s="98">
        <v>500</v>
      </c>
      <c r="T285" s="98">
        <v>500</v>
      </c>
      <c r="U285" s="98"/>
      <c r="V285" s="103"/>
      <c r="W285" s="98"/>
      <c r="X285" s="98"/>
      <c r="Y285" s="98"/>
      <c r="Z285" s="98"/>
      <c r="AA285" s="102"/>
      <c r="AB285" s="98"/>
      <c r="AC285" s="98"/>
      <c r="AD285" s="102"/>
      <c r="AE285" s="98"/>
      <c r="AF285" s="98"/>
      <c r="AG285" s="102"/>
    </row>
    <row r="286" spans="1:33" ht="29.4" customHeight="1">
      <c r="A286" s="97">
        <v>296</v>
      </c>
      <c r="B286" s="98" t="s">
        <v>1914</v>
      </c>
      <c r="C286" s="98" t="s">
        <v>1933</v>
      </c>
      <c r="D286" s="98" t="s">
        <v>1934</v>
      </c>
      <c r="E286" s="98" t="s">
        <v>105</v>
      </c>
      <c r="F286" s="98" t="s">
        <v>970</v>
      </c>
      <c r="G286" s="98">
        <v>1</v>
      </c>
      <c r="H286" s="98" t="s">
        <v>1933</v>
      </c>
      <c r="I286" s="98" t="s">
        <v>1934</v>
      </c>
      <c r="J286" s="98" t="s">
        <v>983</v>
      </c>
      <c r="K286" s="98" t="s">
        <v>1921</v>
      </c>
      <c r="L286" s="98" t="s">
        <v>1922</v>
      </c>
      <c r="M286" s="102">
        <v>2.1</v>
      </c>
      <c r="N286" s="104">
        <v>2.7</v>
      </c>
      <c r="O286" s="101">
        <f t="shared" si="9"/>
        <v>0.60000000000000009</v>
      </c>
      <c r="P286" s="102">
        <v>0</v>
      </c>
      <c r="Q286" s="102">
        <f t="shared" si="8"/>
        <v>2.1</v>
      </c>
      <c r="R286" s="98">
        <v>28</v>
      </c>
      <c r="S286" s="98">
        <v>500</v>
      </c>
      <c r="T286" s="98">
        <v>500</v>
      </c>
      <c r="U286" s="98"/>
      <c r="V286" s="103"/>
      <c r="W286" s="98"/>
      <c r="X286" s="98"/>
      <c r="Y286" s="98"/>
      <c r="Z286" s="98"/>
      <c r="AA286" s="102"/>
      <c r="AB286" s="98"/>
      <c r="AC286" s="98"/>
      <c r="AD286" s="102"/>
      <c r="AE286" s="98"/>
      <c r="AF286" s="98"/>
      <c r="AG286" s="102"/>
    </row>
    <row r="287" spans="1:33" ht="29.4" customHeight="1">
      <c r="A287" s="97">
        <v>297</v>
      </c>
      <c r="B287" s="98" t="s">
        <v>1914</v>
      </c>
      <c r="C287" s="98" t="s">
        <v>1935</v>
      </c>
      <c r="D287" s="98" t="s">
        <v>1936</v>
      </c>
      <c r="E287" s="98" t="s">
        <v>105</v>
      </c>
      <c r="F287" s="98" t="s">
        <v>970</v>
      </c>
      <c r="G287" s="98">
        <v>1</v>
      </c>
      <c r="H287" s="98" t="s">
        <v>1935</v>
      </c>
      <c r="I287" s="98" t="s">
        <v>1936</v>
      </c>
      <c r="J287" s="98" t="s">
        <v>983</v>
      </c>
      <c r="K287" s="98" t="s">
        <v>1921</v>
      </c>
      <c r="L287" s="98" t="s">
        <v>1922</v>
      </c>
      <c r="M287" s="102">
        <v>17.420000000000002</v>
      </c>
      <c r="N287" s="104">
        <v>19.161999999999999</v>
      </c>
      <c r="O287" s="101">
        <f t="shared" si="9"/>
        <v>1.7419999999999973</v>
      </c>
      <c r="P287" s="102">
        <v>0</v>
      </c>
      <c r="Q287" s="102">
        <f t="shared" si="8"/>
        <v>17.420000000000002</v>
      </c>
      <c r="R287" s="98">
        <v>28</v>
      </c>
      <c r="S287" s="98">
        <v>500</v>
      </c>
      <c r="T287" s="98">
        <v>500</v>
      </c>
      <c r="U287" s="98"/>
      <c r="V287" s="103"/>
      <c r="W287" s="98"/>
      <c r="X287" s="98"/>
      <c r="Y287" s="98"/>
      <c r="Z287" s="98"/>
      <c r="AA287" s="102"/>
      <c r="AB287" s="98"/>
      <c r="AC287" s="98"/>
      <c r="AD287" s="102"/>
      <c r="AE287" s="98"/>
      <c r="AF287" s="98"/>
      <c r="AG287" s="102"/>
    </row>
    <row r="288" spans="1:33" ht="29.4" customHeight="1">
      <c r="A288" s="97">
        <v>298</v>
      </c>
      <c r="B288" s="98" t="s">
        <v>1914</v>
      </c>
      <c r="C288" s="98" t="s">
        <v>1937</v>
      </c>
      <c r="D288" s="98" t="s">
        <v>1938</v>
      </c>
      <c r="E288" s="98" t="s">
        <v>105</v>
      </c>
      <c r="F288" s="98" t="s">
        <v>970</v>
      </c>
      <c r="G288" s="98">
        <v>1</v>
      </c>
      <c r="H288" s="98" t="s">
        <v>1937</v>
      </c>
      <c r="I288" s="98" t="s">
        <v>1938</v>
      </c>
      <c r="J288" s="98" t="s">
        <v>983</v>
      </c>
      <c r="K288" s="98" t="s">
        <v>1921</v>
      </c>
      <c r="L288" s="98" t="s">
        <v>1922</v>
      </c>
      <c r="M288" s="102">
        <v>17.11</v>
      </c>
      <c r="N288" s="104">
        <v>18.821000000000002</v>
      </c>
      <c r="O288" s="101">
        <f t="shared" si="9"/>
        <v>1.7110000000000021</v>
      </c>
      <c r="P288" s="102">
        <v>0</v>
      </c>
      <c r="Q288" s="102">
        <f t="shared" si="8"/>
        <v>17.11</v>
      </c>
      <c r="R288" s="98">
        <v>28</v>
      </c>
      <c r="S288" s="98">
        <v>500</v>
      </c>
      <c r="T288" s="98">
        <v>500</v>
      </c>
      <c r="U288" s="98"/>
      <c r="V288" s="103"/>
      <c r="W288" s="98"/>
      <c r="X288" s="98"/>
      <c r="Y288" s="98"/>
      <c r="Z288" s="98"/>
      <c r="AA288" s="102"/>
      <c r="AB288" s="98"/>
      <c r="AC288" s="98"/>
      <c r="AD288" s="102"/>
      <c r="AE288" s="98"/>
      <c r="AF288" s="98"/>
      <c r="AG288" s="102"/>
    </row>
    <row r="289" spans="1:33" ht="29.4" customHeight="1">
      <c r="A289" s="97">
        <v>299</v>
      </c>
      <c r="B289" s="98" t="s">
        <v>1914</v>
      </c>
      <c r="C289" s="98" t="s">
        <v>1939</v>
      </c>
      <c r="D289" s="98" t="s">
        <v>1940</v>
      </c>
      <c r="E289" s="98" t="s">
        <v>105</v>
      </c>
      <c r="F289" s="98" t="s">
        <v>970</v>
      </c>
      <c r="G289" s="98">
        <v>1</v>
      </c>
      <c r="H289" s="98" t="s">
        <v>1939</v>
      </c>
      <c r="I289" s="98" t="s">
        <v>1940</v>
      </c>
      <c r="J289" s="98" t="s">
        <v>983</v>
      </c>
      <c r="K289" s="98" t="s">
        <v>1921</v>
      </c>
      <c r="L289" s="98" t="s">
        <v>1922</v>
      </c>
      <c r="M289" s="102">
        <v>16.850000000000001</v>
      </c>
      <c r="N289" s="104">
        <v>18.535</v>
      </c>
      <c r="O289" s="101">
        <f t="shared" si="9"/>
        <v>1.6849999999999987</v>
      </c>
      <c r="P289" s="102">
        <v>0</v>
      </c>
      <c r="Q289" s="102">
        <f t="shared" si="8"/>
        <v>16.850000000000001</v>
      </c>
      <c r="R289" s="98">
        <v>28</v>
      </c>
      <c r="S289" s="98">
        <v>500</v>
      </c>
      <c r="T289" s="98">
        <v>500</v>
      </c>
      <c r="U289" s="98"/>
      <c r="V289" s="103"/>
      <c r="W289" s="98"/>
      <c r="X289" s="98"/>
      <c r="Y289" s="98"/>
      <c r="Z289" s="98"/>
      <c r="AA289" s="102"/>
      <c r="AB289" s="98"/>
      <c r="AC289" s="98"/>
      <c r="AD289" s="102"/>
      <c r="AE289" s="98"/>
      <c r="AF289" s="98"/>
      <c r="AG289" s="102"/>
    </row>
    <row r="290" spans="1:33" ht="29.4" customHeight="1">
      <c r="A290" s="97">
        <v>300</v>
      </c>
      <c r="B290" s="98" t="s">
        <v>1914</v>
      </c>
      <c r="C290" s="98" t="s">
        <v>1941</v>
      </c>
      <c r="D290" s="98" t="s">
        <v>1942</v>
      </c>
      <c r="E290" s="98" t="s">
        <v>105</v>
      </c>
      <c r="F290" s="98" t="s">
        <v>970</v>
      </c>
      <c r="G290" s="98">
        <v>1</v>
      </c>
      <c r="H290" s="98" t="s">
        <v>1941</v>
      </c>
      <c r="I290" s="98" t="s">
        <v>1942</v>
      </c>
      <c r="J290" s="98" t="s">
        <v>983</v>
      </c>
      <c r="K290" s="98" t="s">
        <v>1921</v>
      </c>
      <c r="L290" s="98" t="s">
        <v>1922</v>
      </c>
      <c r="M290" s="102">
        <v>5.88</v>
      </c>
      <c r="N290" s="104">
        <v>6.5</v>
      </c>
      <c r="O290" s="101">
        <f t="shared" si="9"/>
        <v>0.62000000000000011</v>
      </c>
      <c r="P290" s="102">
        <v>0</v>
      </c>
      <c r="Q290" s="102">
        <f t="shared" si="8"/>
        <v>5.88</v>
      </c>
      <c r="R290" s="98">
        <v>28</v>
      </c>
      <c r="S290" s="98">
        <v>500</v>
      </c>
      <c r="T290" s="98">
        <v>500</v>
      </c>
      <c r="U290" s="98"/>
      <c r="V290" s="103"/>
      <c r="W290" s="98"/>
      <c r="X290" s="98"/>
      <c r="Y290" s="98"/>
      <c r="Z290" s="98"/>
      <c r="AA290" s="102"/>
      <c r="AB290" s="98"/>
      <c r="AC290" s="98"/>
      <c r="AD290" s="102"/>
      <c r="AE290" s="98"/>
      <c r="AF290" s="98"/>
      <c r="AG290" s="102"/>
    </row>
    <row r="291" spans="1:33" ht="29.4" customHeight="1">
      <c r="A291" s="97">
        <v>301</v>
      </c>
      <c r="B291" s="98" t="s">
        <v>1914</v>
      </c>
      <c r="C291" s="98" t="s">
        <v>1943</v>
      </c>
      <c r="D291" s="98" t="s">
        <v>1944</v>
      </c>
      <c r="E291" s="98" t="s">
        <v>105</v>
      </c>
      <c r="F291" s="98" t="s">
        <v>970</v>
      </c>
      <c r="G291" s="98">
        <v>1</v>
      </c>
      <c r="H291" s="98" t="s">
        <v>1943</v>
      </c>
      <c r="I291" s="98" t="s">
        <v>1944</v>
      </c>
      <c r="J291" s="98" t="s">
        <v>983</v>
      </c>
      <c r="K291" s="98" t="s">
        <v>1921</v>
      </c>
      <c r="L291" s="98" t="s">
        <v>1922</v>
      </c>
      <c r="M291" s="102">
        <v>5.88</v>
      </c>
      <c r="N291" s="104">
        <v>6.5</v>
      </c>
      <c r="O291" s="101">
        <f t="shared" si="9"/>
        <v>0.62000000000000011</v>
      </c>
      <c r="P291" s="102">
        <v>0</v>
      </c>
      <c r="Q291" s="102">
        <f t="shared" si="8"/>
        <v>5.88</v>
      </c>
      <c r="R291" s="98">
        <v>28</v>
      </c>
      <c r="S291" s="98">
        <v>500</v>
      </c>
      <c r="T291" s="98">
        <v>500</v>
      </c>
      <c r="U291" s="98"/>
      <c r="V291" s="103"/>
      <c r="W291" s="98"/>
      <c r="X291" s="98"/>
      <c r="Y291" s="98"/>
      <c r="Z291" s="98"/>
      <c r="AA291" s="102"/>
      <c r="AB291" s="98"/>
      <c r="AC291" s="98"/>
      <c r="AD291" s="102"/>
      <c r="AE291" s="98"/>
      <c r="AF291" s="98"/>
      <c r="AG291" s="102"/>
    </row>
    <row r="292" spans="1:33" ht="29.4" customHeight="1">
      <c r="A292" s="97">
        <v>302</v>
      </c>
      <c r="B292" s="98" t="s">
        <v>1914</v>
      </c>
      <c r="C292" s="98" t="s">
        <v>1945</v>
      </c>
      <c r="D292" s="98" t="s">
        <v>1946</v>
      </c>
      <c r="E292" s="98" t="s">
        <v>105</v>
      </c>
      <c r="F292" s="98" t="s">
        <v>970</v>
      </c>
      <c r="G292" s="98">
        <v>1</v>
      </c>
      <c r="H292" s="98" t="s">
        <v>1945</v>
      </c>
      <c r="I292" s="98" t="s">
        <v>1946</v>
      </c>
      <c r="J292" s="98" t="s">
        <v>983</v>
      </c>
      <c r="K292" s="98" t="s">
        <v>1921</v>
      </c>
      <c r="L292" s="98" t="s">
        <v>1922</v>
      </c>
      <c r="M292" s="102">
        <v>6.05</v>
      </c>
      <c r="N292" s="104">
        <v>6.52</v>
      </c>
      <c r="O292" s="101">
        <f t="shared" si="9"/>
        <v>0.46999999999999975</v>
      </c>
      <c r="P292" s="102">
        <v>0</v>
      </c>
      <c r="Q292" s="102">
        <f t="shared" si="8"/>
        <v>6.05</v>
      </c>
      <c r="R292" s="98">
        <v>28</v>
      </c>
      <c r="S292" s="98">
        <v>500</v>
      </c>
      <c r="T292" s="98">
        <v>500</v>
      </c>
      <c r="U292" s="98"/>
      <c r="V292" s="103"/>
      <c r="W292" s="98"/>
      <c r="X292" s="98"/>
      <c r="Y292" s="98"/>
      <c r="Z292" s="98"/>
      <c r="AA292" s="102"/>
      <c r="AB292" s="98"/>
      <c r="AC292" s="98"/>
      <c r="AD292" s="102"/>
      <c r="AE292" s="98"/>
      <c r="AF292" s="98"/>
      <c r="AG292" s="102"/>
    </row>
    <row r="293" spans="1:33" ht="29.4" customHeight="1">
      <c r="A293" s="97">
        <v>303</v>
      </c>
      <c r="B293" s="98" t="s">
        <v>1914</v>
      </c>
      <c r="C293" s="98" t="s">
        <v>1947</v>
      </c>
      <c r="D293" s="98" t="s">
        <v>1948</v>
      </c>
      <c r="E293" s="98" t="s">
        <v>105</v>
      </c>
      <c r="F293" s="98" t="s">
        <v>970</v>
      </c>
      <c r="G293" s="98">
        <v>1</v>
      </c>
      <c r="H293" s="98" t="s">
        <v>1947</v>
      </c>
      <c r="I293" s="98" t="s">
        <v>1948</v>
      </c>
      <c r="J293" s="98" t="s">
        <v>955</v>
      </c>
      <c r="K293" s="98" t="s">
        <v>1949</v>
      </c>
      <c r="L293" s="98" t="s">
        <v>1894</v>
      </c>
      <c r="M293" s="102">
        <v>16.100000000000001</v>
      </c>
      <c r="N293" s="104"/>
      <c r="O293" s="101"/>
      <c r="P293" s="102">
        <v>0</v>
      </c>
      <c r="Q293" s="102">
        <f t="shared" si="8"/>
        <v>16.100000000000001</v>
      </c>
      <c r="R293" s="98">
        <v>30</v>
      </c>
      <c r="S293" s="98">
        <v>1000</v>
      </c>
      <c r="T293" s="98">
        <v>1000</v>
      </c>
      <c r="U293" s="98"/>
      <c r="V293" s="103"/>
      <c r="W293" s="98"/>
      <c r="X293" s="98"/>
      <c r="Y293" s="98"/>
      <c r="Z293" s="98"/>
      <c r="AA293" s="102"/>
      <c r="AB293" s="98"/>
      <c r="AC293" s="98"/>
      <c r="AD293" s="102"/>
      <c r="AE293" s="98"/>
      <c r="AF293" s="98"/>
      <c r="AG293" s="102"/>
    </row>
    <row r="294" spans="1:33" ht="29.4" customHeight="1">
      <c r="A294" s="97">
        <v>304</v>
      </c>
      <c r="B294" s="98" t="s">
        <v>1914</v>
      </c>
      <c r="C294" s="98" t="s">
        <v>1950</v>
      </c>
      <c r="D294" s="98" t="s">
        <v>1951</v>
      </c>
      <c r="E294" s="98" t="s">
        <v>105</v>
      </c>
      <c r="F294" s="98" t="s">
        <v>136</v>
      </c>
      <c r="G294" s="98">
        <v>1</v>
      </c>
      <c r="H294" s="98" t="s">
        <v>1950</v>
      </c>
      <c r="I294" s="98" t="s">
        <v>1951</v>
      </c>
      <c r="J294" s="98" t="s">
        <v>115</v>
      </c>
      <c r="K294" s="98" t="s">
        <v>1911</v>
      </c>
      <c r="L294" s="98" t="s">
        <v>1912</v>
      </c>
      <c r="M294" s="102">
        <v>5.2999999999999999E-2</v>
      </c>
      <c r="N294" s="104"/>
      <c r="O294" s="101"/>
      <c r="P294" s="102">
        <v>0</v>
      </c>
      <c r="Q294" s="102">
        <f t="shared" si="8"/>
        <v>5.2999999999999999E-2</v>
      </c>
      <c r="R294" s="98">
        <v>14</v>
      </c>
      <c r="S294" s="98">
        <v>2000</v>
      </c>
      <c r="T294" s="98">
        <v>1</v>
      </c>
      <c r="U294" s="98"/>
      <c r="V294" s="103"/>
      <c r="W294" s="98"/>
      <c r="X294" s="98"/>
      <c r="Y294" s="98"/>
      <c r="Z294" s="98"/>
      <c r="AA294" s="102"/>
      <c r="AB294" s="98"/>
      <c r="AC294" s="98"/>
      <c r="AD294" s="102"/>
      <c r="AE294" s="98"/>
      <c r="AF294" s="98"/>
      <c r="AG294" s="102"/>
    </row>
    <row r="295" spans="1:33" ht="29.4" customHeight="1">
      <c r="A295" s="97">
        <v>305</v>
      </c>
      <c r="B295" s="98" t="s">
        <v>1914</v>
      </c>
      <c r="C295" s="98" t="s">
        <v>1952</v>
      </c>
      <c r="D295" s="98" t="s">
        <v>1953</v>
      </c>
      <c r="E295" s="98" t="s">
        <v>105</v>
      </c>
      <c r="F295" s="98" t="s">
        <v>136</v>
      </c>
      <c r="G295" s="98">
        <v>1</v>
      </c>
      <c r="H295" s="98" t="s">
        <v>1952</v>
      </c>
      <c r="I295" s="98" t="s">
        <v>1953</v>
      </c>
      <c r="J295" s="98" t="s">
        <v>115</v>
      </c>
      <c r="K295" s="98" t="s">
        <v>1911</v>
      </c>
      <c r="L295" s="98" t="s">
        <v>1912</v>
      </c>
      <c r="M295" s="102">
        <v>1.389</v>
      </c>
      <c r="N295" s="104"/>
      <c r="O295" s="101"/>
      <c r="P295" s="102">
        <v>0</v>
      </c>
      <c r="Q295" s="102">
        <f t="shared" si="8"/>
        <v>1.389</v>
      </c>
      <c r="R295" s="98">
        <v>1</v>
      </c>
      <c r="S295" s="98">
        <v>1</v>
      </c>
      <c r="T295" s="98">
        <v>1</v>
      </c>
      <c r="U295" s="98"/>
      <c r="V295" s="103"/>
      <c r="W295" s="98"/>
      <c r="X295" s="98"/>
      <c r="Y295" s="98"/>
      <c r="Z295" s="98"/>
      <c r="AA295" s="102"/>
      <c r="AB295" s="98"/>
      <c r="AC295" s="98"/>
      <c r="AD295" s="102"/>
      <c r="AE295" s="98"/>
      <c r="AF295" s="98"/>
      <c r="AG295" s="102"/>
    </row>
    <row r="296" spans="1:33" ht="29.4" customHeight="1">
      <c r="A296" s="97">
        <v>306</v>
      </c>
      <c r="B296" s="98" t="s">
        <v>1914</v>
      </c>
      <c r="C296" s="98" t="s">
        <v>968</v>
      </c>
      <c r="D296" s="98" t="s">
        <v>969</v>
      </c>
      <c r="E296" s="98" t="s">
        <v>105</v>
      </c>
      <c r="F296" s="98" t="s">
        <v>970</v>
      </c>
      <c r="G296" s="98">
        <v>4</v>
      </c>
      <c r="H296" s="98" t="s">
        <v>968</v>
      </c>
      <c r="I296" s="98" t="s">
        <v>971</v>
      </c>
      <c r="J296" s="98" t="s">
        <v>138</v>
      </c>
      <c r="K296" s="98" t="s">
        <v>972</v>
      </c>
      <c r="L296" s="98" t="s">
        <v>973</v>
      </c>
      <c r="M296" s="102">
        <v>0.11799999999999999</v>
      </c>
      <c r="N296" s="104"/>
      <c r="O296" s="101"/>
      <c r="P296" s="102">
        <v>0</v>
      </c>
      <c r="Q296" s="102">
        <f t="shared" si="8"/>
        <v>0.47199999999999998</v>
      </c>
      <c r="R296" s="98">
        <v>21</v>
      </c>
      <c r="S296" s="98">
        <v>10000</v>
      </c>
      <c r="T296" s="98"/>
      <c r="U296" s="98"/>
      <c r="V296" s="103"/>
      <c r="W296" s="98"/>
      <c r="X296" s="98"/>
      <c r="Y296" s="98"/>
      <c r="Z296" s="98"/>
      <c r="AA296" s="102"/>
      <c r="AB296" s="98"/>
      <c r="AC296" s="98"/>
      <c r="AD296" s="102"/>
      <c r="AE296" s="98"/>
      <c r="AF296" s="98"/>
      <c r="AG296" s="102"/>
    </row>
    <row r="297" spans="1:33" ht="29.4" customHeight="1">
      <c r="A297" s="97">
        <v>307</v>
      </c>
      <c r="B297" s="98" t="s">
        <v>1914</v>
      </c>
      <c r="C297" s="98" t="s">
        <v>1954</v>
      </c>
      <c r="D297" s="98" t="s">
        <v>1955</v>
      </c>
      <c r="E297" s="98" t="s">
        <v>105</v>
      </c>
      <c r="F297" s="98" t="s">
        <v>970</v>
      </c>
      <c r="G297" s="98">
        <v>14</v>
      </c>
      <c r="H297" s="98" t="s">
        <v>1954</v>
      </c>
      <c r="I297" s="98" t="s">
        <v>1955</v>
      </c>
      <c r="J297" s="98" t="s">
        <v>138</v>
      </c>
      <c r="K297" s="98" t="s">
        <v>978</v>
      </c>
      <c r="L297" s="98" t="s">
        <v>979</v>
      </c>
      <c r="M297" s="102">
        <v>0.13</v>
      </c>
      <c r="N297" s="104"/>
      <c r="O297" s="101"/>
      <c r="P297" s="102">
        <v>0</v>
      </c>
      <c r="Q297" s="102">
        <f t="shared" si="8"/>
        <v>1.82</v>
      </c>
      <c r="R297" s="98">
        <v>30</v>
      </c>
      <c r="S297" s="98">
        <v>5000</v>
      </c>
      <c r="T297" s="98"/>
      <c r="U297" s="98"/>
      <c r="V297" s="103"/>
      <c r="W297" s="98"/>
      <c r="X297" s="98"/>
      <c r="Y297" s="98"/>
      <c r="Z297" s="98"/>
      <c r="AA297" s="102"/>
      <c r="AB297" s="98"/>
      <c r="AC297" s="98"/>
      <c r="AD297" s="102"/>
      <c r="AE297" s="98"/>
      <c r="AF297" s="98"/>
      <c r="AG297" s="102"/>
    </row>
    <row r="298" spans="1:33" ht="29.4" customHeight="1">
      <c r="A298" s="97">
        <v>308</v>
      </c>
      <c r="B298" s="98" t="s">
        <v>1914</v>
      </c>
      <c r="C298" s="98" t="s">
        <v>1956</v>
      </c>
      <c r="D298" s="98" t="s">
        <v>1957</v>
      </c>
      <c r="E298" s="98" t="s">
        <v>105</v>
      </c>
      <c r="F298" s="98" t="s">
        <v>970</v>
      </c>
      <c r="G298" s="98">
        <v>4</v>
      </c>
      <c r="H298" s="98" t="s">
        <v>1956</v>
      </c>
      <c r="I298" s="98" t="s">
        <v>1958</v>
      </c>
      <c r="J298" s="98" t="s">
        <v>936</v>
      </c>
      <c r="K298" s="98" t="s">
        <v>1959</v>
      </c>
      <c r="L298" s="98" t="s">
        <v>973</v>
      </c>
      <c r="M298" s="102">
        <v>8.5000000000000006E-2</v>
      </c>
      <c r="N298" s="104"/>
      <c r="O298" s="101"/>
      <c r="P298" s="102">
        <v>0</v>
      </c>
      <c r="Q298" s="102">
        <f t="shared" si="8"/>
        <v>0.34</v>
      </c>
      <c r="R298" s="98">
        <v>21</v>
      </c>
      <c r="S298" s="98">
        <v>5000</v>
      </c>
      <c r="T298" s="98">
        <v>5000</v>
      </c>
      <c r="U298" s="98"/>
      <c r="V298" s="103"/>
      <c r="W298" s="98"/>
      <c r="X298" s="98"/>
      <c r="Y298" s="98"/>
      <c r="Z298" s="98"/>
      <c r="AA298" s="102"/>
      <c r="AB298" s="98"/>
      <c r="AC298" s="98"/>
      <c r="AD298" s="102"/>
      <c r="AE298" s="98"/>
      <c r="AF298" s="98"/>
      <c r="AG298" s="102"/>
    </row>
    <row r="299" spans="1:33" ht="29.4" customHeight="1">
      <c r="A299" s="97">
        <v>309</v>
      </c>
      <c r="B299" s="98" t="s">
        <v>1914</v>
      </c>
      <c r="C299" s="98" t="s">
        <v>1960</v>
      </c>
      <c r="D299" s="98" t="s">
        <v>1961</v>
      </c>
      <c r="E299" s="98" t="s">
        <v>105</v>
      </c>
      <c r="F299" s="98" t="s">
        <v>970</v>
      </c>
      <c r="G299" s="98">
        <v>3</v>
      </c>
      <c r="H299" s="98" t="s">
        <v>1960</v>
      </c>
      <c r="I299" s="98" t="s">
        <v>1962</v>
      </c>
      <c r="J299" s="98" t="s">
        <v>936</v>
      </c>
      <c r="K299" s="98" t="s">
        <v>1959</v>
      </c>
      <c r="L299" s="98" t="s">
        <v>973</v>
      </c>
      <c r="M299" s="102">
        <v>0.14000000000000001</v>
      </c>
      <c r="N299" s="104"/>
      <c r="O299" s="101"/>
      <c r="P299" s="102">
        <v>0</v>
      </c>
      <c r="Q299" s="102">
        <f t="shared" si="8"/>
        <v>0.42000000000000004</v>
      </c>
      <c r="R299" s="98">
        <v>14</v>
      </c>
      <c r="S299" s="98">
        <v>10000</v>
      </c>
      <c r="T299" s="98">
        <v>1000</v>
      </c>
      <c r="U299" s="98"/>
      <c r="V299" s="103"/>
      <c r="W299" s="98"/>
      <c r="X299" s="98"/>
      <c r="Y299" s="98"/>
      <c r="Z299" s="98"/>
      <c r="AA299" s="102"/>
      <c r="AB299" s="98"/>
      <c r="AC299" s="98"/>
      <c r="AD299" s="102"/>
      <c r="AE299" s="98"/>
      <c r="AF299" s="98"/>
      <c r="AG299" s="102"/>
    </row>
    <row r="300" spans="1:33" ht="29.4" customHeight="1">
      <c r="A300" s="97">
        <v>310</v>
      </c>
      <c r="B300" s="98" t="s">
        <v>1914</v>
      </c>
      <c r="C300" s="98" t="s">
        <v>1963</v>
      </c>
      <c r="D300" s="98" t="s">
        <v>1964</v>
      </c>
      <c r="E300" s="98" t="s">
        <v>105</v>
      </c>
      <c r="F300" s="98" t="s">
        <v>970</v>
      </c>
      <c r="G300" s="98">
        <v>3</v>
      </c>
      <c r="H300" s="98" t="s">
        <v>1963</v>
      </c>
      <c r="I300" s="98" t="s">
        <v>1965</v>
      </c>
      <c r="J300" s="98" t="s">
        <v>936</v>
      </c>
      <c r="K300" s="98" t="s">
        <v>1959</v>
      </c>
      <c r="L300" s="98" t="s">
        <v>973</v>
      </c>
      <c r="M300" s="102">
        <v>1.2</v>
      </c>
      <c r="N300" s="104"/>
      <c r="O300" s="101"/>
      <c r="P300" s="102">
        <v>0</v>
      </c>
      <c r="Q300" s="102">
        <f t="shared" si="8"/>
        <v>3.5999999999999996</v>
      </c>
      <c r="R300" s="98">
        <v>14</v>
      </c>
      <c r="S300" s="98">
        <v>1000</v>
      </c>
      <c r="T300" s="98">
        <v>1000</v>
      </c>
      <c r="U300" s="98"/>
      <c r="V300" s="103"/>
      <c r="W300" s="98"/>
      <c r="X300" s="98"/>
      <c r="Y300" s="98"/>
      <c r="Z300" s="98"/>
      <c r="AA300" s="102"/>
      <c r="AB300" s="98"/>
      <c r="AC300" s="98"/>
      <c r="AD300" s="102"/>
      <c r="AE300" s="98"/>
      <c r="AF300" s="98"/>
      <c r="AG300" s="102"/>
    </row>
    <row r="301" spans="1:33" ht="29.4" customHeight="1">
      <c r="A301" s="97">
        <v>311</v>
      </c>
      <c r="B301" s="98" t="s">
        <v>1914</v>
      </c>
      <c r="C301" s="98" t="s">
        <v>1966</v>
      </c>
      <c r="D301" s="98" t="s">
        <v>1967</v>
      </c>
      <c r="E301" s="98" t="s">
        <v>105</v>
      </c>
      <c r="F301" s="98" t="s">
        <v>989</v>
      </c>
      <c r="G301" s="98">
        <v>1</v>
      </c>
      <c r="H301" s="98" t="s">
        <v>1966</v>
      </c>
      <c r="I301" s="98" t="s">
        <v>1967</v>
      </c>
      <c r="J301" s="98" t="s">
        <v>983</v>
      </c>
      <c r="K301" s="98" t="s">
        <v>1968</v>
      </c>
      <c r="L301" s="98" t="s">
        <v>1969</v>
      </c>
      <c r="M301" s="102">
        <v>60</v>
      </c>
      <c r="N301" s="104"/>
      <c r="O301" s="101"/>
      <c r="P301" s="102">
        <v>0</v>
      </c>
      <c r="Q301" s="102">
        <f t="shared" si="8"/>
        <v>60</v>
      </c>
      <c r="R301" s="98">
        <v>28</v>
      </c>
      <c r="S301" s="98">
        <v>200</v>
      </c>
      <c r="T301" s="98">
        <v>1</v>
      </c>
      <c r="U301" s="98"/>
      <c r="V301" s="103"/>
      <c r="W301" s="98"/>
      <c r="X301" s="98"/>
      <c r="Y301" s="98"/>
      <c r="Z301" s="98"/>
      <c r="AA301" s="102"/>
      <c r="AB301" s="98"/>
      <c r="AC301" s="98"/>
      <c r="AD301" s="102"/>
      <c r="AE301" s="98"/>
      <c r="AF301" s="98"/>
      <c r="AG301" s="102"/>
    </row>
    <row r="302" spans="1:33" ht="29.4" customHeight="1">
      <c r="A302" s="97">
        <v>312</v>
      </c>
      <c r="B302" s="98" t="s">
        <v>1914</v>
      </c>
      <c r="C302" s="98" t="s">
        <v>1970</v>
      </c>
      <c r="D302" s="98" t="s">
        <v>1971</v>
      </c>
      <c r="E302" s="98" t="s">
        <v>105</v>
      </c>
      <c r="F302" s="98" t="s">
        <v>989</v>
      </c>
      <c r="G302" s="98">
        <v>1</v>
      </c>
      <c r="H302" s="98" t="s">
        <v>1970</v>
      </c>
      <c r="I302" s="98" t="s">
        <v>1971</v>
      </c>
      <c r="J302" s="98" t="s">
        <v>983</v>
      </c>
      <c r="K302" s="98" t="s">
        <v>1968</v>
      </c>
      <c r="L302" s="98" t="s">
        <v>1969</v>
      </c>
      <c r="M302" s="102">
        <v>33</v>
      </c>
      <c r="N302" s="104"/>
      <c r="O302" s="101"/>
      <c r="P302" s="102">
        <v>0</v>
      </c>
      <c r="Q302" s="102">
        <f t="shared" si="8"/>
        <v>33</v>
      </c>
      <c r="R302" s="98">
        <v>28</v>
      </c>
      <c r="S302" s="98">
        <v>200</v>
      </c>
      <c r="T302" s="98">
        <v>1</v>
      </c>
      <c r="U302" s="98"/>
      <c r="V302" s="103"/>
      <c r="W302" s="98"/>
      <c r="X302" s="98"/>
      <c r="Y302" s="98"/>
      <c r="Z302" s="98"/>
      <c r="AA302" s="102"/>
      <c r="AB302" s="98"/>
      <c r="AC302" s="98"/>
      <c r="AD302" s="102"/>
      <c r="AE302" s="98"/>
      <c r="AF302" s="98"/>
      <c r="AG302" s="102"/>
    </row>
    <row r="303" spans="1:33" ht="29.4" customHeight="1">
      <c r="A303" s="97">
        <v>313</v>
      </c>
      <c r="B303" s="98" t="s">
        <v>1914</v>
      </c>
      <c r="C303" s="98" t="s">
        <v>1972</v>
      </c>
      <c r="D303" s="98" t="s">
        <v>1973</v>
      </c>
      <c r="E303" s="98" t="s">
        <v>105</v>
      </c>
      <c r="F303" s="98" t="s">
        <v>970</v>
      </c>
      <c r="G303" s="98">
        <v>1</v>
      </c>
      <c r="H303" s="98" t="s">
        <v>1972</v>
      </c>
      <c r="I303" s="98" t="s">
        <v>1973</v>
      </c>
      <c r="J303" s="98" t="s">
        <v>1974</v>
      </c>
      <c r="K303" s="98" t="s">
        <v>1968</v>
      </c>
      <c r="L303" s="98" t="s">
        <v>1969</v>
      </c>
      <c r="M303" s="100">
        <v>1.9</v>
      </c>
      <c r="N303" s="101"/>
      <c r="O303" s="101"/>
      <c r="P303" s="102">
        <v>0</v>
      </c>
      <c r="Q303" s="102">
        <f t="shared" si="8"/>
        <v>1.9</v>
      </c>
      <c r="R303" s="98">
        <v>28</v>
      </c>
      <c r="S303" s="98"/>
      <c r="T303" s="98"/>
      <c r="U303" s="98"/>
      <c r="V303" s="103"/>
      <c r="W303" s="98"/>
      <c r="X303" s="98"/>
      <c r="Y303" s="98"/>
      <c r="Z303" s="98"/>
      <c r="AA303" s="102"/>
      <c r="AB303" s="98"/>
      <c r="AC303" s="98"/>
      <c r="AD303" s="102"/>
      <c r="AE303" s="98"/>
      <c r="AF303" s="98"/>
      <c r="AG303" s="102"/>
    </row>
    <row r="304" spans="1:33" ht="29.4" customHeight="1">
      <c r="A304" s="97">
        <v>314</v>
      </c>
      <c r="B304" s="98" t="s">
        <v>1914</v>
      </c>
      <c r="C304" s="98" t="s">
        <v>1975</v>
      </c>
      <c r="D304" s="98" t="s">
        <v>1976</v>
      </c>
      <c r="E304" s="98" t="s">
        <v>105</v>
      </c>
      <c r="F304" s="98" t="s">
        <v>989</v>
      </c>
      <c r="G304" s="98">
        <v>1</v>
      </c>
      <c r="H304" s="98" t="s">
        <v>1975</v>
      </c>
      <c r="I304" s="98" t="s">
        <v>1976</v>
      </c>
      <c r="J304" s="98" t="s">
        <v>1977</v>
      </c>
      <c r="K304" s="98" t="s">
        <v>1978</v>
      </c>
      <c r="L304" s="98" t="s">
        <v>1979</v>
      </c>
      <c r="M304" s="102">
        <v>7.9203999999999999</v>
      </c>
      <c r="N304" s="104"/>
      <c r="O304" s="101"/>
      <c r="P304" s="102">
        <v>0</v>
      </c>
      <c r="Q304" s="102">
        <f t="shared" si="8"/>
        <v>7.9203999999999999</v>
      </c>
      <c r="R304" s="98">
        <v>28</v>
      </c>
      <c r="S304" s="98">
        <v>1000</v>
      </c>
      <c r="T304" s="98">
        <v>100</v>
      </c>
      <c r="U304" s="98"/>
      <c r="V304" s="103"/>
      <c r="W304" s="98"/>
      <c r="X304" s="98"/>
      <c r="Y304" s="98"/>
      <c r="Z304" s="98"/>
      <c r="AA304" s="102"/>
      <c r="AB304" s="98"/>
      <c r="AC304" s="98"/>
      <c r="AD304" s="102"/>
      <c r="AE304" s="98"/>
      <c r="AF304" s="98"/>
      <c r="AG304" s="102"/>
    </row>
    <row r="305" spans="1:33" ht="29.4" customHeight="1">
      <c r="A305" s="97">
        <v>315</v>
      </c>
      <c r="B305" s="98" t="s">
        <v>1914</v>
      </c>
      <c r="C305" s="98" t="s">
        <v>1980</v>
      </c>
      <c r="D305" s="98" t="s">
        <v>1981</v>
      </c>
      <c r="E305" s="98" t="s">
        <v>105</v>
      </c>
      <c r="F305" s="98" t="s">
        <v>970</v>
      </c>
      <c r="G305" s="98">
        <v>1</v>
      </c>
      <c r="H305" s="98" t="s">
        <v>1980</v>
      </c>
      <c r="I305" s="98" t="s">
        <v>1981</v>
      </c>
      <c r="J305" s="98" t="s">
        <v>1977</v>
      </c>
      <c r="K305" s="98" t="s">
        <v>1978</v>
      </c>
      <c r="L305" s="98" t="s">
        <v>1979</v>
      </c>
      <c r="M305" s="102">
        <v>4.1326999999999998</v>
      </c>
      <c r="N305" s="104"/>
      <c r="O305" s="101"/>
      <c r="P305" s="102">
        <v>0</v>
      </c>
      <c r="Q305" s="102">
        <f t="shared" si="8"/>
        <v>4.1326999999999998</v>
      </c>
      <c r="R305" s="98">
        <v>28</v>
      </c>
      <c r="S305" s="98">
        <v>1000</v>
      </c>
      <c r="T305" s="98">
        <v>100</v>
      </c>
      <c r="U305" s="98"/>
      <c r="V305" s="103"/>
      <c r="W305" s="98"/>
      <c r="X305" s="98"/>
      <c r="Y305" s="98"/>
      <c r="Z305" s="98"/>
      <c r="AA305" s="102"/>
      <c r="AB305" s="98"/>
      <c r="AC305" s="98"/>
      <c r="AD305" s="102"/>
      <c r="AE305" s="98"/>
      <c r="AF305" s="98"/>
      <c r="AG305" s="102"/>
    </row>
    <row r="306" spans="1:33" ht="29.4" customHeight="1">
      <c r="A306" s="97">
        <v>316</v>
      </c>
      <c r="B306" s="98" t="s">
        <v>1914</v>
      </c>
      <c r="C306" s="98" t="s">
        <v>1982</v>
      </c>
      <c r="D306" s="98" t="s">
        <v>1983</v>
      </c>
      <c r="E306" s="98" t="s">
        <v>105</v>
      </c>
      <c r="F306" s="98" t="s">
        <v>970</v>
      </c>
      <c r="G306" s="98">
        <v>1</v>
      </c>
      <c r="H306" s="98" t="s">
        <v>1982</v>
      </c>
      <c r="I306" s="98" t="s">
        <v>1983</v>
      </c>
      <c r="J306" s="98" t="s">
        <v>1977</v>
      </c>
      <c r="K306" s="98" t="s">
        <v>1978</v>
      </c>
      <c r="L306" s="98" t="s">
        <v>1979</v>
      </c>
      <c r="M306" s="102">
        <v>4.1326999999999998</v>
      </c>
      <c r="N306" s="104"/>
      <c r="O306" s="101"/>
      <c r="P306" s="102">
        <v>0</v>
      </c>
      <c r="Q306" s="102">
        <f t="shared" si="8"/>
        <v>4.1326999999999998</v>
      </c>
      <c r="R306" s="98">
        <v>28</v>
      </c>
      <c r="S306" s="98">
        <v>1000</v>
      </c>
      <c r="T306" s="98">
        <v>100</v>
      </c>
      <c r="U306" s="98"/>
      <c r="V306" s="103"/>
      <c r="W306" s="98"/>
      <c r="X306" s="98"/>
      <c r="Y306" s="98"/>
      <c r="Z306" s="98"/>
      <c r="AA306" s="102"/>
      <c r="AB306" s="98"/>
      <c r="AC306" s="98"/>
      <c r="AD306" s="102"/>
      <c r="AE306" s="98"/>
      <c r="AF306" s="98"/>
      <c r="AG306" s="102"/>
    </row>
    <row r="307" spans="1:33" ht="29.4" customHeight="1">
      <c r="A307" s="97">
        <v>317</v>
      </c>
      <c r="B307" s="98" t="s">
        <v>1914</v>
      </c>
      <c r="C307" s="98" t="s">
        <v>1984</v>
      </c>
      <c r="D307" s="98" t="s">
        <v>1985</v>
      </c>
      <c r="E307" s="98" t="s">
        <v>105</v>
      </c>
      <c r="F307" s="98" t="s">
        <v>989</v>
      </c>
      <c r="G307" s="98">
        <v>3</v>
      </c>
      <c r="H307" s="98" t="s">
        <v>1984</v>
      </c>
      <c r="I307" s="98" t="s">
        <v>1986</v>
      </c>
      <c r="J307" s="98" t="s">
        <v>1987</v>
      </c>
      <c r="K307" s="98" t="s">
        <v>1988</v>
      </c>
      <c r="L307" s="98" t="s">
        <v>1989</v>
      </c>
      <c r="M307" s="100">
        <v>0.68200000000000005</v>
      </c>
      <c r="N307" s="101"/>
      <c r="O307" s="101"/>
      <c r="P307" s="102">
        <v>0</v>
      </c>
      <c r="Q307" s="102">
        <f t="shared" si="8"/>
        <v>2.0460000000000003</v>
      </c>
      <c r="R307" s="98">
        <v>14</v>
      </c>
      <c r="S307" s="98">
        <v>500</v>
      </c>
      <c r="T307" s="98">
        <v>500</v>
      </c>
      <c r="U307" s="98"/>
      <c r="V307" s="103"/>
      <c r="W307" s="98"/>
      <c r="X307" s="98"/>
      <c r="Y307" s="98"/>
      <c r="Z307" s="98"/>
      <c r="AA307" s="102"/>
      <c r="AB307" s="98"/>
      <c r="AC307" s="98"/>
      <c r="AD307" s="102"/>
      <c r="AE307" s="98"/>
      <c r="AF307" s="98"/>
      <c r="AG307" s="102"/>
    </row>
    <row r="308" spans="1:33" ht="29.4" customHeight="1">
      <c r="A308" s="97">
        <v>318</v>
      </c>
      <c r="B308" s="98" t="s">
        <v>1914</v>
      </c>
      <c r="C308" s="98" t="s">
        <v>1990</v>
      </c>
      <c r="D308" s="98" t="s">
        <v>1991</v>
      </c>
      <c r="E308" s="98" t="s">
        <v>105</v>
      </c>
      <c r="F308" s="98" t="s">
        <v>929</v>
      </c>
      <c r="G308" s="98">
        <v>2</v>
      </c>
      <c r="H308" s="98" t="s">
        <v>1990</v>
      </c>
      <c r="I308" s="98" t="s">
        <v>1991</v>
      </c>
      <c r="J308" s="98" t="s">
        <v>1977</v>
      </c>
      <c r="K308" s="98" t="s">
        <v>1992</v>
      </c>
      <c r="L308" s="98" t="s">
        <v>1993</v>
      </c>
      <c r="M308" s="102">
        <v>0.25</v>
      </c>
      <c r="N308" s="104"/>
      <c r="O308" s="101"/>
      <c r="P308" s="102">
        <v>0</v>
      </c>
      <c r="Q308" s="102">
        <f t="shared" si="8"/>
        <v>0.5</v>
      </c>
      <c r="R308" s="98">
        <v>21</v>
      </c>
      <c r="S308" s="98">
        <v>2000</v>
      </c>
      <c r="T308" s="98">
        <v>200</v>
      </c>
      <c r="U308" s="98"/>
      <c r="V308" s="103"/>
      <c r="W308" s="98"/>
      <c r="X308" s="98"/>
      <c r="Y308" s="98"/>
      <c r="Z308" s="98"/>
      <c r="AA308" s="102"/>
      <c r="AB308" s="98"/>
      <c r="AC308" s="98"/>
      <c r="AD308" s="102"/>
      <c r="AE308" s="98"/>
      <c r="AF308" s="98"/>
      <c r="AG308" s="102"/>
    </row>
    <row r="309" spans="1:33" ht="29.4" customHeight="1">
      <c r="A309" s="97">
        <v>319</v>
      </c>
      <c r="B309" s="98" t="s">
        <v>1914</v>
      </c>
      <c r="C309" s="98" t="s">
        <v>1994</v>
      </c>
      <c r="D309" s="98" t="s">
        <v>1995</v>
      </c>
      <c r="E309" s="98" t="s">
        <v>105</v>
      </c>
      <c r="F309" s="98" t="s">
        <v>989</v>
      </c>
      <c r="G309" s="98">
        <v>1</v>
      </c>
      <c r="H309" s="98" t="s">
        <v>1994</v>
      </c>
      <c r="I309" s="98" t="s">
        <v>1995</v>
      </c>
      <c r="J309" s="98" t="s">
        <v>1977</v>
      </c>
      <c r="K309" s="98" t="s">
        <v>1988</v>
      </c>
      <c r="L309" s="98" t="s">
        <v>1989</v>
      </c>
      <c r="M309" s="102">
        <v>0.12</v>
      </c>
      <c r="N309" s="104"/>
      <c r="O309" s="101"/>
      <c r="P309" s="102">
        <v>0</v>
      </c>
      <c r="Q309" s="102">
        <f t="shared" si="8"/>
        <v>0.12</v>
      </c>
      <c r="R309" s="98">
        <v>7</v>
      </c>
      <c r="S309" s="98">
        <v>5000</v>
      </c>
      <c r="T309" s="98">
        <v>500</v>
      </c>
      <c r="U309" s="98"/>
      <c r="V309" s="103"/>
      <c r="W309" s="98"/>
      <c r="X309" s="98"/>
      <c r="Y309" s="98"/>
      <c r="Z309" s="98"/>
      <c r="AA309" s="102"/>
      <c r="AB309" s="98"/>
      <c r="AC309" s="98"/>
      <c r="AD309" s="102"/>
      <c r="AE309" s="98"/>
      <c r="AF309" s="98"/>
      <c r="AG309" s="102"/>
    </row>
    <row r="310" spans="1:33" ht="29.4" customHeight="1">
      <c r="A310" s="97">
        <v>17</v>
      </c>
      <c r="B310" s="98" t="s">
        <v>102</v>
      </c>
      <c r="C310" s="98" t="s">
        <v>103</v>
      </c>
      <c r="D310" s="98" t="s">
        <v>104</v>
      </c>
      <c r="E310" s="98" t="s">
        <v>105</v>
      </c>
      <c r="F310" s="98" t="s">
        <v>106</v>
      </c>
      <c r="G310" s="98">
        <v>2</v>
      </c>
      <c r="H310" s="98" t="s">
        <v>103</v>
      </c>
      <c r="I310" s="98" t="s">
        <v>107</v>
      </c>
      <c r="J310" s="98" t="s">
        <v>1987</v>
      </c>
      <c r="K310" s="98" t="s">
        <v>109</v>
      </c>
      <c r="L310" s="98" t="s">
        <v>110</v>
      </c>
      <c r="M310" s="102">
        <v>9.9000000000000005E-2</v>
      </c>
      <c r="N310" s="104"/>
      <c r="O310" s="101"/>
      <c r="P310" s="102">
        <v>0</v>
      </c>
      <c r="Q310" s="102">
        <f t="shared" si="8"/>
        <v>0.19800000000000001</v>
      </c>
      <c r="R310" s="98">
        <v>21</v>
      </c>
      <c r="S310" s="98">
        <v>10000</v>
      </c>
      <c r="T310" s="98"/>
      <c r="U310" s="98"/>
      <c r="V310" s="103"/>
      <c r="W310" s="98"/>
      <c r="X310" s="98"/>
      <c r="Y310" s="98"/>
      <c r="Z310" s="98"/>
      <c r="AA310" s="102"/>
      <c r="AB310" s="98"/>
      <c r="AC310" s="98"/>
      <c r="AD310" s="102"/>
      <c r="AE310" s="98"/>
      <c r="AF310" s="98"/>
      <c r="AG310" s="102"/>
    </row>
    <row r="311" spans="1:33" ht="29.4" customHeight="1">
      <c r="A311" s="97">
        <v>18</v>
      </c>
      <c r="B311" s="98" t="s">
        <v>102</v>
      </c>
      <c r="C311" s="98" t="s">
        <v>2027</v>
      </c>
      <c r="D311" s="98" t="s">
        <v>2028</v>
      </c>
      <c r="E311" s="98" t="s">
        <v>105</v>
      </c>
      <c r="F311" s="98" t="s">
        <v>114</v>
      </c>
      <c r="G311" s="98">
        <v>1</v>
      </c>
      <c r="H311" s="98" t="s">
        <v>2027</v>
      </c>
      <c r="I311" s="98" t="s">
        <v>2028</v>
      </c>
      <c r="J311" s="98" t="s">
        <v>138</v>
      </c>
      <c r="K311" s="98" t="s">
        <v>116</v>
      </c>
      <c r="L311" s="98" t="s">
        <v>117</v>
      </c>
      <c r="M311" s="100">
        <v>10.98</v>
      </c>
      <c r="N311" s="101"/>
      <c r="O311" s="101"/>
      <c r="P311" s="102">
        <v>0</v>
      </c>
      <c r="Q311" s="102">
        <f t="shared" si="8"/>
        <v>10.98</v>
      </c>
      <c r="R311" s="98">
        <v>14</v>
      </c>
      <c r="S311" s="98">
        <v>1</v>
      </c>
      <c r="T311" s="98">
        <v>1</v>
      </c>
      <c r="U311" s="98"/>
      <c r="V311" s="103"/>
      <c r="W311" s="98"/>
      <c r="X311" s="98"/>
      <c r="Y311" s="98"/>
      <c r="Z311" s="98"/>
      <c r="AA311" s="102"/>
      <c r="AB311" s="98"/>
      <c r="AC311" s="98"/>
      <c r="AD311" s="102"/>
      <c r="AE311" s="98"/>
      <c r="AF311" s="98"/>
      <c r="AG311" s="102"/>
    </row>
    <row r="312" spans="1:33" ht="29.4" customHeight="1">
      <c r="A312" s="97">
        <v>19</v>
      </c>
      <c r="B312" s="98" t="s">
        <v>102</v>
      </c>
      <c r="C312" s="98" t="s">
        <v>118</v>
      </c>
      <c r="D312" s="98" t="s">
        <v>119</v>
      </c>
      <c r="E312" s="98" t="s">
        <v>105</v>
      </c>
      <c r="F312" s="98" t="s">
        <v>114</v>
      </c>
      <c r="G312" s="98">
        <v>1</v>
      </c>
      <c r="H312" s="98" t="s">
        <v>118</v>
      </c>
      <c r="I312" s="98" t="s">
        <v>119</v>
      </c>
      <c r="J312" s="98" t="s">
        <v>138</v>
      </c>
      <c r="K312" s="98" t="s">
        <v>116</v>
      </c>
      <c r="L312" s="98" t="s">
        <v>117</v>
      </c>
      <c r="M312" s="102">
        <v>0.25</v>
      </c>
      <c r="N312" s="104">
        <v>0.29749999999999999</v>
      </c>
      <c r="O312" s="101">
        <f>(N312-M312)*G312</f>
        <v>4.7499999999999987E-2</v>
      </c>
      <c r="P312" s="102">
        <v>0</v>
      </c>
      <c r="Q312" s="102">
        <f t="shared" si="8"/>
        <v>0.25</v>
      </c>
      <c r="R312" s="98">
        <v>14</v>
      </c>
      <c r="S312" s="98">
        <v>1000</v>
      </c>
      <c r="T312" s="98">
        <v>1000</v>
      </c>
      <c r="U312" s="98"/>
      <c r="V312" s="103"/>
      <c r="W312" s="98"/>
      <c r="X312" s="98"/>
      <c r="Y312" s="98"/>
      <c r="Z312" s="98"/>
      <c r="AA312" s="102"/>
      <c r="AB312" s="98"/>
      <c r="AC312" s="98"/>
      <c r="AD312" s="102"/>
      <c r="AE312" s="98"/>
      <c r="AF312" s="98"/>
      <c r="AG312" s="102"/>
    </row>
    <row r="313" spans="1:33" ht="29.4" customHeight="1">
      <c r="A313" s="97">
        <v>20</v>
      </c>
      <c r="B313" s="98" t="s">
        <v>102</v>
      </c>
      <c r="C313" s="98" t="s">
        <v>2029</v>
      </c>
      <c r="D313" s="98" t="s">
        <v>2030</v>
      </c>
      <c r="E313" s="98" t="s">
        <v>105</v>
      </c>
      <c r="F313" s="98" t="s">
        <v>114</v>
      </c>
      <c r="G313" s="98">
        <v>1</v>
      </c>
      <c r="H313" s="98" t="s">
        <v>2029</v>
      </c>
      <c r="I313" s="98" t="s">
        <v>2030</v>
      </c>
      <c r="J313" s="98" t="s">
        <v>138</v>
      </c>
      <c r="K313" s="98" t="s">
        <v>116</v>
      </c>
      <c r="L313" s="98" t="s">
        <v>117</v>
      </c>
      <c r="M313" s="100">
        <v>3.39</v>
      </c>
      <c r="N313" s="101">
        <v>4.0340999999999996</v>
      </c>
      <c r="O313" s="101">
        <f>(N313-M313)*G313</f>
        <v>0.64409999999999945</v>
      </c>
      <c r="P313" s="102">
        <v>0</v>
      </c>
      <c r="Q313" s="102">
        <f t="shared" si="8"/>
        <v>3.39</v>
      </c>
      <c r="R313" s="98">
        <v>14</v>
      </c>
      <c r="S313" s="98">
        <v>1</v>
      </c>
      <c r="T313" s="98">
        <v>1</v>
      </c>
      <c r="U313" s="98"/>
      <c r="V313" s="103"/>
      <c r="W313" s="98"/>
      <c r="X313" s="98"/>
      <c r="Y313" s="98"/>
      <c r="Z313" s="98"/>
      <c r="AA313" s="102"/>
      <c r="AB313" s="98"/>
      <c r="AC313" s="98"/>
      <c r="AD313" s="102"/>
      <c r="AE313" s="98"/>
      <c r="AF313" s="98"/>
      <c r="AG313" s="102"/>
    </row>
    <row r="314" spans="1:33" ht="29.4" customHeight="1">
      <c r="A314" s="97">
        <v>21</v>
      </c>
      <c r="B314" s="98" t="s">
        <v>102</v>
      </c>
      <c r="C314" s="98" t="s">
        <v>2031</v>
      </c>
      <c r="D314" s="98" t="s">
        <v>2032</v>
      </c>
      <c r="E314" s="98" t="s">
        <v>105</v>
      </c>
      <c r="F314" s="98" t="s">
        <v>114</v>
      </c>
      <c r="G314" s="98">
        <v>1</v>
      </c>
      <c r="H314" s="98" t="s">
        <v>2031</v>
      </c>
      <c r="I314" s="98" t="s">
        <v>2032</v>
      </c>
      <c r="J314" s="98" t="s">
        <v>138</v>
      </c>
      <c r="K314" s="98" t="s">
        <v>2033</v>
      </c>
      <c r="L314" s="98" t="s">
        <v>2034</v>
      </c>
      <c r="M314" s="100">
        <v>22.1</v>
      </c>
      <c r="N314" s="101">
        <v>26.475000000000001</v>
      </c>
      <c r="O314" s="101">
        <f>(N314-M314)*G314</f>
        <v>4.375</v>
      </c>
      <c r="P314" s="102">
        <v>0</v>
      </c>
      <c r="Q314" s="102">
        <f t="shared" si="8"/>
        <v>22.1</v>
      </c>
      <c r="R314" s="98">
        <v>5</v>
      </c>
      <c r="S314" s="98">
        <v>1000</v>
      </c>
      <c r="T314" s="98">
        <v>100</v>
      </c>
      <c r="U314" s="98">
        <v>16667</v>
      </c>
      <c r="V314" s="98"/>
      <c r="W314" s="98"/>
      <c r="X314" s="98"/>
      <c r="Y314" s="98"/>
      <c r="Z314" s="98"/>
      <c r="AA314" s="102"/>
      <c r="AB314" s="98"/>
      <c r="AC314" s="98"/>
      <c r="AD314" s="102"/>
      <c r="AE314" s="98"/>
      <c r="AF314" s="98"/>
      <c r="AG314" s="102"/>
    </row>
    <row r="315" spans="1:33" ht="29.4" customHeight="1">
      <c r="A315" s="97">
        <v>22</v>
      </c>
      <c r="B315" s="98" t="s">
        <v>102</v>
      </c>
      <c r="C315" s="98" t="s">
        <v>2035</v>
      </c>
      <c r="D315" s="98" t="s">
        <v>2036</v>
      </c>
      <c r="E315" s="98" t="s">
        <v>105</v>
      </c>
      <c r="F315" s="98" t="s">
        <v>114</v>
      </c>
      <c r="G315" s="98">
        <v>1</v>
      </c>
      <c r="H315" s="98" t="s">
        <v>2035</v>
      </c>
      <c r="I315" s="98" t="s">
        <v>2036</v>
      </c>
      <c r="J315" s="98" t="s">
        <v>138</v>
      </c>
      <c r="K315" s="98" t="s">
        <v>2033</v>
      </c>
      <c r="L315" s="98" t="s">
        <v>2034</v>
      </c>
      <c r="M315" s="100">
        <v>24.7</v>
      </c>
      <c r="N315" s="101">
        <v>29.13</v>
      </c>
      <c r="O315" s="101">
        <f>(N315-M315)*G315</f>
        <v>4.43</v>
      </c>
      <c r="P315" s="102">
        <v>0</v>
      </c>
      <c r="Q315" s="102">
        <f t="shared" si="8"/>
        <v>24.7</v>
      </c>
      <c r="R315" s="98">
        <v>5</v>
      </c>
      <c r="S315" s="98">
        <v>1000</v>
      </c>
      <c r="T315" s="98">
        <v>50</v>
      </c>
      <c r="U315" s="98">
        <v>16667</v>
      </c>
      <c r="V315" s="98"/>
      <c r="W315" s="98"/>
      <c r="X315" s="98"/>
      <c r="Y315" s="98"/>
      <c r="Z315" s="98"/>
      <c r="AA315" s="102"/>
      <c r="AB315" s="98"/>
      <c r="AC315" s="98"/>
      <c r="AD315" s="102"/>
      <c r="AE315" s="98"/>
      <c r="AF315" s="98"/>
      <c r="AG315" s="102"/>
    </row>
    <row r="316" spans="1:33" ht="29.4" customHeight="1">
      <c r="A316" s="97">
        <v>23</v>
      </c>
      <c r="B316" s="98" t="s">
        <v>102</v>
      </c>
      <c r="C316" s="98" t="s">
        <v>130</v>
      </c>
      <c r="D316" s="98" t="s">
        <v>131</v>
      </c>
      <c r="E316" s="98" t="s">
        <v>105</v>
      </c>
      <c r="F316" s="98" t="s">
        <v>114</v>
      </c>
      <c r="G316" s="98">
        <v>2</v>
      </c>
      <c r="H316" s="98" t="s">
        <v>130</v>
      </c>
      <c r="I316" s="98" t="s">
        <v>131</v>
      </c>
      <c r="J316" s="98" t="s">
        <v>138</v>
      </c>
      <c r="K316" s="98" t="s">
        <v>122</v>
      </c>
      <c r="L316" s="98" t="s">
        <v>123</v>
      </c>
      <c r="M316" s="102">
        <v>1.0619000000000001</v>
      </c>
      <c r="N316" s="104"/>
      <c r="O316" s="101"/>
      <c r="P316" s="102">
        <v>0</v>
      </c>
      <c r="Q316" s="102">
        <f t="shared" si="8"/>
        <v>2.1238000000000001</v>
      </c>
      <c r="R316" s="98">
        <v>14</v>
      </c>
      <c r="S316" s="98">
        <v>1</v>
      </c>
      <c r="T316" s="98">
        <v>1</v>
      </c>
      <c r="U316" s="98"/>
      <c r="V316" s="103"/>
      <c r="W316" s="98"/>
      <c r="X316" s="98"/>
      <c r="Y316" s="98"/>
      <c r="Z316" s="98"/>
      <c r="AA316" s="102"/>
      <c r="AB316" s="98"/>
      <c r="AC316" s="98"/>
      <c r="AD316" s="102"/>
      <c r="AE316" s="98"/>
      <c r="AF316" s="98"/>
      <c r="AG316" s="102"/>
    </row>
    <row r="317" spans="1:33" ht="29.4" customHeight="1">
      <c r="A317" s="97">
        <v>24</v>
      </c>
      <c r="B317" s="98" t="s">
        <v>102</v>
      </c>
      <c r="C317" s="98" t="s">
        <v>134</v>
      </c>
      <c r="D317" s="98" t="s">
        <v>135</v>
      </c>
      <c r="E317" s="98" t="s">
        <v>105</v>
      </c>
      <c r="F317" s="98" t="s">
        <v>136</v>
      </c>
      <c r="G317" s="98">
        <v>1</v>
      </c>
      <c r="H317" s="98" t="s">
        <v>134</v>
      </c>
      <c r="I317" s="98" t="s">
        <v>137</v>
      </c>
      <c r="J317" s="98" t="s">
        <v>138</v>
      </c>
      <c r="K317" s="98" t="s">
        <v>2037</v>
      </c>
      <c r="L317" s="98" t="s">
        <v>2038</v>
      </c>
      <c r="M317" s="102">
        <v>3.4700000000000002E-2</v>
      </c>
      <c r="N317" s="104"/>
      <c r="O317" s="101"/>
      <c r="P317" s="102">
        <v>0</v>
      </c>
      <c r="Q317" s="102">
        <f t="shared" si="8"/>
        <v>3.4700000000000002E-2</v>
      </c>
      <c r="R317" s="98">
        <v>14</v>
      </c>
      <c r="S317" s="98">
        <v>3000</v>
      </c>
      <c r="T317" s="98"/>
      <c r="U317" s="98"/>
      <c r="V317" s="103"/>
      <c r="W317" s="98"/>
      <c r="X317" s="98"/>
      <c r="Y317" s="98"/>
      <c r="Z317" s="98"/>
      <c r="AA317" s="102"/>
      <c r="AB317" s="98"/>
      <c r="AC317" s="98"/>
      <c r="AD317" s="102"/>
      <c r="AE317" s="98"/>
      <c r="AF317" s="98"/>
      <c r="AG317" s="102"/>
    </row>
    <row r="318" spans="1:33" ht="29.4" customHeight="1">
      <c r="A318" s="110"/>
      <c r="B318" s="111" t="s">
        <v>2139</v>
      </c>
      <c r="C318" s="110"/>
      <c r="D318" s="111" t="s">
        <v>2140</v>
      </c>
      <c r="E318" s="110"/>
      <c r="F318" s="110"/>
      <c r="G318" s="110"/>
      <c r="H318" s="110"/>
      <c r="I318" s="110"/>
      <c r="J318" s="110"/>
      <c r="K318" s="110"/>
      <c r="L318" s="110"/>
      <c r="M318" s="110"/>
      <c r="N318" s="112">
        <v>68.353999999999999</v>
      </c>
      <c r="O318" s="112">
        <f>N318-M318</f>
        <v>68.353999999999999</v>
      </c>
      <c r="P318" s="111" t="s">
        <v>2141</v>
      </c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</row>
    <row r="319" spans="1:33" ht="29.4" customHeight="1">
      <c r="A319" s="110"/>
      <c r="B319" s="111" t="s">
        <v>2139</v>
      </c>
      <c r="C319" s="110"/>
      <c r="D319" s="111" t="s">
        <v>2142</v>
      </c>
      <c r="E319" s="110"/>
      <c r="F319" s="110"/>
      <c r="G319" s="110"/>
      <c r="H319" s="110"/>
      <c r="I319" s="110"/>
      <c r="J319" s="110"/>
      <c r="K319" s="110"/>
      <c r="L319" s="110"/>
      <c r="M319" s="110"/>
      <c r="N319" s="112">
        <v>7.6</v>
      </c>
      <c r="O319" s="112">
        <f>N319-M319</f>
        <v>7.6</v>
      </c>
      <c r="P319" s="111" t="s">
        <v>2141</v>
      </c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</row>
    <row r="320" spans="1:33" ht="29.4" customHeight="1">
      <c r="A320" s="110"/>
      <c r="B320" s="111" t="s">
        <v>2139</v>
      </c>
      <c r="C320" s="110"/>
      <c r="D320" s="111" t="s">
        <v>2143</v>
      </c>
      <c r="E320" s="110"/>
      <c r="F320" s="110"/>
      <c r="G320" s="110"/>
      <c r="H320" s="110"/>
      <c r="I320" s="110"/>
      <c r="J320" s="110"/>
      <c r="K320" s="110"/>
      <c r="L320" s="110"/>
      <c r="M320" s="110"/>
      <c r="N320" s="112">
        <v>22.75</v>
      </c>
      <c r="O320" s="112">
        <f>N320-M320</f>
        <v>22.75</v>
      </c>
      <c r="P320" s="111" t="s">
        <v>2141</v>
      </c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</row>
    <row r="321" spans="1:33" ht="29.4" customHeight="1">
      <c r="A321" s="110"/>
      <c r="B321" s="111" t="s">
        <v>2139</v>
      </c>
      <c r="C321" s="110"/>
      <c r="D321" s="111" t="s">
        <v>2144</v>
      </c>
      <c r="E321" s="110"/>
      <c r="F321" s="110"/>
      <c r="G321" s="110"/>
      <c r="H321" s="110"/>
      <c r="I321" s="110"/>
      <c r="J321" s="110"/>
      <c r="K321" s="110"/>
      <c r="L321" s="110"/>
      <c r="M321" s="110"/>
      <c r="N321" s="112">
        <v>4.4000000000000004</v>
      </c>
      <c r="O321" s="112">
        <f>N321-M321</f>
        <v>4.4000000000000004</v>
      </c>
      <c r="P321" s="111" t="s">
        <v>2141</v>
      </c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</row>
    <row r="322" spans="1:33" ht="29.4" customHeight="1">
      <c r="O322" s="114">
        <f>SUM(O5:O321)</f>
        <v>169.19575078230088</v>
      </c>
    </row>
  </sheetData>
  <mergeCells count="18">
    <mergeCell ref="V1:X1"/>
    <mergeCell ref="A1:B1"/>
    <mergeCell ref="C1:D1"/>
    <mergeCell ref="F1:J1"/>
    <mergeCell ref="L1:P1"/>
    <mergeCell ref="R1:T1"/>
    <mergeCell ref="V3:X3"/>
    <mergeCell ref="A2:B2"/>
    <mergeCell ref="C2:D2"/>
    <mergeCell ref="F2:J2"/>
    <mergeCell ref="L2:P2"/>
    <mergeCell ref="R2:T2"/>
    <mergeCell ref="V2:X2"/>
    <mergeCell ref="A3:B3"/>
    <mergeCell ref="C3:D3"/>
    <mergeCell ref="F3:J3"/>
    <mergeCell ref="L3:P3"/>
    <mergeCell ref="R3:T3"/>
  </mergeCells>
  <phoneticPr fontId="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249E-6F87-4B02-B1A0-399D0C285EA2}">
  <dimension ref="A1:Y23"/>
  <sheetViews>
    <sheetView topLeftCell="C1" workbookViewId="0">
      <selection activeCell="L3" sqref="L3"/>
    </sheetView>
  </sheetViews>
  <sheetFormatPr defaultRowHeight="13.8"/>
  <cols>
    <col min="15" max="15" width="11.6640625" customWidth="1"/>
  </cols>
  <sheetData>
    <row r="1" spans="1:25" ht="22.8">
      <c r="A1" s="122" t="s">
        <v>2148</v>
      </c>
      <c r="B1" s="246" t="s">
        <v>2149</v>
      </c>
      <c r="C1" s="247"/>
      <c r="D1" s="248"/>
      <c r="E1" s="246" t="s">
        <v>2150</v>
      </c>
      <c r="F1" s="247"/>
      <c r="G1" s="247"/>
      <c r="H1" s="247"/>
      <c r="I1" s="247"/>
      <c r="J1" s="247"/>
      <c r="K1" s="249"/>
      <c r="L1" s="123"/>
      <c r="M1" s="123"/>
      <c r="N1" s="124"/>
      <c r="O1" s="124"/>
      <c r="P1" s="124" t="s">
        <v>2151</v>
      </c>
      <c r="Q1" s="125" t="s">
        <v>2152</v>
      </c>
      <c r="R1" s="125" t="s">
        <v>2153</v>
      </c>
      <c r="S1" s="125" t="s">
        <v>2154</v>
      </c>
      <c r="T1" s="125" t="s">
        <v>2155</v>
      </c>
      <c r="U1" s="126"/>
      <c r="V1" s="126"/>
      <c r="W1" s="126"/>
      <c r="X1" s="126"/>
      <c r="Y1" s="126"/>
    </row>
    <row r="2" spans="1:25">
      <c r="A2" s="127" t="s">
        <v>72</v>
      </c>
      <c r="B2" s="127" t="s">
        <v>2156</v>
      </c>
      <c r="C2" s="127" t="s">
        <v>2157</v>
      </c>
      <c r="D2" s="128" t="s">
        <v>92</v>
      </c>
      <c r="E2" s="127" t="s">
        <v>1999</v>
      </c>
      <c r="F2" s="127" t="s">
        <v>2076</v>
      </c>
      <c r="G2" s="127" t="s">
        <v>2158</v>
      </c>
      <c r="H2" s="127" t="s">
        <v>15</v>
      </c>
      <c r="I2" s="125" t="s">
        <v>2001</v>
      </c>
      <c r="J2" s="125" t="s">
        <v>2159</v>
      </c>
      <c r="K2" s="128" t="s">
        <v>2160</v>
      </c>
      <c r="L2" s="129" t="s">
        <v>2161</v>
      </c>
      <c r="M2" s="129" t="s">
        <v>2162</v>
      </c>
      <c r="N2" s="129" t="s">
        <v>2163</v>
      </c>
      <c r="O2" s="129"/>
      <c r="P2" s="130">
        <v>200</v>
      </c>
      <c r="Q2" s="130">
        <v>200</v>
      </c>
      <c r="R2" s="130">
        <v>200</v>
      </c>
      <c r="S2" s="130">
        <v>150</v>
      </c>
      <c r="T2" s="130">
        <v>150</v>
      </c>
      <c r="U2" s="131" t="s">
        <v>2025</v>
      </c>
      <c r="V2" s="131" t="s">
        <v>2164</v>
      </c>
      <c r="W2" s="131"/>
      <c r="X2" s="131"/>
      <c r="Y2" s="131"/>
    </row>
    <row r="3" spans="1:25">
      <c r="A3" s="127">
        <v>2</v>
      </c>
      <c r="B3" s="127" t="s">
        <v>2165</v>
      </c>
      <c r="C3" s="132" t="s">
        <v>2166</v>
      </c>
      <c r="D3" s="128" t="s">
        <v>2167</v>
      </c>
      <c r="E3" s="127">
        <v>3</v>
      </c>
      <c r="F3" s="127" t="s">
        <v>2168</v>
      </c>
      <c r="G3" s="133" t="s">
        <v>2169</v>
      </c>
      <c r="H3" s="134" t="s">
        <v>2170</v>
      </c>
      <c r="I3" s="135">
        <v>23.98</v>
      </c>
      <c r="J3" s="129" t="s">
        <v>2171</v>
      </c>
      <c r="K3" s="136" t="s">
        <v>2172</v>
      </c>
      <c r="L3" s="130">
        <v>20.373899999999999</v>
      </c>
      <c r="M3" s="129"/>
      <c r="N3" s="130"/>
      <c r="O3" s="130"/>
      <c r="P3" s="130">
        <v>600</v>
      </c>
      <c r="Q3" s="130">
        <v>600</v>
      </c>
      <c r="R3" s="130">
        <v>600</v>
      </c>
      <c r="S3" s="130">
        <v>450</v>
      </c>
      <c r="T3" s="130">
        <v>450</v>
      </c>
      <c r="U3" s="137">
        <v>61.121699999999997</v>
      </c>
      <c r="V3" s="130">
        <v>10.818300000000001</v>
      </c>
      <c r="W3" s="130"/>
      <c r="X3" s="130"/>
      <c r="Y3" s="130"/>
    </row>
    <row r="4" spans="1:25">
      <c r="A4" s="127">
        <v>3</v>
      </c>
      <c r="B4" s="127" t="s">
        <v>2173</v>
      </c>
      <c r="C4" s="132" t="s">
        <v>2174</v>
      </c>
      <c r="D4" s="128" t="s">
        <v>1014</v>
      </c>
      <c r="E4" s="127">
        <v>2</v>
      </c>
      <c r="F4" s="127" t="s">
        <v>2175</v>
      </c>
      <c r="G4" s="133" t="s">
        <v>2176</v>
      </c>
      <c r="H4" s="138"/>
      <c r="I4" s="139">
        <v>45.8</v>
      </c>
      <c r="J4" s="140" t="s">
        <v>2176</v>
      </c>
      <c r="K4" s="128" t="s">
        <v>2177</v>
      </c>
      <c r="L4" s="129">
        <v>20</v>
      </c>
      <c r="M4" s="129"/>
      <c r="N4" s="130"/>
      <c r="O4" s="130"/>
      <c r="P4" s="130">
        <v>400</v>
      </c>
      <c r="Q4" s="130">
        <v>400</v>
      </c>
      <c r="R4" s="130">
        <v>400</v>
      </c>
      <c r="S4" s="130">
        <v>300</v>
      </c>
      <c r="T4" s="130">
        <v>300</v>
      </c>
      <c r="U4" s="137">
        <v>91.6</v>
      </c>
      <c r="V4" s="130">
        <v>51.6</v>
      </c>
      <c r="W4" s="141"/>
      <c r="X4" s="141"/>
      <c r="Y4" s="141"/>
    </row>
    <row r="5" spans="1:25">
      <c r="A5" s="127">
        <v>4</v>
      </c>
      <c r="B5" s="127" t="s">
        <v>2178</v>
      </c>
      <c r="C5" s="132" t="s">
        <v>2179</v>
      </c>
      <c r="D5" s="128" t="s">
        <v>913</v>
      </c>
      <c r="E5" s="127">
        <v>1</v>
      </c>
      <c r="F5" s="127" t="s">
        <v>2168</v>
      </c>
      <c r="G5" s="133" t="s">
        <v>2176</v>
      </c>
      <c r="H5" s="138"/>
      <c r="I5" s="142">
        <v>7</v>
      </c>
      <c r="J5" s="127" t="s">
        <v>2176</v>
      </c>
      <c r="K5" s="128" t="s">
        <v>2180</v>
      </c>
      <c r="L5" s="129">
        <v>7</v>
      </c>
      <c r="M5" s="129"/>
      <c r="N5" s="130"/>
      <c r="O5" s="130"/>
      <c r="P5" s="130">
        <v>200</v>
      </c>
      <c r="Q5" s="130">
        <v>200</v>
      </c>
      <c r="R5" s="130">
        <v>200</v>
      </c>
      <c r="S5" s="130">
        <v>150</v>
      </c>
      <c r="T5" s="130">
        <v>150</v>
      </c>
      <c r="U5" s="137">
        <v>7</v>
      </c>
      <c r="V5" s="130">
        <v>0</v>
      </c>
      <c r="W5" s="141"/>
      <c r="X5" s="141"/>
      <c r="Y5" s="141"/>
    </row>
    <row r="6" spans="1:25">
      <c r="A6" s="127">
        <v>5</v>
      </c>
      <c r="B6" s="127" t="s">
        <v>2181</v>
      </c>
      <c r="C6" s="132" t="s">
        <v>2182</v>
      </c>
      <c r="D6" s="128" t="s">
        <v>964</v>
      </c>
      <c r="E6" s="127">
        <v>1</v>
      </c>
      <c r="F6" s="127" t="s">
        <v>2168</v>
      </c>
      <c r="G6" s="127" t="s">
        <v>2183</v>
      </c>
      <c r="H6" s="138"/>
      <c r="I6" s="142">
        <v>307.3</v>
      </c>
      <c r="J6" s="127" t="s">
        <v>2184</v>
      </c>
      <c r="K6" s="128" t="s">
        <v>2185</v>
      </c>
      <c r="L6" s="129">
        <v>305</v>
      </c>
      <c r="M6" s="129" t="s">
        <v>2186</v>
      </c>
      <c r="N6" s="130">
        <v>302</v>
      </c>
      <c r="O6" s="130" t="s">
        <v>2187</v>
      </c>
      <c r="P6" s="130">
        <v>200</v>
      </c>
      <c r="Q6" s="130">
        <v>200</v>
      </c>
      <c r="R6" s="130">
        <v>200</v>
      </c>
      <c r="S6" s="130">
        <v>150</v>
      </c>
      <c r="T6" s="130">
        <v>150</v>
      </c>
      <c r="U6" s="137">
        <v>307.3</v>
      </c>
      <c r="V6" s="130">
        <v>5.3</v>
      </c>
      <c r="W6" s="137"/>
      <c r="X6" s="137"/>
      <c r="Y6" s="137"/>
    </row>
    <row r="7" spans="1:25">
      <c r="A7" s="127">
        <v>6</v>
      </c>
      <c r="B7" s="127" t="s">
        <v>2188</v>
      </c>
      <c r="C7" s="132" t="s">
        <v>2189</v>
      </c>
      <c r="D7" s="128" t="s">
        <v>2190</v>
      </c>
      <c r="E7" s="127">
        <v>6</v>
      </c>
      <c r="F7" s="127" t="s">
        <v>144</v>
      </c>
      <c r="G7" s="127" t="s">
        <v>2183</v>
      </c>
      <c r="H7" s="138"/>
      <c r="I7" s="142">
        <v>3.83</v>
      </c>
      <c r="J7" s="127" t="s">
        <v>2184</v>
      </c>
      <c r="K7" s="128" t="s">
        <v>2185</v>
      </c>
      <c r="L7" s="129">
        <v>3.73</v>
      </c>
      <c r="M7" s="129" t="s">
        <v>2186</v>
      </c>
      <c r="N7" s="130">
        <v>3.7</v>
      </c>
      <c r="O7" s="130" t="s">
        <v>2187</v>
      </c>
      <c r="P7" s="130">
        <v>1200</v>
      </c>
      <c r="Q7" s="130">
        <v>1200</v>
      </c>
      <c r="R7" s="130">
        <v>1200</v>
      </c>
      <c r="S7" s="130">
        <v>900</v>
      </c>
      <c r="T7" s="130">
        <v>900</v>
      </c>
      <c r="U7" s="137">
        <v>22.98</v>
      </c>
      <c r="V7" s="130">
        <v>0.78</v>
      </c>
      <c r="W7" s="137"/>
      <c r="X7" s="137"/>
      <c r="Y7" s="137"/>
    </row>
    <row r="8" spans="1:25">
      <c r="A8" s="127">
        <v>7</v>
      </c>
      <c r="B8" s="127" t="s">
        <v>2191</v>
      </c>
      <c r="C8" s="132" t="s">
        <v>2192</v>
      </c>
      <c r="D8" s="128" t="s">
        <v>2193</v>
      </c>
      <c r="E8" s="127">
        <v>2</v>
      </c>
      <c r="F8" s="127" t="s">
        <v>2168</v>
      </c>
      <c r="G8" s="127" t="s">
        <v>2194</v>
      </c>
      <c r="H8" s="138"/>
      <c r="I8" s="142">
        <v>23</v>
      </c>
      <c r="J8" s="143" t="s">
        <v>2195</v>
      </c>
      <c r="K8" s="144" t="s">
        <v>2172</v>
      </c>
      <c r="L8" s="145"/>
      <c r="M8" s="145"/>
      <c r="N8" s="130">
        <v>18.904900000000001</v>
      </c>
      <c r="O8" s="130" t="s">
        <v>2196</v>
      </c>
      <c r="P8" s="130">
        <v>400</v>
      </c>
      <c r="Q8" s="130">
        <v>400</v>
      </c>
      <c r="R8" s="130">
        <v>400</v>
      </c>
      <c r="S8" s="130">
        <v>300</v>
      </c>
      <c r="T8" s="130">
        <v>300</v>
      </c>
      <c r="U8" s="137">
        <v>46</v>
      </c>
      <c r="V8" s="130">
        <v>8.1902000000000008</v>
      </c>
      <c r="W8" s="141"/>
      <c r="X8" s="141"/>
      <c r="Y8" s="141"/>
    </row>
    <row r="9" spans="1:25">
      <c r="A9" s="127">
        <v>8</v>
      </c>
      <c r="B9" s="127" t="s">
        <v>2197</v>
      </c>
      <c r="C9" s="132" t="s">
        <v>2198</v>
      </c>
      <c r="D9" s="128" t="s">
        <v>876</v>
      </c>
      <c r="E9" s="127">
        <v>1</v>
      </c>
      <c r="F9" s="127" t="s">
        <v>2168</v>
      </c>
      <c r="G9" s="127" t="s">
        <v>2199</v>
      </c>
      <c r="H9" s="138"/>
      <c r="I9" s="142">
        <v>2.8180000000000001</v>
      </c>
      <c r="J9" s="127" t="s">
        <v>2200</v>
      </c>
      <c r="K9" s="128" t="s">
        <v>2185</v>
      </c>
      <c r="L9" s="129"/>
      <c r="M9" s="129"/>
      <c r="N9" s="130"/>
      <c r="O9" s="130"/>
      <c r="P9" s="130">
        <v>200</v>
      </c>
      <c r="Q9" s="130">
        <v>200</v>
      </c>
      <c r="R9" s="130">
        <v>200</v>
      </c>
      <c r="S9" s="130">
        <v>150</v>
      </c>
      <c r="T9" s="130">
        <v>150</v>
      </c>
      <c r="U9" s="137">
        <v>2.8180000000000001</v>
      </c>
      <c r="V9" s="130">
        <v>0</v>
      </c>
      <c r="W9" s="141"/>
      <c r="X9" s="141"/>
      <c r="Y9" s="141"/>
    </row>
    <row r="10" spans="1:25">
      <c r="A10" s="127">
        <v>9</v>
      </c>
      <c r="B10" s="127" t="s">
        <v>2201</v>
      </c>
      <c r="C10" s="132" t="s">
        <v>2202</v>
      </c>
      <c r="D10" s="128" t="s">
        <v>2203</v>
      </c>
      <c r="E10" s="143">
        <v>2</v>
      </c>
      <c r="F10" s="127" t="s">
        <v>144</v>
      </c>
      <c r="G10" s="127" t="s">
        <v>2204</v>
      </c>
      <c r="H10" s="138" t="s">
        <v>2205</v>
      </c>
      <c r="I10" s="142">
        <v>7.75</v>
      </c>
      <c r="J10" s="127" t="s">
        <v>2206</v>
      </c>
      <c r="K10" s="128" t="s">
        <v>2207</v>
      </c>
      <c r="L10" s="129"/>
      <c r="M10" s="129"/>
      <c r="N10" s="130"/>
      <c r="O10" s="130"/>
      <c r="P10" s="130">
        <v>400</v>
      </c>
      <c r="Q10" s="130">
        <v>400</v>
      </c>
      <c r="R10" s="130">
        <v>400</v>
      </c>
      <c r="S10" s="130">
        <v>300</v>
      </c>
      <c r="T10" s="130">
        <v>300</v>
      </c>
      <c r="U10" s="137">
        <v>15.5</v>
      </c>
      <c r="V10" s="130">
        <v>0</v>
      </c>
      <c r="W10" s="141"/>
      <c r="X10" s="141"/>
      <c r="Y10" s="141"/>
    </row>
    <row r="11" spans="1:25">
      <c r="A11" s="146"/>
      <c r="B11" s="146"/>
      <c r="C11" s="146"/>
      <c r="D11" s="146"/>
      <c r="E11" s="127"/>
      <c r="F11" s="127"/>
      <c r="G11" s="127"/>
      <c r="H11" s="127"/>
      <c r="I11" s="147">
        <v>554.31970000000001</v>
      </c>
      <c r="J11" s="148"/>
      <c r="K11" s="149"/>
      <c r="L11" s="141"/>
      <c r="M11" s="141"/>
      <c r="N11" s="141"/>
      <c r="O11" s="141"/>
      <c r="P11" s="141"/>
      <c r="Q11" s="141"/>
      <c r="R11" s="141"/>
      <c r="S11" s="141"/>
      <c r="T11" s="141"/>
      <c r="U11" s="137">
        <v>554.31970000000001</v>
      </c>
      <c r="V11" s="150">
        <v>76.69</v>
      </c>
      <c r="W11" s="150"/>
      <c r="X11" s="150"/>
      <c r="Y11" s="150"/>
    </row>
    <row r="12" spans="1:25" ht="22.8">
      <c r="A12" s="122" t="s">
        <v>2208</v>
      </c>
      <c r="B12" s="246" t="s">
        <v>2209</v>
      </c>
      <c r="C12" s="247"/>
      <c r="D12" s="248"/>
      <c r="E12" s="246" t="s">
        <v>2210</v>
      </c>
      <c r="F12" s="247"/>
      <c r="G12" s="247"/>
      <c r="H12" s="247"/>
      <c r="I12" s="247"/>
      <c r="J12" s="247"/>
      <c r="K12" s="250"/>
      <c r="L12" s="151"/>
      <c r="M12" s="151"/>
      <c r="N12" s="129"/>
      <c r="O12" s="129"/>
      <c r="P12" s="129" t="s">
        <v>2151</v>
      </c>
      <c r="Q12" s="129" t="s">
        <v>2152</v>
      </c>
      <c r="R12" s="129" t="s">
        <v>2153</v>
      </c>
      <c r="S12" s="129" t="s">
        <v>2154</v>
      </c>
      <c r="T12" s="129" t="s">
        <v>2155</v>
      </c>
      <c r="U12" s="137">
        <v>490.54840000000002</v>
      </c>
      <c r="V12" s="137">
        <v>10.531000000000001</v>
      </c>
      <c r="W12" s="137"/>
      <c r="X12" s="137"/>
      <c r="Y12" s="137"/>
    </row>
    <row r="13" spans="1:25" ht="22.8">
      <c r="A13" s="152"/>
      <c r="B13" s="152"/>
      <c r="C13" s="152"/>
      <c r="D13" s="152"/>
      <c r="E13" s="153"/>
      <c r="F13" s="153"/>
      <c r="G13" s="153"/>
      <c r="H13" s="153"/>
      <c r="I13" s="125" t="s">
        <v>2001</v>
      </c>
      <c r="J13" s="127" t="s">
        <v>2159</v>
      </c>
      <c r="K13" s="128" t="s">
        <v>2160</v>
      </c>
      <c r="L13" s="129"/>
      <c r="M13" s="129"/>
      <c r="N13" s="129"/>
      <c r="O13" s="129"/>
      <c r="P13" s="129">
        <v>150</v>
      </c>
      <c r="Q13" s="129">
        <v>150</v>
      </c>
      <c r="R13" s="129">
        <v>150</v>
      </c>
      <c r="S13" s="129">
        <v>120</v>
      </c>
      <c r="T13" s="129">
        <v>120</v>
      </c>
      <c r="U13" s="141"/>
      <c r="V13" s="141"/>
      <c r="W13" s="141"/>
      <c r="X13" s="141"/>
      <c r="Y13" s="141"/>
    </row>
    <row r="14" spans="1:25">
      <c r="A14" s="127">
        <v>2</v>
      </c>
      <c r="B14" s="127" t="s">
        <v>2165</v>
      </c>
      <c r="C14" s="132" t="s">
        <v>2166</v>
      </c>
      <c r="D14" s="128" t="s">
        <v>2167</v>
      </c>
      <c r="E14" s="127">
        <v>3</v>
      </c>
      <c r="F14" s="127" t="s">
        <v>2168</v>
      </c>
      <c r="G14" s="127" t="s">
        <v>2169</v>
      </c>
      <c r="H14" s="128" t="s">
        <v>2211</v>
      </c>
      <c r="I14" s="135">
        <v>23.98</v>
      </c>
      <c r="J14" s="154" t="s">
        <v>2171</v>
      </c>
      <c r="K14" s="128" t="s">
        <v>2172</v>
      </c>
      <c r="L14" s="130">
        <v>20.373899999999999</v>
      </c>
      <c r="M14" s="129"/>
      <c r="N14" s="155"/>
      <c r="O14" s="155"/>
      <c r="P14" s="155">
        <v>450</v>
      </c>
      <c r="Q14" s="155">
        <v>450</v>
      </c>
      <c r="R14" s="155">
        <v>450</v>
      </c>
      <c r="S14" s="155">
        <v>360</v>
      </c>
      <c r="T14" s="155">
        <v>360</v>
      </c>
      <c r="U14" s="137">
        <v>71.94</v>
      </c>
      <c r="V14" s="155">
        <v>10.818300000000001</v>
      </c>
      <c r="W14" s="155"/>
      <c r="X14" s="155"/>
      <c r="Y14" s="155"/>
    </row>
    <row r="15" spans="1:25">
      <c r="A15" s="127">
        <v>3</v>
      </c>
      <c r="B15" s="127" t="s">
        <v>2173</v>
      </c>
      <c r="C15" s="132" t="s">
        <v>2174</v>
      </c>
      <c r="D15" s="128" t="s">
        <v>1014</v>
      </c>
      <c r="E15" s="127">
        <v>2</v>
      </c>
      <c r="F15" s="133" t="s">
        <v>2175</v>
      </c>
      <c r="G15" s="127" t="s">
        <v>2176</v>
      </c>
      <c r="H15" s="127"/>
      <c r="I15" s="139">
        <v>45.8</v>
      </c>
      <c r="J15" s="127" t="s">
        <v>2176</v>
      </c>
      <c r="K15" s="128" t="s">
        <v>2177</v>
      </c>
      <c r="L15" s="129">
        <v>20</v>
      </c>
      <c r="M15" s="129"/>
      <c r="N15" s="155"/>
      <c r="O15" s="155"/>
      <c r="P15" s="155">
        <v>300</v>
      </c>
      <c r="Q15" s="155">
        <v>300</v>
      </c>
      <c r="R15" s="155">
        <v>300</v>
      </c>
      <c r="S15" s="155">
        <v>240</v>
      </c>
      <c r="T15" s="155">
        <v>240</v>
      </c>
      <c r="U15" s="137">
        <v>91.6</v>
      </c>
      <c r="V15" s="155">
        <v>51.6</v>
      </c>
      <c r="W15" s="141"/>
      <c r="X15" s="141"/>
      <c r="Y15" s="141"/>
    </row>
    <row r="16" spans="1:25">
      <c r="A16" s="127">
        <v>4</v>
      </c>
      <c r="B16" s="127" t="s">
        <v>2178</v>
      </c>
      <c r="C16" s="132" t="s">
        <v>2179</v>
      </c>
      <c r="D16" s="128" t="s">
        <v>913</v>
      </c>
      <c r="E16" s="127">
        <v>1</v>
      </c>
      <c r="F16" s="133" t="s">
        <v>2168</v>
      </c>
      <c r="G16" s="127" t="s">
        <v>2176</v>
      </c>
      <c r="H16" s="127"/>
      <c r="I16" s="142">
        <v>7</v>
      </c>
      <c r="J16" s="127" t="s">
        <v>2176</v>
      </c>
      <c r="K16" s="128" t="s">
        <v>2180</v>
      </c>
      <c r="L16" s="129">
        <v>7</v>
      </c>
      <c r="M16" s="129"/>
      <c r="N16" s="155"/>
      <c r="O16" s="155"/>
      <c r="P16" s="155">
        <v>150</v>
      </c>
      <c r="Q16" s="155">
        <v>150</v>
      </c>
      <c r="R16" s="155">
        <v>150</v>
      </c>
      <c r="S16" s="155">
        <v>120</v>
      </c>
      <c r="T16" s="155">
        <v>120</v>
      </c>
      <c r="U16" s="137">
        <v>7</v>
      </c>
      <c r="V16" s="155">
        <v>0</v>
      </c>
      <c r="W16" s="141"/>
      <c r="X16" s="141"/>
      <c r="Y16" s="141"/>
    </row>
    <row r="17" spans="1:25">
      <c r="A17" s="127">
        <v>5</v>
      </c>
      <c r="B17" s="127" t="s">
        <v>2181</v>
      </c>
      <c r="C17" s="132" t="s">
        <v>2212</v>
      </c>
      <c r="D17" s="128" t="s">
        <v>964</v>
      </c>
      <c r="E17" s="127">
        <v>1</v>
      </c>
      <c r="F17" s="133" t="s">
        <v>2168</v>
      </c>
      <c r="G17" s="127" t="s">
        <v>2183</v>
      </c>
      <c r="H17" s="127"/>
      <c r="I17" s="142">
        <v>276</v>
      </c>
      <c r="J17" s="127" t="s">
        <v>2184</v>
      </c>
      <c r="K17" s="128" t="s">
        <v>2185</v>
      </c>
      <c r="L17" s="129">
        <v>273</v>
      </c>
      <c r="M17" s="129" t="s">
        <v>2186</v>
      </c>
      <c r="N17" s="155">
        <v>270</v>
      </c>
      <c r="O17" s="155" t="s">
        <v>2184</v>
      </c>
      <c r="P17" s="155">
        <v>150</v>
      </c>
      <c r="Q17" s="155">
        <v>150</v>
      </c>
      <c r="R17" s="155">
        <v>150</v>
      </c>
      <c r="S17" s="155">
        <v>120</v>
      </c>
      <c r="T17" s="155">
        <v>120</v>
      </c>
      <c r="U17" s="137">
        <v>276</v>
      </c>
      <c r="V17" s="155">
        <v>6</v>
      </c>
      <c r="W17" s="137"/>
      <c r="X17" s="137"/>
      <c r="Y17" s="137"/>
    </row>
    <row r="18" spans="1:25">
      <c r="A18" s="127">
        <v>6</v>
      </c>
      <c r="B18" s="127" t="s">
        <v>2188</v>
      </c>
      <c r="C18" s="132" t="s">
        <v>2189</v>
      </c>
      <c r="D18" s="128" t="s">
        <v>2190</v>
      </c>
      <c r="E18" s="127">
        <v>6</v>
      </c>
      <c r="F18" s="127" t="s">
        <v>144</v>
      </c>
      <c r="G18" s="127" t="s">
        <v>2183</v>
      </c>
      <c r="H18" s="127"/>
      <c r="I18" s="142">
        <v>3.83</v>
      </c>
      <c r="J18" s="127" t="s">
        <v>2184</v>
      </c>
      <c r="K18" s="128" t="s">
        <v>2185</v>
      </c>
      <c r="L18" s="129">
        <v>3.73</v>
      </c>
      <c r="M18" s="129" t="s">
        <v>2186</v>
      </c>
      <c r="N18" s="155">
        <v>3.7</v>
      </c>
      <c r="O18" s="155" t="s">
        <v>2184</v>
      </c>
      <c r="P18" s="155">
        <v>900</v>
      </c>
      <c r="Q18" s="155">
        <v>900</v>
      </c>
      <c r="R18" s="155">
        <v>900</v>
      </c>
      <c r="S18" s="155">
        <v>720</v>
      </c>
      <c r="T18" s="155">
        <v>720</v>
      </c>
      <c r="U18" s="137">
        <v>22.98</v>
      </c>
      <c r="V18" s="155">
        <v>0.78</v>
      </c>
      <c r="W18" s="137"/>
      <c r="X18" s="137"/>
      <c r="Y18" s="137"/>
    </row>
    <row r="19" spans="1:25">
      <c r="A19" s="127">
        <v>7</v>
      </c>
      <c r="B19" s="127" t="s">
        <v>2191</v>
      </c>
      <c r="C19" s="132" t="s">
        <v>2192</v>
      </c>
      <c r="D19" s="128" t="s">
        <v>2193</v>
      </c>
      <c r="E19" s="127">
        <v>2</v>
      </c>
      <c r="F19" s="127" t="s">
        <v>2168</v>
      </c>
      <c r="G19" s="127" t="s">
        <v>2194</v>
      </c>
      <c r="H19" s="127"/>
      <c r="I19" s="142">
        <v>23</v>
      </c>
      <c r="J19" s="143" t="s">
        <v>2195</v>
      </c>
      <c r="K19" s="144" t="s">
        <v>2172</v>
      </c>
      <c r="L19" s="145"/>
      <c r="M19" s="145"/>
      <c r="N19" s="130">
        <v>18.904900000000001</v>
      </c>
      <c r="O19" s="130" t="s">
        <v>2196</v>
      </c>
      <c r="P19" s="155">
        <v>300</v>
      </c>
      <c r="Q19" s="155">
        <v>300</v>
      </c>
      <c r="R19" s="155">
        <v>300</v>
      </c>
      <c r="S19" s="155">
        <v>240</v>
      </c>
      <c r="T19" s="155">
        <v>240</v>
      </c>
      <c r="U19" s="137">
        <v>46</v>
      </c>
      <c r="V19" s="155">
        <v>8.1902000000000008</v>
      </c>
      <c r="W19" s="141"/>
      <c r="X19" s="141"/>
      <c r="Y19" s="141"/>
    </row>
    <row r="20" spans="1:25">
      <c r="A20" s="125">
        <v>8</v>
      </c>
      <c r="B20" s="125" t="s">
        <v>2197</v>
      </c>
      <c r="C20" s="156" t="s">
        <v>2198</v>
      </c>
      <c r="D20" s="157" t="s">
        <v>876</v>
      </c>
      <c r="E20" s="125">
        <v>1</v>
      </c>
      <c r="F20" s="125" t="s">
        <v>2168</v>
      </c>
      <c r="G20" s="125" t="s">
        <v>2199</v>
      </c>
      <c r="H20" s="125"/>
      <c r="I20" s="158">
        <v>2.8180000000000001</v>
      </c>
      <c r="J20" s="125" t="s">
        <v>2200</v>
      </c>
      <c r="K20" s="157" t="s">
        <v>2185</v>
      </c>
      <c r="L20" s="159">
        <v>2.8180000000000001</v>
      </c>
      <c r="M20" s="159"/>
      <c r="N20" s="160"/>
      <c r="O20" s="160"/>
      <c r="P20" s="160">
        <v>150</v>
      </c>
      <c r="Q20" s="160">
        <v>150</v>
      </c>
      <c r="R20" s="160">
        <v>150</v>
      </c>
      <c r="S20" s="160">
        <v>120</v>
      </c>
      <c r="T20" s="160">
        <v>120</v>
      </c>
      <c r="U20" s="161">
        <v>2.8180000000000001</v>
      </c>
      <c r="V20" s="155">
        <v>2.8180000000000001</v>
      </c>
      <c r="W20" s="162"/>
      <c r="X20" s="162"/>
      <c r="Y20" s="162"/>
    </row>
    <row r="21" spans="1:25">
      <c r="A21" s="129">
        <v>9</v>
      </c>
      <c r="B21" s="129" t="s">
        <v>2201</v>
      </c>
      <c r="C21" s="163" t="s">
        <v>2202</v>
      </c>
      <c r="D21" s="129" t="s">
        <v>2203</v>
      </c>
      <c r="E21" s="129">
        <v>2</v>
      </c>
      <c r="F21" s="129" t="s">
        <v>144</v>
      </c>
      <c r="G21" s="129" t="s">
        <v>2204</v>
      </c>
      <c r="H21" s="129" t="s">
        <v>2205</v>
      </c>
      <c r="I21" s="130">
        <v>7.75</v>
      </c>
      <c r="J21" s="129" t="s">
        <v>2206</v>
      </c>
      <c r="K21" s="129" t="s">
        <v>2207</v>
      </c>
      <c r="L21" s="129"/>
      <c r="M21" s="129"/>
      <c r="N21" s="155"/>
      <c r="O21" s="155"/>
      <c r="P21" s="155">
        <v>300</v>
      </c>
      <c r="Q21" s="155">
        <v>300</v>
      </c>
      <c r="R21" s="155">
        <v>300</v>
      </c>
      <c r="S21" s="155">
        <v>240</v>
      </c>
      <c r="T21" s="155">
        <v>240</v>
      </c>
      <c r="U21" s="137">
        <v>15.5</v>
      </c>
      <c r="V21" s="141"/>
      <c r="W21" s="141"/>
      <c r="X21" s="141"/>
      <c r="Y21" s="141"/>
    </row>
    <row r="22" spans="1:25">
      <c r="A22" s="126"/>
      <c r="B22" s="126"/>
      <c r="C22" s="126"/>
      <c r="D22" s="126"/>
      <c r="E22" s="126"/>
      <c r="F22" s="126"/>
      <c r="G22" s="126"/>
      <c r="H22" s="126"/>
      <c r="I22" s="164">
        <v>533.83799999999997</v>
      </c>
      <c r="J22" s="126"/>
      <c r="K22" s="126"/>
      <c r="L22" s="165"/>
      <c r="M22" s="165"/>
      <c r="N22" s="165"/>
      <c r="O22" s="165"/>
      <c r="P22" s="165"/>
      <c r="Q22" s="165"/>
      <c r="R22" s="165"/>
      <c r="S22" s="165"/>
      <c r="T22" s="165"/>
      <c r="U22" s="166">
        <v>533.83799999999997</v>
      </c>
      <c r="V22" s="166"/>
      <c r="W22" s="166"/>
      <c r="X22" s="166"/>
      <c r="Y22" s="166"/>
    </row>
    <row r="23" spans="1:25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41"/>
      <c r="M23" s="141"/>
      <c r="N23" s="141"/>
      <c r="O23" s="141"/>
      <c r="P23" s="141"/>
      <c r="Q23" s="141"/>
      <c r="R23" s="141"/>
      <c r="S23" s="141"/>
      <c r="T23" s="141"/>
      <c r="U23" s="137">
        <v>472.423</v>
      </c>
      <c r="V23" s="150">
        <v>80.209999999999994</v>
      </c>
      <c r="W23" s="150"/>
      <c r="X23" s="150"/>
      <c r="Y23" s="150"/>
    </row>
  </sheetData>
  <mergeCells count="4">
    <mergeCell ref="B1:D1"/>
    <mergeCell ref="E1:K1"/>
    <mergeCell ref="B12:D12"/>
    <mergeCell ref="E12:K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汇总情况</vt:lpstr>
      <vt:lpstr>Sheet2</vt:lpstr>
      <vt:lpstr>Sheet3</vt:lpstr>
      <vt:lpstr>Sheet4</vt:lpstr>
      <vt:lpstr>客供料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HAIER</dc:creator>
  <cp:lastModifiedBy>HAIER</cp:lastModifiedBy>
  <cp:lastPrinted>2026-09-02T11:06:38Z</cp:lastPrinted>
  <dcterms:created xsi:type="dcterms:W3CDTF">2015-06-05T18:19:34Z</dcterms:created>
  <dcterms:modified xsi:type="dcterms:W3CDTF">2026-09-03T02:39:06Z</dcterms:modified>
</cp:coreProperties>
</file>