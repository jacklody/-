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项目清单\B芯片项目\水泵-立欧\报价\和而泰\国创泵最新报价\"/>
    </mc:Choice>
  </mc:AlternateContent>
  <xr:revisionPtr revIDLastSave="0" documentId="13_ncr:1_{FAB65D2C-B16E-47EA-B010-ED8FF4B2FD01}" xr6:coauthVersionLast="47" xr6:coauthVersionMax="47" xr10:uidLastSave="{00000000-0000-0000-0000-000000000000}"/>
  <bookViews>
    <workbookView xWindow="-108" yWindow="-108" windowWidth="23256" windowHeight="12456" firstSheet="2" activeTab="12" xr2:uid="{00000000-000D-0000-FFFF-FFFF00000000}"/>
  </bookViews>
  <sheets>
    <sheet name="价格汇总" sheetId="1" r:id="rId1"/>
    <sheet name="003" sheetId="2" r:id="rId2"/>
    <sheet name="004" sheetId="3" r:id="rId3"/>
    <sheet name="009-sc" sheetId="8" r:id="rId4"/>
    <sheet name="009-lin" sheetId="9" r:id="rId5"/>
    <sheet name="009-pwm" sheetId="7" r:id="rId6"/>
    <sheet name="010-sc" sheetId="5" r:id="rId7"/>
    <sheet name="010-lin" sheetId="6" r:id="rId8"/>
    <sheet name="010-pwm" sheetId="4" r:id="rId9"/>
    <sheet name="003制费" sheetId="10" r:id="rId10"/>
    <sheet name="004制费" sheetId="11" r:id="rId11"/>
    <sheet name="009制费" sheetId="13" r:id="rId12"/>
    <sheet name="010制费" sheetId="12" r:id="rId13"/>
  </sheets>
  <externalReferences>
    <externalReference r:id="rId14"/>
    <externalReference r:id="rId15"/>
    <externalReference r:id="rId16"/>
    <externalReference r:id="rId17"/>
    <externalReference r:id="rId1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5" i="10" l="1"/>
  <c r="G56" i="10"/>
  <c r="G81" i="10" s="1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5" i="12"/>
  <c r="G64" i="12"/>
  <c r="G63" i="12"/>
  <c r="G62" i="12"/>
  <c r="G61" i="12"/>
  <c r="G60" i="12"/>
  <c r="G59" i="12"/>
  <c r="G58" i="12"/>
  <c r="G56" i="12"/>
  <c r="G55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1" i="12"/>
  <c r="G30" i="12"/>
  <c r="G29" i="12"/>
  <c r="G28" i="12"/>
  <c r="G27" i="12"/>
  <c r="G26" i="12"/>
  <c r="G25" i="12"/>
  <c r="G24" i="12"/>
  <c r="G22" i="12"/>
  <c r="G21" i="12"/>
  <c r="D21" i="12"/>
  <c r="G20" i="12"/>
  <c r="D20" i="12"/>
  <c r="G19" i="12"/>
  <c r="D19" i="12"/>
  <c r="G18" i="12"/>
  <c r="G17" i="12"/>
  <c r="D17" i="12"/>
  <c r="G16" i="12"/>
  <c r="G14" i="12"/>
  <c r="G13" i="12"/>
  <c r="D13" i="12"/>
  <c r="G12" i="12"/>
  <c r="D12" i="12"/>
  <c r="G11" i="12"/>
  <c r="D11" i="12"/>
  <c r="G10" i="12"/>
  <c r="D10" i="12"/>
  <c r="G9" i="12"/>
  <c r="D9" i="12"/>
  <c r="G8" i="12"/>
  <c r="D8" i="12"/>
  <c r="G7" i="12"/>
  <c r="D7" i="12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5" i="13"/>
  <c r="G64" i="13"/>
  <c r="G63" i="13"/>
  <c r="G62" i="13"/>
  <c r="G61" i="13"/>
  <c r="G60" i="13"/>
  <c r="G59" i="13"/>
  <c r="G58" i="13"/>
  <c r="G56" i="13"/>
  <c r="G55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1" i="13"/>
  <c r="G30" i="13"/>
  <c r="G29" i="13"/>
  <c r="G28" i="13"/>
  <c r="G27" i="13"/>
  <c r="G26" i="13"/>
  <c r="G25" i="13"/>
  <c r="G24" i="13"/>
  <c r="G22" i="13"/>
  <c r="G21" i="13"/>
  <c r="D21" i="13"/>
  <c r="G20" i="13"/>
  <c r="D20" i="13"/>
  <c r="G19" i="13"/>
  <c r="D19" i="13"/>
  <c r="G18" i="13"/>
  <c r="G17" i="13"/>
  <c r="D17" i="13"/>
  <c r="G16" i="13"/>
  <c r="G14" i="13"/>
  <c r="G13" i="13"/>
  <c r="D13" i="13"/>
  <c r="G12" i="13"/>
  <c r="D12" i="13"/>
  <c r="G11" i="13"/>
  <c r="D11" i="13"/>
  <c r="G10" i="13"/>
  <c r="D10" i="13"/>
  <c r="G9" i="13"/>
  <c r="D9" i="13"/>
  <c r="G8" i="13"/>
  <c r="D8" i="13"/>
  <c r="G7" i="13"/>
  <c r="D7" i="13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5" i="11"/>
  <c r="G64" i="11"/>
  <c r="G63" i="11"/>
  <c r="G62" i="11"/>
  <c r="G61" i="11"/>
  <c r="G60" i="11"/>
  <c r="G59" i="11"/>
  <c r="G58" i="11"/>
  <c r="G56" i="11"/>
  <c r="G55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1" i="11"/>
  <c r="G30" i="11"/>
  <c r="G29" i="11"/>
  <c r="G28" i="11"/>
  <c r="G27" i="11"/>
  <c r="G26" i="11"/>
  <c r="G25" i="11"/>
  <c r="G24" i="11"/>
  <c r="G22" i="11"/>
  <c r="G21" i="11"/>
  <c r="D21" i="11"/>
  <c r="G20" i="11"/>
  <c r="D20" i="11"/>
  <c r="G19" i="11"/>
  <c r="D19" i="11"/>
  <c r="G18" i="11"/>
  <c r="G17" i="11"/>
  <c r="D17" i="11"/>
  <c r="G16" i="11"/>
  <c r="G14" i="11"/>
  <c r="G13" i="11"/>
  <c r="D13" i="11"/>
  <c r="G12" i="11"/>
  <c r="D12" i="11"/>
  <c r="G11" i="11"/>
  <c r="D11" i="11"/>
  <c r="G10" i="11"/>
  <c r="D10" i="11"/>
  <c r="G9" i="11"/>
  <c r="D9" i="11"/>
  <c r="G8" i="11"/>
  <c r="D8" i="11"/>
  <c r="G7" i="11"/>
  <c r="D7" i="11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5" i="10"/>
  <c r="G64" i="10"/>
  <c r="G63" i="10"/>
  <c r="G62" i="10"/>
  <c r="G61" i="10"/>
  <c r="G60" i="10"/>
  <c r="G59" i="10"/>
  <c r="G58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1" i="10"/>
  <c r="G30" i="10"/>
  <c r="G29" i="10"/>
  <c r="G28" i="10"/>
  <c r="G27" i="10"/>
  <c r="G26" i="10"/>
  <c r="G25" i="10"/>
  <c r="G24" i="10"/>
  <c r="G22" i="10"/>
  <c r="G21" i="10"/>
  <c r="D21" i="10"/>
  <c r="G20" i="10"/>
  <c r="D20" i="10"/>
  <c r="G19" i="10"/>
  <c r="D19" i="10"/>
  <c r="G18" i="10"/>
  <c r="G17" i="10"/>
  <c r="D17" i="10"/>
  <c r="G16" i="10"/>
  <c r="G14" i="10"/>
  <c r="G13" i="10"/>
  <c r="D13" i="10"/>
  <c r="G12" i="10"/>
  <c r="D12" i="10"/>
  <c r="G11" i="10"/>
  <c r="D11" i="10"/>
  <c r="G10" i="10"/>
  <c r="D10" i="10"/>
  <c r="G9" i="10"/>
  <c r="D9" i="10"/>
  <c r="G8" i="10"/>
  <c r="D8" i="10"/>
  <c r="G7" i="10"/>
  <c r="D7" i="10"/>
  <c r="N187" i="4"/>
  <c r="M187" i="4"/>
  <c r="L187" i="4"/>
  <c r="K187" i="4"/>
  <c r="J187" i="4"/>
  <c r="R186" i="4"/>
  <c r="Q186" i="4"/>
  <c r="P186" i="4"/>
  <c r="L186" i="4"/>
  <c r="K186" i="4"/>
  <c r="J186" i="4"/>
  <c r="M186" i="4" s="1"/>
  <c r="N186" i="4" s="1"/>
  <c r="R185" i="4"/>
  <c r="Q185" i="4"/>
  <c r="P185" i="4"/>
  <c r="N185" i="4"/>
  <c r="L185" i="4"/>
  <c r="K185" i="4"/>
  <c r="J185" i="4"/>
  <c r="R184" i="4"/>
  <c r="Q184" i="4"/>
  <c r="P184" i="4"/>
  <c r="L184" i="4"/>
  <c r="K184" i="4"/>
  <c r="J184" i="4"/>
  <c r="M184" i="4" s="1"/>
  <c r="N184" i="4" s="1"/>
  <c r="R183" i="4"/>
  <c r="Q183" i="4"/>
  <c r="P183" i="4"/>
  <c r="L183" i="4"/>
  <c r="K183" i="4"/>
  <c r="J183" i="4"/>
  <c r="M183" i="4" s="1"/>
  <c r="N183" i="4" s="1"/>
  <c r="R182" i="4"/>
  <c r="Q182" i="4"/>
  <c r="P182" i="4"/>
  <c r="L182" i="4"/>
  <c r="K182" i="4"/>
  <c r="J182" i="4"/>
  <c r="M182" i="4" s="1"/>
  <c r="R181" i="4"/>
  <c r="Q181" i="4"/>
  <c r="P181" i="4"/>
  <c r="L181" i="4"/>
  <c r="K181" i="4"/>
  <c r="J181" i="4"/>
  <c r="M181" i="4" s="1"/>
  <c r="N181" i="4" s="1"/>
  <c r="R180" i="4"/>
  <c r="Q180" i="4"/>
  <c r="P180" i="4"/>
  <c r="L180" i="4"/>
  <c r="K180" i="4"/>
  <c r="J180" i="4"/>
  <c r="M180" i="4" s="1"/>
  <c r="R179" i="4"/>
  <c r="Q179" i="4"/>
  <c r="P179" i="4"/>
  <c r="M179" i="4"/>
  <c r="L179" i="4"/>
  <c r="K179" i="4"/>
  <c r="J179" i="4"/>
  <c r="R178" i="4"/>
  <c r="Q178" i="4"/>
  <c r="P178" i="4"/>
  <c r="M178" i="4"/>
  <c r="L178" i="4"/>
  <c r="K178" i="4"/>
  <c r="J178" i="4"/>
  <c r="R177" i="4"/>
  <c r="Q177" i="4"/>
  <c r="P177" i="4"/>
  <c r="L177" i="4"/>
  <c r="K177" i="4"/>
  <c r="J177" i="4"/>
  <c r="M177" i="4" s="1"/>
  <c r="R176" i="4"/>
  <c r="Q176" i="4"/>
  <c r="P176" i="4"/>
  <c r="L176" i="4"/>
  <c r="K176" i="4"/>
  <c r="J176" i="4"/>
  <c r="M176" i="4" s="1"/>
  <c r="N176" i="4" s="1"/>
  <c r="R175" i="4"/>
  <c r="Q175" i="4"/>
  <c r="P175" i="4"/>
  <c r="L175" i="4"/>
  <c r="K175" i="4"/>
  <c r="J175" i="4"/>
  <c r="M175" i="4" s="1"/>
  <c r="R174" i="4"/>
  <c r="Q174" i="4"/>
  <c r="P174" i="4"/>
  <c r="N174" i="4"/>
  <c r="L174" i="4"/>
  <c r="K174" i="4"/>
  <c r="J174" i="4"/>
  <c r="R173" i="4"/>
  <c r="Q173" i="4"/>
  <c r="P173" i="4"/>
  <c r="L173" i="4"/>
  <c r="K173" i="4"/>
  <c r="J173" i="4"/>
  <c r="M173" i="4" s="1"/>
  <c r="N173" i="4" s="1"/>
  <c r="R172" i="4"/>
  <c r="Q172" i="4"/>
  <c r="P172" i="4"/>
  <c r="L172" i="4"/>
  <c r="K172" i="4"/>
  <c r="J172" i="4"/>
  <c r="M172" i="4" s="1"/>
  <c r="N172" i="4" s="1"/>
  <c r="R171" i="4"/>
  <c r="Q171" i="4"/>
  <c r="P171" i="4"/>
  <c r="L171" i="4"/>
  <c r="K171" i="4"/>
  <c r="J171" i="4"/>
  <c r="M171" i="4" s="1"/>
  <c r="R170" i="4"/>
  <c r="Q170" i="4"/>
  <c r="P170" i="4"/>
  <c r="L170" i="4"/>
  <c r="K170" i="4"/>
  <c r="J170" i="4"/>
  <c r="M170" i="4" s="1"/>
  <c r="R169" i="4"/>
  <c r="Q169" i="4"/>
  <c r="P169" i="4"/>
  <c r="L169" i="4"/>
  <c r="K169" i="4"/>
  <c r="J169" i="4"/>
  <c r="M169" i="4" s="1"/>
  <c r="R168" i="4"/>
  <c r="Q168" i="4"/>
  <c r="P168" i="4"/>
  <c r="M168" i="4"/>
  <c r="L168" i="4"/>
  <c r="K168" i="4"/>
  <c r="J168" i="4"/>
  <c r="R167" i="4"/>
  <c r="Q167" i="4"/>
  <c r="P167" i="4"/>
  <c r="L167" i="4"/>
  <c r="K167" i="4"/>
  <c r="J167" i="4"/>
  <c r="M167" i="4" s="1"/>
  <c r="N167" i="4" s="1"/>
  <c r="R166" i="4"/>
  <c r="Q166" i="4"/>
  <c r="P166" i="4"/>
  <c r="L166" i="4"/>
  <c r="K166" i="4"/>
  <c r="J166" i="4"/>
  <c r="M166" i="4" s="1"/>
  <c r="R165" i="4"/>
  <c r="Q165" i="4"/>
  <c r="P165" i="4"/>
  <c r="L165" i="4"/>
  <c r="K165" i="4"/>
  <c r="J165" i="4"/>
  <c r="M165" i="4" s="1"/>
  <c r="R164" i="4"/>
  <c r="Q164" i="4"/>
  <c r="P164" i="4"/>
  <c r="M164" i="4"/>
  <c r="L164" i="4"/>
  <c r="K164" i="4"/>
  <c r="J164" i="4"/>
  <c r="R163" i="4"/>
  <c r="Q163" i="4"/>
  <c r="P163" i="4"/>
  <c r="L163" i="4"/>
  <c r="K163" i="4"/>
  <c r="J163" i="4"/>
  <c r="M163" i="4" s="1"/>
  <c r="R162" i="4"/>
  <c r="Q162" i="4"/>
  <c r="P162" i="4"/>
  <c r="L162" i="4"/>
  <c r="K162" i="4"/>
  <c r="J162" i="4"/>
  <c r="M162" i="4" s="1"/>
  <c r="N162" i="4" s="1"/>
  <c r="R161" i="4"/>
  <c r="Q161" i="4"/>
  <c r="P161" i="4"/>
  <c r="L161" i="4"/>
  <c r="K161" i="4"/>
  <c r="J161" i="4"/>
  <c r="M161" i="4" s="1"/>
  <c r="R160" i="4"/>
  <c r="Q160" i="4"/>
  <c r="P160" i="4"/>
  <c r="L160" i="4"/>
  <c r="K160" i="4"/>
  <c r="J160" i="4"/>
  <c r="M160" i="4" s="1"/>
  <c r="R159" i="4"/>
  <c r="Q159" i="4"/>
  <c r="P159" i="4"/>
  <c r="L159" i="4"/>
  <c r="K159" i="4"/>
  <c r="J159" i="4"/>
  <c r="M159" i="4" s="1"/>
  <c r="R158" i="4"/>
  <c r="Q158" i="4"/>
  <c r="P158" i="4"/>
  <c r="M158" i="4"/>
  <c r="L158" i="4"/>
  <c r="K158" i="4"/>
  <c r="J158" i="4"/>
  <c r="R157" i="4"/>
  <c r="Q157" i="4"/>
  <c r="P157" i="4"/>
  <c r="M157" i="4"/>
  <c r="N157" i="4" s="1"/>
  <c r="L157" i="4"/>
  <c r="K157" i="4"/>
  <c r="J157" i="4"/>
  <c r="R156" i="4"/>
  <c r="Q156" i="4"/>
  <c r="P156" i="4"/>
  <c r="L156" i="4"/>
  <c r="K156" i="4"/>
  <c r="J156" i="4"/>
  <c r="M156" i="4" s="1"/>
  <c r="R155" i="4"/>
  <c r="Q155" i="4"/>
  <c r="P155" i="4"/>
  <c r="L155" i="4"/>
  <c r="K155" i="4"/>
  <c r="J155" i="4"/>
  <c r="M155" i="4" s="1"/>
  <c r="R154" i="4"/>
  <c r="Q154" i="4"/>
  <c r="P154" i="4"/>
  <c r="L154" i="4"/>
  <c r="K154" i="4"/>
  <c r="J154" i="4"/>
  <c r="M154" i="4" s="1"/>
  <c r="R153" i="4"/>
  <c r="Q153" i="4"/>
  <c r="P153" i="4"/>
  <c r="L153" i="4"/>
  <c r="K153" i="4"/>
  <c r="J153" i="4"/>
  <c r="M153" i="4" s="1"/>
  <c r="R152" i="4"/>
  <c r="Q152" i="4"/>
  <c r="P152" i="4"/>
  <c r="L152" i="4"/>
  <c r="K152" i="4"/>
  <c r="J152" i="4"/>
  <c r="M152" i="4" s="1"/>
  <c r="N152" i="4" s="1"/>
  <c r="R151" i="4"/>
  <c r="Q151" i="4"/>
  <c r="P151" i="4"/>
  <c r="L151" i="4"/>
  <c r="K151" i="4"/>
  <c r="J151" i="4"/>
  <c r="M151" i="4" s="1"/>
  <c r="R150" i="4"/>
  <c r="Q150" i="4"/>
  <c r="P150" i="4"/>
  <c r="L150" i="4"/>
  <c r="K150" i="4"/>
  <c r="J150" i="4"/>
  <c r="M150" i="4" s="1"/>
  <c r="R149" i="4"/>
  <c r="Q149" i="4"/>
  <c r="P149" i="4"/>
  <c r="M149" i="4"/>
  <c r="L149" i="4"/>
  <c r="K149" i="4"/>
  <c r="J149" i="4"/>
  <c r="R148" i="4"/>
  <c r="Q148" i="4"/>
  <c r="P148" i="4"/>
  <c r="M148" i="4"/>
  <c r="L148" i="4"/>
  <c r="K148" i="4"/>
  <c r="J148" i="4"/>
  <c r="R147" i="4"/>
  <c r="Q147" i="4"/>
  <c r="P147" i="4"/>
  <c r="M147" i="4"/>
  <c r="N147" i="4" s="1"/>
  <c r="L147" i="4"/>
  <c r="K147" i="4"/>
  <c r="J147" i="4"/>
  <c r="R146" i="4"/>
  <c r="Q146" i="4"/>
  <c r="P146" i="4"/>
  <c r="M146" i="4"/>
  <c r="L146" i="4"/>
  <c r="K146" i="4"/>
  <c r="J146" i="4"/>
  <c r="R145" i="4"/>
  <c r="Q145" i="4"/>
  <c r="P145" i="4"/>
  <c r="L145" i="4"/>
  <c r="K145" i="4"/>
  <c r="J145" i="4"/>
  <c r="M145" i="4" s="1"/>
  <c r="R144" i="4"/>
  <c r="Q144" i="4"/>
  <c r="P144" i="4"/>
  <c r="M144" i="4"/>
  <c r="L144" i="4"/>
  <c r="K144" i="4"/>
  <c r="J144" i="4"/>
  <c r="R143" i="4"/>
  <c r="Q143" i="4"/>
  <c r="P143" i="4"/>
  <c r="L143" i="4"/>
  <c r="K143" i="4"/>
  <c r="J143" i="4"/>
  <c r="M143" i="4" s="1"/>
  <c r="R142" i="4"/>
  <c r="Q142" i="4"/>
  <c r="P142" i="4"/>
  <c r="L142" i="4"/>
  <c r="K142" i="4"/>
  <c r="J142" i="4"/>
  <c r="M142" i="4" s="1"/>
  <c r="N142" i="4" s="1"/>
  <c r="R141" i="4"/>
  <c r="Q141" i="4"/>
  <c r="P141" i="4"/>
  <c r="L141" i="4"/>
  <c r="K141" i="4"/>
  <c r="J141" i="4"/>
  <c r="M141" i="4" s="1"/>
  <c r="R140" i="4"/>
  <c r="Q140" i="4"/>
  <c r="P140" i="4"/>
  <c r="L140" i="4"/>
  <c r="K140" i="4"/>
  <c r="J140" i="4"/>
  <c r="M140" i="4" s="1"/>
  <c r="R139" i="4"/>
  <c r="Q139" i="4"/>
  <c r="P139" i="4"/>
  <c r="L139" i="4"/>
  <c r="K139" i="4"/>
  <c r="J139" i="4"/>
  <c r="M139" i="4" s="1"/>
  <c r="N139" i="4" s="1"/>
  <c r="R138" i="4"/>
  <c r="Q138" i="4"/>
  <c r="P138" i="4"/>
  <c r="L138" i="4"/>
  <c r="K138" i="4"/>
  <c r="J138" i="4"/>
  <c r="M138" i="4" s="1"/>
  <c r="R137" i="4"/>
  <c r="Q137" i="4"/>
  <c r="P137" i="4"/>
  <c r="M137" i="4"/>
  <c r="L137" i="4"/>
  <c r="K137" i="4"/>
  <c r="J137" i="4"/>
  <c r="R136" i="4"/>
  <c r="Q136" i="4"/>
  <c r="P136" i="4"/>
  <c r="L136" i="4"/>
  <c r="K136" i="4"/>
  <c r="J136" i="4"/>
  <c r="M136" i="4" s="1"/>
  <c r="R135" i="4"/>
  <c r="Q135" i="4"/>
  <c r="P135" i="4"/>
  <c r="L135" i="4"/>
  <c r="K135" i="4"/>
  <c r="J135" i="4"/>
  <c r="M135" i="4" s="1"/>
  <c r="R134" i="4"/>
  <c r="Q134" i="4"/>
  <c r="P134" i="4"/>
  <c r="M134" i="4"/>
  <c r="N134" i="4" s="1"/>
  <c r="L134" i="4"/>
  <c r="K134" i="4"/>
  <c r="J134" i="4"/>
  <c r="R133" i="4"/>
  <c r="Q133" i="4"/>
  <c r="P133" i="4"/>
  <c r="L133" i="4"/>
  <c r="K133" i="4"/>
  <c r="J133" i="4"/>
  <c r="M133" i="4" s="1"/>
  <c r="R132" i="4"/>
  <c r="Q132" i="4"/>
  <c r="P132" i="4"/>
  <c r="L132" i="4"/>
  <c r="K132" i="4"/>
  <c r="J132" i="4"/>
  <c r="M132" i="4" s="1"/>
  <c r="R131" i="4"/>
  <c r="Q131" i="4"/>
  <c r="P131" i="4"/>
  <c r="L131" i="4"/>
  <c r="K131" i="4"/>
  <c r="J131" i="4"/>
  <c r="M131" i="4" s="1"/>
  <c r="R130" i="4"/>
  <c r="Q130" i="4"/>
  <c r="P130" i="4"/>
  <c r="L130" i="4"/>
  <c r="K130" i="4"/>
  <c r="J130" i="4"/>
  <c r="M130" i="4" s="1"/>
  <c r="R129" i="4"/>
  <c r="Q129" i="4"/>
  <c r="P129" i="4"/>
  <c r="L129" i="4"/>
  <c r="K129" i="4"/>
  <c r="J129" i="4"/>
  <c r="M129" i="4" s="1"/>
  <c r="N129" i="4" s="1"/>
  <c r="R128" i="4"/>
  <c r="Q128" i="4"/>
  <c r="P128" i="4"/>
  <c r="M128" i="4"/>
  <c r="L128" i="4"/>
  <c r="K128" i="4"/>
  <c r="J128" i="4"/>
  <c r="R127" i="4"/>
  <c r="Q127" i="4"/>
  <c r="P127" i="4"/>
  <c r="L127" i="4"/>
  <c r="K127" i="4"/>
  <c r="J127" i="4"/>
  <c r="M127" i="4" s="1"/>
  <c r="R126" i="4"/>
  <c r="Q126" i="4"/>
  <c r="P126" i="4"/>
  <c r="L126" i="4"/>
  <c r="K126" i="4"/>
  <c r="J126" i="4"/>
  <c r="M126" i="4" s="1"/>
  <c r="R125" i="4"/>
  <c r="Q125" i="4"/>
  <c r="P125" i="4"/>
  <c r="L125" i="4"/>
  <c r="K125" i="4"/>
  <c r="J125" i="4"/>
  <c r="M125" i="4" s="1"/>
  <c r="N125" i="4" s="1"/>
  <c r="R124" i="4"/>
  <c r="Q124" i="4"/>
  <c r="P124" i="4"/>
  <c r="L124" i="4"/>
  <c r="K124" i="4"/>
  <c r="J124" i="4"/>
  <c r="M124" i="4" s="1"/>
  <c r="R123" i="4"/>
  <c r="Q123" i="4"/>
  <c r="P123" i="4"/>
  <c r="M123" i="4"/>
  <c r="L123" i="4"/>
  <c r="K123" i="4"/>
  <c r="J123" i="4"/>
  <c r="R122" i="4"/>
  <c r="Q122" i="4"/>
  <c r="P122" i="4"/>
  <c r="L122" i="4"/>
  <c r="K122" i="4"/>
  <c r="J122" i="4"/>
  <c r="M122" i="4" s="1"/>
  <c r="R121" i="4"/>
  <c r="Q121" i="4"/>
  <c r="P121" i="4"/>
  <c r="L121" i="4"/>
  <c r="K121" i="4"/>
  <c r="J121" i="4"/>
  <c r="M121" i="4" s="1"/>
  <c r="R120" i="4"/>
  <c r="Q120" i="4"/>
  <c r="P120" i="4"/>
  <c r="L120" i="4"/>
  <c r="K120" i="4"/>
  <c r="J120" i="4"/>
  <c r="M120" i="4" s="1"/>
  <c r="R119" i="4"/>
  <c r="Q119" i="4"/>
  <c r="P119" i="4"/>
  <c r="L119" i="4"/>
  <c r="K119" i="4"/>
  <c r="J119" i="4"/>
  <c r="M119" i="4" s="1"/>
  <c r="N119" i="4" s="1"/>
  <c r="R118" i="4"/>
  <c r="Q118" i="4"/>
  <c r="P118" i="4"/>
  <c r="M118" i="4"/>
  <c r="L118" i="4"/>
  <c r="K118" i="4"/>
  <c r="J118" i="4"/>
  <c r="R117" i="4"/>
  <c r="Q117" i="4"/>
  <c r="P117" i="4"/>
  <c r="L117" i="4"/>
  <c r="K117" i="4"/>
  <c r="J117" i="4"/>
  <c r="M117" i="4" s="1"/>
  <c r="R116" i="4"/>
  <c r="Q116" i="4"/>
  <c r="P116" i="4"/>
  <c r="L116" i="4"/>
  <c r="K116" i="4"/>
  <c r="J116" i="4"/>
  <c r="M116" i="4" s="1"/>
  <c r="R115" i="4"/>
  <c r="Q115" i="4"/>
  <c r="P115" i="4"/>
  <c r="L115" i="4"/>
  <c r="K115" i="4"/>
  <c r="J115" i="4"/>
  <c r="M115" i="4" s="1"/>
  <c r="R114" i="4"/>
  <c r="Q114" i="4"/>
  <c r="P114" i="4"/>
  <c r="L114" i="4"/>
  <c r="K114" i="4"/>
  <c r="J114" i="4"/>
  <c r="M114" i="4" s="1"/>
  <c r="N114" i="4" s="1"/>
  <c r="R113" i="4"/>
  <c r="Q113" i="4"/>
  <c r="P113" i="4"/>
  <c r="L113" i="4"/>
  <c r="K113" i="4"/>
  <c r="J113" i="4"/>
  <c r="M113" i="4" s="1"/>
  <c r="R112" i="4"/>
  <c r="Q112" i="4"/>
  <c r="P112" i="4"/>
  <c r="L112" i="4"/>
  <c r="K112" i="4"/>
  <c r="J112" i="4"/>
  <c r="M112" i="4" s="1"/>
  <c r="R111" i="4"/>
  <c r="Q111" i="4"/>
  <c r="P111" i="4"/>
  <c r="L111" i="4"/>
  <c r="K111" i="4"/>
  <c r="J111" i="4"/>
  <c r="M111" i="4" s="1"/>
  <c r="N111" i="4" s="1"/>
  <c r="R110" i="4"/>
  <c r="Q110" i="4"/>
  <c r="P110" i="4"/>
  <c r="L110" i="4"/>
  <c r="K110" i="4"/>
  <c r="J110" i="4"/>
  <c r="M110" i="4" s="1"/>
  <c r="R109" i="4"/>
  <c r="Q109" i="4"/>
  <c r="P109" i="4"/>
  <c r="L109" i="4"/>
  <c r="K109" i="4"/>
  <c r="J109" i="4"/>
  <c r="M109" i="4" s="1"/>
  <c r="R108" i="4"/>
  <c r="Q108" i="4"/>
  <c r="P108" i="4"/>
  <c r="L108" i="4"/>
  <c r="K108" i="4"/>
  <c r="J108" i="4"/>
  <c r="M108" i="4" s="1"/>
  <c r="R107" i="4"/>
  <c r="Q107" i="4"/>
  <c r="P107" i="4"/>
  <c r="L107" i="4"/>
  <c r="K107" i="4"/>
  <c r="J107" i="4"/>
  <c r="M107" i="4" s="1"/>
  <c r="R106" i="4"/>
  <c r="Q106" i="4"/>
  <c r="P106" i="4"/>
  <c r="N106" i="4"/>
  <c r="L106" i="4"/>
  <c r="K106" i="4"/>
  <c r="J106" i="4"/>
  <c r="R105" i="4"/>
  <c r="Q105" i="4"/>
  <c r="P105" i="4"/>
  <c r="L105" i="4"/>
  <c r="K105" i="4"/>
  <c r="J105" i="4"/>
  <c r="M105" i="4" s="1"/>
  <c r="N105" i="4" s="1"/>
  <c r="R104" i="4"/>
  <c r="Q104" i="4"/>
  <c r="P104" i="4"/>
  <c r="M104" i="4"/>
  <c r="L104" i="4"/>
  <c r="K104" i="4"/>
  <c r="J104" i="4"/>
  <c r="R103" i="4"/>
  <c r="Q103" i="4"/>
  <c r="P103" i="4"/>
  <c r="M103" i="4"/>
  <c r="L103" i="4"/>
  <c r="K103" i="4"/>
  <c r="J103" i="4"/>
  <c r="R102" i="4"/>
  <c r="Q102" i="4"/>
  <c r="P102" i="4"/>
  <c r="L102" i="4"/>
  <c r="K102" i="4"/>
  <c r="J102" i="4"/>
  <c r="M102" i="4" s="1"/>
  <c r="R101" i="4"/>
  <c r="Q101" i="4"/>
  <c r="P101" i="4"/>
  <c r="L101" i="4"/>
  <c r="K101" i="4"/>
  <c r="J101" i="4"/>
  <c r="M101" i="4" s="1"/>
  <c r="R100" i="4"/>
  <c r="Q100" i="4"/>
  <c r="P100" i="4"/>
  <c r="L100" i="4"/>
  <c r="K100" i="4"/>
  <c r="J100" i="4"/>
  <c r="M100" i="4" s="1"/>
  <c r="N100" i="4" s="1"/>
  <c r="R99" i="4"/>
  <c r="Q99" i="4"/>
  <c r="P99" i="4"/>
  <c r="L99" i="4"/>
  <c r="K99" i="4"/>
  <c r="J99" i="4"/>
  <c r="M99" i="4" s="1"/>
  <c r="R98" i="4"/>
  <c r="Q98" i="4"/>
  <c r="P98" i="4"/>
  <c r="L98" i="4"/>
  <c r="K98" i="4"/>
  <c r="J98" i="4"/>
  <c r="M98" i="4" s="1"/>
  <c r="R97" i="4"/>
  <c r="Q97" i="4"/>
  <c r="P97" i="4"/>
  <c r="L97" i="4"/>
  <c r="K97" i="4"/>
  <c r="J97" i="4"/>
  <c r="M97" i="4" s="1"/>
  <c r="R96" i="4"/>
  <c r="Q96" i="4"/>
  <c r="P96" i="4"/>
  <c r="L96" i="4"/>
  <c r="K96" i="4"/>
  <c r="J96" i="4"/>
  <c r="M96" i="4" s="1"/>
  <c r="R95" i="4"/>
  <c r="Q95" i="4"/>
  <c r="P95" i="4"/>
  <c r="L95" i="4"/>
  <c r="K95" i="4"/>
  <c r="J95" i="4"/>
  <c r="M95" i="4" s="1"/>
  <c r="N95" i="4" s="1"/>
  <c r="R94" i="4"/>
  <c r="Q94" i="4"/>
  <c r="P94" i="4"/>
  <c r="L94" i="4"/>
  <c r="K94" i="4"/>
  <c r="J94" i="4"/>
  <c r="M94" i="4" s="1"/>
  <c r="R93" i="4"/>
  <c r="Q93" i="4"/>
  <c r="P93" i="4"/>
  <c r="L93" i="4"/>
  <c r="K93" i="4"/>
  <c r="J93" i="4"/>
  <c r="M93" i="4" s="1"/>
  <c r="R92" i="4"/>
  <c r="Q92" i="4"/>
  <c r="P92" i="4"/>
  <c r="M92" i="4"/>
  <c r="N92" i="4" s="1"/>
  <c r="L92" i="4"/>
  <c r="K92" i="4"/>
  <c r="J92" i="4"/>
  <c r="R91" i="4"/>
  <c r="Q91" i="4"/>
  <c r="P91" i="4"/>
  <c r="L91" i="4"/>
  <c r="K91" i="4"/>
  <c r="J91" i="4"/>
  <c r="M91" i="4" s="1"/>
  <c r="R90" i="4"/>
  <c r="Q90" i="4"/>
  <c r="P90" i="4"/>
  <c r="L90" i="4"/>
  <c r="K90" i="4"/>
  <c r="J90" i="4"/>
  <c r="M90" i="4" s="1"/>
  <c r="R89" i="4"/>
  <c r="Q89" i="4"/>
  <c r="P89" i="4"/>
  <c r="L89" i="4"/>
  <c r="K89" i="4"/>
  <c r="J89" i="4"/>
  <c r="M89" i="4" s="1"/>
  <c r="R88" i="4"/>
  <c r="Q88" i="4"/>
  <c r="P88" i="4"/>
  <c r="L88" i="4"/>
  <c r="K88" i="4"/>
  <c r="J88" i="4"/>
  <c r="M88" i="4" s="1"/>
  <c r="R87" i="4"/>
  <c r="Q87" i="4"/>
  <c r="P87" i="4"/>
  <c r="L87" i="4"/>
  <c r="K87" i="4"/>
  <c r="J87" i="4"/>
  <c r="M87" i="4" s="1"/>
  <c r="N87" i="4" s="1"/>
  <c r="R86" i="4"/>
  <c r="Q86" i="4"/>
  <c r="P86" i="4"/>
  <c r="L86" i="4"/>
  <c r="K86" i="4"/>
  <c r="J86" i="4"/>
  <c r="M86" i="4" s="1"/>
  <c r="R85" i="4"/>
  <c r="Q85" i="4"/>
  <c r="P85" i="4"/>
  <c r="M85" i="4"/>
  <c r="L85" i="4"/>
  <c r="K85" i="4"/>
  <c r="J85" i="4"/>
  <c r="R84" i="4"/>
  <c r="Q84" i="4"/>
  <c r="P84" i="4"/>
  <c r="L84" i="4"/>
  <c r="K84" i="4"/>
  <c r="J84" i="4"/>
  <c r="M84" i="4" s="1"/>
  <c r="R83" i="4"/>
  <c r="Q83" i="4"/>
  <c r="P83" i="4"/>
  <c r="L83" i="4"/>
  <c r="K83" i="4"/>
  <c r="J83" i="4"/>
  <c r="M83" i="4" s="1"/>
  <c r="R82" i="4"/>
  <c r="Q82" i="4"/>
  <c r="P82" i="4"/>
  <c r="L82" i="4"/>
  <c r="K82" i="4"/>
  <c r="J82" i="4"/>
  <c r="R81" i="4"/>
  <c r="Q81" i="4"/>
  <c r="P81" i="4"/>
  <c r="L81" i="4"/>
  <c r="K81" i="4"/>
  <c r="J81" i="4"/>
  <c r="M81" i="4" s="1"/>
  <c r="R80" i="4"/>
  <c r="Q80" i="4"/>
  <c r="P80" i="4"/>
  <c r="L80" i="4"/>
  <c r="K80" i="4"/>
  <c r="J80" i="4"/>
  <c r="M80" i="4" s="1"/>
  <c r="N80" i="4" s="1"/>
  <c r="R79" i="4"/>
  <c r="Q79" i="4"/>
  <c r="P79" i="4"/>
  <c r="L79" i="4"/>
  <c r="K79" i="4"/>
  <c r="J79" i="4"/>
  <c r="M79" i="4" s="1"/>
  <c r="N79" i="4" s="1"/>
  <c r="R78" i="4"/>
  <c r="Q78" i="4"/>
  <c r="P78" i="4"/>
  <c r="L78" i="4"/>
  <c r="K78" i="4"/>
  <c r="J78" i="4"/>
  <c r="M78" i="4" s="1"/>
  <c r="R77" i="4"/>
  <c r="Q77" i="4"/>
  <c r="P77" i="4"/>
  <c r="L77" i="4"/>
  <c r="K77" i="4"/>
  <c r="J77" i="4"/>
  <c r="M77" i="4" s="1"/>
  <c r="R76" i="4"/>
  <c r="Q76" i="4"/>
  <c r="P76" i="4"/>
  <c r="L76" i="4"/>
  <c r="K76" i="4"/>
  <c r="J76" i="4"/>
  <c r="M76" i="4" s="1"/>
  <c r="R75" i="4"/>
  <c r="Q75" i="4"/>
  <c r="P75" i="4"/>
  <c r="M75" i="4"/>
  <c r="L75" i="4"/>
  <c r="K75" i="4"/>
  <c r="J75" i="4"/>
  <c r="R74" i="4"/>
  <c r="Q74" i="4"/>
  <c r="P74" i="4"/>
  <c r="L74" i="4"/>
  <c r="K74" i="4"/>
  <c r="J74" i="4"/>
  <c r="M74" i="4" s="1"/>
  <c r="R73" i="4"/>
  <c r="Q73" i="4"/>
  <c r="P73" i="4"/>
  <c r="N73" i="4"/>
  <c r="L73" i="4"/>
  <c r="K73" i="4"/>
  <c r="J73" i="4"/>
  <c r="R72" i="4"/>
  <c r="Q72" i="4"/>
  <c r="P72" i="4"/>
  <c r="L72" i="4"/>
  <c r="K72" i="4"/>
  <c r="J72" i="4"/>
  <c r="M72" i="4" s="1"/>
  <c r="N72" i="4" s="1"/>
  <c r="R71" i="4"/>
  <c r="Q71" i="4"/>
  <c r="P71" i="4"/>
  <c r="L71" i="4"/>
  <c r="K71" i="4"/>
  <c r="J71" i="4"/>
  <c r="M71" i="4" s="1"/>
  <c r="R70" i="4"/>
  <c r="Q70" i="4"/>
  <c r="P70" i="4"/>
  <c r="L70" i="4"/>
  <c r="K70" i="4"/>
  <c r="J70" i="4"/>
  <c r="M70" i="4" s="1"/>
  <c r="R69" i="4"/>
  <c r="Q69" i="4"/>
  <c r="P69" i="4"/>
  <c r="L69" i="4"/>
  <c r="K69" i="4"/>
  <c r="J69" i="4"/>
  <c r="M69" i="4" s="1"/>
  <c r="R68" i="4"/>
  <c r="Q68" i="4"/>
  <c r="P68" i="4"/>
  <c r="L68" i="4"/>
  <c r="K68" i="4"/>
  <c r="J68" i="4"/>
  <c r="M68" i="4" s="1"/>
  <c r="R67" i="4"/>
  <c r="Q67" i="4"/>
  <c r="P67" i="4"/>
  <c r="N67" i="4"/>
  <c r="L67" i="4"/>
  <c r="K67" i="4"/>
  <c r="J67" i="4"/>
  <c r="R66" i="4"/>
  <c r="Q66" i="4"/>
  <c r="P66" i="4"/>
  <c r="N66" i="4"/>
  <c r="L66" i="4"/>
  <c r="K66" i="4"/>
  <c r="J66" i="4"/>
  <c r="R65" i="4"/>
  <c r="Q65" i="4"/>
  <c r="P65" i="4"/>
  <c r="N65" i="4"/>
  <c r="L65" i="4"/>
  <c r="K65" i="4"/>
  <c r="J65" i="4"/>
  <c r="R64" i="4"/>
  <c r="Q64" i="4"/>
  <c r="P64" i="4"/>
  <c r="N64" i="4"/>
  <c r="L64" i="4"/>
  <c r="K64" i="4"/>
  <c r="J64" i="4"/>
  <c r="R63" i="4"/>
  <c r="Q63" i="4"/>
  <c r="P63" i="4"/>
  <c r="L63" i="4"/>
  <c r="K63" i="4"/>
  <c r="J63" i="4"/>
  <c r="M63" i="4" s="1"/>
  <c r="N63" i="4" s="1"/>
  <c r="R62" i="4"/>
  <c r="Q62" i="4"/>
  <c r="P62" i="4"/>
  <c r="N62" i="4"/>
  <c r="L62" i="4"/>
  <c r="K62" i="4"/>
  <c r="J62" i="4"/>
  <c r="R61" i="4"/>
  <c r="Q61" i="4"/>
  <c r="P61" i="4"/>
  <c r="L61" i="4"/>
  <c r="K61" i="4"/>
  <c r="J61" i="4"/>
  <c r="R60" i="4"/>
  <c r="Q60" i="4"/>
  <c r="P60" i="4"/>
  <c r="L60" i="4"/>
  <c r="K60" i="4"/>
  <c r="J60" i="4"/>
  <c r="M60" i="4" s="1"/>
  <c r="R59" i="4"/>
  <c r="Q59" i="4"/>
  <c r="P59" i="4"/>
  <c r="L59" i="4"/>
  <c r="K59" i="4"/>
  <c r="J59" i="4"/>
  <c r="M59" i="4" s="1"/>
  <c r="N59" i="4" s="1"/>
  <c r="R58" i="4"/>
  <c r="Q58" i="4"/>
  <c r="P58" i="4"/>
  <c r="N58" i="4"/>
  <c r="L58" i="4"/>
  <c r="K58" i="4"/>
  <c r="J58" i="4"/>
  <c r="R57" i="4"/>
  <c r="Q57" i="4"/>
  <c r="P57" i="4"/>
  <c r="N57" i="4"/>
  <c r="L57" i="4"/>
  <c r="K57" i="4"/>
  <c r="J57" i="4"/>
  <c r="R56" i="4"/>
  <c r="Q56" i="4"/>
  <c r="P56" i="4"/>
  <c r="L56" i="4"/>
  <c r="K56" i="4"/>
  <c r="J56" i="4"/>
  <c r="R55" i="4"/>
  <c r="Q55" i="4"/>
  <c r="P55" i="4"/>
  <c r="L55" i="4"/>
  <c r="K55" i="4"/>
  <c r="J55" i="4"/>
  <c r="M55" i="4" s="1"/>
  <c r="R54" i="4"/>
  <c r="Q54" i="4"/>
  <c r="P54" i="4"/>
  <c r="L54" i="4"/>
  <c r="K54" i="4"/>
  <c r="J54" i="4"/>
  <c r="M54" i="4" s="1"/>
  <c r="R53" i="4"/>
  <c r="Q53" i="4"/>
  <c r="P53" i="4"/>
  <c r="N53" i="4"/>
  <c r="L53" i="4"/>
  <c r="K53" i="4"/>
  <c r="J53" i="4"/>
  <c r="R52" i="4"/>
  <c r="Q52" i="4"/>
  <c r="P52" i="4"/>
  <c r="N52" i="4"/>
  <c r="L52" i="4"/>
  <c r="K52" i="4"/>
  <c r="J52" i="4"/>
  <c r="R51" i="4"/>
  <c r="Q51" i="4"/>
  <c r="P51" i="4"/>
  <c r="L51" i="4"/>
  <c r="K51" i="4"/>
  <c r="J51" i="4"/>
  <c r="R50" i="4"/>
  <c r="Q50" i="4"/>
  <c r="P50" i="4"/>
  <c r="L50" i="4"/>
  <c r="K50" i="4"/>
  <c r="J50" i="4"/>
  <c r="M50" i="4" s="1"/>
  <c r="R49" i="4"/>
  <c r="Q49" i="4"/>
  <c r="P49" i="4"/>
  <c r="M49" i="4"/>
  <c r="N49" i="4" s="1"/>
  <c r="L49" i="4"/>
  <c r="K49" i="4"/>
  <c r="J49" i="4"/>
  <c r="R48" i="4"/>
  <c r="Q48" i="4"/>
  <c r="P48" i="4"/>
  <c r="L48" i="4"/>
  <c r="K48" i="4"/>
  <c r="J48" i="4"/>
  <c r="M48" i="4" s="1"/>
  <c r="N47" i="4"/>
  <c r="L47" i="4"/>
  <c r="K47" i="4"/>
  <c r="J47" i="4"/>
  <c r="R46" i="4"/>
  <c r="Q46" i="4"/>
  <c r="P46" i="4"/>
  <c r="L46" i="4"/>
  <c r="K46" i="4"/>
  <c r="J46" i="4"/>
  <c r="R45" i="4"/>
  <c r="Q45" i="4"/>
  <c r="P45" i="4"/>
  <c r="L45" i="4"/>
  <c r="K45" i="4"/>
  <c r="J45" i="4"/>
  <c r="M45" i="4" s="1"/>
  <c r="N45" i="4" s="1"/>
  <c r="R44" i="4"/>
  <c r="Q44" i="4"/>
  <c r="P44" i="4"/>
  <c r="N44" i="4"/>
  <c r="L44" i="4"/>
  <c r="K44" i="4"/>
  <c r="J44" i="4"/>
  <c r="R43" i="4"/>
  <c r="Q43" i="4"/>
  <c r="P43" i="4"/>
  <c r="M43" i="4"/>
  <c r="N43" i="4" s="1"/>
  <c r="L43" i="4"/>
  <c r="K43" i="4"/>
  <c r="J43" i="4"/>
  <c r="R42" i="4"/>
  <c r="Q42" i="4"/>
  <c r="P42" i="4"/>
  <c r="L42" i="4"/>
  <c r="K42" i="4"/>
  <c r="J42" i="4"/>
  <c r="M42" i="4" s="1"/>
  <c r="R41" i="4"/>
  <c r="Q41" i="4"/>
  <c r="P41" i="4"/>
  <c r="L41" i="4"/>
  <c r="K41" i="4"/>
  <c r="J41" i="4"/>
  <c r="M41" i="4" s="1"/>
  <c r="N41" i="4" s="1"/>
  <c r="R40" i="4"/>
  <c r="Q40" i="4"/>
  <c r="P40" i="4"/>
  <c r="L40" i="4"/>
  <c r="K40" i="4"/>
  <c r="J40" i="4"/>
  <c r="M40" i="4" s="1"/>
  <c r="R39" i="4"/>
  <c r="Q39" i="4"/>
  <c r="P39" i="4"/>
  <c r="L39" i="4"/>
  <c r="K39" i="4"/>
  <c r="J39" i="4"/>
  <c r="M39" i="4" s="1"/>
  <c r="R38" i="4"/>
  <c r="Q38" i="4"/>
  <c r="P38" i="4"/>
  <c r="L38" i="4"/>
  <c r="K38" i="4"/>
  <c r="J38" i="4"/>
  <c r="M38" i="4" s="1"/>
  <c r="R37" i="4"/>
  <c r="Q37" i="4"/>
  <c r="P37" i="4"/>
  <c r="L37" i="4"/>
  <c r="K37" i="4"/>
  <c r="J37" i="4"/>
  <c r="M37" i="4" s="1"/>
  <c r="R36" i="4"/>
  <c r="Q36" i="4"/>
  <c r="P36" i="4"/>
  <c r="L36" i="4"/>
  <c r="K36" i="4"/>
  <c r="J36" i="4"/>
  <c r="M36" i="4" s="1"/>
  <c r="R35" i="4"/>
  <c r="Q35" i="4"/>
  <c r="P35" i="4"/>
  <c r="L35" i="4"/>
  <c r="K35" i="4"/>
  <c r="J35" i="4"/>
  <c r="M35" i="4" s="1"/>
  <c r="N35" i="4" s="1"/>
  <c r="R34" i="4"/>
  <c r="Q34" i="4"/>
  <c r="P34" i="4"/>
  <c r="N34" i="4"/>
  <c r="L34" i="4"/>
  <c r="K34" i="4"/>
  <c r="J34" i="4"/>
  <c r="R33" i="4"/>
  <c r="Q33" i="4"/>
  <c r="P33" i="4"/>
  <c r="M33" i="4"/>
  <c r="L33" i="4"/>
  <c r="K33" i="4"/>
  <c r="J33" i="4"/>
  <c r="R32" i="4"/>
  <c r="Q32" i="4"/>
  <c r="P32" i="4"/>
  <c r="L32" i="4"/>
  <c r="K32" i="4"/>
  <c r="J32" i="4"/>
  <c r="M32" i="4" s="1"/>
  <c r="R31" i="4"/>
  <c r="Q31" i="4"/>
  <c r="P31" i="4"/>
  <c r="L31" i="4"/>
  <c r="K31" i="4"/>
  <c r="J31" i="4"/>
  <c r="M31" i="4" s="1"/>
  <c r="R30" i="4"/>
  <c r="Q30" i="4"/>
  <c r="P30" i="4"/>
  <c r="L30" i="4"/>
  <c r="K30" i="4"/>
  <c r="J30" i="4"/>
  <c r="M30" i="4" s="1"/>
  <c r="R29" i="4"/>
  <c r="Q29" i="4"/>
  <c r="P29" i="4"/>
  <c r="L29" i="4"/>
  <c r="K29" i="4"/>
  <c r="J29" i="4"/>
  <c r="M29" i="4" s="1"/>
  <c r="N29" i="4" s="1"/>
  <c r="R28" i="4"/>
  <c r="Q28" i="4"/>
  <c r="P28" i="4"/>
  <c r="L28" i="4"/>
  <c r="K28" i="4"/>
  <c r="J28" i="4"/>
  <c r="M28" i="4" s="1"/>
  <c r="R27" i="4"/>
  <c r="Q27" i="4"/>
  <c r="P27" i="4"/>
  <c r="L27" i="4"/>
  <c r="K27" i="4"/>
  <c r="J27" i="4"/>
  <c r="M27" i="4" s="1"/>
  <c r="R26" i="4"/>
  <c r="Q26" i="4"/>
  <c r="P26" i="4"/>
  <c r="L26" i="4"/>
  <c r="K26" i="4"/>
  <c r="J26" i="4"/>
  <c r="M26" i="4" s="1"/>
  <c r="R25" i="4"/>
  <c r="Q25" i="4"/>
  <c r="P25" i="4"/>
  <c r="L25" i="4"/>
  <c r="K25" i="4"/>
  <c r="J25" i="4"/>
  <c r="M25" i="4" s="1"/>
  <c r="R24" i="4"/>
  <c r="Q24" i="4"/>
  <c r="P24" i="4"/>
  <c r="L24" i="4"/>
  <c r="K24" i="4"/>
  <c r="J24" i="4"/>
  <c r="M24" i="4" s="1"/>
  <c r="N24" i="4" s="1"/>
  <c r="R23" i="4"/>
  <c r="Q23" i="4"/>
  <c r="P23" i="4"/>
  <c r="L23" i="4"/>
  <c r="K23" i="4"/>
  <c r="J23" i="4"/>
  <c r="M23" i="4" s="1"/>
  <c r="R22" i="4"/>
  <c r="Q22" i="4"/>
  <c r="P22" i="4"/>
  <c r="L22" i="4"/>
  <c r="K22" i="4"/>
  <c r="J22" i="4"/>
  <c r="M22" i="4" s="1"/>
  <c r="N22" i="4" s="1"/>
  <c r="R21" i="4"/>
  <c r="Q21" i="4"/>
  <c r="P21" i="4"/>
  <c r="L21" i="4"/>
  <c r="K21" i="4"/>
  <c r="J21" i="4"/>
  <c r="M21" i="4" s="1"/>
  <c r="R20" i="4"/>
  <c r="Q20" i="4"/>
  <c r="P20" i="4"/>
  <c r="L20" i="4"/>
  <c r="K20" i="4"/>
  <c r="J20" i="4"/>
  <c r="M20" i="4" s="1"/>
  <c r="R19" i="4"/>
  <c r="Q19" i="4"/>
  <c r="P19" i="4"/>
  <c r="L19" i="4"/>
  <c r="K19" i="4"/>
  <c r="J19" i="4"/>
  <c r="M19" i="4" s="1"/>
  <c r="R18" i="4"/>
  <c r="Q18" i="4"/>
  <c r="P18" i="4"/>
  <c r="N18" i="4"/>
  <c r="L18" i="4"/>
  <c r="K18" i="4"/>
  <c r="J18" i="4"/>
  <c r="R17" i="4"/>
  <c r="Q17" i="4"/>
  <c r="P17" i="4"/>
  <c r="N17" i="4"/>
  <c r="L17" i="4"/>
  <c r="K17" i="4"/>
  <c r="J17" i="4"/>
  <c r="R16" i="4"/>
  <c r="Q16" i="4"/>
  <c r="P16" i="4"/>
  <c r="N16" i="4"/>
  <c r="L16" i="4"/>
  <c r="K16" i="4"/>
  <c r="J16" i="4"/>
  <c r="R15" i="4"/>
  <c r="Q15" i="4"/>
  <c r="P15" i="4"/>
  <c r="M15" i="4"/>
  <c r="N15" i="4" s="1"/>
  <c r="L15" i="4"/>
  <c r="K15" i="4"/>
  <c r="J15" i="4"/>
  <c r="R14" i="4"/>
  <c r="Q14" i="4"/>
  <c r="P14" i="4"/>
  <c r="N14" i="4"/>
  <c r="L14" i="4"/>
  <c r="K14" i="4"/>
  <c r="J14" i="4"/>
  <c r="R13" i="4"/>
  <c r="Q13" i="4"/>
  <c r="P13" i="4"/>
  <c r="M13" i="4"/>
  <c r="N13" i="4" s="1"/>
  <c r="L13" i="4"/>
  <c r="K13" i="4"/>
  <c r="J13" i="4"/>
  <c r="R12" i="4"/>
  <c r="Q12" i="4"/>
  <c r="P12" i="4"/>
  <c r="M12" i="4"/>
  <c r="L12" i="4"/>
  <c r="K12" i="4"/>
  <c r="J12" i="4"/>
  <c r="R11" i="4"/>
  <c r="Q11" i="4"/>
  <c r="P11" i="4"/>
  <c r="L11" i="4"/>
  <c r="K11" i="4"/>
  <c r="J11" i="4"/>
  <c r="M11" i="4" s="1"/>
  <c r="R10" i="4"/>
  <c r="Q10" i="4"/>
  <c r="P10" i="4"/>
  <c r="N10" i="4"/>
  <c r="L10" i="4"/>
  <c r="K10" i="4"/>
  <c r="J10" i="4"/>
  <c r="R9" i="4"/>
  <c r="Q9" i="4"/>
  <c r="P9" i="4"/>
  <c r="L9" i="4"/>
  <c r="K9" i="4"/>
  <c r="J9" i="4"/>
  <c r="M9" i="4" s="1"/>
  <c r="R8" i="4"/>
  <c r="Q8" i="4"/>
  <c r="P8" i="4"/>
  <c r="M8" i="4"/>
  <c r="L8" i="4"/>
  <c r="K8" i="4"/>
  <c r="J8" i="4"/>
  <c r="R7" i="4"/>
  <c r="Q7" i="4"/>
  <c r="P7" i="4"/>
  <c r="M7" i="4"/>
  <c r="L7" i="4"/>
  <c r="K7" i="4"/>
  <c r="J7" i="4"/>
  <c r="R6" i="4"/>
  <c r="Q6" i="4"/>
  <c r="P6" i="4"/>
  <c r="M6" i="4"/>
  <c r="N6" i="4" s="1"/>
  <c r="L6" i="4"/>
  <c r="K6" i="4"/>
  <c r="J6" i="4"/>
  <c r="R5" i="4"/>
  <c r="Q5" i="4"/>
  <c r="P5" i="4"/>
  <c r="N5" i="4"/>
  <c r="L5" i="4"/>
  <c r="K5" i="4"/>
  <c r="J5" i="4"/>
  <c r="R4" i="4"/>
  <c r="Q4" i="4"/>
  <c r="P4" i="4"/>
  <c r="N4" i="4"/>
  <c r="L4" i="4"/>
  <c r="K4" i="4"/>
  <c r="J4" i="4"/>
  <c r="R3" i="4"/>
  <c r="Q3" i="4"/>
  <c r="P3" i="4"/>
  <c r="N3" i="4"/>
  <c r="L3" i="4"/>
  <c r="K3" i="4"/>
  <c r="J3" i="4"/>
  <c r="R2" i="4"/>
  <c r="Q2" i="4"/>
  <c r="P2" i="4"/>
  <c r="N2" i="4"/>
  <c r="M2" i="4"/>
  <c r="L2" i="4"/>
  <c r="K2" i="4"/>
  <c r="J2" i="4"/>
  <c r="S173" i="6"/>
  <c r="R173" i="6"/>
  <c r="Q173" i="6"/>
  <c r="O173" i="6"/>
  <c r="N173" i="6"/>
  <c r="M173" i="6"/>
  <c r="L173" i="6"/>
  <c r="K173" i="6"/>
  <c r="S172" i="6"/>
  <c r="R172" i="6"/>
  <c r="Q172" i="6"/>
  <c r="M172" i="6"/>
  <c r="L172" i="6"/>
  <c r="K172" i="6"/>
  <c r="N172" i="6" s="1"/>
  <c r="O172" i="6" s="1"/>
  <c r="S171" i="6"/>
  <c r="R171" i="6"/>
  <c r="Q171" i="6"/>
  <c r="M171" i="6"/>
  <c r="L171" i="6"/>
  <c r="K171" i="6"/>
  <c r="N171" i="6" s="1"/>
  <c r="S170" i="6"/>
  <c r="R170" i="6"/>
  <c r="Q170" i="6"/>
  <c r="M170" i="6"/>
  <c r="L170" i="6"/>
  <c r="K170" i="6"/>
  <c r="N170" i="6" s="1"/>
  <c r="O170" i="6" s="1"/>
  <c r="S169" i="6"/>
  <c r="R169" i="6"/>
  <c r="Q169" i="6"/>
  <c r="M169" i="6"/>
  <c r="L169" i="6"/>
  <c r="K169" i="6"/>
  <c r="N169" i="6" s="1"/>
  <c r="S168" i="6"/>
  <c r="R168" i="6"/>
  <c r="Q168" i="6"/>
  <c r="M168" i="6"/>
  <c r="L168" i="6"/>
  <c r="K168" i="6"/>
  <c r="N168" i="6" s="1"/>
  <c r="O168" i="6" s="1"/>
  <c r="S167" i="6"/>
  <c r="R167" i="6"/>
  <c r="Q167" i="6"/>
  <c r="M167" i="6"/>
  <c r="L167" i="6"/>
  <c r="K167" i="6"/>
  <c r="N167" i="6" s="1"/>
  <c r="O167" i="6" s="1"/>
  <c r="S166" i="6"/>
  <c r="R166" i="6"/>
  <c r="Q166" i="6"/>
  <c r="M166" i="6"/>
  <c r="L166" i="6"/>
  <c r="K166" i="6"/>
  <c r="N166" i="6" s="1"/>
  <c r="S165" i="6"/>
  <c r="R165" i="6"/>
  <c r="Q165" i="6"/>
  <c r="M165" i="6"/>
  <c r="L165" i="6"/>
  <c r="K165" i="6"/>
  <c r="N165" i="6" s="1"/>
  <c r="S164" i="6"/>
  <c r="R164" i="6"/>
  <c r="Q164" i="6"/>
  <c r="M164" i="6"/>
  <c r="L164" i="6"/>
  <c r="K164" i="6"/>
  <c r="N164" i="6" s="1"/>
  <c r="S163" i="6"/>
  <c r="R163" i="6"/>
  <c r="Q163" i="6"/>
  <c r="O163" i="6"/>
  <c r="M163" i="6"/>
  <c r="L163" i="6"/>
  <c r="K163" i="6"/>
  <c r="S162" i="6"/>
  <c r="R162" i="6"/>
  <c r="Q162" i="6"/>
  <c r="O162" i="6"/>
  <c r="M162" i="6"/>
  <c r="L162" i="6"/>
  <c r="K162" i="6"/>
  <c r="S161" i="6"/>
  <c r="R161" i="6"/>
  <c r="Q161" i="6"/>
  <c r="M161" i="6"/>
  <c r="L161" i="6"/>
  <c r="K161" i="6"/>
  <c r="N161" i="6" s="1"/>
  <c r="S160" i="6"/>
  <c r="R160" i="6"/>
  <c r="Q160" i="6"/>
  <c r="M160" i="6"/>
  <c r="L160" i="6"/>
  <c r="K160" i="6"/>
  <c r="N160" i="6" s="1"/>
  <c r="O160" i="6" s="1"/>
  <c r="S159" i="6"/>
  <c r="R159" i="6"/>
  <c r="Q159" i="6"/>
  <c r="M159" i="6"/>
  <c r="L159" i="6"/>
  <c r="K159" i="6"/>
  <c r="N159" i="6" s="1"/>
  <c r="O159" i="6" s="1"/>
  <c r="S158" i="6"/>
  <c r="R158" i="6"/>
  <c r="Q158" i="6"/>
  <c r="M158" i="6"/>
  <c r="L158" i="6"/>
  <c r="K158" i="6"/>
  <c r="N158" i="6" s="1"/>
  <c r="S157" i="6"/>
  <c r="R157" i="6"/>
  <c r="Q157" i="6"/>
  <c r="M157" i="6"/>
  <c r="L157" i="6"/>
  <c r="K157" i="6"/>
  <c r="N157" i="6" s="1"/>
  <c r="S156" i="6"/>
  <c r="R156" i="6"/>
  <c r="Q156" i="6"/>
  <c r="M156" i="6"/>
  <c r="L156" i="6"/>
  <c r="K156" i="6"/>
  <c r="N156" i="6" s="1"/>
  <c r="S155" i="6"/>
  <c r="R155" i="6"/>
  <c r="Q155" i="6"/>
  <c r="M155" i="6"/>
  <c r="L155" i="6"/>
  <c r="K155" i="6"/>
  <c r="N155" i="6" s="1"/>
  <c r="S154" i="6"/>
  <c r="R154" i="6"/>
  <c r="Q154" i="6"/>
  <c r="M154" i="6"/>
  <c r="L154" i="6"/>
  <c r="K154" i="6"/>
  <c r="N154" i="6" s="1"/>
  <c r="O154" i="6" s="1"/>
  <c r="S153" i="6"/>
  <c r="R153" i="6"/>
  <c r="Q153" i="6"/>
  <c r="M153" i="6"/>
  <c r="L153" i="6"/>
  <c r="K153" i="6"/>
  <c r="N153" i="6" s="1"/>
  <c r="S152" i="6"/>
  <c r="R152" i="6"/>
  <c r="Q152" i="6"/>
  <c r="M152" i="6"/>
  <c r="L152" i="6"/>
  <c r="K152" i="6"/>
  <c r="N152" i="6" s="1"/>
  <c r="S151" i="6"/>
  <c r="R151" i="6"/>
  <c r="Q151" i="6"/>
  <c r="M151" i="6"/>
  <c r="L151" i="6"/>
  <c r="K151" i="6"/>
  <c r="N151" i="6" s="1"/>
  <c r="S150" i="6"/>
  <c r="R150" i="6"/>
  <c r="Q150" i="6"/>
  <c r="M150" i="6"/>
  <c r="L150" i="6"/>
  <c r="K150" i="6"/>
  <c r="N150" i="6" s="1"/>
  <c r="S149" i="6"/>
  <c r="R149" i="6"/>
  <c r="Q149" i="6"/>
  <c r="M149" i="6"/>
  <c r="L149" i="6"/>
  <c r="K149" i="6"/>
  <c r="N149" i="6" s="1"/>
  <c r="O149" i="6" s="1"/>
  <c r="S148" i="6"/>
  <c r="R148" i="6"/>
  <c r="Q148" i="6"/>
  <c r="M148" i="6"/>
  <c r="L148" i="6"/>
  <c r="K148" i="6"/>
  <c r="N148" i="6" s="1"/>
  <c r="S147" i="6"/>
  <c r="R147" i="6"/>
  <c r="Q147" i="6"/>
  <c r="M147" i="6"/>
  <c r="L147" i="6"/>
  <c r="K147" i="6"/>
  <c r="N147" i="6" s="1"/>
  <c r="S146" i="6"/>
  <c r="R146" i="6"/>
  <c r="Q146" i="6"/>
  <c r="M146" i="6"/>
  <c r="L146" i="6"/>
  <c r="K146" i="6"/>
  <c r="N146" i="6" s="1"/>
  <c r="S145" i="6"/>
  <c r="R145" i="6"/>
  <c r="Q145" i="6"/>
  <c r="M145" i="6"/>
  <c r="L145" i="6"/>
  <c r="K145" i="6"/>
  <c r="N145" i="6" s="1"/>
  <c r="O145" i="6" s="1"/>
  <c r="S144" i="6"/>
  <c r="R144" i="6"/>
  <c r="Q144" i="6"/>
  <c r="M144" i="6"/>
  <c r="L144" i="6"/>
  <c r="K144" i="6"/>
  <c r="N144" i="6" s="1"/>
  <c r="S143" i="6"/>
  <c r="R143" i="6"/>
  <c r="Q143" i="6"/>
  <c r="M143" i="6"/>
  <c r="L143" i="6"/>
  <c r="K143" i="6"/>
  <c r="N143" i="6" s="1"/>
  <c r="S142" i="6"/>
  <c r="R142" i="6"/>
  <c r="Q142" i="6"/>
  <c r="M142" i="6"/>
  <c r="L142" i="6"/>
  <c r="K142" i="6"/>
  <c r="N142" i="6" s="1"/>
  <c r="S141" i="6"/>
  <c r="R141" i="6"/>
  <c r="Q141" i="6"/>
  <c r="M141" i="6"/>
  <c r="L141" i="6"/>
  <c r="K141" i="6"/>
  <c r="N141" i="6" s="1"/>
  <c r="S140" i="6"/>
  <c r="R140" i="6"/>
  <c r="Q140" i="6"/>
  <c r="M140" i="6"/>
  <c r="L140" i="6"/>
  <c r="K140" i="6"/>
  <c r="N140" i="6" s="1"/>
  <c r="O140" i="6" s="1"/>
  <c r="S139" i="6"/>
  <c r="R139" i="6"/>
  <c r="Q139" i="6"/>
  <c r="M139" i="6"/>
  <c r="L139" i="6"/>
  <c r="K139" i="6"/>
  <c r="N139" i="6" s="1"/>
  <c r="S138" i="6"/>
  <c r="R138" i="6"/>
  <c r="Q138" i="6"/>
  <c r="M138" i="6"/>
  <c r="L138" i="6"/>
  <c r="K138" i="6"/>
  <c r="N138" i="6" s="1"/>
  <c r="S137" i="6"/>
  <c r="R137" i="6"/>
  <c r="Q137" i="6"/>
  <c r="M137" i="6"/>
  <c r="L137" i="6"/>
  <c r="K137" i="6"/>
  <c r="N137" i="6" s="1"/>
  <c r="S136" i="6"/>
  <c r="R136" i="6"/>
  <c r="Q136" i="6"/>
  <c r="M136" i="6"/>
  <c r="L136" i="6"/>
  <c r="K136" i="6"/>
  <c r="N136" i="6" s="1"/>
  <c r="S135" i="6"/>
  <c r="R135" i="6"/>
  <c r="Q135" i="6"/>
  <c r="M135" i="6"/>
  <c r="L135" i="6"/>
  <c r="K135" i="6"/>
  <c r="N135" i="6" s="1"/>
  <c r="O135" i="6" s="1"/>
  <c r="S134" i="6"/>
  <c r="R134" i="6"/>
  <c r="Q134" i="6"/>
  <c r="M134" i="6"/>
  <c r="L134" i="6"/>
  <c r="K134" i="6"/>
  <c r="N134" i="6" s="1"/>
  <c r="S133" i="6"/>
  <c r="R133" i="6"/>
  <c r="Q133" i="6"/>
  <c r="M133" i="6"/>
  <c r="L133" i="6"/>
  <c r="K133" i="6"/>
  <c r="N133" i="6" s="1"/>
  <c r="S132" i="6"/>
  <c r="R132" i="6"/>
  <c r="Q132" i="6"/>
  <c r="M132" i="6"/>
  <c r="L132" i="6"/>
  <c r="K132" i="6"/>
  <c r="N132" i="6" s="1"/>
  <c r="S131" i="6"/>
  <c r="R131" i="6"/>
  <c r="Q131" i="6"/>
  <c r="M131" i="6"/>
  <c r="L131" i="6"/>
  <c r="K131" i="6"/>
  <c r="N131" i="6" s="1"/>
  <c r="O131" i="6" s="1"/>
  <c r="S130" i="6"/>
  <c r="R130" i="6"/>
  <c r="Q130" i="6"/>
  <c r="M130" i="6"/>
  <c r="L130" i="6"/>
  <c r="K130" i="6"/>
  <c r="N130" i="6" s="1"/>
  <c r="S129" i="6"/>
  <c r="R129" i="6"/>
  <c r="Q129" i="6"/>
  <c r="M129" i="6"/>
  <c r="L129" i="6"/>
  <c r="K129" i="6"/>
  <c r="S128" i="6"/>
  <c r="R128" i="6"/>
  <c r="Q128" i="6"/>
  <c r="M128" i="6"/>
  <c r="L128" i="6"/>
  <c r="K128" i="6"/>
  <c r="N128" i="6" s="1"/>
  <c r="O128" i="6" s="1"/>
  <c r="S127" i="6"/>
  <c r="R127" i="6"/>
  <c r="Q127" i="6"/>
  <c r="M127" i="6"/>
  <c r="L127" i="6"/>
  <c r="K127" i="6"/>
  <c r="N127" i="6" s="1"/>
  <c r="S126" i="6"/>
  <c r="R126" i="6"/>
  <c r="Q126" i="6"/>
  <c r="M126" i="6"/>
  <c r="L126" i="6"/>
  <c r="K126" i="6"/>
  <c r="N126" i="6" s="1"/>
  <c r="S125" i="6"/>
  <c r="R125" i="6"/>
  <c r="Q125" i="6"/>
  <c r="M125" i="6"/>
  <c r="L125" i="6"/>
  <c r="K125" i="6"/>
  <c r="N125" i="6" s="1"/>
  <c r="S124" i="6"/>
  <c r="R124" i="6"/>
  <c r="Q124" i="6"/>
  <c r="M124" i="6"/>
  <c r="L124" i="6"/>
  <c r="K124" i="6"/>
  <c r="N124" i="6" s="1"/>
  <c r="S123" i="6"/>
  <c r="R123" i="6"/>
  <c r="Q123" i="6"/>
  <c r="M123" i="6"/>
  <c r="L123" i="6"/>
  <c r="K123" i="6"/>
  <c r="N123" i="6" s="1"/>
  <c r="O123" i="6" s="1"/>
  <c r="S122" i="6"/>
  <c r="R122" i="6"/>
  <c r="Q122" i="6"/>
  <c r="M122" i="6"/>
  <c r="L122" i="6"/>
  <c r="K122" i="6"/>
  <c r="N122" i="6" s="1"/>
  <c r="S121" i="6"/>
  <c r="R121" i="6"/>
  <c r="Q121" i="6"/>
  <c r="M121" i="6"/>
  <c r="L121" i="6"/>
  <c r="K121" i="6"/>
  <c r="N121" i="6" s="1"/>
  <c r="S120" i="6"/>
  <c r="R120" i="6"/>
  <c r="Q120" i="6"/>
  <c r="M120" i="6"/>
  <c r="L120" i="6"/>
  <c r="K120" i="6"/>
  <c r="N120" i="6" s="1"/>
  <c r="S119" i="6"/>
  <c r="R119" i="6"/>
  <c r="Q119" i="6"/>
  <c r="M119" i="6"/>
  <c r="L119" i="6"/>
  <c r="K119" i="6"/>
  <c r="N119" i="6" s="1"/>
  <c r="S118" i="6"/>
  <c r="R118" i="6"/>
  <c r="Q118" i="6"/>
  <c r="M118" i="6"/>
  <c r="L118" i="6"/>
  <c r="K118" i="6"/>
  <c r="N118" i="6" s="1"/>
  <c r="O118" i="6" s="1"/>
  <c r="S117" i="6"/>
  <c r="R117" i="6"/>
  <c r="Q117" i="6"/>
  <c r="M117" i="6"/>
  <c r="L117" i="6"/>
  <c r="K117" i="6"/>
  <c r="N117" i="6" s="1"/>
  <c r="S116" i="6"/>
  <c r="R116" i="6"/>
  <c r="Q116" i="6"/>
  <c r="M116" i="6"/>
  <c r="L116" i="6"/>
  <c r="K116" i="6"/>
  <c r="N116" i="6" s="1"/>
  <c r="S115" i="6"/>
  <c r="R115" i="6"/>
  <c r="Q115" i="6"/>
  <c r="M115" i="6"/>
  <c r="L115" i="6"/>
  <c r="K115" i="6"/>
  <c r="N115" i="6" s="1"/>
  <c r="S114" i="6"/>
  <c r="R114" i="6"/>
  <c r="Q114" i="6"/>
  <c r="M114" i="6"/>
  <c r="L114" i="6"/>
  <c r="K114" i="6"/>
  <c r="N114" i="6" s="1"/>
  <c r="O114" i="6" s="1"/>
  <c r="S113" i="6"/>
  <c r="R113" i="6"/>
  <c r="Q113" i="6"/>
  <c r="M113" i="6"/>
  <c r="L113" i="6"/>
  <c r="K113" i="6"/>
  <c r="N113" i="6" s="1"/>
  <c r="S112" i="6"/>
  <c r="R112" i="6"/>
  <c r="Q112" i="6"/>
  <c r="M112" i="6"/>
  <c r="L112" i="6"/>
  <c r="K112" i="6"/>
  <c r="N112" i="6" s="1"/>
  <c r="S111" i="6"/>
  <c r="R111" i="6"/>
  <c r="Q111" i="6"/>
  <c r="M111" i="6"/>
  <c r="L111" i="6"/>
  <c r="K111" i="6"/>
  <c r="N111" i="6" s="1"/>
  <c r="S110" i="6"/>
  <c r="R110" i="6"/>
  <c r="Q110" i="6"/>
  <c r="M110" i="6"/>
  <c r="L110" i="6"/>
  <c r="K110" i="6"/>
  <c r="N110" i="6" s="1"/>
  <c r="S109" i="6"/>
  <c r="R109" i="6"/>
  <c r="Q109" i="6"/>
  <c r="M109" i="6"/>
  <c r="L109" i="6"/>
  <c r="K109" i="6"/>
  <c r="N109" i="6" s="1"/>
  <c r="O109" i="6" s="1"/>
  <c r="S108" i="6"/>
  <c r="R108" i="6"/>
  <c r="Q108" i="6"/>
  <c r="N108" i="6"/>
  <c r="M108" i="6"/>
  <c r="L108" i="6"/>
  <c r="K108" i="6"/>
  <c r="S107" i="6"/>
  <c r="R107" i="6"/>
  <c r="Q107" i="6"/>
  <c r="M107" i="6"/>
  <c r="L107" i="6"/>
  <c r="K107" i="6"/>
  <c r="N107" i="6" s="1"/>
  <c r="S106" i="6"/>
  <c r="R106" i="6"/>
  <c r="Q106" i="6"/>
  <c r="M106" i="6"/>
  <c r="L106" i="6"/>
  <c r="K106" i="6"/>
  <c r="N106" i="6" s="1"/>
  <c r="S105" i="6"/>
  <c r="R105" i="6"/>
  <c r="Q105" i="6"/>
  <c r="M105" i="6"/>
  <c r="L105" i="6"/>
  <c r="K105" i="6"/>
  <c r="N105" i="6" s="1"/>
  <c r="S104" i="6"/>
  <c r="R104" i="6"/>
  <c r="Q104" i="6"/>
  <c r="M104" i="6"/>
  <c r="L104" i="6"/>
  <c r="K104" i="6"/>
  <c r="N104" i="6" s="1"/>
  <c r="O104" i="6" s="1"/>
  <c r="S103" i="6"/>
  <c r="R103" i="6"/>
  <c r="Q103" i="6"/>
  <c r="M103" i="6"/>
  <c r="L103" i="6"/>
  <c r="K103" i="6"/>
  <c r="N103" i="6" s="1"/>
  <c r="S102" i="6"/>
  <c r="R102" i="6"/>
  <c r="Q102" i="6"/>
  <c r="M102" i="6"/>
  <c r="L102" i="6"/>
  <c r="K102" i="6"/>
  <c r="N102" i="6" s="1"/>
  <c r="S101" i="6"/>
  <c r="R101" i="6"/>
  <c r="Q101" i="6"/>
  <c r="M101" i="6"/>
  <c r="L101" i="6"/>
  <c r="K101" i="6"/>
  <c r="N101" i="6" s="1"/>
  <c r="S100" i="6"/>
  <c r="R100" i="6"/>
  <c r="Q100" i="6"/>
  <c r="M100" i="6"/>
  <c r="L100" i="6"/>
  <c r="K100" i="6"/>
  <c r="N100" i="6" s="1"/>
  <c r="S99" i="6"/>
  <c r="R99" i="6"/>
  <c r="Q99" i="6"/>
  <c r="M99" i="6"/>
  <c r="L99" i="6"/>
  <c r="K99" i="6"/>
  <c r="N99" i="6" s="1"/>
  <c r="O99" i="6" s="1"/>
  <c r="S98" i="6"/>
  <c r="R98" i="6"/>
  <c r="Q98" i="6"/>
  <c r="M98" i="6"/>
  <c r="L98" i="6"/>
  <c r="K98" i="6"/>
  <c r="N98" i="6" s="1"/>
  <c r="S97" i="6"/>
  <c r="R97" i="6"/>
  <c r="Q97" i="6"/>
  <c r="M97" i="6"/>
  <c r="L97" i="6"/>
  <c r="K97" i="6"/>
  <c r="N97" i="6" s="1"/>
  <c r="S96" i="6"/>
  <c r="R96" i="6"/>
  <c r="Q96" i="6"/>
  <c r="M96" i="6"/>
  <c r="L96" i="6"/>
  <c r="K96" i="6"/>
  <c r="N96" i="6" s="1"/>
  <c r="S95" i="6"/>
  <c r="R95" i="6"/>
  <c r="Q95" i="6"/>
  <c r="M95" i="6"/>
  <c r="L95" i="6"/>
  <c r="K95" i="6"/>
  <c r="N95" i="6" s="1"/>
  <c r="O95" i="6" s="1"/>
  <c r="S94" i="6"/>
  <c r="R94" i="6"/>
  <c r="Q94" i="6"/>
  <c r="M94" i="6"/>
  <c r="L94" i="6"/>
  <c r="K94" i="6"/>
  <c r="N94" i="6" s="1"/>
  <c r="S93" i="6"/>
  <c r="R93" i="6"/>
  <c r="Q93" i="6"/>
  <c r="M93" i="6"/>
  <c r="L93" i="6"/>
  <c r="K93" i="6"/>
  <c r="N93" i="6" s="1"/>
  <c r="S92" i="6"/>
  <c r="R92" i="6"/>
  <c r="Q92" i="6"/>
  <c r="M92" i="6"/>
  <c r="L92" i="6"/>
  <c r="K92" i="6"/>
  <c r="N92" i="6" s="1"/>
  <c r="S91" i="6"/>
  <c r="R91" i="6"/>
  <c r="Q91" i="6"/>
  <c r="M91" i="6"/>
  <c r="L91" i="6"/>
  <c r="K91" i="6"/>
  <c r="N91" i="6" s="1"/>
  <c r="S90" i="6"/>
  <c r="R90" i="6"/>
  <c r="Q90" i="6"/>
  <c r="O90" i="6"/>
  <c r="M90" i="6"/>
  <c r="L90" i="6"/>
  <c r="K90" i="6"/>
  <c r="S89" i="6"/>
  <c r="R89" i="6"/>
  <c r="Q89" i="6"/>
  <c r="M89" i="6"/>
  <c r="L89" i="6"/>
  <c r="K89" i="6"/>
  <c r="N89" i="6" s="1"/>
  <c r="S88" i="6"/>
  <c r="R88" i="6"/>
  <c r="Q88" i="6"/>
  <c r="O88" i="6"/>
  <c r="M88" i="6"/>
  <c r="L88" i="6"/>
  <c r="K88" i="6"/>
  <c r="S87" i="6"/>
  <c r="R87" i="6"/>
  <c r="Q87" i="6"/>
  <c r="M87" i="6"/>
  <c r="L87" i="6"/>
  <c r="K87" i="6"/>
  <c r="N87" i="6" s="1"/>
  <c r="O87" i="6" s="1"/>
  <c r="S86" i="6"/>
  <c r="R86" i="6"/>
  <c r="Q86" i="6"/>
  <c r="M86" i="6"/>
  <c r="L86" i="6"/>
  <c r="K86" i="6"/>
  <c r="N86" i="6" s="1"/>
  <c r="S85" i="6"/>
  <c r="R85" i="6"/>
  <c r="Q85" i="6"/>
  <c r="M85" i="6"/>
  <c r="L85" i="6"/>
  <c r="K85" i="6"/>
  <c r="N85" i="6" s="1"/>
  <c r="S84" i="6"/>
  <c r="R84" i="6"/>
  <c r="Q84" i="6"/>
  <c r="M84" i="6"/>
  <c r="L84" i="6"/>
  <c r="K84" i="6"/>
  <c r="N84" i="6" s="1"/>
  <c r="S83" i="6"/>
  <c r="R83" i="6"/>
  <c r="Q83" i="6"/>
  <c r="M83" i="6"/>
  <c r="L83" i="6"/>
  <c r="K83" i="6"/>
  <c r="N83" i="6" s="1"/>
  <c r="S82" i="6"/>
  <c r="R82" i="6"/>
  <c r="Q82" i="6"/>
  <c r="M82" i="6"/>
  <c r="L82" i="6"/>
  <c r="K82" i="6"/>
  <c r="N82" i="6" s="1"/>
  <c r="O82" i="6" s="1"/>
  <c r="S81" i="6"/>
  <c r="R81" i="6"/>
  <c r="Q81" i="6"/>
  <c r="M81" i="6"/>
  <c r="L81" i="6"/>
  <c r="K81" i="6"/>
  <c r="N81" i="6" s="1"/>
  <c r="S80" i="6"/>
  <c r="R80" i="6"/>
  <c r="Q80" i="6"/>
  <c r="M80" i="6"/>
  <c r="L80" i="6"/>
  <c r="K80" i="6"/>
  <c r="N80" i="6" s="1"/>
  <c r="S79" i="6"/>
  <c r="R79" i="6"/>
  <c r="Q79" i="6"/>
  <c r="M79" i="6"/>
  <c r="L79" i="6"/>
  <c r="K79" i="6"/>
  <c r="N79" i="6" s="1"/>
  <c r="S78" i="6"/>
  <c r="R78" i="6"/>
  <c r="Q78" i="6"/>
  <c r="M78" i="6"/>
  <c r="L78" i="6"/>
  <c r="K78" i="6"/>
  <c r="N78" i="6" s="1"/>
  <c r="S77" i="6"/>
  <c r="R77" i="6"/>
  <c r="Q77" i="6"/>
  <c r="M77" i="6"/>
  <c r="L77" i="6"/>
  <c r="K77" i="6"/>
  <c r="N77" i="6" s="1"/>
  <c r="O77" i="6" s="1"/>
  <c r="S76" i="6"/>
  <c r="R76" i="6"/>
  <c r="Q76" i="6"/>
  <c r="M76" i="6"/>
  <c r="L76" i="6"/>
  <c r="K76" i="6"/>
  <c r="N76" i="6" s="1"/>
  <c r="S75" i="6"/>
  <c r="R75" i="6"/>
  <c r="Q75" i="6"/>
  <c r="M75" i="6"/>
  <c r="L75" i="6"/>
  <c r="K75" i="6"/>
  <c r="N75" i="6" s="1"/>
  <c r="S74" i="6"/>
  <c r="R74" i="6"/>
  <c r="Q74" i="6"/>
  <c r="M74" i="6"/>
  <c r="L74" i="6"/>
  <c r="K74" i="6"/>
  <c r="N74" i="6" s="1"/>
  <c r="O74" i="6" s="1"/>
  <c r="S73" i="6"/>
  <c r="R73" i="6"/>
  <c r="Q73" i="6"/>
  <c r="M73" i="6"/>
  <c r="L73" i="6"/>
  <c r="K73" i="6"/>
  <c r="N73" i="6" s="1"/>
  <c r="S72" i="6"/>
  <c r="R72" i="6"/>
  <c r="Q72" i="6"/>
  <c r="M72" i="6"/>
  <c r="L72" i="6"/>
  <c r="K72" i="6"/>
  <c r="N72" i="6" s="1"/>
  <c r="S71" i="6"/>
  <c r="R71" i="6"/>
  <c r="Q71" i="6"/>
  <c r="M71" i="6"/>
  <c r="L71" i="6"/>
  <c r="K71" i="6"/>
  <c r="N71" i="6" s="1"/>
  <c r="S70" i="6"/>
  <c r="R70" i="6"/>
  <c r="Q70" i="6"/>
  <c r="M70" i="6"/>
  <c r="L70" i="6"/>
  <c r="K70" i="6"/>
  <c r="N70" i="6" s="1"/>
  <c r="S69" i="6"/>
  <c r="R69" i="6"/>
  <c r="Q69" i="6"/>
  <c r="O69" i="6"/>
  <c r="N69" i="6"/>
  <c r="M69" i="6"/>
  <c r="L69" i="6"/>
  <c r="K69" i="6"/>
  <c r="S68" i="6"/>
  <c r="R68" i="6"/>
  <c r="Q68" i="6"/>
  <c r="O68" i="6"/>
  <c r="M68" i="6"/>
  <c r="L68" i="6"/>
  <c r="K68" i="6"/>
  <c r="S67" i="6"/>
  <c r="R67" i="6"/>
  <c r="Q67" i="6"/>
  <c r="O67" i="6"/>
  <c r="M67" i="6"/>
  <c r="L67" i="6"/>
  <c r="K67" i="6"/>
  <c r="S66" i="6"/>
  <c r="R66" i="6"/>
  <c r="Q66" i="6"/>
  <c r="O66" i="6"/>
  <c r="M66" i="6"/>
  <c r="L66" i="6"/>
  <c r="K66" i="6"/>
  <c r="S65" i="6"/>
  <c r="R65" i="6"/>
  <c r="Q65" i="6"/>
  <c r="O65" i="6"/>
  <c r="M65" i="6"/>
  <c r="L65" i="6"/>
  <c r="K65" i="6"/>
  <c r="S64" i="6"/>
  <c r="R64" i="6"/>
  <c r="Q64" i="6"/>
  <c r="M64" i="6"/>
  <c r="L64" i="6"/>
  <c r="K64" i="6"/>
  <c r="N64" i="6" s="1"/>
  <c r="O64" i="6" s="1"/>
  <c r="S63" i="6"/>
  <c r="R63" i="6"/>
  <c r="Q63" i="6"/>
  <c r="O63" i="6"/>
  <c r="M63" i="6"/>
  <c r="L63" i="6"/>
  <c r="K63" i="6"/>
  <c r="S62" i="6"/>
  <c r="R62" i="6"/>
  <c r="Q62" i="6"/>
  <c r="M62" i="6"/>
  <c r="L62" i="6"/>
  <c r="K62" i="6"/>
  <c r="N62" i="6" s="1"/>
  <c r="O62" i="6" s="1"/>
  <c r="S61" i="6"/>
  <c r="R61" i="6"/>
  <c r="Q61" i="6"/>
  <c r="M61" i="6"/>
  <c r="L61" i="6"/>
  <c r="K61" i="6"/>
  <c r="S60" i="6"/>
  <c r="R60" i="6"/>
  <c r="Q60" i="6"/>
  <c r="M60" i="6"/>
  <c r="L60" i="6"/>
  <c r="K60" i="6"/>
  <c r="N60" i="6" s="1"/>
  <c r="S59" i="6"/>
  <c r="R59" i="6"/>
  <c r="Q59" i="6"/>
  <c r="O59" i="6"/>
  <c r="N59" i="6"/>
  <c r="M59" i="6"/>
  <c r="L59" i="6"/>
  <c r="K59" i="6"/>
  <c r="S58" i="6"/>
  <c r="R58" i="6"/>
  <c r="Q58" i="6"/>
  <c r="O58" i="6"/>
  <c r="N58" i="6"/>
  <c r="M58" i="6"/>
  <c r="L58" i="6"/>
  <c r="K58" i="6"/>
  <c r="S57" i="6"/>
  <c r="R57" i="6"/>
  <c r="Q57" i="6"/>
  <c r="O57" i="6"/>
  <c r="M57" i="6"/>
  <c r="L57" i="6"/>
  <c r="K57" i="6"/>
  <c r="S56" i="6"/>
  <c r="R56" i="6"/>
  <c r="Q56" i="6"/>
  <c r="M56" i="6"/>
  <c r="L56" i="6"/>
  <c r="K56" i="6"/>
  <c r="N56" i="6" s="1"/>
  <c r="S55" i="6"/>
  <c r="R55" i="6"/>
  <c r="Q55" i="6"/>
  <c r="M55" i="6"/>
  <c r="L55" i="6"/>
  <c r="K55" i="6"/>
  <c r="S54" i="6"/>
  <c r="R54" i="6"/>
  <c r="Q54" i="6"/>
  <c r="N54" i="6"/>
  <c r="M54" i="6"/>
  <c r="L54" i="6"/>
  <c r="K54" i="6"/>
  <c r="S53" i="6"/>
  <c r="R53" i="6"/>
  <c r="Q53" i="6"/>
  <c r="O53" i="6"/>
  <c r="M53" i="6"/>
  <c r="L53" i="6"/>
  <c r="K53" i="6"/>
  <c r="S52" i="6"/>
  <c r="R52" i="6"/>
  <c r="Q52" i="6"/>
  <c r="N52" i="6"/>
  <c r="O52" i="6" s="1"/>
  <c r="M52" i="6"/>
  <c r="L52" i="6"/>
  <c r="K52" i="6"/>
  <c r="S51" i="6"/>
  <c r="R51" i="6"/>
  <c r="Q51" i="6"/>
  <c r="M51" i="6"/>
  <c r="L51" i="6"/>
  <c r="K51" i="6"/>
  <c r="N51" i="6" s="1"/>
  <c r="S50" i="6"/>
  <c r="R50" i="6"/>
  <c r="Q50" i="6"/>
  <c r="M50" i="6"/>
  <c r="L50" i="6"/>
  <c r="K50" i="6"/>
  <c r="S49" i="6"/>
  <c r="R49" i="6"/>
  <c r="Q49" i="6"/>
  <c r="M49" i="6"/>
  <c r="L49" i="6"/>
  <c r="K49" i="6"/>
  <c r="N49" i="6" s="1"/>
  <c r="S48" i="6"/>
  <c r="R48" i="6"/>
  <c r="Q48" i="6"/>
  <c r="O48" i="6"/>
  <c r="M48" i="6"/>
  <c r="L48" i="6"/>
  <c r="K48" i="6"/>
  <c r="S47" i="6"/>
  <c r="R47" i="6"/>
  <c r="Q47" i="6"/>
  <c r="M47" i="6"/>
  <c r="L47" i="6"/>
  <c r="K47" i="6"/>
  <c r="N47" i="6" s="1"/>
  <c r="O47" i="6" s="1"/>
  <c r="S46" i="6"/>
  <c r="R46" i="6"/>
  <c r="Q46" i="6"/>
  <c r="O46" i="6"/>
  <c r="M46" i="6"/>
  <c r="L46" i="6"/>
  <c r="K46" i="6"/>
  <c r="S45" i="6"/>
  <c r="R45" i="6"/>
  <c r="Q45" i="6"/>
  <c r="M45" i="6"/>
  <c r="L45" i="6"/>
  <c r="K45" i="6"/>
  <c r="N45" i="6" s="1"/>
  <c r="O45" i="6" s="1"/>
  <c r="S44" i="6"/>
  <c r="R44" i="6"/>
  <c r="Q44" i="6"/>
  <c r="M44" i="6"/>
  <c r="L44" i="6"/>
  <c r="K44" i="6"/>
  <c r="N44" i="6" s="1"/>
  <c r="S43" i="6"/>
  <c r="R43" i="6"/>
  <c r="Q43" i="6"/>
  <c r="M43" i="6"/>
  <c r="L43" i="6"/>
  <c r="K43" i="6"/>
  <c r="N43" i="6" s="1"/>
  <c r="S42" i="6"/>
  <c r="R42" i="6"/>
  <c r="Q42" i="6"/>
  <c r="N42" i="6"/>
  <c r="O42" i="6" s="1"/>
  <c r="M42" i="6"/>
  <c r="L42" i="6"/>
  <c r="K42" i="6"/>
  <c r="S41" i="6"/>
  <c r="R41" i="6"/>
  <c r="Q41" i="6"/>
  <c r="M41" i="6"/>
  <c r="L41" i="6"/>
  <c r="K41" i="6"/>
  <c r="S40" i="6"/>
  <c r="R40" i="6"/>
  <c r="Q40" i="6"/>
  <c r="M40" i="6"/>
  <c r="L40" i="6"/>
  <c r="K40" i="6"/>
  <c r="N40" i="6" s="1"/>
  <c r="O40" i="6" s="1"/>
  <c r="S39" i="6"/>
  <c r="R39" i="6"/>
  <c r="Q39" i="6"/>
  <c r="M39" i="6"/>
  <c r="L39" i="6"/>
  <c r="K39" i="6"/>
  <c r="N39" i="6" s="1"/>
  <c r="S38" i="6"/>
  <c r="R38" i="6"/>
  <c r="Q38" i="6"/>
  <c r="M38" i="6"/>
  <c r="L38" i="6"/>
  <c r="K38" i="6"/>
  <c r="N38" i="6" s="1"/>
  <c r="O38" i="6" s="1"/>
  <c r="S37" i="6"/>
  <c r="R37" i="6"/>
  <c r="Q37" i="6"/>
  <c r="M37" i="6"/>
  <c r="L37" i="6"/>
  <c r="K37" i="6"/>
  <c r="N37" i="6" s="1"/>
  <c r="S36" i="6"/>
  <c r="R36" i="6"/>
  <c r="Q36" i="6"/>
  <c r="M36" i="6"/>
  <c r="L36" i="6"/>
  <c r="K36" i="6"/>
  <c r="N36" i="6" s="1"/>
  <c r="S35" i="6"/>
  <c r="R35" i="6"/>
  <c r="Q35" i="6"/>
  <c r="M35" i="6"/>
  <c r="L35" i="6"/>
  <c r="K35" i="6"/>
  <c r="N35" i="6" s="1"/>
  <c r="O35" i="6" s="1"/>
  <c r="S34" i="6"/>
  <c r="R34" i="6"/>
  <c r="Q34" i="6"/>
  <c r="M34" i="6"/>
  <c r="L34" i="6"/>
  <c r="K34" i="6"/>
  <c r="N34" i="6" s="1"/>
  <c r="S33" i="6"/>
  <c r="R33" i="6"/>
  <c r="Q33" i="6"/>
  <c r="M33" i="6"/>
  <c r="L33" i="6"/>
  <c r="K33" i="6"/>
  <c r="N33" i="6" s="1"/>
  <c r="O33" i="6" s="1"/>
  <c r="S32" i="6"/>
  <c r="R32" i="6"/>
  <c r="Q32" i="6"/>
  <c r="M32" i="6"/>
  <c r="L32" i="6"/>
  <c r="K32" i="6"/>
  <c r="N32" i="6" s="1"/>
  <c r="S31" i="6"/>
  <c r="R31" i="6"/>
  <c r="Q31" i="6"/>
  <c r="M31" i="6"/>
  <c r="L31" i="6"/>
  <c r="K31" i="6"/>
  <c r="N31" i="6" s="1"/>
  <c r="S30" i="6"/>
  <c r="R30" i="6"/>
  <c r="Q30" i="6"/>
  <c r="M30" i="6"/>
  <c r="L30" i="6"/>
  <c r="K30" i="6"/>
  <c r="N30" i="6" s="1"/>
  <c r="S29" i="6"/>
  <c r="R29" i="6"/>
  <c r="Q29" i="6"/>
  <c r="M29" i="6"/>
  <c r="L29" i="6"/>
  <c r="K29" i="6"/>
  <c r="N29" i="6" s="1"/>
  <c r="S28" i="6"/>
  <c r="R28" i="6"/>
  <c r="Q28" i="6"/>
  <c r="O28" i="6"/>
  <c r="M28" i="6"/>
  <c r="L28" i="6"/>
  <c r="K28" i="6"/>
  <c r="S27" i="6"/>
  <c r="R27" i="6"/>
  <c r="Q27" i="6"/>
  <c r="M27" i="6"/>
  <c r="L27" i="6"/>
  <c r="K27" i="6"/>
  <c r="N27" i="6" s="1"/>
  <c r="O27" i="6" s="1"/>
  <c r="S26" i="6"/>
  <c r="R26" i="6"/>
  <c r="Q26" i="6"/>
  <c r="M26" i="6"/>
  <c r="L26" i="6"/>
  <c r="K26" i="6"/>
  <c r="N26" i="6" s="1"/>
  <c r="S25" i="6"/>
  <c r="R25" i="6"/>
  <c r="Q25" i="6"/>
  <c r="M25" i="6"/>
  <c r="L25" i="6"/>
  <c r="K25" i="6"/>
  <c r="N25" i="6" s="1"/>
  <c r="S24" i="6"/>
  <c r="R24" i="6"/>
  <c r="Q24" i="6"/>
  <c r="M24" i="6"/>
  <c r="L24" i="6"/>
  <c r="K24" i="6"/>
  <c r="N24" i="6" s="1"/>
  <c r="S23" i="6"/>
  <c r="R23" i="6"/>
  <c r="Q23" i="6"/>
  <c r="M23" i="6"/>
  <c r="L23" i="6"/>
  <c r="K23" i="6"/>
  <c r="N23" i="6" s="1"/>
  <c r="S22" i="6"/>
  <c r="R22" i="6"/>
  <c r="Q22" i="6"/>
  <c r="M22" i="6"/>
  <c r="L22" i="6"/>
  <c r="K22" i="6"/>
  <c r="N22" i="6" s="1"/>
  <c r="O22" i="6" s="1"/>
  <c r="S21" i="6"/>
  <c r="R21" i="6"/>
  <c r="Q21" i="6"/>
  <c r="M21" i="6"/>
  <c r="L21" i="6"/>
  <c r="K21" i="6"/>
  <c r="N21" i="6" s="1"/>
  <c r="S20" i="6"/>
  <c r="R20" i="6"/>
  <c r="Q20" i="6"/>
  <c r="M20" i="6"/>
  <c r="L20" i="6"/>
  <c r="K20" i="6"/>
  <c r="N20" i="6" s="1"/>
  <c r="S19" i="6"/>
  <c r="R19" i="6"/>
  <c r="Q19" i="6"/>
  <c r="M19" i="6"/>
  <c r="L19" i="6"/>
  <c r="K19" i="6"/>
  <c r="N19" i="6" s="1"/>
  <c r="S18" i="6"/>
  <c r="R18" i="6"/>
  <c r="Q18" i="6"/>
  <c r="M18" i="6"/>
  <c r="L18" i="6"/>
  <c r="K18" i="6"/>
  <c r="N18" i="6" s="1"/>
  <c r="S17" i="6"/>
  <c r="R17" i="6"/>
  <c r="Q17" i="6"/>
  <c r="M17" i="6"/>
  <c r="L17" i="6"/>
  <c r="K17" i="6"/>
  <c r="N17" i="6" s="1"/>
  <c r="O17" i="6" s="1"/>
  <c r="S16" i="6"/>
  <c r="R16" i="6"/>
  <c r="Q16" i="6"/>
  <c r="M16" i="6"/>
  <c r="L16" i="6"/>
  <c r="K16" i="6"/>
  <c r="N16" i="6" s="1"/>
  <c r="S15" i="6"/>
  <c r="R15" i="6"/>
  <c r="Q15" i="6"/>
  <c r="M15" i="6"/>
  <c r="L15" i="6"/>
  <c r="K15" i="6"/>
  <c r="N15" i="6" s="1"/>
  <c r="S14" i="6"/>
  <c r="R14" i="6"/>
  <c r="Q14" i="6"/>
  <c r="M14" i="6"/>
  <c r="L14" i="6"/>
  <c r="K14" i="6"/>
  <c r="N14" i="6" s="1"/>
  <c r="S13" i="6"/>
  <c r="R13" i="6"/>
  <c r="Q13" i="6"/>
  <c r="M13" i="6"/>
  <c r="L13" i="6"/>
  <c r="K13" i="6"/>
  <c r="N13" i="6" s="1"/>
  <c r="S12" i="6"/>
  <c r="R12" i="6"/>
  <c r="Q12" i="6"/>
  <c r="O12" i="6"/>
  <c r="M12" i="6"/>
  <c r="L12" i="6"/>
  <c r="K12" i="6"/>
  <c r="S11" i="6"/>
  <c r="R11" i="6"/>
  <c r="Q11" i="6"/>
  <c r="O11" i="6"/>
  <c r="M11" i="6"/>
  <c r="L11" i="6"/>
  <c r="K11" i="6"/>
  <c r="S10" i="6"/>
  <c r="R10" i="6"/>
  <c r="Q10" i="6"/>
  <c r="O10" i="6"/>
  <c r="M10" i="6"/>
  <c r="L10" i="6"/>
  <c r="K10" i="6"/>
  <c r="S9" i="6"/>
  <c r="R9" i="6"/>
  <c r="Q9" i="6"/>
  <c r="O9" i="6"/>
  <c r="M9" i="6"/>
  <c r="L9" i="6"/>
  <c r="K9" i="6"/>
  <c r="S8" i="6"/>
  <c r="R8" i="6"/>
  <c r="Q8" i="6"/>
  <c r="M8" i="6"/>
  <c r="L8" i="6"/>
  <c r="K8" i="6"/>
  <c r="N8" i="6" s="1"/>
  <c r="O8" i="6" s="1"/>
  <c r="S7" i="6"/>
  <c r="R7" i="6"/>
  <c r="Q7" i="6"/>
  <c r="M7" i="6"/>
  <c r="L7" i="6"/>
  <c r="K7" i="6"/>
  <c r="N7" i="6" s="1"/>
  <c r="S6" i="6"/>
  <c r="R6" i="6"/>
  <c r="Q6" i="6"/>
  <c r="M6" i="6"/>
  <c r="L6" i="6"/>
  <c r="K6" i="6"/>
  <c r="N6" i="6" s="1"/>
  <c r="S5" i="6"/>
  <c r="R5" i="6"/>
  <c r="Q5" i="6"/>
  <c r="M5" i="6"/>
  <c r="L5" i="6"/>
  <c r="K5" i="6"/>
  <c r="N5" i="6" s="1"/>
  <c r="S4" i="6"/>
  <c r="R4" i="6"/>
  <c r="Q4" i="6"/>
  <c r="O4" i="6"/>
  <c r="M4" i="6"/>
  <c r="L4" i="6"/>
  <c r="K4" i="6"/>
  <c r="S3" i="6"/>
  <c r="R3" i="6"/>
  <c r="Q3" i="6"/>
  <c r="O3" i="6"/>
  <c r="M3" i="6"/>
  <c r="L3" i="6"/>
  <c r="K3" i="6"/>
  <c r="S2" i="6"/>
  <c r="R2" i="6"/>
  <c r="Q2" i="6"/>
  <c r="O2" i="6"/>
  <c r="M2" i="6"/>
  <c r="L2" i="6"/>
  <c r="K2" i="6"/>
  <c r="N159" i="5"/>
  <c r="M159" i="5"/>
  <c r="L159" i="5"/>
  <c r="K159" i="5"/>
  <c r="J159" i="5"/>
  <c r="R158" i="5"/>
  <c r="Q158" i="5"/>
  <c r="P158" i="5"/>
  <c r="L158" i="5"/>
  <c r="K158" i="5"/>
  <c r="J158" i="5"/>
  <c r="M158" i="5" s="1"/>
  <c r="N158" i="5" s="1"/>
  <c r="R157" i="5"/>
  <c r="Q157" i="5"/>
  <c r="P157" i="5"/>
  <c r="L157" i="5"/>
  <c r="K157" i="5"/>
  <c r="J157" i="5"/>
  <c r="M157" i="5" s="1"/>
  <c r="N157" i="5" s="1"/>
  <c r="R156" i="5"/>
  <c r="Q156" i="5"/>
  <c r="P156" i="5"/>
  <c r="L156" i="5"/>
  <c r="K156" i="5"/>
  <c r="J156" i="5"/>
  <c r="M156" i="5" s="1"/>
  <c r="R155" i="5"/>
  <c r="Q155" i="5"/>
  <c r="P155" i="5"/>
  <c r="L155" i="5"/>
  <c r="K155" i="5"/>
  <c r="J155" i="5"/>
  <c r="M155" i="5" s="1"/>
  <c r="N155" i="5" s="1"/>
  <c r="R154" i="5"/>
  <c r="Q154" i="5"/>
  <c r="P154" i="5"/>
  <c r="L154" i="5"/>
  <c r="K154" i="5"/>
  <c r="J154" i="5"/>
  <c r="M154" i="5" s="1"/>
  <c r="R153" i="5"/>
  <c r="Q153" i="5"/>
  <c r="P153" i="5"/>
  <c r="L153" i="5"/>
  <c r="K153" i="5"/>
  <c r="J153" i="5"/>
  <c r="M153" i="5" s="1"/>
  <c r="R152" i="5"/>
  <c r="Q152" i="5"/>
  <c r="P152" i="5"/>
  <c r="L152" i="5"/>
  <c r="K152" i="5"/>
  <c r="J152" i="5"/>
  <c r="M152" i="5" s="1"/>
  <c r="R151" i="5"/>
  <c r="Q151" i="5"/>
  <c r="P151" i="5"/>
  <c r="L151" i="5"/>
  <c r="K151" i="5"/>
  <c r="J151" i="5"/>
  <c r="M151" i="5" s="1"/>
  <c r="R150" i="5"/>
  <c r="Q150" i="5"/>
  <c r="P150" i="5"/>
  <c r="L150" i="5"/>
  <c r="K150" i="5"/>
  <c r="J150" i="5"/>
  <c r="M150" i="5" s="1"/>
  <c r="N150" i="5" s="1"/>
  <c r="R149" i="5"/>
  <c r="Q149" i="5"/>
  <c r="P149" i="5"/>
  <c r="L149" i="5"/>
  <c r="K149" i="5"/>
  <c r="J149" i="5"/>
  <c r="M149" i="5" s="1"/>
  <c r="R148" i="5"/>
  <c r="Q148" i="5"/>
  <c r="P148" i="5"/>
  <c r="N148" i="5"/>
  <c r="L148" i="5"/>
  <c r="K148" i="5"/>
  <c r="J148" i="5"/>
  <c r="R147" i="5"/>
  <c r="Q147" i="5"/>
  <c r="P147" i="5"/>
  <c r="L147" i="5"/>
  <c r="K147" i="5"/>
  <c r="J147" i="5"/>
  <c r="M147" i="5" s="1"/>
  <c r="N147" i="5" s="1"/>
  <c r="R146" i="5"/>
  <c r="Q146" i="5"/>
  <c r="P146" i="5"/>
  <c r="L146" i="5"/>
  <c r="K146" i="5"/>
  <c r="J146" i="5"/>
  <c r="M146" i="5" s="1"/>
  <c r="R145" i="5"/>
  <c r="Q145" i="5"/>
  <c r="P145" i="5"/>
  <c r="L145" i="5"/>
  <c r="K145" i="5"/>
  <c r="J145" i="5"/>
  <c r="M145" i="5" s="1"/>
  <c r="R144" i="5"/>
  <c r="Q144" i="5"/>
  <c r="P144" i="5"/>
  <c r="L144" i="5"/>
  <c r="K144" i="5"/>
  <c r="J144" i="5"/>
  <c r="M144" i="5" s="1"/>
  <c r="R143" i="5"/>
  <c r="Q143" i="5"/>
  <c r="P143" i="5"/>
  <c r="L143" i="5"/>
  <c r="K143" i="5"/>
  <c r="J143" i="5"/>
  <c r="M143" i="5" s="1"/>
  <c r="R142" i="5"/>
  <c r="Q142" i="5"/>
  <c r="P142" i="5"/>
  <c r="L142" i="5"/>
  <c r="K142" i="5"/>
  <c r="J142" i="5"/>
  <c r="M142" i="5" s="1"/>
  <c r="N142" i="5" s="1"/>
  <c r="R141" i="5"/>
  <c r="Q141" i="5"/>
  <c r="P141" i="5"/>
  <c r="L141" i="5"/>
  <c r="K141" i="5"/>
  <c r="J141" i="5"/>
  <c r="M141" i="5" s="1"/>
  <c r="R140" i="5"/>
  <c r="Q140" i="5"/>
  <c r="P140" i="5"/>
  <c r="L140" i="5"/>
  <c r="K140" i="5"/>
  <c r="J140" i="5"/>
  <c r="M140" i="5" s="1"/>
  <c r="R139" i="5"/>
  <c r="Q139" i="5"/>
  <c r="P139" i="5"/>
  <c r="L139" i="5"/>
  <c r="K139" i="5"/>
  <c r="J139" i="5"/>
  <c r="M139" i="5" s="1"/>
  <c r="R138" i="5"/>
  <c r="Q138" i="5"/>
  <c r="P138" i="5"/>
  <c r="L138" i="5"/>
  <c r="K138" i="5"/>
  <c r="J138" i="5"/>
  <c r="M138" i="5" s="1"/>
  <c r="R137" i="5"/>
  <c r="Q137" i="5"/>
  <c r="P137" i="5"/>
  <c r="L137" i="5"/>
  <c r="K137" i="5"/>
  <c r="J137" i="5"/>
  <c r="M137" i="5" s="1"/>
  <c r="N137" i="5" s="1"/>
  <c r="R136" i="5"/>
  <c r="Q136" i="5"/>
  <c r="P136" i="5"/>
  <c r="L136" i="5"/>
  <c r="K136" i="5"/>
  <c r="J136" i="5"/>
  <c r="M136" i="5" s="1"/>
  <c r="R135" i="5"/>
  <c r="Q135" i="5"/>
  <c r="P135" i="5"/>
  <c r="L135" i="5"/>
  <c r="K135" i="5"/>
  <c r="J135" i="5"/>
  <c r="M135" i="5" s="1"/>
  <c r="R134" i="5"/>
  <c r="Q134" i="5"/>
  <c r="P134" i="5"/>
  <c r="L134" i="5"/>
  <c r="K134" i="5"/>
  <c r="J134" i="5"/>
  <c r="M134" i="5" s="1"/>
  <c r="N134" i="5" s="1"/>
  <c r="R133" i="5"/>
  <c r="Q133" i="5"/>
  <c r="P133" i="5"/>
  <c r="L133" i="5"/>
  <c r="K133" i="5"/>
  <c r="J133" i="5"/>
  <c r="M133" i="5" s="1"/>
  <c r="R132" i="5"/>
  <c r="Q132" i="5"/>
  <c r="P132" i="5"/>
  <c r="L132" i="5"/>
  <c r="K132" i="5"/>
  <c r="J132" i="5"/>
  <c r="M132" i="5" s="1"/>
  <c r="R131" i="5"/>
  <c r="Q131" i="5"/>
  <c r="P131" i="5"/>
  <c r="M131" i="5"/>
  <c r="L131" i="5"/>
  <c r="K131" i="5"/>
  <c r="J131" i="5"/>
  <c r="R130" i="5"/>
  <c r="Q130" i="5"/>
  <c r="P130" i="5"/>
  <c r="M130" i="5"/>
  <c r="L130" i="5"/>
  <c r="K130" i="5"/>
  <c r="J130" i="5"/>
  <c r="R129" i="5"/>
  <c r="Q129" i="5"/>
  <c r="P129" i="5"/>
  <c r="M129" i="5"/>
  <c r="N129" i="5" s="1"/>
  <c r="L129" i="5"/>
  <c r="K129" i="5"/>
  <c r="J129" i="5"/>
  <c r="R128" i="5"/>
  <c r="Q128" i="5"/>
  <c r="P128" i="5"/>
  <c r="M128" i="5"/>
  <c r="L128" i="5"/>
  <c r="K128" i="5"/>
  <c r="J128" i="5"/>
  <c r="R127" i="5"/>
  <c r="Q127" i="5"/>
  <c r="P127" i="5"/>
  <c r="L127" i="5"/>
  <c r="K127" i="5"/>
  <c r="J127" i="5"/>
  <c r="M127" i="5" s="1"/>
  <c r="R126" i="5"/>
  <c r="Q126" i="5"/>
  <c r="P126" i="5"/>
  <c r="L126" i="5"/>
  <c r="K126" i="5"/>
  <c r="J126" i="5"/>
  <c r="M126" i="5" s="1"/>
  <c r="R125" i="5"/>
  <c r="Q125" i="5"/>
  <c r="P125" i="5"/>
  <c r="L125" i="5"/>
  <c r="K125" i="5"/>
  <c r="J125" i="5"/>
  <c r="M125" i="5" s="1"/>
  <c r="R124" i="5"/>
  <c r="Q124" i="5"/>
  <c r="P124" i="5"/>
  <c r="L124" i="5"/>
  <c r="K124" i="5"/>
  <c r="J124" i="5"/>
  <c r="M124" i="5" s="1"/>
  <c r="N124" i="5" s="1"/>
  <c r="R123" i="5"/>
  <c r="Q123" i="5"/>
  <c r="P123" i="5"/>
  <c r="L123" i="5"/>
  <c r="K123" i="5"/>
  <c r="J123" i="5"/>
  <c r="M123" i="5" s="1"/>
  <c r="R122" i="5"/>
  <c r="Q122" i="5"/>
  <c r="P122" i="5"/>
  <c r="L122" i="5"/>
  <c r="K122" i="5"/>
  <c r="J122" i="5"/>
  <c r="M122" i="5" s="1"/>
  <c r="R121" i="5"/>
  <c r="Q121" i="5"/>
  <c r="P121" i="5"/>
  <c r="L121" i="5"/>
  <c r="K121" i="5"/>
  <c r="J121" i="5"/>
  <c r="M121" i="5" s="1"/>
  <c r="R120" i="5"/>
  <c r="Q120" i="5"/>
  <c r="P120" i="5"/>
  <c r="L120" i="5"/>
  <c r="K120" i="5"/>
  <c r="J120" i="5"/>
  <c r="M120" i="5" s="1"/>
  <c r="N120" i="5" s="1"/>
  <c r="R119" i="5"/>
  <c r="Q119" i="5"/>
  <c r="P119" i="5"/>
  <c r="M119" i="5"/>
  <c r="L119" i="5"/>
  <c r="K119" i="5"/>
  <c r="J119" i="5"/>
  <c r="R118" i="5"/>
  <c r="Q118" i="5"/>
  <c r="P118" i="5"/>
  <c r="M118" i="5"/>
  <c r="L118" i="5"/>
  <c r="K118" i="5"/>
  <c r="J118" i="5"/>
  <c r="R117" i="5"/>
  <c r="Q117" i="5"/>
  <c r="P117" i="5"/>
  <c r="L117" i="5"/>
  <c r="K117" i="5"/>
  <c r="J117" i="5"/>
  <c r="M117" i="5" s="1"/>
  <c r="R116" i="5"/>
  <c r="Q116" i="5"/>
  <c r="P116" i="5"/>
  <c r="L116" i="5"/>
  <c r="K116" i="5"/>
  <c r="J116" i="5"/>
  <c r="M116" i="5" s="1"/>
  <c r="R115" i="5"/>
  <c r="Q115" i="5"/>
  <c r="P115" i="5"/>
  <c r="L115" i="5"/>
  <c r="K115" i="5"/>
  <c r="J115" i="5"/>
  <c r="M115" i="5" s="1"/>
  <c r="R114" i="5"/>
  <c r="Q114" i="5"/>
  <c r="P114" i="5"/>
  <c r="L114" i="5"/>
  <c r="K114" i="5"/>
  <c r="J114" i="5"/>
  <c r="M114" i="5" s="1"/>
  <c r="N114" i="5" s="1"/>
  <c r="R113" i="5"/>
  <c r="Q113" i="5"/>
  <c r="P113" i="5"/>
  <c r="L113" i="5"/>
  <c r="K113" i="5"/>
  <c r="J113" i="5"/>
  <c r="M113" i="5" s="1"/>
  <c r="R112" i="5"/>
  <c r="Q112" i="5"/>
  <c r="P112" i="5"/>
  <c r="L112" i="5"/>
  <c r="K112" i="5"/>
  <c r="J112" i="5"/>
  <c r="M112" i="5" s="1"/>
  <c r="R111" i="5"/>
  <c r="Q111" i="5"/>
  <c r="P111" i="5"/>
  <c r="M111" i="5"/>
  <c r="L111" i="5"/>
  <c r="K111" i="5"/>
  <c r="J111" i="5"/>
  <c r="R110" i="5"/>
  <c r="Q110" i="5"/>
  <c r="P110" i="5"/>
  <c r="L110" i="5"/>
  <c r="K110" i="5"/>
  <c r="J110" i="5"/>
  <c r="M110" i="5" s="1"/>
  <c r="R109" i="5"/>
  <c r="Q109" i="5"/>
  <c r="P109" i="5"/>
  <c r="L109" i="5"/>
  <c r="K109" i="5"/>
  <c r="J109" i="5"/>
  <c r="M109" i="5" s="1"/>
  <c r="N109" i="5" s="1"/>
  <c r="R108" i="5"/>
  <c r="Q108" i="5"/>
  <c r="P108" i="5"/>
  <c r="L108" i="5"/>
  <c r="K108" i="5"/>
  <c r="J108" i="5"/>
  <c r="M108" i="5" s="1"/>
  <c r="R107" i="5"/>
  <c r="Q107" i="5"/>
  <c r="P107" i="5"/>
  <c r="L107" i="5"/>
  <c r="K107" i="5"/>
  <c r="J107" i="5"/>
  <c r="M107" i="5" s="1"/>
  <c r="R106" i="5"/>
  <c r="Q106" i="5"/>
  <c r="P106" i="5"/>
  <c r="L106" i="5"/>
  <c r="K106" i="5"/>
  <c r="J106" i="5"/>
  <c r="M106" i="5" s="1"/>
  <c r="N106" i="5" s="1"/>
  <c r="R105" i="5"/>
  <c r="Q105" i="5"/>
  <c r="P105" i="5"/>
  <c r="L105" i="5"/>
  <c r="K105" i="5"/>
  <c r="J105" i="5"/>
  <c r="M105" i="5" s="1"/>
  <c r="R104" i="5"/>
  <c r="Q104" i="5"/>
  <c r="P104" i="5"/>
  <c r="L104" i="5"/>
  <c r="K104" i="5"/>
  <c r="J104" i="5"/>
  <c r="M104" i="5" s="1"/>
  <c r="R103" i="5"/>
  <c r="Q103" i="5"/>
  <c r="P103" i="5"/>
  <c r="L103" i="5"/>
  <c r="K103" i="5"/>
  <c r="J103" i="5"/>
  <c r="M103" i="5" s="1"/>
  <c r="R102" i="5"/>
  <c r="Q102" i="5"/>
  <c r="P102" i="5"/>
  <c r="L102" i="5"/>
  <c r="K102" i="5"/>
  <c r="J102" i="5"/>
  <c r="M102" i="5" s="1"/>
  <c r="R101" i="5"/>
  <c r="Q101" i="5"/>
  <c r="P101" i="5"/>
  <c r="N101" i="5"/>
  <c r="L101" i="5"/>
  <c r="K101" i="5"/>
  <c r="J101" i="5"/>
  <c r="R100" i="5"/>
  <c r="Q100" i="5"/>
  <c r="P100" i="5"/>
  <c r="L100" i="5"/>
  <c r="K100" i="5"/>
  <c r="J100" i="5"/>
  <c r="M100" i="5" s="1"/>
  <c r="N100" i="5" s="1"/>
  <c r="R99" i="5"/>
  <c r="Q99" i="5"/>
  <c r="P99" i="5"/>
  <c r="L99" i="5"/>
  <c r="K99" i="5"/>
  <c r="J99" i="5"/>
  <c r="M99" i="5" s="1"/>
  <c r="R98" i="5"/>
  <c r="Q98" i="5"/>
  <c r="P98" i="5"/>
  <c r="L98" i="5"/>
  <c r="K98" i="5"/>
  <c r="J98" i="5"/>
  <c r="M98" i="5" s="1"/>
  <c r="R97" i="5"/>
  <c r="Q97" i="5"/>
  <c r="P97" i="5"/>
  <c r="L97" i="5"/>
  <c r="K97" i="5"/>
  <c r="J97" i="5"/>
  <c r="M97" i="5" s="1"/>
  <c r="R96" i="5"/>
  <c r="Q96" i="5"/>
  <c r="P96" i="5"/>
  <c r="M96" i="5"/>
  <c r="L96" i="5"/>
  <c r="K96" i="5"/>
  <c r="J96" i="5"/>
  <c r="R95" i="5"/>
  <c r="Q95" i="5"/>
  <c r="P95" i="5"/>
  <c r="L95" i="5"/>
  <c r="K95" i="5"/>
  <c r="J95" i="5"/>
  <c r="M95" i="5" s="1"/>
  <c r="N95" i="5" s="1"/>
  <c r="R94" i="5"/>
  <c r="Q94" i="5"/>
  <c r="P94" i="5"/>
  <c r="L94" i="5"/>
  <c r="K94" i="5"/>
  <c r="J94" i="5"/>
  <c r="M94" i="5" s="1"/>
  <c r="R93" i="5"/>
  <c r="Q93" i="5"/>
  <c r="P93" i="5"/>
  <c r="L93" i="5"/>
  <c r="K93" i="5"/>
  <c r="J93" i="5"/>
  <c r="M93" i="5" s="1"/>
  <c r="R92" i="5"/>
  <c r="Q92" i="5"/>
  <c r="P92" i="5"/>
  <c r="L92" i="5"/>
  <c r="K92" i="5"/>
  <c r="J92" i="5"/>
  <c r="M92" i="5" s="1"/>
  <c r="R91" i="5"/>
  <c r="Q91" i="5"/>
  <c r="P91" i="5"/>
  <c r="M91" i="5"/>
  <c r="L91" i="5"/>
  <c r="K91" i="5"/>
  <c r="J91" i="5"/>
  <c r="R90" i="5"/>
  <c r="Q90" i="5"/>
  <c r="P90" i="5"/>
  <c r="L90" i="5"/>
  <c r="K90" i="5"/>
  <c r="J90" i="5"/>
  <c r="M90" i="5" s="1"/>
  <c r="N90" i="5" s="1"/>
  <c r="R89" i="5"/>
  <c r="Q89" i="5"/>
  <c r="P89" i="5"/>
  <c r="L89" i="5"/>
  <c r="K89" i="5"/>
  <c r="J89" i="5"/>
  <c r="M89" i="5" s="1"/>
  <c r="R88" i="5"/>
  <c r="Q88" i="5"/>
  <c r="P88" i="5"/>
  <c r="L88" i="5"/>
  <c r="K88" i="5"/>
  <c r="J88" i="5"/>
  <c r="M88" i="5" s="1"/>
  <c r="R87" i="5"/>
  <c r="Q87" i="5"/>
  <c r="P87" i="5"/>
  <c r="M87" i="5"/>
  <c r="N87" i="5" s="1"/>
  <c r="L87" i="5"/>
  <c r="K87" i="5"/>
  <c r="J87" i="5"/>
  <c r="R86" i="5"/>
  <c r="Q86" i="5"/>
  <c r="P86" i="5"/>
  <c r="L86" i="5"/>
  <c r="K86" i="5"/>
  <c r="J86" i="5"/>
  <c r="M86" i="5" s="1"/>
  <c r="R85" i="5"/>
  <c r="Q85" i="5"/>
  <c r="P85" i="5"/>
  <c r="L85" i="5"/>
  <c r="K85" i="5"/>
  <c r="J85" i="5"/>
  <c r="M85" i="5" s="1"/>
  <c r="R84" i="5"/>
  <c r="Q84" i="5"/>
  <c r="P84" i="5"/>
  <c r="L84" i="5"/>
  <c r="K84" i="5"/>
  <c r="J84" i="5"/>
  <c r="M84" i="5" s="1"/>
  <c r="R83" i="5"/>
  <c r="Q83" i="5"/>
  <c r="P83" i="5"/>
  <c r="L83" i="5"/>
  <c r="K83" i="5"/>
  <c r="J83" i="5"/>
  <c r="M83" i="5" s="1"/>
  <c r="R82" i="5"/>
  <c r="Q82" i="5"/>
  <c r="P82" i="5"/>
  <c r="L82" i="5"/>
  <c r="K82" i="5"/>
  <c r="J82" i="5"/>
  <c r="M82" i="5" s="1"/>
  <c r="N82" i="5" s="1"/>
  <c r="R81" i="5"/>
  <c r="Q81" i="5"/>
  <c r="P81" i="5"/>
  <c r="L81" i="5"/>
  <c r="K81" i="5"/>
  <c r="J81" i="5"/>
  <c r="M81" i="5" s="1"/>
  <c r="R80" i="5"/>
  <c r="Q80" i="5"/>
  <c r="P80" i="5"/>
  <c r="L80" i="5"/>
  <c r="K80" i="5"/>
  <c r="J80" i="5"/>
  <c r="M80" i="5" s="1"/>
  <c r="R79" i="5"/>
  <c r="Q79" i="5"/>
  <c r="P79" i="5"/>
  <c r="L79" i="5"/>
  <c r="K79" i="5"/>
  <c r="J79" i="5"/>
  <c r="M79" i="5" s="1"/>
  <c r="R78" i="5"/>
  <c r="Q78" i="5"/>
  <c r="P78" i="5"/>
  <c r="L78" i="5"/>
  <c r="K78" i="5"/>
  <c r="J78" i="5"/>
  <c r="M78" i="5" s="1"/>
  <c r="R77" i="5"/>
  <c r="Q77" i="5"/>
  <c r="P77" i="5"/>
  <c r="L77" i="5"/>
  <c r="K77" i="5"/>
  <c r="J77" i="5"/>
  <c r="R76" i="5"/>
  <c r="Q76" i="5"/>
  <c r="P76" i="5"/>
  <c r="L76" i="5"/>
  <c r="K76" i="5"/>
  <c r="J76" i="5"/>
  <c r="M76" i="5" s="1"/>
  <c r="R75" i="5"/>
  <c r="Q75" i="5"/>
  <c r="P75" i="5"/>
  <c r="L75" i="5"/>
  <c r="K75" i="5"/>
  <c r="J75" i="5"/>
  <c r="M75" i="5" s="1"/>
  <c r="N75" i="5" s="1"/>
  <c r="R74" i="5"/>
  <c r="Q74" i="5"/>
  <c r="P74" i="5"/>
  <c r="L74" i="5"/>
  <c r="K74" i="5"/>
  <c r="J74" i="5"/>
  <c r="M74" i="5" s="1"/>
  <c r="N74" i="5" s="1"/>
  <c r="R73" i="5"/>
  <c r="Q73" i="5"/>
  <c r="P73" i="5"/>
  <c r="L73" i="5"/>
  <c r="K73" i="5"/>
  <c r="J73" i="5"/>
  <c r="M73" i="5" s="1"/>
  <c r="R72" i="5"/>
  <c r="Q72" i="5"/>
  <c r="P72" i="5"/>
  <c r="L72" i="5"/>
  <c r="K72" i="5"/>
  <c r="J72" i="5"/>
  <c r="M72" i="5" s="1"/>
  <c r="R71" i="5"/>
  <c r="Q71" i="5"/>
  <c r="P71" i="5"/>
  <c r="L71" i="5"/>
  <c r="K71" i="5"/>
  <c r="J71" i="5"/>
  <c r="M71" i="5" s="1"/>
  <c r="R70" i="5"/>
  <c r="Q70" i="5"/>
  <c r="P70" i="5"/>
  <c r="L70" i="5"/>
  <c r="K70" i="5"/>
  <c r="J70" i="5"/>
  <c r="M70" i="5" s="1"/>
  <c r="R69" i="5"/>
  <c r="Q69" i="5"/>
  <c r="P69" i="5"/>
  <c r="L69" i="5"/>
  <c r="K69" i="5"/>
  <c r="J69" i="5"/>
  <c r="M69" i="5" s="1"/>
  <c r="R68" i="5"/>
  <c r="Q68" i="5"/>
  <c r="P68" i="5"/>
  <c r="N68" i="5"/>
  <c r="L68" i="5"/>
  <c r="K68" i="5"/>
  <c r="J68" i="5"/>
  <c r="R67" i="5"/>
  <c r="Q67" i="5"/>
  <c r="P67" i="5"/>
  <c r="L67" i="5"/>
  <c r="K67" i="5"/>
  <c r="J67" i="5"/>
  <c r="M67" i="5" s="1"/>
  <c r="N67" i="5" s="1"/>
  <c r="R66" i="5"/>
  <c r="Q66" i="5"/>
  <c r="P66" i="5"/>
  <c r="L66" i="5"/>
  <c r="K66" i="5"/>
  <c r="J66" i="5"/>
  <c r="M66" i="5" s="1"/>
  <c r="R65" i="5"/>
  <c r="Q65" i="5"/>
  <c r="P65" i="5"/>
  <c r="L65" i="5"/>
  <c r="K65" i="5"/>
  <c r="J65" i="5"/>
  <c r="M65" i="5" s="1"/>
  <c r="R64" i="5"/>
  <c r="Q64" i="5"/>
  <c r="P64" i="5"/>
  <c r="L64" i="5"/>
  <c r="K64" i="5"/>
  <c r="J64" i="5"/>
  <c r="M64" i="5" s="1"/>
  <c r="R63" i="5"/>
  <c r="Q63" i="5"/>
  <c r="P63" i="5"/>
  <c r="L63" i="5"/>
  <c r="K63" i="5"/>
  <c r="J63" i="5"/>
  <c r="M63" i="5" s="1"/>
  <c r="P62" i="5"/>
  <c r="N62" i="5"/>
  <c r="L62" i="5"/>
  <c r="K62" i="5"/>
  <c r="J62" i="5"/>
  <c r="N61" i="5"/>
  <c r="L61" i="5"/>
  <c r="K61" i="5"/>
  <c r="J61" i="5"/>
  <c r="R60" i="5"/>
  <c r="P60" i="5"/>
  <c r="N60" i="5"/>
  <c r="L60" i="5"/>
  <c r="K60" i="5"/>
  <c r="J60" i="5"/>
  <c r="R59" i="5"/>
  <c r="P59" i="5"/>
  <c r="N59" i="5"/>
  <c r="L59" i="5"/>
  <c r="K59" i="5"/>
  <c r="J59" i="5"/>
  <c r="R58" i="5"/>
  <c r="Q58" i="5"/>
  <c r="P58" i="5"/>
  <c r="M58" i="5"/>
  <c r="N58" i="5" s="1"/>
  <c r="L58" i="5"/>
  <c r="K58" i="5"/>
  <c r="J58" i="5"/>
  <c r="R57" i="5"/>
  <c r="P57" i="5"/>
  <c r="N57" i="5"/>
  <c r="L57" i="5"/>
  <c r="K57" i="5"/>
  <c r="J57" i="5"/>
  <c r="R56" i="5"/>
  <c r="Q56" i="5"/>
  <c r="P56" i="5"/>
  <c r="L56" i="5"/>
  <c r="K56" i="5"/>
  <c r="J56" i="5"/>
  <c r="R55" i="5"/>
  <c r="Q55" i="5"/>
  <c r="P55" i="5"/>
  <c r="L55" i="5"/>
  <c r="K55" i="5"/>
  <c r="J55" i="5"/>
  <c r="M55" i="5" s="1"/>
  <c r="R54" i="5"/>
  <c r="Q54" i="5"/>
  <c r="P54" i="5"/>
  <c r="L54" i="5"/>
  <c r="K54" i="5"/>
  <c r="J54" i="5"/>
  <c r="M54" i="5" s="1"/>
  <c r="N54" i="5" s="1"/>
  <c r="R53" i="5"/>
  <c r="Q53" i="5"/>
  <c r="P53" i="5"/>
  <c r="N53" i="5"/>
  <c r="L53" i="5"/>
  <c r="K53" i="5"/>
  <c r="J53" i="5"/>
  <c r="R52" i="5"/>
  <c r="Q52" i="5"/>
  <c r="P52" i="5"/>
  <c r="N52" i="5"/>
  <c r="L52" i="5"/>
  <c r="K52" i="5"/>
  <c r="J52" i="5"/>
  <c r="R51" i="5"/>
  <c r="Q51" i="5"/>
  <c r="P51" i="5"/>
  <c r="L51" i="5"/>
  <c r="K51" i="5"/>
  <c r="J51" i="5"/>
  <c r="R50" i="5"/>
  <c r="Q50" i="5"/>
  <c r="P50" i="5"/>
  <c r="L50" i="5"/>
  <c r="K50" i="5"/>
  <c r="J50" i="5"/>
  <c r="M50" i="5" s="1"/>
  <c r="R49" i="5"/>
  <c r="Q49" i="5"/>
  <c r="P49" i="5"/>
  <c r="L49" i="5"/>
  <c r="K49" i="5"/>
  <c r="J49" i="5"/>
  <c r="M49" i="5" s="1"/>
  <c r="R48" i="5"/>
  <c r="Q48" i="5"/>
  <c r="P48" i="5"/>
  <c r="N48" i="5"/>
  <c r="L48" i="5"/>
  <c r="K48" i="5"/>
  <c r="J48" i="5"/>
  <c r="R47" i="5"/>
  <c r="Q47" i="5"/>
  <c r="P47" i="5"/>
  <c r="N47" i="5"/>
  <c r="L47" i="5"/>
  <c r="K47" i="5"/>
  <c r="J47" i="5"/>
  <c r="R46" i="5"/>
  <c r="Q46" i="5"/>
  <c r="P46" i="5"/>
  <c r="L46" i="5"/>
  <c r="K46" i="5"/>
  <c r="J46" i="5"/>
  <c r="R45" i="5"/>
  <c r="Q45" i="5"/>
  <c r="P45" i="5"/>
  <c r="L45" i="5"/>
  <c r="K45" i="5"/>
  <c r="J45" i="5"/>
  <c r="M45" i="5" s="1"/>
  <c r="R44" i="5"/>
  <c r="Q44" i="5"/>
  <c r="P44" i="5"/>
  <c r="L44" i="5"/>
  <c r="K44" i="5"/>
  <c r="J44" i="5"/>
  <c r="M44" i="5" s="1"/>
  <c r="N44" i="5" s="1"/>
  <c r="R43" i="5"/>
  <c r="Q43" i="5"/>
  <c r="P43" i="5"/>
  <c r="L43" i="5"/>
  <c r="K43" i="5"/>
  <c r="J43" i="5"/>
  <c r="M43" i="5" s="1"/>
  <c r="R42" i="5"/>
  <c r="Q42" i="5"/>
  <c r="P42" i="5"/>
  <c r="L42" i="5"/>
  <c r="K42" i="5"/>
  <c r="J42" i="5"/>
  <c r="R41" i="5"/>
  <c r="Q41" i="5"/>
  <c r="P41" i="5"/>
  <c r="L41" i="5"/>
  <c r="K41" i="5"/>
  <c r="J41" i="5"/>
  <c r="M41" i="5" s="1"/>
  <c r="N41" i="5" s="1"/>
  <c r="R40" i="5"/>
  <c r="Q40" i="5"/>
  <c r="P40" i="5"/>
  <c r="L40" i="5"/>
  <c r="K40" i="5"/>
  <c r="J40" i="5"/>
  <c r="M40" i="5" s="1"/>
  <c r="N40" i="5" s="1"/>
  <c r="R39" i="5"/>
  <c r="Q39" i="5"/>
  <c r="P39" i="5"/>
  <c r="L39" i="5"/>
  <c r="K39" i="5"/>
  <c r="J39" i="5"/>
  <c r="M39" i="5" s="1"/>
  <c r="R38" i="5"/>
  <c r="Q38" i="5"/>
  <c r="P38" i="5"/>
  <c r="L38" i="5"/>
  <c r="K38" i="5"/>
  <c r="J38" i="5"/>
  <c r="M38" i="5" s="1"/>
  <c r="R37" i="5"/>
  <c r="Q37" i="5"/>
  <c r="P37" i="5"/>
  <c r="L37" i="5"/>
  <c r="K37" i="5"/>
  <c r="J37" i="5"/>
  <c r="M37" i="5" s="1"/>
  <c r="R36" i="5"/>
  <c r="Q36" i="5"/>
  <c r="P36" i="5"/>
  <c r="L36" i="5"/>
  <c r="K36" i="5"/>
  <c r="J36" i="5"/>
  <c r="M36" i="5" s="1"/>
  <c r="R35" i="5"/>
  <c r="Q35" i="5"/>
  <c r="P35" i="5"/>
  <c r="L35" i="5"/>
  <c r="K35" i="5"/>
  <c r="J35" i="5"/>
  <c r="M35" i="5" s="1"/>
  <c r="R34" i="5"/>
  <c r="Q34" i="5"/>
  <c r="P34" i="5"/>
  <c r="M34" i="5"/>
  <c r="N34" i="5" s="1"/>
  <c r="L34" i="5"/>
  <c r="K34" i="5"/>
  <c r="J34" i="5"/>
  <c r="R33" i="5"/>
  <c r="Q33" i="5"/>
  <c r="P33" i="5"/>
  <c r="N33" i="5"/>
  <c r="L33" i="5"/>
  <c r="K33" i="5"/>
  <c r="J33" i="5"/>
  <c r="R32" i="5"/>
  <c r="Q32" i="5"/>
  <c r="P32" i="5"/>
  <c r="M32" i="5"/>
  <c r="L32" i="5"/>
  <c r="K32" i="5"/>
  <c r="J32" i="5"/>
  <c r="R31" i="5"/>
  <c r="Q31" i="5"/>
  <c r="P31" i="5"/>
  <c r="L31" i="5"/>
  <c r="K31" i="5"/>
  <c r="J31" i="5"/>
  <c r="M31" i="5" s="1"/>
  <c r="R30" i="5"/>
  <c r="Q30" i="5"/>
  <c r="P30" i="5"/>
  <c r="L30" i="5"/>
  <c r="K30" i="5"/>
  <c r="J30" i="5"/>
  <c r="M30" i="5" s="1"/>
  <c r="R29" i="5"/>
  <c r="Q29" i="5"/>
  <c r="P29" i="5"/>
  <c r="L29" i="5"/>
  <c r="K29" i="5"/>
  <c r="J29" i="5"/>
  <c r="M29" i="5" s="1"/>
  <c r="R28" i="5"/>
  <c r="Q28" i="5"/>
  <c r="P28" i="5"/>
  <c r="L28" i="5"/>
  <c r="K28" i="5"/>
  <c r="J28" i="5"/>
  <c r="M28" i="5" s="1"/>
  <c r="N28" i="5" s="1"/>
  <c r="R27" i="5"/>
  <c r="Q27" i="5"/>
  <c r="P27" i="5"/>
  <c r="M27" i="5"/>
  <c r="L27" i="5"/>
  <c r="K27" i="5"/>
  <c r="J27" i="5"/>
  <c r="R26" i="5"/>
  <c r="Q26" i="5"/>
  <c r="P26" i="5"/>
  <c r="L26" i="5"/>
  <c r="K26" i="5"/>
  <c r="J26" i="5"/>
  <c r="M26" i="5" s="1"/>
  <c r="R25" i="5"/>
  <c r="Q25" i="5"/>
  <c r="P25" i="5"/>
  <c r="L25" i="5"/>
  <c r="K25" i="5"/>
  <c r="J25" i="5"/>
  <c r="M25" i="5" s="1"/>
  <c r="R24" i="5"/>
  <c r="Q24" i="5"/>
  <c r="P24" i="5"/>
  <c r="L24" i="5"/>
  <c r="K24" i="5"/>
  <c r="J24" i="5"/>
  <c r="M24" i="5" s="1"/>
  <c r="R23" i="5"/>
  <c r="Q23" i="5"/>
  <c r="P23" i="5"/>
  <c r="L23" i="5"/>
  <c r="K23" i="5"/>
  <c r="J23" i="5"/>
  <c r="M23" i="5" s="1"/>
  <c r="N23" i="5" s="1"/>
  <c r="R22" i="5"/>
  <c r="Q22" i="5"/>
  <c r="P22" i="5"/>
  <c r="M22" i="5"/>
  <c r="L22" i="5"/>
  <c r="K22" i="5"/>
  <c r="J22" i="5"/>
  <c r="R21" i="5"/>
  <c r="Q21" i="5"/>
  <c r="P21" i="5"/>
  <c r="L21" i="5"/>
  <c r="K21" i="5"/>
  <c r="J21" i="5"/>
  <c r="M21" i="5" s="1"/>
  <c r="N21" i="5" s="1"/>
  <c r="R20" i="5"/>
  <c r="Q20" i="5"/>
  <c r="P20" i="5"/>
  <c r="L20" i="5"/>
  <c r="K20" i="5"/>
  <c r="J20" i="5"/>
  <c r="M20" i="5" s="1"/>
  <c r="R19" i="5"/>
  <c r="Q19" i="5"/>
  <c r="P19" i="5"/>
  <c r="L19" i="5"/>
  <c r="K19" i="5"/>
  <c r="J19" i="5"/>
  <c r="M19" i="5" s="1"/>
  <c r="R18" i="5"/>
  <c r="Q18" i="5"/>
  <c r="P18" i="5"/>
  <c r="L18" i="5"/>
  <c r="K18" i="5"/>
  <c r="J18" i="5"/>
  <c r="M18" i="5" s="1"/>
  <c r="R17" i="5"/>
  <c r="Q17" i="5"/>
  <c r="P17" i="5"/>
  <c r="N17" i="5"/>
  <c r="L17" i="5"/>
  <c r="K17" i="5"/>
  <c r="J17" i="5"/>
  <c r="R16" i="5"/>
  <c r="Q16" i="5"/>
  <c r="P16" i="5"/>
  <c r="N16" i="5"/>
  <c r="L16" i="5"/>
  <c r="K16" i="5"/>
  <c r="J16" i="5"/>
  <c r="R15" i="5"/>
  <c r="Q15" i="5"/>
  <c r="P15" i="5"/>
  <c r="N15" i="5"/>
  <c r="L15" i="5"/>
  <c r="K15" i="5"/>
  <c r="J15" i="5"/>
  <c r="R14" i="5"/>
  <c r="Q14" i="5"/>
  <c r="P14" i="5"/>
  <c r="L14" i="5"/>
  <c r="K14" i="5"/>
  <c r="J14" i="5"/>
  <c r="M14" i="5" s="1"/>
  <c r="N14" i="5" s="1"/>
  <c r="R13" i="5"/>
  <c r="Q13" i="5"/>
  <c r="P13" i="5"/>
  <c r="N13" i="5"/>
  <c r="L13" i="5"/>
  <c r="K13" i="5"/>
  <c r="J13" i="5"/>
  <c r="R12" i="5"/>
  <c r="Q12" i="5"/>
  <c r="P12" i="5"/>
  <c r="L12" i="5"/>
  <c r="K12" i="5"/>
  <c r="J12" i="5"/>
  <c r="M12" i="5" s="1"/>
  <c r="N12" i="5" s="1"/>
  <c r="R11" i="5"/>
  <c r="Q11" i="5"/>
  <c r="P11" i="5"/>
  <c r="L11" i="5"/>
  <c r="K11" i="5"/>
  <c r="J11" i="5"/>
  <c r="M11" i="5" s="1"/>
  <c r="R10" i="5"/>
  <c r="Q10" i="5"/>
  <c r="P10" i="5"/>
  <c r="L10" i="5"/>
  <c r="K10" i="5"/>
  <c r="J10" i="5"/>
  <c r="M10" i="5" s="1"/>
  <c r="R9" i="5"/>
  <c r="Q9" i="5"/>
  <c r="P9" i="5"/>
  <c r="N9" i="5"/>
  <c r="L9" i="5"/>
  <c r="K9" i="5"/>
  <c r="J9" i="5"/>
  <c r="R8" i="5"/>
  <c r="Q8" i="5"/>
  <c r="P8" i="5"/>
  <c r="L8" i="5"/>
  <c r="K8" i="5"/>
  <c r="J8" i="5"/>
  <c r="M8" i="5" s="1"/>
  <c r="R7" i="5"/>
  <c r="Q7" i="5"/>
  <c r="P7" i="5"/>
  <c r="L7" i="5"/>
  <c r="K7" i="5"/>
  <c r="J7" i="5"/>
  <c r="M7" i="5" s="1"/>
  <c r="R6" i="5"/>
  <c r="Q6" i="5"/>
  <c r="P6" i="5"/>
  <c r="L6" i="5"/>
  <c r="K6" i="5"/>
  <c r="J6" i="5"/>
  <c r="M6" i="5" s="1"/>
  <c r="R5" i="5"/>
  <c r="Q5" i="5"/>
  <c r="P5" i="5"/>
  <c r="L5" i="5"/>
  <c r="K5" i="5"/>
  <c r="J5" i="5"/>
  <c r="M5" i="5" s="1"/>
  <c r="N5" i="5" s="1"/>
  <c r="R4" i="5"/>
  <c r="Q4" i="5"/>
  <c r="P4" i="5"/>
  <c r="N4" i="5"/>
  <c r="L4" i="5"/>
  <c r="K4" i="5"/>
  <c r="J4" i="5"/>
  <c r="R3" i="5"/>
  <c r="Q3" i="5"/>
  <c r="P3" i="5"/>
  <c r="N3" i="5"/>
  <c r="L3" i="5"/>
  <c r="K3" i="5"/>
  <c r="J3" i="5"/>
  <c r="R2" i="5"/>
  <c r="Q2" i="5"/>
  <c r="P2" i="5"/>
  <c r="N2" i="5"/>
  <c r="M2" i="5"/>
  <c r="L2" i="5"/>
  <c r="K2" i="5"/>
  <c r="J2" i="5"/>
  <c r="O33" i="7"/>
  <c r="R185" i="9"/>
  <c r="Q185" i="9"/>
  <c r="P185" i="9"/>
  <c r="N185" i="9"/>
  <c r="M185" i="9"/>
  <c r="L185" i="9"/>
  <c r="K185" i="9"/>
  <c r="J185" i="9"/>
  <c r="R184" i="9"/>
  <c r="Q184" i="9"/>
  <c r="P184" i="9"/>
  <c r="L184" i="9"/>
  <c r="K184" i="9"/>
  <c r="J184" i="9"/>
  <c r="M184" i="9" s="1"/>
  <c r="N184" i="9" s="1"/>
  <c r="R183" i="9"/>
  <c r="Q183" i="9"/>
  <c r="P183" i="9"/>
  <c r="N183" i="9"/>
  <c r="L183" i="9"/>
  <c r="K183" i="9"/>
  <c r="J183" i="9"/>
  <c r="R182" i="9"/>
  <c r="Q182" i="9"/>
  <c r="P182" i="9"/>
  <c r="L182" i="9"/>
  <c r="K182" i="9"/>
  <c r="J182" i="9"/>
  <c r="M182" i="9" s="1"/>
  <c r="N182" i="9" s="1"/>
  <c r="R181" i="9"/>
  <c r="Q181" i="9"/>
  <c r="P181" i="9"/>
  <c r="L181" i="9"/>
  <c r="K181" i="9"/>
  <c r="J181" i="9"/>
  <c r="M181" i="9" s="1"/>
  <c r="R180" i="9"/>
  <c r="Q180" i="9"/>
  <c r="P180" i="9"/>
  <c r="L180" i="9"/>
  <c r="K180" i="9"/>
  <c r="J180" i="9"/>
  <c r="M180" i="9" s="1"/>
  <c r="R179" i="9"/>
  <c r="Q179" i="9"/>
  <c r="P179" i="9"/>
  <c r="L179" i="9"/>
  <c r="K179" i="9"/>
  <c r="J179" i="9"/>
  <c r="M179" i="9" s="1"/>
  <c r="R178" i="9"/>
  <c r="Q178" i="9"/>
  <c r="P178" i="9"/>
  <c r="L178" i="9"/>
  <c r="K178" i="9"/>
  <c r="J178" i="9"/>
  <c r="M178" i="9" s="1"/>
  <c r="R177" i="9"/>
  <c r="Q177" i="9"/>
  <c r="P177" i="9"/>
  <c r="L177" i="9"/>
  <c r="K177" i="9"/>
  <c r="J177" i="9"/>
  <c r="M177" i="9" s="1"/>
  <c r="N177" i="9" s="1"/>
  <c r="R176" i="9"/>
  <c r="Q176" i="9"/>
  <c r="P176" i="9"/>
  <c r="N176" i="9"/>
  <c r="L176" i="9"/>
  <c r="K176" i="9"/>
  <c r="J176" i="9"/>
  <c r="R175" i="9"/>
  <c r="Q175" i="9"/>
  <c r="P175" i="9"/>
  <c r="N175" i="9"/>
  <c r="L175" i="9"/>
  <c r="K175" i="9"/>
  <c r="J175" i="9"/>
  <c r="R174" i="9"/>
  <c r="Q174" i="9"/>
  <c r="P174" i="9"/>
  <c r="L174" i="9"/>
  <c r="K174" i="9"/>
  <c r="J174" i="9"/>
  <c r="M174" i="9" s="1"/>
  <c r="R173" i="9"/>
  <c r="Q173" i="9"/>
  <c r="P173" i="9"/>
  <c r="N173" i="9"/>
  <c r="L173" i="9"/>
  <c r="K173" i="9"/>
  <c r="J173" i="9"/>
  <c r="R172" i="9"/>
  <c r="Q172" i="9"/>
  <c r="P172" i="9"/>
  <c r="L172" i="9"/>
  <c r="K172" i="9"/>
  <c r="J172" i="9"/>
  <c r="M172" i="9" s="1"/>
  <c r="R171" i="9"/>
  <c r="Q171" i="9"/>
  <c r="P171" i="9"/>
  <c r="L171" i="9"/>
  <c r="K171" i="9"/>
  <c r="J171" i="9"/>
  <c r="M171" i="9" s="1"/>
  <c r="N171" i="9" s="1"/>
  <c r="R170" i="9"/>
  <c r="Q170" i="9"/>
  <c r="P170" i="9"/>
  <c r="L170" i="9"/>
  <c r="K170" i="9"/>
  <c r="J170" i="9"/>
  <c r="M170" i="9" s="1"/>
  <c r="R169" i="9"/>
  <c r="Q169" i="9"/>
  <c r="P169" i="9"/>
  <c r="L169" i="9"/>
  <c r="K169" i="9"/>
  <c r="J169" i="9"/>
  <c r="M169" i="9" s="1"/>
  <c r="R168" i="9"/>
  <c r="Q168" i="9"/>
  <c r="P168" i="9"/>
  <c r="L168" i="9"/>
  <c r="K168" i="9"/>
  <c r="J168" i="9"/>
  <c r="M168" i="9" s="1"/>
  <c r="R167" i="9"/>
  <c r="Q167" i="9"/>
  <c r="P167" i="9"/>
  <c r="L167" i="9"/>
  <c r="K167" i="9"/>
  <c r="J167" i="9"/>
  <c r="M167" i="9" s="1"/>
  <c r="N167" i="9" s="1"/>
  <c r="R166" i="9"/>
  <c r="Q166" i="9"/>
  <c r="P166" i="9"/>
  <c r="L166" i="9"/>
  <c r="K166" i="9"/>
  <c r="J166" i="9"/>
  <c r="M166" i="9" s="1"/>
  <c r="N166" i="9" s="1"/>
  <c r="R165" i="9"/>
  <c r="Q165" i="9"/>
  <c r="P165" i="9"/>
  <c r="L165" i="9"/>
  <c r="K165" i="9"/>
  <c r="J165" i="9"/>
  <c r="M165" i="9" s="1"/>
  <c r="R164" i="9"/>
  <c r="Q164" i="9"/>
  <c r="P164" i="9"/>
  <c r="M164" i="9"/>
  <c r="L164" i="9"/>
  <c r="K164" i="9"/>
  <c r="J164" i="9"/>
  <c r="R163" i="9"/>
  <c r="Q163" i="9"/>
  <c r="P163" i="9"/>
  <c r="L163" i="9"/>
  <c r="K163" i="9"/>
  <c r="J163" i="9"/>
  <c r="M163" i="9" s="1"/>
  <c r="R162" i="9"/>
  <c r="Q162" i="9"/>
  <c r="P162" i="9"/>
  <c r="L162" i="9"/>
  <c r="K162" i="9"/>
  <c r="J162" i="9"/>
  <c r="M162" i="9" s="1"/>
  <c r="N162" i="9" s="1"/>
  <c r="R161" i="9"/>
  <c r="Q161" i="9"/>
  <c r="P161" i="9"/>
  <c r="L161" i="9"/>
  <c r="K161" i="9"/>
  <c r="J161" i="9"/>
  <c r="M161" i="9" s="1"/>
  <c r="R160" i="9"/>
  <c r="Q160" i="9"/>
  <c r="P160" i="9"/>
  <c r="L160" i="9"/>
  <c r="K160" i="9"/>
  <c r="J160" i="9"/>
  <c r="M160" i="9" s="1"/>
  <c r="N160" i="9" s="1"/>
  <c r="R159" i="9"/>
  <c r="Q159" i="9"/>
  <c r="P159" i="9"/>
  <c r="L159" i="9"/>
  <c r="K159" i="9"/>
  <c r="J159" i="9"/>
  <c r="M159" i="9" s="1"/>
  <c r="R158" i="9"/>
  <c r="Q158" i="9"/>
  <c r="P158" i="9"/>
  <c r="L158" i="9"/>
  <c r="K158" i="9"/>
  <c r="J158" i="9"/>
  <c r="M158" i="9" s="1"/>
  <c r="R157" i="9"/>
  <c r="Q157" i="9"/>
  <c r="P157" i="9"/>
  <c r="L157" i="9"/>
  <c r="K157" i="9"/>
  <c r="J157" i="9"/>
  <c r="M157" i="9" s="1"/>
  <c r="R156" i="9"/>
  <c r="Q156" i="9"/>
  <c r="P156" i="9"/>
  <c r="L156" i="9"/>
  <c r="K156" i="9"/>
  <c r="J156" i="9"/>
  <c r="M156" i="9" s="1"/>
  <c r="R155" i="9"/>
  <c r="Q155" i="9"/>
  <c r="P155" i="9"/>
  <c r="L155" i="9"/>
  <c r="K155" i="9"/>
  <c r="J155" i="9"/>
  <c r="M155" i="9" s="1"/>
  <c r="N155" i="9" s="1"/>
  <c r="R154" i="9"/>
  <c r="Q154" i="9"/>
  <c r="P154" i="9"/>
  <c r="L154" i="9"/>
  <c r="K154" i="9"/>
  <c r="J154" i="9"/>
  <c r="M154" i="9" s="1"/>
  <c r="R153" i="9"/>
  <c r="Q153" i="9"/>
  <c r="P153" i="9"/>
  <c r="L153" i="9"/>
  <c r="K153" i="9"/>
  <c r="J153" i="9"/>
  <c r="M153" i="9" s="1"/>
  <c r="R152" i="9"/>
  <c r="Q152" i="9"/>
  <c r="P152" i="9"/>
  <c r="L152" i="9"/>
  <c r="K152" i="9"/>
  <c r="J152" i="9"/>
  <c r="M152" i="9" s="1"/>
  <c r="N152" i="9" s="1"/>
  <c r="R151" i="9"/>
  <c r="Q151" i="9"/>
  <c r="P151" i="9"/>
  <c r="M151" i="9"/>
  <c r="L151" i="9"/>
  <c r="K151" i="9"/>
  <c r="J151" i="9"/>
  <c r="R150" i="9"/>
  <c r="Q150" i="9"/>
  <c r="P150" i="9"/>
  <c r="L150" i="9"/>
  <c r="K150" i="9"/>
  <c r="J150" i="9"/>
  <c r="M150" i="9" s="1"/>
  <c r="R149" i="9"/>
  <c r="Q149" i="9"/>
  <c r="P149" i="9"/>
  <c r="L149" i="9"/>
  <c r="K149" i="9"/>
  <c r="J149" i="9"/>
  <c r="M149" i="9" s="1"/>
  <c r="R148" i="9"/>
  <c r="Q148" i="9"/>
  <c r="P148" i="9"/>
  <c r="L148" i="9"/>
  <c r="K148" i="9"/>
  <c r="J148" i="9"/>
  <c r="M148" i="9" s="1"/>
  <c r="R147" i="9"/>
  <c r="Q147" i="9"/>
  <c r="P147" i="9"/>
  <c r="L147" i="9"/>
  <c r="K147" i="9"/>
  <c r="J147" i="9"/>
  <c r="M147" i="9" s="1"/>
  <c r="N147" i="9" s="1"/>
  <c r="R146" i="9"/>
  <c r="Q146" i="9"/>
  <c r="P146" i="9"/>
  <c r="L146" i="9"/>
  <c r="K146" i="9"/>
  <c r="J146" i="9"/>
  <c r="M146" i="9" s="1"/>
  <c r="R145" i="9"/>
  <c r="Q145" i="9"/>
  <c r="P145" i="9"/>
  <c r="L145" i="9"/>
  <c r="K145" i="9"/>
  <c r="J145" i="9"/>
  <c r="M145" i="9" s="1"/>
  <c r="R144" i="9"/>
  <c r="Q144" i="9"/>
  <c r="P144" i="9"/>
  <c r="L144" i="9"/>
  <c r="K144" i="9"/>
  <c r="J144" i="9"/>
  <c r="M144" i="9" s="1"/>
  <c r="R143" i="9"/>
  <c r="Q143" i="9"/>
  <c r="P143" i="9"/>
  <c r="L143" i="9"/>
  <c r="K143" i="9"/>
  <c r="J143" i="9"/>
  <c r="M143" i="9" s="1"/>
  <c r="R142" i="9"/>
  <c r="Q142" i="9"/>
  <c r="P142" i="9"/>
  <c r="L142" i="9"/>
  <c r="K142" i="9"/>
  <c r="J142" i="9"/>
  <c r="M142" i="9" s="1"/>
  <c r="N142" i="9" s="1"/>
  <c r="R141" i="9"/>
  <c r="Q141" i="9"/>
  <c r="P141" i="9"/>
  <c r="L141" i="9"/>
  <c r="K141" i="9"/>
  <c r="J141" i="9"/>
  <c r="M141" i="9" s="1"/>
  <c r="R140" i="9"/>
  <c r="Q140" i="9"/>
  <c r="P140" i="9"/>
  <c r="L140" i="9"/>
  <c r="K140" i="9"/>
  <c r="J140" i="9"/>
  <c r="M140" i="9" s="1"/>
  <c r="R139" i="9"/>
  <c r="Q139" i="9"/>
  <c r="P139" i="9"/>
  <c r="L139" i="9"/>
  <c r="K139" i="9"/>
  <c r="J139" i="9"/>
  <c r="M139" i="9" s="1"/>
  <c r="R138" i="9"/>
  <c r="Q138" i="9"/>
  <c r="P138" i="9"/>
  <c r="L138" i="9"/>
  <c r="K138" i="9"/>
  <c r="J138" i="9"/>
  <c r="M138" i="9" s="1"/>
  <c r="N138" i="9" s="1"/>
  <c r="R137" i="9"/>
  <c r="Q137" i="9"/>
  <c r="P137" i="9"/>
  <c r="M137" i="9"/>
  <c r="L137" i="9"/>
  <c r="K137" i="9"/>
  <c r="J137" i="9"/>
  <c r="R136" i="9"/>
  <c r="Q136" i="9"/>
  <c r="P136" i="9"/>
  <c r="L136" i="9"/>
  <c r="K136" i="9"/>
  <c r="J136" i="9"/>
  <c r="M136" i="9" s="1"/>
  <c r="R135" i="9"/>
  <c r="Q135" i="9"/>
  <c r="P135" i="9"/>
  <c r="L135" i="9"/>
  <c r="K135" i="9"/>
  <c r="J135" i="9"/>
  <c r="M135" i="9" s="1"/>
  <c r="R134" i="9"/>
  <c r="Q134" i="9"/>
  <c r="P134" i="9"/>
  <c r="L134" i="9"/>
  <c r="K134" i="9"/>
  <c r="J134" i="9"/>
  <c r="M134" i="9" s="1"/>
  <c r="R133" i="9"/>
  <c r="Q133" i="9"/>
  <c r="P133" i="9"/>
  <c r="L133" i="9"/>
  <c r="K133" i="9"/>
  <c r="J133" i="9"/>
  <c r="M133" i="9" s="1"/>
  <c r="R132" i="9"/>
  <c r="Q132" i="9"/>
  <c r="P132" i="9"/>
  <c r="M132" i="9"/>
  <c r="N132" i="9" s="1"/>
  <c r="L132" i="9"/>
  <c r="K132" i="9"/>
  <c r="J132" i="9"/>
  <c r="R131" i="9"/>
  <c r="Q131" i="9"/>
  <c r="P131" i="9"/>
  <c r="L131" i="9"/>
  <c r="K131" i="9"/>
  <c r="J131" i="9"/>
  <c r="M131" i="9" s="1"/>
  <c r="R130" i="9"/>
  <c r="Q130" i="9"/>
  <c r="P130" i="9"/>
  <c r="L130" i="9"/>
  <c r="K130" i="9"/>
  <c r="J130" i="9"/>
  <c r="M130" i="9" s="1"/>
  <c r="R129" i="9"/>
  <c r="Q129" i="9"/>
  <c r="P129" i="9"/>
  <c r="L129" i="9"/>
  <c r="K129" i="9"/>
  <c r="J129" i="9"/>
  <c r="M129" i="9" s="1"/>
  <c r="R128" i="9"/>
  <c r="Q128" i="9"/>
  <c r="P128" i="9"/>
  <c r="L128" i="9"/>
  <c r="K128" i="9"/>
  <c r="J128" i="9"/>
  <c r="M128" i="9" s="1"/>
  <c r="R127" i="9"/>
  <c r="Q127" i="9"/>
  <c r="P127" i="9"/>
  <c r="M127" i="9"/>
  <c r="N127" i="9" s="1"/>
  <c r="L127" i="9"/>
  <c r="K127" i="9"/>
  <c r="J127" i="9"/>
  <c r="R126" i="9"/>
  <c r="Q126" i="9"/>
  <c r="P126" i="9"/>
  <c r="L126" i="9"/>
  <c r="K126" i="9"/>
  <c r="J126" i="9"/>
  <c r="M126" i="9" s="1"/>
  <c r="R125" i="9"/>
  <c r="Q125" i="9"/>
  <c r="P125" i="9"/>
  <c r="L125" i="9"/>
  <c r="K125" i="9"/>
  <c r="J125" i="9"/>
  <c r="M125" i="9" s="1"/>
  <c r="R124" i="9"/>
  <c r="Q124" i="9"/>
  <c r="P124" i="9"/>
  <c r="L124" i="9"/>
  <c r="K124" i="9"/>
  <c r="J124" i="9"/>
  <c r="M124" i="9" s="1"/>
  <c r="N124" i="9" s="1"/>
  <c r="R123" i="9"/>
  <c r="Q123" i="9"/>
  <c r="P123" i="9"/>
  <c r="L123" i="9"/>
  <c r="K123" i="9"/>
  <c r="J123" i="9"/>
  <c r="M123" i="9" s="1"/>
  <c r="R122" i="9"/>
  <c r="Q122" i="9"/>
  <c r="P122" i="9"/>
  <c r="L122" i="9"/>
  <c r="K122" i="9"/>
  <c r="J122" i="9"/>
  <c r="M122" i="9" s="1"/>
  <c r="R121" i="9"/>
  <c r="Q121" i="9"/>
  <c r="P121" i="9"/>
  <c r="L121" i="9"/>
  <c r="K121" i="9"/>
  <c r="J121" i="9"/>
  <c r="M121" i="9" s="1"/>
  <c r="R120" i="9"/>
  <c r="Q120" i="9"/>
  <c r="P120" i="9"/>
  <c r="L120" i="9"/>
  <c r="K120" i="9"/>
  <c r="J120" i="9"/>
  <c r="M120" i="9" s="1"/>
  <c r="R119" i="9"/>
  <c r="Q119" i="9"/>
  <c r="P119" i="9"/>
  <c r="N119" i="9"/>
  <c r="L119" i="9"/>
  <c r="K119" i="9"/>
  <c r="J119" i="9"/>
  <c r="R118" i="9"/>
  <c r="Q118" i="9"/>
  <c r="P118" i="9"/>
  <c r="L118" i="9"/>
  <c r="K118" i="9"/>
  <c r="J118" i="9"/>
  <c r="M118" i="9" s="1"/>
  <c r="R117" i="9"/>
  <c r="Q117" i="9"/>
  <c r="P117" i="9"/>
  <c r="L117" i="9"/>
  <c r="K117" i="9"/>
  <c r="J117" i="9"/>
  <c r="M117" i="9" s="1"/>
  <c r="N117" i="9" s="1"/>
  <c r="R116" i="9"/>
  <c r="Q116" i="9"/>
  <c r="P116" i="9"/>
  <c r="L116" i="9"/>
  <c r="K116" i="9"/>
  <c r="J116" i="9"/>
  <c r="M116" i="9" s="1"/>
  <c r="R115" i="9"/>
  <c r="Q115" i="9"/>
  <c r="P115" i="9"/>
  <c r="L115" i="9"/>
  <c r="K115" i="9"/>
  <c r="J115" i="9"/>
  <c r="M115" i="9" s="1"/>
  <c r="R114" i="9"/>
  <c r="Q114" i="9"/>
  <c r="P114" i="9"/>
  <c r="L114" i="9"/>
  <c r="K114" i="9"/>
  <c r="J114" i="9"/>
  <c r="M114" i="9" s="1"/>
  <c r="R113" i="9"/>
  <c r="Q113" i="9"/>
  <c r="P113" i="9"/>
  <c r="L113" i="9"/>
  <c r="K113" i="9"/>
  <c r="J113" i="9"/>
  <c r="M113" i="9" s="1"/>
  <c r="R112" i="9"/>
  <c r="Q112" i="9"/>
  <c r="P112" i="9"/>
  <c r="L112" i="9"/>
  <c r="K112" i="9"/>
  <c r="J112" i="9"/>
  <c r="M112" i="9" s="1"/>
  <c r="N112" i="9" s="1"/>
  <c r="R111" i="9"/>
  <c r="Q111" i="9"/>
  <c r="P111" i="9"/>
  <c r="L111" i="9"/>
  <c r="K111" i="9"/>
  <c r="J111" i="9"/>
  <c r="M111" i="9" s="1"/>
  <c r="R110" i="9"/>
  <c r="Q110" i="9"/>
  <c r="P110" i="9"/>
  <c r="L110" i="9"/>
  <c r="K110" i="9"/>
  <c r="J110" i="9"/>
  <c r="M110" i="9" s="1"/>
  <c r="R109" i="9"/>
  <c r="Q109" i="9"/>
  <c r="P109" i="9"/>
  <c r="M109" i="9"/>
  <c r="L109" i="9"/>
  <c r="K109" i="9"/>
  <c r="J109" i="9"/>
  <c r="R108" i="9"/>
  <c r="Q108" i="9"/>
  <c r="P108" i="9"/>
  <c r="L108" i="9"/>
  <c r="K108" i="9"/>
  <c r="J108" i="9"/>
  <c r="M108" i="9" s="1"/>
  <c r="R107" i="9"/>
  <c r="Q107" i="9"/>
  <c r="P107" i="9"/>
  <c r="L107" i="9"/>
  <c r="K107" i="9"/>
  <c r="J107" i="9"/>
  <c r="M107" i="9" s="1"/>
  <c r="N107" i="9" s="1"/>
  <c r="R106" i="9"/>
  <c r="Q106" i="9"/>
  <c r="P106" i="9"/>
  <c r="L106" i="9"/>
  <c r="K106" i="9"/>
  <c r="J106" i="9"/>
  <c r="M106" i="9" s="1"/>
  <c r="R105" i="9"/>
  <c r="Q105" i="9"/>
  <c r="P105" i="9"/>
  <c r="L105" i="9"/>
  <c r="K105" i="9"/>
  <c r="J105" i="9"/>
  <c r="M105" i="9" s="1"/>
  <c r="R104" i="9"/>
  <c r="Q104" i="9"/>
  <c r="P104" i="9"/>
  <c r="L104" i="9"/>
  <c r="K104" i="9"/>
  <c r="J104" i="9"/>
  <c r="M104" i="9" s="1"/>
  <c r="N104" i="9" s="1"/>
  <c r="R103" i="9"/>
  <c r="Q103" i="9"/>
  <c r="P103" i="9"/>
  <c r="L103" i="9"/>
  <c r="K103" i="9"/>
  <c r="J103" i="9"/>
  <c r="M103" i="9" s="1"/>
  <c r="R102" i="9"/>
  <c r="Q102" i="9"/>
  <c r="P102" i="9"/>
  <c r="L102" i="9"/>
  <c r="K102" i="9"/>
  <c r="J102" i="9"/>
  <c r="M102" i="9" s="1"/>
  <c r="R101" i="9"/>
  <c r="Q101" i="9"/>
  <c r="P101" i="9"/>
  <c r="L101" i="9"/>
  <c r="K101" i="9"/>
  <c r="J101" i="9"/>
  <c r="M101" i="9" s="1"/>
  <c r="R100" i="9"/>
  <c r="Q100" i="9"/>
  <c r="P100" i="9"/>
  <c r="M100" i="9"/>
  <c r="L100" i="9"/>
  <c r="K100" i="9"/>
  <c r="J100" i="9"/>
  <c r="R99" i="9"/>
  <c r="Q99" i="9"/>
  <c r="P99" i="9"/>
  <c r="L99" i="9"/>
  <c r="K99" i="9"/>
  <c r="J99" i="9"/>
  <c r="M99" i="9" s="1"/>
  <c r="N99" i="9" s="1"/>
  <c r="R98" i="9"/>
  <c r="Q98" i="9"/>
  <c r="P98" i="9"/>
  <c r="L98" i="9"/>
  <c r="K98" i="9"/>
  <c r="J98" i="9"/>
  <c r="M98" i="9" s="1"/>
  <c r="R97" i="9"/>
  <c r="Q97" i="9"/>
  <c r="P97" i="9"/>
  <c r="L97" i="9"/>
  <c r="K97" i="9"/>
  <c r="J97" i="9"/>
  <c r="M97" i="9" s="1"/>
  <c r="R96" i="9"/>
  <c r="Q96" i="9"/>
  <c r="P96" i="9"/>
  <c r="L96" i="9"/>
  <c r="K96" i="9"/>
  <c r="J96" i="9"/>
  <c r="M96" i="9" s="1"/>
  <c r="R95" i="9"/>
  <c r="Q95" i="9"/>
  <c r="P95" i="9"/>
  <c r="M95" i="9"/>
  <c r="L95" i="9"/>
  <c r="K95" i="9"/>
  <c r="J95" i="9"/>
  <c r="R94" i="9"/>
  <c r="Q94" i="9"/>
  <c r="P94" i="9"/>
  <c r="L94" i="9"/>
  <c r="K94" i="9"/>
  <c r="J94" i="9"/>
  <c r="R93" i="9"/>
  <c r="Q93" i="9"/>
  <c r="P93" i="9"/>
  <c r="L93" i="9"/>
  <c r="K93" i="9"/>
  <c r="J93" i="9"/>
  <c r="M93" i="9" s="1"/>
  <c r="N93" i="9" s="1"/>
  <c r="R92" i="9"/>
  <c r="Q92" i="9"/>
  <c r="P92" i="9"/>
  <c r="L92" i="9"/>
  <c r="K92" i="9"/>
  <c r="J92" i="9"/>
  <c r="M92" i="9" s="1"/>
  <c r="R91" i="9"/>
  <c r="Q91" i="9"/>
  <c r="P91" i="9"/>
  <c r="M91" i="9"/>
  <c r="N91" i="9" s="1"/>
  <c r="L91" i="9"/>
  <c r="K91" i="9"/>
  <c r="J91" i="9"/>
  <c r="R90" i="9"/>
  <c r="Q90" i="9"/>
  <c r="P90" i="9"/>
  <c r="L90" i="9"/>
  <c r="K90" i="9"/>
  <c r="J90" i="9"/>
  <c r="M90" i="9" s="1"/>
  <c r="R89" i="9"/>
  <c r="Q89" i="9"/>
  <c r="P89" i="9"/>
  <c r="L89" i="9"/>
  <c r="K89" i="9"/>
  <c r="J89" i="9"/>
  <c r="M89" i="9" s="1"/>
  <c r="R88" i="9"/>
  <c r="Q88" i="9"/>
  <c r="P88" i="9"/>
  <c r="L88" i="9"/>
  <c r="K88" i="9"/>
  <c r="J88" i="9"/>
  <c r="M88" i="9" s="1"/>
  <c r="R87" i="9"/>
  <c r="Q87" i="9"/>
  <c r="P87" i="9"/>
  <c r="L87" i="9"/>
  <c r="K87" i="9"/>
  <c r="J87" i="9"/>
  <c r="M87" i="9" s="1"/>
  <c r="R86" i="9"/>
  <c r="Q86" i="9"/>
  <c r="P86" i="9"/>
  <c r="L86" i="9"/>
  <c r="K86" i="9"/>
  <c r="J86" i="9"/>
  <c r="M86" i="9" s="1"/>
  <c r="R85" i="9"/>
  <c r="Q85" i="9"/>
  <c r="P85" i="9"/>
  <c r="N85" i="9"/>
  <c r="L85" i="9"/>
  <c r="K85" i="9"/>
  <c r="J85" i="9"/>
  <c r="R84" i="9"/>
  <c r="Q84" i="9"/>
  <c r="P84" i="9"/>
  <c r="L84" i="9"/>
  <c r="K84" i="9"/>
  <c r="J84" i="9"/>
  <c r="M84" i="9" s="1"/>
  <c r="N84" i="9" s="1"/>
  <c r="R83" i="9"/>
  <c r="Q83" i="9"/>
  <c r="P83" i="9"/>
  <c r="L83" i="9"/>
  <c r="K83" i="9"/>
  <c r="J83" i="9"/>
  <c r="M83" i="9" s="1"/>
  <c r="R82" i="9"/>
  <c r="Q82" i="9"/>
  <c r="P82" i="9"/>
  <c r="L82" i="9"/>
  <c r="K82" i="9"/>
  <c r="J82" i="9"/>
  <c r="M82" i="9" s="1"/>
  <c r="R81" i="9"/>
  <c r="Q81" i="9"/>
  <c r="P81" i="9"/>
  <c r="L81" i="9"/>
  <c r="K81" i="9"/>
  <c r="J81" i="9"/>
  <c r="M81" i="9" s="1"/>
  <c r="R80" i="9"/>
  <c r="Q80" i="9"/>
  <c r="P80" i="9"/>
  <c r="L80" i="9"/>
  <c r="K80" i="9"/>
  <c r="J80" i="9"/>
  <c r="M80" i="9" s="1"/>
  <c r="R79" i="9"/>
  <c r="Q79" i="9"/>
  <c r="P79" i="9"/>
  <c r="N79" i="9"/>
  <c r="L79" i="9"/>
  <c r="K79" i="9"/>
  <c r="J79" i="9"/>
  <c r="R78" i="9"/>
  <c r="Q78" i="9"/>
  <c r="P78" i="9"/>
  <c r="N78" i="9"/>
  <c r="L78" i="9"/>
  <c r="K78" i="9"/>
  <c r="J78" i="9"/>
  <c r="R77" i="9"/>
  <c r="Q77" i="9"/>
  <c r="P77" i="9"/>
  <c r="N77" i="9"/>
  <c r="L77" i="9"/>
  <c r="K77" i="9"/>
  <c r="J77" i="9"/>
  <c r="R76" i="9"/>
  <c r="Q76" i="9"/>
  <c r="P76" i="9"/>
  <c r="N76" i="9"/>
  <c r="L76" i="9"/>
  <c r="K76" i="9"/>
  <c r="J76" i="9"/>
  <c r="R75" i="9"/>
  <c r="Q75" i="9"/>
  <c r="P75" i="9"/>
  <c r="N75" i="9"/>
  <c r="L75" i="9"/>
  <c r="K75" i="9"/>
  <c r="J75" i="9"/>
  <c r="R74" i="9"/>
  <c r="Q74" i="9"/>
  <c r="P74" i="9"/>
  <c r="L74" i="9"/>
  <c r="K74" i="9"/>
  <c r="J74" i="9"/>
  <c r="M74" i="9" s="1"/>
  <c r="N74" i="9" s="1"/>
  <c r="R73" i="9"/>
  <c r="Q73" i="9"/>
  <c r="P73" i="9"/>
  <c r="N73" i="9"/>
  <c r="L73" i="9"/>
  <c r="K73" i="9"/>
  <c r="J73" i="9"/>
  <c r="R72" i="9"/>
  <c r="Q72" i="9"/>
  <c r="P72" i="9"/>
  <c r="L72" i="9"/>
  <c r="K72" i="9"/>
  <c r="J72" i="9"/>
  <c r="R71" i="9"/>
  <c r="Q71" i="9"/>
  <c r="P71" i="9"/>
  <c r="L71" i="9"/>
  <c r="K71" i="9"/>
  <c r="J71" i="9"/>
  <c r="R70" i="9"/>
  <c r="Q70" i="9"/>
  <c r="P70" i="9"/>
  <c r="L70" i="9"/>
  <c r="K70" i="9"/>
  <c r="J70" i="9"/>
  <c r="M70" i="9" s="1"/>
  <c r="R69" i="9"/>
  <c r="Q69" i="9"/>
  <c r="P69" i="9"/>
  <c r="M69" i="9"/>
  <c r="N69" i="9" s="1"/>
  <c r="L69" i="9"/>
  <c r="K69" i="9"/>
  <c r="J69" i="9"/>
  <c r="R68" i="9"/>
  <c r="Q68" i="9"/>
  <c r="P68" i="9"/>
  <c r="L68" i="9"/>
  <c r="K68" i="9"/>
  <c r="J68" i="9"/>
  <c r="R67" i="9"/>
  <c r="Q67" i="9"/>
  <c r="P67" i="9"/>
  <c r="L67" i="9"/>
  <c r="K67" i="9"/>
  <c r="J67" i="9"/>
  <c r="M67" i="9" s="1"/>
  <c r="N67" i="9" s="1"/>
  <c r="R66" i="9"/>
  <c r="Q66" i="9"/>
  <c r="P66" i="9"/>
  <c r="L66" i="9"/>
  <c r="K66" i="9"/>
  <c r="J66" i="9"/>
  <c r="M66" i="9" s="1"/>
  <c r="R65" i="9"/>
  <c r="Q65" i="9"/>
  <c r="P65" i="9"/>
  <c r="N65" i="9"/>
  <c r="L65" i="9"/>
  <c r="K65" i="9"/>
  <c r="J65" i="9"/>
  <c r="R64" i="9"/>
  <c r="Q64" i="9"/>
  <c r="P64" i="9"/>
  <c r="N64" i="9"/>
  <c r="L64" i="9"/>
  <c r="K64" i="9"/>
  <c r="J64" i="9"/>
  <c r="R63" i="9"/>
  <c r="Q63" i="9"/>
  <c r="P63" i="9"/>
  <c r="N63" i="9"/>
  <c r="L63" i="9"/>
  <c r="K63" i="9"/>
  <c r="J63" i="9"/>
  <c r="R62" i="9"/>
  <c r="Q62" i="9"/>
  <c r="P62" i="9"/>
  <c r="L62" i="9"/>
  <c r="K62" i="9"/>
  <c r="J62" i="9"/>
  <c r="R61" i="9"/>
  <c r="Q61" i="9"/>
  <c r="P61" i="9"/>
  <c r="L61" i="9"/>
  <c r="K61" i="9"/>
  <c r="J61" i="9"/>
  <c r="M61" i="9" s="1"/>
  <c r="R60" i="9"/>
  <c r="Q60" i="9"/>
  <c r="P60" i="9"/>
  <c r="L60" i="9"/>
  <c r="K60" i="9"/>
  <c r="J60" i="9"/>
  <c r="M60" i="9" s="1"/>
  <c r="N60" i="9" s="1"/>
  <c r="R59" i="9"/>
  <c r="Q59" i="9"/>
  <c r="P59" i="9"/>
  <c r="L59" i="9"/>
  <c r="K59" i="9"/>
  <c r="J59" i="9"/>
  <c r="M59" i="9" s="1"/>
  <c r="R58" i="9"/>
  <c r="Q58" i="9"/>
  <c r="P58" i="9"/>
  <c r="N58" i="9"/>
  <c r="L58" i="9"/>
  <c r="K58" i="9"/>
  <c r="J58" i="9"/>
  <c r="R57" i="9"/>
  <c r="Q57" i="9"/>
  <c r="P57" i="9"/>
  <c r="M57" i="9"/>
  <c r="L57" i="9"/>
  <c r="K57" i="9"/>
  <c r="J57" i="9"/>
  <c r="R56" i="9"/>
  <c r="Q56" i="9"/>
  <c r="P56" i="9"/>
  <c r="L56" i="9"/>
  <c r="K56" i="9"/>
  <c r="J56" i="9"/>
  <c r="M56" i="9" s="1"/>
  <c r="R55" i="9"/>
  <c r="Q55" i="9"/>
  <c r="P55" i="9"/>
  <c r="L55" i="9"/>
  <c r="K55" i="9"/>
  <c r="J55" i="9"/>
  <c r="M55" i="9" s="1"/>
  <c r="N55" i="9" s="1"/>
  <c r="R54" i="9"/>
  <c r="Q54" i="9"/>
  <c r="P54" i="9"/>
  <c r="L54" i="9"/>
  <c r="K54" i="9"/>
  <c r="J54" i="9"/>
  <c r="M54" i="9" s="1"/>
  <c r="R53" i="9"/>
  <c r="Q53" i="9"/>
  <c r="P53" i="9"/>
  <c r="M53" i="9"/>
  <c r="L53" i="9"/>
  <c r="K53" i="9"/>
  <c r="J53" i="9"/>
  <c r="R52" i="9"/>
  <c r="Q52" i="9"/>
  <c r="P52" i="9"/>
  <c r="L52" i="9"/>
  <c r="K52" i="9"/>
  <c r="J52" i="9"/>
  <c r="M52" i="9" s="1"/>
  <c r="N52" i="9" s="1"/>
  <c r="R51" i="9"/>
  <c r="Q51" i="9"/>
  <c r="P51" i="9"/>
  <c r="N51" i="9"/>
  <c r="L51" i="9"/>
  <c r="K51" i="9"/>
  <c r="J51" i="9"/>
  <c r="R50" i="9"/>
  <c r="Q50" i="9"/>
  <c r="P50" i="9"/>
  <c r="L50" i="9"/>
  <c r="K50" i="9"/>
  <c r="J50" i="9"/>
  <c r="M50" i="9" s="1"/>
  <c r="N50" i="9" s="1"/>
  <c r="R49" i="9"/>
  <c r="Q49" i="9"/>
  <c r="P49" i="9"/>
  <c r="L49" i="9"/>
  <c r="K49" i="9"/>
  <c r="J49" i="9"/>
  <c r="M49" i="9" s="1"/>
  <c r="R48" i="9"/>
  <c r="Q48" i="9"/>
  <c r="P48" i="9"/>
  <c r="L48" i="9"/>
  <c r="K48" i="9"/>
  <c r="J48" i="9"/>
  <c r="M48" i="9" s="1"/>
  <c r="N48" i="9" s="1"/>
  <c r="R47" i="9"/>
  <c r="Q47" i="9"/>
  <c r="P47" i="9"/>
  <c r="L47" i="9"/>
  <c r="K47" i="9"/>
  <c r="J47" i="9"/>
  <c r="M47" i="9" s="1"/>
  <c r="R46" i="9"/>
  <c r="Q46" i="9"/>
  <c r="P46" i="9"/>
  <c r="M46" i="9"/>
  <c r="L46" i="9"/>
  <c r="K46" i="9"/>
  <c r="J46" i="9"/>
  <c r="R45" i="9"/>
  <c r="Q45" i="9"/>
  <c r="P45" i="9"/>
  <c r="L45" i="9"/>
  <c r="K45" i="9"/>
  <c r="J45" i="9"/>
  <c r="M45" i="9" s="1"/>
  <c r="R44" i="9"/>
  <c r="Q44" i="9"/>
  <c r="P44" i="9"/>
  <c r="L44" i="9"/>
  <c r="K44" i="9"/>
  <c r="J44" i="9"/>
  <c r="M44" i="9" s="1"/>
  <c r="R43" i="9"/>
  <c r="Q43" i="9"/>
  <c r="P43" i="9"/>
  <c r="L43" i="9"/>
  <c r="K43" i="9"/>
  <c r="J43" i="9"/>
  <c r="M43" i="9" s="1"/>
  <c r="R42" i="9"/>
  <c r="Q42" i="9"/>
  <c r="P42" i="9"/>
  <c r="L42" i="9"/>
  <c r="K42" i="9"/>
  <c r="J42" i="9"/>
  <c r="M42" i="9" s="1"/>
  <c r="R41" i="9"/>
  <c r="Q41" i="9"/>
  <c r="P41" i="9"/>
  <c r="L41" i="9"/>
  <c r="K41" i="9"/>
  <c r="J41" i="9"/>
  <c r="M41" i="9" s="1"/>
  <c r="R40" i="9"/>
  <c r="Q40" i="9"/>
  <c r="P40" i="9"/>
  <c r="L40" i="9"/>
  <c r="K40" i="9"/>
  <c r="J40" i="9"/>
  <c r="M40" i="9" s="1"/>
  <c r="R39" i="9"/>
  <c r="Q39" i="9"/>
  <c r="P39" i="9"/>
  <c r="L39" i="9"/>
  <c r="K39" i="9"/>
  <c r="J39" i="9"/>
  <c r="M39" i="9" s="1"/>
  <c r="N39" i="9" s="1"/>
  <c r="R38" i="9"/>
  <c r="Q38" i="9"/>
  <c r="P38" i="9"/>
  <c r="L38" i="9"/>
  <c r="K38" i="9"/>
  <c r="J38" i="9"/>
  <c r="M38" i="9" s="1"/>
  <c r="R37" i="9"/>
  <c r="Q37" i="9"/>
  <c r="P37" i="9"/>
  <c r="M37" i="9"/>
  <c r="L37" i="9"/>
  <c r="K37" i="9"/>
  <c r="J37" i="9"/>
  <c r="R36" i="9"/>
  <c r="Q36" i="9"/>
  <c r="P36" i="9"/>
  <c r="L36" i="9"/>
  <c r="K36" i="9"/>
  <c r="J36" i="9"/>
  <c r="M36" i="9" s="1"/>
  <c r="R35" i="9"/>
  <c r="Q35" i="9"/>
  <c r="P35" i="9"/>
  <c r="L35" i="9"/>
  <c r="K35" i="9"/>
  <c r="J35" i="9"/>
  <c r="M35" i="9" s="1"/>
  <c r="R34" i="9"/>
  <c r="Q34" i="9"/>
  <c r="P34" i="9"/>
  <c r="L34" i="9"/>
  <c r="K34" i="9"/>
  <c r="J34" i="9"/>
  <c r="M34" i="9" s="1"/>
  <c r="N34" i="9" s="1"/>
  <c r="R33" i="9"/>
  <c r="Q33" i="9"/>
  <c r="P33" i="9"/>
  <c r="L33" i="9"/>
  <c r="K33" i="9"/>
  <c r="J33" i="9"/>
  <c r="M33" i="9" s="1"/>
  <c r="R32" i="9"/>
  <c r="Q32" i="9"/>
  <c r="P32" i="9"/>
  <c r="L32" i="9"/>
  <c r="K32" i="9"/>
  <c r="J32" i="9"/>
  <c r="M32" i="9" s="1"/>
  <c r="R31" i="9"/>
  <c r="Q31" i="9"/>
  <c r="P31" i="9"/>
  <c r="L31" i="9"/>
  <c r="K31" i="9"/>
  <c r="J31" i="9"/>
  <c r="M31" i="9" s="1"/>
  <c r="R30" i="9"/>
  <c r="Q30" i="9"/>
  <c r="P30" i="9"/>
  <c r="L30" i="9"/>
  <c r="K30" i="9"/>
  <c r="J30" i="9"/>
  <c r="M30" i="9" s="1"/>
  <c r="R29" i="9"/>
  <c r="Q29" i="9"/>
  <c r="P29" i="9"/>
  <c r="L29" i="9"/>
  <c r="K29" i="9"/>
  <c r="J29" i="9"/>
  <c r="M29" i="9" s="1"/>
  <c r="N29" i="9" s="1"/>
  <c r="R28" i="9"/>
  <c r="Q28" i="9"/>
  <c r="P28" i="9"/>
  <c r="L28" i="9"/>
  <c r="K28" i="9"/>
  <c r="J28" i="9"/>
  <c r="M28" i="9" s="1"/>
  <c r="R27" i="9"/>
  <c r="Q27" i="9"/>
  <c r="P27" i="9"/>
  <c r="L27" i="9"/>
  <c r="K27" i="9"/>
  <c r="J27" i="9"/>
  <c r="M27" i="9" s="1"/>
  <c r="N27" i="9" s="1"/>
  <c r="R26" i="9"/>
  <c r="Q26" i="9"/>
  <c r="P26" i="9"/>
  <c r="L26" i="9"/>
  <c r="K26" i="9"/>
  <c r="J26" i="9"/>
  <c r="M26" i="9" s="1"/>
  <c r="R25" i="9"/>
  <c r="Q25" i="9"/>
  <c r="P25" i="9"/>
  <c r="L25" i="9"/>
  <c r="K25" i="9"/>
  <c r="J25" i="9"/>
  <c r="M25" i="9" s="1"/>
  <c r="R24" i="9"/>
  <c r="Q24" i="9"/>
  <c r="P24" i="9"/>
  <c r="M24" i="9"/>
  <c r="L24" i="9"/>
  <c r="K24" i="9"/>
  <c r="J24" i="9"/>
  <c r="R23" i="9"/>
  <c r="Q23" i="9"/>
  <c r="P23" i="9"/>
  <c r="N23" i="9"/>
  <c r="L23" i="9"/>
  <c r="K23" i="9"/>
  <c r="J23" i="9"/>
  <c r="R22" i="9"/>
  <c r="Q22" i="9"/>
  <c r="P22" i="9"/>
  <c r="N22" i="9"/>
  <c r="L22" i="9"/>
  <c r="K22" i="9"/>
  <c r="J22" i="9"/>
  <c r="R21" i="9"/>
  <c r="Q21" i="9"/>
  <c r="P21" i="9"/>
  <c r="L21" i="9"/>
  <c r="K21" i="9"/>
  <c r="J21" i="9"/>
  <c r="M21" i="9" s="1"/>
  <c r="R20" i="9"/>
  <c r="Q20" i="9"/>
  <c r="P20" i="9"/>
  <c r="L20" i="9"/>
  <c r="K20" i="9"/>
  <c r="J20" i="9"/>
  <c r="M20" i="9" s="1"/>
  <c r="R19" i="9"/>
  <c r="Q19" i="9"/>
  <c r="P19" i="9"/>
  <c r="L19" i="9"/>
  <c r="K19" i="9"/>
  <c r="J19" i="9"/>
  <c r="M19" i="9" s="1"/>
  <c r="N19" i="9" s="1"/>
  <c r="R18" i="9"/>
  <c r="Q18" i="9"/>
  <c r="P18" i="9"/>
  <c r="L18" i="9"/>
  <c r="K18" i="9"/>
  <c r="J18" i="9"/>
  <c r="M18" i="9" s="1"/>
  <c r="R17" i="9"/>
  <c r="Q17" i="9"/>
  <c r="P17" i="9"/>
  <c r="N17" i="9"/>
  <c r="L17" i="9"/>
  <c r="K17" i="9"/>
  <c r="J17" i="9"/>
  <c r="R16" i="9"/>
  <c r="Q16" i="9"/>
  <c r="P16" i="9"/>
  <c r="L16" i="9"/>
  <c r="K16" i="9"/>
  <c r="J16" i="9"/>
  <c r="M16" i="9" s="1"/>
  <c r="N16" i="9" s="1"/>
  <c r="R15" i="9"/>
  <c r="Q15" i="9"/>
  <c r="P15" i="9"/>
  <c r="L15" i="9"/>
  <c r="K15" i="9"/>
  <c r="J15" i="9"/>
  <c r="M15" i="9" s="1"/>
  <c r="R14" i="9"/>
  <c r="Q14" i="9"/>
  <c r="P14" i="9"/>
  <c r="L14" i="9"/>
  <c r="K14" i="9"/>
  <c r="J14" i="9"/>
  <c r="M14" i="9" s="1"/>
  <c r="R13" i="9"/>
  <c r="Q13" i="9"/>
  <c r="P13" i="9"/>
  <c r="N13" i="9"/>
  <c r="L13" i="9"/>
  <c r="K13" i="9"/>
  <c r="J13" i="9"/>
  <c r="R12" i="9"/>
  <c r="Q12" i="9"/>
  <c r="P12" i="9"/>
  <c r="L12" i="9"/>
  <c r="K12" i="9"/>
  <c r="J12" i="9"/>
  <c r="M12" i="9" s="1"/>
  <c r="N12" i="9" s="1"/>
  <c r="R11" i="9"/>
  <c r="Q11" i="9"/>
  <c r="P11" i="9"/>
  <c r="L11" i="9"/>
  <c r="K11" i="9"/>
  <c r="J11" i="9"/>
  <c r="M11" i="9" s="1"/>
  <c r="R10" i="9"/>
  <c r="Q10" i="9"/>
  <c r="P10" i="9"/>
  <c r="L10" i="9"/>
  <c r="K10" i="9"/>
  <c r="J10" i="9"/>
  <c r="M10" i="9" s="1"/>
  <c r="R9" i="9"/>
  <c r="Q9" i="9"/>
  <c r="P9" i="9"/>
  <c r="N9" i="9"/>
  <c r="L9" i="9"/>
  <c r="K9" i="9"/>
  <c r="J9" i="9"/>
  <c r="R8" i="9"/>
  <c r="Q8" i="9"/>
  <c r="P8" i="9"/>
  <c r="L8" i="9"/>
  <c r="K8" i="9"/>
  <c r="J8" i="9"/>
  <c r="M8" i="9" s="1"/>
  <c r="R7" i="9"/>
  <c r="Q7" i="9"/>
  <c r="P7" i="9"/>
  <c r="L7" i="9"/>
  <c r="K7" i="9"/>
  <c r="J7" i="9"/>
  <c r="M7" i="9" s="1"/>
  <c r="R6" i="9"/>
  <c r="Q6" i="9"/>
  <c r="P6" i="9"/>
  <c r="L6" i="9"/>
  <c r="K6" i="9"/>
  <c r="J6" i="9"/>
  <c r="M6" i="9" s="1"/>
  <c r="R5" i="9"/>
  <c r="Q5" i="9"/>
  <c r="P5" i="9"/>
  <c r="L5" i="9"/>
  <c r="K5" i="9"/>
  <c r="J5" i="9"/>
  <c r="M5" i="9" s="1"/>
  <c r="N5" i="9" s="1"/>
  <c r="R4" i="9"/>
  <c r="Q4" i="9"/>
  <c r="P4" i="9"/>
  <c r="N4" i="9"/>
  <c r="L4" i="9"/>
  <c r="K4" i="9"/>
  <c r="J4" i="9"/>
  <c r="R3" i="9"/>
  <c r="Q3" i="9"/>
  <c r="P3" i="9"/>
  <c r="N3" i="9"/>
  <c r="L3" i="9"/>
  <c r="K3" i="9"/>
  <c r="J3" i="9"/>
  <c r="R2" i="9"/>
  <c r="Q2" i="9"/>
  <c r="P2" i="9"/>
  <c r="N2" i="9"/>
  <c r="M2" i="9"/>
  <c r="L2" i="9"/>
  <c r="K2" i="9"/>
  <c r="J2" i="9"/>
  <c r="O26" i="8"/>
  <c r="N41" i="3"/>
  <c r="R40" i="3"/>
  <c r="Q40" i="3"/>
  <c r="P40" i="3"/>
  <c r="N40" i="3"/>
  <c r="L40" i="3"/>
  <c r="K40" i="3"/>
  <c r="J40" i="3"/>
  <c r="R39" i="3"/>
  <c r="Q39" i="3"/>
  <c r="P39" i="3"/>
  <c r="N39" i="3"/>
  <c r="M39" i="3"/>
  <c r="L39" i="3"/>
  <c r="K39" i="3"/>
  <c r="J39" i="3"/>
  <c r="R38" i="3"/>
  <c r="Q38" i="3"/>
  <c r="P38" i="3"/>
  <c r="N38" i="3"/>
  <c r="L38" i="3"/>
  <c r="K38" i="3"/>
  <c r="J38" i="3"/>
  <c r="R37" i="3"/>
  <c r="Q37" i="3"/>
  <c r="P37" i="3"/>
  <c r="M37" i="3"/>
  <c r="L37" i="3"/>
  <c r="K37" i="3"/>
  <c r="J37" i="3"/>
  <c r="R36" i="3"/>
  <c r="Q36" i="3"/>
  <c r="P36" i="3"/>
  <c r="N36" i="3"/>
  <c r="M36" i="3"/>
  <c r="L36" i="3"/>
  <c r="K36" i="3"/>
  <c r="J36" i="3"/>
  <c r="R35" i="3"/>
  <c r="Q35" i="3"/>
  <c r="P35" i="3"/>
  <c r="M35" i="3"/>
  <c r="L35" i="3"/>
  <c r="K35" i="3"/>
  <c r="J35" i="3"/>
  <c r="R34" i="3"/>
  <c r="Q34" i="3"/>
  <c r="P34" i="3"/>
  <c r="M34" i="3"/>
  <c r="L34" i="3"/>
  <c r="K34" i="3"/>
  <c r="J34" i="3"/>
  <c r="R33" i="3"/>
  <c r="Q33" i="3"/>
  <c r="P33" i="3"/>
  <c r="M33" i="3"/>
  <c r="L33" i="3"/>
  <c r="K33" i="3"/>
  <c r="J33" i="3"/>
  <c r="R32" i="3"/>
  <c r="Q32" i="3"/>
  <c r="P32" i="3"/>
  <c r="N32" i="3"/>
  <c r="M32" i="3"/>
  <c r="L32" i="3"/>
  <c r="K32" i="3"/>
  <c r="J32" i="3"/>
  <c r="R31" i="3"/>
  <c r="Q31" i="3"/>
  <c r="P31" i="3"/>
  <c r="M31" i="3"/>
  <c r="L31" i="3"/>
  <c r="K31" i="3"/>
  <c r="J31" i="3"/>
  <c r="R30" i="3"/>
  <c r="Q30" i="3"/>
  <c r="P30" i="3"/>
  <c r="M30" i="3"/>
  <c r="L30" i="3"/>
  <c r="K30" i="3"/>
  <c r="J30" i="3"/>
  <c r="R29" i="3"/>
  <c r="Q29" i="3"/>
  <c r="P29" i="3"/>
  <c r="M29" i="3"/>
  <c r="L29" i="3"/>
  <c r="K29" i="3"/>
  <c r="J29" i="3"/>
  <c r="R28" i="3"/>
  <c r="Q28" i="3"/>
  <c r="P28" i="3"/>
  <c r="M28" i="3"/>
  <c r="L28" i="3"/>
  <c r="K28" i="3"/>
  <c r="J28" i="3"/>
  <c r="R27" i="3"/>
  <c r="Q27" i="3"/>
  <c r="P27" i="3"/>
  <c r="L27" i="3"/>
  <c r="K27" i="3"/>
  <c r="J27" i="3"/>
  <c r="R26" i="3"/>
  <c r="Q26" i="3"/>
  <c r="P26" i="3"/>
  <c r="M26" i="3"/>
  <c r="L26" i="3"/>
  <c r="K26" i="3"/>
  <c r="J26" i="3"/>
  <c r="R25" i="3"/>
  <c r="Q25" i="3"/>
  <c r="P25" i="3"/>
  <c r="N25" i="3"/>
  <c r="M25" i="3"/>
  <c r="L25" i="3"/>
  <c r="K25" i="3"/>
  <c r="J25" i="3"/>
  <c r="R24" i="3"/>
  <c r="Q24" i="3"/>
  <c r="P24" i="3"/>
  <c r="M24" i="3"/>
  <c r="L24" i="3"/>
  <c r="K24" i="3"/>
  <c r="J24" i="3"/>
  <c r="R23" i="3"/>
  <c r="Q23" i="3"/>
  <c r="P23" i="3"/>
  <c r="N23" i="3"/>
  <c r="M23" i="3"/>
  <c r="L23" i="3"/>
  <c r="K23" i="3"/>
  <c r="J23" i="3"/>
  <c r="R22" i="3"/>
  <c r="Q22" i="3"/>
  <c r="P22" i="3"/>
  <c r="M22" i="3"/>
  <c r="L22" i="3"/>
  <c r="K22" i="3"/>
  <c r="J22" i="3"/>
  <c r="R21" i="3"/>
  <c r="Q21" i="3"/>
  <c r="P21" i="3"/>
  <c r="M21" i="3"/>
  <c r="L21" i="3"/>
  <c r="K21" i="3"/>
  <c r="J21" i="3"/>
  <c r="R20" i="3"/>
  <c r="Q20" i="3"/>
  <c r="P20" i="3"/>
  <c r="N20" i="3"/>
  <c r="L20" i="3"/>
  <c r="K20" i="3"/>
  <c r="J20" i="3"/>
  <c r="R19" i="3"/>
  <c r="Q19" i="3"/>
  <c r="P19" i="3"/>
  <c r="M19" i="3"/>
  <c r="L19" i="3"/>
  <c r="K19" i="3"/>
  <c r="J19" i="3"/>
  <c r="R18" i="3"/>
  <c r="Q18" i="3"/>
  <c r="P18" i="3"/>
  <c r="N18" i="3"/>
  <c r="M18" i="3"/>
  <c r="L18" i="3"/>
  <c r="K18" i="3"/>
  <c r="J18" i="3"/>
  <c r="R17" i="3"/>
  <c r="Q17" i="3"/>
  <c r="P17" i="3"/>
  <c r="N17" i="3"/>
  <c r="L17" i="3"/>
  <c r="K17" i="3"/>
  <c r="J17" i="3"/>
  <c r="R16" i="3"/>
  <c r="Q16" i="3"/>
  <c r="P16" i="3"/>
  <c r="N16" i="3"/>
  <c r="M16" i="3"/>
  <c r="L16" i="3"/>
  <c r="K16" i="3"/>
  <c r="J16" i="3"/>
  <c r="R15" i="3"/>
  <c r="Q15" i="3"/>
  <c r="P15" i="3"/>
  <c r="M15" i="3"/>
  <c r="L15" i="3"/>
  <c r="K15" i="3"/>
  <c r="J15" i="3"/>
  <c r="R14" i="3"/>
  <c r="Q14" i="3"/>
  <c r="P14" i="3"/>
  <c r="L14" i="3"/>
  <c r="K14" i="3"/>
  <c r="J14" i="3"/>
  <c r="R13" i="3"/>
  <c r="Q13" i="3"/>
  <c r="P13" i="3"/>
  <c r="N13" i="3"/>
  <c r="L13" i="3"/>
  <c r="K13" i="3"/>
  <c r="J13" i="3"/>
  <c r="R12" i="3"/>
  <c r="Q12" i="3"/>
  <c r="P12" i="3"/>
  <c r="N12" i="3"/>
  <c r="M12" i="3"/>
  <c r="L12" i="3"/>
  <c r="K12" i="3"/>
  <c r="J12" i="3"/>
  <c r="R11" i="3"/>
  <c r="Q11" i="3"/>
  <c r="P11" i="3"/>
  <c r="M11" i="3"/>
  <c r="L11" i="3"/>
  <c r="K11" i="3"/>
  <c r="J11" i="3"/>
  <c r="R10" i="3"/>
  <c r="Q10" i="3"/>
  <c r="P10" i="3"/>
  <c r="M10" i="3"/>
  <c r="L10" i="3"/>
  <c r="K10" i="3"/>
  <c r="J10" i="3"/>
  <c r="R9" i="3"/>
  <c r="Q9" i="3"/>
  <c r="P9" i="3"/>
  <c r="M9" i="3"/>
  <c r="L9" i="3"/>
  <c r="K9" i="3"/>
  <c r="J9" i="3"/>
  <c r="R8" i="3"/>
  <c r="Q8" i="3"/>
  <c r="P8" i="3"/>
  <c r="M8" i="3"/>
  <c r="L8" i="3"/>
  <c r="K8" i="3"/>
  <c r="J8" i="3"/>
  <c r="R7" i="3"/>
  <c r="Q7" i="3"/>
  <c r="P7" i="3"/>
  <c r="M7" i="3"/>
  <c r="L7" i="3"/>
  <c r="K7" i="3"/>
  <c r="J7" i="3"/>
  <c r="R6" i="3"/>
  <c r="Q6" i="3"/>
  <c r="P6" i="3"/>
  <c r="M6" i="3"/>
  <c r="L6" i="3"/>
  <c r="K6" i="3"/>
  <c r="J6" i="3"/>
  <c r="R5" i="3"/>
  <c r="Q5" i="3"/>
  <c r="P5" i="3"/>
  <c r="M5" i="3"/>
  <c r="L5" i="3"/>
  <c r="K5" i="3"/>
  <c r="J5" i="3"/>
  <c r="R4" i="3"/>
  <c r="Q4" i="3"/>
  <c r="P4" i="3"/>
  <c r="M4" i="3"/>
  <c r="L4" i="3"/>
  <c r="K4" i="3"/>
  <c r="J4" i="3"/>
  <c r="R3" i="3"/>
  <c r="Q3" i="3"/>
  <c r="P3" i="3"/>
  <c r="N3" i="3"/>
  <c r="M3" i="3"/>
  <c r="L3" i="3"/>
  <c r="K3" i="3"/>
  <c r="J3" i="3"/>
  <c r="R2" i="3"/>
  <c r="Q2" i="3"/>
  <c r="P2" i="3"/>
  <c r="N2" i="3"/>
  <c r="M2" i="3"/>
  <c r="L2" i="3"/>
  <c r="K2" i="3"/>
  <c r="J2" i="3"/>
  <c r="N49" i="2"/>
  <c r="N48" i="2"/>
  <c r="N47" i="2"/>
  <c r="M47" i="2"/>
  <c r="N46" i="2"/>
  <c r="N45" i="2"/>
  <c r="N44" i="2"/>
  <c r="N43" i="2"/>
  <c r="M43" i="2"/>
  <c r="M42" i="2"/>
  <c r="M41" i="2"/>
  <c r="N40" i="2"/>
  <c r="M40" i="2"/>
  <c r="M39" i="2"/>
  <c r="M38" i="2"/>
  <c r="M37" i="2"/>
  <c r="M36" i="2"/>
  <c r="M35" i="2"/>
  <c r="N34" i="2"/>
  <c r="M34" i="2"/>
  <c r="M33" i="2"/>
  <c r="M32" i="2"/>
  <c r="M31" i="2"/>
  <c r="M30" i="2"/>
  <c r="M28" i="2"/>
  <c r="N27" i="2"/>
  <c r="M27" i="2"/>
  <c r="N26" i="2"/>
  <c r="M25" i="2"/>
  <c r="N24" i="2"/>
  <c r="M24" i="2"/>
  <c r="N23" i="2"/>
  <c r="N22" i="2"/>
  <c r="M22" i="2"/>
  <c r="N21" i="2"/>
  <c r="M21" i="2"/>
  <c r="M20" i="2"/>
  <c r="N19" i="2"/>
  <c r="M19" i="2"/>
  <c r="M18" i="2"/>
  <c r="M17" i="2"/>
  <c r="M16" i="2"/>
  <c r="M15" i="2"/>
  <c r="N14" i="2"/>
  <c r="M14" i="2"/>
  <c r="M13" i="2"/>
  <c r="N10" i="2"/>
  <c r="N9" i="2"/>
  <c r="M9" i="2"/>
  <c r="M8" i="2"/>
  <c r="M7" i="2"/>
  <c r="M6" i="2"/>
  <c r="N4" i="2"/>
  <c r="M4" i="2"/>
  <c r="M3" i="2"/>
  <c r="N2" i="2"/>
  <c r="M2" i="2"/>
  <c r="G9" i="1"/>
  <c r="C9" i="1"/>
  <c r="G8" i="1"/>
  <c r="C8" i="1"/>
  <c r="G7" i="1"/>
  <c r="C7" i="1"/>
  <c r="G6" i="1"/>
  <c r="C6" i="1"/>
  <c r="G5" i="1"/>
  <c r="C5" i="1"/>
  <c r="G4" i="1"/>
  <c r="C4" i="1"/>
  <c r="G3" i="1"/>
  <c r="C3" i="1"/>
  <c r="G2" i="1"/>
  <c r="C2" i="1"/>
  <c r="N160" i="5" l="1"/>
  <c r="N188" i="4"/>
  <c r="O174" i="6"/>
  <c r="N18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zhoug</author>
  </authors>
  <commentList>
    <comment ref="C62" authorId="0" shapeId="0" xr:uid="{00000000-0006-0000-0900-000001000000}">
      <text>
        <r>
          <rPr>
            <sz val="9"/>
            <rFont val="宋体"/>
            <family val="3"/>
            <charset val="134"/>
          </rPr>
          <t>黄胶,热熔胶,导热硅胶等</t>
        </r>
      </text>
    </comment>
    <comment ref="C67" authorId="0" shapeId="0" xr:uid="{00000000-0006-0000-0900-000002000000}">
      <text>
        <r>
          <rPr>
            <sz val="8"/>
            <rFont val="宋体"/>
            <family val="3"/>
            <charset val="134"/>
          </rPr>
          <t>HET标准:使用寿命:8W次</t>
        </r>
      </text>
    </comment>
    <comment ref="C69" authorId="0" shapeId="0" xr:uid="{00000000-0006-0000-0900-000003000000}">
      <text>
        <r>
          <rPr>
            <sz val="8"/>
            <rFont val="宋体"/>
            <family val="3"/>
            <charset val="134"/>
          </rPr>
          <t>HET标准:使用寿命:0.3W次</t>
        </r>
      </text>
    </comment>
    <comment ref="C73" authorId="0" shapeId="0" xr:uid="{00000000-0006-0000-0900-000004000000}">
      <text>
        <r>
          <rPr>
            <sz val="8"/>
            <rFont val="宋体"/>
            <family val="3"/>
            <charset val="134"/>
          </rPr>
          <t>HET标准:使用寿命3W次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zhoug</author>
  </authors>
  <commentList>
    <comment ref="C62" authorId="0" shapeId="0" xr:uid="{00000000-0006-0000-0A00-000001000000}">
      <text>
        <r>
          <rPr>
            <sz val="9"/>
            <rFont val="宋体"/>
            <family val="3"/>
            <charset val="134"/>
          </rPr>
          <t>黄胶,热熔胶,导热硅胶等</t>
        </r>
      </text>
    </comment>
    <comment ref="C67" authorId="0" shapeId="0" xr:uid="{00000000-0006-0000-0A00-000002000000}">
      <text>
        <r>
          <rPr>
            <sz val="8"/>
            <rFont val="宋体"/>
            <family val="3"/>
            <charset val="134"/>
          </rPr>
          <t>HET标准:使用寿命:8W次</t>
        </r>
      </text>
    </comment>
    <comment ref="C69" authorId="0" shapeId="0" xr:uid="{00000000-0006-0000-0A00-000003000000}">
      <text>
        <r>
          <rPr>
            <sz val="8"/>
            <rFont val="宋体"/>
            <family val="3"/>
            <charset val="134"/>
          </rPr>
          <t>HET标准:使用寿命:0.3W次</t>
        </r>
      </text>
    </comment>
    <comment ref="C73" authorId="0" shapeId="0" xr:uid="{00000000-0006-0000-0A00-000004000000}">
      <text>
        <r>
          <rPr>
            <sz val="8"/>
            <rFont val="宋体"/>
            <family val="3"/>
            <charset val="134"/>
          </rPr>
          <t>HET标准:使用寿命3W次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zhoug</author>
  </authors>
  <commentList>
    <comment ref="C62" authorId="0" shapeId="0" xr:uid="{00000000-0006-0000-0B00-000001000000}">
      <text>
        <r>
          <rPr>
            <sz val="9"/>
            <rFont val="宋体"/>
            <family val="3"/>
            <charset val="134"/>
          </rPr>
          <t>黄胶,热熔胶,导热硅胶等</t>
        </r>
      </text>
    </comment>
    <comment ref="C67" authorId="0" shapeId="0" xr:uid="{00000000-0006-0000-0B00-000002000000}">
      <text>
        <r>
          <rPr>
            <sz val="8"/>
            <rFont val="宋体"/>
            <family val="3"/>
            <charset val="134"/>
          </rPr>
          <t>HET标准:使用寿命:8W次</t>
        </r>
      </text>
    </comment>
    <comment ref="C69" authorId="0" shapeId="0" xr:uid="{00000000-0006-0000-0B00-000003000000}">
      <text>
        <r>
          <rPr>
            <sz val="8"/>
            <rFont val="宋体"/>
            <family val="3"/>
            <charset val="134"/>
          </rPr>
          <t>HET标准:使用寿命:0.3W次</t>
        </r>
      </text>
    </comment>
    <comment ref="C73" authorId="0" shapeId="0" xr:uid="{00000000-0006-0000-0B00-000004000000}">
      <text>
        <r>
          <rPr>
            <sz val="8"/>
            <rFont val="宋体"/>
            <family val="3"/>
            <charset val="134"/>
          </rPr>
          <t>HET标准:使用寿命3W次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zhoug</author>
  </authors>
  <commentList>
    <comment ref="C62" authorId="0" shapeId="0" xr:uid="{00000000-0006-0000-0C00-000001000000}">
      <text>
        <r>
          <rPr>
            <sz val="9"/>
            <rFont val="宋体"/>
            <family val="3"/>
            <charset val="134"/>
          </rPr>
          <t>黄胶,热熔胶,导热硅胶等</t>
        </r>
      </text>
    </comment>
    <comment ref="C67" authorId="0" shapeId="0" xr:uid="{00000000-0006-0000-0C00-000002000000}">
      <text>
        <r>
          <rPr>
            <sz val="8"/>
            <rFont val="宋体"/>
            <family val="3"/>
            <charset val="134"/>
          </rPr>
          <t>HET标准:使用寿命:8W次</t>
        </r>
      </text>
    </comment>
    <comment ref="C69" authorId="0" shapeId="0" xr:uid="{00000000-0006-0000-0C00-000003000000}">
      <text>
        <r>
          <rPr>
            <sz val="8"/>
            <rFont val="宋体"/>
            <family val="3"/>
            <charset val="134"/>
          </rPr>
          <t>HET标准:使用寿命:0.3W次</t>
        </r>
      </text>
    </comment>
    <comment ref="C73" authorId="0" shapeId="0" xr:uid="{00000000-0006-0000-0C00-000004000000}">
      <text>
        <r>
          <rPr>
            <sz val="8"/>
            <rFont val="宋体"/>
            <family val="3"/>
            <charset val="134"/>
          </rPr>
          <t>HET标准:使用寿命3W次</t>
        </r>
      </text>
    </comment>
  </commentList>
</comments>
</file>

<file path=xl/sharedStrings.xml><?xml version="1.0" encoding="utf-8"?>
<sst xmlns="http://schemas.openxmlformats.org/spreadsheetml/2006/main" count="5541" uniqueCount="900">
  <si>
    <t>型号</t>
  </si>
  <si>
    <t>含税成本</t>
  </si>
  <si>
    <t>未税成本</t>
  </si>
  <si>
    <t>包材</t>
  </si>
  <si>
    <t>辅料</t>
  </si>
  <si>
    <t>制费</t>
  </si>
  <si>
    <t>总成本未税</t>
  </si>
  <si>
    <t>年需求量</t>
  </si>
  <si>
    <t>客户目标价</t>
  </si>
  <si>
    <t>GC-WPDB003-V1.0</t>
  </si>
  <si>
    <t>100K</t>
  </si>
  <si>
    <t>GC-WPDB004-V1.0</t>
  </si>
  <si>
    <t>GC-WPIB009-SC</t>
  </si>
  <si>
    <t>40K</t>
  </si>
  <si>
    <t>GC-WPIB009-LIN</t>
  </si>
  <si>
    <t>GC-WPIB009-PWM</t>
  </si>
  <si>
    <t>GC-WPIB010-SC</t>
  </si>
  <si>
    <t>GC-WPIB010-LIN</t>
  </si>
  <si>
    <t>GC-WPIB010-PWM</t>
  </si>
  <si>
    <t>制费贴片0402/0603按照0.019/个报价</t>
  </si>
  <si>
    <t>对应技术条件序号</t>
  </si>
  <si>
    <t>物件编号</t>
  </si>
  <si>
    <t>物料名称</t>
  </si>
  <si>
    <t>物料短描述</t>
  </si>
  <si>
    <t>厂家</t>
  </si>
  <si>
    <t>数量</t>
  </si>
  <si>
    <t>位号</t>
  </si>
  <si>
    <t>备注</t>
  </si>
  <si>
    <t>规格</t>
  </si>
  <si>
    <t>系统价格</t>
  </si>
  <si>
    <t>币别</t>
  </si>
  <si>
    <t>供应商名称</t>
  </si>
  <si>
    <t>含税单价</t>
  </si>
  <si>
    <t>含税总价</t>
  </si>
  <si>
    <t>LT</t>
  </si>
  <si>
    <t>MPQ</t>
  </si>
  <si>
    <t>MOQ</t>
  </si>
  <si>
    <t>最小值</t>
  </si>
  <si>
    <t>新物料</t>
  </si>
  <si>
    <t>双面PCB</t>
  </si>
  <si>
    <r>
      <rPr>
        <sz val="9"/>
        <color rgb="FFFF0000"/>
        <rFont val="微软雅黑"/>
        <family val="2"/>
        <charset val="134"/>
      </rPr>
      <t>4</t>
    </r>
    <r>
      <rPr>
        <sz val="9"/>
        <color theme="1"/>
        <rFont val="微软雅黑"/>
        <family val="2"/>
        <charset val="134"/>
      </rPr>
      <t>5mm*55mm FR-4 CTI≥600V,绿油 白字 板厚1.0mm，</t>
    </r>
    <r>
      <rPr>
        <sz val="9"/>
        <color rgb="FFFF0000"/>
        <rFont val="微软雅黑"/>
        <family val="2"/>
        <charset val="134"/>
      </rPr>
      <t>铜厚1OZ？</t>
    </r>
  </si>
  <si>
    <t>兴海容、中信华、丰利达</t>
  </si>
  <si>
    <t>厂家确认</t>
  </si>
  <si>
    <t>未加工艺边</t>
  </si>
  <si>
    <t>贴片陶瓷电容器</t>
  </si>
  <si>
    <t>YAGEO\CAP Cer 1uF K X7R 10VDC 0402 CC0402KRX7R6BB105</t>
  </si>
  <si>
    <t>YAGEO(国巨,PHYCOMP)</t>
  </si>
  <si>
    <t>C1,C45</t>
  </si>
  <si>
    <t>CNY</t>
  </si>
  <si>
    <t>广东顺德集财电子有限公司</t>
  </si>
  <si>
    <t>84</t>
  </si>
  <si>
    <t>10,000.000</t>
  </si>
  <si>
    <t>FH\CAP Cer 1uF K X7R 10VDC 0402 -55℃~125℃ 0402B105K100NT</t>
  </si>
  <si>
    <t>FH(风华)</t>
  </si>
  <si>
    <t>广东风华高新科技股份有限公司</t>
  </si>
  <si>
    <t>42</t>
  </si>
  <si>
    <t>CAP Cer 1uF K X7R 10VDC 0402</t>
  </si>
  <si>
    <t>三环</t>
  </si>
  <si>
    <t>替代料有价格</t>
  </si>
  <si>
    <t>FH\CAP Cer 100nF K X7R 50VDC 0603 0603B104K500NT</t>
  </si>
  <si>
    <t>风华</t>
  </si>
  <si>
    <t>C2, C3, C4, C5, C30, C42</t>
  </si>
  <si>
    <t>深圳市天河星供应链有限公司</t>
  </si>
  <si>
    <t>56</t>
  </si>
  <si>
    <t>4,000.000</t>
  </si>
  <si>
    <t>YAGEO\CAP Cer 100nF K X7R 50VDC 0603 CC0603KRX7R9BB104</t>
  </si>
  <si>
    <t>WALS\CAP Cer 100nF K X7R 50VDC 0603 0603B104K500CT</t>
  </si>
  <si>
    <t>WALS(华科)</t>
  </si>
  <si>
    <t>东莞华科电子有限公司</t>
  </si>
  <si>
    <t>SH3\CAP Cer 100nF K X7R 50VDC 0603 TCC0603X7R104K500CT</t>
  </si>
  <si>
    <t>潮州三环（集团）股份有限公司</t>
  </si>
  <si>
    <t>YAGEO\CAP Cer 10uF K X7R 16VDC 0603 CC0603KRX7R7BB106</t>
  </si>
  <si>
    <t>C6</t>
  </si>
  <si>
    <t>不生产X7R，无法报价，研发推荐型号MURA\CAP Cer 10uF K X7R 10VDC 0603 GRM188Z71A106KA73D--报价0.236含税，</t>
  </si>
  <si>
    <t>10uF K X7R 16VDC 0603</t>
  </si>
  <si>
    <t>不生产X7R，无法报价，研发推荐型号MURA\CAP Cer 10uF K X7R 10VDC 0603 GRM188Z71A106KA73D--报价0.33含税，</t>
  </si>
  <si>
    <t>WALS\CAP Cer 100pF K X7R 50VDC 0603 0603B101K500CT</t>
  </si>
  <si>
    <t>WALSIN(华科,汇桥)</t>
  </si>
  <si>
    <t>C31, C32</t>
  </si>
  <si>
    <t>FH\CAP Cer 100pF K X7R 50VDC 0603 0603B101K500NT</t>
  </si>
  <si>
    <t>SH3\CAP Cer 100pF K X7R 50VDC 0603 TCC0603X7R101K500CT</t>
  </si>
  <si>
    <t>YAGEO\CAP Cer 100pF K X7R 50VDC 0603 CC0603KRX7R9BB101</t>
  </si>
  <si>
    <t>深圳市超利维实业有限公司</t>
  </si>
  <si>
    <t>FH\CAP Cer 1nF K X7R 50VDC 0603 0603B102K500NT</t>
  </si>
  <si>
    <t>C39, C40</t>
  </si>
  <si>
    <t>YAGEO\CAP Cer 1nF K X7R 50VDC 0603 CC0603KRX7R9BB102</t>
  </si>
  <si>
    <t>深圳市奥特高科电子有限公司</t>
  </si>
  <si>
    <t>WALS\CAP Cer 1nF K X7R 50VDC 0603 0603B102K500CT</t>
  </si>
  <si>
    <t>SH3\CAP Cer 1nF K X7R 50VDC 0603 TCC0603X7R102K500CT</t>
  </si>
  <si>
    <t>贴片发光二极管</t>
  </si>
  <si>
    <t>LD\LED 0603 LT8AW1-54-UKG3-SH7TE_白光 超高亮 色温等级WR4/5-WU4/5</t>
  </si>
  <si>
    <t>立得</t>
  </si>
  <si>
    <t>LED1, LED3, LED4, LED5, LED6, LED7, LED8, LED9, LED10, LED11, LED12, LED13, LED14, LED15, LED16, LED17, LED18, LED19, LED20, LED21, LED22, LED23, LED24</t>
  </si>
  <si>
    <t>30mA</t>
  </si>
  <si>
    <t>肇庆市立得电子有限公司</t>
  </si>
  <si>
    <t>30</t>
  </si>
  <si>
    <t>20,000.000</t>
  </si>
  <si>
    <t>贴片方顶可见光LED</t>
  </si>
  <si>
    <t>CL\LED 0603 CL-0603W/YY-BDK-HET-J8_白色 超高亮 黄色雾状</t>
  </si>
  <si>
    <t>长利</t>
  </si>
  <si>
    <t>20mA</t>
  </si>
  <si>
    <t>广东长利光电科技有限公司</t>
  </si>
  <si>
    <t>28</t>
  </si>
  <si>
    <t>发光二极管</t>
  </si>
  <si>
    <t>MHT195URUGCT，LED-SMD_4P-L1.6-W0.8-RD</t>
  </si>
  <si>
    <t>裕光</t>
  </si>
  <si>
    <t>LED2</t>
  </si>
  <si>
    <t>CL\LED 0603 CL-0603R/YY-J8_红色 无色透明 超高亮</t>
  </si>
  <si>
    <t>LED16，V10，LED2</t>
  </si>
  <si>
    <t>10</t>
  </si>
  <si>
    <t>REFO\LED 0603 红光 无色 透明 高亮 RF-OUB191TB-CE-B0-EL</t>
  </si>
  <si>
    <t>瑞丰</t>
  </si>
  <si>
    <t>浙江瑞丰光电有限公司</t>
  </si>
  <si>
    <t>60,000.000</t>
  </si>
  <si>
    <t>数码管驱动IC</t>
  </si>
  <si>
    <t>FD650B</t>
  </si>
  <si>
    <t>芯明园</t>
  </si>
  <si>
    <t>N6</t>
  </si>
  <si>
    <t>国创</t>
  </si>
  <si>
    <t>厚膜贴片电阻器</t>
  </si>
  <si>
    <t>FH\RES 0R R&lt;10mR 1/10W 0603 1A RS-03000FT</t>
  </si>
  <si>
    <t>R1, R54, R59, R61</t>
  </si>
  <si>
    <t>5,000.000</t>
  </si>
  <si>
    <t>0R F 1/10W 0603</t>
  </si>
  <si>
    <t>华科、厚生、香港、翔胜</t>
  </si>
  <si>
    <t>YAGEO\RES 10K F 1/16W 0402 RC0402FR-0710KL</t>
  </si>
  <si>
    <t>R3, R4, R5, R42, R68</t>
  </si>
  <si>
    <t>FH\RES 10K F 1/16W 0402 RC-02K1002FT</t>
  </si>
  <si>
    <t>ROYA\RES 10K F 1/16W 0402 0402WGF1002TCE</t>
  </si>
  <si>
    <t>ROYALOHM厚声</t>
  </si>
  <si>
    <t>厚声国际贸易（昆山）有限公司深圳分公司</t>
  </si>
  <si>
    <t>WALS\RES 10K F 1/16W 0402 WR04X1002FTL</t>
  </si>
  <si>
    <t>HKR\RES 10K F 1/16W 0402 RCT0210KFLF</t>
  </si>
  <si>
    <t>香港电阻</t>
  </si>
  <si>
    <t>恒辉电阻（益阳）有限公司</t>
  </si>
  <si>
    <t>XS5\RES 10K F 1/16W 0402 SCR0402F1002B</t>
  </si>
  <si>
    <t>VO(翔胜)</t>
  </si>
  <si>
    <t>安徽翔胜科技有限公司</t>
  </si>
  <si>
    <t>YAGEO\RES 100R F 1/16W 0402 RC0402FR-07100RL</t>
  </si>
  <si>
    <t>R6, R7, R8, R45, R46, R56, R57, R64, R65</t>
  </si>
  <si>
    <t>WALS\RES 100R F 1/16W 0402 WR04X1000FTL</t>
  </si>
  <si>
    <t>ROYA\RES 100R F 1/16W 0402 0402WGF1000TCE</t>
  </si>
  <si>
    <t>FH\RES 100R F 1/16W 0402 RC-02K1000FT</t>
  </si>
  <si>
    <t>HKR\RES 100R F 1/16W 0402 RCT02100RFLF</t>
  </si>
  <si>
    <t>贴片电阻器</t>
  </si>
  <si>
    <t>YAGEO\RES 5.1K F 1/16W 0402 RC0402FR-075K1L</t>
  </si>
  <si>
    <t>R43, R52, R53</t>
  </si>
  <si>
    <t>深圳市欧尔法电子有限公司</t>
  </si>
  <si>
    <t>FH\RES 5.1K F 1/16W 0402 RC-02K5101FT</t>
  </si>
  <si>
    <t>HKR\RES 5.1K F 1/16W 0402 RCT025K1FLF</t>
  </si>
  <si>
    <t>轻触开关</t>
  </si>
  <si>
    <t>TS-1187A-B-A-B</t>
  </si>
  <si>
    <t>品赞</t>
  </si>
  <si>
    <t>S1</t>
  </si>
  <si>
    <t>旋转编码器</t>
  </si>
  <si>
    <t>EC11L1525G01，高度6.5mm，轴径3.0mm，9 脉冲 18 齿感 扭力30
7.8x7.3x6.5mm 卧式贴板带轴确认键编碼器:安装高
标准齒感，按力 200gf，壽命 10 萬次。</t>
  </si>
  <si>
    <t>SW1</t>
  </si>
  <si>
    <t>李伟涛发规格书，和而泰参考寻源</t>
  </si>
  <si>
    <t>MCU</t>
  </si>
  <si>
    <t>GD32C231F8P6TR</t>
  </si>
  <si>
    <t>U1</t>
  </si>
  <si>
    <t>FPC连接器 双侧触点/上下接</t>
  </si>
  <si>
    <t>AFA10-S04ECC-00</t>
  </si>
  <si>
    <t>JS(钜硕电子)</t>
  </si>
  <si>
    <t>X2</t>
  </si>
  <si>
    <t>FPC排线</t>
  </si>
  <si>
    <t>长度7CM 反向 间距1.0MM</t>
  </si>
  <si>
    <t>久旺</t>
  </si>
  <si>
    <r>
      <rPr>
        <sz val="9"/>
        <color rgb="FFFF0000"/>
        <rFont val="微软雅黑"/>
        <family val="2"/>
        <charset val="134"/>
      </rPr>
      <t>4</t>
    </r>
    <r>
      <rPr>
        <sz val="9"/>
        <color theme="1"/>
        <rFont val="微软雅黑"/>
        <family val="2"/>
        <charset val="134"/>
      </rPr>
      <t>5mm*55mm FR-4 CTI≥600V,绿油 白字 板厚1.0mm</t>
    </r>
    <r>
      <rPr>
        <sz val="9"/>
        <color rgb="FFFF0000"/>
        <rFont val="微软雅黑"/>
        <family val="2"/>
        <charset val="134"/>
      </rPr>
      <t>，铜厚1OZ？</t>
    </r>
  </si>
  <si>
    <t>SH3\CAP Cer 1nF K X7R 50VDC 0402 TCC0402X7R102K500AT</t>
  </si>
  <si>
    <t>C3, C4</t>
  </si>
  <si>
    <t>FH\CAP Cer 1nF K X7R 50VDC 0402 0402B102K500NT</t>
  </si>
  <si>
    <t>贴片电容器</t>
  </si>
  <si>
    <t>WALS\CAP Cer 1nF K X7R 50VDC 0402 0402B102K500CT</t>
  </si>
  <si>
    <t>YAGEO\CAP Cer 1nF K X7R 50VDC 0402 CC0402KRX7R9BB102</t>
  </si>
  <si>
    <t>SAMS\CAP Cer 1nF K X7R 50VDC 0402 CL05B102KB5NNNC</t>
  </si>
  <si>
    <t>SAMSUNG三星</t>
  </si>
  <si>
    <t>C5</t>
  </si>
  <si>
    <t>CAP Cer 10uF K X7R 16VDC 0603</t>
  </si>
  <si>
    <t>三环、风华、华科</t>
  </si>
  <si>
    <t>LED1, LED2, LED3, LED4, LED6, LED7, LED8, LED9, LED10, LED11, LED12, LED13, LED14, LED15</t>
  </si>
  <si>
    <r>
      <rPr>
        <sz val="9"/>
        <color theme="1"/>
        <rFont val="微软雅黑"/>
        <family val="2"/>
        <charset val="134"/>
      </rPr>
      <t>MHT195URUGCT，LED-SMD_4P-L1.6-W0.8-RD，</t>
    </r>
    <r>
      <rPr>
        <sz val="9"/>
        <color rgb="FFFF0000"/>
        <rFont val="微软雅黑"/>
        <family val="2"/>
        <charset val="134"/>
      </rPr>
      <t>红色？</t>
    </r>
  </si>
  <si>
    <t>LED5</t>
  </si>
  <si>
    <t>N1</t>
  </si>
  <si>
    <t>R1, R2</t>
  </si>
  <si>
    <t>XS5\RES 5.1K F 1/16W 0402 SCR0402F5101B</t>
  </si>
  <si>
    <t>R3, R6, R7</t>
  </si>
  <si>
    <t>R4, R5</t>
  </si>
  <si>
    <t>YAGEO\RES 2K F 1/16W 0402 RC0402FR-072KL</t>
  </si>
  <si>
    <t>R43</t>
  </si>
  <si>
    <t>WALS\RES 2K F 1/16W 0402 WR04X2001FTL</t>
  </si>
  <si>
    <t>ROYA\RES 2K F 1/16W 0402 0402WGF2001TCE</t>
  </si>
  <si>
    <t>HKR\RES 2K F 1/16W 0402 RCT022KFLF</t>
  </si>
  <si>
    <t>XS5\RES 2K F 1/16W 0402 SCR0402F2001B</t>
  </si>
  <si>
    <t>安徽翔胜科技</t>
  </si>
  <si>
    <t>S1, S2</t>
  </si>
  <si>
    <t>长度7CM 反向 间1.0MM</t>
  </si>
  <si>
    <t>120mm*84mm FR-4 CTI≥600V,绿油 白字 板厚1.6mm 1OZ？</t>
  </si>
  <si>
    <t>IPM</t>
  </si>
  <si>
    <t>QMP05M50BTX M3</t>
  </si>
  <si>
    <t>琴芯微</t>
  </si>
  <si>
    <t>A1</t>
  </si>
  <si>
    <t>贴片电容</t>
  </si>
  <si>
    <t>0805-10UF-35V-X6S</t>
  </si>
  <si>
    <t>三环、风华、华科、国巨</t>
  </si>
  <si>
    <t>C2, C4, C6, C41</t>
  </si>
  <si>
    <t>三环匹配报价型号TCC0805X6S106K350FT</t>
  </si>
  <si>
    <t>贴片安规电容</t>
  </si>
  <si>
    <t>Y2-1nF-250V，C1812</t>
  </si>
  <si>
    <t>松田、三环、风华、华科、国巨</t>
  </si>
  <si>
    <t>C8, C15, C65</t>
  </si>
  <si>
    <t>华科报价型号	
S243B102K502CT</t>
  </si>
  <si>
    <t>电解电容</t>
  </si>
  <si>
    <t>68uF/450V（D18*L25），CAP_EC_R9_D7.5，2000H</t>
  </si>
  <si>
    <t>中钰、中元、丰宾、江浩、艾华</t>
  </si>
  <si>
    <t>C11</t>
  </si>
  <si>
    <t>贴片电解电容</t>
  </si>
  <si>
    <t>100uF/16V，BD6.3-L6.6-W6.6-LS7.2-FD，2000H</t>
  </si>
  <si>
    <t>C13, C33</t>
  </si>
  <si>
    <t>220uf/25V，SMD_BD5.0-L5.3-W5.3-FD，2000H</t>
  </si>
  <si>
    <t>C16</t>
  </si>
  <si>
    <t>方型塑壳保险丝</t>
  </si>
  <si>
    <t>2010T3.15A250V/T3.15A/250V，FUSE_L8.5_W4_D5.08</t>
  </si>
  <si>
    <t>华德</t>
  </si>
  <si>
    <t>F1</t>
  </si>
  <si>
    <t/>
  </si>
  <si>
    <t>功率继电器</t>
  </si>
  <si>
    <r>
      <rPr>
        <sz val="9"/>
        <color theme="1"/>
        <rFont val="宋体"/>
        <family val="3"/>
        <charset val="134"/>
      </rPr>
      <t>10A 250VAC SPST VDE,UL,CQC HF32F-G-012-HS</t>
    </r>
    <r>
      <rPr>
        <sz val="9"/>
        <color rgb="FFFF0000"/>
        <rFont val="宋体"/>
        <family val="3"/>
        <charset val="134"/>
      </rPr>
      <t>防爆</t>
    </r>
  </si>
  <si>
    <t>厦门宏发电声HONGFA</t>
  </si>
  <si>
    <t>K1</t>
  </si>
  <si>
    <t>工字电感</t>
  </si>
  <si>
    <t>工字电感-1mH-500mA-D8*L12 P=2.5</t>
  </si>
  <si>
    <t>菲尔泰克</t>
  </si>
  <si>
    <t>L1</t>
  </si>
  <si>
    <t>估价</t>
  </si>
  <si>
    <t>共模电感</t>
  </si>
  <si>
    <t>SQ12C-01F200VA</t>
  </si>
  <si>
    <t>L2</t>
  </si>
  <si>
    <t>加5%代购费</t>
  </si>
  <si>
    <r>
      <rPr>
        <sz val="9"/>
        <rFont val="宋体"/>
        <family val="3"/>
        <charset val="134"/>
      </rPr>
      <t>新物料</t>
    </r>
  </si>
  <si>
    <t>2.6V~3.0V/25mA/80mW/红色色</t>
  </si>
  <si>
    <t>LED16，V10</t>
  </si>
  <si>
    <t>ACDC</t>
  </si>
  <si>
    <t>OB2237NJP/650V/250mA/SOP-7</t>
  </si>
  <si>
    <t>昂宝</t>
  </si>
  <si>
    <t>运放IC</t>
  </si>
  <si>
    <t>SD76/TR/6V/PSRR 82/SR 8.5V/MSOP-8</t>
  </si>
  <si>
    <t>圣邦微</t>
  </si>
  <si>
    <t>N3</t>
  </si>
  <si>
    <t>比较器IC</t>
  </si>
  <si>
    <t>SGM8774D-1XN5G/TR/40V/SOT-23-5</t>
  </si>
  <si>
    <t>N4</t>
  </si>
  <si>
    <t>EEPROM</t>
  </si>
  <si>
    <t>BL24C08F-RRRC/SOT-23-5L</t>
  </si>
  <si>
    <t>BL(上海贝岭)、Giantec聚辰</t>
  </si>
  <si>
    <t>N5</t>
  </si>
  <si>
    <t>贴片单片机</t>
  </si>
  <si>
    <t>GIVA\MCU 32bit LQFP48 GD32E230C8T6</t>
  </si>
  <si>
    <t>Gigadevice</t>
  </si>
  <si>
    <t>N7</t>
  </si>
  <si>
    <t>手插热敏电阻</t>
  </si>
  <si>
    <t>MF72 5D11，M-PTC-7.5-1.0</t>
  </si>
  <si>
    <t>松田</t>
  </si>
  <si>
    <t>R2</t>
  </si>
  <si>
    <t>R4，R82, R83</t>
  </si>
  <si>
    <t>50mR F 1W 1206</t>
  </si>
  <si>
    <t>香港电阻、厚生、翔胜、华科、华德</t>
  </si>
  <si>
    <t>R19, R21, R23</t>
  </si>
  <si>
    <t>压敏</t>
  </si>
  <si>
    <t>RV-MYN15-561K-带护套-JC</t>
  </si>
  <si>
    <t>RV1</t>
  </si>
  <si>
    <t>FNR14C561KB2T16PN2YNN</t>
  </si>
  <si>
    <t>整流桥</t>
  </si>
  <si>
    <t>DB307S，3A1000V</t>
  </si>
  <si>
    <t>乐山希尔</t>
  </si>
  <si>
    <t>V6</t>
  </si>
  <si>
    <t>FPC连接器卧式</t>
  </si>
  <si>
    <t>AFA10-S04LCC-00，FPC-SMD_4P-P1.00-L2.9-W6.0</t>
  </si>
  <si>
    <r>
      <rPr>
        <b/>
        <sz val="11"/>
        <rFont val="宋体"/>
        <family val="3"/>
        <charset val="134"/>
      </rPr>
      <t>对应技术条件序号</t>
    </r>
  </si>
  <si>
    <r>
      <rPr>
        <b/>
        <sz val="11"/>
        <rFont val="宋体"/>
        <family val="3"/>
        <charset val="134"/>
      </rPr>
      <t>物件编号</t>
    </r>
  </si>
  <si>
    <r>
      <rPr>
        <b/>
        <sz val="11"/>
        <rFont val="宋体"/>
        <family val="3"/>
        <charset val="134"/>
      </rPr>
      <t>物料名称</t>
    </r>
  </si>
  <si>
    <r>
      <rPr>
        <b/>
        <sz val="11"/>
        <rFont val="宋体"/>
        <family val="3"/>
        <charset val="134"/>
      </rPr>
      <t>物料短描述</t>
    </r>
  </si>
  <si>
    <r>
      <rPr>
        <b/>
        <sz val="11"/>
        <rFont val="宋体"/>
        <family val="3"/>
        <charset val="134"/>
      </rPr>
      <t>厂家</t>
    </r>
  </si>
  <si>
    <r>
      <rPr>
        <b/>
        <sz val="11"/>
        <rFont val="宋体"/>
        <family val="3"/>
        <charset val="134"/>
      </rPr>
      <t>数量</t>
    </r>
  </si>
  <si>
    <r>
      <rPr>
        <b/>
        <sz val="11"/>
        <rFont val="宋体"/>
        <family val="3"/>
        <charset val="134"/>
      </rPr>
      <t>位号</t>
    </r>
  </si>
  <si>
    <r>
      <rPr>
        <b/>
        <sz val="11"/>
        <rFont val="宋体"/>
        <family val="3"/>
        <charset val="134"/>
      </rPr>
      <t>备注</t>
    </r>
  </si>
  <si>
    <t>系统LT</t>
  </si>
  <si>
    <r>
      <rPr>
        <sz val="11"/>
        <color theme="1"/>
        <rFont val="宋体"/>
        <family val="3"/>
        <charset val="134"/>
      </rPr>
      <t>新物料</t>
    </r>
  </si>
  <si>
    <r>
      <rPr>
        <sz val="11"/>
        <color theme="1"/>
        <rFont val="宋体"/>
        <family val="3"/>
        <charset val="134"/>
      </rPr>
      <t>双面</t>
    </r>
    <r>
      <rPr>
        <sz val="11"/>
        <color theme="1"/>
        <rFont val="Arial"/>
        <family val="2"/>
      </rPr>
      <t>PCB</t>
    </r>
  </si>
  <si>
    <r>
      <rPr>
        <sz val="11"/>
        <color theme="1"/>
        <rFont val="Arial"/>
        <family val="2"/>
      </rPr>
      <t>120mm*</t>
    </r>
    <r>
      <rPr>
        <sz val="11"/>
        <color rgb="FFFF0000"/>
        <rFont val="Arial"/>
        <family val="2"/>
      </rPr>
      <t>8</t>
    </r>
    <r>
      <rPr>
        <sz val="11"/>
        <color theme="1"/>
        <rFont val="Arial"/>
        <family val="2"/>
      </rPr>
      <t>4mm FR-4 CTI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Arial"/>
        <family val="2"/>
      </rPr>
      <t>600V,</t>
    </r>
    <r>
      <rPr>
        <sz val="11"/>
        <color theme="1"/>
        <rFont val="宋体"/>
        <family val="3"/>
        <charset val="134"/>
      </rPr>
      <t>绿油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白字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板厚</t>
    </r>
    <r>
      <rPr>
        <sz val="11"/>
        <color theme="1"/>
        <rFont val="Arial"/>
        <family val="2"/>
      </rPr>
      <t xml:space="preserve">1.6mm </t>
    </r>
    <r>
      <rPr>
        <sz val="11"/>
        <color rgb="FFFF0000"/>
        <rFont val="Arial"/>
        <family val="2"/>
      </rPr>
      <t>1OZ</t>
    </r>
    <r>
      <rPr>
        <sz val="11"/>
        <color rgb="FFFF0000"/>
        <rFont val="宋体"/>
        <family val="3"/>
        <charset val="134"/>
      </rPr>
      <t>？</t>
    </r>
  </si>
  <si>
    <r>
      <rPr>
        <sz val="11"/>
        <color theme="1"/>
        <rFont val="宋体"/>
        <family val="3"/>
        <charset val="134"/>
      </rPr>
      <t>兴海容、中信华、丰利达</t>
    </r>
  </si>
  <si>
    <r>
      <rPr>
        <sz val="11"/>
        <color theme="1"/>
        <rFont val="宋体"/>
        <family val="3"/>
        <charset val="134"/>
      </rPr>
      <t>厂家确认</t>
    </r>
  </si>
  <si>
    <r>
      <rPr>
        <sz val="11"/>
        <color theme="1"/>
        <rFont val="宋体"/>
        <family val="3"/>
        <charset val="134"/>
      </rPr>
      <t>琴芯微</t>
    </r>
  </si>
  <si>
    <t>贴片光耦</t>
  </si>
  <si>
    <t>QX817C-CUH-S/SOP-4-2.54mm</t>
  </si>
  <si>
    <t>群芯微</t>
  </si>
  <si>
    <t>B1, B2</t>
  </si>
  <si>
    <r>
      <rPr>
        <sz val="11"/>
        <color theme="1"/>
        <rFont val="宋体"/>
        <family val="3"/>
        <charset val="134"/>
      </rPr>
      <t>贴片陶瓷电容器</t>
    </r>
  </si>
  <si>
    <t>SH3\CAP Cer 100nF K X7R 50VDC 0402 TCC0402X7R104K500AT</t>
  </si>
  <si>
    <r>
      <rPr>
        <sz val="11"/>
        <color theme="1"/>
        <rFont val="宋体"/>
        <family val="3"/>
        <charset val="134"/>
      </rPr>
      <t>三环</t>
    </r>
  </si>
  <si>
    <t>C1, C3, C5, C58, C59, C60，C14, C17, C18, C19, C21, C23, C24, C29, C30, C36, C51, C52, C53, C61, C62, C63, C64, C66</t>
  </si>
  <si>
    <r>
      <rPr>
        <sz val="11"/>
        <color theme="1"/>
        <rFont val="宋体"/>
        <family val="3"/>
        <charset val="134"/>
      </rPr>
      <t>贴片电容器</t>
    </r>
  </si>
  <si>
    <t>YAGEO\CAP Cer 100nF K X7R 50VDC 0402 CC0402KRX7R9BB104</t>
  </si>
  <si>
    <r>
      <rPr>
        <sz val="11"/>
        <color theme="1"/>
        <rFont val="Arial"/>
        <family val="2"/>
      </rPr>
      <t>YAGEO(</t>
    </r>
    <r>
      <rPr>
        <sz val="11"/>
        <color theme="1"/>
        <rFont val="宋体"/>
        <family val="3"/>
        <charset val="134"/>
      </rPr>
      <t>国巨</t>
    </r>
    <r>
      <rPr>
        <sz val="11"/>
        <color theme="1"/>
        <rFont val="Arial"/>
        <family val="2"/>
      </rPr>
      <t>,PHYCOMP)</t>
    </r>
  </si>
  <si>
    <t>WALS\CAP Cer 100nF K X7R 50VDC 0402 0402B104K500CT</t>
  </si>
  <si>
    <r>
      <rPr>
        <sz val="11"/>
        <color theme="1"/>
        <rFont val="Arial"/>
        <family val="2"/>
      </rPr>
      <t>WALSIN(</t>
    </r>
    <r>
      <rPr>
        <sz val="11"/>
        <color theme="1"/>
        <rFont val="宋体"/>
        <family val="3"/>
        <charset val="134"/>
      </rPr>
      <t>华科</t>
    </r>
    <r>
      <rPr>
        <sz val="11"/>
        <color theme="1"/>
        <rFont val="Arial"/>
        <family val="2"/>
      </rPr>
      <t>,</t>
    </r>
    <r>
      <rPr>
        <sz val="11"/>
        <color theme="1"/>
        <rFont val="宋体"/>
        <family val="3"/>
        <charset val="134"/>
      </rPr>
      <t>汇桥</t>
    </r>
    <r>
      <rPr>
        <sz val="11"/>
        <color theme="1"/>
        <rFont val="Arial"/>
        <family val="2"/>
      </rPr>
      <t>)</t>
    </r>
  </si>
  <si>
    <t>FH\CAP Cer 100nF K X7R 50VDC 0402 0402B104K500NT</t>
  </si>
  <si>
    <r>
      <rPr>
        <sz val="11"/>
        <color theme="1"/>
        <rFont val="宋体"/>
        <family val="3"/>
        <charset val="134"/>
      </rPr>
      <t>风华</t>
    </r>
  </si>
  <si>
    <r>
      <rPr>
        <sz val="11"/>
        <color theme="1"/>
        <rFont val="宋体"/>
        <family val="3"/>
        <charset val="134"/>
      </rPr>
      <t>贴片电容</t>
    </r>
  </si>
  <si>
    <t>FH\CAP Cer 4.7uF K X7R 50VDC 0805 0805B475K500NT</t>
  </si>
  <si>
    <t>C7</t>
  </si>
  <si>
    <t>WALS\CAP Cer 4.7uF K X7R 50VDC 0805 0805B475K500CT</t>
  </si>
  <si>
    <t>SH3\CAP Cer 4.7uF K X7R 50VDC 0805 TCC0805X7R475K500FT</t>
  </si>
  <si>
    <r>
      <rPr>
        <sz val="11"/>
        <color theme="1"/>
        <rFont val="Arial"/>
        <family val="2"/>
      </rPr>
      <t>CCTC(</t>
    </r>
    <r>
      <rPr>
        <sz val="11"/>
        <color theme="1"/>
        <rFont val="宋体"/>
        <family val="3"/>
        <charset val="134"/>
      </rPr>
      <t>三环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</si>
  <si>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宋体"/>
        <family val="3"/>
        <charset val="134"/>
      </rPr>
      <t>贴片安规电容</t>
    </r>
  </si>
  <si>
    <r>
      <rPr>
        <sz val="11"/>
        <color theme="1"/>
        <rFont val="Arial"/>
        <family val="2"/>
      </rPr>
      <t>Y2-1nF-250V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C1812</t>
    </r>
  </si>
  <si>
    <r>
      <rPr>
        <sz val="11"/>
        <color theme="1"/>
        <rFont val="Arial"/>
        <family val="2"/>
      </rPr>
      <t>X2</t>
    </r>
    <r>
      <rPr>
        <sz val="11"/>
        <color theme="1"/>
        <rFont val="宋体"/>
        <family val="3"/>
        <charset val="134"/>
      </rPr>
      <t>安规薄膜电容器</t>
    </r>
  </si>
  <si>
    <r>
      <rPr>
        <sz val="11"/>
        <color theme="1"/>
        <rFont val="Arial"/>
        <family val="2"/>
      </rPr>
      <t xml:space="preserve">STE\X2 RADB10 220N K 275VAC </t>
    </r>
    <r>
      <rPr>
        <sz val="11"/>
        <color theme="1"/>
        <rFont val="宋体"/>
        <family val="3"/>
        <charset val="134"/>
      </rPr>
      <t>编带</t>
    </r>
    <r>
      <rPr>
        <sz val="11"/>
        <color theme="1"/>
        <rFont val="Arial"/>
        <family val="2"/>
      </rPr>
      <t xml:space="preserve">_13*6*12 VDE UL CQC </t>
    </r>
    <r>
      <rPr>
        <sz val="11"/>
        <color theme="1"/>
        <rFont val="宋体"/>
        <family val="3"/>
        <charset val="134"/>
      </rPr>
      <t>黄壳</t>
    </r>
    <r>
      <rPr>
        <sz val="11"/>
        <color theme="1"/>
        <rFont val="Arial"/>
        <family val="2"/>
      </rPr>
      <t>_X2P2224KN5B0130120060ES0</t>
    </r>
  </si>
  <si>
    <r>
      <rPr>
        <sz val="11"/>
        <color theme="1"/>
        <rFont val="宋体"/>
        <family val="3"/>
        <charset val="134"/>
      </rPr>
      <t>松田</t>
    </r>
  </si>
  <si>
    <t>C9, C10</t>
  </si>
  <si>
    <t>LH3\CAP X2 220nF K 275VAC 18*7.5*13.5 F=10 VDE UL CQC MPRV 0275K224M642H225</t>
  </si>
  <si>
    <r>
      <rPr>
        <sz val="11"/>
        <color theme="1"/>
        <rFont val="宋体"/>
        <family val="3"/>
        <charset val="134"/>
      </rPr>
      <t>六和</t>
    </r>
  </si>
  <si>
    <t>厂家确认和尺寸</t>
  </si>
  <si>
    <r>
      <rPr>
        <sz val="11"/>
        <color theme="1"/>
        <rFont val="Arial"/>
        <family val="2"/>
      </rPr>
      <t xml:space="preserve">UTX\CAP X2 220nF K 275VAC 13*8*14 F=10 </t>
    </r>
    <r>
      <rPr>
        <sz val="11"/>
        <color theme="1"/>
        <rFont val="宋体"/>
        <family val="3"/>
        <charset val="134"/>
      </rPr>
      <t>编带</t>
    </r>
    <r>
      <rPr>
        <sz val="11"/>
        <color theme="1"/>
        <rFont val="Arial"/>
        <family val="2"/>
      </rPr>
      <t xml:space="preserve"> VDE,UL,CQC </t>
    </r>
    <r>
      <rPr>
        <sz val="11"/>
        <color theme="1"/>
        <rFont val="宋体"/>
        <family val="3"/>
        <charset val="134"/>
      </rPr>
      <t>直角</t>
    </r>
    <r>
      <rPr>
        <sz val="11"/>
        <color theme="1"/>
        <rFont val="Arial"/>
        <family val="2"/>
      </rPr>
      <t xml:space="preserve"> HQX224K275F23SBY</t>
    </r>
  </si>
  <si>
    <r>
      <rPr>
        <sz val="11"/>
        <color theme="1"/>
        <rFont val="宋体"/>
        <family val="3"/>
        <charset val="134"/>
      </rPr>
      <t>昱电</t>
    </r>
  </si>
  <si>
    <r>
      <rPr>
        <sz val="11"/>
        <color theme="1"/>
        <rFont val="宋体"/>
        <family val="3"/>
        <charset val="134"/>
      </rPr>
      <t>电解电容</t>
    </r>
  </si>
  <si>
    <r>
      <rPr>
        <sz val="11"/>
        <color theme="1"/>
        <rFont val="Arial"/>
        <family val="2"/>
      </rPr>
      <t>68uF/450V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Arial"/>
        <family val="2"/>
      </rPr>
      <t>D18*L25</t>
    </r>
    <r>
      <rPr>
        <sz val="11"/>
        <color theme="1"/>
        <rFont val="宋体"/>
        <family val="3"/>
        <charset val="134"/>
      </rPr>
      <t>），</t>
    </r>
    <r>
      <rPr>
        <sz val="11"/>
        <color theme="1"/>
        <rFont val="Arial"/>
        <family val="2"/>
      </rPr>
      <t>CAP_EC_R9_D7.5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2000H</t>
    </r>
  </si>
  <si>
    <t>WALS\CAP Cer 100nF K X7R 630VDC 1812 1812B104K631CT</t>
  </si>
  <si>
    <t>C12</t>
  </si>
  <si>
    <t>FH\CAP Cer 100nF K X7R 630VDC 1812 1812B104K631NT</t>
  </si>
  <si>
    <t>SH3\CAP Cer 100nF K X7R 630VDC 1812 TCC1812X7R104K631GT</t>
  </si>
  <si>
    <r>
      <rPr>
        <sz val="11"/>
        <color theme="1"/>
        <rFont val="Arial"/>
        <family val="2"/>
      </rPr>
      <t>YAGEO\CAP Cer 100nF K X7R 630VDC 1812 -55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Arial"/>
        <family val="2"/>
      </rPr>
      <t>~125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Arial"/>
        <family val="2"/>
      </rPr>
      <t xml:space="preserve"> CC1812KKX7RZBB104</t>
    </r>
  </si>
  <si>
    <r>
      <rPr>
        <sz val="11"/>
        <color theme="1"/>
        <rFont val="宋体"/>
        <family val="3"/>
        <charset val="134"/>
      </rPr>
      <t>贴片电解电容</t>
    </r>
  </si>
  <si>
    <r>
      <rPr>
        <sz val="11"/>
        <color theme="1"/>
        <rFont val="Arial"/>
        <family val="2"/>
      </rPr>
      <t>100uF/16V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BD6.3-L6.6-W6.6-LS7.2-FD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2000H</t>
    </r>
  </si>
  <si>
    <r>
      <rPr>
        <sz val="11"/>
        <color theme="1"/>
        <rFont val="Arial"/>
        <family val="2"/>
      </rPr>
      <t>220uf/25V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BD6.3-L6.6-W6.6-LS7.2-FD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2000H</t>
    </r>
  </si>
  <si>
    <t>FH\CAP Cer 2.2nF K X7R 50VDC 0402 0402B222K500NT</t>
  </si>
  <si>
    <t>C20, C22, C26</t>
  </si>
  <si>
    <t>WALS\CAP Cer 2.2nF K X7R 50VDC 0402 0402B222K500CT</t>
  </si>
  <si>
    <t>SAMS\CAP Cer 2.2nF K X7R 50VDC 0402 CL05B222KB5NNNC</t>
  </si>
  <si>
    <r>
      <rPr>
        <sz val="11"/>
        <color theme="1"/>
        <rFont val="Arial"/>
        <family val="2"/>
      </rPr>
      <t>SAMSUNG</t>
    </r>
    <r>
      <rPr>
        <sz val="11"/>
        <color theme="1"/>
        <rFont val="宋体"/>
        <family val="3"/>
        <charset val="134"/>
      </rPr>
      <t>三星</t>
    </r>
  </si>
  <si>
    <t>SH3\CAP Cer 2.2nF K X7R 50VDC 0402 TCC0402X7R222K500AT</t>
  </si>
  <si>
    <t>YAGEO\CAP Cer 2.2nF K X7R 50VDC 0402 CC0402KRX7R9BB222</t>
  </si>
  <si>
    <t>SH3\CAP Cer 10nF K X7R 50VDC 0402 TCC0402X7R103K500AT</t>
  </si>
  <si>
    <t>C25, C46, C50</t>
  </si>
  <si>
    <t>FH\CAP Cer 10nF K X7R 50VDC 0402 0402B103K500NT</t>
  </si>
  <si>
    <t>WALS\CAP Cer 10nF K X7R 50VDC 0402 0402B103K500CT</t>
  </si>
  <si>
    <t>YAGEO\CAP Cer 10nF K X7R 50VDC 0402 CC0402KRX7R9BB103</t>
  </si>
  <si>
    <t>SAMS\CAP Cer 10nF K X7R 50VDC 0402 CL05B103KB5NNNC</t>
  </si>
  <si>
    <t>C27, C28, C34, C35, C39, C40</t>
  </si>
  <si>
    <t>SH3\CAP Cer 100pF K X7R 50VDC 0402 TCC0402X7R101K500AT</t>
  </si>
  <si>
    <t>C31, C32,C54</t>
  </si>
  <si>
    <t>FH\CAP Cer 100pF K X7R 50VDC 0402 0402B101K500NT</t>
  </si>
  <si>
    <t>WALS\CAP Cer 100pF K X7R 50VDC 0402 0402B101K500CT</t>
  </si>
  <si>
    <t>YAGEO\CAP Cer 100pF K X7R 50VDC 0402 CC0402KRX7R9BB101</t>
  </si>
  <si>
    <t>SAMS\CAP Cer 100pF K X7R 50VDC 0402 CL05B101KB5NNNC</t>
  </si>
  <si>
    <t>C42</t>
  </si>
  <si>
    <t>SAMS\CAP Cer 100nF K X7R 50VDC 0603 CL10B104KB8NNNC</t>
  </si>
  <si>
    <r>
      <rPr>
        <sz val="11"/>
        <color theme="1"/>
        <rFont val="Arial"/>
        <family val="2"/>
      </rPr>
      <t>18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"/>
        <family val="2"/>
      </rPr>
      <t>20</t>
    </r>
  </si>
  <si>
    <r>
      <rPr>
        <sz val="11"/>
        <color theme="1"/>
        <rFont val="Arial"/>
        <family val="2"/>
      </rPr>
      <t>C45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C49</t>
    </r>
  </si>
  <si>
    <r>
      <rPr>
        <sz val="11"/>
        <color theme="1"/>
        <rFont val="Arial"/>
        <family val="2"/>
      </rPr>
      <t>FH\CAP Cer 1uF K X7R 10VDC 0402 -55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Arial"/>
        <family val="2"/>
      </rPr>
      <t>~125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Arial"/>
        <family val="2"/>
      </rPr>
      <t xml:space="preserve"> 0402B105K100NT</t>
    </r>
  </si>
  <si>
    <r>
      <rPr>
        <sz val="11"/>
        <color theme="1"/>
        <rFont val="Arial"/>
        <family val="2"/>
      </rPr>
      <t>FH(</t>
    </r>
    <r>
      <rPr>
        <sz val="11"/>
        <color theme="1"/>
        <rFont val="宋体"/>
        <family val="3"/>
        <charset val="134"/>
      </rPr>
      <t>风华</t>
    </r>
    <r>
      <rPr>
        <sz val="11"/>
        <color theme="1"/>
        <rFont val="Arial"/>
        <family val="2"/>
      </rPr>
      <t>)</t>
    </r>
    <r>
      <rPr>
        <sz val="11"/>
        <color theme="1"/>
        <rFont val="宋体"/>
        <family val="3"/>
        <charset val="134"/>
      </rPr>
      <t>、三环</t>
    </r>
  </si>
  <si>
    <t>0402-100PF-100V-X7R</t>
  </si>
  <si>
    <t>国巨、风华、三环等</t>
  </si>
  <si>
    <t>C57</t>
  </si>
  <si>
    <t>WALS\CAP Cer 220pF K X7R 100VDC 0402 0402B221K101CT</t>
  </si>
  <si>
    <t>C56</t>
  </si>
  <si>
    <t>YAGEO\CAP Cer 220pF K X7R 100VDC 0402 CC0402KRX7R0BB221</t>
  </si>
  <si>
    <r>
      <rPr>
        <sz val="11"/>
        <color theme="1"/>
        <rFont val="Arial"/>
        <family val="2"/>
      </rPr>
      <t>YAGEO(</t>
    </r>
    <r>
      <rPr>
        <sz val="11"/>
        <color theme="1"/>
        <rFont val="宋体"/>
        <family val="3"/>
        <charset val="134"/>
      </rPr>
      <t>国巨</t>
    </r>
    <r>
      <rPr>
        <sz val="11"/>
        <color theme="1"/>
        <rFont val="Arial"/>
        <family val="2"/>
      </rPr>
      <t>,PHYCOMP)</t>
    </r>
    <r>
      <rPr>
        <sz val="11"/>
        <color theme="1"/>
        <rFont val="宋体"/>
        <family val="3"/>
        <charset val="134"/>
      </rPr>
      <t>、风华、三环</t>
    </r>
  </si>
  <si>
    <t>YAGEO\CAP Cer 1nF K X7R 100VDC 0603 CC0603KRX7R0BB102</t>
  </si>
  <si>
    <t>C55</t>
  </si>
  <si>
    <t>WALS\CAP Cer 1nF K X7R 100VDC 0603 0603B102K101CT</t>
  </si>
  <si>
    <t>FH\CAP Cer 1nF K X7R 100VDC 0603 0603B102K101NT</t>
  </si>
  <si>
    <t>SH3\CAP Cer 1nF K X7R 100VDC 0603 TCC0603X7R102K101CT</t>
  </si>
  <si>
    <t>静电和浪涌保护(TVS/ESD)</t>
  </si>
  <si>
    <t>ESD5682E24</t>
  </si>
  <si>
    <t>韦尔</t>
  </si>
  <si>
    <t>D1</t>
  </si>
  <si>
    <r>
      <rPr>
        <sz val="11"/>
        <color theme="1"/>
        <rFont val="Arial"/>
        <family val="2"/>
      </rPr>
      <t xml:space="preserve">BETT\FUSE 3.15A 250VAC </t>
    </r>
    <r>
      <rPr>
        <sz val="11"/>
        <color theme="1"/>
        <rFont val="宋体"/>
        <family val="3"/>
        <charset val="134"/>
      </rPr>
      <t>慢断</t>
    </r>
    <r>
      <rPr>
        <sz val="11"/>
        <color theme="1"/>
        <rFont val="Arial"/>
        <family val="2"/>
      </rPr>
      <t xml:space="preserve"> 8.3*4.1*7.6 F=5.08 CCC;UL;VDE </t>
    </r>
    <r>
      <rPr>
        <sz val="11"/>
        <color theme="1"/>
        <rFont val="宋体"/>
        <family val="3"/>
        <charset val="134"/>
      </rPr>
      <t>编带</t>
    </r>
    <r>
      <rPr>
        <sz val="11"/>
        <color theme="1"/>
        <rFont val="Arial"/>
        <family val="2"/>
      </rPr>
      <t xml:space="preserve"> 9321315278</t>
    </r>
  </si>
  <si>
    <t>贝特</t>
  </si>
  <si>
    <t>HOLLY\FUSE 3.15A 250VAC 慢断 8.5*4*7.2 F=5 CCC;UL;VDE 5ET-032HA</t>
  </si>
  <si>
    <t>HOLLY(HOLLYLAND宁利)</t>
  </si>
  <si>
    <r>
      <rPr>
        <sz val="11"/>
        <color theme="1"/>
        <rFont val="Arial"/>
        <family val="2"/>
      </rPr>
      <t xml:space="preserve">LITT\FUSE 3.15A250VAC 8.5*4*8 F=5.08 </t>
    </r>
    <r>
      <rPr>
        <sz val="11"/>
        <color theme="1"/>
        <rFont val="宋体"/>
        <family val="3"/>
        <charset val="134"/>
      </rPr>
      <t>编带</t>
    </r>
    <r>
      <rPr>
        <sz val="11"/>
        <color theme="1"/>
        <rFont val="Arial"/>
        <family val="2"/>
      </rPr>
      <t xml:space="preserve"> ,CCC,VDE,PSE,UL 39213150000</t>
    </r>
  </si>
  <si>
    <t>LITTELFUSE(力特)</t>
  </si>
  <si>
    <r>
      <rPr>
        <sz val="11"/>
        <color theme="1"/>
        <rFont val="Arial"/>
        <family val="2"/>
      </rPr>
      <t>2010T3.15A250V/T3.15A/250V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FUSE_L8.5_W4_D5.08</t>
    </r>
  </si>
  <si>
    <r>
      <rPr>
        <sz val="11"/>
        <color theme="1"/>
        <rFont val="宋体"/>
        <family val="3"/>
        <charset val="134"/>
      </rPr>
      <t>华德</t>
    </r>
  </si>
  <si>
    <r>
      <rPr>
        <sz val="11"/>
        <color theme="1"/>
        <rFont val="宋体"/>
        <family val="3"/>
        <charset val="134"/>
      </rPr>
      <t>功率继电器</t>
    </r>
  </si>
  <si>
    <r>
      <rPr>
        <sz val="11"/>
        <color theme="1"/>
        <rFont val="Arial"/>
        <family val="2"/>
      </rPr>
      <t>10A 250VAC SPST VDE,UL,CQC HF32F-G-012-HS</t>
    </r>
    <r>
      <rPr>
        <sz val="11"/>
        <color rgb="FFFF0000"/>
        <rFont val="宋体"/>
        <family val="3"/>
        <charset val="134"/>
      </rPr>
      <t>防爆</t>
    </r>
  </si>
  <si>
    <r>
      <rPr>
        <sz val="11"/>
        <color theme="1"/>
        <rFont val="宋体"/>
        <family val="3"/>
        <charset val="134"/>
      </rPr>
      <t>厦门宏发电声</t>
    </r>
    <r>
      <rPr>
        <sz val="11"/>
        <color theme="1"/>
        <rFont val="Arial"/>
        <family val="2"/>
      </rPr>
      <t>HONGFA</t>
    </r>
  </si>
  <si>
    <r>
      <rPr>
        <sz val="11"/>
        <color theme="1"/>
        <rFont val="宋体"/>
        <family val="3"/>
        <charset val="134"/>
      </rPr>
      <t>菲尔泰克</t>
    </r>
  </si>
  <si>
    <t>LED1, LED3, LED4, LED5, LED6, LED7, LED8, LED9, LED10, LED11, LED12, LED13, LED14, LED15</t>
  </si>
  <si>
    <t>2.6V~3.0V/25mA/80mW/白色</t>
  </si>
  <si>
    <r>
      <rPr>
        <sz val="11"/>
        <color theme="1"/>
        <rFont val="Arial"/>
        <family val="2"/>
      </rPr>
      <t>29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"/>
        <family val="2"/>
      </rPr>
      <t>30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"/>
        <family val="2"/>
      </rPr>
      <t>68</t>
    </r>
  </si>
  <si>
    <r>
      <rPr>
        <sz val="11"/>
        <color theme="1"/>
        <rFont val="Arial"/>
        <family val="2"/>
      </rPr>
      <t xml:space="preserve">REFO\LED 0603 </t>
    </r>
    <r>
      <rPr>
        <sz val="11"/>
        <color theme="1"/>
        <rFont val="宋体"/>
        <family val="3"/>
        <charset val="134"/>
      </rPr>
      <t>红光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无色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透明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高亮</t>
    </r>
    <r>
      <rPr>
        <sz val="11"/>
        <color theme="1"/>
        <rFont val="Arial"/>
        <family val="2"/>
      </rPr>
      <t xml:space="preserve"> RF-OUB191TB-CE-B0-EL</t>
    </r>
  </si>
  <si>
    <r>
      <rPr>
        <sz val="10"/>
        <rFont val="宋体"/>
        <family val="3"/>
        <charset val="134"/>
      </rPr>
      <t>新物料</t>
    </r>
  </si>
  <si>
    <r>
      <rPr>
        <sz val="11"/>
        <color theme="1"/>
        <rFont val="宋体"/>
        <family val="3"/>
        <charset val="134"/>
      </rPr>
      <t>贴片集成稳压</t>
    </r>
    <r>
      <rPr>
        <sz val="11"/>
        <color theme="1"/>
        <rFont val="Arial"/>
        <family val="2"/>
      </rPr>
      <t>IC</t>
    </r>
  </si>
  <si>
    <t>SGMI\Voltage Reg TO-252-2 3.3V 1% 0.8A SGM2212-3.3XOB2G/TR</t>
  </si>
  <si>
    <t>N2</t>
  </si>
  <si>
    <r>
      <rPr>
        <sz val="11"/>
        <color theme="1"/>
        <rFont val="宋体"/>
        <family val="3"/>
        <charset val="134"/>
      </rPr>
      <t>运放</t>
    </r>
    <r>
      <rPr>
        <sz val="11"/>
        <color theme="1"/>
        <rFont val="Arial"/>
        <family val="2"/>
      </rPr>
      <t>IC</t>
    </r>
  </si>
  <si>
    <r>
      <rPr>
        <sz val="11"/>
        <color theme="1"/>
        <rFont val="宋体"/>
        <family val="3"/>
        <charset val="134"/>
      </rPr>
      <t>圣邦微</t>
    </r>
  </si>
  <si>
    <r>
      <rPr>
        <sz val="11"/>
        <color theme="1"/>
        <rFont val="宋体"/>
        <family val="3"/>
        <charset val="134"/>
      </rPr>
      <t>比较器</t>
    </r>
    <r>
      <rPr>
        <sz val="11"/>
        <color theme="1"/>
        <rFont val="Arial"/>
        <family val="2"/>
      </rPr>
      <t>IC</t>
    </r>
  </si>
  <si>
    <r>
      <rPr>
        <sz val="10"/>
        <rFont val="Arial"/>
        <family val="2"/>
      </rPr>
      <t>BL(</t>
    </r>
    <r>
      <rPr>
        <sz val="10"/>
        <rFont val="宋体"/>
        <family val="3"/>
        <charset val="134"/>
      </rPr>
      <t>上海贝岭</t>
    </r>
    <r>
      <rPr>
        <sz val="10"/>
        <rFont val="Arial"/>
        <family val="2"/>
      </rPr>
      <t>)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Giantec</t>
    </r>
    <r>
      <rPr>
        <sz val="10"/>
        <rFont val="宋体"/>
        <family val="3"/>
        <charset val="134"/>
      </rPr>
      <t>聚辰</t>
    </r>
  </si>
  <si>
    <r>
      <rPr>
        <sz val="11"/>
        <color theme="1"/>
        <rFont val="宋体"/>
        <family val="3"/>
        <charset val="134"/>
      </rPr>
      <t>贴片单片机</t>
    </r>
  </si>
  <si>
    <r>
      <rPr>
        <sz val="11"/>
        <color theme="1"/>
        <rFont val="宋体"/>
        <family val="3"/>
        <charset val="134"/>
      </rPr>
      <t>厚膜贴片电阻器</t>
    </r>
  </si>
  <si>
    <t>WALS\RES 75R F 1/4W 1206 WR12X75R0FTL</t>
  </si>
  <si>
    <t>R1</t>
  </si>
  <si>
    <t>ROYA\RES 75R F 1/4W 1206 1206W4F750JT5E</t>
  </si>
  <si>
    <r>
      <rPr>
        <sz val="11"/>
        <color theme="1"/>
        <rFont val="Arial"/>
        <family val="2"/>
      </rPr>
      <t>ROYALOHM</t>
    </r>
    <r>
      <rPr>
        <sz val="11"/>
        <color theme="1"/>
        <rFont val="宋体"/>
        <family val="3"/>
        <charset val="134"/>
      </rPr>
      <t>厚声</t>
    </r>
  </si>
  <si>
    <t>FH\RES 75R F 1/4W 1206 RS-06K75R0FT</t>
  </si>
  <si>
    <t>YAGEO\RES 75R F 1/4W 1206 RC1206FR-0775RL</t>
  </si>
  <si>
    <t>HKR\RES 75R F 1/4W 1206 RCT0675RFLF</t>
  </si>
  <si>
    <r>
      <rPr>
        <sz val="11"/>
        <color theme="1"/>
        <rFont val="宋体"/>
        <family val="3"/>
        <charset val="134"/>
      </rPr>
      <t>香港电阻</t>
    </r>
  </si>
  <si>
    <r>
      <rPr>
        <sz val="11"/>
        <color theme="1"/>
        <rFont val="宋体"/>
        <family val="3"/>
        <charset val="134"/>
      </rPr>
      <t>手插热敏电阻</t>
    </r>
  </si>
  <si>
    <r>
      <rPr>
        <sz val="11"/>
        <color theme="1"/>
        <rFont val="Arial"/>
        <family val="2"/>
      </rPr>
      <t>MF72 5D11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M-PTC-7.5-1.0</t>
    </r>
  </si>
  <si>
    <r>
      <rPr>
        <sz val="11"/>
        <color theme="1"/>
        <rFont val="Arial"/>
        <family val="2"/>
      </rPr>
      <t>NTC</t>
    </r>
    <r>
      <rPr>
        <sz val="11"/>
        <color theme="1"/>
        <rFont val="宋体"/>
        <family val="3"/>
        <charset val="134"/>
      </rPr>
      <t>热敏电阻器</t>
    </r>
  </si>
  <si>
    <t>APL\NTC R(25) 5R M B(25/50) 2800K F=7.5 编带 MF72-5D11内弯编带</t>
  </si>
  <si>
    <r>
      <rPr>
        <sz val="11"/>
        <color theme="1"/>
        <rFont val="宋体"/>
        <family val="3"/>
        <charset val="134"/>
      </rPr>
      <t>安培龙</t>
    </r>
    <r>
      <rPr>
        <sz val="11"/>
        <color theme="1"/>
        <rFont val="Arial"/>
        <family val="2"/>
      </rPr>
      <t>AMPRON</t>
    </r>
  </si>
  <si>
    <t>YAGEO\RES 47R F 1/4W 1206 RC1206FR-0747RL</t>
  </si>
  <si>
    <t>R3, R6</t>
  </si>
  <si>
    <t>FH\RES 47R F 1/4W 1206 RS-06K47R0FT</t>
  </si>
  <si>
    <t>WALS\RES 47R F 1/4W 1206 WR12X47R0FTL</t>
  </si>
  <si>
    <t>ROYA\RES 47R F 1/4W 1206 1206W4F470JT5E</t>
  </si>
  <si>
    <t>HKR\RES 47R F 1/4W 1206 RCT0647RFLF</t>
  </si>
  <si>
    <r>
      <rPr>
        <sz val="11"/>
        <color theme="1"/>
        <rFont val="Arial"/>
        <family val="2"/>
      </rPr>
      <t>41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"/>
        <family val="2"/>
      </rPr>
      <t>61</t>
    </r>
  </si>
  <si>
    <r>
      <rPr>
        <sz val="11"/>
        <color theme="1"/>
        <rFont val="Arial"/>
        <family val="2"/>
      </rPr>
      <t>R4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R82, R83</t>
    </r>
  </si>
  <si>
    <t>R5, R7, R10, R14, R16, R17, R18, R29, R41, R45, R46, R56, R57, R64, R65</t>
  </si>
  <si>
    <t>YAGEO\RES 5.1K F 1/8W 0805 RC0805FR-075K1L</t>
  </si>
  <si>
    <t>R9</t>
  </si>
  <si>
    <t>ROYA\RES 5.1K F 1/8W 0805 0805W8F5101T5E</t>
  </si>
  <si>
    <t>FH\RES 5.1K F 1/8W 0805 RS-05K5101FT</t>
  </si>
  <si>
    <t>WALS\RES 5.1K F 1/8W 0805 WR08X5101FTL</t>
  </si>
  <si>
    <t>HKR\RES 5.1K F 1/8W 0805 RCT055K1FLF</t>
  </si>
  <si>
    <r>
      <rPr>
        <sz val="11"/>
        <color theme="1"/>
        <rFont val="宋体"/>
        <family val="3"/>
        <charset val="134"/>
      </rPr>
      <t>贴片电阻器</t>
    </r>
  </si>
  <si>
    <t>R11, R43, R44, R47, R51, R52, R53, R84, R85, R86, R87</t>
  </si>
  <si>
    <t>FH\RES 22K F 1/16W 0402 RC-02K2202FT</t>
  </si>
  <si>
    <t>R12, R13, R25, R30</t>
  </si>
  <si>
    <t>WALS\RES 22K F 1/16W 0402 WR04X2202FTL</t>
  </si>
  <si>
    <t>YAGEO\RES 22K F 1/16W 0402 RC0402FR-0722KL</t>
  </si>
  <si>
    <t>ROYA\RES 22K F 1/16W 0402 0402WGF2202TCE</t>
  </si>
  <si>
    <t>HKR\RES 22K F 1/16W 0402 RCT0222KFLF</t>
  </si>
  <si>
    <t>YAGEO\RES 1K F 1/16W 0402 RC0402FR-071KL</t>
  </si>
  <si>
    <t>R15, R22, R28, R36, R81</t>
  </si>
  <si>
    <t>FH\RES 1K F 1/16W 0402 RC-02K1001FT</t>
  </si>
  <si>
    <t>WALS\RES 1K F 1/16W 0402 WR04X1001FTL</t>
  </si>
  <si>
    <t>ROYA\RES 1K F 1/16W 0402 0402WGF1001TCE</t>
  </si>
  <si>
    <t>HKR\RES 1K F 1/16W 0402 RCT021KFLF</t>
  </si>
  <si>
    <t>YAGEO\RES 50mR F 1W 1206 PE1206FRF470R05L</t>
  </si>
  <si>
    <t>YAGEO\RES 1K F 1/8W 0805 RC0805FR-071KL</t>
  </si>
  <si>
    <t>R20, R26</t>
  </si>
  <si>
    <t>FH\RES 1K F 1/8W 0805 RS-05K1001FT</t>
  </si>
  <si>
    <t>WALS\RES 1K F 1/8W 0805 WR08X1001FTL</t>
  </si>
  <si>
    <t>ROYA\RES 1K F 1/8W 0805 0805W8F1001T5E</t>
  </si>
  <si>
    <t>HKR\RES 1K F 1/8W 0805 RCT051KFLF</t>
  </si>
  <si>
    <t>YAGEO\RES 11K F 1/16W 0402 RC0402FR-0711KL</t>
  </si>
  <si>
    <t>R24, R27</t>
  </si>
  <si>
    <t>WALS\RES 11K F 1/16W 0402 WR04X1102FTL</t>
  </si>
  <si>
    <t>HKR\RES 11K F 1/16W 0402 RCT0211KFLF</t>
  </si>
  <si>
    <r>
      <rPr>
        <sz val="11"/>
        <color theme="1"/>
        <rFont val="Arial"/>
        <family val="2"/>
      </rPr>
      <t>HKR</t>
    </r>
    <r>
      <rPr>
        <sz val="11"/>
        <color theme="1"/>
        <rFont val="宋体"/>
        <family val="3"/>
        <charset val="134"/>
      </rPr>
      <t>香港电阻</t>
    </r>
  </si>
  <si>
    <t>ROYA\RES 11K F 1/16W 0402 0402WGF1102TCE</t>
  </si>
  <si>
    <t>YAGEO\RES 300K F 1/4W 1206 RC1206FR-07300KL</t>
  </si>
  <si>
    <t>R31, R32, R33</t>
  </si>
  <si>
    <t>WALS\RES 300K F 1/4W 1206 WR12X3003FTL</t>
  </si>
  <si>
    <t>ROYA\RES 300K F 1/4W 1206 1206W4F3003T5E</t>
  </si>
  <si>
    <t>HKR\RES 300K F 1/4W 1206 RCT06300KFLF</t>
  </si>
  <si>
    <t>FH\RES 300K F 1/4W 1206 RS-06K3003FT</t>
  </si>
  <si>
    <t>WALS\RES 9.1K F 1/16W 0402 WR04X9101FTL</t>
  </si>
  <si>
    <t>R34, R35</t>
  </si>
  <si>
    <t>YAGEO\RES 9.1K F 1/16W 0402 RC0402FR-079K1L</t>
  </si>
  <si>
    <t>ROYA\RES 9.1K F 1/16W 0402 0402WGF9101TCE</t>
  </si>
  <si>
    <t>FH\RES 9.1K F 1/16W 0402 RC-02K9101FT</t>
  </si>
  <si>
    <t>HKR\RES 9.1K F 1/16W 0402 RCT029K1FLF</t>
  </si>
  <si>
    <t>R37, R42, R50, R67, R68， R76, R78</t>
  </si>
  <si>
    <t>YAGEO\RES 4.7K F 1/10W 0603 RC0603FR-074K7L</t>
  </si>
  <si>
    <t>R38</t>
  </si>
  <si>
    <t>FH\RES 4.7K F 1/10W 0603 RS-03K4701FT</t>
  </si>
  <si>
    <t>WALS\RES 4.7K F 1/10W 0603 WR06X4701FTL</t>
  </si>
  <si>
    <t>ROYA\RES 4.7K F 1/10W 0603 0603WAF4701T5E</t>
  </si>
  <si>
    <t>HKR\RES 4.7K F 1/10W 0603 RCT034K7FLF</t>
  </si>
  <si>
    <t>YAGEO\RES 5.6K F 1/8W 0805 RC0805FR-075K6L</t>
  </si>
  <si>
    <t>R39</t>
  </si>
  <si>
    <t>FH\RES 5.6K F 1/8W 0805 RS-05K5601FT</t>
  </si>
  <si>
    <t>WALS\RES 5.6K F 1/8W 0805 WR08X5601FTL</t>
  </si>
  <si>
    <t>ROYA\RES 5.6K F 1/8W 0805 0805W8F5601T5E</t>
  </si>
  <si>
    <t>HKR\RES 5.6K F 1/8W 0805 RCT055K6FLF</t>
  </si>
  <si>
    <t>YAGEO\RES 6.2K F 1/16W 0402 RC0402FR-076K2L</t>
  </si>
  <si>
    <t>R40</t>
  </si>
  <si>
    <t>WALS\RES 6.2K F 1/16W 0402 WR04X6201FTL</t>
  </si>
  <si>
    <t>ROYA\RES 6.2K F 1/16W 0402 0402WGF6201TCE</t>
  </si>
  <si>
    <t>FH\RES 6.2K F 1/16W 0402 RC-02K6201FT</t>
  </si>
  <si>
    <t>WALS\RES 390R F 1/16W 0402 WR04X3900FTL</t>
  </si>
  <si>
    <t>R48, R49</t>
  </si>
  <si>
    <t>FH\RES 390R F 1/16W 0402 RC-02K3900FT</t>
  </si>
  <si>
    <t>YAGEO\RES 390R F 1/16W 0402 RC0402FR-07390RL</t>
  </si>
  <si>
    <t>HKR\RES 390R F 1/16W 0402 RCT02390RFLF</t>
  </si>
  <si>
    <t>ROYA\RES 390R F 1/16W 0402 0402WGF3900TCE</t>
  </si>
  <si>
    <t>FH\RES 0R R&lt;10mR 1/8W 0805 2A RS-05000FT</t>
  </si>
  <si>
    <r>
      <rPr>
        <sz val="11"/>
        <color theme="1"/>
        <rFont val="Arial"/>
        <family val="2"/>
      </rPr>
      <t>FH(</t>
    </r>
    <r>
      <rPr>
        <sz val="11"/>
        <color theme="1"/>
        <rFont val="宋体"/>
        <family val="3"/>
        <charset val="134"/>
      </rPr>
      <t>风华</t>
    </r>
    <r>
      <rPr>
        <sz val="11"/>
        <color theme="1"/>
        <rFont val="Arial"/>
        <family val="2"/>
      </rPr>
      <t>)</t>
    </r>
    <r>
      <rPr>
        <sz val="11"/>
        <color theme="1"/>
        <rFont val="宋体"/>
        <family val="3"/>
        <charset val="134"/>
      </rPr>
      <t>、厚声、翔胜、香港、华科等</t>
    </r>
  </si>
  <si>
    <t>R54, R59, R61</t>
  </si>
  <si>
    <t>R60</t>
  </si>
  <si>
    <t>FH\RES 0R R&lt;10mR 1/16W 0402 1A RC-02000FT</t>
  </si>
  <si>
    <t>R91, R92, R93</t>
  </si>
  <si>
    <t>YAGEO\RES 510R F 1/16W 0402 RC0402FR-07510RL</t>
  </si>
  <si>
    <t>R74, R75, R79，R73, R77, R80</t>
  </si>
  <si>
    <t>WALS\RES 510R F 1/16W 0402 WR04X5100FTL</t>
  </si>
  <si>
    <t>ROYA\RES 510R F 1/16W 0402 0402WGF5100TCE</t>
  </si>
  <si>
    <t>HKR\RES 510R F 1/16W 0402 200ppm/K RCT02510RFLF</t>
  </si>
  <si>
    <t>HKR(香港电阻)</t>
  </si>
  <si>
    <t>FH\RES 510R F 1/16W 0402 100ppm/K RC-02K5100FT</t>
  </si>
  <si>
    <r>
      <rPr>
        <sz val="11"/>
        <color theme="1"/>
        <rFont val="Arial"/>
        <family val="2"/>
      </rPr>
      <t>RV-MYN15-561K-</t>
    </r>
    <r>
      <rPr>
        <sz val="11"/>
        <color theme="1"/>
        <rFont val="宋体"/>
        <family val="3"/>
        <charset val="134"/>
      </rPr>
      <t>带护套</t>
    </r>
    <r>
      <rPr>
        <sz val="11"/>
        <color theme="1"/>
        <rFont val="Arial"/>
        <family val="2"/>
      </rPr>
      <t>-JC</t>
    </r>
  </si>
  <si>
    <r>
      <rPr>
        <sz val="11"/>
        <color theme="1"/>
        <rFont val="Arial"/>
        <family val="2"/>
      </rPr>
      <t xml:space="preserve">TD\VAR 560VDC 6000A 17.5*7.6 F=7.5 CQC;UL;VDE </t>
    </r>
    <r>
      <rPr>
        <sz val="11"/>
        <color theme="1"/>
        <rFont val="宋体"/>
        <family val="3"/>
        <charset val="134"/>
      </rPr>
      <t>外弯编带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黑热缩管</t>
    </r>
    <r>
      <rPr>
        <sz val="11"/>
        <color theme="1"/>
        <rFont val="Arial"/>
        <family val="2"/>
      </rPr>
      <t>(</t>
    </r>
    <r>
      <rPr>
        <sz val="11"/>
        <color theme="1"/>
        <rFont val="宋体"/>
        <family val="3"/>
        <charset val="134"/>
      </rPr>
      <t>高低温循环</t>
    </r>
    <r>
      <rPr>
        <sz val="11"/>
        <color theme="1"/>
        <rFont val="Arial"/>
        <family val="2"/>
      </rPr>
      <t>500</t>
    </r>
    <r>
      <rPr>
        <sz val="11"/>
        <color theme="1"/>
        <rFont val="宋体"/>
        <family val="3"/>
        <charset val="134"/>
      </rPr>
      <t>次</t>
    </r>
    <r>
      <rPr>
        <sz val="11"/>
        <color theme="1"/>
        <rFont val="Arial"/>
        <family val="2"/>
      </rPr>
      <t>) MYN15-561K-TRP3Y1F2H</t>
    </r>
  </si>
  <si>
    <t>成都铁达</t>
  </si>
  <si>
    <t>lin芯片</t>
  </si>
  <si>
    <t>NCA1021S-Q1SPR</t>
  </si>
  <si>
    <t>纳芯微</t>
  </si>
  <si>
    <t>贴片整流二极管</t>
  </si>
  <si>
    <t>JSCJ\RECT SMAG 1A/1000V GS1MA</t>
  </si>
  <si>
    <t>长电</t>
  </si>
  <si>
    <t>V1, V4, V8</t>
  </si>
  <si>
    <t>LRC\RECT DO-214AC 1A/1000V FM407</t>
  </si>
  <si>
    <t>乐山无线电</t>
  </si>
  <si>
    <t>MCC\RECT SMA 1A/1000V GS1M-L-TP</t>
  </si>
  <si>
    <t>MCC</t>
  </si>
  <si>
    <t>PANJ\RECT SMA(DO-214AC) 1A/1000V GS1M</t>
  </si>
  <si>
    <t>强茂</t>
  </si>
  <si>
    <r>
      <rPr>
        <sz val="11"/>
        <color theme="1"/>
        <rFont val="宋体"/>
        <family val="3"/>
        <charset val="134"/>
      </rPr>
      <t>贴片</t>
    </r>
    <r>
      <rPr>
        <sz val="11"/>
        <color theme="1"/>
        <rFont val="Arial"/>
        <family val="2"/>
      </rPr>
      <t>NPN</t>
    </r>
    <r>
      <rPr>
        <sz val="11"/>
        <color theme="1"/>
        <rFont val="宋体"/>
        <family val="3"/>
        <charset val="134"/>
      </rPr>
      <t>三极管</t>
    </r>
    <r>
      <rPr>
        <sz val="11"/>
        <color theme="1"/>
        <rFont val="Arial"/>
        <family val="2"/>
      </rPr>
      <t>(</t>
    </r>
    <r>
      <rPr>
        <sz val="11"/>
        <color theme="1"/>
        <rFont val="宋体"/>
        <family val="3"/>
        <charset val="134"/>
      </rPr>
      <t>内置电阻</t>
    </r>
    <r>
      <rPr>
        <sz val="11"/>
        <color theme="1"/>
        <rFont val="Arial"/>
        <family val="2"/>
      </rPr>
      <t>)</t>
    </r>
  </si>
  <si>
    <t>JSCJ\Transistor SOT-23 0.1A 50V R1=4K7 R2=4K7 DTC143ECA</t>
  </si>
  <si>
    <r>
      <rPr>
        <sz val="11"/>
        <color theme="1"/>
        <rFont val="宋体"/>
        <family val="3"/>
        <charset val="134"/>
      </rPr>
      <t>长晶</t>
    </r>
  </si>
  <si>
    <t>V5</t>
  </si>
  <si>
    <t>LRC\Transistor SOT-23 0.1A 50V R1=4K7 R2=4K7 LMUN2232LT1G</t>
  </si>
  <si>
    <r>
      <rPr>
        <sz val="11"/>
        <color theme="1"/>
        <rFont val="Arial"/>
        <family val="2"/>
      </rPr>
      <t>LRC</t>
    </r>
    <r>
      <rPr>
        <sz val="11"/>
        <color theme="1"/>
        <rFont val="宋体"/>
        <family val="3"/>
        <charset val="134"/>
      </rPr>
      <t>乐山无线电</t>
    </r>
  </si>
  <si>
    <r>
      <rPr>
        <sz val="11"/>
        <color theme="1"/>
        <rFont val="Arial"/>
        <family val="2"/>
      </rPr>
      <t>DB307S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3A1000V</t>
    </r>
  </si>
  <si>
    <r>
      <rPr>
        <sz val="11"/>
        <color theme="1"/>
        <rFont val="宋体"/>
        <family val="3"/>
        <charset val="134"/>
      </rPr>
      <t>贴片稳压二极管</t>
    </r>
  </si>
  <si>
    <t>JSCJ\Diode ZEN SMAG 20V 5% 1W 1SMA4747A</t>
  </si>
  <si>
    <r>
      <rPr>
        <sz val="11"/>
        <color theme="1"/>
        <rFont val="宋体"/>
        <family val="3"/>
        <charset val="134"/>
      </rPr>
      <t>长晶、</t>
    </r>
    <r>
      <rPr>
        <sz val="11"/>
        <color theme="1"/>
        <rFont val="Arial"/>
        <family val="2"/>
      </rPr>
      <t>MCC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"/>
        <family val="2"/>
      </rPr>
      <t>LRC</t>
    </r>
    <r>
      <rPr>
        <sz val="11"/>
        <color theme="1"/>
        <rFont val="宋体"/>
        <family val="3"/>
        <charset val="134"/>
      </rPr>
      <t>、强茂</t>
    </r>
  </si>
  <si>
    <t>V13</t>
  </si>
  <si>
    <r>
      <rPr>
        <sz val="11"/>
        <color theme="1"/>
        <rFont val="Arial"/>
        <family val="2"/>
      </rPr>
      <t>FPC</t>
    </r>
    <r>
      <rPr>
        <sz val="11"/>
        <color theme="1"/>
        <rFont val="宋体"/>
        <family val="3"/>
        <charset val="134"/>
      </rPr>
      <t>连接器卧式</t>
    </r>
  </si>
  <si>
    <r>
      <rPr>
        <sz val="11"/>
        <color theme="1"/>
        <rFont val="Arial"/>
        <family val="2"/>
      </rPr>
      <t>AFA10-S04LCC-00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FPC-SMD_4P-P1.00-L2.9-W6.0</t>
    </r>
  </si>
  <si>
    <r>
      <rPr>
        <sz val="11"/>
        <color theme="1"/>
        <rFont val="Arial"/>
        <family val="2"/>
      </rPr>
      <t>JS(</t>
    </r>
    <r>
      <rPr>
        <sz val="11"/>
        <color theme="1"/>
        <rFont val="宋体"/>
        <family val="3"/>
        <charset val="134"/>
      </rPr>
      <t>钜硕电子</t>
    </r>
    <r>
      <rPr>
        <sz val="11"/>
        <color theme="1"/>
        <rFont val="Arial"/>
        <family val="2"/>
      </rPr>
      <t>)</t>
    </r>
  </si>
  <si>
    <t>E1</t>
  </si>
  <si>
    <t>华科报价型号	S243B102K502CT</t>
  </si>
  <si>
    <t>220uf/25V，BD6.3-L6.6-W6.6-LS7.2-FD，2000H</t>
  </si>
  <si>
    <t>C47</t>
  </si>
  <si>
    <t>6N137-CuH-S，SOP-8-2.54mm</t>
  </si>
  <si>
    <t>E2</t>
  </si>
  <si>
    <r>
      <rPr>
        <sz val="9"/>
        <color theme="1"/>
        <rFont val="宋体"/>
        <family val="3"/>
        <charset val="134"/>
      </rPr>
      <t>10A 250VAC SPST VDE,UL,CQC HF32F-G-012-HS</t>
    </r>
    <r>
      <rPr>
        <sz val="9"/>
        <color rgb="FFFF0000"/>
        <rFont val="宋体"/>
        <family val="3"/>
        <charset val="134"/>
      </rPr>
      <t>防爆</t>
    </r>
  </si>
  <si>
    <r>
      <rPr>
        <sz val="9"/>
        <rFont val="宋体"/>
        <family val="3"/>
        <charset val="134"/>
      </rPr>
      <t>新物料</t>
    </r>
  </si>
  <si>
    <r>
      <rPr>
        <sz val="9"/>
        <rFont val="宋体"/>
        <family val="3"/>
        <charset val="134"/>
      </rPr>
      <t>BL(上海贝岭)、Giantec聚辰</t>
    </r>
  </si>
  <si>
    <t>贴片三极管</t>
  </si>
  <si>
    <t>MMBT3904/SOT-23</t>
  </si>
  <si>
    <t>长晶、MCC、LRC、强茂</t>
  </si>
  <si>
    <t>V11, V12</t>
  </si>
  <si>
    <t>PCB</t>
  </si>
  <si>
    <r>
      <rPr>
        <sz val="9"/>
        <rFont val="微软雅黑"/>
        <family val="2"/>
        <charset val="134"/>
      </rPr>
      <t>157mm*</t>
    </r>
    <r>
      <rPr>
        <sz val="9"/>
        <color rgb="FFFF0000"/>
        <rFont val="微软雅黑"/>
        <family val="2"/>
        <charset val="134"/>
      </rPr>
      <t>93</t>
    </r>
    <r>
      <rPr>
        <sz val="9"/>
        <rFont val="微软雅黑"/>
        <family val="2"/>
        <charset val="134"/>
      </rPr>
      <t>mm  FR-4 CTI≥600V,绿油 白字 板厚1.6mm，</t>
    </r>
    <r>
      <rPr>
        <sz val="9"/>
        <color theme="9"/>
        <rFont val="微软雅黑"/>
        <family val="2"/>
        <charset val="134"/>
      </rPr>
      <t>1oz?</t>
    </r>
  </si>
  <si>
    <t>DB307S，DBS_L8.4-W6.4-P5.10-LS10.2-TL</t>
  </si>
  <si>
    <t>BD1</t>
  </si>
  <si>
    <t>C1, C3, C5, C58, C59, C60，C14, C17, C18, C19, C21, C23, C24, C29, C51, C52, C53, C61, C62, C63, C64, C66</t>
  </si>
  <si>
    <t>CCTC(三环)</t>
  </si>
  <si>
    <t>C8, C15，C12</t>
  </si>
  <si>
    <t>X2安规薄膜电容器</t>
  </si>
  <si>
    <t>STE\X2 RADB10 220N K 275VAC 编带_13*6*12 VDE UL CQC 黄壳_X2P2224KN5B0130120060ES0</t>
  </si>
  <si>
    <t>100uF/450V（D18*L25），CAP_EC_R9_D7.5，2000H</t>
  </si>
  <si>
    <t>C11, C43</t>
  </si>
  <si>
    <t>C13</t>
  </si>
  <si>
    <t>C27, C28, C34, C35</t>
  </si>
  <si>
    <t>YAGEO(国巨,PHYCOMP)、三环、风华、华科、国巨</t>
  </si>
  <si>
    <t>C30, C33</t>
  </si>
  <si>
    <t>17、18</t>
  </si>
  <si>
    <t>C45，C49</t>
  </si>
  <si>
    <t>Y1安规圆片电容器</t>
  </si>
  <si>
    <t>WALS\CAP Y1 2.2nF M Y5U 250VAC 9*4.5 F=7.5 编带 UL YU0AH222M080XAFD7T</t>
  </si>
  <si>
    <t>C65</t>
  </si>
  <si>
    <t>Y1 2.2nF M Y5U 250VAC 9*4.5 F=7.5 编带</t>
  </si>
  <si>
    <t>BETT\FUSE 3.15A 250VAC 慢断 8.3*4.1*7.6 F=5.08 CCC;UL;VDE 编带 9321315278</t>
  </si>
  <si>
    <t>LITT\FUSE 3.15A250VAC 8.5*4*8 F=5.08 编带 ,CCC,VDE,PSE,UL 39213150000</t>
  </si>
  <si>
    <t>熔断器</t>
  </si>
  <si>
    <r>
      <rPr>
        <sz val="9"/>
        <rFont val="微软雅黑"/>
        <family val="2"/>
        <charset val="134"/>
      </rPr>
      <t>10A 250VAC SPST VDE,UL,CQC HF32F-G-012-HS</t>
    </r>
    <r>
      <rPr>
        <sz val="9"/>
        <color rgb="FFFF0000"/>
        <rFont val="微软雅黑"/>
        <family val="2"/>
        <charset val="134"/>
      </rPr>
      <t>防爆</t>
    </r>
  </si>
  <si>
    <t>K1, K2</t>
  </si>
  <si>
    <t>贴片电感</t>
  </si>
  <si>
    <t>1mH/500mA，IND-SMD_L8.0-W8.0</t>
  </si>
  <si>
    <t>菲尔泰科</t>
  </si>
  <si>
    <t>贴片功率电感器</t>
  </si>
  <si>
    <t>WE\IND 1mH M 0.48A 8*8*6.5 74404086102</t>
  </si>
  <si>
    <t>Würth Elektronik</t>
  </si>
  <si>
    <t>3L\IND 1mH M 0.48A 8.09*7.97*6.35 SNR8065-102M?</t>
  </si>
  <si>
    <t>3L</t>
  </si>
  <si>
    <t>YHCX\IND 1mH M 0.5A 8*8*6.5 NR8065-102M</t>
  </si>
  <si>
    <t>YHCX(银河创新)</t>
  </si>
  <si>
    <t>电抗器</t>
  </si>
  <si>
    <t>R0209ND-10mH-2A</t>
  </si>
  <si>
    <t>L3</t>
  </si>
  <si>
    <t>SQ15C-1R5F200VA</t>
  </si>
  <si>
    <t>25、56</t>
  </si>
  <si>
    <t>贴片集成稳压IC</t>
  </si>
  <si>
    <t>R1, R8</t>
  </si>
  <si>
    <t>NTC热敏电阻器</t>
  </si>
  <si>
    <t>安培龙AMPRON</t>
  </si>
  <si>
    <t>R4</t>
  </si>
  <si>
    <t>R5, R7, R10, R14, R16, R17, R18, R29, R41, R45, R46, R64, R65</t>
  </si>
  <si>
    <t>R11, R44, R47, R84, R85, R86, R87</t>
  </si>
  <si>
    <t>R15</t>
  </si>
  <si>
    <t>贴片电阻</t>
  </si>
  <si>
    <t>2512-50mR-1%-1W</t>
  </si>
  <si>
    <t>风华、华科、厚生、香港、翔胜</t>
  </si>
  <si>
    <t>R20, R22, R26, R28, R36</t>
  </si>
  <si>
    <t>HKR香港电阻</t>
  </si>
  <si>
    <t>R37, R67, R68，</t>
  </si>
  <si>
    <t>YAGEO\RES 5.6K F 1/16W 0402 RC0402FR-075K6L</t>
  </si>
  <si>
    <t>WALS\RES 5.6K F 1/16W 0402 WR04X5601FTL</t>
  </si>
  <si>
    <t>FH\RES 5.6K F 1/16W 0402 RC-02K5601FT</t>
  </si>
  <si>
    <t>ROYA\RES 5.6K F 1/16W 0402 0402WGF5601TCE</t>
  </si>
  <si>
    <t>HKR\RES 5.6K F 1/16W 0402 RCT025K6FLF</t>
  </si>
  <si>
    <t>TD\VAR 560VDC 6000A 17.5*7.6 F=7.5 CQC;UL;VDE 外弯编带 黑热缩管(高低温循环500次) MYN15-561K-TRP3Y1F2H</t>
  </si>
  <si>
    <t>V1, V2, V4</t>
  </si>
  <si>
    <t>贴片快恢复二极管</t>
  </si>
  <si>
    <t>PANJ\Diode Fast DO-214AC 1A 600V 35ns ES1J_R1_00001</t>
  </si>
  <si>
    <t>V8</t>
  </si>
  <si>
    <t>JSCJ\Diode Fast DO-214AC(SMAG) 1A 600V 35ns ES1J</t>
  </si>
  <si>
    <t>长晶</t>
  </si>
  <si>
    <t>贴片NPN三极管(内置电阻)</t>
  </si>
  <si>
    <t>V3, V5</t>
  </si>
  <si>
    <t>LRC乐山无线电</t>
  </si>
  <si>
    <t>贴片稳压二极管</t>
  </si>
  <si>
    <r>
      <rPr>
        <sz val="10"/>
        <rFont val="宋体"/>
        <family val="3"/>
        <charset val="134"/>
      </rPr>
      <t>琴芯微</t>
    </r>
  </si>
  <si>
    <r>
      <rPr>
        <sz val="11"/>
        <color theme="1"/>
        <rFont val="宋体"/>
        <family val="3"/>
        <charset val="134"/>
      </rPr>
      <t>国创</t>
    </r>
  </si>
  <si>
    <r>
      <rPr>
        <sz val="10"/>
        <rFont val="宋体"/>
        <family val="3"/>
        <charset val="134"/>
      </rPr>
      <t>整流桥</t>
    </r>
  </si>
  <si>
    <r>
      <rPr>
        <sz val="10"/>
        <rFont val="Arial"/>
        <family val="2"/>
      </rPr>
      <t>DB307S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DBS_L8.4-W6.4-P5.10-LS10.2-TL</t>
    </r>
  </si>
  <si>
    <r>
      <rPr>
        <sz val="10"/>
        <rFont val="宋体"/>
        <family val="3"/>
        <charset val="134"/>
      </rPr>
      <t>乐山希尔</t>
    </r>
  </si>
  <si>
    <r>
      <rPr>
        <sz val="10"/>
        <rFont val="宋体"/>
        <family val="3"/>
        <charset val="134"/>
      </rPr>
      <t>贴片电容器</t>
    </r>
  </si>
  <si>
    <r>
      <rPr>
        <sz val="10"/>
        <rFont val="Arial"/>
        <family val="2"/>
      </rPr>
      <t>YAGEO(</t>
    </r>
    <r>
      <rPr>
        <sz val="10"/>
        <rFont val="宋体"/>
        <family val="3"/>
        <charset val="134"/>
      </rPr>
      <t>国巨</t>
    </r>
    <r>
      <rPr>
        <sz val="10"/>
        <rFont val="Arial"/>
        <family val="2"/>
      </rPr>
      <t>,PHYCOMP)</t>
    </r>
  </si>
  <si>
    <r>
      <rPr>
        <sz val="10"/>
        <rFont val="宋体"/>
        <family val="3"/>
        <charset val="134"/>
      </rPr>
      <t>贴片陶瓷电容器</t>
    </r>
  </si>
  <si>
    <r>
      <rPr>
        <sz val="10"/>
        <rFont val="Arial"/>
        <family val="2"/>
      </rPr>
      <t>WALSIN(</t>
    </r>
    <r>
      <rPr>
        <sz val="10"/>
        <rFont val="宋体"/>
        <family val="3"/>
        <charset val="134"/>
      </rPr>
      <t>华科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汇桥</t>
    </r>
    <r>
      <rPr>
        <sz val="10"/>
        <rFont val="Arial"/>
        <family val="2"/>
      </rPr>
      <t>)</t>
    </r>
  </si>
  <si>
    <r>
      <rPr>
        <sz val="10"/>
        <rFont val="宋体"/>
        <family val="3"/>
        <charset val="134"/>
      </rPr>
      <t>风华</t>
    </r>
  </si>
  <si>
    <r>
      <rPr>
        <sz val="10"/>
        <rFont val="宋体"/>
        <family val="3"/>
        <charset val="134"/>
      </rPr>
      <t>三环</t>
    </r>
  </si>
  <si>
    <r>
      <rPr>
        <sz val="10"/>
        <rFont val="宋体"/>
        <family val="3"/>
        <charset val="134"/>
      </rPr>
      <t>电解电容</t>
    </r>
  </si>
  <si>
    <r>
      <rPr>
        <sz val="10"/>
        <rFont val="Arial"/>
        <family val="2"/>
      </rPr>
      <t>100uF/450V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D18*L25</t>
    </r>
    <r>
      <rPr>
        <sz val="10"/>
        <rFont val="宋体"/>
        <family val="3"/>
        <charset val="134"/>
      </rPr>
      <t>），</t>
    </r>
    <r>
      <rPr>
        <sz val="10"/>
        <rFont val="Arial"/>
        <family val="2"/>
      </rPr>
      <t>CAP_EC_R9_D7.5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2000H</t>
    </r>
  </si>
  <si>
    <r>
      <rPr>
        <sz val="11"/>
        <color theme="1"/>
        <rFont val="宋体"/>
        <family val="3"/>
        <charset val="134"/>
      </rPr>
      <t>中钰、中元、丰宾、江浩、艾华</t>
    </r>
  </si>
  <si>
    <r>
      <rPr>
        <sz val="10"/>
        <rFont val="宋体"/>
        <family val="3"/>
        <charset val="134"/>
      </rPr>
      <t>贴片电解电容</t>
    </r>
  </si>
  <si>
    <r>
      <rPr>
        <sz val="10"/>
        <rFont val="Arial"/>
        <family val="2"/>
      </rPr>
      <t>100uF/16V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BD6.3-L6.6-W6.6-LS7.2-FD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2000H</t>
    </r>
  </si>
  <si>
    <r>
      <rPr>
        <sz val="10"/>
        <rFont val="Arial"/>
        <family val="2"/>
      </rPr>
      <t>220uf/25V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SMD_BD5.0-L5.3-W5.3-FD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2000H</t>
    </r>
  </si>
  <si>
    <r>
      <rPr>
        <sz val="10"/>
        <rFont val="宋体"/>
        <family val="3"/>
        <charset val="134"/>
      </rPr>
      <t>贴片电容</t>
    </r>
  </si>
  <si>
    <r>
      <rPr>
        <sz val="10"/>
        <rFont val="Arial"/>
        <family val="2"/>
      </rPr>
      <t>SAMSUNG</t>
    </r>
    <r>
      <rPr>
        <sz val="10"/>
        <rFont val="宋体"/>
        <family val="3"/>
        <charset val="134"/>
      </rPr>
      <t>三星</t>
    </r>
  </si>
  <si>
    <r>
      <rPr>
        <sz val="10"/>
        <rFont val="Arial"/>
        <family val="2"/>
      </rPr>
      <t>YAGEO(</t>
    </r>
    <r>
      <rPr>
        <sz val="10"/>
        <rFont val="宋体"/>
        <family val="3"/>
        <charset val="134"/>
      </rPr>
      <t>国巨</t>
    </r>
    <r>
      <rPr>
        <sz val="10"/>
        <rFont val="Arial"/>
        <family val="2"/>
      </rPr>
      <t>,PHYCOMP)</t>
    </r>
    <r>
      <rPr>
        <sz val="10"/>
        <rFont val="宋体"/>
        <family val="3"/>
        <charset val="134"/>
      </rPr>
      <t>、三环、风华、华科、国巨</t>
    </r>
  </si>
  <si>
    <t>C31, C32, C54, C57</t>
  </si>
  <si>
    <r>
      <rPr>
        <sz val="10"/>
        <rFont val="Arial"/>
        <family val="2"/>
      </rPr>
      <t>C45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C49</t>
    </r>
  </si>
  <si>
    <r>
      <rPr>
        <sz val="10"/>
        <rFont val="Arial"/>
        <family val="2"/>
      </rPr>
      <t>FH\CAP Cer 1uF K X7R 10VDC 0402 -55</t>
    </r>
    <r>
      <rPr>
        <sz val="10"/>
        <rFont val="宋体"/>
        <family val="3"/>
        <charset val="134"/>
      </rPr>
      <t>℃</t>
    </r>
    <r>
      <rPr>
        <sz val="10"/>
        <rFont val="Arial"/>
        <family val="2"/>
      </rPr>
      <t>~125</t>
    </r>
    <r>
      <rPr>
        <sz val="10"/>
        <rFont val="宋体"/>
        <family val="3"/>
        <charset val="134"/>
      </rPr>
      <t>℃</t>
    </r>
    <r>
      <rPr>
        <sz val="10"/>
        <rFont val="Arial"/>
        <family val="2"/>
      </rPr>
      <t xml:space="preserve"> 0402B105K100NT</t>
    </r>
  </si>
  <si>
    <r>
      <rPr>
        <sz val="10"/>
        <rFont val="Arial"/>
        <family val="2"/>
      </rPr>
      <t>FH(</t>
    </r>
    <r>
      <rPr>
        <sz val="10"/>
        <rFont val="宋体"/>
        <family val="3"/>
        <charset val="134"/>
      </rPr>
      <t>风华</t>
    </r>
    <r>
      <rPr>
        <sz val="10"/>
        <rFont val="Arial"/>
        <family val="2"/>
      </rPr>
      <t>)</t>
    </r>
    <r>
      <rPr>
        <sz val="10"/>
        <rFont val="宋体"/>
        <family val="3"/>
        <charset val="134"/>
      </rPr>
      <t>、三环、华科</t>
    </r>
  </si>
  <si>
    <t>WALS\CAP Cer 100nF K X7R 100VDC 0603 0603B104K101CT</t>
  </si>
  <si>
    <t>YAGEO\CAP Cer 100nF K X7R 100VDC 0603 CC0603KRX7R0BB104</t>
  </si>
  <si>
    <t>FH\CAP Cer 100nF K X7R 100VDC 0603 0603B104K101NT</t>
  </si>
  <si>
    <t>风华、三环</t>
  </si>
  <si>
    <r>
      <rPr>
        <sz val="10"/>
        <rFont val="Arial"/>
        <family val="2"/>
      </rPr>
      <t>YAGEO(</t>
    </r>
    <r>
      <rPr>
        <sz val="10"/>
        <rFont val="宋体"/>
        <family val="3"/>
        <charset val="134"/>
      </rPr>
      <t>国巨</t>
    </r>
    <r>
      <rPr>
        <sz val="10"/>
        <rFont val="Arial"/>
        <family val="2"/>
      </rPr>
      <t>,PHYCOMP)</t>
    </r>
    <r>
      <rPr>
        <sz val="10"/>
        <rFont val="宋体"/>
        <family val="3"/>
        <charset val="134"/>
      </rPr>
      <t>、三环、风华</t>
    </r>
  </si>
  <si>
    <r>
      <rPr>
        <sz val="11"/>
        <color theme="1"/>
        <rFont val="Arial"/>
        <family val="2"/>
      </rPr>
      <t>18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"/>
        <family val="2"/>
      </rPr>
      <t>19</t>
    </r>
  </si>
  <si>
    <r>
      <rPr>
        <sz val="10"/>
        <rFont val="Arial"/>
        <family val="2"/>
      </rPr>
      <t>Y1</t>
    </r>
    <r>
      <rPr>
        <sz val="10"/>
        <rFont val="宋体"/>
        <family val="3"/>
        <charset val="134"/>
      </rPr>
      <t>安规圆片电容器</t>
    </r>
  </si>
  <si>
    <r>
      <rPr>
        <sz val="10"/>
        <rFont val="Arial"/>
        <family val="2"/>
      </rPr>
      <t xml:space="preserve">Y1 2.2nF M Y5U 250VAC 9*4.5 F=7.5 </t>
    </r>
    <r>
      <rPr>
        <sz val="10"/>
        <rFont val="宋体"/>
        <family val="3"/>
        <charset val="134"/>
      </rPr>
      <t>编带</t>
    </r>
  </si>
  <si>
    <r>
      <rPr>
        <sz val="10"/>
        <rFont val="Arial"/>
        <family val="2"/>
      </rPr>
      <t xml:space="preserve">WALS\CAP Y1 2.2nF M Y5U 250VAC 9*4.5 F=7.5 </t>
    </r>
    <r>
      <rPr>
        <sz val="10"/>
        <rFont val="宋体"/>
        <family val="3"/>
        <charset val="134"/>
      </rPr>
      <t>编带</t>
    </r>
    <r>
      <rPr>
        <sz val="10"/>
        <rFont val="Arial"/>
        <family val="2"/>
      </rPr>
      <t xml:space="preserve"> UL YU0AH222M080XAFD7T</t>
    </r>
  </si>
  <si>
    <r>
      <rPr>
        <sz val="10"/>
        <rFont val="Arial"/>
        <family val="2"/>
      </rPr>
      <t>WALSIN(</t>
    </r>
    <r>
      <rPr>
        <sz val="10"/>
        <rFont val="宋体"/>
        <family val="3"/>
        <charset val="134"/>
      </rPr>
      <t>华科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汇桥</t>
    </r>
    <r>
      <rPr>
        <sz val="10"/>
        <rFont val="Arial"/>
        <family val="2"/>
      </rPr>
      <t>)</t>
    </r>
    <r>
      <rPr>
        <sz val="10"/>
        <rFont val="宋体"/>
        <family val="3"/>
        <charset val="134"/>
      </rPr>
      <t>、同皓</t>
    </r>
  </si>
  <si>
    <r>
      <rPr>
        <sz val="10"/>
        <rFont val="Arial"/>
        <family val="2"/>
      </rPr>
      <t>CCTC(</t>
    </r>
    <r>
      <rPr>
        <sz val="10"/>
        <rFont val="宋体"/>
        <family val="3"/>
        <charset val="134"/>
      </rPr>
      <t>三环</t>
    </r>
    <r>
      <rPr>
        <sz val="10"/>
        <rFont val="Arial"/>
        <family val="2"/>
      </rPr>
      <t>)</t>
    </r>
  </si>
  <si>
    <r>
      <rPr>
        <sz val="10"/>
        <rFont val="宋体"/>
        <family val="3"/>
        <charset val="134"/>
      </rPr>
      <t>贴片安规电容</t>
    </r>
  </si>
  <si>
    <r>
      <rPr>
        <sz val="10"/>
        <rFont val="Arial"/>
        <family val="2"/>
      </rPr>
      <t>Y2-1nF-250V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C1812</t>
    </r>
  </si>
  <si>
    <r>
      <rPr>
        <sz val="10"/>
        <rFont val="Arial"/>
        <family val="2"/>
      </rPr>
      <t>C8, C15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C12</t>
    </r>
  </si>
  <si>
    <r>
      <rPr>
        <sz val="10"/>
        <rFont val="Arial"/>
        <family val="2"/>
      </rPr>
      <t>X2</t>
    </r>
    <r>
      <rPr>
        <sz val="10"/>
        <rFont val="宋体"/>
        <family val="3"/>
        <charset val="134"/>
      </rPr>
      <t>安规薄膜电容器</t>
    </r>
  </si>
  <si>
    <r>
      <rPr>
        <sz val="10"/>
        <rFont val="Arial"/>
        <family val="2"/>
      </rPr>
      <t xml:space="preserve">STE\X2 RADB10 220N K 275VAC </t>
    </r>
    <r>
      <rPr>
        <sz val="10"/>
        <rFont val="宋体"/>
        <family val="3"/>
        <charset val="134"/>
      </rPr>
      <t>编带</t>
    </r>
    <r>
      <rPr>
        <sz val="10"/>
        <rFont val="Arial"/>
        <family val="2"/>
      </rPr>
      <t xml:space="preserve">_13*6*12 VDE UL CQC </t>
    </r>
    <r>
      <rPr>
        <sz val="10"/>
        <rFont val="宋体"/>
        <family val="3"/>
        <charset val="134"/>
      </rPr>
      <t>黄壳</t>
    </r>
    <r>
      <rPr>
        <sz val="10"/>
        <rFont val="Arial"/>
        <family val="2"/>
      </rPr>
      <t>_X2P2224KN5B0130120060ES0</t>
    </r>
  </si>
  <si>
    <r>
      <rPr>
        <sz val="10"/>
        <rFont val="宋体"/>
        <family val="3"/>
        <charset val="134"/>
      </rPr>
      <t>松田</t>
    </r>
  </si>
  <si>
    <r>
      <rPr>
        <sz val="10"/>
        <rFont val="宋体"/>
        <family val="3"/>
        <charset val="134"/>
      </rPr>
      <t>熔断器</t>
    </r>
  </si>
  <si>
    <r>
      <rPr>
        <sz val="10"/>
        <rFont val="Arial"/>
        <family val="2"/>
      </rPr>
      <t>2010T3.15A250V/T3.15A/250V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FUSE_L8.5_W4_D5.08</t>
    </r>
  </si>
  <si>
    <r>
      <rPr>
        <sz val="10"/>
        <rFont val="宋体"/>
        <family val="3"/>
        <charset val="134"/>
      </rPr>
      <t>华德</t>
    </r>
  </si>
  <si>
    <r>
      <rPr>
        <sz val="10"/>
        <rFont val="宋体"/>
        <family val="3"/>
        <charset val="134"/>
      </rPr>
      <t>功率继电器</t>
    </r>
  </si>
  <si>
    <r>
      <rPr>
        <sz val="10"/>
        <rFont val="Arial"/>
        <family val="2"/>
      </rPr>
      <t>10A 250VAC SPST VDE,UL,CQC HF32F-G-012-HS</t>
    </r>
    <r>
      <rPr>
        <sz val="10"/>
        <color rgb="FFFF0000"/>
        <rFont val="宋体"/>
        <family val="3"/>
        <charset val="134"/>
      </rPr>
      <t>防爆</t>
    </r>
  </si>
  <si>
    <r>
      <rPr>
        <sz val="10"/>
        <rFont val="宋体"/>
        <family val="3"/>
        <charset val="134"/>
      </rPr>
      <t>厦门宏发电声</t>
    </r>
    <r>
      <rPr>
        <sz val="10"/>
        <rFont val="Arial"/>
        <family val="2"/>
      </rPr>
      <t>HONGFA</t>
    </r>
  </si>
  <si>
    <r>
      <rPr>
        <sz val="10"/>
        <rFont val="Arial"/>
        <family val="2"/>
      </rPr>
      <t>1mH/500mA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IND-SMD_L8.0-W8.0</t>
    </r>
  </si>
  <si>
    <r>
      <rPr>
        <sz val="11"/>
        <color theme="1"/>
        <rFont val="Arial"/>
        <family val="2"/>
      </rPr>
      <t>29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"/>
        <family val="2"/>
      </rPr>
      <t>63</t>
    </r>
  </si>
  <si>
    <r>
      <rPr>
        <sz val="10"/>
        <rFont val="Arial"/>
        <family val="2"/>
      </rPr>
      <t>157mm*</t>
    </r>
    <r>
      <rPr>
        <sz val="10"/>
        <color rgb="FFFF0000"/>
        <rFont val="Arial"/>
        <family val="2"/>
      </rPr>
      <t>93</t>
    </r>
    <r>
      <rPr>
        <sz val="10"/>
        <rFont val="Arial"/>
        <family val="2"/>
      </rPr>
      <t>mm  FR-4 CTI</t>
    </r>
    <r>
      <rPr>
        <sz val="10"/>
        <rFont val="宋体"/>
        <family val="3"/>
        <charset val="134"/>
      </rPr>
      <t>≥</t>
    </r>
    <r>
      <rPr>
        <sz val="10"/>
        <rFont val="Arial"/>
        <family val="2"/>
      </rPr>
      <t>600V,</t>
    </r>
    <r>
      <rPr>
        <sz val="10"/>
        <rFont val="宋体"/>
        <family val="3"/>
        <charset val="134"/>
      </rPr>
      <t>绿油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白字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板厚</t>
    </r>
    <r>
      <rPr>
        <sz val="10"/>
        <rFont val="Arial"/>
        <family val="2"/>
      </rPr>
      <t>1.6mm</t>
    </r>
    <r>
      <rPr>
        <sz val="10"/>
        <rFont val="宋体"/>
        <family val="3"/>
        <charset val="134"/>
      </rPr>
      <t>，</t>
    </r>
    <r>
      <rPr>
        <sz val="10"/>
        <color theme="9"/>
        <rFont val="Arial"/>
        <family val="2"/>
      </rPr>
      <t>1oz?</t>
    </r>
  </si>
  <si>
    <r>
      <rPr>
        <sz val="10"/>
        <color theme="1"/>
        <rFont val="等线"/>
        <family val="3"/>
        <charset val="134"/>
      </rPr>
      <t>兴海容、中信华、丰利达</t>
    </r>
  </si>
  <si>
    <r>
      <rPr>
        <sz val="10"/>
        <rFont val="宋体"/>
        <family val="3"/>
        <charset val="134"/>
      </rPr>
      <t>厚膜贴片电阻器</t>
    </r>
  </si>
  <si>
    <r>
      <rPr>
        <sz val="10"/>
        <rFont val="Arial"/>
        <family val="2"/>
      </rPr>
      <t>ROYALOHM</t>
    </r>
    <r>
      <rPr>
        <sz val="10"/>
        <rFont val="宋体"/>
        <family val="3"/>
        <charset val="134"/>
      </rPr>
      <t>厚声</t>
    </r>
  </si>
  <si>
    <r>
      <rPr>
        <sz val="10"/>
        <rFont val="宋体"/>
        <family val="3"/>
        <charset val="134"/>
      </rPr>
      <t>香港电阻</t>
    </r>
  </si>
  <si>
    <r>
      <rPr>
        <sz val="10"/>
        <rFont val="宋体"/>
        <family val="3"/>
        <charset val="134"/>
      </rPr>
      <t>贴片电阻器</t>
    </r>
  </si>
  <si>
    <t>R20, R22, R26, R28, R36，R81</t>
  </si>
  <si>
    <r>
      <rPr>
        <sz val="10"/>
        <rFont val="Arial"/>
        <family val="2"/>
      </rPr>
      <t>HKR</t>
    </r>
    <r>
      <rPr>
        <sz val="10"/>
        <rFont val="宋体"/>
        <family val="3"/>
        <charset val="134"/>
      </rPr>
      <t>香港电阻</t>
    </r>
  </si>
  <si>
    <t>R37, R67, R68，R76, R78</t>
  </si>
  <si>
    <t>R73,R77，R80,R74, R75, R79</t>
  </si>
  <si>
    <t>FH(风华)、厚声、翔胜、香港、华科等</t>
  </si>
  <si>
    <r>
      <rPr>
        <sz val="10"/>
        <rFont val="宋体"/>
        <family val="3"/>
        <charset val="134"/>
      </rPr>
      <t>贴片</t>
    </r>
    <r>
      <rPr>
        <sz val="10"/>
        <rFont val="Arial"/>
        <family val="2"/>
      </rPr>
      <t>NPN</t>
    </r>
    <r>
      <rPr>
        <sz val="10"/>
        <rFont val="宋体"/>
        <family val="3"/>
        <charset val="134"/>
      </rPr>
      <t>三极管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内置电阻</t>
    </r>
    <r>
      <rPr>
        <sz val="10"/>
        <rFont val="Arial"/>
        <family val="2"/>
      </rPr>
      <t>)</t>
    </r>
  </si>
  <si>
    <r>
      <rPr>
        <sz val="10"/>
        <rFont val="宋体"/>
        <family val="3"/>
        <charset val="134"/>
      </rPr>
      <t>长晶</t>
    </r>
  </si>
  <si>
    <r>
      <rPr>
        <sz val="10"/>
        <rFont val="Arial"/>
        <family val="2"/>
      </rPr>
      <t>AFA10-S04LCC-00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FPC-SMD_4P-P1.00-L2.9-W6.0</t>
    </r>
  </si>
  <si>
    <r>
      <rPr>
        <sz val="10"/>
        <rFont val="Arial"/>
        <family val="2"/>
      </rPr>
      <t>JS(</t>
    </r>
    <r>
      <rPr>
        <sz val="10"/>
        <rFont val="宋体"/>
        <family val="3"/>
        <charset val="134"/>
      </rPr>
      <t>钜硕电子</t>
    </r>
    <r>
      <rPr>
        <sz val="10"/>
        <rFont val="Arial"/>
        <family val="2"/>
      </rPr>
      <t>)</t>
    </r>
  </si>
  <si>
    <r>
      <rPr>
        <b/>
        <sz val="11"/>
        <rFont val="宋体"/>
        <family val="3"/>
        <charset val="134"/>
      </rPr>
      <t>对应技术条件序号</t>
    </r>
  </si>
  <si>
    <r>
      <rPr>
        <b/>
        <sz val="11"/>
        <rFont val="宋体"/>
        <family val="3"/>
        <charset val="134"/>
      </rPr>
      <t>物件编号</t>
    </r>
  </si>
  <si>
    <r>
      <rPr>
        <b/>
        <sz val="11"/>
        <rFont val="宋体"/>
        <family val="3"/>
        <charset val="134"/>
      </rPr>
      <t>物料名称</t>
    </r>
  </si>
  <si>
    <r>
      <rPr>
        <b/>
        <sz val="11"/>
        <rFont val="宋体"/>
        <family val="3"/>
        <charset val="134"/>
      </rPr>
      <t>物料短描述</t>
    </r>
  </si>
  <si>
    <r>
      <rPr>
        <b/>
        <sz val="11"/>
        <rFont val="宋体"/>
        <family val="3"/>
        <charset val="134"/>
      </rPr>
      <t>厂家</t>
    </r>
  </si>
  <si>
    <r>
      <rPr>
        <b/>
        <sz val="11"/>
        <rFont val="宋体"/>
        <family val="3"/>
        <charset val="134"/>
      </rPr>
      <t>数量</t>
    </r>
  </si>
  <si>
    <r>
      <rPr>
        <b/>
        <sz val="11"/>
        <rFont val="宋体"/>
        <family val="3"/>
        <charset val="134"/>
      </rPr>
      <t>位号</t>
    </r>
  </si>
  <si>
    <r>
      <rPr>
        <b/>
        <sz val="11"/>
        <rFont val="宋体"/>
        <family val="3"/>
        <charset val="134"/>
      </rPr>
      <t>备注</t>
    </r>
  </si>
  <si>
    <r>
      <rPr>
        <sz val="10"/>
        <rFont val="宋体"/>
        <family val="3"/>
        <charset val="134"/>
      </rPr>
      <t>新物料</t>
    </r>
  </si>
  <si>
    <r>
      <rPr>
        <sz val="10"/>
        <rFont val="Arial"/>
        <family val="2"/>
      </rPr>
      <t>157mm*</t>
    </r>
    <r>
      <rPr>
        <sz val="10"/>
        <color rgb="FFFF0000"/>
        <rFont val="Arial"/>
        <family val="2"/>
      </rPr>
      <t>93</t>
    </r>
    <r>
      <rPr>
        <sz val="10"/>
        <rFont val="Arial"/>
        <family val="2"/>
      </rPr>
      <t>mm  FR-4 CTI</t>
    </r>
    <r>
      <rPr>
        <sz val="10"/>
        <rFont val="宋体"/>
        <family val="3"/>
        <charset val="134"/>
      </rPr>
      <t>≥</t>
    </r>
    <r>
      <rPr>
        <sz val="10"/>
        <rFont val="Arial"/>
        <family val="2"/>
      </rPr>
      <t>600V,</t>
    </r>
    <r>
      <rPr>
        <sz val="10"/>
        <rFont val="宋体"/>
        <family val="3"/>
        <charset val="134"/>
      </rPr>
      <t>绿油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白字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板厚</t>
    </r>
    <r>
      <rPr>
        <sz val="10"/>
        <rFont val="Arial"/>
        <family val="2"/>
      </rPr>
      <t>1.6mm,</t>
    </r>
    <r>
      <rPr>
        <sz val="10"/>
        <color theme="9"/>
        <rFont val="Arial"/>
        <family val="2"/>
      </rPr>
      <t>1oz?</t>
    </r>
  </si>
  <si>
    <r>
      <rPr>
        <sz val="10"/>
        <color theme="1"/>
        <rFont val="等线"/>
        <family val="3"/>
        <charset val="134"/>
      </rPr>
      <t>兴海容、中信华、丰利达</t>
    </r>
  </si>
  <si>
    <r>
      <rPr>
        <sz val="10"/>
        <rFont val="宋体"/>
        <family val="3"/>
        <charset val="134"/>
      </rPr>
      <t>琴芯微</t>
    </r>
  </si>
  <si>
    <r>
      <rPr>
        <sz val="11"/>
        <color theme="1"/>
        <rFont val="宋体"/>
        <family val="3"/>
        <charset val="134"/>
      </rPr>
      <t>国创</t>
    </r>
  </si>
  <si>
    <r>
      <rPr>
        <sz val="10"/>
        <rFont val="宋体"/>
        <family val="3"/>
        <charset val="134"/>
      </rPr>
      <t>整流桥</t>
    </r>
  </si>
  <si>
    <r>
      <rPr>
        <sz val="10"/>
        <rFont val="宋体"/>
        <family val="3"/>
        <charset val="134"/>
      </rPr>
      <t>乐山希尔</t>
    </r>
  </si>
  <si>
    <r>
      <rPr>
        <sz val="10"/>
        <rFont val="宋体"/>
        <family val="3"/>
        <charset val="134"/>
      </rPr>
      <t>贴片陶瓷电容器</t>
    </r>
  </si>
  <si>
    <r>
      <rPr>
        <sz val="10"/>
        <rFont val="宋体"/>
        <family val="3"/>
        <charset val="134"/>
      </rPr>
      <t>三环</t>
    </r>
  </si>
  <si>
    <r>
      <rPr>
        <sz val="10"/>
        <rFont val="宋体"/>
        <family val="3"/>
        <charset val="134"/>
      </rPr>
      <t>贴片电容器</t>
    </r>
  </si>
  <si>
    <r>
      <rPr>
        <sz val="10"/>
        <rFont val="Arial"/>
        <family val="2"/>
      </rPr>
      <t>YAGEO(</t>
    </r>
    <r>
      <rPr>
        <sz val="10"/>
        <rFont val="宋体"/>
        <family val="3"/>
        <charset val="134"/>
      </rPr>
      <t>国巨</t>
    </r>
    <r>
      <rPr>
        <sz val="10"/>
        <rFont val="Arial"/>
        <family val="2"/>
      </rPr>
      <t>,PHYCOMP)</t>
    </r>
  </si>
  <si>
    <r>
      <rPr>
        <sz val="10"/>
        <rFont val="Arial"/>
        <family val="2"/>
      </rPr>
      <t>WALSIN(</t>
    </r>
    <r>
      <rPr>
        <sz val="10"/>
        <rFont val="宋体"/>
        <family val="3"/>
        <charset val="134"/>
      </rPr>
      <t>华科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汇桥</t>
    </r>
    <r>
      <rPr>
        <sz val="10"/>
        <rFont val="Arial"/>
        <family val="2"/>
      </rPr>
      <t>)</t>
    </r>
  </si>
  <si>
    <r>
      <rPr>
        <sz val="10"/>
        <rFont val="宋体"/>
        <family val="3"/>
        <charset val="134"/>
      </rPr>
      <t>风华</t>
    </r>
  </si>
  <si>
    <r>
      <rPr>
        <sz val="10"/>
        <rFont val="宋体"/>
        <family val="3"/>
        <charset val="134"/>
      </rPr>
      <t>贴片电容</t>
    </r>
  </si>
  <si>
    <r>
      <rPr>
        <sz val="10"/>
        <rFont val="Arial"/>
        <family val="2"/>
      </rPr>
      <t>CCTC(</t>
    </r>
    <r>
      <rPr>
        <sz val="10"/>
        <rFont val="宋体"/>
        <family val="3"/>
        <charset val="134"/>
      </rPr>
      <t>三环</t>
    </r>
    <r>
      <rPr>
        <sz val="10"/>
        <rFont val="Arial"/>
        <family val="2"/>
      </rPr>
      <t>)</t>
    </r>
  </si>
  <si>
    <r>
      <rPr>
        <sz val="10"/>
        <rFont val="宋体"/>
        <family val="3"/>
        <charset val="134"/>
      </rPr>
      <t>贴片安规电容</t>
    </r>
  </si>
  <si>
    <r>
      <rPr>
        <sz val="10"/>
        <rFont val="Arial"/>
        <family val="2"/>
      </rPr>
      <t>Y2-1nF-250V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C1812</t>
    </r>
  </si>
  <si>
    <r>
      <rPr>
        <sz val="10"/>
        <rFont val="Arial"/>
        <family val="2"/>
      </rPr>
      <t>C8, C15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C12</t>
    </r>
  </si>
  <si>
    <r>
      <rPr>
        <sz val="10"/>
        <rFont val="Arial"/>
        <family val="2"/>
      </rPr>
      <t>X2</t>
    </r>
    <r>
      <rPr>
        <sz val="10"/>
        <rFont val="宋体"/>
        <family val="3"/>
        <charset val="134"/>
      </rPr>
      <t>安规薄膜电容器</t>
    </r>
  </si>
  <si>
    <r>
      <rPr>
        <sz val="10"/>
        <rFont val="Arial"/>
        <family val="2"/>
      </rPr>
      <t xml:space="preserve">STE\X2 RADB10 220N K 275VAC </t>
    </r>
    <r>
      <rPr>
        <sz val="10"/>
        <rFont val="宋体"/>
        <family val="3"/>
        <charset val="134"/>
      </rPr>
      <t>编带</t>
    </r>
    <r>
      <rPr>
        <sz val="10"/>
        <rFont val="Arial"/>
        <family val="2"/>
      </rPr>
      <t xml:space="preserve">_13*6*12 VDE UL CQC </t>
    </r>
    <r>
      <rPr>
        <sz val="10"/>
        <rFont val="宋体"/>
        <family val="3"/>
        <charset val="134"/>
      </rPr>
      <t>黄壳</t>
    </r>
    <r>
      <rPr>
        <sz val="10"/>
        <rFont val="Arial"/>
        <family val="2"/>
      </rPr>
      <t>_X2P2224KN5B0130120060ES0</t>
    </r>
  </si>
  <si>
    <r>
      <rPr>
        <sz val="10"/>
        <rFont val="宋体"/>
        <family val="3"/>
        <charset val="134"/>
      </rPr>
      <t>松田</t>
    </r>
  </si>
  <si>
    <r>
      <rPr>
        <sz val="10"/>
        <rFont val="宋体"/>
        <family val="3"/>
        <charset val="134"/>
      </rPr>
      <t>电解电容</t>
    </r>
  </si>
  <si>
    <r>
      <rPr>
        <sz val="10"/>
        <rFont val="Arial"/>
        <family val="2"/>
      </rPr>
      <t>100uF/450V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D18*L25</t>
    </r>
    <r>
      <rPr>
        <sz val="10"/>
        <rFont val="宋体"/>
        <family val="3"/>
        <charset val="134"/>
      </rPr>
      <t>），</t>
    </r>
    <r>
      <rPr>
        <sz val="10"/>
        <rFont val="Arial"/>
        <family val="2"/>
      </rPr>
      <t>CAP_EC_R9_D7.5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2000H</t>
    </r>
  </si>
  <si>
    <r>
      <rPr>
        <sz val="11"/>
        <color theme="1"/>
        <rFont val="宋体"/>
        <family val="3"/>
        <charset val="134"/>
      </rPr>
      <t>中钰、中元、丰宾、江浩、艾华</t>
    </r>
  </si>
  <si>
    <r>
      <rPr>
        <sz val="10"/>
        <rFont val="宋体"/>
        <family val="3"/>
        <charset val="134"/>
      </rPr>
      <t>贴片电解电容</t>
    </r>
  </si>
  <si>
    <r>
      <rPr>
        <sz val="10"/>
        <rFont val="Arial"/>
        <family val="2"/>
      </rPr>
      <t>100uF/16V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BD6.3-L6.6-W6.6-LS7.2-FD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2000H</t>
    </r>
  </si>
  <si>
    <r>
      <rPr>
        <sz val="10"/>
        <rFont val="Arial"/>
        <family val="2"/>
      </rPr>
      <t>220uf/25V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SMD_BD5.0-L5.3-W5.3-FD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2000H</t>
    </r>
  </si>
  <si>
    <r>
      <rPr>
        <sz val="10"/>
        <rFont val="Arial"/>
        <family val="2"/>
      </rPr>
      <t>SAMSUNG</t>
    </r>
    <r>
      <rPr>
        <sz val="10"/>
        <rFont val="宋体"/>
        <family val="3"/>
        <charset val="134"/>
      </rPr>
      <t>三星</t>
    </r>
  </si>
  <si>
    <t>C27, C28, C34, C35, C38</t>
  </si>
  <si>
    <r>
      <rPr>
        <sz val="10"/>
        <rFont val="Arial"/>
        <family val="2"/>
      </rPr>
      <t>YAGEO(</t>
    </r>
    <r>
      <rPr>
        <sz val="10"/>
        <rFont val="宋体"/>
        <family val="3"/>
        <charset val="134"/>
      </rPr>
      <t>国巨</t>
    </r>
    <r>
      <rPr>
        <sz val="10"/>
        <rFont val="Arial"/>
        <family val="2"/>
      </rPr>
      <t>,PHYCOMP)</t>
    </r>
    <r>
      <rPr>
        <sz val="10"/>
        <rFont val="宋体"/>
        <family val="3"/>
        <charset val="134"/>
      </rPr>
      <t>、三环、风华、华科、国巨</t>
    </r>
  </si>
  <si>
    <t>C31, C32, C48</t>
  </si>
  <si>
    <t>WALS\CAP Cer 1nF K X7R 100VDC 0402 0402B102K101CT</t>
  </si>
  <si>
    <t>C37</t>
  </si>
  <si>
    <t>YAGEO\CAP Cer 1nF K X7R 100VDC 0402 CC0402KRX7R0BB102</t>
  </si>
  <si>
    <r>
      <rPr>
        <sz val="10"/>
        <rFont val="Arial"/>
        <family val="2"/>
      </rPr>
      <t>YAGEO(</t>
    </r>
    <r>
      <rPr>
        <sz val="10"/>
        <rFont val="宋体"/>
        <family val="3"/>
        <charset val="134"/>
      </rPr>
      <t>国巨</t>
    </r>
    <r>
      <rPr>
        <sz val="10"/>
        <rFont val="Arial"/>
        <family val="2"/>
      </rPr>
      <t>,PHYCOMP)</t>
    </r>
    <r>
      <rPr>
        <sz val="10"/>
        <rFont val="宋体"/>
        <family val="3"/>
        <charset val="134"/>
      </rPr>
      <t>、三环、风华</t>
    </r>
  </si>
  <si>
    <r>
      <rPr>
        <sz val="11"/>
        <color theme="1"/>
        <rFont val="Arial"/>
        <family val="2"/>
      </rPr>
      <t>19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"/>
        <family val="2"/>
      </rPr>
      <t>21</t>
    </r>
  </si>
  <si>
    <r>
      <rPr>
        <sz val="10"/>
        <rFont val="Arial"/>
        <family val="2"/>
      </rPr>
      <t>C45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C49</t>
    </r>
  </si>
  <si>
    <r>
      <rPr>
        <sz val="10"/>
        <rFont val="Arial"/>
        <family val="2"/>
      </rPr>
      <t>FH\CAP Cer 1uF K X7R 10VDC 0402 -55</t>
    </r>
    <r>
      <rPr>
        <sz val="10"/>
        <rFont val="宋体"/>
        <family val="3"/>
        <charset val="134"/>
      </rPr>
      <t>℃</t>
    </r>
    <r>
      <rPr>
        <sz val="10"/>
        <rFont val="Arial"/>
        <family val="2"/>
      </rPr>
      <t>~125</t>
    </r>
    <r>
      <rPr>
        <sz val="10"/>
        <rFont val="宋体"/>
        <family val="3"/>
        <charset val="134"/>
      </rPr>
      <t>℃</t>
    </r>
    <r>
      <rPr>
        <sz val="10"/>
        <rFont val="Arial"/>
        <family val="2"/>
      </rPr>
      <t xml:space="preserve"> 0402B105K100NT</t>
    </r>
  </si>
  <si>
    <r>
      <rPr>
        <sz val="10"/>
        <rFont val="Arial"/>
        <family val="2"/>
      </rPr>
      <t>FH(</t>
    </r>
    <r>
      <rPr>
        <sz val="10"/>
        <rFont val="宋体"/>
        <family val="3"/>
        <charset val="134"/>
      </rPr>
      <t>风华</t>
    </r>
    <r>
      <rPr>
        <sz val="10"/>
        <rFont val="Arial"/>
        <family val="2"/>
      </rPr>
      <t>)</t>
    </r>
  </si>
  <si>
    <t>国巨、风华、三环、华科</t>
  </si>
  <si>
    <t>无X7R材质K级，参考报价为推荐NP0材质J级：0402CG101J101NT，报价0.007含税</t>
  </si>
  <si>
    <r>
      <rPr>
        <sz val="10"/>
        <rFont val="Arial"/>
        <family val="2"/>
      </rPr>
      <t>Y1</t>
    </r>
    <r>
      <rPr>
        <sz val="10"/>
        <rFont val="宋体"/>
        <family val="3"/>
        <charset val="134"/>
      </rPr>
      <t>安规圆片电容器</t>
    </r>
  </si>
  <si>
    <r>
      <rPr>
        <sz val="10"/>
        <rFont val="Arial"/>
        <family val="2"/>
      </rPr>
      <t xml:space="preserve">WALS\CAP Y1 2.2nF M Y5U 250VAC 9*4.5 F=7.5 </t>
    </r>
    <r>
      <rPr>
        <sz val="10"/>
        <rFont val="宋体"/>
        <family val="3"/>
        <charset val="134"/>
      </rPr>
      <t>编带</t>
    </r>
    <r>
      <rPr>
        <sz val="10"/>
        <rFont val="Arial"/>
        <family val="2"/>
      </rPr>
      <t xml:space="preserve"> UL YU0AH222M080XAFD7T</t>
    </r>
  </si>
  <si>
    <r>
      <rPr>
        <sz val="10"/>
        <rFont val="Arial"/>
        <family val="2"/>
      </rPr>
      <t>WALSIN(</t>
    </r>
    <r>
      <rPr>
        <sz val="10"/>
        <rFont val="宋体"/>
        <family val="3"/>
        <charset val="134"/>
      </rPr>
      <t>华科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汇桥</t>
    </r>
    <r>
      <rPr>
        <sz val="10"/>
        <rFont val="Arial"/>
        <family val="2"/>
      </rPr>
      <t>)</t>
    </r>
    <r>
      <rPr>
        <sz val="10"/>
        <rFont val="宋体"/>
        <family val="3"/>
        <charset val="134"/>
      </rPr>
      <t>、同皓</t>
    </r>
  </si>
  <si>
    <r>
      <rPr>
        <sz val="10"/>
        <rFont val="Arial"/>
        <family val="2"/>
      </rPr>
      <t xml:space="preserve">Y1 2.2nF M Y5U 250VAC 9*4.5 F=7.5 </t>
    </r>
    <r>
      <rPr>
        <sz val="10"/>
        <rFont val="宋体"/>
        <family val="3"/>
        <charset val="134"/>
      </rPr>
      <t>编带</t>
    </r>
  </si>
  <si>
    <r>
      <rPr>
        <sz val="10"/>
        <rFont val="Arial"/>
        <family val="2"/>
      </rPr>
      <t>6N137-CuH-S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SOP-8-2.54mm</t>
    </r>
  </si>
  <si>
    <r>
      <rPr>
        <sz val="10"/>
        <rFont val="宋体"/>
        <family val="3"/>
        <charset val="134"/>
      </rPr>
      <t>熔断器</t>
    </r>
  </si>
  <si>
    <r>
      <rPr>
        <sz val="10"/>
        <rFont val="Arial"/>
        <family val="2"/>
      </rPr>
      <t>2010T3.15A250V/T3.15A/250V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FUSE_L8.5_W4_D5.08</t>
    </r>
  </si>
  <si>
    <r>
      <rPr>
        <sz val="10"/>
        <rFont val="宋体"/>
        <family val="3"/>
        <charset val="134"/>
      </rPr>
      <t>华德</t>
    </r>
  </si>
  <si>
    <r>
      <rPr>
        <sz val="10"/>
        <rFont val="宋体"/>
        <family val="3"/>
        <charset val="134"/>
      </rPr>
      <t>功率继电器</t>
    </r>
  </si>
  <si>
    <r>
      <rPr>
        <sz val="10"/>
        <rFont val="Arial"/>
        <family val="2"/>
      </rPr>
      <t>10A 250VAC SPST VDE,UL,CQC HF32F-G-012-HS</t>
    </r>
    <r>
      <rPr>
        <sz val="10"/>
        <color rgb="FFFF0000"/>
        <rFont val="宋体"/>
        <family val="3"/>
        <charset val="134"/>
      </rPr>
      <t>防爆</t>
    </r>
  </si>
  <si>
    <r>
      <rPr>
        <sz val="10"/>
        <rFont val="宋体"/>
        <family val="3"/>
        <charset val="134"/>
      </rPr>
      <t>厦门宏发电声</t>
    </r>
    <r>
      <rPr>
        <sz val="10"/>
        <rFont val="Arial"/>
        <family val="2"/>
      </rPr>
      <t>HONGFA</t>
    </r>
  </si>
  <si>
    <r>
      <rPr>
        <sz val="10"/>
        <rFont val="Arial"/>
        <family val="2"/>
      </rPr>
      <t>1mH/500mA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IND-SMD_L8.0-W8.0</t>
    </r>
  </si>
  <si>
    <r>
      <rPr>
        <sz val="11"/>
        <color theme="1"/>
        <rFont val="宋体"/>
        <family val="3"/>
        <charset val="134"/>
      </rPr>
      <t>厂家确认</t>
    </r>
  </si>
  <si>
    <r>
      <rPr>
        <sz val="11"/>
        <color theme="1"/>
        <rFont val="Arial"/>
        <family val="2"/>
      </rPr>
      <t>29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Arial"/>
        <family val="2"/>
      </rPr>
      <t>66</t>
    </r>
  </si>
  <si>
    <r>
      <rPr>
        <sz val="10"/>
        <rFont val="Arial"/>
        <family val="2"/>
      </rPr>
      <t>BL(</t>
    </r>
    <r>
      <rPr>
        <sz val="10"/>
        <rFont val="宋体"/>
        <family val="3"/>
        <charset val="134"/>
      </rPr>
      <t>上海贝岭</t>
    </r>
    <r>
      <rPr>
        <sz val="10"/>
        <rFont val="Arial"/>
        <family val="2"/>
      </rPr>
      <t>)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Giantec</t>
    </r>
    <r>
      <rPr>
        <sz val="10"/>
        <rFont val="宋体"/>
        <family val="3"/>
        <charset val="134"/>
      </rPr>
      <t>聚辰</t>
    </r>
  </si>
  <si>
    <r>
      <rPr>
        <sz val="10"/>
        <rFont val="宋体"/>
        <family val="3"/>
        <charset val="134"/>
      </rPr>
      <t>厚膜贴片电阻器</t>
    </r>
  </si>
  <si>
    <r>
      <rPr>
        <sz val="10"/>
        <rFont val="Arial"/>
        <family val="2"/>
      </rPr>
      <t>ROYALOHM</t>
    </r>
    <r>
      <rPr>
        <sz val="10"/>
        <rFont val="宋体"/>
        <family val="3"/>
        <charset val="134"/>
      </rPr>
      <t>厚声</t>
    </r>
  </si>
  <si>
    <r>
      <rPr>
        <sz val="10"/>
        <rFont val="宋体"/>
        <family val="3"/>
        <charset val="134"/>
      </rPr>
      <t>香港电阻</t>
    </r>
  </si>
  <si>
    <r>
      <rPr>
        <sz val="10"/>
        <rFont val="宋体"/>
        <family val="3"/>
        <charset val="134"/>
      </rPr>
      <t>贴片电阻器</t>
    </r>
  </si>
  <si>
    <t>R11, R44, R47, R70, R84, R85, R86, R87</t>
  </si>
  <si>
    <r>
      <rPr>
        <sz val="10"/>
        <rFont val="Arial"/>
        <family val="2"/>
      </rPr>
      <t>HKR</t>
    </r>
    <r>
      <rPr>
        <sz val="10"/>
        <rFont val="宋体"/>
        <family val="3"/>
        <charset val="134"/>
      </rPr>
      <t>香港电阻</t>
    </r>
  </si>
  <si>
    <t>FH\RES 470R F 1/4W 1206 RS-06K4700FT</t>
  </si>
  <si>
    <t>R55</t>
  </si>
  <si>
    <t>YAGEO\RES 470R F 1/4W 1206 RC1206FR-07470RL</t>
  </si>
  <si>
    <t>WALS\RES 470R F 1/4W 1206 WR12X4700FTL</t>
  </si>
  <si>
    <t>HKR\RES 470R F 1/4W 1206 RCT06470RFLF</t>
  </si>
  <si>
    <t>ROYA\RES 470R F 1/4W 1206 1206W4F4700T5E</t>
  </si>
  <si>
    <t>R58, R60</t>
  </si>
  <si>
    <t>FH\RES 68K F 1/10W 0603 RS-03K6802FT</t>
  </si>
  <si>
    <t>R69</t>
  </si>
  <si>
    <t>YAGEO\RES 68K F 1/10W 0603 RC0603FR-0768KL</t>
  </si>
  <si>
    <t>WALS\RES 68K F 1/10W 0603 WR06X6802FTL</t>
  </si>
  <si>
    <t>ROYA\RES 68K F 1/10W 0603 0603WAF6802T5E</t>
  </si>
  <si>
    <t>HKR\RES 68K F 1/10W 0603 RCT0368KFLF</t>
  </si>
  <si>
    <t>YAGEO\RES 2.2K F 1/10W 0603 RC0603FR-072K2L</t>
  </si>
  <si>
    <t>R71</t>
  </si>
  <si>
    <t>FH\RES 2.2K F 1/10W 0603 RS-03K2201FT</t>
  </si>
  <si>
    <t>WALS\RES 2.2K F 1/10W 0603 WR06X2201FTL</t>
  </si>
  <si>
    <t>ROYA\RES 2.2K F 1/10W 0603 0603WAF2201T5E</t>
  </si>
  <si>
    <t>HKR\RES 2.2K F 1/10W 0603 RCT032K2FLF</t>
  </si>
  <si>
    <t>YAGEO\RES 100R F 1/4W 1206 RC1206FR-07100RL</t>
  </si>
  <si>
    <t>R72</t>
  </si>
  <si>
    <t>WALS\RES 100R F 1/4W 1206 WR12X1000FTL</t>
  </si>
  <si>
    <t>FH\RES 100R F 1/4W 1206 RS-06K1000FT</t>
  </si>
  <si>
    <t>ROYA\RES 100R F 1/4W 1206 1206W4F1000T5E</t>
  </si>
  <si>
    <t>HKR\RES 100R F 1/4W 1206 RCT06100RFLF</t>
  </si>
  <si>
    <t>R88, R89, R90</t>
  </si>
  <si>
    <r>
      <rPr>
        <sz val="10"/>
        <rFont val="宋体"/>
        <family val="3"/>
        <charset val="134"/>
      </rPr>
      <t>贴片</t>
    </r>
    <r>
      <rPr>
        <sz val="10"/>
        <rFont val="Arial"/>
        <family val="2"/>
      </rPr>
      <t>NPN</t>
    </r>
    <r>
      <rPr>
        <sz val="10"/>
        <rFont val="宋体"/>
        <family val="3"/>
        <charset val="134"/>
      </rPr>
      <t>三极管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内置电阻</t>
    </r>
    <r>
      <rPr>
        <sz val="10"/>
        <rFont val="Arial"/>
        <family val="2"/>
      </rPr>
      <t>)</t>
    </r>
  </si>
  <si>
    <r>
      <rPr>
        <sz val="10"/>
        <rFont val="宋体"/>
        <family val="3"/>
        <charset val="134"/>
      </rPr>
      <t>长晶</t>
    </r>
  </si>
  <si>
    <t>贴片瞬态抑制二极管</t>
  </si>
  <si>
    <t>JSCJ\Diode TVS SOD-123FL 15V 200W SMF15A</t>
  </si>
  <si>
    <t>V9</t>
  </si>
  <si>
    <r>
      <t>工</t>
    </r>
    <r>
      <rPr>
        <b/>
        <sz val="18"/>
        <rFont val="Arial"/>
        <family val="2"/>
      </rPr>
      <t xml:space="preserve"> </t>
    </r>
    <r>
      <rPr>
        <b/>
        <sz val="18"/>
        <rFont val="宋体"/>
        <family val="3"/>
        <charset val="134"/>
      </rPr>
      <t>程</t>
    </r>
    <r>
      <rPr>
        <b/>
        <sz val="18"/>
        <rFont val="Arial"/>
        <family val="2"/>
      </rPr>
      <t xml:space="preserve"> </t>
    </r>
    <r>
      <rPr>
        <b/>
        <sz val="18"/>
        <rFont val="宋体"/>
        <family val="3"/>
        <charset val="134"/>
      </rPr>
      <t>报</t>
    </r>
    <r>
      <rPr>
        <b/>
        <sz val="18"/>
        <rFont val="Arial"/>
        <family val="2"/>
      </rPr>
      <t xml:space="preserve"> </t>
    </r>
    <r>
      <rPr>
        <b/>
        <sz val="18"/>
        <rFont val="宋体"/>
        <family val="3"/>
        <charset val="134"/>
      </rPr>
      <t>价</t>
    </r>
    <r>
      <rPr>
        <b/>
        <sz val="18"/>
        <rFont val="Arial"/>
        <family val="2"/>
      </rPr>
      <t xml:space="preserve"> </t>
    </r>
    <r>
      <rPr>
        <b/>
        <sz val="18"/>
        <rFont val="宋体"/>
        <family val="3"/>
        <charset val="134"/>
      </rPr>
      <t>表</t>
    </r>
  </si>
  <si>
    <t>版本：</t>
  </si>
  <si>
    <t>A</t>
  </si>
  <si>
    <t>编号：</t>
  </si>
  <si>
    <t>客户</t>
  </si>
  <si>
    <t>机型</t>
  </si>
  <si>
    <t>003- 报价</t>
  </si>
  <si>
    <r>
      <t>预计订单</t>
    </r>
    <r>
      <rPr>
        <sz val="11"/>
        <rFont val="Arial"/>
        <family val="2"/>
      </rPr>
      <t>(pcs)</t>
    </r>
  </si>
  <si>
    <t>项目</t>
  </si>
  <si>
    <t>工序名称</t>
  </si>
  <si>
    <t>元件类型</t>
  </si>
  <si>
    <r>
      <t>工艺单价</t>
    </r>
    <r>
      <rPr>
        <sz val="10"/>
        <rFont val="Arial"/>
        <family val="2"/>
      </rPr>
      <t>(RMB)</t>
    </r>
  </si>
  <si>
    <t>元件个数</t>
  </si>
  <si>
    <r>
      <t>费用</t>
    </r>
    <r>
      <rPr>
        <sz val="10"/>
        <rFont val="Arial"/>
        <family val="2"/>
      </rPr>
      <t>(RMB)</t>
    </r>
  </si>
  <si>
    <t>P 01</t>
  </si>
  <si>
    <t>SMT</t>
  </si>
  <si>
    <t>0603/0402</t>
  </si>
  <si>
    <t>1206/0805</t>
  </si>
  <si>
    <r>
      <t>二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三极管</t>
    </r>
  </si>
  <si>
    <t>按键/插座</t>
  </si>
  <si>
    <r>
      <t>电感</t>
    </r>
    <r>
      <rPr>
        <sz val="10"/>
        <rFont val="Arial"/>
        <family val="2"/>
      </rPr>
      <t>/MOS</t>
    </r>
    <r>
      <rPr>
        <sz val="10"/>
        <rFont val="宋体"/>
        <family val="3"/>
        <charset val="134"/>
      </rPr>
      <t>管</t>
    </r>
    <r>
      <rPr>
        <sz val="10"/>
        <rFont val="Arial"/>
        <family val="2"/>
      </rPr>
      <t>/EC</t>
    </r>
    <r>
      <rPr>
        <sz val="10"/>
        <rFont val="宋体"/>
        <family val="3"/>
        <charset val="134"/>
      </rPr>
      <t>等</t>
    </r>
  </si>
  <si>
    <r>
      <t>贴片</t>
    </r>
    <r>
      <rPr>
        <sz val="10"/>
        <rFont val="Arial"/>
        <family val="2"/>
      </rPr>
      <t>IC</t>
    </r>
  </si>
  <si>
    <r>
      <t>每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个</t>
    </r>
    <r>
      <rPr>
        <sz val="10"/>
        <rFont val="Arial"/>
        <family val="2"/>
      </rPr>
      <t>pin</t>
    </r>
    <r>
      <rPr>
        <sz val="10"/>
        <rFont val="宋体"/>
        <family val="3"/>
        <charset val="134"/>
      </rPr>
      <t>为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个元件</t>
    </r>
  </si>
  <si>
    <t>模块</t>
  </si>
  <si>
    <r>
      <t>SMT</t>
    </r>
    <r>
      <rPr>
        <b/>
        <sz val="11"/>
        <rFont val="宋体"/>
        <family val="3"/>
        <charset val="134"/>
      </rPr>
      <t>成本</t>
    </r>
    <r>
      <rPr>
        <sz val="10"/>
        <rFont val="Arial"/>
        <family val="2"/>
      </rPr>
      <t>(RMB)</t>
    </r>
  </si>
  <si>
    <t>P02</t>
  </si>
  <si>
    <t>SL</t>
  </si>
  <si>
    <t>工艺流程</t>
  </si>
  <si>
    <r>
      <t>工作时间</t>
    </r>
    <r>
      <rPr>
        <sz val="11"/>
        <rFont val="Arial"/>
        <family val="2"/>
      </rPr>
      <t>(s)</t>
    </r>
  </si>
  <si>
    <t>工序个数</t>
  </si>
  <si>
    <t>宽放系数</t>
  </si>
  <si>
    <r>
      <t>工序工时</t>
    </r>
    <r>
      <rPr>
        <sz val="11"/>
        <rFont val="Arial"/>
        <family val="2"/>
      </rPr>
      <t>(s)</t>
    </r>
  </si>
  <si>
    <t>离线烧录</t>
  </si>
  <si>
    <t>在线烧录</t>
  </si>
  <si>
    <r>
      <rPr>
        <b/>
        <sz val="11"/>
        <rFont val="宋体"/>
        <family val="3"/>
        <charset val="134"/>
      </rPr>
      <t>烧录成本</t>
    </r>
    <r>
      <rPr>
        <sz val="11"/>
        <rFont val="宋体"/>
        <family val="3"/>
        <charset val="134"/>
      </rPr>
      <t>(RMB)</t>
    </r>
  </si>
  <si>
    <t>P 03</t>
  </si>
  <si>
    <t>AI/RI</t>
  </si>
  <si>
    <t>电阻/二极管</t>
  </si>
  <si>
    <t>跳线</t>
  </si>
  <si>
    <t>RI</t>
  </si>
  <si>
    <r>
      <t>AI</t>
    </r>
    <r>
      <rPr>
        <b/>
        <sz val="11"/>
        <rFont val="宋体"/>
        <family val="3"/>
        <charset val="134"/>
      </rPr>
      <t>成本</t>
    </r>
    <r>
      <rPr>
        <sz val="10"/>
        <rFont val="Arial"/>
        <family val="2"/>
      </rPr>
      <t>(RMB)</t>
    </r>
  </si>
  <si>
    <t>工序</t>
  </si>
  <si>
    <t>元件数量</t>
  </si>
  <si>
    <t>P 04</t>
  </si>
  <si>
    <t>成型</t>
  </si>
  <si>
    <t>贴板成型</t>
  </si>
  <si>
    <t>自动成型</t>
  </si>
  <si>
    <t>晶砸管成型</t>
  </si>
  <si>
    <t>散热器组装</t>
  </si>
  <si>
    <t>光敏电阻成型</t>
  </si>
  <si>
    <t>铆钉</t>
  </si>
  <si>
    <r>
      <t>成型成本</t>
    </r>
    <r>
      <rPr>
        <sz val="10"/>
        <rFont val="Arial"/>
        <family val="2"/>
      </rPr>
      <t>(RMB)</t>
    </r>
  </si>
  <si>
    <r>
      <t>工作节拍</t>
    </r>
    <r>
      <rPr>
        <sz val="11"/>
        <rFont val="Arial"/>
        <family val="2"/>
      </rPr>
      <t>(s)</t>
    </r>
  </si>
  <si>
    <t>P 05</t>
  </si>
  <si>
    <t>组装</t>
  </si>
  <si>
    <t>安装过炉治具</t>
  </si>
  <si>
    <t>插件</t>
  </si>
  <si>
    <t>插件QC</t>
  </si>
  <si>
    <t>卸送治具/AVI检测</t>
  </si>
  <si>
    <t>压件/执锡</t>
  </si>
  <si>
    <r>
      <t>炉后QC</t>
    </r>
    <r>
      <rPr>
        <sz val="10"/>
        <rFont val="宋体"/>
        <family val="3"/>
        <charset val="134"/>
      </rPr>
      <t>/洗板</t>
    </r>
  </si>
  <si>
    <t>ICT</t>
  </si>
  <si>
    <t>分板</t>
  </si>
  <si>
    <t>FCT</t>
  </si>
  <si>
    <t>点胶</t>
  </si>
  <si>
    <t>打螺钉</t>
  </si>
  <si>
    <t>喷漆/收板/补胶</t>
  </si>
  <si>
    <t>喷漆检查</t>
  </si>
  <si>
    <t>贴标签</t>
  </si>
  <si>
    <t>FQC外观检查</t>
  </si>
  <si>
    <t>包装</t>
  </si>
  <si>
    <t>助拉</t>
  </si>
  <si>
    <r>
      <t>组装成本</t>
    </r>
    <r>
      <rPr>
        <sz val="10"/>
        <rFont val="Arial"/>
        <family val="2"/>
      </rPr>
      <t>(RMB)</t>
    </r>
  </si>
  <si>
    <r>
      <t>加工费合计</t>
    </r>
    <r>
      <rPr>
        <sz val="10"/>
        <rFont val="Arial"/>
        <family val="2"/>
      </rPr>
      <t>(RMB)</t>
    </r>
  </si>
  <si>
    <t>P 06</t>
  </si>
  <si>
    <t>辅料费用</t>
  </si>
  <si>
    <t>辅料类型</t>
  </si>
  <si>
    <r>
      <t>单价</t>
    </r>
    <r>
      <rPr>
        <sz val="10"/>
        <rFont val="Arial"/>
        <family val="2"/>
      </rPr>
      <t>(RMB/g)</t>
    </r>
  </si>
  <si>
    <r>
      <t>单片用量</t>
    </r>
    <r>
      <rPr>
        <sz val="11"/>
        <rFont val="Arial"/>
        <family val="2"/>
      </rPr>
      <t>(g)</t>
    </r>
  </si>
  <si>
    <r>
      <t>辅料费用</t>
    </r>
    <r>
      <rPr>
        <sz val="10"/>
        <rFont val="Arial"/>
        <family val="2"/>
      </rPr>
      <t>(RMB)</t>
    </r>
  </si>
  <si>
    <t>标签</t>
  </si>
  <si>
    <t>助焊剂</t>
  </si>
  <si>
    <r>
      <t>锡条</t>
    </r>
    <r>
      <rPr>
        <sz val="10"/>
        <rFont val="Arial"/>
        <family val="2"/>
      </rPr>
      <t>(g)</t>
    </r>
  </si>
  <si>
    <r>
      <t>锡丝</t>
    </r>
    <r>
      <rPr>
        <sz val="10"/>
        <rFont val="Arial"/>
        <family val="2"/>
      </rPr>
      <t>(g)</t>
    </r>
  </si>
  <si>
    <r>
      <t>胶类</t>
    </r>
    <r>
      <rPr>
        <sz val="10"/>
        <rFont val="Arial"/>
        <family val="2"/>
      </rPr>
      <t>(g)</t>
    </r>
  </si>
  <si>
    <r>
      <t>漆</t>
    </r>
    <r>
      <rPr>
        <sz val="10"/>
        <rFont val="Arial"/>
        <family val="2"/>
      </rPr>
      <t>(g)</t>
    </r>
  </si>
  <si>
    <r>
      <t>A/B</t>
    </r>
    <r>
      <rPr>
        <sz val="10"/>
        <rFont val="宋体"/>
        <family val="3"/>
        <charset val="134"/>
      </rPr>
      <t>胶</t>
    </r>
    <r>
      <rPr>
        <sz val="10"/>
        <rFont val="Arial"/>
        <family val="2"/>
      </rPr>
      <t>(g)</t>
    </r>
  </si>
  <si>
    <r>
      <t>辅料成本</t>
    </r>
    <r>
      <rPr>
        <sz val="10"/>
        <rFont val="Arial"/>
        <family val="2"/>
      </rPr>
      <t>(RMB)</t>
    </r>
  </si>
  <si>
    <t>P07</t>
  </si>
  <si>
    <t>夹具费用
（不含样机阶段费用）</t>
  </si>
  <si>
    <t>夹具类型</t>
  </si>
  <si>
    <r>
      <t>单价</t>
    </r>
    <r>
      <rPr>
        <sz val="10"/>
        <rFont val="Arial"/>
        <family val="2"/>
      </rPr>
      <t>(RMB)</t>
    </r>
  </si>
  <si>
    <r>
      <t>个</t>
    </r>
    <r>
      <rPr>
        <b/>
        <sz val="12"/>
        <rFont val="Arial"/>
        <family val="2"/>
      </rPr>
      <t>/</t>
    </r>
    <r>
      <rPr>
        <b/>
        <sz val="12"/>
        <rFont val="宋体"/>
        <family val="3"/>
        <charset val="134"/>
      </rPr>
      <t>张数</t>
    </r>
  </si>
  <si>
    <r>
      <t>夹具费用</t>
    </r>
    <r>
      <rPr>
        <sz val="10"/>
        <rFont val="Arial"/>
        <family val="2"/>
      </rPr>
      <t>(RMB)</t>
    </r>
  </si>
  <si>
    <t>钢网</t>
  </si>
  <si>
    <t>测试报价 From:</t>
  </si>
  <si>
    <t>印刷辅助治具</t>
  </si>
  <si>
    <t>过锡炉治具</t>
  </si>
  <si>
    <t>焊接治具</t>
  </si>
  <si>
    <t>铆钉模具</t>
  </si>
  <si>
    <t>分板治具</t>
  </si>
  <si>
    <r>
      <t>ICT</t>
    </r>
    <r>
      <rPr>
        <sz val="10"/>
        <rFont val="宋体"/>
        <family val="3"/>
        <charset val="134"/>
      </rPr>
      <t>治具</t>
    </r>
  </si>
  <si>
    <t>烧录工装</t>
  </si>
  <si>
    <r>
      <t>FCT</t>
    </r>
    <r>
      <rPr>
        <sz val="10"/>
        <rFont val="宋体"/>
        <family val="3"/>
        <charset val="134"/>
      </rPr>
      <t>工装</t>
    </r>
  </si>
  <si>
    <r>
      <t>OQC</t>
    </r>
    <r>
      <rPr>
        <sz val="10"/>
        <rFont val="宋体"/>
        <family val="3"/>
        <charset val="134"/>
      </rPr>
      <t>检验工装</t>
    </r>
  </si>
  <si>
    <t>喷漆治具</t>
  </si>
  <si>
    <t>灌胶治具</t>
  </si>
  <si>
    <r>
      <t>夹具一次性总费用</t>
    </r>
    <r>
      <rPr>
        <sz val="10"/>
        <rFont val="Arial"/>
        <family val="2"/>
      </rPr>
      <t>(RMB)</t>
    </r>
  </si>
  <si>
    <r>
      <t>夹具单片分担费用</t>
    </r>
    <r>
      <rPr>
        <sz val="10"/>
        <rFont val="Arial"/>
        <family val="2"/>
      </rPr>
      <t>(RMB)</t>
    </r>
  </si>
  <si>
    <r>
      <t>单片制造总成本</t>
    </r>
    <r>
      <rPr>
        <sz val="10"/>
        <rFont val="Arial"/>
        <family val="2"/>
      </rPr>
      <t>(RMB)</t>
    </r>
  </si>
  <si>
    <t xml:space="preserve">   制作：             审核：             核准：        批准日期：</t>
  </si>
  <si>
    <t>004- 报价</t>
  </si>
  <si>
    <t>009- 报价</t>
  </si>
  <si>
    <t>报价未税10-17</t>
    <phoneticPr fontId="5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</si>
</sst>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\(#,##0\)"/>
    <numFmt numFmtId="177" formatCode="0.000;[Red]0.000"/>
    <numFmt numFmtId="178" formatCode="0.00_ "/>
    <numFmt numFmtId="179" formatCode="0.00;[Red]0.00"/>
    <numFmt numFmtId="180" formatCode="0.000_);[Red]\(0.000\)"/>
    <numFmt numFmtId="181" formatCode="0_ "/>
    <numFmt numFmtId="182" formatCode="0;[Red]0"/>
    <numFmt numFmtId="183" formatCode="0.00_);[Red]\(0.00\)"/>
  </numFmts>
  <fonts count="59" x14ac:knownFonts="1">
    <font>
      <sz val="11"/>
      <color theme="1"/>
      <name val="宋体"/>
      <charset val="134"/>
      <scheme val="minor"/>
    </font>
    <font>
      <sz val="12"/>
      <name val="Arial"/>
      <family val="2"/>
    </font>
    <font>
      <sz val="11"/>
      <name val="宋体"/>
      <family val="3"/>
      <charset val="134"/>
    </font>
    <font>
      <b/>
      <sz val="18"/>
      <name val="宋体"/>
      <family val="3"/>
      <charset val="134"/>
    </font>
    <font>
      <b/>
      <sz val="18"/>
      <name val="Arial"/>
      <family val="2"/>
    </font>
    <font>
      <sz val="11"/>
      <name val="Arial"/>
      <family val="2"/>
    </font>
    <font>
      <b/>
      <sz val="11"/>
      <name val="宋体"/>
      <family val="3"/>
      <charset val="134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  <font>
      <b/>
      <sz val="9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10"/>
      <name val="宋体"/>
      <family val="3"/>
      <charset val="134"/>
    </font>
    <font>
      <sz val="9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b/>
      <sz val="9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11"/>
      <color rgb="FFFF0000"/>
      <name val="宋体"/>
      <family val="3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9"/>
      <name val="Arial"/>
      <family val="2"/>
    </font>
    <font>
      <sz val="10"/>
      <color rgb="FFFF0000"/>
      <name val="宋体"/>
      <family val="3"/>
      <charset val="134"/>
    </font>
    <font>
      <sz val="11"/>
      <color rgb="FFFF0000"/>
      <name val="Arial"/>
      <family val="2"/>
    </font>
    <font>
      <sz val="9"/>
      <color theme="9"/>
      <name val="微软雅黑"/>
      <family val="2"/>
      <charset val="134"/>
    </font>
    <font>
      <sz val="8"/>
      <name val="宋体"/>
      <family val="3"/>
      <charset val="134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29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right" vertical="center"/>
    </xf>
    <xf numFmtId="0" fontId="1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/>
    </xf>
    <xf numFmtId="176" fontId="7" fillId="0" borderId="11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left" vertical="center"/>
    </xf>
    <xf numFmtId="177" fontId="9" fillId="2" borderId="17" xfId="0" applyNumberFormat="1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vertical="center"/>
    </xf>
    <xf numFmtId="178" fontId="9" fillId="0" borderId="18" xfId="0" applyNumberFormat="1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vertical="center"/>
    </xf>
    <xf numFmtId="178" fontId="7" fillId="3" borderId="18" xfId="0" applyNumberFormat="1" applyFont="1" applyFill="1" applyBorder="1" applyAlignment="1">
      <alignment horizontal="center" vertical="center" wrapText="1"/>
    </xf>
    <xf numFmtId="178" fontId="9" fillId="0" borderId="17" xfId="0" applyNumberFormat="1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178" fontId="5" fillId="0" borderId="18" xfId="0" applyNumberFormat="1" applyFont="1" applyFill="1" applyBorder="1" applyAlignment="1">
      <alignment horizontal="center" vertical="center" wrapText="1"/>
    </xf>
    <xf numFmtId="178" fontId="7" fillId="3" borderId="11" xfId="0" applyNumberFormat="1" applyFont="1" applyFill="1" applyBorder="1" applyAlignment="1">
      <alignment horizontal="center" vertical="center" wrapText="1"/>
    </xf>
    <xf numFmtId="179" fontId="9" fillId="0" borderId="17" xfId="0" applyNumberFormat="1" applyFont="1" applyFill="1" applyBorder="1" applyAlignment="1">
      <alignment horizontal="center" vertical="center"/>
    </xf>
    <xf numFmtId="178" fontId="8" fillId="4" borderId="26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180" fontId="9" fillId="2" borderId="17" xfId="0" applyNumberFormat="1" applyFont="1" applyFill="1" applyBorder="1" applyAlignment="1">
      <alignment horizontal="center" vertical="center"/>
    </xf>
    <xf numFmtId="178" fontId="9" fillId="2" borderId="17" xfId="0" applyNumberFormat="1" applyFont="1" applyFill="1" applyBorder="1" applyAlignment="1">
      <alignment horizontal="center" vertical="center"/>
    </xf>
    <xf numFmtId="179" fontId="9" fillId="0" borderId="18" xfId="0" applyNumberFormat="1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49" fontId="12" fillId="0" borderId="0" xfId="0" applyNumberFormat="1" applyFont="1" applyFill="1" applyBorder="1" applyAlignment="1">
      <alignment vertical="center"/>
    </xf>
    <xf numFmtId="178" fontId="7" fillId="3" borderId="28" xfId="0" applyNumberFormat="1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181" fontId="9" fillId="2" borderId="17" xfId="0" applyNumberFormat="1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182" fontId="9" fillId="0" borderId="18" xfId="0" applyNumberFormat="1" applyFont="1" applyFill="1" applyBorder="1" applyAlignment="1">
      <alignment horizontal="center" vertical="center" wrapText="1"/>
    </xf>
    <xf numFmtId="181" fontId="9" fillId="0" borderId="17" xfId="0" applyNumberFormat="1" applyFont="1" applyFill="1" applyBorder="1" applyAlignment="1">
      <alignment horizontal="center" vertical="center"/>
    </xf>
    <xf numFmtId="3" fontId="7" fillId="3" borderId="18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/>
    </xf>
    <xf numFmtId="178" fontId="7" fillId="4" borderId="11" xfId="0" applyNumberFormat="1" applyFont="1" applyFill="1" applyBorder="1" applyAlignment="1">
      <alignment horizontal="center" vertical="center" wrapText="1"/>
    </xf>
    <xf numFmtId="178" fontId="8" fillId="5" borderId="26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16" fillId="0" borderId="17" xfId="0" applyFont="1" applyFill="1" applyBorder="1" applyAlignment="1">
      <alignment horizontal="center" vertical="center" wrapText="1"/>
    </xf>
    <xf numFmtId="0" fontId="16" fillId="0" borderId="17" xfId="0" applyFont="1" applyFill="1" applyBorder="1" applyAlignment="1">
      <alignment horizontal="left" vertical="center" wrapText="1"/>
    </xf>
    <xf numFmtId="0" fontId="16" fillId="0" borderId="17" xfId="0" applyFont="1" applyFill="1" applyBorder="1" applyAlignment="1">
      <alignment horizontal="left" vertical="center"/>
    </xf>
    <xf numFmtId="0" fontId="14" fillId="0" borderId="17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8" fillId="0" borderId="17" xfId="0" applyFont="1" applyFill="1" applyBorder="1" applyAlignment="1">
      <alignment vertical="center"/>
    </xf>
    <xf numFmtId="0" fontId="14" fillId="0" borderId="17" xfId="0" applyFont="1" applyFill="1" applyBorder="1" applyAlignment="1">
      <alignment vertical="center"/>
    </xf>
    <xf numFmtId="0" fontId="15" fillId="0" borderId="17" xfId="0" applyNumberFormat="1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vertical="center" wrapText="1"/>
    </xf>
    <xf numFmtId="0" fontId="19" fillId="0" borderId="17" xfId="0" applyFont="1" applyFill="1" applyBorder="1" applyAlignment="1">
      <alignment vertical="center"/>
    </xf>
    <xf numFmtId="0" fontId="20" fillId="0" borderId="17" xfId="0" applyFont="1" applyFill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21" fillId="6" borderId="17" xfId="0" applyFon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23" fillId="7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18" fillId="0" borderId="0" xfId="1" applyFont="1" applyFill="1" applyAlignment="1">
      <alignment vertical="center"/>
    </xf>
    <xf numFmtId="0" fontId="0" fillId="7" borderId="0" xfId="0" applyNumberFormat="1" applyFill="1" applyAlignment="1">
      <alignment horizontal="center" vertical="center"/>
    </xf>
    <xf numFmtId="0" fontId="0" fillId="7" borderId="0" xfId="0" applyNumberFormat="1" applyFill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24" fillId="6" borderId="1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7" xfId="0" applyFont="1" applyFill="1" applyBorder="1" applyAlignment="1">
      <alignment vertical="center" wrapText="1"/>
    </xf>
    <xf numFmtId="0" fontId="14" fillId="0" borderId="17" xfId="0" applyFont="1" applyBorder="1" applyAlignment="1">
      <alignment horizontal="center" vertical="center"/>
    </xf>
    <xf numFmtId="49" fontId="14" fillId="0" borderId="17" xfId="0" applyNumberFormat="1" applyFont="1" applyFill="1" applyBorder="1" applyAlignment="1">
      <alignment horizontal="center" vertical="center"/>
    </xf>
    <xf numFmtId="0" fontId="25" fillId="0" borderId="17" xfId="0" applyFont="1" applyFill="1" applyBorder="1" applyAlignment="1">
      <alignment vertical="center"/>
    </xf>
    <xf numFmtId="0" fontId="15" fillId="0" borderId="17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 applyAlignment="1">
      <alignment vertical="center"/>
    </xf>
    <xf numFmtId="0" fontId="28" fillId="0" borderId="17" xfId="0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horizontal="left" vertical="center" wrapText="1"/>
    </xf>
    <xf numFmtId="0" fontId="28" fillId="0" borderId="17" xfId="0" applyFont="1" applyFill="1" applyBorder="1" applyAlignment="1">
      <alignment horizontal="left" vertical="center"/>
    </xf>
    <xf numFmtId="0" fontId="26" fillId="0" borderId="17" xfId="0" applyFont="1" applyFill="1" applyBorder="1" applyAlignment="1">
      <alignment horizontal="center" vertical="center"/>
    </xf>
    <xf numFmtId="0" fontId="27" fillId="0" borderId="17" xfId="0" applyFont="1" applyFill="1" applyBorder="1" applyAlignment="1">
      <alignment horizontal="center" vertical="center"/>
    </xf>
    <xf numFmtId="0" fontId="27" fillId="0" borderId="17" xfId="0" applyFont="1" applyFill="1" applyBorder="1" applyAlignment="1">
      <alignment vertical="center"/>
    </xf>
    <xf numFmtId="0" fontId="27" fillId="0" borderId="17" xfId="0" applyFont="1" applyFill="1" applyBorder="1" applyAlignment="1">
      <alignment vertical="center" wrapText="1"/>
    </xf>
    <xf numFmtId="0" fontId="27" fillId="0" borderId="17" xfId="0" applyNumberFormat="1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vertical="center"/>
    </xf>
    <xf numFmtId="0" fontId="26" fillId="0" borderId="17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29" fillId="0" borderId="17" xfId="0" applyFont="1" applyFill="1" applyBorder="1" applyAlignment="1">
      <alignment vertical="center"/>
    </xf>
    <xf numFmtId="0" fontId="30" fillId="8" borderId="0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31" fillId="0" borderId="17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32" fillId="7" borderId="0" xfId="0" applyFont="1" applyFill="1">
      <alignment vertical="center"/>
    </xf>
    <xf numFmtId="0" fontId="31" fillId="0" borderId="0" xfId="1" applyFont="1" applyFill="1" applyAlignment="1">
      <alignment vertical="center"/>
    </xf>
    <xf numFmtId="0" fontId="33" fillId="8" borderId="0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 wrapText="1"/>
    </xf>
    <xf numFmtId="0" fontId="26" fillId="0" borderId="17" xfId="0" applyFont="1" applyBorder="1" applyAlignment="1">
      <alignment vertical="center"/>
    </xf>
    <xf numFmtId="0" fontId="35" fillId="0" borderId="17" xfId="0" applyFont="1" applyFill="1" applyBorder="1" applyAlignment="1">
      <alignment vertical="center"/>
    </xf>
    <xf numFmtId="0" fontId="0" fillId="0" borderId="0" xfId="0" applyNumberFormat="1" applyAlignment="1">
      <alignment vertical="center"/>
    </xf>
    <xf numFmtId="49" fontId="26" fillId="0" borderId="17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vertical="center"/>
    </xf>
    <xf numFmtId="0" fontId="36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37" fillId="0" borderId="17" xfId="0" applyFont="1" applyFill="1" applyBorder="1" applyAlignment="1">
      <alignment horizontal="center" vertical="center" wrapText="1"/>
    </xf>
    <xf numFmtId="0" fontId="37" fillId="0" borderId="17" xfId="0" applyFont="1" applyFill="1" applyBorder="1" applyAlignment="1">
      <alignment horizontal="left" vertical="center" wrapText="1"/>
    </xf>
    <xf numFmtId="0" fontId="37" fillId="0" borderId="17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center" vertical="center"/>
    </xf>
    <xf numFmtId="0" fontId="36" fillId="0" borderId="17" xfId="0" applyFont="1" applyFill="1" applyBorder="1" applyAlignment="1">
      <alignment horizontal="center" vertical="center"/>
    </xf>
    <xf numFmtId="0" fontId="36" fillId="0" borderId="17" xfId="0" applyFont="1" applyFill="1" applyBorder="1" applyAlignment="1">
      <alignment vertical="center"/>
    </xf>
    <xf numFmtId="0" fontId="23" fillId="0" borderId="17" xfId="0" applyFont="1" applyBorder="1" applyAlignment="1">
      <alignment vertical="center" wrapText="1"/>
    </xf>
    <xf numFmtId="0" fontId="36" fillId="0" borderId="17" xfId="0" applyFont="1" applyFill="1" applyBorder="1" applyAlignment="1">
      <alignment vertical="center" wrapText="1"/>
    </xf>
    <xf numFmtId="0" fontId="23" fillId="0" borderId="17" xfId="0" applyFont="1" applyFill="1" applyBorder="1" applyAlignment="1">
      <alignment vertical="center"/>
    </xf>
    <xf numFmtId="0" fontId="36" fillId="0" borderId="17" xfId="0" applyNumberFormat="1" applyFont="1" applyFill="1" applyBorder="1" applyAlignment="1">
      <alignment horizontal="center" vertical="center"/>
    </xf>
    <xf numFmtId="0" fontId="23" fillId="0" borderId="17" xfId="0" applyFont="1" applyBorder="1" applyAlignment="1">
      <alignment vertical="center"/>
    </xf>
    <xf numFmtId="0" fontId="38" fillId="0" borderId="17" xfId="0" applyFont="1" applyFill="1" applyBorder="1" applyAlignment="1">
      <alignment vertical="center"/>
    </xf>
    <xf numFmtId="0" fontId="39" fillId="6" borderId="1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left" vertical="center"/>
    </xf>
    <xf numFmtId="0" fontId="23" fillId="0" borderId="0" xfId="0" applyNumberFormat="1" applyFont="1" applyAlignment="1">
      <alignment horizontal="center" vertical="center"/>
    </xf>
    <xf numFmtId="0" fontId="23" fillId="0" borderId="0" xfId="0" applyNumberFormat="1" applyFont="1" applyAlignment="1">
      <alignment horizontal="left" vertical="center"/>
    </xf>
    <xf numFmtId="0" fontId="37" fillId="6" borderId="17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49" fontId="23" fillId="0" borderId="17" xfId="0" applyNumberFormat="1" applyFont="1" applyFill="1" applyBorder="1" applyAlignment="1">
      <alignment horizontal="center" vertical="center"/>
    </xf>
    <xf numFmtId="0" fontId="36" fillId="0" borderId="17" xfId="0" applyFont="1" applyFill="1" applyBorder="1" applyAlignment="1">
      <alignment horizontal="left" vertical="center"/>
    </xf>
    <xf numFmtId="0" fontId="40" fillId="0" borderId="0" xfId="0" applyFont="1" applyAlignment="1">
      <alignment vertical="center"/>
    </xf>
    <xf numFmtId="0" fontId="40" fillId="0" borderId="0" xfId="0" applyFont="1" applyFill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center" shrinkToFit="1"/>
    </xf>
    <xf numFmtId="0" fontId="41" fillId="0" borderId="17" xfId="0" applyFont="1" applyFill="1" applyBorder="1" applyAlignment="1">
      <alignment horizontal="center" vertical="center" wrapText="1"/>
    </xf>
    <xf numFmtId="0" fontId="41" fillId="0" borderId="17" xfId="0" applyFont="1" applyFill="1" applyBorder="1" applyAlignment="1">
      <alignment horizontal="left" vertical="center" wrapText="1"/>
    </xf>
    <xf numFmtId="0" fontId="41" fillId="0" borderId="17" xfId="0" applyFont="1" applyFill="1" applyBorder="1" applyAlignment="1">
      <alignment horizontal="left" vertical="center"/>
    </xf>
    <xf numFmtId="0" fontId="41" fillId="0" borderId="17" xfId="0" applyFont="1" applyFill="1" applyBorder="1" applyAlignment="1">
      <alignment horizontal="left" vertical="center" shrinkToFit="1"/>
    </xf>
    <xf numFmtId="0" fontId="40" fillId="0" borderId="17" xfId="0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0" fontId="40" fillId="0" borderId="17" xfId="0" applyFont="1" applyBorder="1" applyAlignment="1">
      <alignment vertical="center" shrinkToFit="1"/>
    </xf>
    <xf numFmtId="0" fontId="40" fillId="0" borderId="17" xfId="0" applyFont="1" applyFill="1" applyBorder="1" applyAlignment="1">
      <alignment vertical="center"/>
    </xf>
    <xf numFmtId="0" fontId="40" fillId="0" borderId="17" xfId="0" applyFont="1" applyFill="1" applyBorder="1" applyAlignment="1">
      <alignment horizontal="center" vertical="center"/>
    </xf>
    <xf numFmtId="0" fontId="40" fillId="0" borderId="17" xfId="0" applyFont="1" applyFill="1" applyBorder="1" applyAlignment="1">
      <alignment vertical="center" shrinkToFit="1"/>
    </xf>
    <xf numFmtId="0" fontId="40" fillId="0" borderId="17" xfId="0" applyNumberFormat="1" applyFont="1" applyBorder="1" applyAlignment="1">
      <alignment horizontal="center" vertical="center"/>
    </xf>
    <xf numFmtId="0" fontId="42" fillId="0" borderId="17" xfId="0" applyFont="1" applyFill="1" applyBorder="1" applyAlignment="1">
      <alignment vertical="center"/>
    </xf>
    <xf numFmtId="0" fontId="40" fillId="0" borderId="0" xfId="0" applyFont="1">
      <alignment vertical="center"/>
    </xf>
    <xf numFmtId="0" fontId="43" fillId="0" borderId="0" xfId="0" applyFont="1" applyFill="1" applyAlignment="1">
      <alignment vertical="center"/>
    </xf>
    <xf numFmtId="0" fontId="42" fillId="0" borderId="17" xfId="0" applyFont="1" applyBorder="1" applyAlignment="1">
      <alignment vertical="center"/>
    </xf>
    <xf numFmtId="0" fontId="23" fillId="0" borderId="0" xfId="1" applyFont="1" applyAlignment="1">
      <alignment vertical="center"/>
    </xf>
    <xf numFmtId="0" fontId="44" fillId="0" borderId="0" xfId="0" applyFont="1">
      <alignment vertical="center"/>
    </xf>
    <xf numFmtId="0" fontId="0" fillId="0" borderId="0" xfId="0" applyFill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8" fillId="0" borderId="17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31" fillId="0" borderId="17" xfId="0" applyFont="1" applyBorder="1" applyAlignment="1">
      <alignment vertical="center"/>
    </xf>
    <xf numFmtId="0" fontId="26" fillId="0" borderId="17" xfId="0" applyNumberFormat="1" applyFont="1" applyBorder="1" applyAlignment="1">
      <alignment horizontal="center" vertical="center"/>
    </xf>
    <xf numFmtId="0" fontId="30" fillId="9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ont="1" applyFill="1" applyAlignment="1">
      <alignment vertical="center"/>
    </xf>
    <xf numFmtId="0" fontId="33" fillId="9" borderId="0" xfId="0" applyFont="1" applyFill="1" applyBorder="1" applyAlignment="1">
      <alignment horizontal="center" vertical="center"/>
    </xf>
    <xf numFmtId="0" fontId="45" fillId="0" borderId="17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0" fillId="0" borderId="17" xfId="0" applyFill="1" applyBorder="1" applyAlignment="1">
      <alignment vertical="center"/>
    </xf>
    <xf numFmtId="0" fontId="46" fillId="0" borderId="0" xfId="0" applyFont="1" applyFill="1" applyBorder="1" applyAlignment="1"/>
    <xf numFmtId="0" fontId="47" fillId="0" borderId="0" xfId="0" applyFont="1" applyAlignment="1">
      <alignment vertical="center"/>
    </xf>
    <xf numFmtId="0" fontId="47" fillId="0" borderId="0" xfId="0" applyFont="1" applyFill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17" xfId="0" applyFont="1" applyFill="1" applyBorder="1" applyAlignment="1">
      <alignment horizontal="center" vertical="center" wrapText="1"/>
    </xf>
    <xf numFmtId="0" fontId="46" fillId="0" borderId="17" xfId="0" applyFont="1" applyFill="1" applyBorder="1" applyAlignment="1">
      <alignment horizontal="left" vertical="center" wrapText="1"/>
    </xf>
    <xf numFmtId="0" fontId="46" fillId="0" borderId="17" xfId="0" applyFont="1" applyFill="1" applyBorder="1" applyAlignment="1">
      <alignment horizontal="left" vertical="center"/>
    </xf>
    <xf numFmtId="0" fontId="47" fillId="0" borderId="17" xfId="0" applyFont="1" applyBorder="1" applyAlignment="1">
      <alignment horizontal="center" vertical="center"/>
    </xf>
    <xf numFmtId="0" fontId="47" fillId="0" borderId="17" xfId="0" applyFont="1" applyBorder="1" applyAlignment="1">
      <alignment vertical="center"/>
    </xf>
    <xf numFmtId="0" fontId="47" fillId="0" borderId="17" xfId="0" applyFont="1" applyFill="1" applyBorder="1" applyAlignment="1">
      <alignment vertical="center"/>
    </xf>
    <xf numFmtId="0" fontId="47" fillId="0" borderId="17" xfId="0" applyFont="1" applyFill="1" applyBorder="1" applyAlignment="1">
      <alignment horizontal="center" vertical="center"/>
    </xf>
    <xf numFmtId="0" fontId="47" fillId="0" borderId="17" xfId="0" applyNumberFormat="1" applyFont="1" applyBorder="1" applyAlignment="1">
      <alignment horizontal="center" vertical="center"/>
    </xf>
    <xf numFmtId="0" fontId="47" fillId="0" borderId="0" xfId="0" applyFont="1">
      <alignment vertical="center"/>
    </xf>
    <xf numFmtId="0" fontId="47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Fill="1" applyAlignment="1">
      <alignment vertical="center"/>
    </xf>
    <xf numFmtId="0" fontId="32" fillId="0" borderId="0" xfId="0" applyFont="1" applyAlignment="1">
      <alignment horizontal="center" vertical="center"/>
    </xf>
    <xf numFmtId="0" fontId="48" fillId="0" borderId="17" xfId="0" applyNumberFormat="1" applyFont="1" applyFill="1" applyBorder="1" applyAlignment="1" applyProtection="1">
      <alignment horizontal="center" vertical="center" wrapText="1"/>
    </xf>
    <xf numFmtId="0" fontId="48" fillId="0" borderId="17" xfId="0" applyNumberFormat="1" applyFont="1" applyFill="1" applyBorder="1" applyAlignment="1" applyProtection="1">
      <alignment horizontal="left" vertical="center" wrapText="1"/>
    </xf>
    <xf numFmtId="0" fontId="48" fillId="0" borderId="17" xfId="0" applyNumberFormat="1" applyFont="1" applyFill="1" applyBorder="1" applyAlignment="1" applyProtection="1">
      <alignment horizontal="left" vertical="center"/>
    </xf>
    <xf numFmtId="0" fontId="32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49" fillId="0" borderId="17" xfId="0" applyFont="1" applyBorder="1" applyAlignment="1">
      <alignment vertical="center"/>
    </xf>
    <xf numFmtId="0" fontId="32" fillId="0" borderId="17" xfId="0" applyFont="1" applyFill="1" applyBorder="1" applyAlignment="1">
      <alignment horizontal="center" vertical="center"/>
    </xf>
    <xf numFmtId="0" fontId="32" fillId="0" borderId="17" xfId="0" applyFont="1" applyFill="1" applyBorder="1" applyAlignment="1">
      <alignment vertical="center"/>
    </xf>
    <xf numFmtId="0" fontId="50" fillId="0" borderId="17" xfId="0" applyFont="1" applyFill="1" applyBorder="1" applyAlignment="1">
      <alignment vertical="center"/>
    </xf>
    <xf numFmtId="0" fontId="48" fillId="0" borderId="17" xfId="0" applyFont="1" applyFill="1" applyBorder="1" applyAlignment="1">
      <alignment horizontal="left" vertical="center" wrapText="1"/>
    </xf>
    <xf numFmtId="0" fontId="50" fillId="0" borderId="0" xfId="0" applyFont="1" applyAlignment="1">
      <alignment vertical="center"/>
    </xf>
    <xf numFmtId="0" fontId="49" fillId="0" borderId="17" xfId="0" applyFont="1" applyFill="1" applyBorder="1" applyAlignment="1">
      <alignment vertical="center"/>
    </xf>
    <xf numFmtId="0" fontId="32" fillId="7" borderId="0" xfId="0" applyFont="1" applyFill="1" applyAlignment="1">
      <alignment vertical="center"/>
    </xf>
    <xf numFmtId="0" fontId="49" fillId="0" borderId="17" xfId="0" applyFont="1" applyFill="1" applyBorder="1" applyAlignment="1">
      <alignment horizontal="left" vertical="center"/>
    </xf>
    <xf numFmtId="0" fontId="32" fillId="0" borderId="0" xfId="0" applyFont="1">
      <alignment vertical="center"/>
    </xf>
    <xf numFmtId="0" fontId="23" fillId="0" borderId="0" xfId="0" applyFont="1" applyFill="1" applyAlignment="1">
      <alignment vertical="center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37" fillId="0" borderId="17" xfId="0" applyNumberFormat="1" applyFont="1" applyFill="1" applyBorder="1" applyAlignment="1" applyProtection="1">
      <alignment horizontal="center" vertical="center" wrapText="1"/>
    </xf>
    <xf numFmtId="0" fontId="37" fillId="0" borderId="17" xfId="0" applyNumberFormat="1" applyFont="1" applyFill="1" applyBorder="1" applyAlignment="1" applyProtection="1">
      <alignment horizontal="left" vertical="center" wrapText="1"/>
    </xf>
    <xf numFmtId="0" fontId="37" fillId="0" borderId="17" xfId="0" applyNumberFormat="1" applyFont="1" applyFill="1" applyBorder="1" applyAlignment="1" applyProtection="1">
      <alignment horizontal="left" vertical="center"/>
    </xf>
    <xf numFmtId="0" fontId="38" fillId="0" borderId="17" xfId="0" applyFont="1" applyBorder="1" applyAlignment="1">
      <alignment vertical="center"/>
    </xf>
    <xf numFmtId="0" fontId="36" fillId="0" borderId="17" xfId="0" applyNumberFormat="1" applyFont="1" applyFill="1" applyBorder="1" applyAlignment="1" applyProtection="1">
      <alignment horizontal="center" vertical="center"/>
    </xf>
    <xf numFmtId="0" fontId="36" fillId="0" borderId="17" xfId="0" applyNumberFormat="1" applyFont="1" applyFill="1" applyBorder="1" applyAlignment="1" applyProtection="1">
      <alignment vertical="center"/>
    </xf>
    <xf numFmtId="0" fontId="36" fillId="0" borderId="0" xfId="0" applyFont="1" applyAlignment="1">
      <alignment vertical="center"/>
    </xf>
    <xf numFmtId="0" fontId="23" fillId="7" borderId="0" xfId="0" applyFont="1" applyFill="1" applyAlignment="1">
      <alignment vertical="center"/>
    </xf>
    <xf numFmtId="0" fontId="38" fillId="0" borderId="17" xfId="0" applyFont="1" applyFill="1" applyBorder="1" applyAlignment="1">
      <alignment horizontal="left" vertical="center"/>
    </xf>
    <xf numFmtId="0" fontId="51" fillId="10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183" fontId="0" fillId="0" borderId="17" xfId="0" applyNumberFormat="1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0" borderId="0" xfId="0" applyFill="1" applyAlignment="1"/>
    <xf numFmtId="0" fontId="0" fillId="12" borderId="0" xfId="0" applyFill="1" applyAlignment="1"/>
    <xf numFmtId="183" fontId="0" fillId="0" borderId="0" xfId="0" applyNumberFormat="1">
      <alignment vertical="center"/>
    </xf>
    <xf numFmtId="0" fontId="23" fillId="0" borderId="17" xfId="0" quotePrefix="1" applyFont="1" applyBorder="1" applyAlignment="1">
      <alignment vertical="center"/>
    </xf>
    <xf numFmtId="0" fontId="47" fillId="0" borderId="17" xfId="0" quotePrefix="1" applyFont="1" applyBorder="1" applyAlignment="1">
      <alignment vertical="center"/>
    </xf>
    <xf numFmtId="0" fontId="26" fillId="0" borderId="17" xfId="0" quotePrefix="1" applyFont="1" applyBorder="1" applyAlignment="1">
      <alignment vertical="center"/>
    </xf>
    <xf numFmtId="0" fontId="31" fillId="0" borderId="17" xfId="0" quotePrefix="1" applyFont="1" applyFill="1" applyBorder="1" applyAlignment="1">
      <alignment vertical="center"/>
    </xf>
    <xf numFmtId="0" fontId="26" fillId="0" borderId="17" xfId="0" quotePrefix="1" applyFont="1" applyFill="1" applyBorder="1" applyAlignment="1">
      <alignment vertical="center"/>
    </xf>
    <xf numFmtId="0" fontId="40" fillId="0" borderId="17" xfId="0" quotePrefix="1" applyFont="1" applyBorder="1" applyAlignment="1">
      <alignment vertical="center"/>
    </xf>
    <xf numFmtId="0" fontId="40" fillId="0" borderId="17" xfId="0" quotePrefix="1" applyFont="1" applyBorder="1" applyAlignment="1">
      <alignment vertical="center" shrinkToFit="1"/>
    </xf>
    <xf numFmtId="0" fontId="36" fillId="0" borderId="17" xfId="0" quotePrefix="1" applyFont="1" applyFill="1" applyBorder="1" applyAlignment="1">
      <alignment vertical="center"/>
    </xf>
    <xf numFmtId="0" fontId="27" fillId="0" borderId="17" xfId="0" quotePrefix="1" applyFont="1" applyFill="1" applyBorder="1" applyAlignment="1">
      <alignment vertical="center"/>
    </xf>
    <xf numFmtId="0" fontId="15" fillId="0" borderId="17" xfId="0" quotePrefix="1" applyFont="1" applyFill="1" applyBorder="1" applyAlignment="1">
      <alignment vertical="center"/>
    </xf>
    <xf numFmtId="0" fontId="0" fillId="13" borderId="17" xfId="0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left" vertical="center" wrapText="1"/>
    </xf>
    <xf numFmtId="0" fontId="10" fillId="0" borderId="12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right" vertical="center"/>
    </xf>
    <xf numFmtId="0" fontId="7" fillId="3" borderId="17" xfId="0" applyFont="1" applyFill="1" applyBorder="1" applyAlignment="1">
      <alignment horizontal="right" vertical="center"/>
    </xf>
    <xf numFmtId="0" fontId="6" fillId="4" borderId="8" xfId="0" applyFont="1" applyFill="1" applyBorder="1" applyAlignment="1">
      <alignment horizontal="right" vertical="center"/>
    </xf>
    <xf numFmtId="0" fontId="7" fillId="4" borderId="8" xfId="0" applyFont="1" applyFill="1" applyBorder="1" applyAlignment="1">
      <alignment horizontal="right" vertical="center"/>
    </xf>
    <xf numFmtId="0" fontId="11" fillId="5" borderId="29" xfId="0" applyFont="1" applyFill="1" applyBorder="1" applyAlignment="1">
      <alignment horizontal="right" vertical="center"/>
    </xf>
    <xf numFmtId="0" fontId="8" fillId="5" borderId="30" xfId="0" applyFont="1" applyFill="1" applyBorder="1" applyAlignment="1">
      <alignment horizontal="right" vertical="center"/>
    </xf>
    <xf numFmtId="0" fontId="8" fillId="5" borderId="31" xfId="0" applyFont="1" applyFill="1" applyBorder="1" applyAlignment="1">
      <alignment horizontal="right" vertical="center"/>
    </xf>
    <xf numFmtId="0" fontId="11" fillId="0" borderId="32" xfId="0" applyFont="1" applyFill="1" applyBorder="1" applyAlignment="1">
      <alignment vertical="center"/>
    </xf>
    <xf numFmtId="0" fontId="8" fillId="0" borderId="16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right" vertical="center"/>
    </xf>
    <xf numFmtId="0" fontId="6" fillId="3" borderId="8" xfId="0" applyFont="1" applyFill="1" applyBorder="1" applyAlignment="1">
      <alignment horizontal="right" vertical="center"/>
    </xf>
    <xf numFmtId="0" fontId="6" fillId="4" borderId="23" xfId="0" applyFont="1" applyFill="1" applyBorder="1" applyAlignment="1">
      <alignment horizontal="right" vertical="center"/>
    </xf>
    <xf numFmtId="0" fontId="5" fillId="0" borderId="24" xfId="0" applyFont="1" applyFill="1" applyBorder="1" applyAlignment="1">
      <alignment vertical="center"/>
    </xf>
    <xf numFmtId="0" fontId="5" fillId="0" borderId="25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right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right" vertical="center"/>
    </xf>
    <xf numFmtId="0" fontId="5" fillId="3" borderId="17" xfId="0" applyFont="1" applyFill="1" applyBorder="1" applyAlignment="1">
      <alignment horizontal="righ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47625</xdr:rowOff>
    </xdr:from>
    <xdr:to>
      <xdr:col>1</xdr:col>
      <xdr:colOff>123825</xdr:colOff>
      <xdr:row>1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 flipH="1" flipV="1">
          <a:off x="57150" y="112395"/>
          <a:ext cx="4953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57150</xdr:colOff>
      <xdr:row>1</xdr:row>
      <xdr:rowOff>47625</xdr:rowOff>
    </xdr:from>
    <xdr:to>
      <xdr:col>1</xdr:col>
      <xdr:colOff>123825</xdr:colOff>
      <xdr:row>1</xdr:row>
      <xdr:rowOff>276225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 flipH="1" flipV="1">
          <a:off x="57150" y="112395"/>
          <a:ext cx="4953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57150</xdr:colOff>
      <xdr:row>1</xdr:row>
      <xdr:rowOff>47625</xdr:rowOff>
    </xdr:from>
    <xdr:to>
      <xdr:col>1</xdr:col>
      <xdr:colOff>123825</xdr:colOff>
      <xdr:row>1</xdr:row>
      <xdr:rowOff>276225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 flipH="1" flipV="1">
          <a:off x="57150" y="112395"/>
          <a:ext cx="495300" cy="228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47625</xdr:rowOff>
    </xdr:from>
    <xdr:to>
      <xdr:col>1</xdr:col>
      <xdr:colOff>123825</xdr:colOff>
      <xdr:row>1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 flipH="1" flipV="1">
          <a:off x="57150" y="112395"/>
          <a:ext cx="495300" cy="228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47625</xdr:rowOff>
    </xdr:from>
    <xdr:to>
      <xdr:col>1</xdr:col>
      <xdr:colOff>123825</xdr:colOff>
      <xdr:row>1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 flipH="1" flipV="1">
          <a:off x="57150" y="112395"/>
          <a:ext cx="495300" cy="228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47625</xdr:rowOff>
    </xdr:from>
    <xdr:to>
      <xdr:col>1</xdr:col>
      <xdr:colOff>123825</xdr:colOff>
      <xdr:row>1</xdr:row>
      <xdr:rowOff>276225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 flipH="1" flipV="1">
          <a:off x="57150" y="112395"/>
          <a:ext cx="495300" cy="228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80024640\Desktop\09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C-WPIB009-V1.21-LIN--HE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GC-WPIB010-TEC%20PLUS%20SC%20V1.1--HE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GC-WPIB010-TEC%20PLUS%20LIN%20V1.1--HE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GC-WPIB010-TEC%20PLUS%20PWM%20V1.1--H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>
        <row r="2">
          <cell r="D2">
            <v>10100005708</v>
          </cell>
          <cell r="E2" t="str">
            <v>厚膜贴片电阻器</v>
          </cell>
          <cell r="F2" t="str">
            <v>10010302</v>
          </cell>
          <cell r="G2" t="str">
            <v>YAGEO\RES 10K F 1/16W 0402</v>
          </cell>
          <cell r="H2" t="str">
            <v>YAGEO(国巨)</v>
          </cell>
          <cell r="I2" t="str">
            <v>RC0402FR-0710KL</v>
          </cell>
          <cell r="J2" t="str">
            <v>101553</v>
          </cell>
          <cell r="K2" t="str">
            <v>深圳市奥特高科电子有限公司</v>
          </cell>
          <cell r="L2" t="str">
            <v>X</v>
          </cell>
          <cell r="M2" t="str">
            <v/>
          </cell>
          <cell r="N2" t="str">
            <v>1</v>
          </cell>
          <cell r="O2" t="str">
            <v>1.300000</v>
          </cell>
          <cell r="P2" t="str">
            <v>1.30</v>
          </cell>
          <cell r="Q2" t="str">
            <v>1,000</v>
          </cell>
          <cell r="R2" t="str">
            <v>PCS</v>
          </cell>
          <cell r="S2" t="str">
            <v>84</v>
          </cell>
          <cell r="T2" t="str">
            <v>J3</v>
          </cell>
          <cell r="U2">
            <v>1.2999999999999999E-3</v>
          </cell>
          <cell r="V2" t="str">
            <v>CNY</v>
          </cell>
          <cell r="W2" t="str">
            <v>10,000.000</v>
          </cell>
          <cell r="X2" t="str">
            <v>10,000.000</v>
          </cell>
        </row>
        <row r="3">
          <cell r="D3">
            <v>10100005795</v>
          </cell>
          <cell r="E3" t="str">
            <v>厚膜贴片电阻器</v>
          </cell>
          <cell r="F3" t="str">
            <v>10010302</v>
          </cell>
          <cell r="G3" t="str">
            <v>FH\RES 10K F 1/16W 0402</v>
          </cell>
          <cell r="H3" t="str">
            <v>FH(风华)</v>
          </cell>
          <cell r="I3" t="str">
            <v>RC-02K1002FT</v>
          </cell>
          <cell r="J3" t="str">
            <v>100654</v>
          </cell>
          <cell r="K3" t="str">
            <v>广东风华高新科技股份有限公司</v>
          </cell>
          <cell r="L3" t="str">
            <v>X</v>
          </cell>
          <cell r="M3" t="str">
            <v/>
          </cell>
          <cell r="N3" t="str">
            <v>1</v>
          </cell>
          <cell r="O3" t="str">
            <v>1.100000</v>
          </cell>
          <cell r="P3" t="str">
            <v>1.10</v>
          </cell>
          <cell r="Q3" t="str">
            <v>1,000</v>
          </cell>
          <cell r="R3" t="str">
            <v>PCS</v>
          </cell>
          <cell r="S3" t="str">
            <v>42</v>
          </cell>
          <cell r="T3" t="str">
            <v>J3</v>
          </cell>
          <cell r="U3">
            <v>1.1000000000000001E-3</v>
          </cell>
          <cell r="V3" t="str">
            <v>CNY</v>
          </cell>
          <cell r="W3" t="str">
            <v>10,000.000</v>
          </cell>
          <cell r="X3" t="str">
            <v>10,000.000</v>
          </cell>
        </row>
        <row r="4">
          <cell r="D4">
            <v>10100007615</v>
          </cell>
          <cell r="E4" t="str">
            <v>厚膜贴片电阻器</v>
          </cell>
          <cell r="F4" t="str">
            <v>10010302</v>
          </cell>
          <cell r="G4" t="str">
            <v>YAGEO\RES 100R F 1/16W 0402</v>
          </cell>
          <cell r="H4" t="str">
            <v>YAGEO(国巨)</v>
          </cell>
          <cell r="I4" t="str">
            <v>RC0402FR-07100RL</v>
          </cell>
          <cell r="J4" t="str">
            <v>100078</v>
          </cell>
          <cell r="K4" t="str">
            <v>深圳市超利维实业有限公司</v>
          </cell>
          <cell r="L4" t="str">
            <v>X</v>
          </cell>
          <cell r="M4" t="str">
            <v/>
          </cell>
          <cell r="N4" t="str">
            <v>1</v>
          </cell>
          <cell r="O4" t="str">
            <v>1.400000</v>
          </cell>
          <cell r="P4" t="str">
            <v>1.40</v>
          </cell>
          <cell r="Q4" t="str">
            <v>1,000</v>
          </cell>
          <cell r="R4" t="str">
            <v>PCS</v>
          </cell>
          <cell r="S4" t="str">
            <v>84</v>
          </cell>
          <cell r="T4" t="str">
            <v>J3</v>
          </cell>
          <cell r="U4">
            <v>1.4E-3</v>
          </cell>
          <cell r="V4" t="str">
            <v>CNY</v>
          </cell>
          <cell r="W4" t="str">
            <v>10,000.000</v>
          </cell>
          <cell r="X4" t="str">
            <v>10,000.000</v>
          </cell>
        </row>
        <row r="5">
          <cell r="D5">
            <v>10100008302</v>
          </cell>
          <cell r="E5" t="str">
            <v>厚膜贴片电阻器</v>
          </cell>
          <cell r="F5" t="str">
            <v>10010302</v>
          </cell>
          <cell r="G5" t="str">
            <v>WALS\RES 100R F 1/16W 0402</v>
          </cell>
          <cell r="H5" t="str">
            <v>WALS(华科)</v>
          </cell>
          <cell r="I5" t="str">
            <v>WR04X1000FTL</v>
          </cell>
          <cell r="J5" t="str">
            <v>100131</v>
          </cell>
          <cell r="K5" t="str">
            <v>东莞华科电子有限公司</v>
          </cell>
          <cell r="L5" t="str">
            <v>X</v>
          </cell>
          <cell r="M5" t="str">
            <v/>
          </cell>
          <cell r="N5" t="str">
            <v>1</v>
          </cell>
          <cell r="O5" t="str">
            <v>1.170000</v>
          </cell>
          <cell r="P5" t="str">
            <v>1.17</v>
          </cell>
          <cell r="Q5" t="str">
            <v>1,000</v>
          </cell>
          <cell r="R5" t="str">
            <v>PCS</v>
          </cell>
          <cell r="S5" t="str">
            <v>56</v>
          </cell>
          <cell r="T5" t="str">
            <v>J3</v>
          </cell>
          <cell r="U5">
            <v>1.17E-3</v>
          </cell>
          <cell r="V5" t="str">
            <v>CNY</v>
          </cell>
          <cell r="W5" t="str">
            <v>10,000.000</v>
          </cell>
          <cell r="X5" t="str">
            <v>10,000.000</v>
          </cell>
        </row>
        <row r="6">
          <cell r="D6">
            <v>10100008776</v>
          </cell>
          <cell r="E6" t="str">
            <v>厚膜贴片电阻器</v>
          </cell>
          <cell r="F6" t="str">
            <v>10010302</v>
          </cell>
          <cell r="G6" t="str">
            <v>FH\RES 0R R&lt;10mR 1/10W 0603 1A</v>
          </cell>
          <cell r="H6" t="str">
            <v>FH(风华)</v>
          </cell>
          <cell r="I6" t="str">
            <v>RS-03000FT</v>
          </cell>
          <cell r="J6" t="str">
            <v>100654</v>
          </cell>
          <cell r="K6" t="str">
            <v>广东风华高新科技股份有限公司</v>
          </cell>
          <cell r="L6" t="str">
            <v>X</v>
          </cell>
          <cell r="M6" t="str">
            <v/>
          </cell>
          <cell r="N6" t="str">
            <v>1</v>
          </cell>
          <cell r="O6" t="str">
            <v>2.080000</v>
          </cell>
          <cell r="P6" t="str">
            <v>2.08</v>
          </cell>
          <cell r="Q6" t="str">
            <v>1,000</v>
          </cell>
          <cell r="R6" t="str">
            <v>PCS</v>
          </cell>
          <cell r="S6" t="str">
            <v>42</v>
          </cell>
          <cell r="T6" t="str">
            <v>J3</v>
          </cell>
          <cell r="U6">
            <v>2.0799999999999998E-3</v>
          </cell>
          <cell r="V6" t="str">
            <v>CNY</v>
          </cell>
          <cell r="W6" t="str">
            <v>5,000.000</v>
          </cell>
          <cell r="X6" t="str">
            <v>5,000.000</v>
          </cell>
        </row>
        <row r="7">
          <cell r="D7">
            <v>10100009092</v>
          </cell>
          <cell r="E7" t="str">
            <v>厚膜贴片电阻器</v>
          </cell>
          <cell r="F7" t="str">
            <v>10010302</v>
          </cell>
          <cell r="G7" t="str">
            <v>YAGEO\RES 2K F 1/16W 0402</v>
          </cell>
          <cell r="H7" t="str">
            <v>YAGEO(国巨)</v>
          </cell>
          <cell r="I7" t="str">
            <v>RC0402FR-072KL</v>
          </cell>
          <cell r="J7" t="str">
            <v>101553</v>
          </cell>
          <cell r="K7" t="str">
            <v>深圳市奥特高科电子有限公司</v>
          </cell>
          <cell r="L7" t="str">
            <v>X</v>
          </cell>
          <cell r="M7" t="str">
            <v/>
          </cell>
          <cell r="N7" t="str">
            <v>1</v>
          </cell>
          <cell r="O7" t="str">
            <v>1.300000</v>
          </cell>
          <cell r="P7" t="str">
            <v>1.30</v>
          </cell>
          <cell r="Q7" t="str">
            <v>1,000</v>
          </cell>
          <cell r="R7" t="str">
            <v>PCS</v>
          </cell>
          <cell r="S7" t="str">
            <v>84</v>
          </cell>
          <cell r="T7" t="str">
            <v>J3</v>
          </cell>
          <cell r="U7">
            <v>1.2999999999999999E-3</v>
          </cell>
          <cell r="V7" t="str">
            <v>CNY</v>
          </cell>
          <cell r="W7" t="str">
            <v>10,000.000</v>
          </cell>
          <cell r="X7" t="str">
            <v>10,000.000</v>
          </cell>
        </row>
        <row r="8">
          <cell r="D8">
            <v>10100009093</v>
          </cell>
          <cell r="E8" t="str">
            <v>厚膜贴片电阻器</v>
          </cell>
          <cell r="F8" t="str">
            <v>10010302</v>
          </cell>
          <cell r="G8" t="str">
            <v>WALS\RES 2K F 1/16W 0402</v>
          </cell>
          <cell r="H8" t="str">
            <v>WALS(华科)</v>
          </cell>
          <cell r="I8" t="str">
            <v>WR04X2001FTL</v>
          </cell>
          <cell r="J8" t="str">
            <v>100131</v>
          </cell>
          <cell r="K8" t="str">
            <v>东莞华科电子有限公司</v>
          </cell>
          <cell r="L8" t="str">
            <v>X</v>
          </cell>
          <cell r="M8" t="str">
            <v/>
          </cell>
          <cell r="N8" t="str">
            <v>1</v>
          </cell>
          <cell r="O8" t="str">
            <v>1.170000</v>
          </cell>
          <cell r="P8" t="str">
            <v>1.17</v>
          </cell>
          <cell r="Q8" t="str">
            <v>1,000</v>
          </cell>
          <cell r="R8" t="str">
            <v>PCS</v>
          </cell>
          <cell r="S8" t="str">
            <v>56</v>
          </cell>
          <cell r="T8" t="str">
            <v>J3</v>
          </cell>
          <cell r="U8">
            <v>1.17E-3</v>
          </cell>
          <cell r="V8" t="str">
            <v>CNY</v>
          </cell>
          <cell r="W8" t="str">
            <v>10,000.000</v>
          </cell>
          <cell r="X8" t="str">
            <v>10,000.000</v>
          </cell>
        </row>
        <row r="9">
          <cell r="D9">
            <v>10100009838</v>
          </cell>
          <cell r="E9" t="str">
            <v>厚膜贴片电阻器</v>
          </cell>
          <cell r="F9" t="str">
            <v>10010302</v>
          </cell>
          <cell r="G9" t="str">
            <v>ROYA\RES 10K F 1/16W 0402</v>
          </cell>
          <cell r="H9" t="str">
            <v>ROYALOHM(厚声)</v>
          </cell>
          <cell r="I9" t="str">
            <v>0402WGF1002TCE</v>
          </cell>
          <cell r="J9" t="str">
            <v>100096</v>
          </cell>
          <cell r="K9" t="str">
            <v>厚声国际贸易（昆山）有限公司深圳分公司</v>
          </cell>
          <cell r="L9" t="str">
            <v>X</v>
          </cell>
          <cell r="M9" t="str">
            <v/>
          </cell>
          <cell r="N9" t="str">
            <v>1</v>
          </cell>
          <cell r="O9" t="str">
            <v>1.090000</v>
          </cell>
          <cell r="P9" t="str">
            <v>1.09</v>
          </cell>
          <cell r="Q9" t="str">
            <v>1,000</v>
          </cell>
          <cell r="R9" t="str">
            <v>PCS</v>
          </cell>
          <cell r="S9" t="str">
            <v>56</v>
          </cell>
          <cell r="T9" t="str">
            <v>J3</v>
          </cell>
          <cell r="U9">
            <v>1.09E-3</v>
          </cell>
          <cell r="V9" t="str">
            <v>CNY</v>
          </cell>
          <cell r="W9" t="str">
            <v>10,000.000</v>
          </cell>
          <cell r="X9" t="str">
            <v>10,000.000</v>
          </cell>
        </row>
        <row r="10">
          <cell r="D10">
            <v>10100010045</v>
          </cell>
          <cell r="E10" t="str">
            <v>厚膜贴片电阻器</v>
          </cell>
          <cell r="F10" t="str">
            <v>10010302</v>
          </cell>
          <cell r="G10" t="str">
            <v>WALS\RES 10K F 1/16W 0402</v>
          </cell>
          <cell r="H10" t="str">
            <v>WALS(华科)</v>
          </cell>
          <cell r="I10" t="str">
            <v>WR04X1002FTL</v>
          </cell>
          <cell r="J10" t="str">
            <v>100131</v>
          </cell>
          <cell r="K10" t="str">
            <v>东莞华科电子有限公司</v>
          </cell>
          <cell r="L10" t="str">
            <v>X</v>
          </cell>
          <cell r="M10" t="str">
            <v/>
          </cell>
          <cell r="N10" t="str">
            <v>1</v>
          </cell>
          <cell r="O10" t="str">
            <v>1.170000</v>
          </cell>
          <cell r="P10" t="str">
            <v>1.17</v>
          </cell>
          <cell r="Q10" t="str">
            <v>1,000</v>
          </cell>
          <cell r="R10" t="str">
            <v>PCS</v>
          </cell>
          <cell r="S10" t="str">
            <v>56</v>
          </cell>
          <cell r="T10" t="str">
            <v>J3</v>
          </cell>
          <cell r="U10">
            <v>1.17E-3</v>
          </cell>
          <cell r="V10" t="str">
            <v>CNY</v>
          </cell>
          <cell r="W10" t="str">
            <v>10,000.000</v>
          </cell>
          <cell r="X10" t="str">
            <v>10,000.000</v>
          </cell>
        </row>
        <row r="11">
          <cell r="D11">
            <v>10100011726</v>
          </cell>
          <cell r="E11" t="str">
            <v>厚膜贴片电阻器</v>
          </cell>
          <cell r="F11" t="str">
            <v>10010302</v>
          </cell>
          <cell r="G11" t="str">
            <v>YAGEO\RES 5.1K F 1/16W 0402</v>
          </cell>
          <cell r="H11" t="str">
            <v>YAGEO(国巨)</v>
          </cell>
          <cell r="I11" t="str">
            <v>RC0402FR-075K1L</v>
          </cell>
          <cell r="J11" t="str">
            <v>100632</v>
          </cell>
          <cell r="K11" t="str">
            <v>深圳市欧尔法电子有限公司</v>
          </cell>
          <cell r="L11" t="str">
            <v>X</v>
          </cell>
          <cell r="M11" t="str">
            <v/>
          </cell>
          <cell r="N11" t="str">
            <v>1</v>
          </cell>
          <cell r="O11" t="str">
            <v>1.390000</v>
          </cell>
          <cell r="P11" t="str">
            <v>1.39</v>
          </cell>
          <cell r="Q11" t="str">
            <v>1,000</v>
          </cell>
          <cell r="R11" t="str">
            <v>PCS</v>
          </cell>
          <cell r="S11" t="str">
            <v>56</v>
          </cell>
          <cell r="T11" t="str">
            <v>J3</v>
          </cell>
          <cell r="U11">
            <v>1.39E-3</v>
          </cell>
          <cell r="V11" t="str">
            <v>CNY</v>
          </cell>
          <cell r="W11" t="str">
            <v>10,000.000</v>
          </cell>
          <cell r="X11" t="str">
            <v>10,000.000</v>
          </cell>
        </row>
        <row r="12">
          <cell r="D12">
            <v>10100011993</v>
          </cell>
          <cell r="E12" t="str">
            <v>厚膜贴片电阻器</v>
          </cell>
          <cell r="F12" t="str">
            <v>10010302</v>
          </cell>
          <cell r="G12" t="str">
            <v>FH\RES 5.1K F 1/16W 0402</v>
          </cell>
          <cell r="H12" t="str">
            <v>FH(风华)</v>
          </cell>
          <cell r="I12" t="str">
            <v>RC-02K5101FT</v>
          </cell>
          <cell r="J12" t="str">
            <v>100654</v>
          </cell>
          <cell r="K12" t="str">
            <v>广东风华高新科技股份有限公司</v>
          </cell>
          <cell r="L12" t="str">
            <v>X</v>
          </cell>
          <cell r="M12" t="str">
            <v/>
          </cell>
          <cell r="N12" t="str">
            <v>1</v>
          </cell>
          <cell r="O12" t="str">
            <v>1.100000</v>
          </cell>
          <cell r="P12" t="str">
            <v>1.10</v>
          </cell>
          <cell r="Q12" t="str">
            <v>1,000</v>
          </cell>
          <cell r="R12" t="str">
            <v>PCS</v>
          </cell>
          <cell r="S12" t="str">
            <v>42</v>
          </cell>
          <cell r="T12" t="str">
            <v>J3</v>
          </cell>
          <cell r="U12">
            <v>1.1000000000000001E-3</v>
          </cell>
          <cell r="V12" t="str">
            <v>CNY</v>
          </cell>
          <cell r="W12" t="str">
            <v>10,000.000</v>
          </cell>
          <cell r="X12" t="str">
            <v>10,000.000</v>
          </cell>
        </row>
        <row r="13">
          <cell r="D13">
            <v>10100013093</v>
          </cell>
          <cell r="E13" t="str">
            <v>厚膜贴片电阻器</v>
          </cell>
          <cell r="F13" t="str">
            <v>10010302</v>
          </cell>
          <cell r="G13" t="str">
            <v>ROYA\RES 100R F 1/16W 0402</v>
          </cell>
          <cell r="H13" t="str">
            <v>ROYALOHM(厚声)</v>
          </cell>
          <cell r="I13" t="str">
            <v>0402WGF1000TCE</v>
          </cell>
          <cell r="J13" t="str">
            <v>100096</v>
          </cell>
          <cell r="K13" t="str">
            <v>厚声国际贸易（昆山）有限公司深圳分公司</v>
          </cell>
          <cell r="L13" t="str">
            <v>X</v>
          </cell>
          <cell r="M13" t="str">
            <v/>
          </cell>
          <cell r="N13" t="str">
            <v>1</v>
          </cell>
          <cell r="O13" t="str">
            <v>1.090000</v>
          </cell>
          <cell r="P13" t="str">
            <v>1.09</v>
          </cell>
          <cell r="Q13" t="str">
            <v>1,000</v>
          </cell>
          <cell r="R13" t="str">
            <v>PCS</v>
          </cell>
          <cell r="S13" t="str">
            <v>42</v>
          </cell>
          <cell r="T13" t="str">
            <v>J3</v>
          </cell>
          <cell r="U13">
            <v>1.09E-3</v>
          </cell>
          <cell r="V13" t="str">
            <v>CNY</v>
          </cell>
          <cell r="W13" t="str">
            <v>10,000.000</v>
          </cell>
          <cell r="X13" t="str">
            <v>10,000.000</v>
          </cell>
        </row>
        <row r="14">
          <cell r="D14">
            <v>10100013936</v>
          </cell>
          <cell r="E14" t="str">
            <v>厚膜贴片电阻器</v>
          </cell>
          <cell r="F14" t="str">
            <v>10010302</v>
          </cell>
          <cell r="G14" t="str">
            <v>FH\RES 100R F 1/16W 0402</v>
          </cell>
          <cell r="H14" t="str">
            <v>FH(风华)</v>
          </cell>
          <cell r="I14" t="str">
            <v>RC-02K1000FT</v>
          </cell>
          <cell r="J14" t="str">
            <v>100654</v>
          </cell>
          <cell r="K14" t="str">
            <v>广东风华高新科技股份有限公司</v>
          </cell>
          <cell r="L14" t="str">
            <v>X</v>
          </cell>
          <cell r="M14" t="str">
            <v/>
          </cell>
          <cell r="N14" t="str">
            <v>1</v>
          </cell>
          <cell r="O14" t="str">
            <v>1.100000</v>
          </cell>
          <cell r="P14" t="str">
            <v>1.10</v>
          </cell>
          <cell r="Q14" t="str">
            <v>1,000</v>
          </cell>
          <cell r="R14" t="str">
            <v>PCS</v>
          </cell>
          <cell r="S14" t="str">
            <v>42</v>
          </cell>
          <cell r="T14" t="str">
            <v>J3</v>
          </cell>
          <cell r="U14">
            <v>1.1000000000000001E-3</v>
          </cell>
          <cell r="V14" t="str">
            <v>CNY</v>
          </cell>
          <cell r="W14" t="str">
            <v>10,000.000</v>
          </cell>
          <cell r="X14" t="str">
            <v>10,000.000</v>
          </cell>
        </row>
        <row r="15">
          <cell r="D15">
            <v>10100014735</v>
          </cell>
          <cell r="E15" t="str">
            <v>厚膜贴片电阻器</v>
          </cell>
          <cell r="F15" t="str">
            <v>10010302</v>
          </cell>
          <cell r="G15" t="str">
            <v>ROYA\RES 2K F 1/16W 0402</v>
          </cell>
          <cell r="H15" t="str">
            <v>ROYALOHM(厚声)</v>
          </cell>
          <cell r="I15" t="str">
            <v>0402WGF2001TCE</v>
          </cell>
          <cell r="J15" t="str">
            <v>100096</v>
          </cell>
          <cell r="K15" t="str">
            <v>厚声国际贸易（昆山）有限公司深圳分公司</v>
          </cell>
          <cell r="L15" t="str">
            <v>X</v>
          </cell>
          <cell r="M15" t="str">
            <v/>
          </cell>
          <cell r="N15" t="str">
            <v>1</v>
          </cell>
          <cell r="O15" t="str">
            <v>1.090000</v>
          </cell>
          <cell r="P15" t="str">
            <v>1.09</v>
          </cell>
          <cell r="Q15" t="str">
            <v>1,000</v>
          </cell>
          <cell r="R15" t="str">
            <v>PCS</v>
          </cell>
          <cell r="S15" t="str">
            <v>56</v>
          </cell>
          <cell r="T15" t="str">
            <v>J3</v>
          </cell>
          <cell r="U15">
            <v>1.09E-3</v>
          </cell>
          <cell r="V15" t="str">
            <v>CNY</v>
          </cell>
          <cell r="W15" t="str">
            <v>10,000.000</v>
          </cell>
          <cell r="X15" t="str">
            <v>10,000.000</v>
          </cell>
        </row>
        <row r="16">
          <cell r="D16">
            <v>10100017616</v>
          </cell>
          <cell r="E16" t="str">
            <v>厚膜贴片电阻器</v>
          </cell>
          <cell r="F16" t="str">
            <v>10010302</v>
          </cell>
          <cell r="G16" t="str">
            <v>HKR\RES 100R F 1/16W 0402</v>
          </cell>
          <cell r="H16" t="str">
            <v>HKR(香港电阻)</v>
          </cell>
          <cell r="I16" t="str">
            <v>RCT02100RFLF</v>
          </cell>
          <cell r="J16" t="str">
            <v>100293</v>
          </cell>
          <cell r="K16" t="str">
            <v>恒辉电阻（益阳）有限公司</v>
          </cell>
          <cell r="L16" t="str">
            <v>X</v>
          </cell>
          <cell r="M16" t="str">
            <v/>
          </cell>
          <cell r="N16" t="str">
            <v>1</v>
          </cell>
          <cell r="O16" t="str">
            <v>0.980000</v>
          </cell>
          <cell r="P16" t="str">
            <v>0.98</v>
          </cell>
          <cell r="Q16" t="str">
            <v>1,000</v>
          </cell>
          <cell r="R16" t="str">
            <v>PCS</v>
          </cell>
          <cell r="S16" t="str">
            <v>42</v>
          </cell>
          <cell r="T16" t="str">
            <v>J3</v>
          </cell>
          <cell r="U16">
            <v>9.7999999999999997E-4</v>
          </cell>
          <cell r="V16" t="str">
            <v>CNY</v>
          </cell>
          <cell r="W16" t="str">
            <v>10,000.000</v>
          </cell>
          <cell r="X16" t="str">
            <v>10,000.000</v>
          </cell>
        </row>
        <row r="17">
          <cell r="D17">
            <v>10100017618</v>
          </cell>
          <cell r="E17" t="str">
            <v>厚膜贴片电阻器</v>
          </cell>
          <cell r="F17" t="str">
            <v>10010302</v>
          </cell>
          <cell r="G17" t="str">
            <v>HKR\RES 10K F 1/16W 0402</v>
          </cell>
          <cell r="H17" t="str">
            <v>HKR(香港电阻)</v>
          </cell>
          <cell r="I17" t="str">
            <v>RCT0210KFLF</v>
          </cell>
          <cell r="J17" t="str">
            <v>100293</v>
          </cell>
          <cell r="K17" t="str">
            <v>恒辉电阻（益阳）有限公司</v>
          </cell>
          <cell r="L17" t="str">
            <v>X</v>
          </cell>
          <cell r="M17" t="str">
            <v/>
          </cell>
          <cell r="N17" t="str">
            <v>1</v>
          </cell>
          <cell r="O17" t="str">
            <v>0.980000</v>
          </cell>
          <cell r="P17" t="str">
            <v>0.98</v>
          </cell>
          <cell r="Q17" t="str">
            <v>1,000</v>
          </cell>
          <cell r="R17" t="str">
            <v>PCS</v>
          </cell>
          <cell r="S17" t="str">
            <v>42</v>
          </cell>
          <cell r="T17" t="str">
            <v>J3</v>
          </cell>
          <cell r="U17">
            <v>9.7999999999999997E-4</v>
          </cell>
          <cell r="V17" t="str">
            <v>CNY</v>
          </cell>
          <cell r="W17" t="str">
            <v>10,000.000</v>
          </cell>
          <cell r="X17" t="str">
            <v>10,000.000</v>
          </cell>
        </row>
        <row r="18">
          <cell r="D18">
            <v>10100017679</v>
          </cell>
          <cell r="E18" t="str">
            <v>厚膜贴片电阻器</v>
          </cell>
          <cell r="F18" t="str">
            <v>10010302</v>
          </cell>
          <cell r="G18" t="str">
            <v>HKR\RES 2K F 1/16W 0402</v>
          </cell>
          <cell r="H18" t="str">
            <v>HKR(香港电阻)</v>
          </cell>
          <cell r="I18" t="str">
            <v>RCT022KFLF</v>
          </cell>
          <cell r="J18" t="str">
            <v>100293</v>
          </cell>
          <cell r="K18" t="str">
            <v>恒辉电阻（益阳）有限公司</v>
          </cell>
          <cell r="L18" t="str">
            <v>X</v>
          </cell>
          <cell r="M18" t="str">
            <v/>
          </cell>
          <cell r="N18" t="str">
            <v>1</v>
          </cell>
          <cell r="O18" t="str">
            <v>0.980000</v>
          </cell>
          <cell r="P18" t="str">
            <v>0.98</v>
          </cell>
          <cell r="Q18" t="str">
            <v>1,000</v>
          </cell>
          <cell r="R18" t="str">
            <v>PCS</v>
          </cell>
          <cell r="S18" t="str">
            <v>42</v>
          </cell>
          <cell r="T18" t="str">
            <v>J3</v>
          </cell>
          <cell r="U18">
            <v>9.7999999999999997E-4</v>
          </cell>
          <cell r="V18" t="str">
            <v>CNY</v>
          </cell>
          <cell r="W18" t="str">
            <v>10,000.000</v>
          </cell>
          <cell r="X18" t="str">
            <v>10,000.000</v>
          </cell>
        </row>
        <row r="19">
          <cell r="D19">
            <v>10100017738</v>
          </cell>
          <cell r="E19" t="str">
            <v>厚膜贴片电阻器</v>
          </cell>
          <cell r="F19" t="str">
            <v>10010302</v>
          </cell>
          <cell r="G19" t="str">
            <v>HKR\RES 5.1K F 1/16W 0402</v>
          </cell>
          <cell r="H19" t="str">
            <v>HKR(香港电阻)</v>
          </cell>
          <cell r="I19" t="str">
            <v>RCT025K1FLF</v>
          </cell>
          <cell r="J19" t="str">
            <v>100293</v>
          </cell>
          <cell r="K19" t="str">
            <v>恒辉电阻（益阳）有限公司</v>
          </cell>
          <cell r="L19" t="str">
            <v>X</v>
          </cell>
          <cell r="M19" t="str">
            <v/>
          </cell>
          <cell r="N19" t="str">
            <v>1</v>
          </cell>
          <cell r="O19" t="str">
            <v>0.980000</v>
          </cell>
          <cell r="P19" t="str">
            <v>0.98</v>
          </cell>
          <cell r="Q19" t="str">
            <v>1,000</v>
          </cell>
          <cell r="R19" t="str">
            <v>PCS</v>
          </cell>
          <cell r="S19" t="str">
            <v>42</v>
          </cell>
          <cell r="T19" t="str">
            <v>J3</v>
          </cell>
          <cell r="U19">
            <v>9.7999999999999997E-4</v>
          </cell>
          <cell r="V19" t="str">
            <v>CNY</v>
          </cell>
          <cell r="W19" t="str">
            <v>10,000.000</v>
          </cell>
          <cell r="X19" t="str">
            <v>10,000.000</v>
          </cell>
        </row>
        <row r="20">
          <cell r="D20">
            <v>10100018717</v>
          </cell>
          <cell r="E20" t="str">
            <v>厚膜贴片电阻器</v>
          </cell>
          <cell r="F20" t="str">
            <v>10010302</v>
          </cell>
          <cell r="G20" t="str">
            <v>XS5\RES 5.1K F 1/16W 0402</v>
          </cell>
          <cell r="H20" t="str">
            <v>VO(翔胜)</v>
          </cell>
          <cell r="I20" t="str">
            <v>SCR0402F5101B</v>
          </cell>
          <cell r="J20" t="str">
            <v>100261</v>
          </cell>
          <cell r="K20" t="str">
            <v>安徽翔胜科技有限公司</v>
          </cell>
          <cell r="L20" t="str">
            <v>X</v>
          </cell>
          <cell r="M20" t="str">
            <v/>
          </cell>
          <cell r="N20" t="str">
            <v>1</v>
          </cell>
          <cell r="O20" t="str">
            <v>1.050000</v>
          </cell>
          <cell r="P20" t="str">
            <v>1.05</v>
          </cell>
          <cell r="Q20" t="str">
            <v>1,000</v>
          </cell>
          <cell r="R20" t="str">
            <v>PCS</v>
          </cell>
          <cell r="S20" t="str">
            <v>28</v>
          </cell>
          <cell r="T20" t="str">
            <v>J3</v>
          </cell>
          <cell r="U20">
            <v>1.0499999999999999E-3</v>
          </cell>
          <cell r="V20" t="str">
            <v>CNY</v>
          </cell>
          <cell r="W20" t="str">
            <v>10,000.000</v>
          </cell>
          <cell r="X20" t="str">
            <v>10,000.000</v>
          </cell>
        </row>
        <row r="21">
          <cell r="D21">
            <v>10100018722</v>
          </cell>
          <cell r="E21" t="str">
            <v>厚膜贴片电阻器</v>
          </cell>
          <cell r="F21" t="str">
            <v>10010302</v>
          </cell>
          <cell r="G21" t="str">
            <v>XS5\RES 10K F 1/16W 0402</v>
          </cell>
          <cell r="H21" t="str">
            <v>VO(翔胜)</v>
          </cell>
          <cell r="I21" t="str">
            <v>SCR0402F1002B</v>
          </cell>
          <cell r="J21" t="str">
            <v>100261</v>
          </cell>
          <cell r="K21" t="str">
            <v>安徽翔胜科技有限公司</v>
          </cell>
          <cell r="L21" t="str">
            <v>X</v>
          </cell>
          <cell r="M21" t="str">
            <v/>
          </cell>
          <cell r="N21" t="str">
            <v>1</v>
          </cell>
          <cell r="O21" t="str">
            <v>1.050000</v>
          </cell>
          <cell r="P21" t="str">
            <v>1.05</v>
          </cell>
          <cell r="Q21" t="str">
            <v>1,000</v>
          </cell>
          <cell r="R21" t="str">
            <v>PCS</v>
          </cell>
          <cell r="S21" t="str">
            <v>42</v>
          </cell>
          <cell r="T21" t="str">
            <v>J3</v>
          </cell>
          <cell r="U21">
            <v>1.0499999999999999E-3</v>
          </cell>
          <cell r="V21" t="str">
            <v>CNY</v>
          </cell>
          <cell r="W21" t="str">
            <v>10,000.000</v>
          </cell>
          <cell r="X21" t="str">
            <v>10,000.000</v>
          </cell>
        </row>
        <row r="22">
          <cell r="D22">
            <v>10100019245</v>
          </cell>
          <cell r="E22" t="str">
            <v>厚膜贴片电阻器</v>
          </cell>
          <cell r="F22" t="str">
            <v>10010302</v>
          </cell>
          <cell r="G22" t="str">
            <v>XS5\RES 2K F 1/16W 0402</v>
          </cell>
          <cell r="H22" t="str">
            <v>VO(翔胜)</v>
          </cell>
          <cell r="I22" t="str">
            <v>SCR0402F2001B</v>
          </cell>
          <cell r="J22" t="str">
            <v>100261</v>
          </cell>
          <cell r="K22" t="str">
            <v>安徽翔胜科技有限公司</v>
          </cell>
          <cell r="L22" t="str">
            <v>X</v>
          </cell>
          <cell r="M22" t="str">
            <v/>
          </cell>
          <cell r="N22" t="str">
            <v>1</v>
          </cell>
          <cell r="O22" t="str">
            <v>1.050000</v>
          </cell>
          <cell r="P22" t="str">
            <v>1.05</v>
          </cell>
          <cell r="Q22" t="str">
            <v>1,000</v>
          </cell>
          <cell r="R22" t="str">
            <v>PCS</v>
          </cell>
          <cell r="S22" t="str">
            <v>28</v>
          </cell>
          <cell r="T22" t="str">
            <v>J3</v>
          </cell>
          <cell r="U22">
            <v>1.0499999999999999E-3</v>
          </cell>
          <cell r="V22" t="str">
            <v>CNY</v>
          </cell>
          <cell r="W22" t="str">
            <v>10,000.000</v>
          </cell>
          <cell r="X22" t="str">
            <v>10,000.000</v>
          </cell>
        </row>
        <row r="23">
          <cell r="D23">
            <v>10110001319</v>
          </cell>
          <cell r="E23" t="str">
            <v>贴片陶瓷电容器</v>
          </cell>
          <cell r="F23" t="str">
            <v>11060201</v>
          </cell>
          <cell r="G23" t="str">
            <v>FH\CAP Cer 1nF K X7R 50VDC 0603</v>
          </cell>
          <cell r="H23" t="str">
            <v>FH(风华)</v>
          </cell>
          <cell r="I23" t="str">
            <v>0603B102K500NT</v>
          </cell>
          <cell r="J23" t="str">
            <v>100599</v>
          </cell>
          <cell r="K23" t="str">
            <v>深圳市天河星供应链有限公司</v>
          </cell>
          <cell r="L23" t="str">
            <v>X</v>
          </cell>
          <cell r="M23" t="str">
            <v/>
          </cell>
          <cell r="N23" t="str">
            <v>1</v>
          </cell>
          <cell r="O23" t="str">
            <v>5.500000</v>
          </cell>
          <cell r="P23" t="str">
            <v>5.50</v>
          </cell>
          <cell r="Q23" t="str">
            <v>1,000</v>
          </cell>
          <cell r="R23" t="str">
            <v>PCS</v>
          </cell>
          <cell r="S23" t="str">
            <v>56</v>
          </cell>
          <cell r="T23" t="str">
            <v>J3</v>
          </cell>
          <cell r="U23">
            <v>5.4999999999999997E-3</v>
          </cell>
          <cell r="V23" t="str">
            <v>CNY</v>
          </cell>
          <cell r="W23" t="str">
            <v>4,000.000</v>
          </cell>
          <cell r="X23" t="str">
            <v>4,000.000</v>
          </cell>
        </row>
        <row r="24">
          <cell r="D24">
            <v>10110001320</v>
          </cell>
          <cell r="E24" t="str">
            <v>贴片陶瓷电容器</v>
          </cell>
          <cell r="F24" t="str">
            <v>11060201</v>
          </cell>
          <cell r="G24" t="str">
            <v>YAGEO\CAP Cer 1nF K X7R 50VDC 0603</v>
          </cell>
          <cell r="H24" t="str">
            <v>YAGEO(国巨)</v>
          </cell>
          <cell r="I24" t="str">
            <v>CC0603KRX7R9BB102</v>
          </cell>
          <cell r="J24" t="str">
            <v>101553</v>
          </cell>
          <cell r="K24" t="str">
            <v>深圳市奥特高科电子有限公司</v>
          </cell>
          <cell r="L24" t="str">
            <v>X</v>
          </cell>
          <cell r="M24" t="str">
            <v/>
          </cell>
          <cell r="N24" t="str">
            <v>1</v>
          </cell>
          <cell r="O24" t="str">
            <v>5.500000</v>
          </cell>
          <cell r="P24" t="str">
            <v>5.50</v>
          </cell>
          <cell r="Q24" t="str">
            <v>1,000</v>
          </cell>
          <cell r="R24" t="str">
            <v>PCS</v>
          </cell>
          <cell r="S24" t="str">
            <v>56</v>
          </cell>
          <cell r="T24" t="str">
            <v>J3</v>
          </cell>
          <cell r="U24">
            <v>5.4999999999999997E-3</v>
          </cell>
          <cell r="V24" t="str">
            <v>CNY</v>
          </cell>
          <cell r="W24" t="str">
            <v>4,000.000</v>
          </cell>
          <cell r="X24" t="str">
            <v>4,000.000</v>
          </cell>
        </row>
        <row r="25">
          <cell r="D25">
            <v>10110001388</v>
          </cell>
          <cell r="E25" t="str">
            <v>贴片陶瓷电容器</v>
          </cell>
          <cell r="F25" t="str">
            <v>11060201</v>
          </cell>
          <cell r="G25" t="str">
            <v>FH\CAP Cer 100nF K X7R 50VDC 0603 -55℃~&amp;</v>
          </cell>
          <cell r="H25" t="str">
            <v>FH(风华)</v>
          </cell>
          <cell r="I25" t="str">
            <v>0603B104K500NT</v>
          </cell>
          <cell r="J25" t="str">
            <v>100599</v>
          </cell>
          <cell r="K25" t="str">
            <v>深圳市天河星供应链有限公司</v>
          </cell>
          <cell r="L25" t="str">
            <v>X</v>
          </cell>
          <cell r="M25" t="str">
            <v/>
          </cell>
          <cell r="N25" t="str">
            <v>1</v>
          </cell>
          <cell r="O25" t="str">
            <v>5.500000</v>
          </cell>
          <cell r="P25" t="str">
            <v>5.50</v>
          </cell>
          <cell r="Q25" t="str">
            <v>1,000</v>
          </cell>
          <cell r="R25" t="str">
            <v>PCS</v>
          </cell>
          <cell r="S25" t="str">
            <v>56</v>
          </cell>
          <cell r="T25" t="str">
            <v>J3</v>
          </cell>
          <cell r="U25">
            <v>5.4999999999999997E-3</v>
          </cell>
          <cell r="V25" t="str">
            <v>CNY</v>
          </cell>
          <cell r="W25" t="str">
            <v>4,000.000</v>
          </cell>
          <cell r="X25" t="str">
            <v>4,000.000</v>
          </cell>
        </row>
        <row r="26">
          <cell r="D26">
            <v>10110001391</v>
          </cell>
          <cell r="E26" t="str">
            <v>贴片陶瓷电容器</v>
          </cell>
          <cell r="F26" t="str">
            <v>11060201</v>
          </cell>
          <cell r="G26" t="str">
            <v>YAGEO\CAP Cer 100nF K X7R 50VDC 0603</v>
          </cell>
          <cell r="H26" t="str">
            <v>YAGEO(国巨)</v>
          </cell>
          <cell r="I26" t="str">
            <v>CC0603KRX7R9BB104</v>
          </cell>
          <cell r="J26" t="str">
            <v>101957</v>
          </cell>
          <cell r="K26" t="str">
            <v>广东顺德集财电子有限公司</v>
          </cell>
          <cell r="L26" t="str">
            <v>X</v>
          </cell>
          <cell r="M26" t="str">
            <v/>
          </cell>
          <cell r="N26" t="str">
            <v>1</v>
          </cell>
          <cell r="O26" t="str">
            <v>6.100000</v>
          </cell>
          <cell r="P26" t="str">
            <v>6.10</v>
          </cell>
          <cell r="Q26" t="str">
            <v>1,000</v>
          </cell>
          <cell r="R26" t="str">
            <v>PCS</v>
          </cell>
          <cell r="S26" t="str">
            <v>56</v>
          </cell>
          <cell r="T26" t="str">
            <v>J3</v>
          </cell>
          <cell r="U26">
            <v>6.1000000000000004E-3</v>
          </cell>
          <cell r="V26" t="str">
            <v>CNY</v>
          </cell>
          <cell r="W26" t="str">
            <v>4,000.000</v>
          </cell>
          <cell r="X26" t="str">
            <v>4,000.000</v>
          </cell>
        </row>
        <row r="27">
          <cell r="D27">
            <v>10110003896</v>
          </cell>
          <cell r="E27" t="str">
            <v>贴片陶瓷电容器</v>
          </cell>
          <cell r="F27" t="str">
            <v>11060201</v>
          </cell>
          <cell r="G27" t="str">
            <v>YAGEO\CAP Cer 1nF K X7R 50VDC 0402</v>
          </cell>
          <cell r="H27" t="str">
            <v>YAGEO(国巨)</v>
          </cell>
          <cell r="I27" t="str">
            <v>CC0402KRX7R9BB102</v>
          </cell>
          <cell r="J27" t="str">
            <v>101553</v>
          </cell>
          <cell r="K27" t="str">
            <v>深圳市奥特高科电子有限公司</v>
          </cell>
          <cell r="L27" t="str">
            <v>X</v>
          </cell>
          <cell r="M27" t="str">
            <v/>
          </cell>
          <cell r="N27" t="str">
            <v>1</v>
          </cell>
          <cell r="O27" t="str">
            <v>2.300000</v>
          </cell>
          <cell r="P27" t="str">
            <v>2.30</v>
          </cell>
          <cell r="Q27" t="str">
            <v>1,000</v>
          </cell>
          <cell r="R27" t="str">
            <v>PCS</v>
          </cell>
          <cell r="S27" t="str">
            <v>56</v>
          </cell>
          <cell r="T27" t="str">
            <v>J3</v>
          </cell>
          <cell r="U27">
            <v>2.3E-3</v>
          </cell>
          <cell r="V27" t="str">
            <v>CNY</v>
          </cell>
          <cell r="W27" t="str">
            <v>10,000.000</v>
          </cell>
          <cell r="X27" t="str">
            <v>10,000.000</v>
          </cell>
        </row>
        <row r="28">
          <cell r="D28">
            <v>10110003943</v>
          </cell>
          <cell r="E28" t="str">
            <v>贴片陶瓷电容器</v>
          </cell>
          <cell r="F28" t="str">
            <v>11060201</v>
          </cell>
          <cell r="G28" t="str">
            <v>WALS\CAP Cer 1nF K X7R 50VDC 0603</v>
          </cell>
          <cell r="H28" t="str">
            <v>WALS(华科)</v>
          </cell>
          <cell r="I28" t="str">
            <v>0603B102K500CT</v>
          </cell>
          <cell r="J28" t="str">
            <v>100131</v>
          </cell>
          <cell r="K28" t="str">
            <v>东莞华科电子有限公司</v>
          </cell>
          <cell r="L28" t="str">
            <v>X</v>
          </cell>
          <cell r="M28" t="str">
            <v/>
          </cell>
          <cell r="N28" t="str">
            <v>1</v>
          </cell>
          <cell r="O28" t="str">
            <v>4.350000</v>
          </cell>
          <cell r="P28" t="str">
            <v>4.35</v>
          </cell>
          <cell r="Q28" t="str">
            <v>1,000</v>
          </cell>
          <cell r="R28" t="str">
            <v>PCS</v>
          </cell>
          <cell r="S28" t="str">
            <v>56</v>
          </cell>
          <cell r="T28" t="str">
            <v>J3</v>
          </cell>
          <cell r="U28">
            <v>4.3499999999999997E-3</v>
          </cell>
          <cell r="V28" t="str">
            <v>CNY</v>
          </cell>
          <cell r="W28" t="str">
            <v>4,000.000</v>
          </cell>
          <cell r="X28" t="str">
            <v>4,000.000</v>
          </cell>
        </row>
        <row r="29">
          <cell r="D29">
            <v>10110003944</v>
          </cell>
          <cell r="E29" t="str">
            <v>贴片陶瓷电容器</v>
          </cell>
          <cell r="F29" t="str">
            <v>11060201</v>
          </cell>
          <cell r="G29" t="str">
            <v>WALS\CAP Cer 100nF K X7R 50VDC 0603 -55&amp;</v>
          </cell>
          <cell r="H29" t="str">
            <v>WALS(华科)</v>
          </cell>
          <cell r="I29" t="str">
            <v>0603B104K500CT</v>
          </cell>
          <cell r="J29" t="str">
            <v>100131</v>
          </cell>
          <cell r="K29" t="str">
            <v>东莞华科电子有限公司</v>
          </cell>
          <cell r="L29" t="str">
            <v>X</v>
          </cell>
          <cell r="M29" t="str">
            <v/>
          </cell>
          <cell r="N29" t="str">
            <v>1</v>
          </cell>
          <cell r="O29" t="str">
            <v>5.430000</v>
          </cell>
          <cell r="P29" t="str">
            <v>5.43</v>
          </cell>
          <cell r="Q29" t="str">
            <v>1,000</v>
          </cell>
          <cell r="R29" t="str">
            <v>PCS</v>
          </cell>
          <cell r="S29" t="str">
            <v>56</v>
          </cell>
          <cell r="T29" t="str">
            <v>J3</v>
          </cell>
          <cell r="U29">
            <v>5.4299999999999999E-3</v>
          </cell>
          <cell r="V29" t="str">
            <v>CNY</v>
          </cell>
          <cell r="W29" t="str">
            <v>4,000.000</v>
          </cell>
          <cell r="X29" t="str">
            <v>4,000.000</v>
          </cell>
        </row>
        <row r="30">
          <cell r="D30">
            <v>10110004932</v>
          </cell>
          <cell r="E30" t="str">
            <v>贴片陶瓷电容器</v>
          </cell>
          <cell r="F30" t="str">
            <v>11060201</v>
          </cell>
          <cell r="G30" t="str">
            <v>WALS\CAP Cer 100pF K X7R 50VDC 0603</v>
          </cell>
          <cell r="H30" t="str">
            <v>WALS(华科)</v>
          </cell>
          <cell r="I30" t="str">
            <v>0603B101K500CT</v>
          </cell>
          <cell r="J30" t="str">
            <v>100131</v>
          </cell>
          <cell r="K30" t="str">
            <v>东莞华科电子有限公司</v>
          </cell>
          <cell r="L30" t="str">
            <v>X</v>
          </cell>
          <cell r="M30" t="str">
            <v/>
          </cell>
          <cell r="N30" t="str">
            <v>1</v>
          </cell>
          <cell r="O30" t="str">
            <v>6.220000</v>
          </cell>
          <cell r="P30" t="str">
            <v>6.22</v>
          </cell>
          <cell r="Q30" t="str">
            <v>1,000</v>
          </cell>
          <cell r="R30" t="str">
            <v>PCS</v>
          </cell>
          <cell r="S30" t="str">
            <v>56</v>
          </cell>
          <cell r="T30" t="str">
            <v>J3</v>
          </cell>
          <cell r="U30">
            <v>6.2199999999999998E-3</v>
          </cell>
          <cell r="V30" t="str">
            <v>CNY</v>
          </cell>
          <cell r="W30" t="str">
            <v>4,000.000</v>
          </cell>
          <cell r="X30" t="str">
            <v>4,000.000</v>
          </cell>
        </row>
        <row r="31">
          <cell r="D31">
            <v>10110005817</v>
          </cell>
          <cell r="E31" t="str">
            <v>贴片陶瓷电容器</v>
          </cell>
          <cell r="F31" t="str">
            <v>11060201</v>
          </cell>
          <cell r="G31" t="str">
            <v>WALS\CAP Cer 1nF K X7R 50VDC 0402</v>
          </cell>
          <cell r="H31" t="str">
            <v>WALS(华科)</v>
          </cell>
          <cell r="I31" t="str">
            <v>0402B102K500CT</v>
          </cell>
          <cell r="J31" t="str">
            <v>100131</v>
          </cell>
          <cell r="K31" t="str">
            <v>东莞华科电子有限公司</v>
          </cell>
          <cell r="L31" t="str">
            <v>X</v>
          </cell>
          <cell r="M31" t="str">
            <v/>
          </cell>
          <cell r="N31" t="str">
            <v>1</v>
          </cell>
          <cell r="O31" t="str">
            <v>1.980000</v>
          </cell>
          <cell r="P31" t="str">
            <v>1.98</v>
          </cell>
          <cell r="Q31" t="str">
            <v>1,000</v>
          </cell>
          <cell r="R31" t="str">
            <v>PCS</v>
          </cell>
          <cell r="S31" t="str">
            <v>56</v>
          </cell>
          <cell r="T31" t="str">
            <v>J3</v>
          </cell>
          <cell r="U31">
            <v>1.98E-3</v>
          </cell>
          <cell r="V31" t="str">
            <v>CNY</v>
          </cell>
          <cell r="W31" t="str">
            <v>10,000.000</v>
          </cell>
          <cell r="X31" t="str">
            <v>10,000.000</v>
          </cell>
        </row>
        <row r="32">
          <cell r="D32">
            <v>10110007822</v>
          </cell>
          <cell r="E32" t="str">
            <v>贴片陶瓷电容器</v>
          </cell>
          <cell r="F32" t="str">
            <v>11060201</v>
          </cell>
          <cell r="G32" t="str">
            <v>SAMS\CAP Cer 1nF K X7R 50VDC 0402</v>
          </cell>
          <cell r="H32" t="str">
            <v>SAMSUNG(三星)</v>
          </cell>
          <cell r="I32" t="str">
            <v>CL05B102KB5NNNC</v>
          </cell>
          <cell r="J32" t="str">
            <v>101957</v>
          </cell>
          <cell r="K32" t="str">
            <v>广东顺德集财电子有限公司</v>
          </cell>
          <cell r="L32" t="str">
            <v>X</v>
          </cell>
          <cell r="M32" t="str">
            <v/>
          </cell>
          <cell r="N32" t="str">
            <v>1</v>
          </cell>
          <cell r="O32" t="str">
            <v>2.400000</v>
          </cell>
          <cell r="P32" t="str">
            <v>2.40</v>
          </cell>
          <cell r="Q32" t="str">
            <v>1,000</v>
          </cell>
          <cell r="R32" t="str">
            <v>PCS</v>
          </cell>
          <cell r="S32" t="str">
            <v>56</v>
          </cell>
          <cell r="T32" t="str">
            <v>J3</v>
          </cell>
          <cell r="U32">
            <v>2.3999999999999998E-3</v>
          </cell>
          <cell r="V32" t="str">
            <v>CNY</v>
          </cell>
          <cell r="W32" t="str">
            <v>10,000.000</v>
          </cell>
          <cell r="X32" t="str">
            <v>10,000.000</v>
          </cell>
        </row>
        <row r="33">
          <cell r="D33">
            <v>10110008734</v>
          </cell>
          <cell r="E33" t="str">
            <v>贴片陶瓷电容器</v>
          </cell>
          <cell r="F33" t="str">
            <v>11060201</v>
          </cell>
          <cell r="G33" t="str">
            <v>FH\CAP Cer 1nF K X7R 50VDC 0402</v>
          </cell>
          <cell r="H33" t="str">
            <v>FH(风华)</v>
          </cell>
          <cell r="I33" t="str">
            <v>0402B102K500NT</v>
          </cell>
          <cell r="J33" t="str">
            <v>100654</v>
          </cell>
          <cell r="K33" t="str">
            <v>广东风华高新科技股份有限公司</v>
          </cell>
          <cell r="L33" t="str">
            <v>X</v>
          </cell>
          <cell r="M33" t="str">
            <v/>
          </cell>
          <cell r="N33" t="str">
            <v>1</v>
          </cell>
          <cell r="O33" t="str">
            <v>2.100000</v>
          </cell>
          <cell r="P33" t="str">
            <v>2.10</v>
          </cell>
          <cell r="Q33" t="str">
            <v>1,000</v>
          </cell>
          <cell r="R33" t="str">
            <v>PCS</v>
          </cell>
          <cell r="S33" t="str">
            <v>56</v>
          </cell>
          <cell r="T33" t="str">
            <v>J3</v>
          </cell>
          <cell r="U33">
            <v>2.0999999999999999E-3</v>
          </cell>
          <cell r="V33" t="str">
            <v>CNY</v>
          </cell>
          <cell r="W33" t="str">
            <v>10,000.000</v>
          </cell>
          <cell r="X33" t="str">
            <v>10,000.000</v>
          </cell>
        </row>
        <row r="34">
          <cell r="D34">
            <v>10110008872</v>
          </cell>
          <cell r="E34" t="str">
            <v>贴片陶瓷电容器</v>
          </cell>
          <cell r="F34" t="str">
            <v>11060201</v>
          </cell>
          <cell r="G34" t="str">
            <v>FH\CAP Cer 100pF K X7R 50VDC 0603</v>
          </cell>
          <cell r="H34" t="str">
            <v>FH(风华)</v>
          </cell>
          <cell r="I34" t="str">
            <v>0603B101K500NT</v>
          </cell>
          <cell r="J34" t="str">
            <v>100654</v>
          </cell>
          <cell r="K34" t="str">
            <v>广东风华高新科技股份有限公司</v>
          </cell>
          <cell r="L34" t="str">
            <v>X</v>
          </cell>
          <cell r="M34" t="str">
            <v/>
          </cell>
          <cell r="N34" t="str">
            <v>1</v>
          </cell>
          <cell r="O34" t="str">
            <v>5.800000</v>
          </cell>
          <cell r="P34" t="str">
            <v>5.80</v>
          </cell>
          <cell r="Q34" t="str">
            <v>1,000</v>
          </cell>
          <cell r="R34" t="str">
            <v>PCS</v>
          </cell>
          <cell r="S34" t="str">
            <v>42</v>
          </cell>
          <cell r="T34" t="str">
            <v>J3</v>
          </cell>
          <cell r="U34">
            <v>5.7999999999999996E-3</v>
          </cell>
          <cell r="V34" t="str">
            <v>CNY</v>
          </cell>
          <cell r="W34" t="str">
            <v>4,000.000</v>
          </cell>
          <cell r="X34" t="str">
            <v>4,000.000</v>
          </cell>
        </row>
        <row r="35">
          <cell r="D35">
            <v>10110011281</v>
          </cell>
          <cell r="E35" t="str">
            <v>贴片陶瓷电容器</v>
          </cell>
          <cell r="F35" t="str">
            <v>11060201</v>
          </cell>
          <cell r="G35" t="str">
            <v>SH3\CAP Cer 1nF K X7R 50VDC 0603</v>
          </cell>
          <cell r="H35" t="str">
            <v>CCTC(三环)</v>
          </cell>
          <cell r="I35" t="str">
            <v>TCC0603X7R102K500CT</v>
          </cell>
          <cell r="J35" t="str">
            <v>102178</v>
          </cell>
          <cell r="K35" t="str">
            <v>潮州三环（集团）股份有限公司</v>
          </cell>
          <cell r="L35" t="str">
            <v>X</v>
          </cell>
          <cell r="M35" t="str">
            <v/>
          </cell>
          <cell r="N35" t="str">
            <v>1</v>
          </cell>
          <cell r="O35" t="str">
            <v>5.450000</v>
          </cell>
          <cell r="P35" t="str">
            <v>5.45</v>
          </cell>
          <cell r="Q35" t="str">
            <v>1,000</v>
          </cell>
          <cell r="R35" t="str">
            <v>PCS</v>
          </cell>
          <cell r="S35" t="str">
            <v>56</v>
          </cell>
          <cell r="T35" t="str">
            <v>J3</v>
          </cell>
          <cell r="U35">
            <v>5.45E-3</v>
          </cell>
          <cell r="V35" t="str">
            <v>CNY</v>
          </cell>
          <cell r="W35" t="str">
            <v>4,000.000</v>
          </cell>
          <cell r="X35" t="str">
            <v>4,000.000</v>
          </cell>
        </row>
        <row r="36">
          <cell r="D36">
            <v>10110011283</v>
          </cell>
          <cell r="E36" t="str">
            <v>贴片陶瓷电容器</v>
          </cell>
          <cell r="F36" t="str">
            <v>11060201</v>
          </cell>
          <cell r="G36" t="str">
            <v>SH3\CAP Cer 100nF K X7R 50VDC 0603 -55℃&amp;</v>
          </cell>
          <cell r="H36" t="str">
            <v>CCTC(三环)</v>
          </cell>
          <cell r="I36" t="str">
            <v>TCC0603X7R104K500CT</v>
          </cell>
          <cell r="J36" t="str">
            <v>102178</v>
          </cell>
          <cell r="K36" t="str">
            <v>潮州三环（集团）股份有限公司</v>
          </cell>
          <cell r="L36" t="str">
            <v>X</v>
          </cell>
          <cell r="M36" t="str">
            <v/>
          </cell>
          <cell r="N36" t="str">
            <v>1</v>
          </cell>
          <cell r="O36" t="str">
            <v>5.150000</v>
          </cell>
          <cell r="P36" t="str">
            <v>5.15</v>
          </cell>
          <cell r="Q36" t="str">
            <v>1,000</v>
          </cell>
          <cell r="R36" t="str">
            <v>PCS</v>
          </cell>
          <cell r="S36" t="str">
            <v>56</v>
          </cell>
          <cell r="T36" t="str">
            <v>J3</v>
          </cell>
          <cell r="U36">
            <v>5.1500000000000001E-3</v>
          </cell>
          <cell r="V36" t="str">
            <v>CNY</v>
          </cell>
          <cell r="W36" t="str">
            <v>4,000.000</v>
          </cell>
          <cell r="X36" t="str">
            <v>4,000.000</v>
          </cell>
        </row>
        <row r="37">
          <cell r="D37">
            <v>10110012149</v>
          </cell>
          <cell r="E37" t="str">
            <v>贴片陶瓷电容器</v>
          </cell>
          <cell r="F37" t="str">
            <v>11060201</v>
          </cell>
          <cell r="G37" t="str">
            <v>SH3\CAP Cer 1nF K X7R 50VDC 0402</v>
          </cell>
          <cell r="H37" t="str">
            <v>CCTC(三环)</v>
          </cell>
          <cell r="I37" t="str">
            <v>TCC0402X7R102K500AT</v>
          </cell>
          <cell r="J37" t="str">
            <v>102178</v>
          </cell>
          <cell r="K37" t="str">
            <v>潮州三环（集团）股份有限公司</v>
          </cell>
          <cell r="L37" t="str">
            <v>X</v>
          </cell>
          <cell r="M37" t="str">
            <v/>
          </cell>
          <cell r="N37" t="str">
            <v>1</v>
          </cell>
          <cell r="O37" t="str">
            <v>1.850000</v>
          </cell>
          <cell r="P37" t="str">
            <v>1.85</v>
          </cell>
          <cell r="Q37" t="str">
            <v>1,000</v>
          </cell>
          <cell r="R37" t="str">
            <v>PCS</v>
          </cell>
          <cell r="S37" t="str">
            <v>56</v>
          </cell>
          <cell r="T37" t="str">
            <v>J3</v>
          </cell>
          <cell r="U37">
            <v>1.8500000000000001E-3</v>
          </cell>
          <cell r="V37" t="str">
            <v>CNY</v>
          </cell>
          <cell r="W37" t="str">
            <v>10,000.000</v>
          </cell>
          <cell r="X37" t="str">
            <v>10,000.000</v>
          </cell>
        </row>
        <row r="38">
          <cell r="D38">
            <v>10110012151</v>
          </cell>
          <cell r="E38" t="str">
            <v>贴片陶瓷电容器</v>
          </cell>
          <cell r="F38" t="str">
            <v>11060201</v>
          </cell>
          <cell r="G38" t="str">
            <v>SH3\CAP Cer 100nF K X7R 50VDC 0603</v>
          </cell>
          <cell r="H38" t="str">
            <v>CCTC(三环)</v>
          </cell>
          <cell r="I38" t="str">
            <v>TCC0603X7R104K500CT</v>
          </cell>
          <cell r="J38" t="str">
            <v>102178</v>
          </cell>
          <cell r="K38" t="str">
            <v>潮州三环（集团）股份有限公司</v>
          </cell>
          <cell r="L38" t="str">
            <v>X</v>
          </cell>
          <cell r="M38" t="str">
            <v/>
          </cell>
          <cell r="N38" t="str">
            <v>1</v>
          </cell>
          <cell r="O38" t="str">
            <v>5.150000</v>
          </cell>
          <cell r="P38" t="str">
            <v>5.15</v>
          </cell>
          <cell r="Q38" t="str">
            <v>1,000</v>
          </cell>
          <cell r="R38" t="str">
            <v>PCS</v>
          </cell>
          <cell r="S38" t="str">
            <v>56</v>
          </cell>
          <cell r="T38" t="str">
            <v>J3</v>
          </cell>
          <cell r="U38">
            <v>5.1500000000000001E-3</v>
          </cell>
          <cell r="V38" t="str">
            <v>CNY</v>
          </cell>
          <cell r="W38" t="str">
            <v>4,000.000</v>
          </cell>
          <cell r="X38" t="str">
            <v>4,000.000</v>
          </cell>
        </row>
        <row r="39">
          <cell r="D39">
            <v>10110013284</v>
          </cell>
          <cell r="E39" t="str">
            <v>贴片陶瓷电容器</v>
          </cell>
          <cell r="F39" t="str">
            <v>11060201</v>
          </cell>
          <cell r="G39" t="str">
            <v>SH3\CAP Cer 100pF K X7R 50VDC 0603</v>
          </cell>
          <cell r="H39" t="str">
            <v>CCTC(三环)</v>
          </cell>
          <cell r="I39" t="str">
            <v>TCC0603X7R101K500CT</v>
          </cell>
          <cell r="J39" t="str">
            <v>102178</v>
          </cell>
          <cell r="K39" t="str">
            <v>潮州三环（集团）股份有限公司</v>
          </cell>
          <cell r="L39" t="str">
            <v>X</v>
          </cell>
          <cell r="M39" t="str">
            <v/>
          </cell>
          <cell r="N39" t="str">
            <v>1</v>
          </cell>
          <cell r="O39" t="str">
            <v>5.800000</v>
          </cell>
          <cell r="P39" t="str">
            <v>5.80</v>
          </cell>
          <cell r="Q39" t="str">
            <v>1,000</v>
          </cell>
          <cell r="R39" t="str">
            <v>PCS</v>
          </cell>
          <cell r="S39" t="str">
            <v>56</v>
          </cell>
          <cell r="T39" t="str">
            <v>J3</v>
          </cell>
          <cell r="U39">
            <v>5.7999999999999996E-3</v>
          </cell>
          <cell r="V39" t="str">
            <v>CNY</v>
          </cell>
          <cell r="W39" t="str">
            <v>4,000.000</v>
          </cell>
          <cell r="X39" t="str">
            <v>4,000.000</v>
          </cell>
        </row>
        <row r="40">
          <cell r="D40">
            <v>10110015554</v>
          </cell>
          <cell r="E40" t="str">
            <v>贴片陶瓷电容器</v>
          </cell>
          <cell r="F40" t="str">
            <v>11060201</v>
          </cell>
          <cell r="G40" t="str">
            <v>YAGEO\CAP Cer 100pF K X7R 50VDC 0603</v>
          </cell>
          <cell r="H40" t="str">
            <v>YAGEO(国巨)</v>
          </cell>
          <cell r="I40" t="str">
            <v>CC0603KRX7R9BB101</v>
          </cell>
          <cell r="J40" t="str">
            <v>100078</v>
          </cell>
          <cell r="K40" t="str">
            <v>深圳市超利维实业有限公司</v>
          </cell>
          <cell r="L40" t="str">
            <v>X</v>
          </cell>
          <cell r="M40" t="str">
            <v/>
          </cell>
          <cell r="N40" t="str">
            <v>1</v>
          </cell>
          <cell r="O40" t="str">
            <v>6.000000</v>
          </cell>
          <cell r="P40" t="str">
            <v>6.00</v>
          </cell>
          <cell r="Q40" t="str">
            <v>1,000</v>
          </cell>
          <cell r="R40" t="str">
            <v>PCS</v>
          </cell>
          <cell r="S40" t="str">
            <v>56</v>
          </cell>
          <cell r="T40" t="str">
            <v>J3</v>
          </cell>
          <cell r="U40">
            <v>6.0000000000000001E-3</v>
          </cell>
          <cell r="V40" t="str">
            <v>CNY</v>
          </cell>
          <cell r="W40" t="str">
            <v>4,000.000</v>
          </cell>
          <cell r="X40" t="str">
            <v>4,000.000</v>
          </cell>
        </row>
        <row r="41">
          <cell r="D41">
            <v>10110020767</v>
          </cell>
          <cell r="E41" t="str">
            <v>贴片陶瓷电容器</v>
          </cell>
          <cell r="F41" t="str">
            <v>11060201</v>
          </cell>
          <cell r="G41" t="str">
            <v>YAGEO\CAP Cer 1uF K X7R 10VDC 0402</v>
          </cell>
          <cell r="H41" t="str">
            <v>YAGEO(国巨)</v>
          </cell>
          <cell r="I41" t="str">
            <v>CC0402KRX7R6BB105</v>
          </cell>
          <cell r="J41" t="str">
            <v>101957</v>
          </cell>
          <cell r="K41" t="str">
            <v>广东顺德集财电子有限公司</v>
          </cell>
          <cell r="L41" t="str">
            <v>X</v>
          </cell>
          <cell r="M41" t="str">
            <v/>
          </cell>
          <cell r="N41" t="str">
            <v>1</v>
          </cell>
          <cell r="O41" t="str">
            <v>55.400000</v>
          </cell>
          <cell r="P41" t="str">
            <v>55.40</v>
          </cell>
          <cell r="Q41" t="str">
            <v>1,000</v>
          </cell>
          <cell r="R41" t="str">
            <v>PCS</v>
          </cell>
          <cell r="S41" t="str">
            <v>84</v>
          </cell>
          <cell r="T41" t="str">
            <v>J3</v>
          </cell>
          <cell r="U41">
            <v>5.5399999999999998E-2</v>
          </cell>
          <cell r="V41" t="str">
            <v>CNY</v>
          </cell>
          <cell r="W41" t="str">
            <v>10,000.000</v>
          </cell>
          <cell r="X41" t="str">
            <v>10,000.000</v>
          </cell>
        </row>
        <row r="42">
          <cell r="D42">
            <v>10160006989</v>
          </cell>
          <cell r="E42" t="str">
            <v>贴片方顶可见光LED</v>
          </cell>
          <cell r="F42" t="str">
            <v>16020205</v>
          </cell>
          <cell r="G42" t="str">
            <v>REFO\LED 0603 红光 无色 透明 高亮</v>
          </cell>
          <cell r="H42" t="str">
            <v>RF(瑞丰)</v>
          </cell>
          <cell r="I42" t="str">
            <v>RF-OUB191TB-CE-B0-EL</v>
          </cell>
          <cell r="J42" t="str">
            <v>101693</v>
          </cell>
          <cell r="K42" t="str">
            <v>浙江瑞丰光电有限公司</v>
          </cell>
          <cell r="L42" t="str">
            <v>X</v>
          </cell>
          <cell r="M42" t="str">
            <v/>
          </cell>
          <cell r="N42" t="str">
            <v>1</v>
          </cell>
          <cell r="O42" t="str">
            <v>48.400000</v>
          </cell>
          <cell r="P42" t="str">
            <v>48.40</v>
          </cell>
          <cell r="Q42" t="str">
            <v>1,000</v>
          </cell>
          <cell r="R42" t="str">
            <v>PCS</v>
          </cell>
          <cell r="S42" t="str">
            <v>28</v>
          </cell>
          <cell r="T42" t="str">
            <v>J3</v>
          </cell>
          <cell r="U42">
            <v>4.8399999999999999E-2</v>
          </cell>
          <cell r="V42" t="str">
            <v>CNY</v>
          </cell>
          <cell r="W42" t="str">
            <v>60,000.000</v>
          </cell>
          <cell r="X42" t="str">
            <v>4,000.000</v>
          </cell>
        </row>
        <row r="43">
          <cell r="D43">
            <v>10160007699</v>
          </cell>
          <cell r="E43" t="str">
            <v>贴片方顶可见光LED</v>
          </cell>
          <cell r="F43" t="str">
            <v>16020205</v>
          </cell>
          <cell r="G43" t="str">
            <v>LD\LED 0603 白光 黄色 雾状 超高亮 色温等级WR4/5-WU4/5</v>
          </cell>
          <cell r="H43" t="str">
            <v>LD(立得)</v>
          </cell>
          <cell r="I43" t="str">
            <v>LT8AW1-54-UKG3-SH7TE</v>
          </cell>
          <cell r="J43" t="str">
            <v>100989</v>
          </cell>
          <cell r="K43" t="str">
            <v>肇庆市立得电子有限公司</v>
          </cell>
          <cell r="L43" t="str">
            <v>X</v>
          </cell>
          <cell r="M43" t="str">
            <v/>
          </cell>
          <cell r="N43" t="str">
            <v>1</v>
          </cell>
          <cell r="O43" t="str">
            <v>43.000000</v>
          </cell>
          <cell r="P43" t="str">
            <v>43.00</v>
          </cell>
          <cell r="Q43" t="str">
            <v>1,000</v>
          </cell>
          <cell r="R43" t="str">
            <v>PCS</v>
          </cell>
          <cell r="S43" t="str">
            <v>30</v>
          </cell>
          <cell r="T43" t="str">
            <v>J3</v>
          </cell>
          <cell r="U43">
            <v>4.2999999999999997E-2</v>
          </cell>
          <cell r="V43" t="str">
            <v>CNY</v>
          </cell>
          <cell r="W43" t="str">
            <v>20,000.000</v>
          </cell>
          <cell r="X43" t="str">
            <v>4,000.000</v>
          </cell>
        </row>
        <row r="44">
          <cell r="D44">
            <v>10160007809</v>
          </cell>
          <cell r="E44" t="str">
            <v>贴片方顶可见光LED</v>
          </cell>
          <cell r="F44" t="str">
            <v>16020205</v>
          </cell>
          <cell r="G44" t="str">
            <v>CL\LED 0603 白光 黄色 雾状 超高亮</v>
          </cell>
          <cell r="H44" t="str">
            <v>CL(长利)</v>
          </cell>
          <cell r="I44" t="str">
            <v>CL-0603W/YY-BDK-HET-J8</v>
          </cell>
          <cell r="J44" t="str">
            <v>100436</v>
          </cell>
          <cell r="K44" t="str">
            <v>广东长利光电科技有限公司</v>
          </cell>
          <cell r="L44" t="str">
            <v>X</v>
          </cell>
          <cell r="M44" t="str">
            <v/>
          </cell>
          <cell r="N44" t="str">
            <v>1</v>
          </cell>
          <cell r="O44" t="str">
            <v>26.000000</v>
          </cell>
          <cell r="P44" t="str">
            <v>26.00</v>
          </cell>
          <cell r="Q44" t="str">
            <v>1,000</v>
          </cell>
          <cell r="R44" t="str">
            <v>PCS</v>
          </cell>
          <cell r="S44" t="str">
            <v>28</v>
          </cell>
          <cell r="T44" t="str">
            <v>J3</v>
          </cell>
          <cell r="U44">
            <v>2.5999999999999999E-2</v>
          </cell>
          <cell r="V44" t="str">
            <v>CNY</v>
          </cell>
          <cell r="W44" t="str">
            <v>4,000.000</v>
          </cell>
          <cell r="X44" t="str">
            <v>4,000.000</v>
          </cell>
        </row>
        <row r="45">
          <cell r="D45">
            <v>10160007865</v>
          </cell>
          <cell r="E45" t="str">
            <v>贴片方顶可见光LED</v>
          </cell>
          <cell r="F45" t="str">
            <v>16020205</v>
          </cell>
          <cell r="G45" t="str">
            <v>CL\LED 0603 红光 无色 透明 超高亮</v>
          </cell>
          <cell r="H45" t="str">
            <v>CL(长利)</v>
          </cell>
          <cell r="I45" t="str">
            <v>CL-0603R/YY-J8</v>
          </cell>
          <cell r="J45" t="str">
            <v>100436</v>
          </cell>
          <cell r="K45" t="str">
            <v>广东长利光电科技有限公司</v>
          </cell>
          <cell r="L45" t="str">
            <v>X</v>
          </cell>
          <cell r="M45" t="str">
            <v/>
          </cell>
          <cell r="N45" t="str">
            <v>1</v>
          </cell>
          <cell r="O45" t="str">
            <v>27.500000</v>
          </cell>
          <cell r="P45" t="str">
            <v>27.50</v>
          </cell>
          <cell r="Q45" t="str">
            <v>1,000</v>
          </cell>
          <cell r="R45" t="str">
            <v>PCS</v>
          </cell>
          <cell r="S45" t="str">
            <v>10</v>
          </cell>
          <cell r="T45" t="str">
            <v>J3</v>
          </cell>
          <cell r="U45">
            <v>2.75E-2</v>
          </cell>
          <cell r="V45" t="str">
            <v>CNY</v>
          </cell>
          <cell r="W45" t="str">
            <v>4,000.000</v>
          </cell>
          <cell r="X45" t="str">
            <v>4,000.000</v>
          </cell>
        </row>
        <row r="46">
          <cell r="D46">
            <v>10100005708</v>
          </cell>
          <cell r="E46" t="str">
            <v>厚膜贴片电阻器</v>
          </cell>
          <cell r="F46" t="str">
            <v>10010302</v>
          </cell>
          <cell r="G46" t="str">
            <v>YAGEO\RES 10K F 1/16W 0402</v>
          </cell>
          <cell r="H46" t="str">
            <v>YAGEO(国巨)</v>
          </cell>
          <cell r="I46" t="str">
            <v>RC0402FR-0710KL</v>
          </cell>
          <cell r="J46" t="str">
            <v>100632</v>
          </cell>
          <cell r="K46" t="str">
            <v>深圳市欧尔法电子有限公司</v>
          </cell>
          <cell r="L46" t="str">
            <v>X</v>
          </cell>
          <cell r="M46" t="str">
            <v>X</v>
          </cell>
          <cell r="N46" t="str">
            <v>1</v>
          </cell>
          <cell r="O46" t="str">
            <v>1.390000</v>
          </cell>
          <cell r="P46" t="str">
            <v>1.39</v>
          </cell>
          <cell r="Q46" t="str">
            <v>1,000</v>
          </cell>
          <cell r="R46" t="str">
            <v>PCS</v>
          </cell>
          <cell r="S46" t="str">
            <v>56</v>
          </cell>
          <cell r="T46" t="str">
            <v>J3</v>
          </cell>
          <cell r="U46">
            <v>1.39E-3</v>
          </cell>
          <cell r="V46" t="str">
            <v>CNY</v>
          </cell>
          <cell r="W46" t="str">
            <v>10,000.000</v>
          </cell>
          <cell r="X46" t="str">
            <v>10,000.000</v>
          </cell>
        </row>
        <row r="47">
          <cell r="D47">
            <v>10100005795</v>
          </cell>
          <cell r="E47" t="str">
            <v>厚膜贴片电阻器</v>
          </cell>
          <cell r="F47" t="str">
            <v>10010302</v>
          </cell>
          <cell r="G47" t="str">
            <v>FH\RES 10K F 1/16W 0402</v>
          </cell>
          <cell r="H47" t="str">
            <v>FH(风华)</v>
          </cell>
          <cell r="I47" t="str">
            <v>RC-02K1002FT</v>
          </cell>
          <cell r="J47" t="str">
            <v>100654</v>
          </cell>
          <cell r="K47" t="str">
            <v>广东风华高新科技股份有限公司</v>
          </cell>
          <cell r="L47" t="str">
            <v>X</v>
          </cell>
          <cell r="M47" t="str">
            <v/>
          </cell>
          <cell r="N47" t="str">
            <v>1</v>
          </cell>
          <cell r="O47" t="str">
            <v>1.100000</v>
          </cell>
          <cell r="P47" t="str">
            <v>1.10</v>
          </cell>
          <cell r="Q47" t="str">
            <v>1,000</v>
          </cell>
          <cell r="R47" t="str">
            <v>PCS</v>
          </cell>
          <cell r="S47" t="str">
            <v>42</v>
          </cell>
          <cell r="T47" t="str">
            <v>J3</v>
          </cell>
          <cell r="U47">
            <v>1.1000000000000001E-3</v>
          </cell>
          <cell r="V47" t="str">
            <v>CNY</v>
          </cell>
          <cell r="W47" t="str">
            <v>10,000.000</v>
          </cell>
          <cell r="X47" t="str">
            <v>10,000.000</v>
          </cell>
        </row>
        <row r="48">
          <cell r="D48">
            <v>10100007615</v>
          </cell>
          <cell r="E48" t="str">
            <v>厚膜贴片电阻器</v>
          </cell>
          <cell r="F48" t="str">
            <v>10010302</v>
          </cell>
          <cell r="G48" t="str">
            <v>YAGEO\RES 100R F 1/16W 0402</v>
          </cell>
          <cell r="H48" t="str">
            <v>YAGEO(国巨)</v>
          </cell>
          <cell r="I48" t="str">
            <v>RC0402FR-07100RL</v>
          </cell>
          <cell r="J48" t="str">
            <v>100078</v>
          </cell>
          <cell r="K48" t="str">
            <v>深圳市超利维实业有限公司</v>
          </cell>
          <cell r="L48" t="str">
            <v>X</v>
          </cell>
          <cell r="M48" t="str">
            <v/>
          </cell>
          <cell r="N48" t="str">
            <v>1</v>
          </cell>
          <cell r="O48" t="str">
            <v>1.400000</v>
          </cell>
          <cell r="P48" t="str">
            <v>1.40</v>
          </cell>
          <cell r="Q48" t="str">
            <v>1,000</v>
          </cell>
          <cell r="R48" t="str">
            <v>PCS</v>
          </cell>
          <cell r="S48" t="str">
            <v>84</v>
          </cell>
          <cell r="T48" t="str">
            <v>J3</v>
          </cell>
          <cell r="U48">
            <v>1.4E-3</v>
          </cell>
          <cell r="V48" t="str">
            <v>CNY</v>
          </cell>
          <cell r="W48" t="str">
            <v>10,000.000</v>
          </cell>
          <cell r="X48" t="str">
            <v>10,000.000</v>
          </cell>
        </row>
        <row r="49">
          <cell r="D49">
            <v>10100008302</v>
          </cell>
          <cell r="E49" t="str">
            <v>厚膜贴片电阻器</v>
          </cell>
          <cell r="F49" t="str">
            <v>10010302</v>
          </cell>
          <cell r="G49" t="str">
            <v>WALS\RES 100R F 1/16W 0402</v>
          </cell>
          <cell r="H49" t="str">
            <v>WALS(华科)</v>
          </cell>
          <cell r="I49" t="str">
            <v>WR04X1000FTL</v>
          </cell>
          <cell r="J49" t="str">
            <v>100131</v>
          </cell>
          <cell r="K49" t="str">
            <v>东莞华科电子有限公司</v>
          </cell>
          <cell r="L49" t="str">
            <v>X</v>
          </cell>
          <cell r="M49" t="str">
            <v/>
          </cell>
          <cell r="N49" t="str">
            <v>1</v>
          </cell>
          <cell r="O49" t="str">
            <v>1.170000</v>
          </cell>
          <cell r="P49" t="str">
            <v>1.17</v>
          </cell>
          <cell r="Q49" t="str">
            <v>1,000</v>
          </cell>
          <cell r="R49" t="str">
            <v>PCS</v>
          </cell>
          <cell r="S49" t="str">
            <v>56</v>
          </cell>
          <cell r="T49" t="str">
            <v>J3</v>
          </cell>
          <cell r="U49">
            <v>1.17E-3</v>
          </cell>
          <cell r="V49" t="str">
            <v>CNY</v>
          </cell>
          <cell r="W49" t="str">
            <v>10,000.000</v>
          </cell>
          <cell r="X49" t="str">
            <v>10,000.000</v>
          </cell>
        </row>
        <row r="50">
          <cell r="D50">
            <v>10100008776</v>
          </cell>
          <cell r="E50" t="str">
            <v>厚膜贴片电阻器</v>
          </cell>
          <cell r="F50" t="str">
            <v>10010302</v>
          </cell>
          <cell r="G50" t="str">
            <v>FH\RES 0R R&lt;10mR 1/10W 0603 1A</v>
          </cell>
          <cell r="H50" t="str">
            <v>FH(风华)</v>
          </cell>
          <cell r="I50" t="str">
            <v>RS-03000FT</v>
          </cell>
          <cell r="J50" t="str">
            <v>100654</v>
          </cell>
          <cell r="K50" t="str">
            <v>广东风华高新科技股份有限公司</v>
          </cell>
          <cell r="L50" t="str">
            <v>X</v>
          </cell>
          <cell r="M50" t="str">
            <v/>
          </cell>
          <cell r="N50" t="str">
            <v>1</v>
          </cell>
          <cell r="O50" t="str">
            <v>2.080000</v>
          </cell>
          <cell r="P50" t="str">
            <v>2.08</v>
          </cell>
          <cell r="Q50" t="str">
            <v>1,000</v>
          </cell>
          <cell r="R50" t="str">
            <v>PCS</v>
          </cell>
          <cell r="S50" t="str">
            <v>42</v>
          </cell>
          <cell r="T50" t="str">
            <v>J3</v>
          </cell>
          <cell r="U50">
            <v>2.0799999999999998E-3</v>
          </cell>
          <cell r="V50" t="str">
            <v>CNY</v>
          </cell>
          <cell r="W50" t="str">
            <v>5,000.000</v>
          </cell>
          <cell r="X50" t="str">
            <v>5,000.000</v>
          </cell>
        </row>
        <row r="51">
          <cell r="D51">
            <v>10100009092</v>
          </cell>
          <cell r="E51" t="str">
            <v>厚膜贴片电阻器</v>
          </cell>
          <cell r="F51" t="str">
            <v>10010302</v>
          </cell>
          <cell r="G51" t="str">
            <v>YAGEO\RES 2K F 1/16W 0402</v>
          </cell>
          <cell r="H51" t="str">
            <v>YAGEO(国巨)</v>
          </cell>
          <cell r="I51" t="str">
            <v>RC0402FR-072KL</v>
          </cell>
          <cell r="J51" t="str">
            <v>100632</v>
          </cell>
          <cell r="K51" t="str">
            <v>深圳市欧尔法电子有限公司</v>
          </cell>
          <cell r="L51" t="str">
            <v>X</v>
          </cell>
          <cell r="M51" t="str">
            <v>X</v>
          </cell>
          <cell r="N51" t="str">
            <v>1</v>
          </cell>
          <cell r="O51" t="str">
            <v>1.390000</v>
          </cell>
          <cell r="P51" t="str">
            <v>1.39</v>
          </cell>
          <cell r="Q51" t="str">
            <v>1,000</v>
          </cell>
          <cell r="R51" t="str">
            <v>PCS</v>
          </cell>
          <cell r="S51" t="str">
            <v>56</v>
          </cell>
          <cell r="T51" t="str">
            <v>J3</v>
          </cell>
          <cell r="U51">
            <v>1.39E-3</v>
          </cell>
          <cell r="V51" t="str">
            <v>CNY</v>
          </cell>
          <cell r="W51" t="str">
            <v>10,000.000</v>
          </cell>
          <cell r="X51" t="str">
            <v>10,000.000</v>
          </cell>
        </row>
        <row r="52">
          <cell r="D52">
            <v>10100009093</v>
          </cell>
          <cell r="E52" t="str">
            <v>厚膜贴片电阻器</v>
          </cell>
          <cell r="F52" t="str">
            <v>10010302</v>
          </cell>
          <cell r="G52" t="str">
            <v>WALS\RES 2K F 1/16W 0402</v>
          </cell>
          <cell r="H52" t="str">
            <v>WALS(华科)</v>
          </cell>
          <cell r="I52" t="str">
            <v>WR04X2001FTL</v>
          </cell>
          <cell r="J52" t="str">
            <v>100131</v>
          </cell>
          <cell r="K52" t="str">
            <v>东莞华科电子有限公司</v>
          </cell>
          <cell r="L52" t="str">
            <v>X</v>
          </cell>
          <cell r="M52" t="str">
            <v/>
          </cell>
          <cell r="N52" t="str">
            <v>1</v>
          </cell>
          <cell r="O52" t="str">
            <v>1.170000</v>
          </cell>
          <cell r="P52" t="str">
            <v>1.17</v>
          </cell>
          <cell r="Q52" t="str">
            <v>1,000</v>
          </cell>
          <cell r="R52" t="str">
            <v>PCS</v>
          </cell>
          <cell r="S52" t="str">
            <v>56</v>
          </cell>
          <cell r="T52" t="str">
            <v>J3</v>
          </cell>
          <cell r="U52">
            <v>1.17E-3</v>
          </cell>
          <cell r="V52" t="str">
            <v>CNY</v>
          </cell>
          <cell r="W52" t="str">
            <v>10,000.000</v>
          </cell>
          <cell r="X52" t="str">
            <v>10,000.000</v>
          </cell>
        </row>
        <row r="53">
          <cell r="D53">
            <v>10100009838</v>
          </cell>
          <cell r="E53" t="str">
            <v>厚膜贴片电阻器</v>
          </cell>
          <cell r="F53" t="str">
            <v>10010302</v>
          </cell>
          <cell r="G53" t="str">
            <v>ROYA\RES 10K F 1/16W 0402</v>
          </cell>
          <cell r="H53" t="str">
            <v>ROYALOHM(厚声)</v>
          </cell>
          <cell r="I53" t="str">
            <v>0402WGF1002TCE</v>
          </cell>
          <cell r="J53" t="str">
            <v>100096</v>
          </cell>
          <cell r="K53" t="str">
            <v>厚声国际贸易（昆山）有限公司深圳分公司</v>
          </cell>
          <cell r="L53" t="str">
            <v>X</v>
          </cell>
          <cell r="M53" t="str">
            <v/>
          </cell>
          <cell r="N53" t="str">
            <v>1</v>
          </cell>
          <cell r="O53" t="str">
            <v>1.090000</v>
          </cell>
          <cell r="P53" t="str">
            <v>1.09</v>
          </cell>
          <cell r="Q53" t="str">
            <v>1,000</v>
          </cell>
          <cell r="R53" t="str">
            <v>PCS</v>
          </cell>
          <cell r="S53" t="str">
            <v>42</v>
          </cell>
          <cell r="T53" t="str">
            <v>J3</v>
          </cell>
          <cell r="U53">
            <v>1.09E-3</v>
          </cell>
          <cell r="V53" t="str">
            <v>CNY</v>
          </cell>
          <cell r="W53" t="str">
            <v>10,000.000</v>
          </cell>
          <cell r="X53" t="str">
            <v>10,000.000</v>
          </cell>
        </row>
        <row r="54">
          <cell r="D54">
            <v>10100010045</v>
          </cell>
          <cell r="E54" t="str">
            <v>厚膜贴片电阻器</v>
          </cell>
          <cell r="F54" t="str">
            <v>10010302</v>
          </cell>
          <cell r="G54" t="str">
            <v>WALS\RES 10K F 1/16W 0402</v>
          </cell>
          <cell r="H54" t="str">
            <v>WALS(华科)</v>
          </cell>
          <cell r="I54" t="str">
            <v>WR04X1002FTL</v>
          </cell>
          <cell r="J54" t="str">
            <v>100131</v>
          </cell>
          <cell r="K54" t="str">
            <v>东莞华科电子有限公司</v>
          </cell>
          <cell r="L54" t="str">
            <v>X</v>
          </cell>
          <cell r="M54" t="str">
            <v/>
          </cell>
          <cell r="N54" t="str">
            <v>1</v>
          </cell>
          <cell r="O54" t="str">
            <v>1.170000</v>
          </cell>
          <cell r="P54" t="str">
            <v>1.17</v>
          </cell>
          <cell r="Q54" t="str">
            <v>1,000</v>
          </cell>
          <cell r="R54" t="str">
            <v>PCS</v>
          </cell>
          <cell r="S54" t="str">
            <v>56</v>
          </cell>
          <cell r="T54" t="str">
            <v>J3</v>
          </cell>
          <cell r="U54">
            <v>1.17E-3</v>
          </cell>
          <cell r="V54" t="str">
            <v>CNY</v>
          </cell>
          <cell r="W54" t="str">
            <v>10,000.000</v>
          </cell>
          <cell r="X54" t="str">
            <v>10,000.000</v>
          </cell>
        </row>
        <row r="55">
          <cell r="D55">
            <v>10100011726</v>
          </cell>
          <cell r="E55" t="str">
            <v>厚膜贴片电阻器</v>
          </cell>
          <cell r="F55" t="str">
            <v>10010302</v>
          </cell>
          <cell r="G55" t="str">
            <v>YAGEO\RES 5.1K F 1/16W 0402</v>
          </cell>
          <cell r="H55" t="str">
            <v>YAGEO(国巨)</v>
          </cell>
          <cell r="I55" t="str">
            <v>RC0402FR-075K1L</v>
          </cell>
          <cell r="J55" t="str">
            <v>100632</v>
          </cell>
          <cell r="K55" t="str">
            <v>深圳市欧尔法电子有限公司</v>
          </cell>
          <cell r="L55" t="str">
            <v>X</v>
          </cell>
          <cell r="M55" t="str">
            <v/>
          </cell>
          <cell r="N55" t="str">
            <v>1</v>
          </cell>
          <cell r="O55" t="str">
            <v>1.390000</v>
          </cell>
          <cell r="P55" t="str">
            <v>1.39</v>
          </cell>
          <cell r="Q55" t="str">
            <v>1,000</v>
          </cell>
          <cell r="R55" t="str">
            <v>PCS</v>
          </cell>
          <cell r="S55" t="str">
            <v>56</v>
          </cell>
          <cell r="T55" t="str">
            <v>J3</v>
          </cell>
          <cell r="U55">
            <v>1.39E-3</v>
          </cell>
          <cell r="V55" t="str">
            <v>CNY</v>
          </cell>
          <cell r="W55" t="str">
            <v>10,000.000</v>
          </cell>
          <cell r="X55" t="str">
            <v>10,000.000</v>
          </cell>
        </row>
        <row r="56">
          <cell r="D56">
            <v>10100011993</v>
          </cell>
          <cell r="E56" t="str">
            <v>厚膜贴片电阻器</v>
          </cell>
          <cell r="F56" t="str">
            <v>10010302</v>
          </cell>
          <cell r="G56" t="str">
            <v>FH\RES 5.1K F 1/16W 0402</v>
          </cell>
          <cell r="H56" t="str">
            <v>FH(风华)</v>
          </cell>
          <cell r="I56" t="str">
            <v>RC-02K5101FT</v>
          </cell>
          <cell r="J56" t="str">
            <v>100654</v>
          </cell>
          <cell r="K56" t="str">
            <v>广东风华高新科技股份有限公司</v>
          </cell>
          <cell r="L56" t="str">
            <v>X</v>
          </cell>
          <cell r="M56" t="str">
            <v/>
          </cell>
          <cell r="N56" t="str">
            <v>1</v>
          </cell>
          <cell r="O56" t="str">
            <v>1.100000</v>
          </cell>
          <cell r="P56" t="str">
            <v>1.10</v>
          </cell>
          <cell r="Q56" t="str">
            <v>1,000</v>
          </cell>
          <cell r="R56" t="str">
            <v>PCS</v>
          </cell>
          <cell r="S56" t="str">
            <v>42</v>
          </cell>
          <cell r="T56" t="str">
            <v>J3</v>
          </cell>
          <cell r="U56">
            <v>1.1000000000000001E-3</v>
          </cell>
          <cell r="V56" t="str">
            <v>CNY</v>
          </cell>
          <cell r="W56" t="str">
            <v>10,000.000</v>
          </cell>
          <cell r="X56" t="str">
            <v>10,000.000</v>
          </cell>
        </row>
        <row r="57">
          <cell r="D57">
            <v>10100013093</v>
          </cell>
          <cell r="E57" t="str">
            <v>厚膜贴片电阻器</v>
          </cell>
          <cell r="F57" t="str">
            <v>10010302</v>
          </cell>
          <cell r="G57" t="str">
            <v>ROYA\RES 100R F 1/16W 0402</v>
          </cell>
          <cell r="H57" t="str">
            <v>ROYALOHM(厚声)</v>
          </cell>
          <cell r="I57" t="str">
            <v>0402WGF1000TCE</v>
          </cell>
          <cell r="J57" t="str">
            <v>100096</v>
          </cell>
          <cell r="K57" t="str">
            <v>厚声国际贸易（昆山）有限公司深圳分公司</v>
          </cell>
          <cell r="L57" t="str">
            <v>X</v>
          </cell>
          <cell r="M57" t="str">
            <v/>
          </cell>
          <cell r="N57" t="str">
            <v>1</v>
          </cell>
          <cell r="O57" t="str">
            <v>1.090000</v>
          </cell>
          <cell r="P57" t="str">
            <v>1.09</v>
          </cell>
          <cell r="Q57" t="str">
            <v>1,000</v>
          </cell>
          <cell r="R57" t="str">
            <v>PCS</v>
          </cell>
          <cell r="S57" t="str">
            <v>42</v>
          </cell>
          <cell r="T57" t="str">
            <v>J3</v>
          </cell>
          <cell r="U57">
            <v>1.09E-3</v>
          </cell>
          <cell r="V57" t="str">
            <v>CNY</v>
          </cell>
          <cell r="W57" t="str">
            <v>10,000.000</v>
          </cell>
          <cell r="X57" t="str">
            <v>10,000.000</v>
          </cell>
        </row>
        <row r="58">
          <cell r="D58">
            <v>10100013936</v>
          </cell>
          <cell r="E58" t="str">
            <v>厚膜贴片电阻器</v>
          </cell>
          <cell r="F58" t="str">
            <v>10010302</v>
          </cell>
          <cell r="G58" t="str">
            <v>FH\RES 100R F 1/16W 0402</v>
          </cell>
          <cell r="H58" t="str">
            <v>FH(风华)</v>
          </cell>
          <cell r="I58" t="str">
            <v>RC-02K1000FT</v>
          </cell>
          <cell r="J58" t="str">
            <v>100654</v>
          </cell>
          <cell r="K58" t="str">
            <v>广东风华高新科技股份有限公司</v>
          </cell>
          <cell r="L58" t="str">
            <v>X</v>
          </cell>
          <cell r="M58" t="str">
            <v/>
          </cell>
          <cell r="N58" t="str">
            <v>1</v>
          </cell>
          <cell r="O58" t="str">
            <v>1.100000</v>
          </cell>
          <cell r="P58" t="str">
            <v>1.10</v>
          </cell>
          <cell r="Q58" t="str">
            <v>1,000</v>
          </cell>
          <cell r="R58" t="str">
            <v>PCS</v>
          </cell>
          <cell r="S58" t="str">
            <v>42</v>
          </cell>
          <cell r="T58" t="str">
            <v>J3</v>
          </cell>
          <cell r="U58">
            <v>1.1000000000000001E-3</v>
          </cell>
          <cell r="V58" t="str">
            <v>CNY</v>
          </cell>
          <cell r="W58" t="str">
            <v>10,000.000</v>
          </cell>
          <cell r="X58" t="str">
            <v>10,000.000</v>
          </cell>
        </row>
        <row r="59">
          <cell r="D59">
            <v>10100014735</v>
          </cell>
          <cell r="E59" t="str">
            <v>厚膜贴片电阻器</v>
          </cell>
          <cell r="F59" t="str">
            <v>10010302</v>
          </cell>
          <cell r="G59" t="str">
            <v>ROYA\RES 2K F 1/16W 0402</v>
          </cell>
          <cell r="H59" t="str">
            <v>ROYALOHM(厚声)</v>
          </cell>
          <cell r="I59" t="str">
            <v>0402WGF2001TCE</v>
          </cell>
          <cell r="J59" t="str">
            <v>100096</v>
          </cell>
          <cell r="K59" t="str">
            <v>厚声国际贸易（昆山）有限公司深圳分公司</v>
          </cell>
          <cell r="L59" t="str">
            <v>X</v>
          </cell>
          <cell r="M59" t="str">
            <v/>
          </cell>
          <cell r="N59" t="str">
            <v>1</v>
          </cell>
          <cell r="O59" t="str">
            <v>1.090000</v>
          </cell>
          <cell r="P59" t="str">
            <v>1.09</v>
          </cell>
          <cell r="Q59" t="str">
            <v>1,000</v>
          </cell>
          <cell r="R59" t="str">
            <v>PCS</v>
          </cell>
          <cell r="S59" t="str">
            <v>42</v>
          </cell>
          <cell r="T59" t="str">
            <v>J3</v>
          </cell>
          <cell r="U59">
            <v>1.09E-3</v>
          </cell>
          <cell r="V59" t="str">
            <v>CNY</v>
          </cell>
          <cell r="W59" t="str">
            <v>10,000.000</v>
          </cell>
          <cell r="X59" t="str">
            <v>10,000.000</v>
          </cell>
        </row>
        <row r="60">
          <cell r="D60">
            <v>10100017616</v>
          </cell>
          <cell r="E60" t="str">
            <v>厚膜贴片电阻器</v>
          </cell>
          <cell r="F60" t="str">
            <v>10010302</v>
          </cell>
          <cell r="G60" t="str">
            <v>HKR\RES 100R F 1/16W 0402</v>
          </cell>
          <cell r="H60" t="str">
            <v>HKR(香港电阻)</v>
          </cell>
          <cell r="I60" t="str">
            <v>RCT02100RFLF</v>
          </cell>
          <cell r="J60" t="str">
            <v>103166</v>
          </cell>
          <cell r="K60" t="str">
            <v>南充溢辉电子科技有限公司</v>
          </cell>
          <cell r="L60" t="str">
            <v>X</v>
          </cell>
          <cell r="M60" t="str">
            <v/>
          </cell>
          <cell r="N60" t="str">
            <v>1</v>
          </cell>
          <cell r="O60" t="str">
            <v>0.980000</v>
          </cell>
          <cell r="P60" t="str">
            <v>0.98</v>
          </cell>
          <cell r="Q60" t="str">
            <v>1,000</v>
          </cell>
          <cell r="R60" t="str">
            <v>PCS</v>
          </cell>
          <cell r="S60" t="str">
            <v>42</v>
          </cell>
          <cell r="T60" t="str">
            <v>J3</v>
          </cell>
          <cell r="U60">
            <v>9.7999999999999997E-4</v>
          </cell>
          <cell r="V60" t="str">
            <v>CNY</v>
          </cell>
          <cell r="W60" t="str">
            <v>10,000.000</v>
          </cell>
          <cell r="X60" t="str">
            <v>10,000.000</v>
          </cell>
        </row>
        <row r="61">
          <cell r="D61">
            <v>10100017618</v>
          </cell>
          <cell r="E61" t="str">
            <v>厚膜贴片电阻器</v>
          </cell>
          <cell r="F61" t="str">
            <v>10010302</v>
          </cell>
          <cell r="G61" t="str">
            <v>HKR\RES 10K F 1/16W 0402</v>
          </cell>
          <cell r="H61" t="str">
            <v>HKR(香港电阻)</v>
          </cell>
          <cell r="I61" t="str">
            <v>RCT0210KFLF</v>
          </cell>
          <cell r="J61" t="str">
            <v>103166</v>
          </cell>
          <cell r="K61" t="str">
            <v>南充溢辉电子科技有限公司</v>
          </cell>
          <cell r="L61" t="str">
            <v>X</v>
          </cell>
          <cell r="M61" t="str">
            <v/>
          </cell>
          <cell r="N61" t="str">
            <v>1</v>
          </cell>
          <cell r="O61" t="str">
            <v>0.980000</v>
          </cell>
          <cell r="P61" t="str">
            <v>0.98</v>
          </cell>
          <cell r="Q61" t="str">
            <v>1,000</v>
          </cell>
          <cell r="R61" t="str">
            <v>PCS</v>
          </cell>
          <cell r="S61" t="str">
            <v>42</v>
          </cell>
          <cell r="T61" t="str">
            <v>J3</v>
          </cell>
          <cell r="U61">
            <v>9.7999999999999997E-4</v>
          </cell>
          <cell r="V61" t="str">
            <v>CNY</v>
          </cell>
          <cell r="W61" t="str">
            <v>10,000.000</v>
          </cell>
          <cell r="X61" t="str">
            <v>10,000.000</v>
          </cell>
        </row>
        <row r="62">
          <cell r="D62">
            <v>10100017679</v>
          </cell>
          <cell r="E62" t="str">
            <v>厚膜贴片电阻器</v>
          </cell>
          <cell r="F62" t="str">
            <v>10010302</v>
          </cell>
          <cell r="G62" t="str">
            <v>HKR\RES 2K F 1/16W 0402</v>
          </cell>
          <cell r="H62" t="str">
            <v>HKR(香港电阻)</v>
          </cell>
          <cell r="I62" t="str">
            <v>RCT022KFLF</v>
          </cell>
          <cell r="J62" t="str">
            <v>103166</v>
          </cell>
          <cell r="K62" t="str">
            <v>南充溢辉电子科技有限公司</v>
          </cell>
          <cell r="L62" t="str">
            <v>X</v>
          </cell>
          <cell r="M62" t="str">
            <v/>
          </cell>
          <cell r="N62" t="str">
            <v>1</v>
          </cell>
          <cell r="O62" t="str">
            <v>0.980000</v>
          </cell>
          <cell r="P62" t="str">
            <v>0.98</v>
          </cell>
          <cell r="Q62" t="str">
            <v>1,000</v>
          </cell>
          <cell r="R62" t="str">
            <v>PCS</v>
          </cell>
          <cell r="S62" t="str">
            <v>42</v>
          </cell>
          <cell r="T62" t="str">
            <v>J3</v>
          </cell>
          <cell r="U62">
            <v>9.7999999999999997E-4</v>
          </cell>
          <cell r="V62" t="str">
            <v>CNY</v>
          </cell>
          <cell r="W62" t="str">
            <v>10,000.000</v>
          </cell>
          <cell r="X62" t="str">
            <v>10,000.000</v>
          </cell>
        </row>
        <row r="63">
          <cell r="D63">
            <v>10100017738</v>
          </cell>
          <cell r="E63" t="str">
            <v>厚膜贴片电阻器</v>
          </cell>
          <cell r="F63" t="str">
            <v>10010302</v>
          </cell>
          <cell r="G63" t="str">
            <v>HKR\RES 5.1K F 1/16W 0402</v>
          </cell>
          <cell r="H63" t="str">
            <v>HKR(香港电阻)</v>
          </cell>
          <cell r="I63" t="str">
            <v>RCT025K1FLF</v>
          </cell>
          <cell r="J63" t="str">
            <v>103166</v>
          </cell>
          <cell r="K63" t="str">
            <v>南充溢辉电子科技有限公司</v>
          </cell>
          <cell r="L63" t="str">
            <v>X</v>
          </cell>
          <cell r="M63" t="str">
            <v/>
          </cell>
          <cell r="N63" t="str">
            <v>1</v>
          </cell>
          <cell r="O63" t="str">
            <v>0.980000</v>
          </cell>
          <cell r="P63" t="str">
            <v>0.98</v>
          </cell>
          <cell r="Q63" t="str">
            <v>1,000</v>
          </cell>
          <cell r="R63" t="str">
            <v>PCS</v>
          </cell>
          <cell r="S63" t="str">
            <v>42</v>
          </cell>
          <cell r="T63" t="str">
            <v>J3</v>
          </cell>
          <cell r="U63">
            <v>9.7999999999999997E-4</v>
          </cell>
          <cell r="V63" t="str">
            <v>CNY</v>
          </cell>
          <cell r="W63" t="str">
            <v>10,000.000</v>
          </cell>
          <cell r="X63" t="str">
            <v>10,000.000</v>
          </cell>
        </row>
        <row r="64">
          <cell r="D64">
            <v>10110001319</v>
          </cell>
          <cell r="E64" t="str">
            <v>贴片陶瓷电容器</v>
          </cell>
          <cell r="F64" t="str">
            <v>11060201</v>
          </cell>
          <cell r="G64" t="str">
            <v>FH\CAP Cer 1nF K X7R 50VDC 0603</v>
          </cell>
          <cell r="H64" t="str">
            <v>FH(风华)</v>
          </cell>
          <cell r="I64" t="str">
            <v>0603B102K500NT</v>
          </cell>
          <cell r="J64" t="str">
            <v>100654</v>
          </cell>
          <cell r="K64" t="str">
            <v>广东风华高新科技股份有限公司</v>
          </cell>
          <cell r="L64" t="str">
            <v>X</v>
          </cell>
          <cell r="M64" t="str">
            <v/>
          </cell>
          <cell r="N64" t="str">
            <v>1</v>
          </cell>
          <cell r="O64" t="str">
            <v>5.500000</v>
          </cell>
          <cell r="P64" t="str">
            <v>5.50</v>
          </cell>
          <cell r="Q64" t="str">
            <v>1,000</v>
          </cell>
          <cell r="R64" t="str">
            <v>PCS</v>
          </cell>
          <cell r="S64" t="str">
            <v>56</v>
          </cell>
          <cell r="T64" t="str">
            <v>J3</v>
          </cell>
          <cell r="U64">
            <v>5.4999999999999997E-3</v>
          </cell>
          <cell r="V64" t="str">
            <v>CNY</v>
          </cell>
          <cell r="W64" t="str">
            <v>4,000.000</v>
          </cell>
          <cell r="X64" t="str">
            <v>4,000.000</v>
          </cell>
        </row>
        <row r="65">
          <cell r="D65">
            <v>10110001320</v>
          </cell>
          <cell r="E65" t="str">
            <v>贴片陶瓷电容器</v>
          </cell>
          <cell r="F65" t="str">
            <v>11060201</v>
          </cell>
          <cell r="G65" t="str">
            <v>YAGEO\CAP Cer 1nF K X7R 50VDC 0603</v>
          </cell>
          <cell r="H65" t="str">
            <v>YAGEO(国巨)</v>
          </cell>
          <cell r="I65" t="str">
            <v>CC0603KRX7R9BB102</v>
          </cell>
          <cell r="J65" t="str">
            <v>101553</v>
          </cell>
          <cell r="K65" t="str">
            <v>深圳市奥特高科电子有限公司</v>
          </cell>
          <cell r="L65" t="str">
            <v>X</v>
          </cell>
          <cell r="M65" t="str">
            <v/>
          </cell>
          <cell r="N65" t="str">
            <v>1</v>
          </cell>
          <cell r="O65" t="str">
            <v>5.500000</v>
          </cell>
          <cell r="P65" t="str">
            <v>5.50</v>
          </cell>
          <cell r="Q65" t="str">
            <v>1,000</v>
          </cell>
          <cell r="R65" t="str">
            <v>PCS</v>
          </cell>
          <cell r="S65" t="str">
            <v>56</v>
          </cell>
          <cell r="T65" t="str">
            <v>J3</v>
          </cell>
          <cell r="U65">
            <v>5.4999999999999997E-3</v>
          </cell>
          <cell r="V65" t="str">
            <v>CNY</v>
          </cell>
          <cell r="W65" t="str">
            <v>4,000.000</v>
          </cell>
          <cell r="X65" t="str">
            <v>4,000.000</v>
          </cell>
        </row>
        <row r="66">
          <cell r="D66">
            <v>10110001388</v>
          </cell>
          <cell r="E66" t="str">
            <v>贴片陶瓷电容器</v>
          </cell>
          <cell r="F66" t="str">
            <v>11060201</v>
          </cell>
          <cell r="G66" t="str">
            <v>FH\CAP Cer 100nF K X7R 50VDC 0603 -55℃~&amp;</v>
          </cell>
          <cell r="H66" t="str">
            <v>FH(风华)</v>
          </cell>
          <cell r="I66" t="str">
            <v>0603B104K500NT</v>
          </cell>
          <cell r="J66" t="str">
            <v>100654</v>
          </cell>
          <cell r="K66" t="str">
            <v>广东风华高新科技股份有限公司</v>
          </cell>
          <cell r="L66" t="str">
            <v>X</v>
          </cell>
          <cell r="M66" t="str">
            <v/>
          </cell>
          <cell r="N66" t="str">
            <v>1</v>
          </cell>
          <cell r="O66" t="str">
            <v>5.500000</v>
          </cell>
          <cell r="P66" t="str">
            <v>5.50</v>
          </cell>
          <cell r="Q66" t="str">
            <v>1,000</v>
          </cell>
          <cell r="R66" t="str">
            <v>PCS</v>
          </cell>
          <cell r="S66" t="str">
            <v>56</v>
          </cell>
          <cell r="T66" t="str">
            <v>J3</v>
          </cell>
          <cell r="U66">
            <v>5.4999999999999997E-3</v>
          </cell>
          <cell r="V66" t="str">
            <v>CNY</v>
          </cell>
          <cell r="W66" t="str">
            <v>4,000.000</v>
          </cell>
          <cell r="X66" t="str">
            <v>4,000.000</v>
          </cell>
        </row>
        <row r="67">
          <cell r="D67">
            <v>10110001391</v>
          </cell>
          <cell r="E67" t="str">
            <v>贴片陶瓷电容器</v>
          </cell>
          <cell r="F67" t="str">
            <v>11060201</v>
          </cell>
          <cell r="G67" t="str">
            <v>YAGEO\CAP Cer 100nF K X7R 50VDC 0603</v>
          </cell>
          <cell r="H67" t="str">
            <v>YAGEO(国巨)</v>
          </cell>
          <cell r="I67" t="str">
            <v>CC0603KRX7R9BB104</v>
          </cell>
          <cell r="J67" t="str">
            <v>101957</v>
          </cell>
          <cell r="K67" t="str">
            <v>广东顺德集财电子有限公司</v>
          </cell>
          <cell r="L67" t="str">
            <v>X</v>
          </cell>
          <cell r="M67" t="str">
            <v/>
          </cell>
          <cell r="N67" t="str">
            <v>1</v>
          </cell>
          <cell r="O67" t="str">
            <v>6.100000</v>
          </cell>
          <cell r="P67" t="str">
            <v>6.10</v>
          </cell>
          <cell r="Q67" t="str">
            <v>1,000</v>
          </cell>
          <cell r="R67" t="str">
            <v>PCS</v>
          </cell>
          <cell r="S67" t="str">
            <v>56</v>
          </cell>
          <cell r="T67" t="str">
            <v>J3</v>
          </cell>
          <cell r="U67">
            <v>6.1000000000000004E-3</v>
          </cell>
          <cell r="V67" t="str">
            <v>CNY</v>
          </cell>
          <cell r="W67" t="str">
            <v>4,000.000</v>
          </cell>
          <cell r="X67" t="str">
            <v>4,000.000</v>
          </cell>
        </row>
        <row r="68">
          <cell r="D68">
            <v>10110003896</v>
          </cell>
          <cell r="E68" t="str">
            <v>贴片陶瓷电容器</v>
          </cell>
          <cell r="F68" t="str">
            <v>11060201</v>
          </cell>
          <cell r="G68" t="str">
            <v>YAGEO\CAP Cer 1nF K X7R 50VDC 0402</v>
          </cell>
          <cell r="H68" t="str">
            <v>YAGEO(国巨)</v>
          </cell>
          <cell r="I68" t="str">
            <v>CC0402KRX7R9BB102</v>
          </cell>
          <cell r="J68" t="str">
            <v>101553</v>
          </cell>
          <cell r="K68" t="str">
            <v>深圳市奥特高科电子有限公司</v>
          </cell>
          <cell r="L68" t="str">
            <v>X</v>
          </cell>
          <cell r="M68" t="str">
            <v/>
          </cell>
          <cell r="N68" t="str">
            <v>1</v>
          </cell>
          <cell r="O68" t="str">
            <v>2.300000</v>
          </cell>
          <cell r="P68" t="str">
            <v>2.30</v>
          </cell>
          <cell r="Q68" t="str">
            <v>1,000</v>
          </cell>
          <cell r="R68" t="str">
            <v>PCS</v>
          </cell>
          <cell r="S68" t="str">
            <v>56</v>
          </cell>
          <cell r="T68" t="str">
            <v>J3</v>
          </cell>
          <cell r="U68">
            <v>2.3E-3</v>
          </cell>
          <cell r="V68" t="str">
            <v>CNY</v>
          </cell>
          <cell r="W68" t="str">
            <v>10,000.000</v>
          </cell>
          <cell r="X68" t="str">
            <v>10,000.000</v>
          </cell>
        </row>
        <row r="69">
          <cell r="D69">
            <v>10110003943</v>
          </cell>
          <cell r="E69" t="str">
            <v>贴片陶瓷电容器</v>
          </cell>
          <cell r="F69" t="str">
            <v>11060201</v>
          </cell>
          <cell r="G69" t="str">
            <v>WALS\CAP Cer 1nF K X7R 50VDC 0603</v>
          </cell>
          <cell r="H69" t="str">
            <v>WALS(华科)</v>
          </cell>
          <cell r="I69" t="str">
            <v>0603B102K500CT</v>
          </cell>
          <cell r="J69" t="str">
            <v>100131</v>
          </cell>
          <cell r="K69" t="str">
            <v>东莞华科电子有限公司</v>
          </cell>
          <cell r="L69" t="str">
            <v>X</v>
          </cell>
          <cell r="M69" t="str">
            <v/>
          </cell>
          <cell r="N69" t="str">
            <v>1</v>
          </cell>
          <cell r="O69" t="str">
            <v>4.350000</v>
          </cell>
          <cell r="P69" t="str">
            <v>4.35</v>
          </cell>
          <cell r="Q69" t="str">
            <v>1,000</v>
          </cell>
          <cell r="R69" t="str">
            <v>PCS</v>
          </cell>
          <cell r="S69" t="str">
            <v>58</v>
          </cell>
          <cell r="T69" t="str">
            <v>J3</v>
          </cell>
          <cell r="U69">
            <v>4.3499999999999997E-3</v>
          </cell>
          <cell r="V69" t="str">
            <v>CNY</v>
          </cell>
          <cell r="W69" t="str">
            <v>4,000.000</v>
          </cell>
          <cell r="X69" t="str">
            <v>4,000.000</v>
          </cell>
        </row>
        <row r="70">
          <cell r="D70">
            <v>10110003944</v>
          </cell>
          <cell r="E70" t="str">
            <v>贴片陶瓷电容器</v>
          </cell>
          <cell r="F70" t="str">
            <v>11060201</v>
          </cell>
          <cell r="G70" t="str">
            <v>WALS\CAP Cer 100nF K X7R 50VDC 0603 -55&amp;</v>
          </cell>
          <cell r="H70" t="str">
            <v>WALS(华科)</v>
          </cell>
          <cell r="I70" t="str">
            <v>0603B104K500CT</v>
          </cell>
          <cell r="J70" t="str">
            <v>100131</v>
          </cell>
          <cell r="K70" t="str">
            <v>东莞华科电子有限公司</v>
          </cell>
          <cell r="L70" t="str">
            <v>X</v>
          </cell>
          <cell r="M70" t="str">
            <v/>
          </cell>
          <cell r="N70" t="str">
            <v>1</v>
          </cell>
          <cell r="O70" t="str">
            <v>5.430000</v>
          </cell>
          <cell r="P70" t="str">
            <v>5.43</v>
          </cell>
          <cell r="Q70" t="str">
            <v>1,000</v>
          </cell>
          <cell r="R70" t="str">
            <v>PCS</v>
          </cell>
          <cell r="S70" t="str">
            <v>56</v>
          </cell>
          <cell r="T70" t="str">
            <v>J3</v>
          </cell>
          <cell r="U70">
            <v>5.4299999999999999E-3</v>
          </cell>
          <cell r="V70" t="str">
            <v>CNY</v>
          </cell>
          <cell r="W70" t="str">
            <v>4,000.000</v>
          </cell>
          <cell r="X70" t="str">
            <v>4,000.000</v>
          </cell>
        </row>
        <row r="71">
          <cell r="D71">
            <v>10110004932</v>
          </cell>
          <cell r="E71" t="str">
            <v>贴片陶瓷电容器</v>
          </cell>
          <cell r="F71" t="str">
            <v>11060201</v>
          </cell>
          <cell r="G71" t="str">
            <v>WALS\CAP Cer 100pF K X7R 50VDC 0603</v>
          </cell>
          <cell r="H71" t="str">
            <v>WALS(华科)</v>
          </cell>
          <cell r="I71" t="str">
            <v>0603B101K500CT</v>
          </cell>
          <cell r="J71" t="str">
            <v>100131</v>
          </cell>
          <cell r="K71" t="str">
            <v>东莞华科电子有限公司</v>
          </cell>
          <cell r="L71" t="str">
            <v>X</v>
          </cell>
          <cell r="M71" t="str">
            <v/>
          </cell>
          <cell r="N71" t="str">
            <v>1</v>
          </cell>
          <cell r="O71" t="str">
            <v>6.220000</v>
          </cell>
          <cell r="P71" t="str">
            <v>6.22</v>
          </cell>
          <cell r="Q71" t="str">
            <v>1,000</v>
          </cell>
          <cell r="R71" t="str">
            <v>PCS</v>
          </cell>
          <cell r="S71" t="str">
            <v>56</v>
          </cell>
          <cell r="T71" t="str">
            <v>J3</v>
          </cell>
          <cell r="U71">
            <v>6.2199999999999998E-3</v>
          </cell>
          <cell r="V71" t="str">
            <v>CNY</v>
          </cell>
          <cell r="W71" t="str">
            <v>4,000.000</v>
          </cell>
          <cell r="X71" t="str">
            <v>4,000.000</v>
          </cell>
        </row>
        <row r="72">
          <cell r="D72">
            <v>10110005817</v>
          </cell>
          <cell r="E72" t="str">
            <v>贴片陶瓷电容器</v>
          </cell>
          <cell r="F72" t="str">
            <v>11060201</v>
          </cell>
          <cell r="G72" t="str">
            <v>WALS\CAP Cer 1nF K X7R 50VDC 0402</v>
          </cell>
          <cell r="H72" t="str">
            <v>WALS(华科)</v>
          </cell>
          <cell r="I72" t="str">
            <v>0402B102K500CT</v>
          </cell>
          <cell r="J72" t="str">
            <v>100131</v>
          </cell>
          <cell r="K72" t="str">
            <v>东莞华科电子有限公司</v>
          </cell>
          <cell r="L72" t="str">
            <v>X</v>
          </cell>
          <cell r="M72" t="str">
            <v/>
          </cell>
          <cell r="N72" t="str">
            <v>1</v>
          </cell>
          <cell r="O72" t="str">
            <v>1.980000</v>
          </cell>
          <cell r="P72" t="str">
            <v>1.98</v>
          </cell>
          <cell r="Q72" t="str">
            <v>1,000</v>
          </cell>
          <cell r="R72" t="str">
            <v>PCS</v>
          </cell>
          <cell r="S72" t="str">
            <v>56</v>
          </cell>
          <cell r="T72" t="str">
            <v>J3</v>
          </cell>
          <cell r="U72">
            <v>1.98E-3</v>
          </cell>
          <cell r="V72" t="str">
            <v>CNY</v>
          </cell>
          <cell r="W72" t="str">
            <v>10,000.000</v>
          </cell>
          <cell r="X72" t="str">
            <v>10,000.000</v>
          </cell>
        </row>
        <row r="73">
          <cell r="D73">
            <v>10110007822</v>
          </cell>
          <cell r="E73" t="str">
            <v>贴片陶瓷电容器</v>
          </cell>
          <cell r="F73" t="str">
            <v>11060201</v>
          </cell>
          <cell r="G73" t="str">
            <v>SAMS\CAP Cer 1nF K X7R 50VDC 0402</v>
          </cell>
          <cell r="H73" t="str">
            <v>SAMSUNG(三星)</v>
          </cell>
          <cell r="I73" t="str">
            <v>CL05B102KB5NNNC</v>
          </cell>
          <cell r="J73" t="str">
            <v>101957</v>
          </cell>
          <cell r="K73" t="str">
            <v>广东顺德集财电子有限公司</v>
          </cell>
          <cell r="L73" t="str">
            <v>X</v>
          </cell>
          <cell r="M73" t="str">
            <v/>
          </cell>
          <cell r="N73" t="str">
            <v>1</v>
          </cell>
          <cell r="O73" t="str">
            <v>2.400000</v>
          </cell>
          <cell r="P73" t="str">
            <v>2.40</v>
          </cell>
          <cell r="Q73" t="str">
            <v>1,000</v>
          </cell>
          <cell r="R73" t="str">
            <v>PCS</v>
          </cell>
          <cell r="S73" t="str">
            <v>56</v>
          </cell>
          <cell r="T73" t="str">
            <v>J3</v>
          </cell>
          <cell r="U73">
            <v>2.3999999999999998E-3</v>
          </cell>
          <cell r="V73" t="str">
            <v>CNY</v>
          </cell>
          <cell r="W73" t="str">
            <v>10,000.000</v>
          </cell>
          <cell r="X73" t="str">
            <v>10,000.000</v>
          </cell>
        </row>
        <row r="74">
          <cell r="D74">
            <v>10110008734</v>
          </cell>
          <cell r="E74" t="str">
            <v>贴片陶瓷电容器</v>
          </cell>
          <cell r="F74" t="str">
            <v>11060201</v>
          </cell>
          <cell r="G74" t="str">
            <v>FH\CAP Cer 1nF K X7R 50VDC 0402</v>
          </cell>
          <cell r="H74" t="str">
            <v>FH(风华)</v>
          </cell>
          <cell r="I74" t="str">
            <v>0402B102K500NT</v>
          </cell>
          <cell r="J74" t="str">
            <v>100654</v>
          </cell>
          <cell r="K74" t="str">
            <v>广东风华高新科技股份有限公司</v>
          </cell>
          <cell r="L74" t="str">
            <v>X</v>
          </cell>
          <cell r="M74" t="str">
            <v/>
          </cell>
          <cell r="N74" t="str">
            <v>1</v>
          </cell>
          <cell r="O74" t="str">
            <v>2.100000</v>
          </cell>
          <cell r="P74" t="str">
            <v>2.10</v>
          </cell>
          <cell r="Q74" t="str">
            <v>1,000</v>
          </cell>
          <cell r="R74" t="str">
            <v>PCS</v>
          </cell>
          <cell r="S74" t="str">
            <v>56</v>
          </cell>
          <cell r="T74" t="str">
            <v>J3</v>
          </cell>
          <cell r="U74">
            <v>2.0999999999999999E-3</v>
          </cell>
          <cell r="V74" t="str">
            <v>CNY</v>
          </cell>
          <cell r="W74" t="str">
            <v>10,000.000</v>
          </cell>
          <cell r="X74" t="str">
            <v>10,000.000</v>
          </cell>
        </row>
        <row r="75">
          <cell r="D75">
            <v>10110008872</v>
          </cell>
          <cell r="E75" t="str">
            <v>贴片陶瓷电容器</v>
          </cell>
          <cell r="F75" t="str">
            <v>11060201</v>
          </cell>
          <cell r="G75" t="str">
            <v>FH\CAP Cer 100pF K X7R 50VDC 0603</v>
          </cell>
          <cell r="H75" t="str">
            <v>FH(风华)</v>
          </cell>
          <cell r="I75" t="str">
            <v>0603B101K500NT</v>
          </cell>
          <cell r="J75" t="str">
            <v>100654</v>
          </cell>
          <cell r="K75" t="str">
            <v>广东风华高新科技股份有限公司</v>
          </cell>
          <cell r="L75" t="str">
            <v>X</v>
          </cell>
          <cell r="M75" t="str">
            <v/>
          </cell>
          <cell r="N75" t="str">
            <v>1</v>
          </cell>
          <cell r="O75" t="str">
            <v>5.800000</v>
          </cell>
          <cell r="P75" t="str">
            <v>5.80</v>
          </cell>
          <cell r="Q75" t="str">
            <v>1,000</v>
          </cell>
          <cell r="R75" t="str">
            <v>PCS</v>
          </cell>
          <cell r="S75" t="str">
            <v>42</v>
          </cell>
          <cell r="T75" t="str">
            <v>J3</v>
          </cell>
          <cell r="U75">
            <v>5.7999999999999996E-3</v>
          </cell>
          <cell r="V75" t="str">
            <v>CNY</v>
          </cell>
          <cell r="W75" t="str">
            <v>4,000.000</v>
          </cell>
          <cell r="X75" t="str">
            <v>4,000.000</v>
          </cell>
        </row>
        <row r="76">
          <cell r="D76">
            <v>10110011281</v>
          </cell>
          <cell r="E76" t="str">
            <v>贴片陶瓷电容器</v>
          </cell>
          <cell r="F76" t="str">
            <v>11060201</v>
          </cell>
          <cell r="G76" t="str">
            <v>SH3\CAP Cer 1nF K X7R 50VDC 0603</v>
          </cell>
          <cell r="H76" t="str">
            <v>CCTC(三环)</v>
          </cell>
          <cell r="I76" t="str">
            <v>TCC0603X7R102K500CT</v>
          </cell>
          <cell r="J76" t="str">
            <v>102178</v>
          </cell>
          <cell r="K76" t="str">
            <v>潮州三环（集团）股份有限公司</v>
          </cell>
          <cell r="L76" t="str">
            <v>X</v>
          </cell>
          <cell r="M76" t="str">
            <v/>
          </cell>
          <cell r="N76" t="str">
            <v>1</v>
          </cell>
          <cell r="O76" t="str">
            <v>5.450000</v>
          </cell>
          <cell r="P76" t="str">
            <v>5.45</v>
          </cell>
          <cell r="Q76" t="str">
            <v>1,000</v>
          </cell>
          <cell r="R76" t="str">
            <v>PCS</v>
          </cell>
          <cell r="S76" t="str">
            <v>56</v>
          </cell>
          <cell r="T76" t="str">
            <v>J3</v>
          </cell>
          <cell r="U76">
            <v>5.45E-3</v>
          </cell>
          <cell r="V76" t="str">
            <v>CNY</v>
          </cell>
          <cell r="W76" t="str">
            <v>4,000.000</v>
          </cell>
          <cell r="X76" t="str">
            <v>4,000.000</v>
          </cell>
        </row>
        <row r="77">
          <cell r="D77">
            <v>10110011283</v>
          </cell>
          <cell r="E77" t="str">
            <v>贴片陶瓷电容器</v>
          </cell>
          <cell r="F77" t="str">
            <v>11060201</v>
          </cell>
          <cell r="G77" t="str">
            <v>SH3\CAP Cer 100nF K X7R 50VDC 0603 -55℃&amp;</v>
          </cell>
          <cell r="H77" t="str">
            <v>CCTC(三环)</v>
          </cell>
          <cell r="I77" t="str">
            <v>TCC0603X7R104K500CT</v>
          </cell>
          <cell r="J77" t="str">
            <v>102178</v>
          </cell>
          <cell r="K77" t="str">
            <v>潮州三环（集团）股份有限公司</v>
          </cell>
          <cell r="L77" t="str">
            <v>X</v>
          </cell>
          <cell r="M77" t="str">
            <v/>
          </cell>
          <cell r="N77" t="str">
            <v>1</v>
          </cell>
          <cell r="O77" t="str">
            <v>5.150000</v>
          </cell>
          <cell r="P77" t="str">
            <v>5.15</v>
          </cell>
          <cell r="Q77" t="str">
            <v>1,000</v>
          </cell>
          <cell r="R77" t="str">
            <v>PCS</v>
          </cell>
          <cell r="S77" t="str">
            <v>56</v>
          </cell>
          <cell r="T77" t="str">
            <v>J3</v>
          </cell>
          <cell r="U77">
            <v>5.1500000000000001E-3</v>
          </cell>
          <cell r="V77" t="str">
            <v>CNY</v>
          </cell>
          <cell r="W77" t="str">
            <v>4,000.000</v>
          </cell>
          <cell r="X77" t="str">
            <v>4,000.000</v>
          </cell>
        </row>
        <row r="78">
          <cell r="D78">
            <v>10110012149</v>
          </cell>
          <cell r="E78" t="str">
            <v>贴片陶瓷电容器</v>
          </cell>
          <cell r="F78" t="str">
            <v>11060201</v>
          </cell>
          <cell r="G78" t="str">
            <v>SH3\CAP Cer 1nF K X7R 50VDC 0402</v>
          </cell>
          <cell r="H78" t="str">
            <v>CCTC(三环)</v>
          </cell>
          <cell r="I78" t="str">
            <v>TCC0402X7R102K500AT</v>
          </cell>
          <cell r="J78" t="str">
            <v>102178</v>
          </cell>
          <cell r="K78" t="str">
            <v>潮州三环（集团）股份有限公司</v>
          </cell>
          <cell r="L78" t="str">
            <v>X</v>
          </cell>
          <cell r="M78" t="str">
            <v/>
          </cell>
          <cell r="N78" t="str">
            <v>1</v>
          </cell>
          <cell r="O78" t="str">
            <v>1.850000</v>
          </cell>
          <cell r="P78" t="str">
            <v>1.85</v>
          </cell>
          <cell r="Q78" t="str">
            <v>1,000</v>
          </cell>
          <cell r="R78" t="str">
            <v>PCS</v>
          </cell>
          <cell r="S78" t="str">
            <v>56</v>
          </cell>
          <cell r="T78" t="str">
            <v>J3</v>
          </cell>
          <cell r="U78">
            <v>1.8500000000000001E-3</v>
          </cell>
          <cell r="V78" t="str">
            <v>CNY</v>
          </cell>
          <cell r="W78" t="str">
            <v>10,000.000</v>
          </cell>
          <cell r="X78" t="str">
            <v>10,000.000</v>
          </cell>
        </row>
        <row r="79">
          <cell r="D79">
            <v>10110012151</v>
          </cell>
          <cell r="E79" t="str">
            <v>贴片陶瓷电容器</v>
          </cell>
          <cell r="F79" t="str">
            <v>11060201</v>
          </cell>
          <cell r="G79" t="str">
            <v>SH3\CAP Cer 100nF K X7R 50VDC 0603</v>
          </cell>
          <cell r="H79" t="str">
            <v>CCTC(三环)</v>
          </cell>
          <cell r="I79" t="str">
            <v>TCC0603X7R104K500CT</v>
          </cell>
          <cell r="J79" t="str">
            <v>102178</v>
          </cell>
          <cell r="K79" t="str">
            <v>潮州三环（集团）股份有限公司</v>
          </cell>
          <cell r="L79" t="str">
            <v>X</v>
          </cell>
          <cell r="M79" t="str">
            <v/>
          </cell>
          <cell r="N79" t="str">
            <v>1</v>
          </cell>
          <cell r="O79" t="str">
            <v>5.150000</v>
          </cell>
          <cell r="P79" t="str">
            <v>5.15</v>
          </cell>
          <cell r="Q79" t="str">
            <v>1,000</v>
          </cell>
          <cell r="R79" t="str">
            <v>PCS</v>
          </cell>
          <cell r="S79" t="str">
            <v>56</v>
          </cell>
          <cell r="T79" t="str">
            <v>J3</v>
          </cell>
          <cell r="U79">
            <v>5.1500000000000001E-3</v>
          </cell>
          <cell r="V79" t="str">
            <v>CNY</v>
          </cell>
          <cell r="W79" t="str">
            <v>4,000.000</v>
          </cell>
          <cell r="X79" t="str">
            <v>4,000.000</v>
          </cell>
        </row>
        <row r="80">
          <cell r="D80">
            <v>10110013284</v>
          </cell>
          <cell r="E80" t="str">
            <v>贴片陶瓷电容器</v>
          </cell>
          <cell r="F80" t="str">
            <v>11060201</v>
          </cell>
          <cell r="G80" t="str">
            <v>SH3\CAP Cer 100pF K X7R 50VDC 0603</v>
          </cell>
          <cell r="H80" t="str">
            <v>CCTC(三环)</v>
          </cell>
          <cell r="I80" t="str">
            <v>TCC0603X7R101K500CT</v>
          </cell>
          <cell r="J80" t="str">
            <v>102178</v>
          </cell>
          <cell r="K80" t="str">
            <v>潮州三环（集团）股份有限公司</v>
          </cell>
          <cell r="L80" t="str">
            <v>X</v>
          </cell>
          <cell r="M80" t="str">
            <v/>
          </cell>
          <cell r="N80" t="str">
            <v>1</v>
          </cell>
          <cell r="O80" t="str">
            <v>5.800000</v>
          </cell>
          <cell r="P80" t="str">
            <v>5.80</v>
          </cell>
          <cell r="Q80" t="str">
            <v>1,000</v>
          </cell>
          <cell r="R80" t="str">
            <v>PCS</v>
          </cell>
          <cell r="S80" t="str">
            <v>56</v>
          </cell>
          <cell r="T80" t="str">
            <v>J3</v>
          </cell>
          <cell r="U80">
            <v>5.7999999999999996E-3</v>
          </cell>
          <cell r="V80" t="str">
            <v>CNY</v>
          </cell>
          <cell r="W80" t="str">
            <v>4,000.000</v>
          </cell>
          <cell r="X80" t="str">
            <v>4,000.000</v>
          </cell>
        </row>
        <row r="81">
          <cell r="D81">
            <v>10110015554</v>
          </cell>
          <cell r="E81" t="str">
            <v>贴片陶瓷电容器</v>
          </cell>
          <cell r="F81" t="str">
            <v>11060201</v>
          </cell>
          <cell r="G81" t="str">
            <v>YAGEO\CAP Cer 100pF K X7R 50VDC 0603</v>
          </cell>
          <cell r="H81" t="str">
            <v>YAGEO(国巨)</v>
          </cell>
          <cell r="I81" t="str">
            <v>CC0603KRX7R9BB101</v>
          </cell>
          <cell r="J81" t="str">
            <v>100621</v>
          </cell>
          <cell r="K81" t="str">
            <v>深圳市吉利通电子有限公司</v>
          </cell>
          <cell r="L81" t="str">
            <v>X</v>
          </cell>
          <cell r="M81" t="str">
            <v/>
          </cell>
          <cell r="N81" t="str">
            <v>1</v>
          </cell>
          <cell r="O81" t="str">
            <v>5.960000</v>
          </cell>
          <cell r="P81" t="str">
            <v>5.96</v>
          </cell>
          <cell r="Q81" t="str">
            <v>1,000</v>
          </cell>
          <cell r="R81" t="str">
            <v>PCS</v>
          </cell>
          <cell r="S81" t="str">
            <v>56</v>
          </cell>
          <cell r="T81" t="str">
            <v>J3</v>
          </cell>
          <cell r="U81">
            <v>5.96E-3</v>
          </cell>
          <cell r="V81" t="str">
            <v>CNY</v>
          </cell>
          <cell r="W81" t="str">
            <v>4,000.000</v>
          </cell>
          <cell r="X81" t="str">
            <v>4,000.000</v>
          </cell>
        </row>
        <row r="82">
          <cell r="D82">
            <v>10160006989</v>
          </cell>
          <cell r="E82" t="str">
            <v>贴片方顶可见光LED</v>
          </cell>
          <cell r="F82" t="str">
            <v>16020205</v>
          </cell>
          <cell r="G82" t="str">
            <v>REFO\LED 0603 红光 无色 透明 高亮</v>
          </cell>
          <cell r="H82" t="str">
            <v>RF(瑞丰)</v>
          </cell>
          <cell r="I82" t="str">
            <v>RF-OUB191TB-CE-B0-EL</v>
          </cell>
          <cell r="J82" t="str">
            <v>101693</v>
          </cell>
          <cell r="K82" t="str">
            <v>浙江瑞丰光电有限公司</v>
          </cell>
          <cell r="L82" t="str">
            <v>X</v>
          </cell>
          <cell r="M82" t="str">
            <v/>
          </cell>
          <cell r="N82" t="str">
            <v>1</v>
          </cell>
          <cell r="O82" t="str">
            <v>48.400000</v>
          </cell>
          <cell r="P82" t="str">
            <v>48.40</v>
          </cell>
          <cell r="Q82" t="str">
            <v>1,000</v>
          </cell>
          <cell r="R82" t="str">
            <v>PCS</v>
          </cell>
          <cell r="S82" t="str">
            <v>28</v>
          </cell>
          <cell r="T82" t="str">
            <v>J3</v>
          </cell>
          <cell r="U82">
            <v>4.8399999999999999E-2</v>
          </cell>
          <cell r="V82" t="str">
            <v>CNY</v>
          </cell>
          <cell r="W82" t="str">
            <v>60,000.000</v>
          </cell>
          <cell r="X82" t="str">
            <v>4,000.000</v>
          </cell>
        </row>
        <row r="83">
          <cell r="D83">
            <v>10160007699</v>
          </cell>
          <cell r="E83" t="str">
            <v>贴片方顶可见光LED</v>
          </cell>
          <cell r="F83" t="str">
            <v>16020205</v>
          </cell>
          <cell r="G83" t="str">
            <v>LD\LED 0603 白光 黄色 雾状 超高亮 色温等级WR4/5-WU4/5</v>
          </cell>
          <cell r="H83" t="str">
            <v>LD(立得)</v>
          </cell>
          <cell r="I83" t="str">
            <v>LT8AW1-54-UKG3-SH7TE</v>
          </cell>
          <cell r="J83" t="str">
            <v>100989</v>
          </cell>
          <cell r="K83" t="str">
            <v>肇庆市立得电子有限公司</v>
          </cell>
          <cell r="L83" t="str">
            <v>X</v>
          </cell>
          <cell r="M83" t="str">
            <v/>
          </cell>
          <cell r="N83" t="str">
            <v>1</v>
          </cell>
          <cell r="O83" t="str">
            <v>43.000000</v>
          </cell>
          <cell r="P83" t="str">
            <v>43.00</v>
          </cell>
          <cell r="Q83" t="str">
            <v>1,000</v>
          </cell>
          <cell r="R83" t="str">
            <v>PCS</v>
          </cell>
          <cell r="S83" t="str">
            <v>30</v>
          </cell>
          <cell r="T83" t="str">
            <v>J3</v>
          </cell>
          <cell r="U83">
            <v>4.2999999999999997E-2</v>
          </cell>
          <cell r="V83" t="str">
            <v>CNY</v>
          </cell>
          <cell r="W83" t="str">
            <v>20,000.000</v>
          </cell>
          <cell r="X83" t="str">
            <v>4,000.000</v>
          </cell>
        </row>
        <row r="84">
          <cell r="D84">
            <v>10160007809</v>
          </cell>
          <cell r="E84" t="str">
            <v>贴片方顶可见光LED</v>
          </cell>
          <cell r="F84" t="str">
            <v>16020205</v>
          </cell>
          <cell r="G84" t="str">
            <v>CL\LED 0603 白光 黄色 雾状 超高亮</v>
          </cell>
          <cell r="H84" t="str">
            <v>CL(长利)</v>
          </cell>
          <cell r="I84" t="str">
            <v>CL-0603W/YY-BDK-HET-J8</v>
          </cell>
          <cell r="J84" t="str">
            <v>100436</v>
          </cell>
          <cell r="K84" t="str">
            <v>广东长利光电科技有限公司</v>
          </cell>
          <cell r="L84" t="str">
            <v>X</v>
          </cell>
          <cell r="M84" t="str">
            <v/>
          </cell>
          <cell r="N84" t="str">
            <v>1</v>
          </cell>
          <cell r="O84" t="str">
            <v>26.000000</v>
          </cell>
          <cell r="P84" t="str">
            <v>26.00</v>
          </cell>
          <cell r="Q84" t="str">
            <v>1,000</v>
          </cell>
          <cell r="R84" t="str">
            <v>PCS</v>
          </cell>
          <cell r="S84" t="str">
            <v>28</v>
          </cell>
          <cell r="T84" t="str">
            <v>J3</v>
          </cell>
          <cell r="U84">
            <v>2.5999999999999999E-2</v>
          </cell>
          <cell r="V84" t="str">
            <v>CNY</v>
          </cell>
          <cell r="W84" t="str">
            <v>4,000.000</v>
          </cell>
          <cell r="X84" t="str">
            <v>4,000.000</v>
          </cell>
        </row>
        <row r="85">
          <cell r="D85">
            <v>10160007865</v>
          </cell>
          <cell r="E85" t="str">
            <v>贴片方顶可见光LED</v>
          </cell>
          <cell r="F85" t="str">
            <v>16020205</v>
          </cell>
          <cell r="G85" t="str">
            <v>CL\LED 0603 红光 无色 透明 超高亮</v>
          </cell>
          <cell r="H85" t="str">
            <v>CL(长利)</v>
          </cell>
          <cell r="I85" t="str">
            <v>CL-0603R/YY-J8</v>
          </cell>
          <cell r="J85" t="str">
            <v>100436</v>
          </cell>
          <cell r="K85" t="str">
            <v>广东长利光电科技有限公司</v>
          </cell>
          <cell r="L85" t="str">
            <v>X</v>
          </cell>
          <cell r="M85" t="str">
            <v/>
          </cell>
          <cell r="N85" t="str">
            <v>1</v>
          </cell>
          <cell r="O85" t="str">
            <v>27.500000</v>
          </cell>
          <cell r="P85" t="str">
            <v>27.50</v>
          </cell>
          <cell r="Q85" t="str">
            <v>1,000</v>
          </cell>
          <cell r="R85" t="str">
            <v>PCS</v>
          </cell>
          <cell r="S85" t="str">
            <v>10</v>
          </cell>
          <cell r="T85" t="str">
            <v>J3</v>
          </cell>
          <cell r="U85">
            <v>2.75E-2</v>
          </cell>
          <cell r="V85" t="str">
            <v>CNY</v>
          </cell>
          <cell r="W85" t="str">
            <v>4,000.000</v>
          </cell>
          <cell r="X85" t="str">
            <v>4,000.000</v>
          </cell>
        </row>
        <row r="86">
          <cell r="D86">
            <v>10100018717</v>
          </cell>
          <cell r="E86" t="str">
            <v>厚膜贴片电阻器</v>
          </cell>
          <cell r="F86" t="str">
            <v>10010302</v>
          </cell>
          <cell r="G86" t="str">
            <v>XS5\RES 5.1K F 1/16W 0402</v>
          </cell>
          <cell r="H86" t="str">
            <v>VO(翔胜)</v>
          </cell>
          <cell r="I86" t="str">
            <v>SCR0402F5101B</v>
          </cell>
          <cell r="J86" t="str">
            <v>100261</v>
          </cell>
          <cell r="K86" t="str">
            <v>安徽翔胜科技有限公司</v>
          </cell>
          <cell r="L86" t="str">
            <v>X</v>
          </cell>
          <cell r="M86" t="str">
            <v/>
          </cell>
          <cell r="N86" t="str">
            <v>1</v>
          </cell>
          <cell r="O86" t="str">
            <v>1.050000</v>
          </cell>
          <cell r="P86" t="str">
            <v>1.05</v>
          </cell>
          <cell r="Q86" t="str">
            <v>1,000</v>
          </cell>
          <cell r="R86" t="str">
            <v>PCS</v>
          </cell>
          <cell r="S86" t="str">
            <v>28</v>
          </cell>
          <cell r="T86" t="str">
            <v>J3</v>
          </cell>
          <cell r="U86">
            <v>1.0499999999999999E-3</v>
          </cell>
          <cell r="V86" t="str">
            <v>CNY</v>
          </cell>
          <cell r="W86" t="str">
            <v>10,000.000</v>
          </cell>
          <cell r="X86" t="str">
            <v>10,000.000</v>
          </cell>
        </row>
        <row r="87">
          <cell r="D87">
            <v>10100018722</v>
          </cell>
          <cell r="E87" t="str">
            <v>厚膜贴片电阻器</v>
          </cell>
          <cell r="F87" t="str">
            <v>10010302</v>
          </cell>
          <cell r="G87" t="str">
            <v>XS5\RES 10K F 1/16W 0402</v>
          </cell>
          <cell r="H87" t="str">
            <v>VO(翔胜)</v>
          </cell>
          <cell r="I87" t="str">
            <v>SCR0402F1002B</v>
          </cell>
          <cell r="J87" t="str">
            <v>100261</v>
          </cell>
          <cell r="K87" t="str">
            <v>安徽翔胜科技有限公司</v>
          </cell>
          <cell r="L87" t="str">
            <v>X</v>
          </cell>
          <cell r="M87" t="str">
            <v/>
          </cell>
          <cell r="N87" t="str">
            <v>1</v>
          </cell>
          <cell r="O87" t="str">
            <v>1.050000</v>
          </cell>
          <cell r="P87" t="str">
            <v>1.05</v>
          </cell>
          <cell r="Q87" t="str">
            <v>1,000</v>
          </cell>
          <cell r="R87" t="str">
            <v>PCS</v>
          </cell>
          <cell r="S87" t="str">
            <v>28</v>
          </cell>
          <cell r="T87" t="str">
            <v>J3</v>
          </cell>
          <cell r="U87">
            <v>1.0499999999999999E-3</v>
          </cell>
          <cell r="V87" t="str">
            <v>CNY</v>
          </cell>
          <cell r="W87" t="str">
            <v>10,000.000</v>
          </cell>
          <cell r="X87" t="str">
            <v>10,000.000</v>
          </cell>
        </row>
        <row r="88">
          <cell r="D88">
            <v>10100019245</v>
          </cell>
          <cell r="E88" t="str">
            <v>厚膜贴片电阻器</v>
          </cell>
          <cell r="F88" t="str">
            <v>10010302</v>
          </cell>
          <cell r="G88" t="str">
            <v>XS5\RES 2K F 1/16W 0402</v>
          </cell>
          <cell r="H88" t="str">
            <v>VO(翔胜)</v>
          </cell>
          <cell r="I88" t="str">
            <v>SCR0402F2001B</v>
          </cell>
          <cell r="J88" t="str">
            <v>100261</v>
          </cell>
          <cell r="K88" t="str">
            <v>安徽翔胜科技有限公司</v>
          </cell>
          <cell r="L88" t="str">
            <v>X</v>
          </cell>
          <cell r="M88" t="str">
            <v/>
          </cell>
          <cell r="N88" t="str">
            <v>1</v>
          </cell>
          <cell r="O88" t="str">
            <v>1.050000</v>
          </cell>
          <cell r="P88" t="str">
            <v>1.05</v>
          </cell>
          <cell r="Q88" t="str">
            <v>1,000</v>
          </cell>
          <cell r="R88" t="str">
            <v>PCS</v>
          </cell>
          <cell r="S88" t="str">
            <v>28</v>
          </cell>
          <cell r="T88" t="str">
            <v>J3</v>
          </cell>
          <cell r="U88">
            <v>1.0499999999999999E-3</v>
          </cell>
          <cell r="V88" t="str">
            <v>CNY</v>
          </cell>
          <cell r="W88" t="str">
            <v>10,000.000</v>
          </cell>
          <cell r="X88" t="str">
            <v>10,000.000</v>
          </cell>
        </row>
        <row r="89">
          <cell r="D89">
            <v>10100005708</v>
          </cell>
          <cell r="E89" t="str">
            <v>厚膜贴片电阻器</v>
          </cell>
          <cell r="F89" t="str">
            <v>10010302</v>
          </cell>
          <cell r="G89" t="str">
            <v>YAGEO\RES 10K F 1/16W 0402</v>
          </cell>
          <cell r="H89" t="str">
            <v>YAGEO(国巨)</v>
          </cell>
          <cell r="I89" t="str">
            <v>RC0402FR-0710KL</v>
          </cell>
          <cell r="J89" t="str">
            <v>101553</v>
          </cell>
          <cell r="K89" t="str">
            <v>深圳市奥特高科电子有限公司</v>
          </cell>
          <cell r="L89" t="str">
            <v>X</v>
          </cell>
          <cell r="M89" t="str">
            <v/>
          </cell>
          <cell r="N89" t="str">
            <v>1</v>
          </cell>
          <cell r="O89" t="str">
            <v>1.300000</v>
          </cell>
          <cell r="P89" t="str">
            <v>1.30</v>
          </cell>
          <cell r="Q89" t="str">
            <v>1,000</v>
          </cell>
          <cell r="R89" t="str">
            <v>PCS</v>
          </cell>
          <cell r="S89" t="str">
            <v>84</v>
          </cell>
          <cell r="T89" t="str">
            <v>J3</v>
          </cell>
          <cell r="U89">
            <v>1.2999999999999999E-3</v>
          </cell>
          <cell r="V89" t="str">
            <v>CNY</v>
          </cell>
          <cell r="W89" t="str">
            <v>10,000.000</v>
          </cell>
          <cell r="X89" t="str">
            <v>10,000.000</v>
          </cell>
        </row>
        <row r="90">
          <cell r="D90">
            <v>10100005795</v>
          </cell>
          <cell r="E90" t="str">
            <v>厚膜贴片电阻器</v>
          </cell>
          <cell r="F90" t="str">
            <v>10010302</v>
          </cell>
          <cell r="G90" t="str">
            <v>FH\RES 10K F 1/16W 0402</v>
          </cell>
          <cell r="H90" t="str">
            <v>FH(风华)</v>
          </cell>
          <cell r="I90" t="str">
            <v>RC-02K1002FT</v>
          </cell>
          <cell r="J90" t="str">
            <v>100654</v>
          </cell>
          <cell r="K90" t="str">
            <v>广东风华高新科技股份有限公司</v>
          </cell>
          <cell r="L90" t="str">
            <v>X</v>
          </cell>
          <cell r="M90" t="str">
            <v/>
          </cell>
          <cell r="N90" t="str">
            <v>1</v>
          </cell>
          <cell r="O90" t="str">
            <v>1.100000</v>
          </cell>
          <cell r="P90" t="str">
            <v>1.10</v>
          </cell>
          <cell r="Q90" t="str">
            <v>1,000</v>
          </cell>
          <cell r="R90" t="str">
            <v>PCS</v>
          </cell>
          <cell r="S90" t="str">
            <v>42</v>
          </cell>
          <cell r="T90" t="str">
            <v>J3</v>
          </cell>
          <cell r="U90">
            <v>1.1000000000000001E-3</v>
          </cell>
          <cell r="V90" t="str">
            <v>CNY</v>
          </cell>
          <cell r="W90" t="str">
            <v>10,000.000</v>
          </cell>
          <cell r="X90" t="str">
            <v>10,000.000</v>
          </cell>
        </row>
        <row r="91">
          <cell r="D91">
            <v>10100007615</v>
          </cell>
          <cell r="E91" t="str">
            <v>厚膜贴片电阻器</v>
          </cell>
          <cell r="F91" t="str">
            <v>10010302</v>
          </cell>
          <cell r="G91" t="str">
            <v>YAGEO\RES 100R F 1/16W 0402</v>
          </cell>
          <cell r="H91" t="str">
            <v>YAGEO(国巨)</v>
          </cell>
          <cell r="I91" t="str">
            <v>RC0402FR-07100RL</v>
          </cell>
          <cell r="J91" t="str">
            <v>100078</v>
          </cell>
          <cell r="K91" t="str">
            <v>深圳市超利维实业有限公司</v>
          </cell>
          <cell r="L91" t="str">
            <v>X</v>
          </cell>
          <cell r="M91" t="str">
            <v/>
          </cell>
          <cell r="N91" t="str">
            <v>1</v>
          </cell>
          <cell r="O91" t="str">
            <v>1.400000</v>
          </cell>
          <cell r="P91" t="str">
            <v>1.40</v>
          </cell>
          <cell r="Q91" t="str">
            <v>1,000</v>
          </cell>
          <cell r="R91" t="str">
            <v>PCS</v>
          </cell>
          <cell r="S91" t="str">
            <v>56</v>
          </cell>
          <cell r="T91" t="str">
            <v>J3</v>
          </cell>
          <cell r="U91">
            <v>1.4E-3</v>
          </cell>
          <cell r="V91" t="str">
            <v>CNY</v>
          </cell>
          <cell r="W91" t="str">
            <v>10,000.000</v>
          </cell>
          <cell r="X91" t="str">
            <v>10,000.000</v>
          </cell>
        </row>
        <row r="92">
          <cell r="D92">
            <v>10100008302</v>
          </cell>
          <cell r="E92" t="str">
            <v>厚膜贴片电阻器</v>
          </cell>
          <cell r="F92" t="str">
            <v>10010302</v>
          </cell>
          <cell r="G92" t="str">
            <v>WALS\RES 100R F 1/16W 0402</v>
          </cell>
          <cell r="H92" t="str">
            <v>WALS(华科)</v>
          </cell>
          <cell r="I92" t="str">
            <v>WR04X1000FTL</v>
          </cell>
          <cell r="J92" t="str">
            <v>100131</v>
          </cell>
          <cell r="K92" t="str">
            <v>东莞华科电子有限公司</v>
          </cell>
          <cell r="L92" t="str">
            <v>X</v>
          </cell>
          <cell r="M92" t="str">
            <v/>
          </cell>
          <cell r="N92" t="str">
            <v>1</v>
          </cell>
          <cell r="O92" t="str">
            <v>1.170000</v>
          </cell>
          <cell r="P92" t="str">
            <v>1.17</v>
          </cell>
          <cell r="Q92" t="str">
            <v>1,000</v>
          </cell>
          <cell r="R92" t="str">
            <v>PCS</v>
          </cell>
          <cell r="S92" t="str">
            <v>56</v>
          </cell>
          <cell r="T92" t="str">
            <v>J3</v>
          </cell>
          <cell r="U92">
            <v>1.17E-3</v>
          </cell>
          <cell r="V92" t="str">
            <v>CNY</v>
          </cell>
          <cell r="W92" t="str">
            <v>10,000.000</v>
          </cell>
          <cell r="X92" t="str">
            <v>10,000.000</v>
          </cell>
        </row>
        <row r="93">
          <cell r="D93">
            <v>10100008776</v>
          </cell>
          <cell r="E93" t="str">
            <v>厚膜贴片电阻器</v>
          </cell>
          <cell r="F93" t="str">
            <v>10010302</v>
          </cell>
          <cell r="G93" t="str">
            <v>FH\RES 0R R&lt;10mR 1/10W 0603 1A</v>
          </cell>
          <cell r="H93" t="str">
            <v>FH(风华)</v>
          </cell>
          <cell r="I93" t="str">
            <v>RS-03000FT</v>
          </cell>
          <cell r="J93" t="str">
            <v>100654</v>
          </cell>
          <cell r="K93" t="str">
            <v>广东风华高新科技股份有限公司</v>
          </cell>
          <cell r="L93" t="str">
            <v>X</v>
          </cell>
          <cell r="M93" t="str">
            <v/>
          </cell>
          <cell r="N93" t="str">
            <v>1</v>
          </cell>
          <cell r="O93" t="str">
            <v>2.080000</v>
          </cell>
          <cell r="P93" t="str">
            <v>2.08</v>
          </cell>
          <cell r="Q93" t="str">
            <v>1,000</v>
          </cell>
          <cell r="R93" t="str">
            <v>PCS</v>
          </cell>
          <cell r="S93" t="str">
            <v>42</v>
          </cell>
          <cell r="T93" t="str">
            <v>J3</v>
          </cell>
          <cell r="U93">
            <v>2.0799999999999998E-3</v>
          </cell>
          <cell r="V93" t="str">
            <v>CNY</v>
          </cell>
          <cell r="W93" t="str">
            <v>5,000.000</v>
          </cell>
          <cell r="X93" t="str">
            <v>5,000.000</v>
          </cell>
        </row>
        <row r="94">
          <cell r="D94">
            <v>10100009092</v>
          </cell>
          <cell r="E94" t="str">
            <v>厚膜贴片电阻器</v>
          </cell>
          <cell r="F94" t="str">
            <v>10010302</v>
          </cell>
          <cell r="G94" t="str">
            <v>YAGEO\RES 2K F 1/16W 0402</v>
          </cell>
          <cell r="H94" t="str">
            <v>YAGEO(国巨)</v>
          </cell>
          <cell r="I94" t="str">
            <v>RC0402FR-072KL</v>
          </cell>
          <cell r="J94" t="str">
            <v>101553</v>
          </cell>
          <cell r="K94" t="str">
            <v>深圳市奥特高科电子有限公司</v>
          </cell>
          <cell r="L94" t="str">
            <v>X</v>
          </cell>
          <cell r="M94" t="str">
            <v/>
          </cell>
          <cell r="N94" t="str">
            <v>1</v>
          </cell>
          <cell r="O94" t="str">
            <v>1.300000</v>
          </cell>
          <cell r="P94" t="str">
            <v>1.30</v>
          </cell>
          <cell r="Q94" t="str">
            <v>1,000</v>
          </cell>
          <cell r="R94" t="str">
            <v>PCS</v>
          </cell>
          <cell r="S94" t="str">
            <v>84</v>
          </cell>
          <cell r="T94" t="str">
            <v>J3</v>
          </cell>
          <cell r="U94">
            <v>1.2999999999999999E-3</v>
          </cell>
          <cell r="V94" t="str">
            <v>CNY</v>
          </cell>
          <cell r="W94" t="str">
            <v>10,000.000</v>
          </cell>
          <cell r="X94" t="str">
            <v>10,000.000</v>
          </cell>
        </row>
        <row r="95">
          <cell r="D95">
            <v>10100009093</v>
          </cell>
          <cell r="E95" t="str">
            <v>厚膜贴片电阻器</v>
          </cell>
          <cell r="F95" t="str">
            <v>10010302</v>
          </cell>
          <cell r="G95" t="str">
            <v>WALS\RES 2K F 1/16W 0402</v>
          </cell>
          <cell r="H95" t="str">
            <v>WALS(华科)</v>
          </cell>
          <cell r="I95" t="str">
            <v>WR04X2001FTL</v>
          </cell>
          <cell r="J95" t="str">
            <v>100131</v>
          </cell>
          <cell r="K95" t="str">
            <v>东莞华科电子有限公司</v>
          </cell>
          <cell r="L95" t="str">
            <v>X</v>
          </cell>
          <cell r="M95" t="str">
            <v/>
          </cell>
          <cell r="N95" t="str">
            <v>1</v>
          </cell>
          <cell r="O95" t="str">
            <v>1.170000</v>
          </cell>
          <cell r="P95" t="str">
            <v>1.17</v>
          </cell>
          <cell r="Q95" t="str">
            <v>1,000</v>
          </cell>
          <cell r="R95" t="str">
            <v>PCS</v>
          </cell>
          <cell r="S95" t="str">
            <v>56</v>
          </cell>
          <cell r="T95" t="str">
            <v>J3</v>
          </cell>
          <cell r="U95">
            <v>1.17E-3</v>
          </cell>
          <cell r="V95" t="str">
            <v>CNY</v>
          </cell>
          <cell r="W95" t="str">
            <v>10,000.000</v>
          </cell>
          <cell r="X95" t="str">
            <v>10,000.000</v>
          </cell>
        </row>
        <row r="96">
          <cell r="D96">
            <v>10100009838</v>
          </cell>
          <cell r="E96" t="str">
            <v>厚膜贴片电阻器</v>
          </cell>
          <cell r="F96" t="str">
            <v>10010302</v>
          </cell>
          <cell r="G96" t="str">
            <v>ROYA\RES 10K F 1/16W 0402</v>
          </cell>
          <cell r="H96" t="str">
            <v>ROYALOHM(厚声)</v>
          </cell>
          <cell r="I96" t="str">
            <v>0402WGF1002TCE</v>
          </cell>
          <cell r="J96" t="str">
            <v>100096</v>
          </cell>
          <cell r="K96" t="str">
            <v>厚声国际贸易（昆山）有限公司深圳分公司</v>
          </cell>
          <cell r="L96" t="str">
            <v>X</v>
          </cell>
          <cell r="M96" t="str">
            <v/>
          </cell>
          <cell r="N96" t="str">
            <v>1</v>
          </cell>
          <cell r="O96" t="str">
            <v>1.090000</v>
          </cell>
          <cell r="P96" t="str">
            <v>1.09</v>
          </cell>
          <cell r="Q96" t="str">
            <v>1,000</v>
          </cell>
          <cell r="R96" t="str">
            <v>PCS</v>
          </cell>
          <cell r="S96" t="str">
            <v>42</v>
          </cell>
          <cell r="T96" t="str">
            <v>J3</v>
          </cell>
          <cell r="U96">
            <v>1.09E-3</v>
          </cell>
          <cell r="V96" t="str">
            <v>CNY</v>
          </cell>
          <cell r="W96" t="str">
            <v>10,000.000</v>
          </cell>
          <cell r="X96" t="str">
            <v>10,000.000</v>
          </cell>
        </row>
        <row r="97">
          <cell r="D97">
            <v>10100010045</v>
          </cell>
          <cell r="E97" t="str">
            <v>厚膜贴片电阻器</v>
          </cell>
          <cell r="F97" t="str">
            <v>10010302</v>
          </cell>
          <cell r="G97" t="str">
            <v>WALS\RES 10K F 1/16W 0402</v>
          </cell>
          <cell r="H97" t="str">
            <v>WALS(华科)</v>
          </cell>
          <cell r="I97" t="str">
            <v>WR04X1002FTL</v>
          </cell>
          <cell r="J97" t="str">
            <v>100131</v>
          </cell>
          <cell r="K97" t="str">
            <v>东莞华科电子有限公司</v>
          </cell>
          <cell r="L97" t="str">
            <v>X</v>
          </cell>
          <cell r="M97" t="str">
            <v/>
          </cell>
          <cell r="N97" t="str">
            <v>1</v>
          </cell>
          <cell r="O97" t="str">
            <v>1.170000</v>
          </cell>
          <cell r="P97" t="str">
            <v>1.17</v>
          </cell>
          <cell r="Q97" t="str">
            <v>1,000</v>
          </cell>
          <cell r="R97" t="str">
            <v>PCS</v>
          </cell>
          <cell r="S97" t="str">
            <v>56</v>
          </cell>
          <cell r="T97" t="str">
            <v>J3</v>
          </cell>
          <cell r="U97">
            <v>1.17E-3</v>
          </cell>
          <cell r="V97" t="str">
            <v>CNY</v>
          </cell>
          <cell r="W97" t="str">
            <v>10,000.000</v>
          </cell>
          <cell r="X97" t="str">
            <v>10,000.000</v>
          </cell>
        </row>
        <row r="98">
          <cell r="D98">
            <v>10100011726</v>
          </cell>
          <cell r="E98" t="str">
            <v>厚膜贴片电阻器</v>
          </cell>
          <cell r="F98" t="str">
            <v>10010302</v>
          </cell>
          <cell r="G98" t="str">
            <v>YAGEO\RES 5.1K F 1/16W 0402</v>
          </cell>
          <cell r="H98" t="str">
            <v>YAGEO(国巨)</v>
          </cell>
          <cell r="I98" t="str">
            <v>RC0402FR-075K1L</v>
          </cell>
          <cell r="J98" t="str">
            <v>100078</v>
          </cell>
          <cell r="K98" t="str">
            <v>深圳市超利维实业有限公司</v>
          </cell>
          <cell r="L98" t="str">
            <v>X</v>
          </cell>
          <cell r="M98" t="str">
            <v/>
          </cell>
          <cell r="N98" t="str">
            <v>1</v>
          </cell>
          <cell r="O98" t="str">
            <v>1.400000</v>
          </cell>
          <cell r="P98" t="str">
            <v>1.40</v>
          </cell>
          <cell r="Q98" t="str">
            <v>1,000</v>
          </cell>
          <cell r="R98" t="str">
            <v>PCS</v>
          </cell>
          <cell r="S98" t="str">
            <v>56</v>
          </cell>
          <cell r="T98" t="str">
            <v>J3</v>
          </cell>
          <cell r="U98">
            <v>1.4E-3</v>
          </cell>
          <cell r="V98" t="str">
            <v>CNY</v>
          </cell>
          <cell r="W98" t="str">
            <v>10,000.000</v>
          </cell>
          <cell r="X98" t="str">
            <v>10,000.000</v>
          </cell>
        </row>
        <row r="99">
          <cell r="D99">
            <v>10100011993</v>
          </cell>
          <cell r="E99" t="str">
            <v>厚膜贴片电阻器</v>
          </cell>
          <cell r="F99" t="str">
            <v>10010302</v>
          </cell>
          <cell r="G99" t="str">
            <v>FH\RES 5.1K F 1/16W 0402</v>
          </cell>
          <cell r="H99" t="str">
            <v>FH(风华)</v>
          </cell>
          <cell r="I99" t="str">
            <v>RC-02K5101FT</v>
          </cell>
          <cell r="J99" t="str">
            <v>100654</v>
          </cell>
          <cell r="K99" t="str">
            <v>广东风华高新科技股份有限公司</v>
          </cell>
          <cell r="L99" t="str">
            <v>X</v>
          </cell>
          <cell r="M99" t="str">
            <v/>
          </cell>
          <cell r="N99" t="str">
            <v>1</v>
          </cell>
          <cell r="O99" t="str">
            <v>1.100000</v>
          </cell>
          <cell r="P99" t="str">
            <v>1.10</v>
          </cell>
          <cell r="Q99" t="str">
            <v>1,000</v>
          </cell>
          <cell r="R99" t="str">
            <v>PCS</v>
          </cell>
          <cell r="S99" t="str">
            <v>42</v>
          </cell>
          <cell r="T99" t="str">
            <v>J3</v>
          </cell>
          <cell r="U99">
            <v>1.1000000000000001E-3</v>
          </cell>
          <cell r="V99" t="str">
            <v>CNY</v>
          </cell>
          <cell r="W99" t="str">
            <v>10,000.000</v>
          </cell>
          <cell r="X99" t="str">
            <v>10,000.000</v>
          </cell>
        </row>
        <row r="100">
          <cell r="D100">
            <v>10100013093</v>
          </cell>
          <cell r="E100" t="str">
            <v>厚膜贴片电阻器</v>
          </cell>
          <cell r="F100" t="str">
            <v>10010302</v>
          </cell>
          <cell r="G100" t="str">
            <v>ROYA\RES 100R F 1/16W 0402</v>
          </cell>
          <cell r="H100" t="str">
            <v>ROYALOHM(厚声)</v>
          </cell>
          <cell r="I100" t="str">
            <v>0402WGF1000TCE</v>
          </cell>
          <cell r="J100" t="str">
            <v>100096</v>
          </cell>
          <cell r="K100" t="str">
            <v>厚声国际贸易（昆山）有限公司深圳分公司</v>
          </cell>
          <cell r="L100" t="str">
            <v>X</v>
          </cell>
          <cell r="M100" t="str">
            <v/>
          </cell>
          <cell r="N100" t="str">
            <v>1</v>
          </cell>
          <cell r="O100" t="str">
            <v>1.090000</v>
          </cell>
          <cell r="P100" t="str">
            <v>1.09</v>
          </cell>
          <cell r="Q100" t="str">
            <v>1,000</v>
          </cell>
          <cell r="R100" t="str">
            <v>PCS</v>
          </cell>
          <cell r="S100" t="str">
            <v>42</v>
          </cell>
          <cell r="T100" t="str">
            <v>J3</v>
          </cell>
          <cell r="U100">
            <v>1.09E-3</v>
          </cell>
          <cell r="V100" t="str">
            <v>CNY</v>
          </cell>
          <cell r="W100" t="str">
            <v>10,000.000</v>
          </cell>
          <cell r="X100" t="str">
            <v>10,000.000</v>
          </cell>
        </row>
        <row r="101">
          <cell r="D101">
            <v>10100013936</v>
          </cell>
          <cell r="E101" t="str">
            <v>厚膜贴片电阻器</v>
          </cell>
          <cell r="F101" t="str">
            <v>10010302</v>
          </cell>
          <cell r="G101" t="str">
            <v>FH\RES 100R F 1/16W 0402</v>
          </cell>
          <cell r="H101" t="str">
            <v>FH(风华)</v>
          </cell>
          <cell r="I101" t="str">
            <v>RC-02K1000FT</v>
          </cell>
          <cell r="J101" t="str">
            <v>100654</v>
          </cell>
          <cell r="K101" t="str">
            <v>广东风华高新科技股份有限公司</v>
          </cell>
          <cell r="L101" t="str">
            <v>X</v>
          </cell>
          <cell r="M101" t="str">
            <v/>
          </cell>
          <cell r="N101" t="str">
            <v>1</v>
          </cell>
          <cell r="O101" t="str">
            <v>1.100000</v>
          </cell>
          <cell r="P101" t="str">
            <v>1.10</v>
          </cell>
          <cell r="Q101" t="str">
            <v>1,000</v>
          </cell>
          <cell r="R101" t="str">
            <v>PCS</v>
          </cell>
          <cell r="S101" t="str">
            <v>42</v>
          </cell>
          <cell r="T101" t="str">
            <v>J3</v>
          </cell>
          <cell r="U101">
            <v>1.1000000000000001E-3</v>
          </cell>
          <cell r="V101" t="str">
            <v>CNY</v>
          </cell>
          <cell r="W101" t="str">
            <v>10,000.000</v>
          </cell>
          <cell r="X101" t="str">
            <v>10,000.000</v>
          </cell>
        </row>
        <row r="102">
          <cell r="D102">
            <v>10100014735</v>
          </cell>
          <cell r="E102" t="str">
            <v>厚膜贴片电阻器</v>
          </cell>
          <cell r="F102" t="str">
            <v>10010302</v>
          </cell>
          <cell r="G102" t="str">
            <v>ROYA\RES 2K F 1/16W 0402</v>
          </cell>
          <cell r="H102" t="str">
            <v>ROYALOHM(厚声)</v>
          </cell>
          <cell r="I102" t="str">
            <v>0402WGF2001TCE</v>
          </cell>
          <cell r="J102" t="str">
            <v>100096</v>
          </cell>
          <cell r="K102" t="str">
            <v>厚声国际贸易（昆山）有限公司深圳分公司</v>
          </cell>
          <cell r="L102" t="str">
            <v>X</v>
          </cell>
          <cell r="M102" t="str">
            <v/>
          </cell>
          <cell r="N102" t="str">
            <v>1</v>
          </cell>
          <cell r="O102" t="str">
            <v>1.090000</v>
          </cell>
          <cell r="P102" t="str">
            <v>1.09</v>
          </cell>
          <cell r="Q102" t="str">
            <v>1,000</v>
          </cell>
          <cell r="R102" t="str">
            <v>PCS</v>
          </cell>
          <cell r="S102" t="str">
            <v>42</v>
          </cell>
          <cell r="T102" t="str">
            <v>J3</v>
          </cell>
          <cell r="U102">
            <v>1.09E-3</v>
          </cell>
          <cell r="V102" t="str">
            <v>CNY</v>
          </cell>
          <cell r="W102" t="str">
            <v>10,000.000</v>
          </cell>
          <cell r="X102" t="str">
            <v>10,000.000</v>
          </cell>
        </row>
        <row r="103">
          <cell r="D103">
            <v>10100017616</v>
          </cell>
          <cell r="E103" t="str">
            <v>厚膜贴片电阻器</v>
          </cell>
          <cell r="F103" t="str">
            <v>10010302</v>
          </cell>
          <cell r="G103" t="str">
            <v>HKR\RES 100R F 1/16W 0402</v>
          </cell>
          <cell r="H103" t="str">
            <v>HKR(香港电阻)</v>
          </cell>
          <cell r="I103" t="str">
            <v>RCT02100RFLF</v>
          </cell>
          <cell r="J103" t="str">
            <v>103166</v>
          </cell>
          <cell r="K103" t="str">
            <v>南充溢辉电子科技有限公司</v>
          </cell>
          <cell r="L103" t="str">
            <v>X</v>
          </cell>
          <cell r="M103" t="str">
            <v/>
          </cell>
          <cell r="N103" t="str">
            <v>1</v>
          </cell>
          <cell r="O103" t="str">
            <v>0.980000</v>
          </cell>
          <cell r="P103" t="str">
            <v>0.98</v>
          </cell>
          <cell r="Q103" t="str">
            <v>1,000</v>
          </cell>
          <cell r="R103" t="str">
            <v>PCS</v>
          </cell>
          <cell r="S103" t="str">
            <v>35</v>
          </cell>
          <cell r="T103" t="str">
            <v>J3</v>
          </cell>
          <cell r="U103">
            <v>9.7999999999999997E-4</v>
          </cell>
          <cell r="V103" t="str">
            <v>CNY</v>
          </cell>
          <cell r="W103" t="str">
            <v>10,000.000</v>
          </cell>
          <cell r="X103" t="str">
            <v>10,000.000</v>
          </cell>
        </row>
        <row r="104">
          <cell r="D104">
            <v>10100017618</v>
          </cell>
          <cell r="E104" t="str">
            <v>厚膜贴片电阻器</v>
          </cell>
          <cell r="F104" t="str">
            <v>10010302</v>
          </cell>
          <cell r="G104" t="str">
            <v>HKR\RES 10K F 1/16W 0402</v>
          </cell>
          <cell r="H104" t="str">
            <v>HKR(香港电阻)</v>
          </cell>
          <cell r="I104" t="str">
            <v>RCT0210KFLF</v>
          </cell>
          <cell r="J104" t="str">
            <v>103166</v>
          </cell>
          <cell r="K104" t="str">
            <v>南充溢辉电子科技有限公司</v>
          </cell>
          <cell r="L104" t="str">
            <v>X</v>
          </cell>
          <cell r="M104" t="str">
            <v/>
          </cell>
          <cell r="N104" t="str">
            <v>1</v>
          </cell>
          <cell r="O104" t="str">
            <v>0.980000</v>
          </cell>
          <cell r="P104" t="str">
            <v>0.98</v>
          </cell>
          <cell r="Q104" t="str">
            <v>1,000</v>
          </cell>
          <cell r="R104" t="str">
            <v>PCS</v>
          </cell>
          <cell r="S104" t="str">
            <v>35</v>
          </cell>
          <cell r="T104" t="str">
            <v>J3</v>
          </cell>
          <cell r="U104">
            <v>9.7999999999999997E-4</v>
          </cell>
          <cell r="V104" t="str">
            <v>CNY</v>
          </cell>
          <cell r="W104" t="str">
            <v>10,000.000</v>
          </cell>
          <cell r="X104" t="str">
            <v>10,000.000</v>
          </cell>
        </row>
        <row r="105">
          <cell r="D105">
            <v>10100017679</v>
          </cell>
          <cell r="E105" t="str">
            <v>厚膜贴片电阻器</v>
          </cell>
          <cell r="F105" t="str">
            <v>10010302</v>
          </cell>
          <cell r="G105" t="str">
            <v>HKR\RES 2K F 1/16W 0402</v>
          </cell>
          <cell r="H105" t="str">
            <v>HKR(香港电阻)</v>
          </cell>
          <cell r="I105" t="str">
            <v>RCT022KFLF</v>
          </cell>
          <cell r="J105" t="str">
            <v>103166</v>
          </cell>
          <cell r="K105" t="str">
            <v>南充溢辉电子科技有限公司</v>
          </cell>
          <cell r="L105" t="str">
            <v>X</v>
          </cell>
          <cell r="M105" t="str">
            <v/>
          </cell>
          <cell r="N105" t="str">
            <v>1</v>
          </cell>
          <cell r="O105" t="str">
            <v>0.980000</v>
          </cell>
          <cell r="P105" t="str">
            <v>0.98</v>
          </cell>
          <cell r="Q105" t="str">
            <v>1,000</v>
          </cell>
          <cell r="R105" t="str">
            <v>PCS</v>
          </cell>
          <cell r="S105" t="str">
            <v>35</v>
          </cell>
          <cell r="T105" t="str">
            <v>J3</v>
          </cell>
          <cell r="U105">
            <v>9.7999999999999997E-4</v>
          </cell>
          <cell r="V105" t="str">
            <v>CNY</v>
          </cell>
          <cell r="W105" t="str">
            <v>10,000.000</v>
          </cell>
          <cell r="X105" t="str">
            <v>10,000.000</v>
          </cell>
        </row>
        <row r="106">
          <cell r="D106">
            <v>10100017738</v>
          </cell>
          <cell r="E106" t="str">
            <v>厚膜贴片电阻器</v>
          </cell>
          <cell r="F106" t="str">
            <v>10010302</v>
          </cell>
          <cell r="G106" t="str">
            <v>HKR\RES 5.1K F 1/16W 0402</v>
          </cell>
          <cell r="H106" t="str">
            <v>HKR(香港电阻)</v>
          </cell>
          <cell r="I106" t="str">
            <v>RCT025K1FLF</v>
          </cell>
          <cell r="J106" t="str">
            <v>103166</v>
          </cell>
          <cell r="K106" t="str">
            <v>南充溢辉电子科技有限公司</v>
          </cell>
          <cell r="L106" t="str">
            <v>X</v>
          </cell>
          <cell r="M106" t="str">
            <v/>
          </cell>
          <cell r="N106" t="str">
            <v>1</v>
          </cell>
          <cell r="O106" t="str">
            <v>0.980000</v>
          </cell>
          <cell r="P106" t="str">
            <v>0.98</v>
          </cell>
          <cell r="Q106" t="str">
            <v>1,000</v>
          </cell>
          <cell r="R106" t="str">
            <v>PCS</v>
          </cell>
          <cell r="S106" t="str">
            <v>35</v>
          </cell>
          <cell r="T106" t="str">
            <v>J3</v>
          </cell>
          <cell r="U106">
            <v>9.7999999999999997E-4</v>
          </cell>
          <cell r="V106" t="str">
            <v>CNY</v>
          </cell>
          <cell r="W106" t="str">
            <v>10,000.000</v>
          </cell>
          <cell r="X106" t="str">
            <v>10,000.000</v>
          </cell>
        </row>
        <row r="107">
          <cell r="D107">
            <v>10100018717</v>
          </cell>
          <cell r="E107" t="str">
            <v>厚膜贴片电阻器</v>
          </cell>
          <cell r="F107" t="str">
            <v>10010302</v>
          </cell>
          <cell r="G107" t="str">
            <v>XS5\RES 5.1K F 1/16W 0402</v>
          </cell>
          <cell r="H107" t="str">
            <v>VO(翔胜)</v>
          </cell>
          <cell r="I107" t="str">
            <v>SCR0402F5101B</v>
          </cell>
          <cell r="J107" t="str">
            <v>100261</v>
          </cell>
          <cell r="K107" t="str">
            <v>安徽翔胜科技有限公司</v>
          </cell>
          <cell r="L107" t="str">
            <v>X</v>
          </cell>
          <cell r="M107" t="str">
            <v/>
          </cell>
          <cell r="N107" t="str">
            <v>1</v>
          </cell>
          <cell r="O107" t="str">
            <v>1.050000</v>
          </cell>
          <cell r="P107" t="str">
            <v>1.05</v>
          </cell>
          <cell r="Q107" t="str">
            <v>1,000</v>
          </cell>
          <cell r="R107" t="str">
            <v>PCS</v>
          </cell>
          <cell r="S107" t="str">
            <v>28</v>
          </cell>
          <cell r="T107" t="str">
            <v>J3</v>
          </cell>
          <cell r="U107">
            <v>1.0499999999999999E-3</v>
          </cell>
          <cell r="V107" t="str">
            <v>CNY</v>
          </cell>
          <cell r="W107" t="str">
            <v>10,000.000</v>
          </cell>
          <cell r="X107" t="str">
            <v>10,000.000</v>
          </cell>
        </row>
        <row r="108">
          <cell r="D108">
            <v>10100018722</v>
          </cell>
          <cell r="E108" t="str">
            <v>厚膜贴片电阻器</v>
          </cell>
          <cell r="F108" t="str">
            <v>10010302</v>
          </cell>
          <cell r="G108" t="str">
            <v>XS5\RES 10K F 1/16W 0402</v>
          </cell>
          <cell r="H108" t="str">
            <v>VO(翔胜)</v>
          </cell>
          <cell r="I108" t="str">
            <v>SCR0402F1002B</v>
          </cell>
          <cell r="J108" t="str">
            <v>100142</v>
          </cell>
          <cell r="K108" t="str">
            <v>广东翔胜电子科技有限公司</v>
          </cell>
          <cell r="L108" t="str">
            <v>X</v>
          </cell>
          <cell r="M108" t="str">
            <v/>
          </cell>
          <cell r="N108" t="str">
            <v>1</v>
          </cell>
          <cell r="O108" t="str">
            <v>1.050000</v>
          </cell>
          <cell r="P108" t="str">
            <v>1.05</v>
          </cell>
          <cell r="Q108" t="str">
            <v>1,000</v>
          </cell>
          <cell r="R108" t="str">
            <v>PCS</v>
          </cell>
          <cell r="S108" t="str">
            <v>42</v>
          </cell>
          <cell r="T108" t="str">
            <v>J3</v>
          </cell>
          <cell r="U108">
            <v>1.0499999999999999E-3</v>
          </cell>
          <cell r="V108" t="str">
            <v>CNY</v>
          </cell>
          <cell r="W108" t="str">
            <v>10,000.000</v>
          </cell>
          <cell r="X108" t="str">
            <v>10,000.000</v>
          </cell>
        </row>
        <row r="109">
          <cell r="D109">
            <v>10100019245</v>
          </cell>
          <cell r="E109" t="str">
            <v>厚膜贴片电阻器</v>
          </cell>
          <cell r="F109" t="str">
            <v>10010302</v>
          </cell>
          <cell r="G109" t="str">
            <v>XS5\RES 2K F 1/16W 0402</v>
          </cell>
          <cell r="H109" t="str">
            <v>VO(翔胜)</v>
          </cell>
          <cell r="I109" t="str">
            <v>SCR0402F2001B</v>
          </cell>
          <cell r="J109" t="str">
            <v>100261</v>
          </cell>
          <cell r="K109" t="str">
            <v>安徽翔胜科技有限公司</v>
          </cell>
          <cell r="L109" t="str">
            <v>X</v>
          </cell>
          <cell r="M109" t="str">
            <v/>
          </cell>
          <cell r="N109" t="str">
            <v>1</v>
          </cell>
          <cell r="O109" t="str">
            <v>1.050000</v>
          </cell>
          <cell r="P109" t="str">
            <v>1.05</v>
          </cell>
          <cell r="Q109" t="str">
            <v>1,000</v>
          </cell>
          <cell r="R109" t="str">
            <v>PCS</v>
          </cell>
          <cell r="S109" t="str">
            <v>28</v>
          </cell>
          <cell r="T109" t="str">
            <v>J3</v>
          </cell>
          <cell r="U109">
            <v>1.0499999999999999E-3</v>
          </cell>
          <cell r="V109" t="str">
            <v>CNY</v>
          </cell>
          <cell r="W109" t="str">
            <v>10,000.000</v>
          </cell>
          <cell r="X109" t="str">
            <v>10,000.000</v>
          </cell>
        </row>
        <row r="110">
          <cell r="D110">
            <v>10100024100</v>
          </cell>
          <cell r="E110" t="str">
            <v>厚膜贴片电阻器</v>
          </cell>
          <cell r="F110" t="str">
            <v>10010302</v>
          </cell>
          <cell r="G110" t="str">
            <v>FH\RES 0R R&lt;10mR 1/10W 0603 1A</v>
          </cell>
          <cell r="H110" t="str">
            <v>FH(风华)</v>
          </cell>
          <cell r="I110" t="str">
            <v>RS-03000FT</v>
          </cell>
          <cell r="J110" t="str">
            <v>100654</v>
          </cell>
          <cell r="K110" t="str">
            <v>广东风华高新科技股份有限公司</v>
          </cell>
          <cell r="L110" t="str">
            <v>X</v>
          </cell>
          <cell r="M110" t="str">
            <v/>
          </cell>
          <cell r="N110" t="str">
            <v>1</v>
          </cell>
          <cell r="O110" t="str">
            <v>2.080000</v>
          </cell>
          <cell r="P110" t="str">
            <v>2.08</v>
          </cell>
          <cell r="Q110" t="str">
            <v>1,000</v>
          </cell>
          <cell r="R110" t="str">
            <v>PCS</v>
          </cell>
          <cell r="S110" t="str">
            <v>42</v>
          </cell>
          <cell r="T110" t="str">
            <v>J3</v>
          </cell>
          <cell r="U110">
            <v>2.0799999999999998E-3</v>
          </cell>
          <cell r="V110" t="str">
            <v>CNY</v>
          </cell>
          <cell r="W110" t="str">
            <v>5,000.000</v>
          </cell>
          <cell r="X110" t="str">
            <v>5,000.000</v>
          </cell>
        </row>
        <row r="111">
          <cell r="D111">
            <v>10110001319</v>
          </cell>
          <cell r="E111" t="str">
            <v>贴片陶瓷电容器</v>
          </cell>
          <cell r="F111" t="str">
            <v>11060201</v>
          </cell>
          <cell r="G111" t="str">
            <v>FH\CAP Cer 1nF K X7R 50VDC 0603</v>
          </cell>
          <cell r="H111" t="str">
            <v>FH(风华)</v>
          </cell>
          <cell r="I111" t="str">
            <v>0603B102K500NT</v>
          </cell>
          <cell r="J111" t="str">
            <v>100654</v>
          </cell>
          <cell r="K111" t="str">
            <v>广东风华高新科技股份有限公司</v>
          </cell>
          <cell r="L111" t="str">
            <v>X</v>
          </cell>
          <cell r="M111" t="str">
            <v/>
          </cell>
          <cell r="N111" t="str">
            <v>1</v>
          </cell>
          <cell r="O111" t="str">
            <v>5.500000</v>
          </cell>
          <cell r="P111" t="str">
            <v>5.50</v>
          </cell>
          <cell r="Q111" t="str">
            <v>1,000</v>
          </cell>
          <cell r="R111" t="str">
            <v>PCS</v>
          </cell>
          <cell r="S111" t="str">
            <v>56</v>
          </cell>
          <cell r="T111" t="str">
            <v>J3</v>
          </cell>
          <cell r="U111">
            <v>5.4999999999999997E-3</v>
          </cell>
          <cell r="V111" t="str">
            <v>CNY</v>
          </cell>
          <cell r="W111" t="str">
            <v>4,000.000</v>
          </cell>
          <cell r="X111" t="str">
            <v>4,000.000</v>
          </cell>
        </row>
        <row r="112">
          <cell r="D112">
            <v>10110001320</v>
          </cell>
          <cell r="E112" t="str">
            <v>贴片陶瓷电容器</v>
          </cell>
          <cell r="F112" t="str">
            <v>11060201</v>
          </cell>
          <cell r="G112" t="str">
            <v>YAGEO\CAP Cer 1nF K X7R 50VDC 0603</v>
          </cell>
          <cell r="H112" t="str">
            <v>YAGEO(国巨)</v>
          </cell>
          <cell r="I112" t="str">
            <v>CC0603KRX7R9BB102</v>
          </cell>
          <cell r="J112" t="str">
            <v>101553</v>
          </cell>
          <cell r="K112" t="str">
            <v>深圳市奥特高科电子有限公司</v>
          </cell>
          <cell r="L112" t="str">
            <v>X</v>
          </cell>
          <cell r="M112" t="str">
            <v/>
          </cell>
          <cell r="N112" t="str">
            <v>1</v>
          </cell>
          <cell r="O112" t="str">
            <v>5.500000</v>
          </cell>
          <cell r="P112" t="str">
            <v>5.50</v>
          </cell>
          <cell r="Q112" t="str">
            <v>1,000</v>
          </cell>
          <cell r="R112" t="str">
            <v>PCS</v>
          </cell>
          <cell r="S112" t="str">
            <v>56</v>
          </cell>
          <cell r="T112" t="str">
            <v>J3</v>
          </cell>
          <cell r="U112">
            <v>5.4999999999999997E-3</v>
          </cell>
          <cell r="V112" t="str">
            <v>CNY</v>
          </cell>
          <cell r="W112" t="str">
            <v>4,000.000</v>
          </cell>
          <cell r="X112" t="str">
            <v>4,000.000</v>
          </cell>
        </row>
        <row r="113">
          <cell r="D113">
            <v>10110001388</v>
          </cell>
          <cell r="E113" t="str">
            <v>贴片陶瓷电容器</v>
          </cell>
          <cell r="F113" t="str">
            <v>11060201</v>
          </cell>
          <cell r="G113" t="str">
            <v>FH\CAP Cer 100nF K X7R 50VDC 0603 -55℃~&amp;</v>
          </cell>
          <cell r="H113" t="str">
            <v>FH(风华)</v>
          </cell>
          <cell r="I113" t="str">
            <v>0603B104K500NT</v>
          </cell>
          <cell r="J113" t="str">
            <v>100654</v>
          </cell>
          <cell r="K113" t="str">
            <v>广东风华高新科技股份有限公司</v>
          </cell>
          <cell r="L113" t="str">
            <v>X</v>
          </cell>
          <cell r="M113" t="str">
            <v/>
          </cell>
          <cell r="N113" t="str">
            <v>1</v>
          </cell>
          <cell r="O113" t="str">
            <v>5.500000</v>
          </cell>
          <cell r="P113" t="str">
            <v>5.50</v>
          </cell>
          <cell r="Q113" t="str">
            <v>1,000</v>
          </cell>
          <cell r="R113" t="str">
            <v>PCS</v>
          </cell>
          <cell r="S113" t="str">
            <v>42</v>
          </cell>
          <cell r="T113" t="str">
            <v>J3</v>
          </cell>
          <cell r="U113">
            <v>5.4999999999999997E-3</v>
          </cell>
          <cell r="V113" t="str">
            <v>CNY</v>
          </cell>
          <cell r="W113" t="str">
            <v>4,000.000</v>
          </cell>
          <cell r="X113" t="str">
            <v>4,000.000</v>
          </cell>
        </row>
        <row r="114">
          <cell r="D114">
            <v>10110001391</v>
          </cell>
          <cell r="E114" t="str">
            <v>贴片陶瓷电容器</v>
          </cell>
          <cell r="F114" t="str">
            <v>11060201</v>
          </cell>
          <cell r="G114" t="str">
            <v>YAGEO\CAP Cer 100nF K X7R 50VDC 0603</v>
          </cell>
          <cell r="H114" t="str">
            <v>YAGEO(国巨)</v>
          </cell>
          <cell r="I114" t="str">
            <v>CC0603KRX7R9BB104</v>
          </cell>
          <cell r="J114" t="str">
            <v>101957</v>
          </cell>
          <cell r="K114" t="str">
            <v>广东顺德集财电子有限公司</v>
          </cell>
          <cell r="L114" t="str">
            <v>X</v>
          </cell>
          <cell r="M114" t="str">
            <v/>
          </cell>
          <cell r="N114" t="str">
            <v>1</v>
          </cell>
          <cell r="O114" t="str">
            <v>6.100000</v>
          </cell>
          <cell r="P114" t="str">
            <v>6.10</v>
          </cell>
          <cell r="Q114" t="str">
            <v>1,000</v>
          </cell>
          <cell r="R114" t="str">
            <v>PCS</v>
          </cell>
          <cell r="S114" t="str">
            <v>56</v>
          </cell>
          <cell r="T114" t="str">
            <v>J3</v>
          </cell>
          <cell r="U114">
            <v>6.1000000000000004E-3</v>
          </cell>
          <cell r="V114" t="str">
            <v>CNY</v>
          </cell>
          <cell r="W114" t="str">
            <v>4,000.000</v>
          </cell>
          <cell r="X114" t="str">
            <v>4,000.000</v>
          </cell>
        </row>
        <row r="115">
          <cell r="D115">
            <v>10110003896</v>
          </cell>
          <cell r="E115" t="str">
            <v>贴片陶瓷电容器</v>
          </cell>
          <cell r="F115" t="str">
            <v>11060201</v>
          </cell>
          <cell r="G115" t="str">
            <v>YAGEO\CAP Cer 1nF K X7R 50VDC 0402</v>
          </cell>
          <cell r="H115" t="str">
            <v>YAGEO(国巨)</v>
          </cell>
          <cell r="I115" t="str">
            <v>CC0402KRX7R9BB102</v>
          </cell>
          <cell r="J115" t="str">
            <v>101553</v>
          </cell>
          <cell r="K115" t="str">
            <v>深圳市奥特高科电子有限公司</v>
          </cell>
          <cell r="L115" t="str">
            <v>X</v>
          </cell>
          <cell r="M115" t="str">
            <v/>
          </cell>
          <cell r="N115" t="str">
            <v>1</v>
          </cell>
          <cell r="O115" t="str">
            <v>2.300000</v>
          </cell>
          <cell r="P115" t="str">
            <v>2.30</v>
          </cell>
          <cell r="Q115" t="str">
            <v>1,000</v>
          </cell>
          <cell r="R115" t="str">
            <v>PCS</v>
          </cell>
          <cell r="S115" t="str">
            <v>56</v>
          </cell>
          <cell r="T115" t="str">
            <v>J3</v>
          </cell>
          <cell r="U115">
            <v>2.3E-3</v>
          </cell>
          <cell r="V115" t="str">
            <v>CNY</v>
          </cell>
          <cell r="W115" t="str">
            <v>10,000.000</v>
          </cell>
          <cell r="X115" t="str">
            <v>10,000.000</v>
          </cell>
        </row>
        <row r="116">
          <cell r="D116">
            <v>10110003943</v>
          </cell>
          <cell r="E116" t="str">
            <v>贴片陶瓷电容器</v>
          </cell>
          <cell r="F116" t="str">
            <v>11060201</v>
          </cell>
          <cell r="G116" t="str">
            <v>WALS\CAP Cer 1nF K X7R 50VDC 0603</v>
          </cell>
          <cell r="H116" t="str">
            <v>WALS(华科)</v>
          </cell>
          <cell r="I116" t="str">
            <v>0603B102K500CT</v>
          </cell>
          <cell r="J116" t="str">
            <v>100131</v>
          </cell>
          <cell r="K116" t="str">
            <v>东莞华科电子有限公司</v>
          </cell>
          <cell r="L116" t="str">
            <v>X</v>
          </cell>
          <cell r="M116" t="str">
            <v/>
          </cell>
          <cell r="N116" t="str">
            <v>1</v>
          </cell>
          <cell r="O116" t="str">
            <v>4.350000</v>
          </cell>
          <cell r="P116" t="str">
            <v>4.35</v>
          </cell>
          <cell r="Q116" t="str">
            <v>1,000</v>
          </cell>
          <cell r="R116" t="str">
            <v>PCS</v>
          </cell>
          <cell r="S116" t="str">
            <v>56</v>
          </cell>
          <cell r="T116" t="str">
            <v>J3</v>
          </cell>
          <cell r="U116">
            <v>4.3499999999999997E-3</v>
          </cell>
          <cell r="V116" t="str">
            <v>CNY</v>
          </cell>
          <cell r="W116" t="str">
            <v>4,000.000</v>
          </cell>
          <cell r="X116" t="str">
            <v>4,000.000</v>
          </cell>
        </row>
        <row r="117">
          <cell r="D117">
            <v>10110003944</v>
          </cell>
          <cell r="E117" t="str">
            <v>贴片陶瓷电容器</v>
          </cell>
          <cell r="F117" t="str">
            <v>11060201</v>
          </cell>
          <cell r="G117" t="str">
            <v>WALS\CAP Cer 100nF K X7R 50VDC 0603 -55&amp;</v>
          </cell>
          <cell r="H117" t="str">
            <v>WALS(华科)</v>
          </cell>
          <cell r="I117" t="str">
            <v>0603B104K500CT</v>
          </cell>
          <cell r="J117" t="str">
            <v>100131</v>
          </cell>
          <cell r="K117" t="str">
            <v>东莞华科电子有限公司</v>
          </cell>
          <cell r="L117" t="str">
            <v>X</v>
          </cell>
          <cell r="M117" t="str">
            <v/>
          </cell>
          <cell r="N117" t="str">
            <v>1</v>
          </cell>
          <cell r="O117" t="str">
            <v>5.430000</v>
          </cell>
          <cell r="P117" t="str">
            <v>5.43</v>
          </cell>
          <cell r="Q117" t="str">
            <v>1,000</v>
          </cell>
          <cell r="R117" t="str">
            <v>PCS</v>
          </cell>
          <cell r="S117" t="str">
            <v>56</v>
          </cell>
          <cell r="T117" t="str">
            <v>J3</v>
          </cell>
          <cell r="U117">
            <v>5.4299999999999999E-3</v>
          </cell>
          <cell r="V117" t="str">
            <v>CNY</v>
          </cell>
          <cell r="W117" t="str">
            <v>4,000.000</v>
          </cell>
          <cell r="X117" t="str">
            <v>4,000.000</v>
          </cell>
        </row>
        <row r="118">
          <cell r="D118">
            <v>10110004932</v>
          </cell>
          <cell r="E118" t="str">
            <v>贴片陶瓷电容器</v>
          </cell>
          <cell r="F118" t="str">
            <v>11060201</v>
          </cell>
          <cell r="G118" t="str">
            <v>WALS\CAP Cer 100pF K X7R 50VDC 0603</v>
          </cell>
          <cell r="H118" t="str">
            <v>WALS(华科)</v>
          </cell>
          <cell r="I118" t="str">
            <v>0603B101K500CT</v>
          </cell>
          <cell r="J118" t="str">
            <v>100131</v>
          </cell>
          <cell r="K118" t="str">
            <v>东莞华科电子有限公司</v>
          </cell>
          <cell r="L118" t="str">
            <v>X</v>
          </cell>
          <cell r="M118" t="str">
            <v/>
          </cell>
          <cell r="N118" t="str">
            <v>1</v>
          </cell>
          <cell r="O118" t="str">
            <v>6.220000</v>
          </cell>
          <cell r="P118" t="str">
            <v>6.22</v>
          </cell>
          <cell r="Q118" t="str">
            <v>1,000</v>
          </cell>
          <cell r="R118" t="str">
            <v>PCS</v>
          </cell>
          <cell r="S118" t="str">
            <v>56</v>
          </cell>
          <cell r="T118" t="str">
            <v>J3</v>
          </cell>
          <cell r="U118">
            <v>6.2199999999999998E-3</v>
          </cell>
          <cell r="V118" t="str">
            <v>CNY</v>
          </cell>
          <cell r="W118" t="str">
            <v>4,000.000</v>
          </cell>
          <cell r="X118" t="str">
            <v>4,000.000</v>
          </cell>
        </row>
        <row r="119">
          <cell r="D119">
            <v>10110005817</v>
          </cell>
          <cell r="E119" t="str">
            <v>贴片陶瓷电容器</v>
          </cell>
          <cell r="F119" t="str">
            <v>11060201</v>
          </cell>
          <cell r="G119" t="str">
            <v>WALS\CAP Cer 1nF K X7R 50VDC 0402</v>
          </cell>
          <cell r="H119" t="str">
            <v>WALS(华科)</v>
          </cell>
          <cell r="I119" t="str">
            <v>0402B102K500CT</v>
          </cell>
          <cell r="J119" t="str">
            <v>100131</v>
          </cell>
          <cell r="K119" t="str">
            <v>东莞华科电子有限公司</v>
          </cell>
          <cell r="L119" t="str">
            <v>X</v>
          </cell>
          <cell r="M119" t="str">
            <v/>
          </cell>
          <cell r="N119" t="str">
            <v>1</v>
          </cell>
          <cell r="O119" t="str">
            <v>1.980000</v>
          </cell>
          <cell r="P119" t="str">
            <v>1.98</v>
          </cell>
          <cell r="Q119" t="str">
            <v>1,000</v>
          </cell>
          <cell r="R119" t="str">
            <v>PCS</v>
          </cell>
          <cell r="S119" t="str">
            <v>56</v>
          </cell>
          <cell r="T119" t="str">
            <v>J3</v>
          </cell>
          <cell r="U119">
            <v>1.98E-3</v>
          </cell>
          <cell r="V119" t="str">
            <v>CNY</v>
          </cell>
          <cell r="W119" t="str">
            <v>10,000.000</v>
          </cell>
          <cell r="X119" t="str">
            <v>10,000.000</v>
          </cell>
        </row>
        <row r="120">
          <cell r="D120">
            <v>10110007822</v>
          </cell>
          <cell r="E120" t="str">
            <v>贴片陶瓷电容器</v>
          </cell>
          <cell r="F120" t="str">
            <v>11060201</v>
          </cell>
          <cell r="G120" t="str">
            <v>SAMS\CAP Cer 1nF K X7R 50VDC 0402</v>
          </cell>
          <cell r="H120" t="str">
            <v>SAMSUNG(三星)</v>
          </cell>
          <cell r="I120" t="str">
            <v>CL05B102KB5NNNC</v>
          </cell>
          <cell r="J120" t="str">
            <v>101957</v>
          </cell>
          <cell r="K120" t="str">
            <v>广东顺德集财电子有限公司</v>
          </cell>
          <cell r="L120" t="str">
            <v>X</v>
          </cell>
          <cell r="M120" t="str">
            <v/>
          </cell>
          <cell r="N120" t="str">
            <v>1</v>
          </cell>
          <cell r="O120" t="str">
            <v>2.400000</v>
          </cell>
          <cell r="P120" t="str">
            <v>2.40</v>
          </cell>
          <cell r="Q120" t="str">
            <v>1,000</v>
          </cell>
          <cell r="R120" t="str">
            <v>PCS</v>
          </cell>
          <cell r="S120" t="str">
            <v>56</v>
          </cell>
          <cell r="T120" t="str">
            <v>J3</v>
          </cell>
          <cell r="U120">
            <v>2.3999999999999998E-3</v>
          </cell>
          <cell r="V120" t="str">
            <v>CNY</v>
          </cell>
          <cell r="W120" t="str">
            <v>10,000.000</v>
          </cell>
          <cell r="X120" t="str">
            <v>10,000.000</v>
          </cell>
        </row>
        <row r="121">
          <cell r="D121">
            <v>10110008734</v>
          </cell>
          <cell r="E121" t="str">
            <v>贴片陶瓷电容器</v>
          </cell>
          <cell r="F121" t="str">
            <v>11060201</v>
          </cell>
          <cell r="G121" t="str">
            <v>FH\CAP Cer 1nF K X7R 50VDC 0402</v>
          </cell>
          <cell r="H121" t="str">
            <v>FH(风华)</v>
          </cell>
          <cell r="I121" t="str">
            <v>0402B102K500NT</v>
          </cell>
          <cell r="J121" t="str">
            <v>100599</v>
          </cell>
          <cell r="K121" t="str">
            <v>深圳市天河星供应链有限公司</v>
          </cell>
          <cell r="L121" t="str">
            <v>X</v>
          </cell>
          <cell r="M121" t="str">
            <v/>
          </cell>
          <cell r="N121" t="str">
            <v>1</v>
          </cell>
          <cell r="O121" t="str">
            <v>2.100000</v>
          </cell>
          <cell r="P121" t="str">
            <v>2.10</v>
          </cell>
          <cell r="Q121" t="str">
            <v>1,000</v>
          </cell>
          <cell r="R121" t="str">
            <v>PCS</v>
          </cell>
          <cell r="S121" t="str">
            <v>56</v>
          </cell>
          <cell r="T121" t="str">
            <v>J3</v>
          </cell>
          <cell r="U121">
            <v>2.0999999999999999E-3</v>
          </cell>
          <cell r="V121" t="str">
            <v>CNY</v>
          </cell>
          <cell r="W121" t="str">
            <v>10,000.000</v>
          </cell>
          <cell r="X121" t="str">
            <v>10,000.000</v>
          </cell>
        </row>
        <row r="122">
          <cell r="D122">
            <v>10110008872</v>
          </cell>
          <cell r="E122" t="str">
            <v>贴片陶瓷电容器</v>
          </cell>
          <cell r="F122" t="str">
            <v>11060201</v>
          </cell>
          <cell r="G122" t="str">
            <v>FH\CAP Cer 100pF K X7R 50VDC 0603</v>
          </cell>
          <cell r="H122" t="str">
            <v>FH(风华)</v>
          </cell>
          <cell r="I122" t="str">
            <v>0603B101K500NT</v>
          </cell>
          <cell r="J122" t="str">
            <v>100654</v>
          </cell>
          <cell r="K122" t="str">
            <v>广东风华高新科技股份有限公司</v>
          </cell>
          <cell r="L122" t="str">
            <v>X</v>
          </cell>
          <cell r="M122" t="str">
            <v/>
          </cell>
          <cell r="N122" t="str">
            <v>1</v>
          </cell>
          <cell r="O122" t="str">
            <v>5.800000</v>
          </cell>
          <cell r="P122" t="str">
            <v>5.80</v>
          </cell>
          <cell r="Q122" t="str">
            <v>1,000</v>
          </cell>
          <cell r="R122" t="str">
            <v>PCS</v>
          </cell>
          <cell r="S122" t="str">
            <v>56</v>
          </cell>
          <cell r="T122" t="str">
            <v>J3</v>
          </cell>
          <cell r="U122">
            <v>5.7999999999999996E-3</v>
          </cell>
          <cell r="V122" t="str">
            <v>CNY</v>
          </cell>
          <cell r="W122" t="str">
            <v>4,000.000</v>
          </cell>
          <cell r="X122" t="str">
            <v>4,000.000</v>
          </cell>
        </row>
        <row r="123">
          <cell r="D123">
            <v>10110011281</v>
          </cell>
          <cell r="E123" t="str">
            <v>贴片陶瓷电容器</v>
          </cell>
          <cell r="F123" t="str">
            <v>11060201</v>
          </cell>
          <cell r="G123" t="str">
            <v>SH3\CAP Cer 1nF K X7R 50VDC 0603</v>
          </cell>
          <cell r="H123" t="str">
            <v>CCTC(三环)</v>
          </cell>
          <cell r="I123" t="str">
            <v>TCC0603X7R102K500CT</v>
          </cell>
          <cell r="J123" t="str">
            <v>102178</v>
          </cell>
          <cell r="K123" t="str">
            <v>潮州三环（集团）股份有限公司</v>
          </cell>
          <cell r="L123" t="str">
            <v>X</v>
          </cell>
          <cell r="M123" t="str">
            <v/>
          </cell>
          <cell r="N123" t="str">
            <v>1</v>
          </cell>
          <cell r="O123" t="str">
            <v>5.450000</v>
          </cell>
          <cell r="P123" t="str">
            <v>5.45</v>
          </cell>
          <cell r="Q123" t="str">
            <v>1,000</v>
          </cell>
          <cell r="R123" t="str">
            <v>PCS</v>
          </cell>
          <cell r="S123" t="str">
            <v>56</v>
          </cell>
          <cell r="T123" t="str">
            <v>J3</v>
          </cell>
          <cell r="U123">
            <v>5.45E-3</v>
          </cell>
          <cell r="V123" t="str">
            <v>CNY</v>
          </cell>
          <cell r="W123" t="str">
            <v>4,000.000</v>
          </cell>
          <cell r="X123" t="str">
            <v>4,000.000</v>
          </cell>
        </row>
        <row r="124">
          <cell r="D124">
            <v>10110011283</v>
          </cell>
          <cell r="E124" t="str">
            <v>贴片陶瓷电容器</v>
          </cell>
          <cell r="F124" t="str">
            <v>11060201</v>
          </cell>
          <cell r="G124" t="str">
            <v>SH3\CAP Cer 100nF K X7R 50VDC 0603 -55℃&amp;</v>
          </cell>
          <cell r="H124" t="str">
            <v>CCTC(三环)</v>
          </cell>
          <cell r="I124" t="str">
            <v>TCC0603X7R104K500CT</v>
          </cell>
          <cell r="J124" t="str">
            <v>102178</v>
          </cell>
          <cell r="K124" t="str">
            <v>潮州三环（集团）股份有限公司</v>
          </cell>
          <cell r="L124" t="str">
            <v>X</v>
          </cell>
          <cell r="M124" t="str">
            <v/>
          </cell>
          <cell r="N124" t="str">
            <v>1</v>
          </cell>
          <cell r="O124" t="str">
            <v>5.150000</v>
          </cell>
          <cell r="P124" t="str">
            <v>5.15</v>
          </cell>
          <cell r="Q124" t="str">
            <v>1,000</v>
          </cell>
          <cell r="R124" t="str">
            <v>PCS</v>
          </cell>
          <cell r="S124" t="str">
            <v>56</v>
          </cell>
          <cell r="T124" t="str">
            <v>J3</v>
          </cell>
          <cell r="U124">
            <v>5.1500000000000001E-3</v>
          </cell>
          <cell r="V124" t="str">
            <v>CNY</v>
          </cell>
          <cell r="W124" t="str">
            <v>4,000.000</v>
          </cell>
          <cell r="X124" t="str">
            <v>4,000.000</v>
          </cell>
        </row>
        <row r="125">
          <cell r="D125">
            <v>10110012149</v>
          </cell>
          <cell r="E125" t="str">
            <v>贴片陶瓷电容器</v>
          </cell>
          <cell r="F125" t="str">
            <v>11060201</v>
          </cell>
          <cell r="G125" t="str">
            <v>SH3\CAP Cer 1nF K X7R 50VDC 0402</v>
          </cell>
          <cell r="H125" t="str">
            <v>CCTC(三环)</v>
          </cell>
          <cell r="I125" t="str">
            <v>TCC0402X7R102K500AT</v>
          </cell>
          <cell r="J125" t="str">
            <v>102178</v>
          </cell>
          <cell r="K125" t="str">
            <v>潮州三环（集团）股份有限公司</v>
          </cell>
          <cell r="L125" t="str">
            <v>X</v>
          </cell>
          <cell r="M125" t="str">
            <v/>
          </cell>
          <cell r="N125" t="str">
            <v>1</v>
          </cell>
          <cell r="O125" t="str">
            <v>1.850000</v>
          </cell>
          <cell r="P125" t="str">
            <v>1.85</v>
          </cell>
          <cell r="Q125" t="str">
            <v>1,000</v>
          </cell>
          <cell r="R125" t="str">
            <v>PCS</v>
          </cell>
          <cell r="S125" t="str">
            <v>56</v>
          </cell>
          <cell r="T125" t="str">
            <v>J3</v>
          </cell>
          <cell r="U125">
            <v>1.8500000000000001E-3</v>
          </cell>
          <cell r="V125" t="str">
            <v>CNY</v>
          </cell>
          <cell r="W125" t="str">
            <v>10,000.000</v>
          </cell>
          <cell r="X125" t="str">
            <v>10,000.000</v>
          </cell>
        </row>
        <row r="126">
          <cell r="D126">
            <v>10110012151</v>
          </cell>
          <cell r="E126" t="str">
            <v>贴片陶瓷电容器</v>
          </cell>
          <cell r="F126" t="str">
            <v>11060201</v>
          </cell>
          <cell r="G126" t="str">
            <v>SH3\CAP Cer 100nF K X7R 50VDC 0603</v>
          </cell>
          <cell r="H126" t="str">
            <v>CCTC(三环)</v>
          </cell>
          <cell r="I126" t="str">
            <v>TCC0603X7R104K500CT</v>
          </cell>
          <cell r="J126" t="str">
            <v>102178</v>
          </cell>
          <cell r="K126" t="str">
            <v>潮州三环（集团）股份有限公司</v>
          </cell>
          <cell r="L126" t="str">
            <v>X</v>
          </cell>
          <cell r="M126" t="str">
            <v/>
          </cell>
          <cell r="N126" t="str">
            <v>1</v>
          </cell>
          <cell r="O126" t="str">
            <v>5.150000</v>
          </cell>
          <cell r="P126" t="str">
            <v>5.15</v>
          </cell>
          <cell r="Q126" t="str">
            <v>1,000</v>
          </cell>
          <cell r="R126" t="str">
            <v>PCS</v>
          </cell>
          <cell r="S126" t="str">
            <v>56</v>
          </cell>
          <cell r="T126" t="str">
            <v>J3</v>
          </cell>
          <cell r="U126">
            <v>5.1500000000000001E-3</v>
          </cell>
          <cell r="V126" t="str">
            <v>CNY</v>
          </cell>
          <cell r="W126" t="str">
            <v>4,000.000</v>
          </cell>
          <cell r="X126" t="str">
            <v>4,000.000</v>
          </cell>
        </row>
        <row r="127">
          <cell r="D127">
            <v>10110013284</v>
          </cell>
          <cell r="E127" t="str">
            <v>贴片陶瓷电容器</v>
          </cell>
          <cell r="F127" t="str">
            <v>11060201</v>
          </cell>
          <cell r="G127" t="str">
            <v>SH3\CAP Cer 100pF K X7R 50VDC 0603</v>
          </cell>
          <cell r="H127" t="str">
            <v>CCTC(三环)</v>
          </cell>
          <cell r="I127" t="str">
            <v>TCC0603X7R101K500CT</v>
          </cell>
          <cell r="J127" t="str">
            <v>102178</v>
          </cell>
          <cell r="K127" t="str">
            <v>潮州三环（集团）股份有限公司</v>
          </cell>
          <cell r="L127" t="str">
            <v>X</v>
          </cell>
          <cell r="M127" t="str">
            <v/>
          </cell>
          <cell r="N127" t="str">
            <v>1</v>
          </cell>
          <cell r="O127" t="str">
            <v>5.800000</v>
          </cell>
          <cell r="P127" t="str">
            <v>5.80</v>
          </cell>
          <cell r="Q127" t="str">
            <v>1,000</v>
          </cell>
          <cell r="R127" t="str">
            <v>PCS</v>
          </cell>
          <cell r="S127" t="str">
            <v>56</v>
          </cell>
          <cell r="T127" t="str">
            <v>J3</v>
          </cell>
          <cell r="U127">
            <v>5.7999999999999996E-3</v>
          </cell>
          <cell r="V127" t="str">
            <v>CNY</v>
          </cell>
          <cell r="W127" t="str">
            <v>4,000.000</v>
          </cell>
          <cell r="X127" t="str">
            <v>4,000.000</v>
          </cell>
        </row>
        <row r="128">
          <cell r="D128">
            <v>10110015554</v>
          </cell>
          <cell r="E128" t="str">
            <v>贴片陶瓷电容器</v>
          </cell>
          <cell r="F128" t="str">
            <v>11060201</v>
          </cell>
          <cell r="G128" t="str">
            <v>YAGEO\CAP Cer 100pF K X7R 50VDC 0603</v>
          </cell>
          <cell r="H128" t="str">
            <v>YAGEO(国巨)</v>
          </cell>
          <cell r="I128" t="str">
            <v>CC0603KRX7R9BB101</v>
          </cell>
          <cell r="J128" t="str">
            <v>100621</v>
          </cell>
          <cell r="K128" t="str">
            <v>深圳市吉利通电子有限公司</v>
          </cell>
          <cell r="L128" t="str">
            <v>X</v>
          </cell>
          <cell r="M128" t="str">
            <v/>
          </cell>
          <cell r="N128" t="str">
            <v>1</v>
          </cell>
          <cell r="O128" t="str">
            <v>5.960000</v>
          </cell>
          <cell r="P128" t="str">
            <v>5.96</v>
          </cell>
          <cell r="Q128" t="str">
            <v>1,000</v>
          </cell>
          <cell r="R128" t="str">
            <v>PCS</v>
          </cell>
          <cell r="S128" t="str">
            <v>56</v>
          </cell>
          <cell r="T128" t="str">
            <v>J3</v>
          </cell>
          <cell r="U128">
            <v>5.96E-3</v>
          </cell>
          <cell r="V128" t="str">
            <v>CNY</v>
          </cell>
          <cell r="W128" t="str">
            <v>4,000.000</v>
          </cell>
          <cell r="X128" t="str">
            <v>4,000.000</v>
          </cell>
        </row>
        <row r="129">
          <cell r="D129">
            <v>10110020767</v>
          </cell>
          <cell r="E129" t="str">
            <v>贴片陶瓷电容器</v>
          </cell>
          <cell r="F129" t="str">
            <v>11060201</v>
          </cell>
          <cell r="G129" t="str">
            <v>YAGEO\CAP Cer 1uF K X7R 10VDC 0402</v>
          </cell>
          <cell r="H129" t="str">
            <v>YAGEO(国巨)</v>
          </cell>
          <cell r="I129" t="str">
            <v>CC0402KRX7R6BB105</v>
          </cell>
          <cell r="J129" t="str">
            <v>101957</v>
          </cell>
          <cell r="K129" t="str">
            <v>广东顺德集财电子有限公司</v>
          </cell>
          <cell r="L129" t="str">
            <v>X</v>
          </cell>
          <cell r="M129" t="str">
            <v/>
          </cell>
          <cell r="N129" t="str">
            <v>1</v>
          </cell>
          <cell r="O129" t="str">
            <v>55.400000</v>
          </cell>
          <cell r="P129" t="str">
            <v>55.40</v>
          </cell>
          <cell r="Q129" t="str">
            <v>1,000</v>
          </cell>
          <cell r="R129" t="str">
            <v>PCS</v>
          </cell>
          <cell r="S129" t="str">
            <v>84</v>
          </cell>
          <cell r="T129" t="str">
            <v>J3</v>
          </cell>
          <cell r="U129">
            <v>5.5399999999999998E-2</v>
          </cell>
          <cell r="V129" t="str">
            <v>CNY</v>
          </cell>
          <cell r="W129" t="str">
            <v>10,000.000</v>
          </cell>
          <cell r="X129" t="str">
            <v>10,000.000</v>
          </cell>
        </row>
        <row r="130">
          <cell r="D130">
            <v>10110027253</v>
          </cell>
          <cell r="E130" t="str">
            <v>贴片陶瓷电容器</v>
          </cell>
          <cell r="F130" t="str">
            <v>11060201</v>
          </cell>
          <cell r="G130" t="str">
            <v>FH\CAP Cer 1uF K X7R 10VDC 0402 -55℃~12&amp;</v>
          </cell>
          <cell r="H130" t="str">
            <v>FH(风华)</v>
          </cell>
          <cell r="I130" t="str">
            <v>0402B105K100NT</v>
          </cell>
          <cell r="J130" t="str">
            <v>100654</v>
          </cell>
          <cell r="K130" t="str">
            <v>广东风华高新科技股份有限公司</v>
          </cell>
          <cell r="L130" t="str">
            <v>X</v>
          </cell>
          <cell r="M130" t="str">
            <v/>
          </cell>
          <cell r="N130" t="str">
            <v>1</v>
          </cell>
          <cell r="O130" t="str">
            <v>16.000000</v>
          </cell>
          <cell r="P130" t="str">
            <v>16.00</v>
          </cell>
          <cell r="Q130" t="str">
            <v>1,000</v>
          </cell>
          <cell r="R130" t="str">
            <v>PCS</v>
          </cell>
          <cell r="S130" t="str">
            <v>42</v>
          </cell>
          <cell r="T130" t="str">
            <v>J3</v>
          </cell>
          <cell r="U130">
            <v>1.6E-2</v>
          </cell>
          <cell r="V130" t="str">
            <v>CNY</v>
          </cell>
          <cell r="W130" t="str">
            <v>10,000.000</v>
          </cell>
          <cell r="X130" t="str">
            <v>10,000.000</v>
          </cell>
        </row>
        <row r="131">
          <cell r="D131">
            <v>10160006989</v>
          </cell>
          <cell r="E131" t="str">
            <v>贴片方顶可见光LED</v>
          </cell>
          <cell r="F131" t="str">
            <v>16020205</v>
          </cell>
          <cell r="G131" t="str">
            <v>REFO\LED 0603 红光 无色 透明 高亮</v>
          </cell>
          <cell r="H131" t="str">
            <v>RF(瑞丰)</v>
          </cell>
          <cell r="I131" t="str">
            <v>RF-OUB191TB-CE-B0-EL</v>
          </cell>
          <cell r="J131" t="str">
            <v>101693</v>
          </cell>
          <cell r="K131" t="str">
            <v>浙江瑞丰光电有限公司</v>
          </cell>
          <cell r="L131" t="str">
            <v>X</v>
          </cell>
          <cell r="M131" t="str">
            <v/>
          </cell>
          <cell r="N131" t="str">
            <v>1</v>
          </cell>
          <cell r="O131" t="str">
            <v>48.400000</v>
          </cell>
          <cell r="P131" t="str">
            <v>48.40</v>
          </cell>
          <cell r="Q131" t="str">
            <v>1,000</v>
          </cell>
          <cell r="R131" t="str">
            <v>PCS</v>
          </cell>
          <cell r="S131" t="str">
            <v>28</v>
          </cell>
          <cell r="T131" t="str">
            <v>J3</v>
          </cell>
          <cell r="U131">
            <v>4.8399999999999999E-2</v>
          </cell>
          <cell r="V131" t="str">
            <v>CNY</v>
          </cell>
          <cell r="W131" t="str">
            <v>12,000.000</v>
          </cell>
          <cell r="X131" t="str">
            <v>12,000.000</v>
          </cell>
        </row>
        <row r="132">
          <cell r="D132">
            <v>10160007809</v>
          </cell>
          <cell r="E132" t="str">
            <v>贴片方顶可见光LED</v>
          </cell>
          <cell r="F132" t="str">
            <v>16020205</v>
          </cell>
          <cell r="G132" t="str">
            <v>CL\LED 0603 白光 黄色 雾状 超高亮</v>
          </cell>
          <cell r="H132" t="str">
            <v>CL(长利)</v>
          </cell>
          <cell r="I132" t="str">
            <v>CL-0603W/YY-BDK-HET-J8</v>
          </cell>
          <cell r="J132" t="str">
            <v>100436</v>
          </cell>
          <cell r="K132" t="str">
            <v>广东长利光电科技有限公司</v>
          </cell>
          <cell r="L132" t="str">
            <v>X</v>
          </cell>
          <cell r="M132" t="str">
            <v/>
          </cell>
          <cell r="N132" t="str">
            <v>1</v>
          </cell>
          <cell r="O132" t="str">
            <v>26.000000</v>
          </cell>
          <cell r="P132" t="str">
            <v>26.00</v>
          </cell>
          <cell r="Q132" t="str">
            <v>1,000</v>
          </cell>
          <cell r="R132" t="str">
            <v>PCS</v>
          </cell>
          <cell r="S132" t="str">
            <v>17</v>
          </cell>
          <cell r="T132" t="str">
            <v>J3</v>
          </cell>
          <cell r="U132">
            <v>2.5999999999999999E-2</v>
          </cell>
          <cell r="V132" t="str">
            <v>CNY</v>
          </cell>
          <cell r="W132" t="str">
            <v>4,000.000</v>
          </cell>
          <cell r="X132" t="str">
            <v>4,000.000</v>
          </cell>
        </row>
        <row r="133">
          <cell r="D133">
            <v>10160007865</v>
          </cell>
          <cell r="E133" t="str">
            <v>贴片方顶可见光LED</v>
          </cell>
          <cell r="F133" t="str">
            <v>16020205</v>
          </cell>
          <cell r="G133" t="str">
            <v>CL\LED 0603 红光 无色 透明 超高亮</v>
          </cell>
          <cell r="H133" t="str">
            <v>CL(长利)</v>
          </cell>
          <cell r="I133" t="str">
            <v>CL-0603R/YY-J8</v>
          </cell>
          <cell r="J133" t="str">
            <v>100436</v>
          </cell>
          <cell r="K133" t="str">
            <v>广东长利光电科技有限公司</v>
          </cell>
          <cell r="L133" t="str">
            <v>X</v>
          </cell>
          <cell r="M133" t="str">
            <v/>
          </cell>
          <cell r="N133" t="str">
            <v>1</v>
          </cell>
          <cell r="O133" t="str">
            <v>27.500000</v>
          </cell>
          <cell r="P133" t="str">
            <v>27.50</v>
          </cell>
          <cell r="Q133" t="str">
            <v>1,000</v>
          </cell>
          <cell r="R133" t="str">
            <v>PCS</v>
          </cell>
          <cell r="S133" t="str">
            <v>14</v>
          </cell>
          <cell r="T133" t="str">
            <v>J3</v>
          </cell>
          <cell r="U133">
            <v>2.75E-2</v>
          </cell>
          <cell r="V133" t="str">
            <v>CNY</v>
          </cell>
          <cell r="W133" t="str">
            <v>4,000.000</v>
          </cell>
          <cell r="X133" t="str">
            <v>4,000.000</v>
          </cell>
        </row>
        <row r="134">
          <cell r="D134">
            <v>10100005708</v>
          </cell>
          <cell r="E134" t="str">
            <v>厚膜贴片电阻器</v>
          </cell>
          <cell r="F134" t="str">
            <v>10010302</v>
          </cell>
          <cell r="G134" t="str">
            <v>YAGEO\RES 10K F 1/16W 0402</v>
          </cell>
          <cell r="H134" t="str">
            <v>YAGEO(国巨)</v>
          </cell>
          <cell r="I134" t="str">
            <v>RC0402FR-0710KL</v>
          </cell>
          <cell r="J134" t="str">
            <v>101553</v>
          </cell>
          <cell r="K134" t="str">
            <v>深圳市奥特高科电子有限公司</v>
          </cell>
          <cell r="L134" t="str">
            <v>X</v>
          </cell>
          <cell r="M134" t="str">
            <v/>
          </cell>
          <cell r="N134" t="str">
            <v>1</v>
          </cell>
          <cell r="O134" t="str">
            <v>1.300000</v>
          </cell>
          <cell r="P134" t="str">
            <v>1.30</v>
          </cell>
          <cell r="Q134" t="str">
            <v>1,000</v>
          </cell>
          <cell r="R134" t="str">
            <v>PCS</v>
          </cell>
          <cell r="S134" t="str">
            <v>56</v>
          </cell>
          <cell r="T134" t="str">
            <v>J3</v>
          </cell>
          <cell r="U134">
            <v>1.2999999999999999E-3</v>
          </cell>
          <cell r="V134" t="str">
            <v>CNY</v>
          </cell>
          <cell r="W134" t="str">
            <v>10,000.000</v>
          </cell>
          <cell r="X134" t="str">
            <v>10,000.000</v>
          </cell>
        </row>
        <row r="135">
          <cell r="D135">
            <v>10100005795</v>
          </cell>
          <cell r="E135" t="str">
            <v>厚膜贴片电阻器</v>
          </cell>
          <cell r="F135" t="str">
            <v>10010302</v>
          </cell>
          <cell r="G135" t="str">
            <v>FH\RES 10K F 1/16W 0402</v>
          </cell>
          <cell r="H135" t="str">
            <v>FH(风华)</v>
          </cell>
          <cell r="I135" t="str">
            <v>RC-02K1002FT</v>
          </cell>
          <cell r="J135" t="str">
            <v>100654</v>
          </cell>
          <cell r="K135" t="str">
            <v>广东风华高新科技股份有限公司</v>
          </cell>
          <cell r="L135" t="str">
            <v>X</v>
          </cell>
          <cell r="M135" t="str">
            <v/>
          </cell>
          <cell r="N135" t="str">
            <v>1</v>
          </cell>
          <cell r="O135" t="str">
            <v>1.100000</v>
          </cell>
          <cell r="P135" t="str">
            <v>1.10</v>
          </cell>
          <cell r="Q135" t="str">
            <v>1,000</v>
          </cell>
          <cell r="R135" t="str">
            <v>PCS</v>
          </cell>
          <cell r="S135" t="str">
            <v>56</v>
          </cell>
          <cell r="T135" t="str">
            <v>J3</v>
          </cell>
          <cell r="U135">
            <v>1.1000000000000001E-3</v>
          </cell>
          <cell r="V135" t="str">
            <v>CNY</v>
          </cell>
          <cell r="W135" t="str">
            <v>10,000.000</v>
          </cell>
          <cell r="X135" t="str">
            <v>10,000.000</v>
          </cell>
        </row>
        <row r="136">
          <cell r="D136">
            <v>10100007615</v>
          </cell>
          <cell r="E136" t="str">
            <v>厚膜贴片电阻器</v>
          </cell>
          <cell r="F136" t="str">
            <v>10010302</v>
          </cell>
          <cell r="G136" t="str">
            <v>YAGEO\RES 100R F 1/16W 0402</v>
          </cell>
          <cell r="H136" t="str">
            <v>YAGEO(国巨)</v>
          </cell>
          <cell r="I136" t="str">
            <v>RC0402FR-07100RL</v>
          </cell>
          <cell r="J136" t="str">
            <v>100078</v>
          </cell>
          <cell r="K136" t="str">
            <v>深圳市超利维实业有限公司</v>
          </cell>
          <cell r="L136" t="str">
            <v>X</v>
          </cell>
          <cell r="M136" t="str">
            <v/>
          </cell>
          <cell r="N136" t="str">
            <v>1</v>
          </cell>
          <cell r="O136" t="str">
            <v>1.400000</v>
          </cell>
          <cell r="P136" t="str">
            <v>1.40</v>
          </cell>
          <cell r="Q136" t="str">
            <v>1,000</v>
          </cell>
          <cell r="R136" t="str">
            <v>PCS</v>
          </cell>
          <cell r="S136" t="str">
            <v>56</v>
          </cell>
          <cell r="T136" t="str">
            <v>J3</v>
          </cell>
          <cell r="U136">
            <v>1.4E-3</v>
          </cell>
          <cell r="V136" t="str">
            <v>CNY</v>
          </cell>
          <cell r="W136" t="str">
            <v>10,000.000</v>
          </cell>
          <cell r="X136" t="str">
            <v>10,000.000</v>
          </cell>
        </row>
        <row r="137">
          <cell r="D137">
            <v>10100008302</v>
          </cell>
          <cell r="E137" t="str">
            <v>厚膜贴片电阻器</v>
          </cell>
          <cell r="F137" t="str">
            <v>10010302</v>
          </cell>
          <cell r="G137" t="str">
            <v>WALS\RES 100R F 1/16W 0402</v>
          </cell>
          <cell r="H137" t="str">
            <v>WALS(华科)</v>
          </cell>
          <cell r="I137" t="str">
            <v>WR04X1000FTL</v>
          </cell>
          <cell r="J137" t="str">
            <v>100131</v>
          </cell>
          <cell r="K137" t="str">
            <v>东莞华科电子有限公司</v>
          </cell>
          <cell r="L137" t="str">
            <v>X</v>
          </cell>
          <cell r="M137" t="str">
            <v/>
          </cell>
          <cell r="N137" t="str">
            <v>1</v>
          </cell>
          <cell r="O137" t="str">
            <v>1.170000</v>
          </cell>
          <cell r="P137" t="str">
            <v>1.17</v>
          </cell>
          <cell r="Q137" t="str">
            <v>1,000</v>
          </cell>
          <cell r="R137" t="str">
            <v>PCS</v>
          </cell>
          <cell r="S137" t="str">
            <v>56</v>
          </cell>
          <cell r="T137" t="str">
            <v>J3</v>
          </cell>
          <cell r="U137">
            <v>1.17E-3</v>
          </cell>
          <cell r="V137" t="str">
            <v>CNY</v>
          </cell>
          <cell r="W137" t="str">
            <v>10,000.000</v>
          </cell>
          <cell r="X137" t="str">
            <v>10,000.000</v>
          </cell>
        </row>
        <row r="138">
          <cell r="D138">
            <v>10100008776</v>
          </cell>
          <cell r="E138" t="str">
            <v>厚膜贴片电阻器</v>
          </cell>
          <cell r="F138" t="str">
            <v>10010302</v>
          </cell>
          <cell r="G138" t="str">
            <v>FH\RES 0R R&lt;10mR 1/10W 0603 1A</v>
          </cell>
          <cell r="H138" t="str">
            <v>FH(风华)</v>
          </cell>
          <cell r="I138" t="str">
            <v>RS-03000FT</v>
          </cell>
          <cell r="J138" t="str">
            <v>100654</v>
          </cell>
          <cell r="K138" t="str">
            <v>广东风华高新科技股份有限公司</v>
          </cell>
          <cell r="L138" t="str">
            <v>X</v>
          </cell>
          <cell r="M138" t="str">
            <v>X</v>
          </cell>
          <cell r="N138" t="str">
            <v>1</v>
          </cell>
          <cell r="O138" t="str">
            <v>2.100000</v>
          </cell>
          <cell r="P138" t="str">
            <v>2.10</v>
          </cell>
          <cell r="Q138" t="str">
            <v>1,000</v>
          </cell>
          <cell r="R138" t="str">
            <v>PCS</v>
          </cell>
          <cell r="S138" t="str">
            <v>56</v>
          </cell>
          <cell r="T138" t="str">
            <v>J3</v>
          </cell>
          <cell r="U138">
            <v>2.0999999999999999E-3</v>
          </cell>
          <cell r="V138" t="str">
            <v>CNY</v>
          </cell>
          <cell r="W138" t="str">
            <v>5,000.000</v>
          </cell>
          <cell r="X138" t="str">
            <v>5,000.000</v>
          </cell>
        </row>
        <row r="139">
          <cell r="D139">
            <v>10100009092</v>
          </cell>
          <cell r="E139" t="str">
            <v>厚膜贴片电阻器</v>
          </cell>
          <cell r="F139" t="str">
            <v>10010302</v>
          </cell>
          <cell r="G139" t="str">
            <v>YAGEO\RES 2K F 1/16W 0402</v>
          </cell>
          <cell r="H139" t="str">
            <v>YAGEO(国巨)</v>
          </cell>
          <cell r="I139" t="str">
            <v>RC0402FR-072KL</v>
          </cell>
          <cell r="J139" t="str">
            <v>101553</v>
          </cell>
          <cell r="K139" t="str">
            <v>深圳市奥特高科电子有限公司</v>
          </cell>
          <cell r="L139" t="str">
            <v>X</v>
          </cell>
          <cell r="M139" t="str">
            <v/>
          </cell>
          <cell r="N139" t="str">
            <v>1</v>
          </cell>
          <cell r="O139" t="str">
            <v>1.300000</v>
          </cell>
          <cell r="P139" t="str">
            <v>1.30</v>
          </cell>
          <cell r="Q139" t="str">
            <v>1,000</v>
          </cell>
          <cell r="R139" t="str">
            <v>PCS</v>
          </cell>
          <cell r="S139" t="str">
            <v>56</v>
          </cell>
          <cell r="T139" t="str">
            <v>J3</v>
          </cell>
          <cell r="U139">
            <v>1.2999999999999999E-3</v>
          </cell>
          <cell r="V139" t="str">
            <v>CNY</v>
          </cell>
          <cell r="W139" t="str">
            <v>10,000.000</v>
          </cell>
          <cell r="X139" t="str">
            <v>10,000.000</v>
          </cell>
        </row>
        <row r="140">
          <cell r="D140">
            <v>10100009093</v>
          </cell>
          <cell r="E140" t="str">
            <v>厚膜贴片电阻器</v>
          </cell>
          <cell r="F140" t="str">
            <v>10010302</v>
          </cell>
          <cell r="G140" t="str">
            <v>WALS\RES 2K F 1/16W 0402</v>
          </cell>
          <cell r="H140" t="str">
            <v>WALS(华科)</v>
          </cell>
          <cell r="I140" t="str">
            <v>WR04X2001FTL</v>
          </cell>
          <cell r="J140" t="str">
            <v>100131</v>
          </cell>
          <cell r="K140" t="str">
            <v>东莞华科电子有限公司</v>
          </cell>
          <cell r="L140" t="str">
            <v>X</v>
          </cell>
          <cell r="M140" t="str">
            <v/>
          </cell>
          <cell r="N140" t="str">
            <v>1</v>
          </cell>
          <cell r="O140" t="str">
            <v>1.170000</v>
          </cell>
          <cell r="P140" t="str">
            <v>1.17</v>
          </cell>
          <cell r="Q140" t="str">
            <v>1,000</v>
          </cell>
          <cell r="R140" t="str">
            <v>PCS</v>
          </cell>
          <cell r="S140" t="str">
            <v>56</v>
          </cell>
          <cell r="T140" t="str">
            <v>J3</v>
          </cell>
          <cell r="U140">
            <v>1.17E-3</v>
          </cell>
          <cell r="V140" t="str">
            <v>CNY</v>
          </cell>
          <cell r="W140" t="str">
            <v>10,000.000</v>
          </cell>
          <cell r="X140" t="str">
            <v>10,000.000</v>
          </cell>
        </row>
        <row r="141">
          <cell r="D141">
            <v>10100009838</v>
          </cell>
          <cell r="E141" t="str">
            <v>厚膜贴片电阻器</v>
          </cell>
          <cell r="F141" t="str">
            <v>10010302</v>
          </cell>
          <cell r="G141" t="str">
            <v>ROYA\RES 10K F 1/16W 0402</v>
          </cell>
          <cell r="H141" t="str">
            <v>ROYALOHM(厚声)</v>
          </cell>
          <cell r="I141" t="str">
            <v>0402WGF1002TCE</v>
          </cell>
          <cell r="J141" t="str">
            <v>100003</v>
          </cell>
          <cell r="K141" t="str">
            <v>厚声国际贸易（昆山）有限公司</v>
          </cell>
          <cell r="L141" t="str">
            <v>X</v>
          </cell>
          <cell r="M141" t="str">
            <v/>
          </cell>
          <cell r="N141" t="str">
            <v>1</v>
          </cell>
          <cell r="O141" t="str">
            <v>1.090000</v>
          </cell>
          <cell r="P141" t="str">
            <v>1.09</v>
          </cell>
          <cell r="Q141" t="str">
            <v>1,000</v>
          </cell>
          <cell r="R141" t="str">
            <v>PCS</v>
          </cell>
          <cell r="S141" t="str">
            <v>56</v>
          </cell>
          <cell r="T141" t="str">
            <v>J3</v>
          </cell>
          <cell r="U141">
            <v>1.09E-3</v>
          </cell>
          <cell r="V141" t="str">
            <v>CNY</v>
          </cell>
          <cell r="W141" t="str">
            <v>10,000.000</v>
          </cell>
          <cell r="X141" t="str">
            <v>10,000.000</v>
          </cell>
        </row>
        <row r="142">
          <cell r="D142">
            <v>10100010045</v>
          </cell>
          <cell r="E142" t="str">
            <v>厚膜贴片电阻器</v>
          </cell>
          <cell r="F142" t="str">
            <v>10010302</v>
          </cell>
          <cell r="G142" t="str">
            <v>WALS\RES 10K F 1/16W 0402</v>
          </cell>
          <cell r="H142" t="str">
            <v>WALS(华科)</v>
          </cell>
          <cell r="I142" t="str">
            <v>WR04X1002FTL</v>
          </cell>
          <cell r="J142" t="str">
            <v>100131</v>
          </cell>
          <cell r="K142" t="str">
            <v>东莞华科电子有限公司</v>
          </cell>
          <cell r="L142" t="str">
            <v>X</v>
          </cell>
          <cell r="M142" t="str">
            <v/>
          </cell>
          <cell r="N142" t="str">
            <v>1</v>
          </cell>
          <cell r="O142" t="str">
            <v>1.170000</v>
          </cell>
          <cell r="P142" t="str">
            <v>1.17</v>
          </cell>
          <cell r="Q142" t="str">
            <v>1,000</v>
          </cell>
          <cell r="R142" t="str">
            <v>PCS</v>
          </cell>
          <cell r="S142" t="str">
            <v>56</v>
          </cell>
          <cell r="T142" t="str">
            <v>J3</v>
          </cell>
          <cell r="U142">
            <v>1.17E-3</v>
          </cell>
          <cell r="V142" t="str">
            <v>CNY</v>
          </cell>
          <cell r="W142" t="str">
            <v>10,000.000</v>
          </cell>
          <cell r="X142" t="str">
            <v>10,000.000</v>
          </cell>
        </row>
        <row r="143">
          <cell r="D143">
            <v>10100011726</v>
          </cell>
          <cell r="E143" t="str">
            <v>厚膜贴片电阻器</v>
          </cell>
          <cell r="F143" t="str">
            <v>10010302</v>
          </cell>
          <cell r="G143" t="str">
            <v>YAGEO\RES 5.1K F 1/16W 0402</v>
          </cell>
          <cell r="H143" t="str">
            <v>YAGEO(国巨)</v>
          </cell>
          <cell r="I143" t="str">
            <v>RC0402FR-075K1L</v>
          </cell>
          <cell r="J143" t="str">
            <v>100036</v>
          </cell>
          <cell r="K143" t="str">
            <v>厦门信和达电子有限公司</v>
          </cell>
          <cell r="L143" t="str">
            <v>X</v>
          </cell>
          <cell r="M143" t="str">
            <v/>
          </cell>
          <cell r="N143" t="str">
            <v>1</v>
          </cell>
          <cell r="O143" t="str">
            <v>1.400000</v>
          </cell>
          <cell r="P143" t="str">
            <v>1.40</v>
          </cell>
          <cell r="Q143" t="str">
            <v>1,000</v>
          </cell>
          <cell r="R143" t="str">
            <v>PCS</v>
          </cell>
          <cell r="S143" t="str">
            <v>56</v>
          </cell>
          <cell r="T143" t="str">
            <v>J3</v>
          </cell>
          <cell r="U143">
            <v>1.4E-3</v>
          </cell>
          <cell r="V143" t="str">
            <v>CNY</v>
          </cell>
          <cell r="W143" t="str">
            <v>10,000.000</v>
          </cell>
          <cell r="X143" t="str">
            <v>10,000.000</v>
          </cell>
        </row>
        <row r="144">
          <cell r="D144">
            <v>10100011993</v>
          </cell>
          <cell r="E144" t="str">
            <v>厚膜贴片电阻器</v>
          </cell>
          <cell r="F144" t="str">
            <v>10010302</v>
          </cell>
          <cell r="G144" t="str">
            <v>FH\RES 5.1K F 1/16W 0402</v>
          </cell>
          <cell r="H144" t="str">
            <v>FH(风华)</v>
          </cell>
          <cell r="I144" t="str">
            <v>RC-02K5101FT</v>
          </cell>
          <cell r="J144" t="str">
            <v>100654</v>
          </cell>
          <cell r="K144" t="str">
            <v>广东风华高新科技股份有限公司</v>
          </cell>
          <cell r="L144" t="str">
            <v>X</v>
          </cell>
          <cell r="M144" t="str">
            <v/>
          </cell>
          <cell r="N144" t="str">
            <v>1</v>
          </cell>
          <cell r="O144" t="str">
            <v>1.100000</v>
          </cell>
          <cell r="P144" t="str">
            <v>1.10</v>
          </cell>
          <cell r="Q144" t="str">
            <v>1,000</v>
          </cell>
          <cell r="R144" t="str">
            <v>PCS</v>
          </cell>
          <cell r="S144" t="str">
            <v>56</v>
          </cell>
          <cell r="T144" t="str">
            <v>J3</v>
          </cell>
          <cell r="U144">
            <v>1.1000000000000001E-3</v>
          </cell>
          <cell r="V144" t="str">
            <v>CNY</v>
          </cell>
          <cell r="W144" t="str">
            <v>10,000.000</v>
          </cell>
          <cell r="X144" t="str">
            <v>10,000.000</v>
          </cell>
        </row>
        <row r="145">
          <cell r="D145">
            <v>10100013093</v>
          </cell>
          <cell r="E145" t="str">
            <v>厚膜贴片电阻器</v>
          </cell>
          <cell r="F145" t="str">
            <v>10010302</v>
          </cell>
          <cell r="G145" t="str">
            <v>ROYA\RES 100R F 1/16W 0402</v>
          </cell>
          <cell r="H145" t="str">
            <v>ROYALOHM(厚声)</v>
          </cell>
          <cell r="I145" t="str">
            <v>0402WGF1000TCE</v>
          </cell>
          <cell r="J145" t="str">
            <v>100003</v>
          </cell>
          <cell r="K145" t="str">
            <v>厚声国际贸易（昆山）有限公司</v>
          </cell>
          <cell r="L145" t="str">
            <v>X</v>
          </cell>
          <cell r="M145" t="str">
            <v/>
          </cell>
          <cell r="N145" t="str">
            <v>1</v>
          </cell>
          <cell r="O145" t="str">
            <v>1.090000</v>
          </cell>
          <cell r="P145" t="str">
            <v>1.09</v>
          </cell>
          <cell r="Q145" t="str">
            <v>1,000</v>
          </cell>
          <cell r="R145" t="str">
            <v>PCS</v>
          </cell>
          <cell r="S145" t="str">
            <v>56</v>
          </cell>
          <cell r="T145" t="str">
            <v>J3</v>
          </cell>
          <cell r="U145">
            <v>1.09E-3</v>
          </cell>
          <cell r="V145" t="str">
            <v>CNY</v>
          </cell>
          <cell r="W145" t="str">
            <v>10,000.000</v>
          </cell>
          <cell r="X145" t="str">
            <v>10,000.000</v>
          </cell>
        </row>
        <row r="146">
          <cell r="D146">
            <v>10100013936</v>
          </cell>
          <cell r="E146" t="str">
            <v>厚膜贴片电阻器</v>
          </cell>
          <cell r="F146" t="str">
            <v>10010302</v>
          </cell>
          <cell r="G146" t="str">
            <v>FH\RES 100R F 1/16W 0402</v>
          </cell>
          <cell r="H146" t="str">
            <v>FH(风华)</v>
          </cell>
          <cell r="I146" t="str">
            <v>RC-02K1000FT</v>
          </cell>
          <cell r="J146" t="str">
            <v>100654</v>
          </cell>
          <cell r="K146" t="str">
            <v>广东风华高新科技股份有限公司</v>
          </cell>
          <cell r="L146" t="str">
            <v>X</v>
          </cell>
          <cell r="M146" t="str">
            <v/>
          </cell>
          <cell r="N146" t="str">
            <v>1</v>
          </cell>
          <cell r="O146" t="str">
            <v>1.100000</v>
          </cell>
          <cell r="P146" t="str">
            <v>1.10</v>
          </cell>
          <cell r="Q146" t="str">
            <v>1,000</v>
          </cell>
          <cell r="R146" t="str">
            <v>PCS</v>
          </cell>
          <cell r="S146" t="str">
            <v>56</v>
          </cell>
          <cell r="T146" t="str">
            <v>J3</v>
          </cell>
          <cell r="U146">
            <v>1.1000000000000001E-3</v>
          </cell>
          <cell r="V146" t="str">
            <v>CNY</v>
          </cell>
          <cell r="W146" t="str">
            <v>10,000.000</v>
          </cell>
          <cell r="X146" t="str">
            <v>10,000.000</v>
          </cell>
        </row>
        <row r="147">
          <cell r="D147">
            <v>10100014735</v>
          </cell>
          <cell r="E147" t="str">
            <v>厚膜贴片电阻器</v>
          </cell>
          <cell r="F147" t="str">
            <v>10010302</v>
          </cell>
          <cell r="G147" t="str">
            <v>ROYA\RES 2K F 1/16W 0402</v>
          </cell>
          <cell r="H147" t="str">
            <v>ROYALOHM(厚声)</v>
          </cell>
          <cell r="I147" t="str">
            <v>0402WGF2001TCE</v>
          </cell>
          <cell r="J147" t="str">
            <v>100003</v>
          </cell>
          <cell r="K147" t="str">
            <v>厚声国际贸易（昆山）有限公司</v>
          </cell>
          <cell r="L147" t="str">
            <v>X</v>
          </cell>
          <cell r="M147" t="str">
            <v/>
          </cell>
          <cell r="N147" t="str">
            <v>1</v>
          </cell>
          <cell r="O147" t="str">
            <v>1.090000</v>
          </cell>
          <cell r="P147" t="str">
            <v>1.09</v>
          </cell>
          <cell r="Q147" t="str">
            <v>1,000</v>
          </cell>
          <cell r="R147" t="str">
            <v>PCS</v>
          </cell>
          <cell r="S147" t="str">
            <v>56</v>
          </cell>
          <cell r="T147" t="str">
            <v>J3</v>
          </cell>
          <cell r="U147">
            <v>1.09E-3</v>
          </cell>
          <cell r="V147" t="str">
            <v>CNY</v>
          </cell>
          <cell r="W147" t="str">
            <v>10,000.000</v>
          </cell>
          <cell r="X147" t="str">
            <v>10,000.000</v>
          </cell>
        </row>
        <row r="148">
          <cell r="D148">
            <v>10100017616</v>
          </cell>
          <cell r="E148" t="str">
            <v>厚膜贴片电阻器</v>
          </cell>
          <cell r="F148" t="str">
            <v>10010302</v>
          </cell>
          <cell r="G148" t="str">
            <v>HKR\RES 100R F 1/16W 0402</v>
          </cell>
          <cell r="H148" t="str">
            <v>HKR(香港电阻)</v>
          </cell>
          <cell r="I148" t="str">
            <v>RCT02100RFLF</v>
          </cell>
          <cell r="J148" t="str">
            <v>100293</v>
          </cell>
          <cell r="K148" t="str">
            <v>恒辉电阻（益阳）有限公司</v>
          </cell>
          <cell r="L148" t="str">
            <v>X</v>
          </cell>
          <cell r="M148" t="str">
            <v/>
          </cell>
          <cell r="N148" t="str">
            <v>1</v>
          </cell>
          <cell r="O148" t="str">
            <v>0.980000</v>
          </cell>
          <cell r="P148" t="str">
            <v>0.98</v>
          </cell>
          <cell r="Q148" t="str">
            <v>1,000</v>
          </cell>
          <cell r="R148" t="str">
            <v>PCS</v>
          </cell>
          <cell r="S148" t="str">
            <v>56</v>
          </cell>
          <cell r="T148" t="str">
            <v>J3</v>
          </cell>
          <cell r="U148">
            <v>9.7999999999999997E-4</v>
          </cell>
          <cell r="V148" t="str">
            <v>CNY</v>
          </cell>
          <cell r="W148" t="str">
            <v>10,000.000</v>
          </cell>
          <cell r="X148" t="str">
            <v>10,000.000</v>
          </cell>
        </row>
        <row r="149">
          <cell r="D149">
            <v>10100017618</v>
          </cell>
          <cell r="E149" t="str">
            <v>厚膜贴片电阻器</v>
          </cell>
          <cell r="F149" t="str">
            <v>10010302</v>
          </cell>
          <cell r="G149" t="str">
            <v>HKR\RES 10K F 1/16W 0402</v>
          </cell>
          <cell r="H149" t="str">
            <v>HKR(香港电阻)</v>
          </cell>
          <cell r="I149" t="str">
            <v>RCT0210KFLF</v>
          </cell>
          <cell r="J149" t="str">
            <v>100293</v>
          </cell>
          <cell r="K149" t="str">
            <v>恒辉电阻（益阳）有限公司</v>
          </cell>
          <cell r="L149" t="str">
            <v>X</v>
          </cell>
          <cell r="M149" t="str">
            <v/>
          </cell>
          <cell r="N149" t="str">
            <v>1</v>
          </cell>
          <cell r="O149" t="str">
            <v>0.980000</v>
          </cell>
          <cell r="P149" t="str">
            <v>0.98</v>
          </cell>
          <cell r="Q149" t="str">
            <v>1,000</v>
          </cell>
          <cell r="R149" t="str">
            <v>PCS</v>
          </cell>
          <cell r="S149" t="str">
            <v>56</v>
          </cell>
          <cell r="T149" t="str">
            <v>J3</v>
          </cell>
          <cell r="U149">
            <v>9.7999999999999997E-4</v>
          </cell>
          <cell r="V149" t="str">
            <v>CNY</v>
          </cell>
          <cell r="W149" t="str">
            <v>10,000.000</v>
          </cell>
          <cell r="X149" t="str">
            <v>10,000.000</v>
          </cell>
        </row>
        <row r="150">
          <cell r="D150">
            <v>10100017679</v>
          </cell>
          <cell r="E150" t="str">
            <v>厚膜贴片电阻器</v>
          </cell>
          <cell r="F150" t="str">
            <v>10010302</v>
          </cell>
          <cell r="G150" t="str">
            <v>HKR\RES 2K F 1/16W 0402</v>
          </cell>
          <cell r="H150" t="str">
            <v>HKR(香港电阻)</v>
          </cell>
          <cell r="I150" t="str">
            <v>RCT022KFLF</v>
          </cell>
          <cell r="J150" t="str">
            <v>100293</v>
          </cell>
          <cell r="K150" t="str">
            <v>恒辉电阻（益阳）有限公司</v>
          </cell>
          <cell r="L150" t="str">
            <v>X</v>
          </cell>
          <cell r="M150" t="str">
            <v>X</v>
          </cell>
          <cell r="N150" t="str">
            <v>1</v>
          </cell>
          <cell r="O150" t="str">
            <v>0.980000</v>
          </cell>
          <cell r="P150" t="str">
            <v>0.98</v>
          </cell>
          <cell r="Q150" t="str">
            <v>1,000</v>
          </cell>
          <cell r="R150" t="str">
            <v>PCS</v>
          </cell>
          <cell r="S150" t="str">
            <v>42</v>
          </cell>
          <cell r="T150" t="str">
            <v>J3</v>
          </cell>
          <cell r="U150">
            <v>9.7999999999999997E-4</v>
          </cell>
          <cell r="V150" t="str">
            <v>CNY</v>
          </cell>
          <cell r="W150" t="str">
            <v>10,000.000</v>
          </cell>
          <cell r="X150" t="str">
            <v>10,000.000</v>
          </cell>
        </row>
        <row r="151">
          <cell r="D151">
            <v>10100017738</v>
          </cell>
          <cell r="E151" t="str">
            <v>厚膜贴片电阻器</v>
          </cell>
          <cell r="F151" t="str">
            <v>10010302</v>
          </cell>
          <cell r="G151" t="str">
            <v>HKR\RES 5.1K F 1/16W 0402</v>
          </cell>
          <cell r="H151" t="str">
            <v>HKR(香港电阻)</v>
          </cell>
          <cell r="I151" t="str">
            <v>RCT025K1FLF</v>
          </cell>
          <cell r="J151" t="str">
            <v>100293</v>
          </cell>
          <cell r="K151" t="str">
            <v>恒辉电阻（益阳）有限公司</v>
          </cell>
          <cell r="L151" t="str">
            <v>X</v>
          </cell>
          <cell r="M151" t="str">
            <v/>
          </cell>
          <cell r="N151" t="str">
            <v>1</v>
          </cell>
          <cell r="O151" t="str">
            <v>0.980000</v>
          </cell>
          <cell r="P151" t="str">
            <v>0.98</v>
          </cell>
          <cell r="Q151" t="str">
            <v>1,000</v>
          </cell>
          <cell r="R151" t="str">
            <v>PCS</v>
          </cell>
          <cell r="S151" t="str">
            <v>56</v>
          </cell>
          <cell r="T151" t="str">
            <v>J3</v>
          </cell>
          <cell r="U151">
            <v>9.7999999999999997E-4</v>
          </cell>
          <cell r="V151" t="str">
            <v>CNY</v>
          </cell>
          <cell r="W151" t="str">
            <v>10,000.000</v>
          </cell>
          <cell r="X151" t="str">
            <v>10,000.000</v>
          </cell>
        </row>
        <row r="152">
          <cell r="D152">
            <v>10100018722</v>
          </cell>
          <cell r="E152" t="str">
            <v>厚膜贴片电阻器</v>
          </cell>
          <cell r="F152" t="str">
            <v>10010302</v>
          </cell>
          <cell r="G152" t="str">
            <v>XS5\RES 10K F 1/16W 0402</v>
          </cell>
          <cell r="H152" t="str">
            <v>VO(翔胜)</v>
          </cell>
          <cell r="I152" t="str">
            <v>SCR0402F1002B</v>
          </cell>
          <cell r="J152" t="str">
            <v>100261</v>
          </cell>
          <cell r="K152" t="str">
            <v>安徽翔胜科技有限公司</v>
          </cell>
          <cell r="L152" t="str">
            <v>X</v>
          </cell>
          <cell r="M152" t="str">
            <v/>
          </cell>
          <cell r="N152" t="str">
            <v>1</v>
          </cell>
          <cell r="O152" t="str">
            <v>1.050000</v>
          </cell>
          <cell r="P152" t="str">
            <v>1.05</v>
          </cell>
          <cell r="Q152" t="str">
            <v>1,000</v>
          </cell>
          <cell r="R152" t="str">
            <v>PCS</v>
          </cell>
          <cell r="S152" t="str">
            <v>56</v>
          </cell>
          <cell r="T152" t="str">
            <v>J3</v>
          </cell>
          <cell r="U152">
            <v>1.0499999999999999E-3</v>
          </cell>
          <cell r="V152" t="str">
            <v>CNY</v>
          </cell>
          <cell r="W152" t="str">
            <v>10,000.000</v>
          </cell>
          <cell r="X152" t="str">
            <v>10,000.000</v>
          </cell>
        </row>
        <row r="153">
          <cell r="D153">
            <v>10100019245</v>
          </cell>
          <cell r="E153" t="str">
            <v>厚膜贴片电阻器</v>
          </cell>
          <cell r="F153" t="str">
            <v>10010302</v>
          </cell>
          <cell r="G153" t="str">
            <v>XS5\RES 2K F 1/16W 0402</v>
          </cell>
          <cell r="H153" t="str">
            <v>VO(翔胜)</v>
          </cell>
          <cell r="I153" t="str">
            <v>SCR0402F2001B</v>
          </cell>
          <cell r="J153" t="str">
            <v>100261</v>
          </cell>
          <cell r="K153" t="str">
            <v>安徽翔胜科技有限公司</v>
          </cell>
          <cell r="L153" t="str">
            <v>X</v>
          </cell>
          <cell r="M153" t="str">
            <v/>
          </cell>
          <cell r="N153" t="str">
            <v>1</v>
          </cell>
          <cell r="O153" t="str">
            <v>1.050000</v>
          </cell>
          <cell r="P153" t="str">
            <v>1.05</v>
          </cell>
          <cell r="Q153" t="str">
            <v>1,000</v>
          </cell>
          <cell r="R153" t="str">
            <v>PCS</v>
          </cell>
          <cell r="S153" t="str">
            <v>56</v>
          </cell>
          <cell r="T153" t="str">
            <v>J3</v>
          </cell>
          <cell r="U153">
            <v>1.0499999999999999E-3</v>
          </cell>
          <cell r="V153" t="str">
            <v>CNY</v>
          </cell>
          <cell r="W153" t="str">
            <v>10,000.000</v>
          </cell>
          <cell r="X153" t="str">
            <v>10,000.000</v>
          </cell>
        </row>
        <row r="154">
          <cell r="D154">
            <v>10100024100</v>
          </cell>
          <cell r="E154" t="str">
            <v>厚膜贴片电阻器</v>
          </cell>
          <cell r="F154" t="str">
            <v>10010302</v>
          </cell>
          <cell r="G154" t="str">
            <v>FH\RES 0R R&lt;10mR 1/10W 0603 1A</v>
          </cell>
          <cell r="H154" t="str">
            <v>FH(风华)</v>
          </cell>
          <cell r="I154" t="str">
            <v>RS-03000FT</v>
          </cell>
          <cell r="J154" t="str">
            <v>100654</v>
          </cell>
          <cell r="K154" t="str">
            <v>广东风华高新科技股份有限公司</v>
          </cell>
          <cell r="L154" t="str">
            <v>X</v>
          </cell>
          <cell r="M154" t="str">
            <v/>
          </cell>
          <cell r="N154" t="str">
            <v>1</v>
          </cell>
          <cell r="O154" t="str">
            <v>2.080000</v>
          </cell>
          <cell r="P154" t="str">
            <v>2.08</v>
          </cell>
          <cell r="Q154" t="str">
            <v>1,000</v>
          </cell>
          <cell r="R154" t="str">
            <v>PCS</v>
          </cell>
          <cell r="S154" t="str">
            <v>56</v>
          </cell>
          <cell r="T154" t="str">
            <v>J3</v>
          </cell>
          <cell r="U154">
            <v>2.0799999999999998E-3</v>
          </cell>
          <cell r="V154" t="str">
            <v>CNY</v>
          </cell>
          <cell r="W154" t="str">
            <v>5,000.000</v>
          </cell>
          <cell r="X154" t="str">
            <v>5,000.000</v>
          </cell>
        </row>
        <row r="155">
          <cell r="D155">
            <v>10110001319</v>
          </cell>
          <cell r="E155" t="str">
            <v>贴片陶瓷电容器</v>
          </cell>
          <cell r="F155" t="str">
            <v>11060201</v>
          </cell>
          <cell r="G155" t="str">
            <v>FH\CAP Cer 1nF K X7R 50VDC 0603</v>
          </cell>
          <cell r="H155" t="str">
            <v>FH(风华)</v>
          </cell>
          <cell r="I155" t="str">
            <v>0603B102K500NT</v>
          </cell>
          <cell r="J155" t="str">
            <v>101566</v>
          </cell>
          <cell r="K155" t="str">
            <v>深圳市兴鸿宇科技有限公司</v>
          </cell>
          <cell r="L155" t="str">
            <v>X</v>
          </cell>
          <cell r="M155" t="str">
            <v/>
          </cell>
          <cell r="N155" t="str">
            <v>1</v>
          </cell>
          <cell r="O155" t="str">
            <v>5.500000</v>
          </cell>
          <cell r="P155" t="str">
            <v>5.50</v>
          </cell>
          <cell r="Q155" t="str">
            <v>1,000</v>
          </cell>
          <cell r="R155" t="str">
            <v>PCS</v>
          </cell>
          <cell r="S155" t="str">
            <v>56</v>
          </cell>
          <cell r="T155" t="str">
            <v>J3</v>
          </cell>
          <cell r="U155">
            <v>5.4999999999999997E-3</v>
          </cell>
          <cell r="V155" t="str">
            <v>CNY</v>
          </cell>
          <cell r="W155" t="str">
            <v>4,000.000</v>
          </cell>
          <cell r="X155" t="str">
            <v>4,000.000</v>
          </cell>
        </row>
        <row r="156">
          <cell r="D156">
            <v>10110001320</v>
          </cell>
          <cell r="E156" t="str">
            <v>贴片陶瓷电容器</v>
          </cell>
          <cell r="F156" t="str">
            <v>11060201</v>
          </cell>
          <cell r="G156" t="str">
            <v>YAGEO\CAP Cer 1nF K X7R 50VDC 0603</v>
          </cell>
          <cell r="H156" t="str">
            <v>YAGEO(国巨)</v>
          </cell>
          <cell r="I156" t="str">
            <v>CC0603KRX7R9BB102</v>
          </cell>
          <cell r="J156" t="str">
            <v>101553</v>
          </cell>
          <cell r="K156" t="str">
            <v>深圳市奥特高科电子有限公司</v>
          </cell>
          <cell r="L156" t="str">
            <v>X</v>
          </cell>
          <cell r="M156" t="str">
            <v/>
          </cell>
          <cell r="N156" t="str">
            <v>1</v>
          </cell>
          <cell r="O156" t="str">
            <v>5.500000</v>
          </cell>
          <cell r="P156" t="str">
            <v>5.50</v>
          </cell>
          <cell r="Q156" t="str">
            <v>1,000</v>
          </cell>
          <cell r="R156" t="str">
            <v>PCS</v>
          </cell>
          <cell r="S156" t="str">
            <v>45</v>
          </cell>
          <cell r="T156" t="str">
            <v>J3</v>
          </cell>
          <cell r="U156">
            <v>5.4999999999999997E-3</v>
          </cell>
          <cell r="V156" t="str">
            <v>CNY</v>
          </cell>
          <cell r="W156" t="str">
            <v>4,000.000</v>
          </cell>
          <cell r="X156" t="str">
            <v>4,000.000</v>
          </cell>
        </row>
        <row r="157">
          <cell r="D157">
            <v>10110001388</v>
          </cell>
          <cell r="E157" t="str">
            <v>贴片陶瓷电容器</v>
          </cell>
          <cell r="F157" t="str">
            <v>11060201</v>
          </cell>
          <cell r="G157" t="str">
            <v>FH\CAP Cer 100nF K X7R 50VDC 0603 -55℃~&amp;</v>
          </cell>
          <cell r="H157" t="str">
            <v>FH(风华)</v>
          </cell>
          <cell r="I157" t="str">
            <v>0603B104K500NT</v>
          </cell>
          <cell r="J157" t="str">
            <v>101566</v>
          </cell>
          <cell r="K157" t="str">
            <v>深圳市兴鸿宇科技有限公司</v>
          </cell>
          <cell r="L157" t="str">
            <v>X</v>
          </cell>
          <cell r="M157" t="str">
            <v/>
          </cell>
          <cell r="N157" t="str">
            <v>1</v>
          </cell>
          <cell r="O157" t="str">
            <v>5.500000</v>
          </cell>
          <cell r="P157" t="str">
            <v>5.50</v>
          </cell>
          <cell r="Q157" t="str">
            <v>1,000</v>
          </cell>
          <cell r="R157" t="str">
            <v>PCS</v>
          </cell>
          <cell r="S157" t="str">
            <v>56</v>
          </cell>
          <cell r="T157" t="str">
            <v>J3</v>
          </cell>
          <cell r="U157">
            <v>5.4999999999999997E-3</v>
          </cell>
          <cell r="V157" t="str">
            <v>CNY</v>
          </cell>
          <cell r="W157" t="str">
            <v>4,000.000</v>
          </cell>
          <cell r="X157" t="str">
            <v>4,000.000</v>
          </cell>
        </row>
        <row r="158">
          <cell r="D158">
            <v>10110001391</v>
          </cell>
          <cell r="E158" t="str">
            <v>贴片陶瓷电容器</v>
          </cell>
          <cell r="F158" t="str">
            <v>11060201</v>
          </cell>
          <cell r="G158" t="str">
            <v>YAGEO\CAP Cer 100nF K X7R 50VDC 0603</v>
          </cell>
          <cell r="H158" t="str">
            <v>YAGEO(国巨)</v>
          </cell>
          <cell r="I158" t="str">
            <v>CC0603KRX7R9BB104</v>
          </cell>
          <cell r="J158" t="str">
            <v>101566</v>
          </cell>
          <cell r="K158" t="str">
            <v>深圳市兴鸿宇科技有限公司</v>
          </cell>
          <cell r="L158" t="str">
            <v>X</v>
          </cell>
          <cell r="M158" t="str">
            <v/>
          </cell>
          <cell r="N158" t="str">
            <v>1</v>
          </cell>
          <cell r="O158" t="str">
            <v>6.300000</v>
          </cell>
          <cell r="P158" t="str">
            <v>6.30</v>
          </cell>
          <cell r="Q158" t="str">
            <v>1,000</v>
          </cell>
          <cell r="R158" t="str">
            <v>PCS</v>
          </cell>
          <cell r="S158" t="str">
            <v>56</v>
          </cell>
          <cell r="T158" t="str">
            <v>J3</v>
          </cell>
          <cell r="U158">
            <v>6.3E-3</v>
          </cell>
          <cell r="V158" t="str">
            <v>CNY</v>
          </cell>
          <cell r="W158" t="str">
            <v>4,000.000</v>
          </cell>
          <cell r="X158" t="str">
            <v>4,000.000</v>
          </cell>
        </row>
        <row r="159">
          <cell r="D159">
            <v>10110003896</v>
          </cell>
          <cell r="E159" t="str">
            <v>贴片陶瓷电容器</v>
          </cell>
          <cell r="F159" t="str">
            <v>11060201</v>
          </cell>
          <cell r="G159" t="str">
            <v>YAGEO\CAP Cer 1nF K X7R 50VDC 0402</v>
          </cell>
          <cell r="H159" t="str">
            <v>YAGEO(国巨)</v>
          </cell>
          <cell r="I159" t="str">
            <v>CC0402KRX7R9BB102</v>
          </cell>
          <cell r="J159" t="str">
            <v>101566</v>
          </cell>
          <cell r="K159" t="str">
            <v>深圳市兴鸿宇科技有限公司</v>
          </cell>
          <cell r="L159" t="str">
            <v>X</v>
          </cell>
          <cell r="M159" t="str">
            <v/>
          </cell>
          <cell r="N159" t="str">
            <v>1</v>
          </cell>
          <cell r="O159" t="str">
            <v>2.300000</v>
          </cell>
          <cell r="P159" t="str">
            <v>2.30</v>
          </cell>
          <cell r="Q159" t="str">
            <v>1,000</v>
          </cell>
          <cell r="R159" t="str">
            <v>PCS</v>
          </cell>
          <cell r="S159" t="str">
            <v>56</v>
          </cell>
          <cell r="T159" t="str">
            <v>J3</v>
          </cell>
          <cell r="U159">
            <v>2.3E-3</v>
          </cell>
          <cell r="V159" t="str">
            <v>CNY</v>
          </cell>
          <cell r="W159" t="str">
            <v>10,000.000</v>
          </cell>
          <cell r="X159" t="str">
            <v>10,000.000</v>
          </cell>
        </row>
        <row r="160">
          <cell r="D160">
            <v>10110003943</v>
          </cell>
          <cell r="E160" t="str">
            <v>贴片陶瓷电容器</v>
          </cell>
          <cell r="F160" t="str">
            <v>11060201</v>
          </cell>
          <cell r="G160" t="str">
            <v>WALS\CAP Cer 1nF K X7R 50VDC 0603</v>
          </cell>
          <cell r="H160" t="str">
            <v>WALS(华科)</v>
          </cell>
          <cell r="I160" t="str">
            <v>0603B102K500CT</v>
          </cell>
          <cell r="J160" t="str">
            <v>100131</v>
          </cell>
          <cell r="K160" t="str">
            <v>东莞华科电子有限公司</v>
          </cell>
          <cell r="L160" t="str">
            <v>X</v>
          </cell>
          <cell r="M160" t="str">
            <v/>
          </cell>
          <cell r="N160" t="str">
            <v>1</v>
          </cell>
          <cell r="O160" t="str">
            <v>4.350000</v>
          </cell>
          <cell r="P160" t="str">
            <v>4.35</v>
          </cell>
          <cell r="Q160" t="str">
            <v>1,000</v>
          </cell>
          <cell r="R160" t="str">
            <v>PCS</v>
          </cell>
          <cell r="S160" t="str">
            <v>56</v>
          </cell>
          <cell r="T160" t="str">
            <v>J3</v>
          </cell>
          <cell r="U160">
            <v>4.3499999999999997E-3</v>
          </cell>
          <cell r="V160" t="str">
            <v>CNY</v>
          </cell>
          <cell r="W160" t="str">
            <v>4,000.000</v>
          </cell>
          <cell r="X160" t="str">
            <v>4,000.000</v>
          </cell>
        </row>
        <row r="161">
          <cell r="D161">
            <v>10110003944</v>
          </cell>
          <cell r="E161" t="str">
            <v>贴片陶瓷电容器</v>
          </cell>
          <cell r="F161" t="str">
            <v>11060201</v>
          </cell>
          <cell r="G161" t="str">
            <v>WALS\CAP Cer 100nF K X7R 50VDC 0603 -55&amp;</v>
          </cell>
          <cell r="H161" t="str">
            <v>WALS(华科)</v>
          </cell>
          <cell r="I161" t="str">
            <v>0603B104K500CT</v>
          </cell>
          <cell r="J161" t="str">
            <v>100131</v>
          </cell>
          <cell r="K161" t="str">
            <v>东莞华科电子有限公司</v>
          </cell>
          <cell r="L161" t="str">
            <v>X</v>
          </cell>
          <cell r="M161" t="str">
            <v/>
          </cell>
          <cell r="N161" t="str">
            <v>1</v>
          </cell>
          <cell r="O161" t="str">
            <v>5.430000</v>
          </cell>
          <cell r="P161" t="str">
            <v>5.43</v>
          </cell>
          <cell r="Q161" t="str">
            <v>1,000</v>
          </cell>
          <cell r="R161" t="str">
            <v>PCS</v>
          </cell>
          <cell r="S161" t="str">
            <v>56</v>
          </cell>
          <cell r="T161" t="str">
            <v>J3</v>
          </cell>
          <cell r="U161">
            <v>5.4299999999999999E-3</v>
          </cell>
          <cell r="V161" t="str">
            <v>CNY</v>
          </cell>
          <cell r="W161" t="str">
            <v>4,000.000</v>
          </cell>
          <cell r="X161" t="str">
            <v>4,000.000</v>
          </cell>
        </row>
        <row r="162">
          <cell r="D162">
            <v>10110004932</v>
          </cell>
          <cell r="E162" t="str">
            <v>贴片陶瓷电容器</v>
          </cell>
          <cell r="F162" t="str">
            <v>11060201</v>
          </cell>
          <cell r="G162" t="str">
            <v>WALS\CAP Cer 100pF K X7R 50VDC 0603</v>
          </cell>
          <cell r="H162" t="str">
            <v>WALS(华科)</v>
          </cell>
          <cell r="I162" t="str">
            <v>0603B101K500CT</v>
          </cell>
          <cell r="J162" t="str">
            <v>100131</v>
          </cell>
          <cell r="K162" t="str">
            <v>东莞华科电子有限公司</v>
          </cell>
          <cell r="L162" t="str">
            <v>X</v>
          </cell>
          <cell r="M162" t="str">
            <v/>
          </cell>
          <cell r="N162" t="str">
            <v>1</v>
          </cell>
          <cell r="O162" t="str">
            <v>6.220000</v>
          </cell>
          <cell r="P162" t="str">
            <v>6.22</v>
          </cell>
          <cell r="Q162" t="str">
            <v>1,000</v>
          </cell>
          <cell r="R162" t="str">
            <v>PCS</v>
          </cell>
          <cell r="S162" t="str">
            <v>56</v>
          </cell>
          <cell r="T162" t="str">
            <v>J3</v>
          </cell>
          <cell r="U162">
            <v>6.2199999999999998E-3</v>
          </cell>
          <cell r="V162" t="str">
            <v>CNY</v>
          </cell>
          <cell r="W162" t="str">
            <v>4,000.000</v>
          </cell>
          <cell r="X162" t="str">
            <v>4,000.000</v>
          </cell>
        </row>
        <row r="163">
          <cell r="D163">
            <v>10110005817</v>
          </cell>
          <cell r="E163" t="str">
            <v>贴片陶瓷电容器</v>
          </cell>
          <cell r="F163" t="str">
            <v>11060201</v>
          </cell>
          <cell r="G163" t="str">
            <v>WALS\CAP Cer 1nF K X7R 50VDC 0402</v>
          </cell>
          <cell r="H163" t="str">
            <v>WALS(华科)</v>
          </cell>
          <cell r="I163" t="str">
            <v>0402B102K500CT</v>
          </cell>
          <cell r="J163" t="str">
            <v>100131</v>
          </cell>
          <cell r="K163" t="str">
            <v>东莞华科电子有限公司</v>
          </cell>
          <cell r="L163" t="str">
            <v>X</v>
          </cell>
          <cell r="M163" t="str">
            <v/>
          </cell>
          <cell r="N163" t="str">
            <v>1</v>
          </cell>
          <cell r="O163" t="str">
            <v>1.980000</v>
          </cell>
          <cell r="P163" t="str">
            <v>1.98</v>
          </cell>
          <cell r="Q163" t="str">
            <v>1,000</v>
          </cell>
          <cell r="R163" t="str">
            <v>PCS</v>
          </cell>
          <cell r="S163" t="str">
            <v>56</v>
          </cell>
          <cell r="T163" t="str">
            <v>J3</v>
          </cell>
          <cell r="U163">
            <v>1.98E-3</v>
          </cell>
          <cell r="V163" t="str">
            <v>CNY</v>
          </cell>
          <cell r="W163" t="str">
            <v>10,000.000</v>
          </cell>
          <cell r="X163" t="str">
            <v>10,000.000</v>
          </cell>
        </row>
        <row r="164">
          <cell r="D164">
            <v>10110007822</v>
          </cell>
          <cell r="E164" t="str">
            <v>贴片陶瓷电容器</v>
          </cell>
          <cell r="F164" t="str">
            <v>11060201</v>
          </cell>
          <cell r="G164" t="str">
            <v>SAMS\CAP Cer 1nF K X7R 50VDC 0402</v>
          </cell>
          <cell r="H164" t="str">
            <v>SAMSUNG(三星)</v>
          </cell>
          <cell r="I164" t="str">
            <v>CL05B102KB5NNNC</v>
          </cell>
          <cell r="J164" t="str">
            <v>101239</v>
          </cell>
          <cell r="K164" t="str">
            <v>苏州荣采电子有限公司</v>
          </cell>
          <cell r="L164" t="str">
            <v>X</v>
          </cell>
          <cell r="M164" t="str">
            <v/>
          </cell>
          <cell r="N164" t="str">
            <v>1</v>
          </cell>
          <cell r="O164" t="str">
            <v>2.800000</v>
          </cell>
          <cell r="P164" t="str">
            <v>2.80</v>
          </cell>
          <cell r="Q164" t="str">
            <v>1,000</v>
          </cell>
          <cell r="R164" t="str">
            <v>PCS</v>
          </cell>
          <cell r="S164" t="str">
            <v>56</v>
          </cell>
          <cell r="T164" t="str">
            <v>J3</v>
          </cell>
          <cell r="U164">
            <v>2.8E-3</v>
          </cell>
          <cell r="V164" t="str">
            <v>CNY</v>
          </cell>
          <cell r="W164" t="str">
            <v>10,000.000</v>
          </cell>
          <cell r="X164" t="str">
            <v>10,000.000</v>
          </cell>
        </row>
        <row r="165">
          <cell r="D165">
            <v>10110008734</v>
          </cell>
          <cell r="E165" t="str">
            <v>贴片陶瓷电容器</v>
          </cell>
          <cell r="F165" t="str">
            <v>11060201</v>
          </cell>
          <cell r="G165" t="str">
            <v>FH\CAP Cer 1nF K X7R 50VDC 0402</v>
          </cell>
          <cell r="H165" t="str">
            <v>FH(风华)</v>
          </cell>
          <cell r="I165" t="str">
            <v>0402B102K500NT</v>
          </cell>
          <cell r="J165" t="str">
            <v>100654</v>
          </cell>
          <cell r="K165" t="str">
            <v>广东风华高新科技股份有限公司</v>
          </cell>
          <cell r="L165" t="str">
            <v>X</v>
          </cell>
          <cell r="M165" t="str">
            <v/>
          </cell>
          <cell r="N165" t="str">
            <v>1</v>
          </cell>
          <cell r="O165" t="str">
            <v>2.100000</v>
          </cell>
          <cell r="P165" t="str">
            <v>2.10</v>
          </cell>
          <cell r="Q165" t="str">
            <v>1,000</v>
          </cell>
          <cell r="R165" t="str">
            <v>PCS</v>
          </cell>
          <cell r="S165" t="str">
            <v>56</v>
          </cell>
          <cell r="T165" t="str">
            <v>J3</v>
          </cell>
          <cell r="U165">
            <v>2.0999999999999999E-3</v>
          </cell>
          <cell r="V165" t="str">
            <v>CNY</v>
          </cell>
          <cell r="W165" t="str">
            <v>10,000.000</v>
          </cell>
          <cell r="X165" t="str">
            <v>10,000.000</v>
          </cell>
        </row>
        <row r="166">
          <cell r="D166">
            <v>10110008872</v>
          </cell>
          <cell r="E166" t="str">
            <v>贴片陶瓷电容器</v>
          </cell>
          <cell r="F166" t="str">
            <v>11060201</v>
          </cell>
          <cell r="G166" t="str">
            <v>FH\CAP Cer 100pF K X7R 50VDC 0603</v>
          </cell>
          <cell r="H166" t="str">
            <v>FH(风华)</v>
          </cell>
          <cell r="I166" t="str">
            <v>0603B101K500NT</v>
          </cell>
          <cell r="J166" t="str">
            <v>100654</v>
          </cell>
          <cell r="K166" t="str">
            <v>广东风华高新科技股份有限公司</v>
          </cell>
          <cell r="L166" t="str">
            <v>X</v>
          </cell>
          <cell r="M166" t="str">
            <v/>
          </cell>
          <cell r="N166" t="str">
            <v>1</v>
          </cell>
          <cell r="O166" t="str">
            <v>5.800000</v>
          </cell>
          <cell r="P166" t="str">
            <v>5.80</v>
          </cell>
          <cell r="Q166" t="str">
            <v>1,000</v>
          </cell>
          <cell r="R166" t="str">
            <v>PCS</v>
          </cell>
          <cell r="S166" t="str">
            <v>56</v>
          </cell>
          <cell r="T166" t="str">
            <v>J3</v>
          </cell>
          <cell r="U166">
            <v>5.7999999999999996E-3</v>
          </cell>
          <cell r="V166" t="str">
            <v>CNY</v>
          </cell>
          <cell r="W166" t="str">
            <v>4,000.000</v>
          </cell>
          <cell r="X166" t="str">
            <v>4,000.000</v>
          </cell>
        </row>
        <row r="167">
          <cell r="D167">
            <v>10110011281</v>
          </cell>
          <cell r="E167" t="str">
            <v>贴片陶瓷电容器</v>
          </cell>
          <cell r="F167" t="str">
            <v>11060201</v>
          </cell>
          <cell r="G167" t="str">
            <v>SH3\CAP Cer 1nF K X7R 50VDC 0603</v>
          </cell>
          <cell r="H167" t="str">
            <v>CCTC(三环)</v>
          </cell>
          <cell r="I167" t="str">
            <v>TCC0603X7R102K500CT</v>
          </cell>
          <cell r="J167" t="str">
            <v>102178</v>
          </cell>
          <cell r="K167" t="str">
            <v>潮州三环（集团）股份有限公司</v>
          </cell>
          <cell r="L167" t="str">
            <v>X</v>
          </cell>
          <cell r="M167" t="str">
            <v/>
          </cell>
          <cell r="N167" t="str">
            <v>1</v>
          </cell>
          <cell r="O167" t="str">
            <v>5.450000</v>
          </cell>
          <cell r="P167" t="str">
            <v>5.45</v>
          </cell>
          <cell r="Q167" t="str">
            <v>1,000</v>
          </cell>
          <cell r="R167" t="str">
            <v>PCS</v>
          </cell>
          <cell r="S167" t="str">
            <v>56</v>
          </cell>
          <cell r="T167" t="str">
            <v>J3</v>
          </cell>
          <cell r="U167">
            <v>5.45E-3</v>
          </cell>
          <cell r="V167" t="str">
            <v>CNY</v>
          </cell>
          <cell r="W167" t="str">
            <v>4,000.000</v>
          </cell>
          <cell r="X167" t="str">
            <v>4,000.000</v>
          </cell>
        </row>
        <row r="168">
          <cell r="D168">
            <v>10110011283</v>
          </cell>
          <cell r="E168" t="str">
            <v>贴片陶瓷电容器</v>
          </cell>
          <cell r="F168" t="str">
            <v>11060201</v>
          </cell>
          <cell r="G168" t="str">
            <v>SH3\CAP Cer 100nF K X7R 50VDC 0603 -55℃&amp;</v>
          </cell>
          <cell r="H168" t="str">
            <v>CCTC(三环)</v>
          </cell>
          <cell r="I168" t="str">
            <v>TCC0603X7R104K500CT</v>
          </cell>
          <cell r="J168" t="str">
            <v>102178</v>
          </cell>
          <cell r="K168" t="str">
            <v>潮州三环（集团）股份有限公司</v>
          </cell>
          <cell r="L168" t="str">
            <v>X</v>
          </cell>
          <cell r="M168" t="str">
            <v/>
          </cell>
          <cell r="N168" t="str">
            <v>1</v>
          </cell>
          <cell r="O168" t="str">
            <v>5.150000</v>
          </cell>
          <cell r="P168" t="str">
            <v>5.15</v>
          </cell>
          <cell r="Q168" t="str">
            <v>1,000</v>
          </cell>
          <cell r="R168" t="str">
            <v>PCS</v>
          </cell>
          <cell r="S168" t="str">
            <v>56</v>
          </cell>
          <cell r="T168" t="str">
            <v>J3</v>
          </cell>
          <cell r="U168">
            <v>5.1500000000000001E-3</v>
          </cell>
          <cell r="V168" t="str">
            <v>CNY</v>
          </cell>
          <cell r="W168" t="str">
            <v>4,000.000</v>
          </cell>
          <cell r="X168" t="str">
            <v>4,000.000</v>
          </cell>
        </row>
        <row r="169">
          <cell r="D169">
            <v>10110012149</v>
          </cell>
          <cell r="E169" t="str">
            <v>贴片陶瓷电容器</v>
          </cell>
          <cell r="F169" t="str">
            <v>11060201</v>
          </cell>
          <cell r="G169" t="str">
            <v>SH3\CAP Cer 1nF K X7R 50VDC 0402</v>
          </cell>
          <cell r="H169" t="str">
            <v>CCTC(三环)</v>
          </cell>
          <cell r="I169" t="str">
            <v>TCC0402X7R102K500AT</v>
          </cell>
          <cell r="J169" t="str">
            <v>102178</v>
          </cell>
          <cell r="K169" t="str">
            <v>潮州三环（集团）股份有限公司</v>
          </cell>
          <cell r="L169" t="str">
            <v>X</v>
          </cell>
          <cell r="M169" t="str">
            <v/>
          </cell>
          <cell r="N169" t="str">
            <v>1</v>
          </cell>
          <cell r="O169" t="str">
            <v>1.860000</v>
          </cell>
          <cell r="P169" t="str">
            <v>1.86</v>
          </cell>
          <cell r="Q169" t="str">
            <v>1,000</v>
          </cell>
          <cell r="R169" t="str">
            <v>PCS</v>
          </cell>
          <cell r="S169" t="str">
            <v>70</v>
          </cell>
          <cell r="T169" t="str">
            <v>J3</v>
          </cell>
          <cell r="U169">
            <v>1.8600000000000001E-3</v>
          </cell>
          <cell r="V169" t="str">
            <v>CNY</v>
          </cell>
          <cell r="W169" t="str">
            <v>10,000.000</v>
          </cell>
          <cell r="X169" t="str">
            <v>10,000.000</v>
          </cell>
        </row>
        <row r="170">
          <cell r="D170">
            <v>10110012151</v>
          </cell>
          <cell r="E170" t="str">
            <v>贴片陶瓷电容器</v>
          </cell>
          <cell r="F170" t="str">
            <v>11060201</v>
          </cell>
          <cell r="G170" t="str">
            <v>SH3\CAP Cer 100nF K X7R 50VDC 0603</v>
          </cell>
          <cell r="H170" t="str">
            <v>CCTC(三环)</v>
          </cell>
          <cell r="I170" t="str">
            <v>TCC0603X7R104K500CT</v>
          </cell>
          <cell r="J170" t="str">
            <v>102178</v>
          </cell>
          <cell r="K170" t="str">
            <v>潮州三环（集团）股份有限公司</v>
          </cell>
          <cell r="L170" t="str">
            <v>X</v>
          </cell>
          <cell r="M170" t="str">
            <v/>
          </cell>
          <cell r="N170" t="str">
            <v>1</v>
          </cell>
          <cell r="O170" t="str">
            <v>5.150000</v>
          </cell>
          <cell r="P170" t="str">
            <v>5.15</v>
          </cell>
          <cell r="Q170" t="str">
            <v>1,000</v>
          </cell>
          <cell r="R170" t="str">
            <v>PCS</v>
          </cell>
          <cell r="S170" t="str">
            <v>56</v>
          </cell>
          <cell r="T170" t="str">
            <v>J3</v>
          </cell>
          <cell r="U170">
            <v>5.1500000000000001E-3</v>
          </cell>
          <cell r="V170" t="str">
            <v>CNY</v>
          </cell>
          <cell r="W170" t="str">
            <v>4,000.000</v>
          </cell>
          <cell r="X170" t="str">
            <v>4,000.000</v>
          </cell>
        </row>
        <row r="171">
          <cell r="D171">
            <v>10110013284</v>
          </cell>
          <cell r="E171" t="str">
            <v>贴片陶瓷电容器</v>
          </cell>
          <cell r="F171" t="str">
            <v>11060201</v>
          </cell>
          <cell r="G171" t="str">
            <v>SH3\CAP Cer 100pF K X7R 50VDC 0603</v>
          </cell>
          <cell r="H171" t="str">
            <v>CCTC(三环)</v>
          </cell>
          <cell r="I171" t="str">
            <v>TCC0603X7R101K500CT</v>
          </cell>
          <cell r="J171" t="str">
            <v>102178</v>
          </cell>
          <cell r="K171" t="str">
            <v>潮州三环（集团）股份有限公司</v>
          </cell>
          <cell r="L171" t="str">
            <v>X</v>
          </cell>
          <cell r="M171" t="str">
            <v/>
          </cell>
          <cell r="N171" t="str">
            <v>1</v>
          </cell>
          <cell r="O171" t="str">
            <v>5.800000</v>
          </cell>
          <cell r="P171" t="str">
            <v>5.80</v>
          </cell>
          <cell r="Q171" t="str">
            <v>1,000</v>
          </cell>
          <cell r="R171" t="str">
            <v>PCS</v>
          </cell>
          <cell r="S171" t="str">
            <v>70</v>
          </cell>
          <cell r="T171" t="str">
            <v>J3</v>
          </cell>
          <cell r="U171">
            <v>5.7999999999999996E-3</v>
          </cell>
          <cell r="V171" t="str">
            <v>CNY</v>
          </cell>
          <cell r="W171" t="str">
            <v>4,000.000</v>
          </cell>
          <cell r="X171" t="str">
            <v>4,000.000</v>
          </cell>
        </row>
        <row r="172">
          <cell r="D172">
            <v>10110015554</v>
          </cell>
          <cell r="E172" t="str">
            <v>贴片陶瓷电容器</v>
          </cell>
          <cell r="F172" t="str">
            <v>11060201</v>
          </cell>
          <cell r="G172" t="str">
            <v>YAGEO\CAP Cer 100pF K X7R 50VDC 0603</v>
          </cell>
          <cell r="H172" t="str">
            <v>YAGEO(国巨)</v>
          </cell>
          <cell r="I172" t="str">
            <v>CC0603KRX7R9BB101</v>
          </cell>
          <cell r="J172" t="str">
            <v>100036</v>
          </cell>
          <cell r="K172" t="str">
            <v>厦门信和达电子有限公司</v>
          </cell>
          <cell r="L172" t="str">
            <v>X</v>
          </cell>
          <cell r="M172" t="str">
            <v/>
          </cell>
          <cell r="N172" t="str">
            <v>1</v>
          </cell>
          <cell r="O172" t="str">
            <v>6.000000</v>
          </cell>
          <cell r="P172" t="str">
            <v>6.00</v>
          </cell>
          <cell r="Q172" t="str">
            <v>1,000</v>
          </cell>
          <cell r="R172" t="str">
            <v>PCS</v>
          </cell>
          <cell r="S172" t="str">
            <v>56</v>
          </cell>
          <cell r="T172" t="str">
            <v>J3</v>
          </cell>
          <cell r="U172">
            <v>6.0000000000000001E-3</v>
          </cell>
          <cell r="V172" t="str">
            <v>CNY</v>
          </cell>
          <cell r="W172" t="str">
            <v>4,000.000</v>
          </cell>
          <cell r="X172" t="str">
            <v>4,000.000</v>
          </cell>
        </row>
        <row r="173">
          <cell r="D173">
            <v>10110020767</v>
          </cell>
          <cell r="E173" t="str">
            <v>贴片陶瓷电容器</v>
          </cell>
          <cell r="F173" t="str">
            <v>11060201</v>
          </cell>
          <cell r="G173" t="str">
            <v>YAGEO\CAP Cer 1uF K X7R 10VDC 0402</v>
          </cell>
          <cell r="H173" t="str">
            <v>YAGEO(国巨)</v>
          </cell>
          <cell r="I173" t="str">
            <v>CC0402KRX7R6BB105</v>
          </cell>
          <cell r="J173" t="str">
            <v>100078</v>
          </cell>
          <cell r="K173" t="str">
            <v>深圳市超利维实业有限公司</v>
          </cell>
          <cell r="L173" t="str">
            <v>X</v>
          </cell>
          <cell r="M173" t="str">
            <v>X</v>
          </cell>
          <cell r="N173" t="str">
            <v>1</v>
          </cell>
          <cell r="O173" t="str">
            <v>60.000000</v>
          </cell>
          <cell r="P173" t="str">
            <v>60.00</v>
          </cell>
          <cell r="Q173" t="str">
            <v>1,000</v>
          </cell>
          <cell r="R173" t="str">
            <v>PCS</v>
          </cell>
          <cell r="S173" t="str">
            <v>56</v>
          </cell>
          <cell r="T173" t="str">
            <v>J3</v>
          </cell>
          <cell r="U173">
            <v>0.06</v>
          </cell>
          <cell r="V173" t="str">
            <v>CNY</v>
          </cell>
          <cell r="W173" t="str">
            <v>10,000.000</v>
          </cell>
          <cell r="X173" t="str">
            <v>10,000.000</v>
          </cell>
        </row>
        <row r="174">
          <cell r="D174">
            <v>10110001319</v>
          </cell>
          <cell r="E174" t="str">
            <v>贴片陶瓷电容器</v>
          </cell>
          <cell r="F174" t="str">
            <v>11060201</v>
          </cell>
          <cell r="G174" t="str">
            <v>FH\CAP Cer 1nF K X7R 50VDC 0603</v>
          </cell>
          <cell r="H174" t="str">
            <v>FH(风华)</v>
          </cell>
          <cell r="I174" t="str">
            <v>0603B102K500NT</v>
          </cell>
          <cell r="J174" t="str">
            <v>102514</v>
          </cell>
          <cell r="K174" t="str">
            <v>GALAXY HOLDING INTERNATIONAL CO., L</v>
          </cell>
          <cell r="L174" t="str">
            <v>X</v>
          </cell>
          <cell r="M174" t="str">
            <v/>
          </cell>
          <cell r="N174" t="str">
            <v>1</v>
          </cell>
          <cell r="O174" t="str">
            <v>0.710000</v>
          </cell>
          <cell r="P174" t="str">
            <v>0.71</v>
          </cell>
          <cell r="Q174" t="str">
            <v>1,000</v>
          </cell>
          <cell r="R174" t="str">
            <v>PCS</v>
          </cell>
          <cell r="S174" t="str">
            <v>56</v>
          </cell>
          <cell r="T174" t="str">
            <v>V0</v>
          </cell>
          <cell r="U174">
            <v>7.1000000000000002E-4</v>
          </cell>
          <cell r="V174" t="str">
            <v>USD</v>
          </cell>
          <cell r="W174" t="str">
            <v>4,000.000</v>
          </cell>
          <cell r="X174" t="str">
            <v>4,000.000</v>
          </cell>
        </row>
        <row r="175">
          <cell r="D175">
            <v>10110001388</v>
          </cell>
          <cell r="E175" t="str">
            <v>贴片陶瓷电容器</v>
          </cell>
          <cell r="F175" t="str">
            <v>11060201</v>
          </cell>
          <cell r="G175" t="str">
            <v>FH\CAP Cer 100nF K X7R 50VDC 0603 -55℃~&amp;</v>
          </cell>
          <cell r="H175" t="str">
            <v>FH(风华)</v>
          </cell>
          <cell r="I175" t="str">
            <v>0603B104K500NT</v>
          </cell>
          <cell r="J175" t="str">
            <v>102514</v>
          </cell>
          <cell r="K175" t="str">
            <v>GALAXY HOLDING INTERNATIONAL CO., L</v>
          </cell>
          <cell r="L175" t="str">
            <v>X</v>
          </cell>
          <cell r="M175" t="str">
            <v/>
          </cell>
          <cell r="N175" t="str">
            <v>1</v>
          </cell>
          <cell r="O175" t="str">
            <v>0.710000</v>
          </cell>
          <cell r="P175" t="str">
            <v>0.71</v>
          </cell>
          <cell r="Q175" t="str">
            <v>1,000</v>
          </cell>
          <cell r="R175" t="str">
            <v>PCS</v>
          </cell>
          <cell r="S175" t="str">
            <v>56</v>
          </cell>
          <cell r="T175" t="str">
            <v>V0</v>
          </cell>
          <cell r="U175">
            <v>7.1000000000000002E-4</v>
          </cell>
          <cell r="V175" t="str">
            <v>USD</v>
          </cell>
          <cell r="W175" t="str">
            <v>4,000.000</v>
          </cell>
          <cell r="X175" t="str">
            <v>4,000.000</v>
          </cell>
        </row>
        <row r="176">
          <cell r="D176">
            <v>10110008734</v>
          </cell>
          <cell r="E176" t="str">
            <v>贴片陶瓷电容器</v>
          </cell>
          <cell r="F176" t="str">
            <v>11060201</v>
          </cell>
          <cell r="G176" t="str">
            <v>FH\CAP Cer 1nF K X7R 50VDC 0402</v>
          </cell>
          <cell r="H176" t="str">
            <v>FH(风华)</v>
          </cell>
          <cell r="I176" t="str">
            <v>0402B102K500NT</v>
          </cell>
          <cell r="J176" t="str">
            <v>102514</v>
          </cell>
          <cell r="K176" t="str">
            <v>GALAXY HOLDING INTERNATIONAL CO., L</v>
          </cell>
          <cell r="L176" t="str">
            <v>X</v>
          </cell>
          <cell r="M176" t="str">
            <v/>
          </cell>
          <cell r="N176" t="str">
            <v>1</v>
          </cell>
          <cell r="O176" t="str">
            <v>0.270000</v>
          </cell>
          <cell r="P176" t="str">
            <v>0.27</v>
          </cell>
          <cell r="Q176" t="str">
            <v>1,000</v>
          </cell>
          <cell r="R176" t="str">
            <v>PCS</v>
          </cell>
          <cell r="S176" t="str">
            <v>56</v>
          </cell>
          <cell r="T176" t="str">
            <v>V0</v>
          </cell>
          <cell r="U176">
            <v>2.7E-4</v>
          </cell>
          <cell r="V176" t="str">
            <v>USD</v>
          </cell>
          <cell r="W176" t="str">
            <v>10,000.000</v>
          </cell>
          <cell r="X176" t="str">
            <v>10,000.000</v>
          </cell>
        </row>
        <row r="177">
          <cell r="D177">
            <v>10110015554</v>
          </cell>
          <cell r="E177" t="str">
            <v>贴片陶瓷电容器</v>
          </cell>
          <cell r="F177" t="str">
            <v>11060201</v>
          </cell>
          <cell r="G177" t="str">
            <v>YAGEO\CAP Cer 100pF K X7R 50VDC 0603</v>
          </cell>
          <cell r="H177" t="str">
            <v>YAGEO(国巨)</v>
          </cell>
          <cell r="I177" t="str">
            <v>CC0603KRX7R9BB101</v>
          </cell>
          <cell r="J177" t="str">
            <v>102830</v>
          </cell>
          <cell r="K177" t="str">
            <v>越南超利维科技有限公司</v>
          </cell>
          <cell r="L177" t="str">
            <v>X</v>
          </cell>
          <cell r="M177" t="str">
            <v/>
          </cell>
          <cell r="N177" t="str">
            <v>1</v>
          </cell>
          <cell r="O177" t="str">
            <v>0.750000</v>
          </cell>
          <cell r="P177" t="str">
            <v>0.75</v>
          </cell>
          <cell r="Q177" t="str">
            <v>1,000</v>
          </cell>
          <cell r="R177" t="str">
            <v>PCS</v>
          </cell>
          <cell r="S177" t="str">
            <v>77</v>
          </cell>
          <cell r="T177" t="str">
            <v>V0</v>
          </cell>
          <cell r="U177">
            <v>7.5000000000000002E-4</v>
          </cell>
          <cell r="V177" t="str">
            <v>USD</v>
          </cell>
          <cell r="W177" t="str">
            <v>4,000.000</v>
          </cell>
          <cell r="X177" t="str">
            <v>4,000.000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1">
          <cell r="D1" t="str">
            <v>物料号</v>
          </cell>
          <cell r="E1" t="str">
            <v>供应商名称</v>
          </cell>
          <cell r="F1"/>
          <cell r="G1" t="str">
            <v>货币单位</v>
          </cell>
          <cell r="H1" t="str">
            <v>信息记录L/T</v>
          </cell>
          <cell r="I1" t="str">
            <v>MOQ</v>
          </cell>
          <cell r="J1" t="str">
            <v>MPQ</v>
          </cell>
        </row>
        <row r="2">
          <cell r="D2">
            <v>10100002122</v>
          </cell>
          <cell r="E2" t="str">
            <v>深圳市欧尔法电子有限公司</v>
          </cell>
          <cell r="F2">
            <v>4.7999999999999996E-3</v>
          </cell>
          <cell r="G2" t="str">
            <v>CNY</v>
          </cell>
          <cell r="H2" t="str">
            <v>56</v>
          </cell>
          <cell r="I2" t="str">
            <v>5,000.000</v>
          </cell>
          <cell r="J2" t="str">
            <v>5,000.000</v>
          </cell>
        </row>
        <row r="3">
          <cell r="D3">
            <v>10100002123</v>
          </cell>
          <cell r="E3" t="str">
            <v>广东风华高新科技股份有限公司</v>
          </cell>
          <cell r="F3">
            <v>3.7200000000000002E-3</v>
          </cell>
          <cell r="G3" t="str">
            <v>CNY</v>
          </cell>
          <cell r="H3" t="str">
            <v>42</v>
          </cell>
          <cell r="I3" t="str">
            <v>5,000.000</v>
          </cell>
          <cell r="J3" t="str">
            <v>5,000.000</v>
          </cell>
        </row>
        <row r="4">
          <cell r="D4">
            <v>10100002133</v>
          </cell>
          <cell r="E4" t="str">
            <v>广东风华高新科技股份有限公司</v>
          </cell>
          <cell r="F4">
            <v>3.2699999999999999E-3</v>
          </cell>
          <cell r="G4" t="str">
            <v>CNY</v>
          </cell>
          <cell r="H4" t="str">
            <v>42</v>
          </cell>
          <cell r="I4" t="str">
            <v>5,000.000</v>
          </cell>
          <cell r="J4" t="str">
            <v>5,000.000</v>
          </cell>
        </row>
        <row r="5">
          <cell r="D5">
            <v>10100002715</v>
          </cell>
          <cell r="E5" t="str">
            <v>深圳市欧尔法电子有限公司</v>
          </cell>
          <cell r="F5">
            <v>4.7999999999999996E-3</v>
          </cell>
          <cell r="G5" t="str">
            <v>CNY</v>
          </cell>
          <cell r="H5" t="str">
            <v>70</v>
          </cell>
          <cell r="I5" t="str">
            <v>5,000.000</v>
          </cell>
          <cell r="J5" t="str">
            <v>5,000.000</v>
          </cell>
        </row>
        <row r="6">
          <cell r="D6">
            <v>10100002752</v>
          </cell>
          <cell r="E6" t="str">
            <v>深圳市欧尔法电子有限公司</v>
          </cell>
          <cell r="F6">
            <v>4.7999999999999996E-3</v>
          </cell>
          <cell r="G6" t="str">
            <v>CNY</v>
          </cell>
          <cell r="H6" t="str">
            <v>70</v>
          </cell>
          <cell r="I6" t="str">
            <v>5,000.000</v>
          </cell>
          <cell r="J6" t="str">
            <v>5,000.000</v>
          </cell>
        </row>
        <row r="7">
          <cell r="D7">
            <v>10100003500</v>
          </cell>
          <cell r="E7" t="str">
            <v>深圳市超利维实业有限公司</v>
          </cell>
          <cell r="F7">
            <v>2.5999999999999999E-3</v>
          </cell>
          <cell r="G7" t="str">
            <v>CNY</v>
          </cell>
          <cell r="H7" t="str">
            <v>56</v>
          </cell>
          <cell r="I7" t="str">
            <v>5,000.000</v>
          </cell>
          <cell r="J7" t="str">
            <v>5,000.000</v>
          </cell>
        </row>
        <row r="8">
          <cell r="D8">
            <v>10100004833</v>
          </cell>
          <cell r="E8" t="str">
            <v>东莞华科电子有限公司</v>
          </cell>
          <cell r="F8">
            <v>3.8800000000000002E-3</v>
          </cell>
          <cell r="G8" t="str">
            <v>CNY</v>
          </cell>
          <cell r="H8" t="str">
            <v>56</v>
          </cell>
          <cell r="I8" t="str">
            <v>5,000.000</v>
          </cell>
          <cell r="J8" t="str">
            <v>5,000.000</v>
          </cell>
        </row>
        <row r="9">
          <cell r="D9">
            <v>10100005487</v>
          </cell>
          <cell r="E9" t="str">
            <v>厚声国际贸易（昆山）有限公司深圳分公司</v>
          </cell>
          <cell r="F9">
            <v>3.8E-3</v>
          </cell>
          <cell r="G9" t="str">
            <v>CNY</v>
          </cell>
          <cell r="H9" t="str">
            <v>56</v>
          </cell>
          <cell r="I9" t="str">
            <v>5,000.000</v>
          </cell>
          <cell r="J9" t="str">
            <v>5,000.000</v>
          </cell>
        </row>
        <row r="10">
          <cell r="D10">
            <v>10100005703</v>
          </cell>
          <cell r="E10" t="str">
            <v>深圳市超利维实业有限公司</v>
          </cell>
          <cell r="F10">
            <v>1.4E-3</v>
          </cell>
          <cell r="G10" t="str">
            <v>CNY</v>
          </cell>
          <cell r="H10" t="str">
            <v>84</v>
          </cell>
          <cell r="I10" t="str">
            <v>10,000.000</v>
          </cell>
          <cell r="J10" t="str">
            <v>10,000.000</v>
          </cell>
        </row>
        <row r="11">
          <cell r="D11">
            <v>10100005718</v>
          </cell>
          <cell r="E11" t="str">
            <v>广东风华高新科技股份有限公司</v>
          </cell>
          <cell r="F11">
            <v>1.1000000000000001E-3</v>
          </cell>
          <cell r="G11" t="str">
            <v>CNY</v>
          </cell>
          <cell r="H11" t="str">
            <v>42</v>
          </cell>
          <cell r="I11" t="str">
            <v>10,000.000</v>
          </cell>
          <cell r="J11" t="str">
            <v>10,000.000</v>
          </cell>
        </row>
        <row r="12">
          <cell r="D12">
            <v>10100005795</v>
          </cell>
          <cell r="E12" t="str">
            <v>广东风华高新科技股份有限公司</v>
          </cell>
          <cell r="F12">
            <v>1.1000000000000001E-3</v>
          </cell>
          <cell r="G12" t="str">
            <v>CNY</v>
          </cell>
          <cell r="H12" t="str">
            <v>42</v>
          </cell>
          <cell r="I12" t="str">
            <v>10,000.000</v>
          </cell>
          <cell r="J12" t="str">
            <v>10,000.000</v>
          </cell>
        </row>
        <row r="13">
          <cell r="D13">
            <v>10100006507</v>
          </cell>
          <cell r="E13" t="str">
            <v>广东风华高新科技股份有限公司</v>
          </cell>
          <cell r="F13">
            <v>2.0799999999999998E-3</v>
          </cell>
          <cell r="G13" t="str">
            <v>CNY</v>
          </cell>
          <cell r="H13" t="str">
            <v>42</v>
          </cell>
          <cell r="I13" t="str">
            <v>5,000.000</v>
          </cell>
          <cell r="J13" t="str">
            <v>5,000.000</v>
          </cell>
        </row>
        <row r="14">
          <cell r="D14">
            <v>10100006625</v>
          </cell>
          <cell r="E14" t="str">
            <v>广东风华高新科技股份有限公司</v>
          </cell>
          <cell r="F14">
            <v>3.7599999999999999E-3</v>
          </cell>
          <cell r="G14" t="str">
            <v>CNY</v>
          </cell>
          <cell r="H14" t="str">
            <v>42</v>
          </cell>
          <cell r="I14" t="str">
            <v>5,000.000</v>
          </cell>
          <cell r="J14" t="str">
            <v>5,000.000</v>
          </cell>
        </row>
        <row r="15">
          <cell r="D15">
            <v>10100006627</v>
          </cell>
          <cell r="E15" t="str">
            <v>广东风华高新科技股份有限公司</v>
          </cell>
          <cell r="F15">
            <v>3.7200000000000002E-3</v>
          </cell>
          <cell r="G15" t="str">
            <v>CNY</v>
          </cell>
          <cell r="H15" t="str">
            <v>42</v>
          </cell>
          <cell r="I15" t="str">
            <v>5,000.000</v>
          </cell>
          <cell r="J15" t="str">
            <v>5,000.000</v>
          </cell>
        </row>
        <row r="16">
          <cell r="D16">
            <v>10100006711</v>
          </cell>
          <cell r="E16" t="str">
            <v>东莞华科电子有限公司</v>
          </cell>
          <cell r="F16">
            <v>1.17E-3</v>
          </cell>
          <cell r="G16" t="str">
            <v>CNY</v>
          </cell>
          <cell r="H16" t="str">
            <v>56</v>
          </cell>
          <cell r="I16" t="str">
            <v>10,000.000</v>
          </cell>
          <cell r="J16" t="str">
            <v>10,000.000</v>
          </cell>
        </row>
        <row r="17">
          <cell r="D17">
            <v>10100006845</v>
          </cell>
          <cell r="E17" t="str">
            <v>东莞华科电子有限公司</v>
          </cell>
          <cell r="F17">
            <v>2.2200000000000002E-3</v>
          </cell>
          <cell r="G17" t="str">
            <v>CNY</v>
          </cell>
          <cell r="H17" t="str">
            <v>56</v>
          </cell>
          <cell r="I17" t="str">
            <v>5,000.000</v>
          </cell>
          <cell r="J17" t="str">
            <v>5,000.000</v>
          </cell>
        </row>
        <row r="18">
          <cell r="D18">
            <v>10100007109</v>
          </cell>
          <cell r="E18" t="str">
            <v>东莞华科电子有限公司</v>
          </cell>
          <cell r="F18">
            <v>3.8800000000000002E-3</v>
          </cell>
          <cell r="G18" t="str">
            <v>CNY</v>
          </cell>
          <cell r="H18" t="str">
            <v>56</v>
          </cell>
          <cell r="I18" t="str">
            <v>5,000.000</v>
          </cell>
          <cell r="J18" t="str">
            <v>5,000.000</v>
          </cell>
        </row>
        <row r="19">
          <cell r="D19">
            <v>10100007120</v>
          </cell>
          <cell r="E19" t="str">
            <v>东莞华科电子有限公司</v>
          </cell>
          <cell r="F19">
            <v>3.8800000000000002E-3</v>
          </cell>
          <cell r="G19" t="str">
            <v>CNY</v>
          </cell>
          <cell r="H19" t="str">
            <v>56</v>
          </cell>
          <cell r="I19" t="str">
            <v>5,000.000</v>
          </cell>
          <cell r="J19" t="str">
            <v>5,000.000</v>
          </cell>
        </row>
        <row r="20">
          <cell r="D20">
            <v>10100007615</v>
          </cell>
          <cell r="E20" t="str">
            <v>深圳市超利维实业有限公司</v>
          </cell>
          <cell r="F20">
            <v>1.4E-3</v>
          </cell>
          <cell r="G20" t="str">
            <v>CNY</v>
          </cell>
          <cell r="H20" t="str">
            <v>84</v>
          </cell>
          <cell r="I20" t="str">
            <v>10,000.000</v>
          </cell>
          <cell r="J20" t="str">
            <v>10,000.000</v>
          </cell>
        </row>
        <row r="21">
          <cell r="D21">
            <v>10100008057</v>
          </cell>
          <cell r="E21" t="str">
            <v>广东风华高新科技股份有限公司</v>
          </cell>
          <cell r="F21">
            <v>1.1000000000000001E-3</v>
          </cell>
          <cell r="G21" t="str">
            <v>CNY</v>
          </cell>
          <cell r="H21" t="str">
            <v>42</v>
          </cell>
          <cell r="I21" t="str">
            <v>10,000.000</v>
          </cell>
          <cell r="J21" t="str">
            <v>10,000.000</v>
          </cell>
        </row>
        <row r="22">
          <cell r="D22">
            <v>10100008069</v>
          </cell>
          <cell r="E22" t="str">
            <v>东莞华科电子有限公司</v>
          </cell>
          <cell r="F22">
            <v>1.17E-3</v>
          </cell>
          <cell r="G22" t="str">
            <v>CNY</v>
          </cell>
          <cell r="H22" t="str">
            <v>56</v>
          </cell>
          <cell r="I22" t="str">
            <v>10,000.000</v>
          </cell>
          <cell r="J22" t="str">
            <v>10,000.000</v>
          </cell>
        </row>
        <row r="23">
          <cell r="D23">
            <v>10100008075</v>
          </cell>
          <cell r="E23" t="str">
            <v>深圳市超利维实业有限公司</v>
          </cell>
          <cell r="F23">
            <v>1.4E-3</v>
          </cell>
          <cell r="G23" t="str">
            <v>CNY</v>
          </cell>
          <cell r="H23" t="str">
            <v>56</v>
          </cell>
          <cell r="I23" t="str">
            <v>10,000.000</v>
          </cell>
          <cell r="J23" t="str">
            <v>10,000.000</v>
          </cell>
        </row>
        <row r="24">
          <cell r="D24">
            <v>10100008302</v>
          </cell>
          <cell r="E24" t="str">
            <v>东莞华科电子有限公司</v>
          </cell>
          <cell r="F24">
            <v>1.17E-3</v>
          </cell>
          <cell r="G24" t="str">
            <v>CNY</v>
          </cell>
          <cell r="H24" t="str">
            <v>56</v>
          </cell>
          <cell r="I24" t="str">
            <v>10,000.000</v>
          </cell>
          <cell r="J24" t="str">
            <v>10,000.000</v>
          </cell>
        </row>
        <row r="25">
          <cell r="D25">
            <v>10100008735</v>
          </cell>
          <cell r="E25" t="str">
            <v>广东风华高新科技股份有限公司</v>
          </cell>
          <cell r="F25">
            <v>1.1000000000000001E-3</v>
          </cell>
          <cell r="G25" t="str">
            <v>CNY</v>
          </cell>
          <cell r="H25" t="str">
            <v>42</v>
          </cell>
          <cell r="I25" t="str">
            <v>10,000.000</v>
          </cell>
          <cell r="J25" t="str">
            <v>10,000.000</v>
          </cell>
        </row>
        <row r="26">
          <cell r="D26">
            <v>10100008776</v>
          </cell>
          <cell r="E26" t="str">
            <v>广东风华高新科技股份有限公司</v>
          </cell>
          <cell r="F26">
            <v>2.0799999999999998E-3</v>
          </cell>
          <cell r="G26" t="str">
            <v>CNY</v>
          </cell>
          <cell r="H26" t="str">
            <v>42</v>
          </cell>
          <cell r="I26" t="str">
            <v>5,000.000</v>
          </cell>
          <cell r="J26" t="str">
            <v>5,000.000</v>
          </cell>
        </row>
        <row r="27">
          <cell r="D27">
            <v>10100008807</v>
          </cell>
          <cell r="E27" t="str">
            <v>东莞华科电子有限公司</v>
          </cell>
          <cell r="F27">
            <v>1.17E-3</v>
          </cell>
          <cell r="G27" t="str">
            <v>CNY</v>
          </cell>
          <cell r="H27" t="str">
            <v>56</v>
          </cell>
          <cell r="I27" t="str">
            <v>10,000.000</v>
          </cell>
          <cell r="J27" t="str">
            <v>10,000.000</v>
          </cell>
        </row>
        <row r="28">
          <cell r="D28">
            <v>10100008809</v>
          </cell>
          <cell r="E28" t="str">
            <v>广东风华高新科技股份有限公司</v>
          </cell>
          <cell r="F28">
            <v>1.1000000000000001E-3</v>
          </cell>
          <cell r="G28" t="str">
            <v>CNY</v>
          </cell>
          <cell r="H28" t="str">
            <v>42</v>
          </cell>
          <cell r="I28" t="str">
            <v>10,000.000</v>
          </cell>
          <cell r="J28" t="str">
            <v>10,000.000</v>
          </cell>
        </row>
        <row r="29">
          <cell r="D29">
            <v>10100008827</v>
          </cell>
          <cell r="E29" t="str">
            <v>东莞华科电子有限公司</v>
          </cell>
          <cell r="F29">
            <v>1.17E-3</v>
          </cell>
          <cell r="G29" t="str">
            <v>CNY</v>
          </cell>
          <cell r="H29" t="str">
            <v>56</v>
          </cell>
          <cell r="I29" t="str">
            <v>10,000.000</v>
          </cell>
          <cell r="J29" t="str">
            <v>10,000.000</v>
          </cell>
        </row>
        <row r="30">
          <cell r="D30">
            <v>10100008830</v>
          </cell>
          <cell r="E30" t="str">
            <v>深圳市欧尔法电子有限公司</v>
          </cell>
          <cell r="F30">
            <v>1.39E-3</v>
          </cell>
          <cell r="G30" t="str">
            <v>CNY</v>
          </cell>
          <cell r="H30" t="str">
            <v>56</v>
          </cell>
          <cell r="I30" t="str">
            <v>10,000.000</v>
          </cell>
          <cell r="J30" t="str">
            <v>10,000.000</v>
          </cell>
        </row>
        <row r="31">
          <cell r="D31">
            <v>10100009092</v>
          </cell>
          <cell r="E31" t="str">
            <v>深圳市奥特高科电子有限公司</v>
          </cell>
          <cell r="F31">
            <v>1.2999999999999999E-3</v>
          </cell>
          <cell r="G31" t="str">
            <v>CNY</v>
          </cell>
          <cell r="H31" t="str">
            <v>84</v>
          </cell>
          <cell r="I31" t="str">
            <v>10,000.000</v>
          </cell>
          <cell r="J31" t="str">
            <v>10,000.000</v>
          </cell>
        </row>
        <row r="32">
          <cell r="D32">
            <v>10100009093</v>
          </cell>
          <cell r="E32" t="str">
            <v>东莞华科电子有限公司</v>
          </cell>
          <cell r="F32">
            <v>1.17E-3</v>
          </cell>
          <cell r="G32" t="str">
            <v>CNY</v>
          </cell>
          <cell r="H32" t="str">
            <v>56</v>
          </cell>
          <cell r="I32" t="str">
            <v>10,000.000</v>
          </cell>
          <cell r="J32" t="str">
            <v>10,000.000</v>
          </cell>
        </row>
        <row r="33">
          <cell r="D33">
            <v>10100009721</v>
          </cell>
          <cell r="E33" t="str">
            <v>深圳市超利维实业有限公司</v>
          </cell>
          <cell r="F33">
            <v>1.4E-3</v>
          </cell>
          <cell r="G33" t="str">
            <v>CNY</v>
          </cell>
          <cell r="H33" t="str">
            <v>84</v>
          </cell>
          <cell r="I33" t="str">
            <v>10,000.000</v>
          </cell>
          <cell r="J33" t="str">
            <v>10,000.000</v>
          </cell>
        </row>
        <row r="34">
          <cell r="D34">
            <v>10100009722</v>
          </cell>
          <cell r="E34" t="str">
            <v>东莞华科电子有限公司</v>
          </cell>
          <cell r="F34">
            <v>1.17E-3</v>
          </cell>
          <cell r="G34" t="str">
            <v>CNY</v>
          </cell>
          <cell r="H34" t="str">
            <v>56</v>
          </cell>
          <cell r="I34" t="str">
            <v>10,000.000</v>
          </cell>
          <cell r="J34" t="str">
            <v>10,000.000</v>
          </cell>
        </row>
        <row r="35">
          <cell r="D35">
            <v>10100009838</v>
          </cell>
          <cell r="E35" t="str">
            <v>厚声国际贸易（昆山）有限公司深圳分公司</v>
          </cell>
          <cell r="F35">
            <v>1.09E-3</v>
          </cell>
          <cell r="G35" t="str">
            <v>CNY</v>
          </cell>
          <cell r="H35" t="str">
            <v>56</v>
          </cell>
          <cell r="I35" t="str">
            <v>10,000.000</v>
          </cell>
          <cell r="J35" t="str">
            <v>10,000.000</v>
          </cell>
        </row>
        <row r="36">
          <cell r="D36">
            <v>10100010045</v>
          </cell>
          <cell r="E36" t="str">
            <v>东莞华科电子有限公司</v>
          </cell>
          <cell r="F36">
            <v>1.17E-3</v>
          </cell>
          <cell r="G36" t="str">
            <v>CNY</v>
          </cell>
          <cell r="H36" t="str">
            <v>56</v>
          </cell>
          <cell r="I36" t="str">
            <v>10,000.000</v>
          </cell>
          <cell r="J36" t="str">
            <v>10,000.000</v>
          </cell>
        </row>
        <row r="37">
          <cell r="D37">
            <v>10100010325</v>
          </cell>
          <cell r="E37" t="str">
            <v>厚声国际贸易（昆山）有限公司深圳分公司</v>
          </cell>
          <cell r="F37">
            <v>3.8E-3</v>
          </cell>
          <cell r="G37" t="str">
            <v>CNY</v>
          </cell>
          <cell r="H37" t="str">
            <v>56</v>
          </cell>
          <cell r="I37" t="str">
            <v>5,000.000</v>
          </cell>
          <cell r="J37" t="str">
            <v>5,000.000</v>
          </cell>
        </row>
        <row r="38">
          <cell r="D38">
            <v>10100011090</v>
          </cell>
          <cell r="E38" t="str">
            <v>厚声国际贸易（昆山）有限公司深圳分公司</v>
          </cell>
          <cell r="F38">
            <v>2.0999999999999999E-3</v>
          </cell>
          <cell r="G38" t="str">
            <v>CNY</v>
          </cell>
          <cell r="H38" t="str">
            <v>56</v>
          </cell>
          <cell r="I38" t="str">
            <v>5,000.000</v>
          </cell>
          <cell r="J38" t="str">
            <v>5,000.000</v>
          </cell>
        </row>
        <row r="39">
          <cell r="D39">
            <v>10100011343</v>
          </cell>
          <cell r="E39" t="str">
            <v>东莞华科电子有限公司</v>
          </cell>
          <cell r="F39">
            <v>1.17E-3</v>
          </cell>
          <cell r="G39" t="str">
            <v>CNY</v>
          </cell>
          <cell r="H39" t="str">
            <v>56</v>
          </cell>
          <cell r="I39" t="str">
            <v>10,000.000</v>
          </cell>
          <cell r="J39" t="str">
            <v>10,000.000</v>
          </cell>
        </row>
        <row r="40">
          <cell r="D40">
            <v>10100011621</v>
          </cell>
          <cell r="E40" t="str">
            <v>广东风华高新科技股份有限公司</v>
          </cell>
          <cell r="F40">
            <v>1.1000000000000001E-3</v>
          </cell>
          <cell r="G40" t="str">
            <v>CNY</v>
          </cell>
          <cell r="H40" t="str">
            <v>45</v>
          </cell>
          <cell r="I40" t="str">
            <v>10,000.000</v>
          </cell>
          <cell r="J40" t="str">
            <v>10,000.000</v>
          </cell>
        </row>
        <row r="41">
          <cell r="D41">
            <v>10100011726</v>
          </cell>
          <cell r="E41" t="str">
            <v>深圳市欧尔法电子有限公司</v>
          </cell>
          <cell r="F41">
            <v>1.39E-3</v>
          </cell>
          <cell r="G41" t="str">
            <v>CNY</v>
          </cell>
          <cell r="H41" t="str">
            <v>56</v>
          </cell>
          <cell r="I41" t="str">
            <v>10,000.000</v>
          </cell>
          <cell r="J41" t="str">
            <v>10,000.000</v>
          </cell>
        </row>
        <row r="42">
          <cell r="D42">
            <v>10100011886</v>
          </cell>
          <cell r="E42" t="str">
            <v>厚声国际贸易（昆山）有限公司深圳分公司</v>
          </cell>
          <cell r="F42">
            <v>1.09E-3</v>
          </cell>
          <cell r="G42" t="str">
            <v>CNY</v>
          </cell>
          <cell r="H42" t="str">
            <v>56</v>
          </cell>
          <cell r="I42" t="str">
            <v>10,000.000</v>
          </cell>
          <cell r="J42" t="str">
            <v>10,000.000</v>
          </cell>
        </row>
        <row r="43">
          <cell r="D43">
            <v>10100011993</v>
          </cell>
          <cell r="E43" t="str">
            <v>广东风华高新科技股份有限公司</v>
          </cell>
          <cell r="F43">
            <v>1.1000000000000001E-3</v>
          </cell>
          <cell r="G43" t="str">
            <v>CNY</v>
          </cell>
          <cell r="H43" t="str">
            <v>42</v>
          </cell>
          <cell r="I43" t="str">
            <v>10,000.000</v>
          </cell>
          <cell r="J43" t="str">
            <v>10,000.000</v>
          </cell>
        </row>
        <row r="44">
          <cell r="D44">
            <v>10100011996</v>
          </cell>
          <cell r="E44" t="str">
            <v>广东风华高新科技股份有限公司</v>
          </cell>
          <cell r="F44">
            <v>1.1000000000000001E-3</v>
          </cell>
          <cell r="G44" t="str">
            <v>CNY</v>
          </cell>
          <cell r="H44" t="str">
            <v>42</v>
          </cell>
          <cell r="I44" t="str">
            <v>10,000.000</v>
          </cell>
          <cell r="J44" t="str">
            <v>10,000.000</v>
          </cell>
        </row>
        <row r="45">
          <cell r="D45">
            <v>10100013040</v>
          </cell>
          <cell r="E45" t="str">
            <v>厚声国际贸易（昆山）有限公司深圳分公司</v>
          </cell>
          <cell r="F45">
            <v>1.09E-3</v>
          </cell>
          <cell r="G45" t="str">
            <v>CNY</v>
          </cell>
          <cell r="H45" t="str">
            <v>56</v>
          </cell>
          <cell r="I45" t="str">
            <v>10,000.000</v>
          </cell>
          <cell r="J45" t="str">
            <v>10,000.000</v>
          </cell>
        </row>
        <row r="46">
          <cell r="D46">
            <v>10100013093</v>
          </cell>
          <cell r="E46" t="str">
            <v>厚声国际贸易（昆山）有限公司深圳分公司</v>
          </cell>
          <cell r="F46">
            <v>1.09E-3</v>
          </cell>
          <cell r="G46" t="str">
            <v>CNY</v>
          </cell>
          <cell r="H46" t="str">
            <v>42</v>
          </cell>
          <cell r="I46" t="str">
            <v>10,000.000</v>
          </cell>
          <cell r="J46" t="str">
            <v>10,000.000</v>
          </cell>
        </row>
        <row r="47">
          <cell r="D47">
            <v>10100013936</v>
          </cell>
          <cell r="E47" t="str">
            <v>广东风华高新科技股份有限公司</v>
          </cell>
          <cell r="F47">
            <v>1.1000000000000001E-3</v>
          </cell>
          <cell r="G47" t="str">
            <v>CNY</v>
          </cell>
          <cell r="H47" t="str">
            <v>42</v>
          </cell>
          <cell r="I47" t="str">
            <v>10,000.000</v>
          </cell>
          <cell r="J47" t="str">
            <v>10,000.000</v>
          </cell>
        </row>
        <row r="48">
          <cell r="D48">
            <v>10100014263</v>
          </cell>
          <cell r="E48" t="str">
            <v>深圳市超利维实业有限公司</v>
          </cell>
          <cell r="F48">
            <v>1.4E-3</v>
          </cell>
          <cell r="G48" t="str">
            <v>CNY</v>
          </cell>
          <cell r="H48" t="str">
            <v>56</v>
          </cell>
          <cell r="I48" t="str">
            <v>10,000.000</v>
          </cell>
          <cell r="J48" t="str">
            <v>10,000.000</v>
          </cell>
        </row>
        <row r="49">
          <cell r="D49">
            <v>10100014304</v>
          </cell>
          <cell r="E49" t="str">
            <v>东莞华科电子有限公司</v>
          </cell>
          <cell r="F49">
            <v>6.9499999999999996E-3</v>
          </cell>
          <cell r="G49" t="str">
            <v>CNY</v>
          </cell>
          <cell r="H49" t="str">
            <v>70</v>
          </cell>
          <cell r="I49" t="str">
            <v>5,000.000</v>
          </cell>
          <cell r="J49" t="str">
            <v>5,000.000</v>
          </cell>
        </row>
        <row r="50">
          <cell r="D50">
            <v>10100014735</v>
          </cell>
          <cell r="E50" t="str">
            <v>厚声国际贸易（昆山）有限公司深圳分公司</v>
          </cell>
          <cell r="F50">
            <v>1.09E-3</v>
          </cell>
          <cell r="G50" t="str">
            <v>CNY</v>
          </cell>
          <cell r="H50" t="str">
            <v>56</v>
          </cell>
          <cell r="I50" t="str">
            <v>10,000.000</v>
          </cell>
          <cell r="J50" t="str">
            <v>10,000.000</v>
          </cell>
        </row>
        <row r="51">
          <cell r="D51">
            <v>10100016358</v>
          </cell>
          <cell r="E51" t="str">
            <v>深圳市超利维实业有限公司</v>
          </cell>
          <cell r="F51">
            <v>1.4E-3</v>
          </cell>
          <cell r="G51" t="str">
            <v>CNY</v>
          </cell>
          <cell r="H51" t="str">
            <v>56</v>
          </cell>
          <cell r="I51" t="str">
            <v>10,000.000</v>
          </cell>
          <cell r="J51" t="str">
            <v>10,000.000</v>
          </cell>
        </row>
        <row r="52">
          <cell r="D52">
            <v>10100016798</v>
          </cell>
          <cell r="E52" t="str">
            <v>东莞华科电子有限公司</v>
          </cell>
          <cell r="F52">
            <v>1E-3</v>
          </cell>
          <cell r="G52" t="str">
            <v>CNY</v>
          </cell>
          <cell r="H52" t="str">
            <v>56</v>
          </cell>
          <cell r="I52" t="str">
            <v>10,000.000</v>
          </cell>
          <cell r="J52" t="str">
            <v>10,000.000</v>
          </cell>
        </row>
        <row r="53">
          <cell r="D53">
            <v>10100017206</v>
          </cell>
          <cell r="E53" t="str">
            <v>厚声国际贸易（昆山）有限公司深圳分公司</v>
          </cell>
          <cell r="F53">
            <v>6.7799999999999996E-3</v>
          </cell>
          <cell r="G53" t="str">
            <v>CNY</v>
          </cell>
          <cell r="H53" t="str">
            <v>42</v>
          </cell>
          <cell r="I53" t="str">
            <v>5,000.000</v>
          </cell>
          <cell r="J53" t="str">
            <v>5,000.000</v>
          </cell>
        </row>
        <row r="54">
          <cell r="D54">
            <v>10100017335</v>
          </cell>
          <cell r="E54" t="str">
            <v>厚声国际贸易（昆山）有限公司深圳分公司</v>
          </cell>
          <cell r="F54">
            <v>1.09E-3</v>
          </cell>
          <cell r="G54" t="str">
            <v>CNY</v>
          </cell>
          <cell r="H54" t="str">
            <v>42</v>
          </cell>
          <cell r="I54" t="str">
            <v>10,000.000</v>
          </cell>
          <cell r="J54" t="str">
            <v>10,000.000</v>
          </cell>
        </row>
        <row r="55">
          <cell r="D55">
            <v>10100017511</v>
          </cell>
          <cell r="E55" t="str">
            <v>恒辉电阻（益阳）有限公司</v>
          </cell>
          <cell r="F55">
            <v>5.5999999999999999E-3</v>
          </cell>
          <cell r="G55" t="str">
            <v>CNY</v>
          </cell>
          <cell r="H55" t="str">
            <v>42</v>
          </cell>
          <cell r="I55" t="str">
            <v>5,000.000</v>
          </cell>
          <cell r="J55" t="str">
            <v>5,000.000</v>
          </cell>
        </row>
        <row r="56">
          <cell r="D56">
            <v>10100017616</v>
          </cell>
          <cell r="E56" t="str">
            <v>恒辉电阻（益阳）有限公司</v>
          </cell>
          <cell r="F56">
            <v>9.7999999999999997E-4</v>
          </cell>
          <cell r="G56" t="str">
            <v>CNY</v>
          </cell>
          <cell r="H56" t="str">
            <v>42</v>
          </cell>
          <cell r="I56" t="str">
            <v>10,000.000</v>
          </cell>
          <cell r="J56" t="str">
            <v>10,000.000</v>
          </cell>
        </row>
        <row r="57">
          <cell r="D57">
            <v>10100017618</v>
          </cell>
          <cell r="E57" t="str">
            <v>恒辉电阻（益阳）有限公司</v>
          </cell>
          <cell r="F57">
            <v>9.7999999999999997E-4</v>
          </cell>
          <cell r="G57" t="str">
            <v>CNY</v>
          </cell>
          <cell r="H57" t="str">
            <v>42</v>
          </cell>
          <cell r="I57" t="str">
            <v>10,000.000</v>
          </cell>
          <cell r="J57" t="str">
            <v>10,000.000</v>
          </cell>
        </row>
        <row r="58">
          <cell r="D58">
            <v>10100017642</v>
          </cell>
          <cell r="E58" t="str">
            <v>恒辉电阻（益阳）有限公司</v>
          </cell>
          <cell r="F58">
            <v>9.7999999999999997E-4</v>
          </cell>
          <cell r="G58" t="str">
            <v>CNY</v>
          </cell>
          <cell r="H58" t="str">
            <v>42</v>
          </cell>
          <cell r="I58" t="str">
            <v>10,000.000</v>
          </cell>
          <cell r="J58" t="str">
            <v>10,000.000</v>
          </cell>
        </row>
        <row r="59">
          <cell r="D59">
            <v>10100017664</v>
          </cell>
          <cell r="E59" t="str">
            <v>恒辉电阻（益阳）有限公司</v>
          </cell>
          <cell r="F59">
            <v>9.7999999999999997E-4</v>
          </cell>
          <cell r="G59" t="str">
            <v>CNY</v>
          </cell>
          <cell r="H59" t="str">
            <v>42</v>
          </cell>
          <cell r="I59" t="str">
            <v>10,000.000</v>
          </cell>
          <cell r="J59" t="str">
            <v>10,000.000</v>
          </cell>
        </row>
        <row r="60">
          <cell r="D60">
            <v>10100017679</v>
          </cell>
          <cell r="E60" t="str">
            <v>恒辉电阻（益阳）有限公司</v>
          </cell>
          <cell r="F60">
            <v>9.7999999999999997E-4</v>
          </cell>
          <cell r="G60" t="str">
            <v>CNY</v>
          </cell>
          <cell r="H60" t="str">
            <v>42</v>
          </cell>
          <cell r="I60" t="str">
            <v>10,000.000</v>
          </cell>
          <cell r="J60" t="str">
            <v>10,000.000</v>
          </cell>
        </row>
        <row r="61">
          <cell r="D61">
            <v>10100017738</v>
          </cell>
          <cell r="E61" t="str">
            <v>恒辉电阻（益阳）有限公司</v>
          </cell>
          <cell r="F61">
            <v>9.7999999999999997E-4</v>
          </cell>
          <cell r="G61" t="str">
            <v>CNY</v>
          </cell>
          <cell r="H61" t="str">
            <v>42</v>
          </cell>
          <cell r="I61" t="str">
            <v>10,000.000</v>
          </cell>
          <cell r="J61" t="str">
            <v>10,000.000</v>
          </cell>
        </row>
        <row r="62">
          <cell r="D62">
            <v>10100017741</v>
          </cell>
          <cell r="E62" t="str">
            <v>恒辉电阻（益阳）有限公司</v>
          </cell>
          <cell r="F62">
            <v>9.7999999999999997E-4</v>
          </cell>
          <cell r="G62" t="str">
            <v>CNY</v>
          </cell>
          <cell r="H62" t="str">
            <v>42</v>
          </cell>
          <cell r="I62" t="str">
            <v>10,000.000</v>
          </cell>
          <cell r="J62" t="str">
            <v>10,000.000</v>
          </cell>
        </row>
        <row r="63">
          <cell r="D63">
            <v>10100017764</v>
          </cell>
          <cell r="E63" t="str">
            <v>恒辉电阻（益阳）有限公司</v>
          </cell>
          <cell r="F63">
            <v>9.7999999999999997E-4</v>
          </cell>
          <cell r="G63" t="str">
            <v>CNY</v>
          </cell>
          <cell r="H63" t="str">
            <v>42</v>
          </cell>
          <cell r="I63" t="str">
            <v>10,000.000</v>
          </cell>
          <cell r="J63" t="str">
            <v>10,000.000</v>
          </cell>
        </row>
        <row r="64">
          <cell r="D64">
            <v>10100017970</v>
          </cell>
          <cell r="E64" t="str">
            <v>恒辉电阻（益阳）有限公司</v>
          </cell>
          <cell r="F64">
            <v>1.8500000000000001E-3</v>
          </cell>
          <cell r="G64" t="str">
            <v>CNY</v>
          </cell>
          <cell r="H64" t="str">
            <v>42</v>
          </cell>
          <cell r="I64" t="str">
            <v>5,000.000</v>
          </cell>
          <cell r="J64" t="str">
            <v>5,000.000</v>
          </cell>
        </row>
        <row r="65">
          <cell r="D65">
            <v>10100018109</v>
          </cell>
          <cell r="E65" t="str">
            <v>恒辉电阻（益阳）有限公司</v>
          </cell>
          <cell r="F65">
            <v>3.3500000000000001E-3</v>
          </cell>
          <cell r="G65" t="str">
            <v>CNY</v>
          </cell>
          <cell r="H65" t="str">
            <v>42</v>
          </cell>
          <cell r="I65" t="str">
            <v>5,000.000</v>
          </cell>
          <cell r="J65" t="str">
            <v>5,000.000</v>
          </cell>
        </row>
        <row r="66">
          <cell r="D66">
            <v>10100018253</v>
          </cell>
          <cell r="E66" t="str">
            <v>恒辉电阻（益阳）有限公司</v>
          </cell>
          <cell r="F66">
            <v>3.3500000000000001E-3</v>
          </cell>
          <cell r="G66" t="str">
            <v>CNY</v>
          </cell>
          <cell r="H66" t="str">
            <v>42</v>
          </cell>
          <cell r="I66" t="str">
            <v>5,000.000</v>
          </cell>
          <cell r="J66" t="str">
            <v>5,000.000</v>
          </cell>
        </row>
        <row r="67">
          <cell r="D67">
            <v>10100018256</v>
          </cell>
          <cell r="E67" t="str">
            <v>恒辉电阻（益阳）有限公司</v>
          </cell>
          <cell r="F67">
            <v>3.3500000000000001E-3</v>
          </cell>
          <cell r="G67" t="str">
            <v>CNY</v>
          </cell>
          <cell r="H67" t="str">
            <v>42</v>
          </cell>
          <cell r="I67" t="str">
            <v>5,000.000</v>
          </cell>
          <cell r="J67" t="str">
            <v>5,000.000</v>
          </cell>
        </row>
        <row r="68">
          <cell r="D68">
            <v>10100018399</v>
          </cell>
          <cell r="E68" t="str">
            <v>恒辉电阻（益阳）有限公司</v>
          </cell>
          <cell r="F68">
            <v>9.7999999999999997E-4</v>
          </cell>
          <cell r="G68" t="str">
            <v>CNY</v>
          </cell>
          <cell r="H68" t="str">
            <v>42</v>
          </cell>
          <cell r="I68" t="str">
            <v>10,000.000</v>
          </cell>
          <cell r="J68" t="str">
            <v>10,000.000</v>
          </cell>
        </row>
        <row r="69">
          <cell r="D69">
            <v>10100019075</v>
          </cell>
          <cell r="E69" t="str">
            <v>厚声国际贸易（昆山）有限公司深圳分公司</v>
          </cell>
          <cell r="F69">
            <v>1.09E-3</v>
          </cell>
          <cell r="G69" t="str">
            <v>CNY</v>
          </cell>
          <cell r="H69" t="str">
            <v>42</v>
          </cell>
          <cell r="I69" t="str">
            <v>10,000.000</v>
          </cell>
          <cell r="J69" t="str">
            <v>10,000.000</v>
          </cell>
        </row>
        <row r="70">
          <cell r="D70">
            <v>10100019134</v>
          </cell>
          <cell r="E70" t="str">
            <v>恒辉电阻（益阳）有限公司</v>
          </cell>
          <cell r="F70">
            <v>9.7999999999999997E-4</v>
          </cell>
          <cell r="G70" t="str">
            <v>CNY</v>
          </cell>
          <cell r="H70" t="str">
            <v>42</v>
          </cell>
          <cell r="I70" t="str">
            <v>10,000.000</v>
          </cell>
          <cell r="J70" t="str">
            <v>10,000.000</v>
          </cell>
        </row>
        <row r="71">
          <cell r="D71">
            <v>10100020950</v>
          </cell>
          <cell r="E71" t="str">
            <v>厚声国际贸易（昆山）有限公司深圳分公司</v>
          </cell>
          <cell r="F71">
            <v>1.09E-3</v>
          </cell>
          <cell r="G71" t="str">
            <v>CNY</v>
          </cell>
          <cell r="H71" t="str">
            <v>42</v>
          </cell>
          <cell r="I71" t="str">
            <v>10,000.000</v>
          </cell>
          <cell r="J71" t="str">
            <v>10,000.000</v>
          </cell>
        </row>
        <row r="72">
          <cell r="D72">
            <v>10100022516</v>
          </cell>
          <cell r="E72" t="str">
            <v>厚声国际贸易（昆山）有限公司深圳分公司</v>
          </cell>
          <cell r="F72">
            <v>1.09E-3</v>
          </cell>
          <cell r="G72" t="str">
            <v>CNY</v>
          </cell>
          <cell r="H72" t="str">
            <v>42</v>
          </cell>
          <cell r="I72" t="str">
            <v>10,000.000</v>
          </cell>
          <cell r="J72" t="str">
            <v>10,000.000</v>
          </cell>
        </row>
        <row r="73">
          <cell r="D73">
            <v>10100026554</v>
          </cell>
          <cell r="E73" t="str">
            <v>广东风华高新科技股份有限公司</v>
          </cell>
          <cell r="F73">
            <v>6.4999999999999997E-3</v>
          </cell>
          <cell r="G73" t="str">
            <v>CNY</v>
          </cell>
          <cell r="H73" t="str">
            <v>42</v>
          </cell>
          <cell r="I73" t="str">
            <v>5,000.000</v>
          </cell>
          <cell r="J73" t="str">
            <v>5,000.000</v>
          </cell>
        </row>
        <row r="74">
          <cell r="D74">
            <v>10110001388</v>
          </cell>
          <cell r="E74" t="str">
            <v>深圳市天河星供应链有限公司</v>
          </cell>
          <cell r="F74">
            <v>5.4999999999999997E-3</v>
          </cell>
          <cell r="G74" t="str">
            <v>CNY</v>
          </cell>
          <cell r="H74" t="str">
            <v>56</v>
          </cell>
          <cell r="I74" t="str">
            <v>4,000.000</v>
          </cell>
          <cell r="J74" t="str">
            <v>4,000.000</v>
          </cell>
        </row>
        <row r="75">
          <cell r="D75">
            <v>10110001391</v>
          </cell>
          <cell r="E75" t="str">
            <v>广东顺德集财电子有限公司</v>
          </cell>
          <cell r="F75">
            <v>6.1000000000000004E-3</v>
          </cell>
          <cell r="G75" t="str">
            <v>CNY</v>
          </cell>
          <cell r="H75" t="str">
            <v>56</v>
          </cell>
          <cell r="I75" t="str">
            <v>4,000.000</v>
          </cell>
          <cell r="J75" t="str">
            <v>4,000.000</v>
          </cell>
        </row>
        <row r="76">
          <cell r="D76">
            <v>10110003896</v>
          </cell>
          <cell r="E76" t="str">
            <v>深圳市奥特高科电子有限公司</v>
          </cell>
          <cell r="F76">
            <v>2.3E-3</v>
          </cell>
          <cell r="G76" t="str">
            <v>CNY</v>
          </cell>
          <cell r="H76" t="str">
            <v>56</v>
          </cell>
          <cell r="I76" t="str">
            <v>10,000.000</v>
          </cell>
          <cell r="J76" t="str">
            <v>10,000.000</v>
          </cell>
        </row>
        <row r="77">
          <cell r="D77">
            <v>10110003897</v>
          </cell>
          <cell r="E77" t="str">
            <v>深圳市奥特高科电子有限公司</v>
          </cell>
          <cell r="F77">
            <v>2.2000000000000001E-3</v>
          </cell>
          <cell r="G77" t="str">
            <v>CNY</v>
          </cell>
          <cell r="H77" t="str">
            <v>56</v>
          </cell>
          <cell r="I77" t="str">
            <v>10,000.000</v>
          </cell>
          <cell r="J77" t="str">
            <v>10,000.000</v>
          </cell>
        </row>
        <row r="78">
          <cell r="D78">
            <v>10110003944</v>
          </cell>
          <cell r="E78" t="str">
            <v>东莞华科电子有限公司</v>
          </cell>
          <cell r="F78">
            <v>5.4299999999999999E-3</v>
          </cell>
          <cell r="G78" t="str">
            <v>CNY</v>
          </cell>
          <cell r="H78" t="str">
            <v>56</v>
          </cell>
          <cell r="I78" t="str">
            <v>4,000.000</v>
          </cell>
          <cell r="J78" t="str">
            <v>4,000.000</v>
          </cell>
        </row>
        <row r="79">
          <cell r="D79">
            <v>10110004676</v>
          </cell>
          <cell r="E79" t="str">
            <v>东莞华科电子有限公司</v>
          </cell>
          <cell r="F79">
            <v>1.98E-3</v>
          </cell>
          <cell r="G79" t="str">
            <v>CNY</v>
          </cell>
          <cell r="H79" t="str">
            <v>56</v>
          </cell>
          <cell r="I79" t="str">
            <v>10,000.000</v>
          </cell>
          <cell r="J79" t="str">
            <v>10,000.000</v>
          </cell>
        </row>
        <row r="80">
          <cell r="D80">
            <v>10110005377</v>
          </cell>
          <cell r="E80" t="str">
            <v>深圳市巨新科电子有限公司</v>
          </cell>
          <cell r="F80">
            <v>2.98E-3</v>
          </cell>
          <cell r="G80" t="str">
            <v>CNY</v>
          </cell>
          <cell r="H80" t="str">
            <v>90</v>
          </cell>
          <cell r="I80" t="str">
            <v>10,000.000</v>
          </cell>
          <cell r="J80" t="str">
            <v>10,000.000</v>
          </cell>
        </row>
        <row r="81">
          <cell r="D81">
            <v>10110005378</v>
          </cell>
          <cell r="E81" t="str">
            <v>深圳市吉利通电子有限公司</v>
          </cell>
          <cell r="F81">
            <v>2.3999999999999998E-3</v>
          </cell>
          <cell r="G81" t="str">
            <v>CNY</v>
          </cell>
          <cell r="H81" t="str">
            <v>168</v>
          </cell>
          <cell r="I81" t="str">
            <v>10,000.000</v>
          </cell>
          <cell r="J81" t="str">
            <v>10,000.000</v>
          </cell>
        </row>
        <row r="82">
          <cell r="D82">
            <v>10110005723</v>
          </cell>
          <cell r="E82" t="str">
            <v>深圳市奥特高科电子有限公司</v>
          </cell>
          <cell r="F82">
            <v>6.4999999999999997E-3</v>
          </cell>
          <cell r="G82" t="str">
            <v>CNY</v>
          </cell>
          <cell r="H82" t="str">
            <v>56</v>
          </cell>
          <cell r="I82" t="str">
            <v>4,000.000</v>
          </cell>
          <cell r="J82" t="str">
            <v>4,000.000</v>
          </cell>
        </row>
        <row r="83">
          <cell r="D83">
            <v>10110005817</v>
          </cell>
          <cell r="E83" t="str">
            <v>东莞华科电子有限公司</v>
          </cell>
          <cell r="F83">
            <v>1.98E-3</v>
          </cell>
          <cell r="G83" t="str">
            <v>CNY</v>
          </cell>
          <cell r="H83" t="str">
            <v>56</v>
          </cell>
          <cell r="I83" t="str">
            <v>10,000.000</v>
          </cell>
          <cell r="J83" t="str">
            <v>10,000.000</v>
          </cell>
        </row>
        <row r="84">
          <cell r="D84">
            <v>10110006771</v>
          </cell>
          <cell r="E84" t="str">
            <v>深圳市奥特高科电子有限公司</v>
          </cell>
          <cell r="F84">
            <v>4.9500000000000004E-3</v>
          </cell>
          <cell r="G84" t="str">
            <v>CNY</v>
          </cell>
          <cell r="H84" t="str">
            <v>56</v>
          </cell>
          <cell r="I84" t="str">
            <v>10,000.000</v>
          </cell>
          <cell r="J84" t="str">
            <v>10,000.000</v>
          </cell>
        </row>
        <row r="85">
          <cell r="D85">
            <v>10110007139</v>
          </cell>
          <cell r="E85" t="str">
            <v>深圳市天河星供应链有限公司</v>
          </cell>
          <cell r="F85">
            <v>2.2000000000000001E-3</v>
          </cell>
          <cell r="G85" t="str">
            <v>CNY</v>
          </cell>
          <cell r="H85" t="str">
            <v>56</v>
          </cell>
          <cell r="I85" t="str">
            <v>10,000.000</v>
          </cell>
          <cell r="J85" t="str">
            <v>1,000.000</v>
          </cell>
        </row>
        <row r="86">
          <cell r="D86">
            <v>10110007822</v>
          </cell>
          <cell r="E86" t="str">
            <v>广东顺德集财电子有限公司</v>
          </cell>
          <cell r="F86">
            <v>2.3999999999999998E-3</v>
          </cell>
          <cell r="G86" t="str">
            <v>CNY</v>
          </cell>
          <cell r="H86" t="str">
            <v>56</v>
          </cell>
          <cell r="I86" t="str">
            <v>10,000.000</v>
          </cell>
          <cell r="J86" t="str">
            <v>10,000.000</v>
          </cell>
        </row>
        <row r="87">
          <cell r="D87">
            <v>10110008257</v>
          </cell>
          <cell r="E87" t="str">
            <v>深圳市兴鸿宇科技有限公司</v>
          </cell>
          <cell r="F87">
            <v>4.5999999999999999E-3</v>
          </cell>
          <cell r="G87" t="str">
            <v>CNY</v>
          </cell>
          <cell r="H87" t="str">
            <v>56</v>
          </cell>
          <cell r="I87" t="str">
            <v>10,000.000</v>
          </cell>
          <cell r="J87" t="str">
            <v>10,000.000</v>
          </cell>
        </row>
        <row r="88">
          <cell r="D88">
            <v>10110008724</v>
          </cell>
          <cell r="E88" t="str">
            <v>广东顺德集财电子有限公司</v>
          </cell>
          <cell r="F88">
            <v>4.1000000000000003E-3</v>
          </cell>
          <cell r="G88" t="str">
            <v>CNY</v>
          </cell>
          <cell r="H88" t="str">
            <v>56</v>
          </cell>
          <cell r="I88" t="str">
            <v>10,000.000</v>
          </cell>
          <cell r="J88" t="str">
            <v>10,000.000</v>
          </cell>
        </row>
        <row r="89">
          <cell r="D89">
            <v>10110008726</v>
          </cell>
          <cell r="E89" t="str">
            <v>深圳市天河星供应链有限公司</v>
          </cell>
          <cell r="F89">
            <v>2.2000000000000001E-3</v>
          </cell>
          <cell r="G89" t="str">
            <v>CNY</v>
          </cell>
          <cell r="H89" t="str">
            <v>56</v>
          </cell>
          <cell r="I89" t="str">
            <v>10,000.000</v>
          </cell>
          <cell r="J89" t="str">
            <v>10,000.000</v>
          </cell>
        </row>
        <row r="90">
          <cell r="D90">
            <v>10110008729</v>
          </cell>
          <cell r="E90" t="str">
            <v>广东风华高新科技股份有限公司</v>
          </cell>
          <cell r="F90">
            <v>2.0999999999999999E-3</v>
          </cell>
          <cell r="G90" t="str">
            <v>CNY</v>
          </cell>
          <cell r="H90" t="str">
            <v>56</v>
          </cell>
          <cell r="I90" t="str">
            <v>10,000.000</v>
          </cell>
          <cell r="J90" t="str">
            <v>10,000.000</v>
          </cell>
        </row>
        <row r="91">
          <cell r="D91">
            <v>10110008734</v>
          </cell>
          <cell r="E91" t="str">
            <v>广东风华高新科技股份有限公司</v>
          </cell>
          <cell r="F91">
            <v>2.0999999999999999E-3</v>
          </cell>
          <cell r="G91" t="str">
            <v>CNY</v>
          </cell>
          <cell r="H91" t="str">
            <v>56</v>
          </cell>
          <cell r="I91" t="str">
            <v>10,000.000</v>
          </cell>
          <cell r="J91" t="str">
            <v>10,000.000</v>
          </cell>
        </row>
        <row r="92">
          <cell r="D92">
            <v>10110008742</v>
          </cell>
          <cell r="E92" t="str">
            <v>广东风华高新科技股份有限公司</v>
          </cell>
          <cell r="F92">
            <v>2.1900000000000001E-3</v>
          </cell>
          <cell r="G92" t="str">
            <v>CNY</v>
          </cell>
          <cell r="H92" t="str">
            <v>42</v>
          </cell>
          <cell r="I92" t="str">
            <v>10,000.000</v>
          </cell>
          <cell r="J92" t="str">
            <v>10,000.000</v>
          </cell>
        </row>
        <row r="93">
          <cell r="D93">
            <v>10110008934</v>
          </cell>
          <cell r="E93" t="str">
            <v>广东顺德集财电子有限公司</v>
          </cell>
          <cell r="F93">
            <v>9.8000000000000004E-2</v>
          </cell>
          <cell r="G93" t="str">
            <v>CNY</v>
          </cell>
          <cell r="H93" t="str">
            <v>56</v>
          </cell>
          <cell r="I93" t="str">
            <v>2,000.000</v>
          </cell>
          <cell r="J93" t="str">
            <v>2,000.000</v>
          </cell>
        </row>
        <row r="94">
          <cell r="D94">
            <v>10110008993</v>
          </cell>
          <cell r="E94" t="str">
            <v>东莞华科电子有限公司</v>
          </cell>
          <cell r="F94">
            <v>3.0500000000000002E-3</v>
          </cell>
          <cell r="G94" t="str">
            <v>CNY</v>
          </cell>
          <cell r="H94" t="str">
            <v>70</v>
          </cell>
          <cell r="I94" t="str">
            <v>10,000.000</v>
          </cell>
          <cell r="J94" t="str">
            <v>1,000.000</v>
          </cell>
        </row>
        <row r="95">
          <cell r="D95">
            <v>10110009071</v>
          </cell>
          <cell r="E95" t="str">
            <v>东莞华科电子有限公司</v>
          </cell>
          <cell r="F95">
            <v>0.16964000000000001</v>
          </cell>
          <cell r="G95" t="str">
            <v>CNY</v>
          </cell>
          <cell r="H95" t="str">
            <v>84</v>
          </cell>
          <cell r="I95" t="str">
            <v>3,000.000</v>
          </cell>
          <cell r="J95" t="str">
            <v>3,000.000</v>
          </cell>
        </row>
        <row r="96">
          <cell r="D96">
            <v>10110009749</v>
          </cell>
          <cell r="E96" t="str">
            <v>深圳市欧亚达电子有限公司</v>
          </cell>
          <cell r="F96">
            <v>9.5499999999999995E-3</v>
          </cell>
          <cell r="G96" t="str">
            <v>CNY</v>
          </cell>
          <cell r="H96" t="str">
            <v>84</v>
          </cell>
          <cell r="I96" t="str">
            <v>10,000.000</v>
          </cell>
          <cell r="J96" t="str">
            <v>10,000.000</v>
          </cell>
        </row>
        <row r="97">
          <cell r="D97">
            <v>10110010638</v>
          </cell>
          <cell r="E97" t="str">
            <v>深圳市宏昌鑫科技有限责任公司</v>
          </cell>
          <cell r="F97">
            <v>7.3699999999999998E-3</v>
          </cell>
          <cell r="G97" t="str">
            <v>CNY</v>
          </cell>
          <cell r="H97" t="str">
            <v>140</v>
          </cell>
          <cell r="I97" t="str">
            <v>10,000.000</v>
          </cell>
          <cell r="J97" t="str">
            <v>10,000.000</v>
          </cell>
        </row>
        <row r="98">
          <cell r="D98">
            <v>10110011269</v>
          </cell>
          <cell r="E98" t="str">
            <v>潮州三环（集团）股份有限公司</v>
          </cell>
          <cell r="F98">
            <v>1.8500000000000001E-3</v>
          </cell>
          <cell r="G98" t="str">
            <v>CNY</v>
          </cell>
          <cell r="H98" t="str">
            <v>56</v>
          </cell>
          <cell r="I98" t="str">
            <v>10,000.000</v>
          </cell>
          <cell r="J98" t="str">
            <v>10,000.000</v>
          </cell>
        </row>
        <row r="99">
          <cell r="D99">
            <v>10110011283</v>
          </cell>
          <cell r="E99" t="str">
            <v>潮州三环（集团）股份有限公司</v>
          </cell>
          <cell r="F99">
            <v>5.1500000000000001E-3</v>
          </cell>
          <cell r="G99" t="str">
            <v>CNY</v>
          </cell>
          <cell r="H99" t="str">
            <v>56</v>
          </cell>
          <cell r="I99" t="str">
            <v>4,000.000</v>
          </cell>
          <cell r="J99" t="str">
            <v>4,000.000</v>
          </cell>
        </row>
        <row r="100">
          <cell r="D100">
            <v>10110012147</v>
          </cell>
          <cell r="E100" t="str">
            <v>潮州三环（集团）股份有限公司</v>
          </cell>
          <cell r="F100">
            <v>1.9499999999999999E-3</v>
          </cell>
          <cell r="G100" t="str">
            <v>CNY</v>
          </cell>
          <cell r="H100" t="str">
            <v>56</v>
          </cell>
          <cell r="I100" t="str">
            <v>10,000.000</v>
          </cell>
          <cell r="J100" t="str">
            <v>10,000.000</v>
          </cell>
        </row>
        <row r="101">
          <cell r="D101">
            <v>10110012149</v>
          </cell>
          <cell r="E101" t="str">
            <v>潮州三环（集团）股份有限公司</v>
          </cell>
          <cell r="F101">
            <v>1.8500000000000001E-3</v>
          </cell>
          <cell r="G101" t="str">
            <v>CNY</v>
          </cell>
          <cell r="H101" t="str">
            <v>56</v>
          </cell>
          <cell r="I101" t="str">
            <v>10,000.000</v>
          </cell>
          <cell r="J101" t="str">
            <v>10,000.000</v>
          </cell>
        </row>
        <row r="102">
          <cell r="D102">
            <v>10110014746</v>
          </cell>
          <cell r="E102" t="str">
            <v>汕头保税区松田电子科技有限公司</v>
          </cell>
          <cell r="F102">
            <v>0.23311999999999999</v>
          </cell>
          <cell r="G102" t="str">
            <v>CNY</v>
          </cell>
          <cell r="H102" t="str">
            <v>28</v>
          </cell>
          <cell r="I102" t="str">
            <v>1,000.000</v>
          </cell>
          <cell r="J102" t="str">
            <v>1,000.000</v>
          </cell>
        </row>
        <row r="103">
          <cell r="D103">
            <v>10110015893</v>
          </cell>
          <cell r="E103" t="str">
            <v>潮州三环（集团）股份有限公司</v>
          </cell>
          <cell r="F103">
            <v>1.8600000000000001E-3</v>
          </cell>
          <cell r="G103" t="str">
            <v>CNY</v>
          </cell>
          <cell r="H103" t="str">
            <v>56</v>
          </cell>
          <cell r="I103" t="str">
            <v>10,000.000</v>
          </cell>
          <cell r="J103" t="str">
            <v>10,000.000</v>
          </cell>
        </row>
        <row r="104">
          <cell r="D104">
            <v>10110016198</v>
          </cell>
          <cell r="E104" t="str">
            <v>深圳市奥特高科电子有限公司</v>
          </cell>
          <cell r="F104">
            <v>2.3E-3</v>
          </cell>
          <cell r="G104" t="str">
            <v>CNY</v>
          </cell>
          <cell r="H104" t="str">
            <v>56</v>
          </cell>
          <cell r="I104" t="str">
            <v>10,000.000</v>
          </cell>
          <cell r="J104" t="str">
            <v>10,000.000</v>
          </cell>
        </row>
        <row r="105">
          <cell r="D105">
            <v>10110016349</v>
          </cell>
          <cell r="E105" t="str">
            <v>广东顺德集财电子有限公司</v>
          </cell>
          <cell r="F105">
            <v>4.0899999999999999E-3</v>
          </cell>
          <cell r="G105" t="str">
            <v>CNY</v>
          </cell>
          <cell r="H105" t="str">
            <v>56</v>
          </cell>
          <cell r="I105" t="str">
            <v>10,000.000</v>
          </cell>
          <cell r="J105" t="str">
            <v>10,000.000</v>
          </cell>
        </row>
        <row r="106">
          <cell r="D106">
            <v>10110016965</v>
          </cell>
          <cell r="E106" t="str">
            <v>深圳市巨新科电子有限公司</v>
          </cell>
          <cell r="F106">
            <v>1.695E-2</v>
          </cell>
          <cell r="G106" t="str">
            <v>CNY</v>
          </cell>
          <cell r="H106" t="str">
            <v>90</v>
          </cell>
          <cell r="I106" t="str">
            <v>4,000.000</v>
          </cell>
          <cell r="J106" t="str">
            <v>4,000.000</v>
          </cell>
        </row>
        <row r="107">
          <cell r="D107">
            <v>10110016977</v>
          </cell>
          <cell r="E107" t="str">
            <v>广东顺德集财电子有限公司</v>
          </cell>
          <cell r="F107">
            <v>1.0200000000000001E-2</v>
          </cell>
          <cell r="G107" t="str">
            <v>CNY</v>
          </cell>
          <cell r="H107" t="str">
            <v>56</v>
          </cell>
          <cell r="I107" t="str">
            <v>4,000.000</v>
          </cell>
          <cell r="J107" t="str">
            <v>4,000.000</v>
          </cell>
        </row>
        <row r="108">
          <cell r="D108">
            <v>10110016988</v>
          </cell>
          <cell r="E108" t="str">
            <v>广东风华高新科技股份有限公司</v>
          </cell>
          <cell r="F108">
            <v>9.2999999999999992E-3</v>
          </cell>
          <cell r="G108" t="str">
            <v>CNY</v>
          </cell>
          <cell r="H108" t="str">
            <v>56</v>
          </cell>
          <cell r="I108" t="str">
            <v>4,000.000</v>
          </cell>
          <cell r="J108" t="str">
            <v>4,000.000</v>
          </cell>
        </row>
        <row r="109">
          <cell r="D109">
            <v>10110018933</v>
          </cell>
          <cell r="E109" t="str">
            <v>东莞华科电子有限公司</v>
          </cell>
          <cell r="F109">
            <v>7.9100000000000004E-3</v>
          </cell>
          <cell r="G109" t="str">
            <v>CNY</v>
          </cell>
          <cell r="H109" t="str">
            <v>84</v>
          </cell>
          <cell r="I109" t="str">
            <v>10,000.000</v>
          </cell>
          <cell r="J109" t="str">
            <v>10,000.000</v>
          </cell>
        </row>
        <row r="110">
          <cell r="D110">
            <v>10110019073</v>
          </cell>
          <cell r="E110" t="str">
            <v>广东风华高新科技股份有限公司</v>
          </cell>
          <cell r="F110">
            <v>0.17799999999999999</v>
          </cell>
          <cell r="G110" t="str">
            <v>CNY</v>
          </cell>
          <cell r="H110" t="str">
            <v>56</v>
          </cell>
          <cell r="I110" t="str">
            <v>1,000.000</v>
          </cell>
          <cell r="J110" t="str">
            <v>1,000.000</v>
          </cell>
        </row>
        <row r="111">
          <cell r="D111">
            <v>10110020767</v>
          </cell>
          <cell r="E111" t="str">
            <v>广东顺德集财电子有限公司</v>
          </cell>
          <cell r="F111">
            <v>5.5399999999999998E-2</v>
          </cell>
          <cell r="G111" t="str">
            <v>CNY</v>
          </cell>
          <cell r="H111" t="str">
            <v>84</v>
          </cell>
          <cell r="I111" t="str">
            <v>10,000.000</v>
          </cell>
          <cell r="J111" t="str">
            <v>10,000.000</v>
          </cell>
        </row>
        <row r="112">
          <cell r="D112">
            <v>10110022271</v>
          </cell>
          <cell r="E112" t="str">
            <v>六和电子（江西）有限公司</v>
          </cell>
          <cell r="F112">
            <v>0.26300000000000001</v>
          </cell>
          <cell r="G112" t="str">
            <v>CNY</v>
          </cell>
          <cell r="H112" t="str">
            <v>35</v>
          </cell>
          <cell r="I112" t="str">
            <v>4,000.000</v>
          </cell>
          <cell r="J112" t="str">
            <v>4,000.000</v>
          </cell>
        </row>
        <row r="113">
          <cell r="D113">
            <v>10110024693</v>
          </cell>
          <cell r="E113" t="str">
            <v>东莞昱新电子有限公司</v>
          </cell>
          <cell r="F113">
            <v>0.14535000000000001</v>
          </cell>
          <cell r="G113" t="str">
            <v>CNY</v>
          </cell>
          <cell r="H113" t="str">
            <v>20</v>
          </cell>
          <cell r="I113" t="str">
            <v>6,000.000</v>
          </cell>
          <cell r="J113" t="str">
            <v>600.000</v>
          </cell>
        </row>
        <row r="114">
          <cell r="D114">
            <v>10140000397</v>
          </cell>
          <cell r="E114" t="str">
            <v>深圳市合信昌科技有限公司</v>
          </cell>
          <cell r="F114">
            <v>7.4999999999999997E-2</v>
          </cell>
          <cell r="G114" t="str">
            <v>CNY</v>
          </cell>
          <cell r="H114" t="str">
            <v>70</v>
          </cell>
          <cell r="I114" t="str">
            <v>1,800.000</v>
          </cell>
          <cell r="J114" t="str">
            <v>1,800.000</v>
          </cell>
        </row>
        <row r="115">
          <cell r="D115">
            <v>10140002123</v>
          </cell>
          <cell r="E115" t="str">
            <v>利尔达科技集团股份有限公司</v>
          </cell>
          <cell r="F115">
            <v>3.4500000000000003E-2</v>
          </cell>
          <cell r="G115" t="str">
            <v>CNY</v>
          </cell>
          <cell r="H115" t="str">
            <v>56</v>
          </cell>
          <cell r="I115" t="str">
            <v>3,000.000</v>
          </cell>
          <cell r="J115" t="str">
            <v>3,000.000</v>
          </cell>
        </row>
        <row r="116">
          <cell r="D116">
            <v>10140002743</v>
          </cell>
          <cell r="E116" t="str">
            <v>深圳市驰顺科技有限公司</v>
          </cell>
          <cell r="F116">
            <v>0.04</v>
          </cell>
          <cell r="G116" t="str">
            <v>CNY</v>
          </cell>
          <cell r="H116" t="str">
            <v>90</v>
          </cell>
          <cell r="I116" t="str">
            <v>7,500.000</v>
          </cell>
          <cell r="J116" t="str">
            <v>7,500.000</v>
          </cell>
        </row>
        <row r="117">
          <cell r="D117">
            <v>10140003381</v>
          </cell>
          <cell r="E117" t="str">
            <v>深圳南丰电子股份有限公司</v>
          </cell>
          <cell r="F117">
            <v>3.3599999999999998E-2</v>
          </cell>
          <cell r="G117" t="str">
            <v>CNY</v>
          </cell>
          <cell r="H117" t="str">
            <v>70</v>
          </cell>
          <cell r="I117" t="str">
            <v>7,500.000</v>
          </cell>
          <cell r="J117" t="str">
            <v>7,500.000</v>
          </cell>
        </row>
        <row r="118">
          <cell r="D118">
            <v>10140006310</v>
          </cell>
          <cell r="E118" t="str">
            <v>深圳翰世宇科技有限公司</v>
          </cell>
          <cell r="F118">
            <v>4.8000000000000001E-2</v>
          </cell>
          <cell r="G118" t="str">
            <v>CNY</v>
          </cell>
          <cell r="H118" t="str">
            <v>56</v>
          </cell>
          <cell r="I118" t="str">
            <v>3,000.000</v>
          </cell>
          <cell r="J118" t="str">
            <v>3,000.000</v>
          </cell>
        </row>
        <row r="119">
          <cell r="D119">
            <v>10140012358</v>
          </cell>
          <cell r="E119" t="str">
            <v>东莞市意中半导体有限公司</v>
          </cell>
          <cell r="F119">
            <v>3.3000000000000002E-2</v>
          </cell>
          <cell r="G119" t="str">
            <v>CNY</v>
          </cell>
          <cell r="H119" t="str">
            <v>60</v>
          </cell>
          <cell r="I119" t="str">
            <v>5,000.000</v>
          </cell>
          <cell r="J119" t="str">
            <v>5,000.000</v>
          </cell>
        </row>
        <row r="120">
          <cell r="D120">
            <v>10140013896</v>
          </cell>
          <cell r="E120" t="str">
            <v>深圳翰世宇科技有限公司</v>
          </cell>
          <cell r="F120">
            <v>5.8000000000000003E-2</v>
          </cell>
          <cell r="G120" t="str">
            <v>CNY</v>
          </cell>
          <cell r="H120" t="str">
            <v>56</v>
          </cell>
          <cell r="I120" t="str">
            <v>5,000.000</v>
          </cell>
          <cell r="J120" t="str">
            <v>5,000.000</v>
          </cell>
        </row>
        <row r="121">
          <cell r="D121">
            <v>10140014223</v>
          </cell>
          <cell r="E121" t="str">
            <v>深圳翰世宇科技有限公司</v>
          </cell>
          <cell r="F121">
            <v>0.19500000000000001</v>
          </cell>
          <cell r="G121" t="str">
            <v>CNY</v>
          </cell>
          <cell r="H121" t="str">
            <v>56</v>
          </cell>
          <cell r="I121" t="str">
            <v>5,000.000</v>
          </cell>
          <cell r="J121" t="str">
            <v>5,000.000</v>
          </cell>
        </row>
        <row r="122">
          <cell r="D122">
            <v>10160006989</v>
          </cell>
          <cell r="E122" t="str">
            <v>浙江瑞丰光电有限公司</v>
          </cell>
          <cell r="F122">
            <v>4.8399999999999999E-2</v>
          </cell>
          <cell r="G122" t="str">
            <v>CNY</v>
          </cell>
          <cell r="H122" t="str">
            <v>28</v>
          </cell>
          <cell r="I122" t="str">
            <v>60,000.000</v>
          </cell>
          <cell r="J122" t="str">
            <v>4,000.000</v>
          </cell>
        </row>
        <row r="123">
          <cell r="D123">
            <v>10160007699</v>
          </cell>
          <cell r="E123" t="str">
            <v>肇庆市立得电子有限公司</v>
          </cell>
          <cell r="F123">
            <v>4.2999999999999997E-2</v>
          </cell>
          <cell r="G123" t="str">
            <v>CNY</v>
          </cell>
          <cell r="H123" t="str">
            <v>30</v>
          </cell>
          <cell r="I123" t="str">
            <v>20,000.000</v>
          </cell>
          <cell r="J123" t="str">
            <v>4,000.000</v>
          </cell>
        </row>
        <row r="124">
          <cell r="D124">
            <v>10160007809</v>
          </cell>
          <cell r="E124" t="str">
            <v>广东长利光电科技有限公司</v>
          </cell>
          <cell r="F124">
            <v>2.5999999999999999E-2</v>
          </cell>
          <cell r="G124" t="str">
            <v>CNY</v>
          </cell>
          <cell r="H124" t="str">
            <v>28</v>
          </cell>
          <cell r="I124" t="str">
            <v>4,000.000</v>
          </cell>
          <cell r="J124" t="str">
            <v>4,000.000</v>
          </cell>
        </row>
        <row r="125">
          <cell r="D125">
            <v>10160007865</v>
          </cell>
          <cell r="E125" t="str">
            <v>广东长利光电科技有限公司</v>
          </cell>
          <cell r="F125">
            <v>2.75E-2</v>
          </cell>
          <cell r="G125" t="str">
            <v>CNY</v>
          </cell>
          <cell r="H125" t="str">
            <v>10</v>
          </cell>
          <cell r="I125" t="str">
            <v>4,000.000</v>
          </cell>
          <cell r="J125" t="str">
            <v>4,000.000</v>
          </cell>
        </row>
        <row r="126">
          <cell r="D126">
            <v>10190000675</v>
          </cell>
          <cell r="E126" t="str">
            <v>好利来（厦门）电路保护科技有限公司</v>
          </cell>
          <cell r="F126">
            <v>8.3000000000000004E-2</v>
          </cell>
          <cell r="G126" t="str">
            <v>CNY</v>
          </cell>
          <cell r="H126" t="str">
            <v>45</v>
          </cell>
          <cell r="I126" t="str">
            <v>1,000.000</v>
          </cell>
          <cell r="J126" t="str">
            <v>1,000.000</v>
          </cell>
        </row>
        <row r="127">
          <cell r="D127">
            <v>10190001176</v>
          </cell>
          <cell r="E127" t="str">
            <v>东莞市贝特电子科技股份有限公司</v>
          </cell>
          <cell r="F127">
            <v>9.5000000000000001E-2</v>
          </cell>
          <cell r="G127" t="str">
            <v>CNY</v>
          </cell>
          <cell r="H127" t="str">
            <v>21</v>
          </cell>
          <cell r="I127" t="str">
            <v>1,000.000</v>
          </cell>
          <cell r="J127" t="str">
            <v>1,000.000</v>
          </cell>
        </row>
        <row r="128">
          <cell r="D128">
            <v>10190002307</v>
          </cell>
          <cell r="E128" t="str">
            <v>青岛宝融电子有限公司</v>
          </cell>
          <cell r="F128">
            <v>0.155</v>
          </cell>
          <cell r="G128" t="str">
            <v>CNY</v>
          </cell>
          <cell r="H128" t="str">
            <v>112</v>
          </cell>
          <cell r="I128" t="str">
            <v>1,400.000</v>
          </cell>
          <cell r="J128" t="str">
            <v>1,400.000</v>
          </cell>
        </row>
        <row r="129">
          <cell r="D129">
            <v>10100002122</v>
          </cell>
          <cell r="E129" t="str">
            <v>深圳市欧尔法电子有限公司</v>
          </cell>
          <cell r="F129">
            <v>4.7999999999999996E-3</v>
          </cell>
          <cell r="G129" t="str">
            <v>CNY</v>
          </cell>
          <cell r="H129" t="str">
            <v>56</v>
          </cell>
          <cell r="I129" t="str">
            <v>5,000.000</v>
          </cell>
          <cell r="J129" t="str">
            <v>5,000.000</v>
          </cell>
        </row>
        <row r="130">
          <cell r="D130">
            <v>10100002123</v>
          </cell>
          <cell r="E130" t="str">
            <v>广东风华高新科技股份有限公司</v>
          </cell>
          <cell r="F130">
            <v>3.7200000000000002E-3</v>
          </cell>
          <cell r="G130" t="str">
            <v>CNY</v>
          </cell>
          <cell r="H130" t="str">
            <v>42</v>
          </cell>
          <cell r="I130" t="str">
            <v>5,000.000</v>
          </cell>
          <cell r="J130" t="str">
            <v>5,000.000</v>
          </cell>
        </row>
        <row r="131">
          <cell r="D131">
            <v>10100002715</v>
          </cell>
          <cell r="E131" t="str">
            <v>深圳市欧尔法电子有限公司</v>
          </cell>
          <cell r="F131">
            <v>4.7999999999999996E-3</v>
          </cell>
          <cell r="G131" t="str">
            <v>CNY</v>
          </cell>
          <cell r="H131" t="str">
            <v>70</v>
          </cell>
          <cell r="I131" t="str">
            <v>5,000.000</v>
          </cell>
          <cell r="J131" t="str">
            <v>5,000.000</v>
          </cell>
        </row>
        <row r="132">
          <cell r="D132">
            <v>10100003500</v>
          </cell>
          <cell r="E132" t="str">
            <v>深圳市超利维实业有限公司</v>
          </cell>
          <cell r="F132">
            <v>2.5999999999999999E-3</v>
          </cell>
          <cell r="G132" t="str">
            <v>CNY</v>
          </cell>
          <cell r="H132" t="str">
            <v>56</v>
          </cell>
          <cell r="I132" t="str">
            <v>5,000.000</v>
          </cell>
          <cell r="J132" t="str">
            <v>5,000.000</v>
          </cell>
        </row>
        <row r="133">
          <cell r="D133">
            <v>10100003511</v>
          </cell>
          <cell r="E133" t="str">
            <v>深圳市欧尔法电子有限公司</v>
          </cell>
          <cell r="F133">
            <v>8.0000000000000002E-3</v>
          </cell>
          <cell r="G133" t="str">
            <v>CNY</v>
          </cell>
          <cell r="H133" t="str">
            <v>56</v>
          </cell>
          <cell r="I133" t="str">
            <v>5,000.000</v>
          </cell>
          <cell r="J133" t="str">
            <v>5,000.000</v>
          </cell>
        </row>
        <row r="134">
          <cell r="D134">
            <v>10100004833</v>
          </cell>
          <cell r="E134" t="str">
            <v>东莞华科电子有限公司</v>
          </cell>
          <cell r="F134">
            <v>3.8800000000000002E-3</v>
          </cell>
          <cell r="G134" t="str">
            <v>CNY</v>
          </cell>
          <cell r="H134" t="str">
            <v>56</v>
          </cell>
          <cell r="I134" t="str">
            <v>5,000.000</v>
          </cell>
          <cell r="J134" t="str">
            <v>5,000.000</v>
          </cell>
        </row>
        <row r="135">
          <cell r="D135">
            <v>10100005487</v>
          </cell>
          <cell r="E135" t="str">
            <v>厚声国际贸易（昆山）有限公司深圳分公司</v>
          </cell>
          <cell r="F135">
            <v>3.8E-3</v>
          </cell>
          <cell r="G135" t="str">
            <v>CNY</v>
          </cell>
          <cell r="H135" t="str">
            <v>56</v>
          </cell>
          <cell r="I135" t="str">
            <v>5,000.000</v>
          </cell>
          <cell r="J135" t="str">
            <v>5,000.000</v>
          </cell>
        </row>
        <row r="136">
          <cell r="D136">
            <v>10100005503</v>
          </cell>
          <cell r="E136" t="str">
            <v>厚声国际贸易（昆山）有限公司深圳分公司</v>
          </cell>
          <cell r="F136">
            <v>3.8E-3</v>
          </cell>
          <cell r="G136" t="str">
            <v>CNY</v>
          </cell>
          <cell r="H136" t="str">
            <v>56</v>
          </cell>
          <cell r="I136" t="str">
            <v>5,000.000</v>
          </cell>
          <cell r="J136" t="str">
            <v>5,000.000</v>
          </cell>
        </row>
        <row r="137">
          <cell r="D137">
            <v>10100005703</v>
          </cell>
          <cell r="E137" t="str">
            <v>深圳市超利维实业有限公司</v>
          </cell>
          <cell r="F137">
            <v>1.4E-3</v>
          </cell>
          <cell r="G137" t="str">
            <v>CNY</v>
          </cell>
          <cell r="H137" t="str">
            <v>84</v>
          </cell>
          <cell r="I137" t="str">
            <v>10,000.000</v>
          </cell>
          <cell r="J137" t="str">
            <v>10,000.000</v>
          </cell>
        </row>
        <row r="138">
          <cell r="D138">
            <v>10100005718</v>
          </cell>
          <cell r="E138" t="str">
            <v>广东风华高新科技股份有限公司</v>
          </cell>
          <cell r="F138">
            <v>1.1000000000000001E-3</v>
          </cell>
          <cell r="G138" t="str">
            <v>CNY</v>
          </cell>
          <cell r="H138" t="str">
            <v>42</v>
          </cell>
          <cell r="I138" t="str">
            <v>10,000.000</v>
          </cell>
          <cell r="J138" t="str">
            <v>10,000.000</v>
          </cell>
        </row>
        <row r="139">
          <cell r="D139">
            <v>10100005795</v>
          </cell>
          <cell r="E139" t="str">
            <v>广东风华高新科技股份有限公司</v>
          </cell>
          <cell r="F139">
            <v>1.1000000000000001E-3</v>
          </cell>
          <cell r="G139" t="str">
            <v>CNY</v>
          </cell>
          <cell r="H139" t="str">
            <v>42</v>
          </cell>
          <cell r="I139" t="str">
            <v>10,000.000</v>
          </cell>
          <cell r="J139" t="str">
            <v>10,000.000</v>
          </cell>
        </row>
        <row r="140">
          <cell r="D140">
            <v>10100006398</v>
          </cell>
          <cell r="E140" t="str">
            <v>广东风华高新科技股份有限公司</v>
          </cell>
          <cell r="F140">
            <v>6.3699999999999998E-3</v>
          </cell>
          <cell r="G140" t="str">
            <v>CNY</v>
          </cell>
          <cell r="H140" t="str">
            <v>42</v>
          </cell>
          <cell r="I140" t="str">
            <v>4,000.000</v>
          </cell>
          <cell r="J140" t="str">
            <v>4,000.000</v>
          </cell>
        </row>
        <row r="141">
          <cell r="D141">
            <v>10100006507</v>
          </cell>
          <cell r="E141" t="str">
            <v>广东风华高新科技股份有限公司</v>
          </cell>
          <cell r="F141">
            <v>2.0799999999999998E-3</v>
          </cell>
          <cell r="G141" t="str">
            <v>CNY</v>
          </cell>
          <cell r="H141" t="str">
            <v>42</v>
          </cell>
          <cell r="I141" t="str">
            <v>5,000.000</v>
          </cell>
          <cell r="J141" t="str">
            <v>5,000.000</v>
          </cell>
        </row>
        <row r="142">
          <cell r="D142">
            <v>10100006627</v>
          </cell>
          <cell r="E142" t="str">
            <v>广东风华高新科技股份有限公司</v>
          </cell>
          <cell r="F142">
            <v>3.7200000000000002E-3</v>
          </cell>
          <cell r="G142" t="str">
            <v>CNY</v>
          </cell>
          <cell r="H142" t="str">
            <v>42</v>
          </cell>
          <cell r="I142" t="str">
            <v>5,000.000</v>
          </cell>
          <cell r="J142" t="str">
            <v>5,000.000</v>
          </cell>
        </row>
        <row r="143">
          <cell r="D143">
            <v>10100006711</v>
          </cell>
          <cell r="E143" t="str">
            <v>东莞华科电子有限公司</v>
          </cell>
          <cell r="F143">
            <v>1.17E-3</v>
          </cell>
          <cell r="G143" t="str">
            <v>CNY</v>
          </cell>
          <cell r="H143" t="str">
            <v>56</v>
          </cell>
          <cell r="I143" t="str">
            <v>10,000.000</v>
          </cell>
          <cell r="J143" t="str">
            <v>10,000.000</v>
          </cell>
        </row>
        <row r="144">
          <cell r="D144">
            <v>10100006845</v>
          </cell>
          <cell r="E144" t="str">
            <v>东莞华科电子有限公司</v>
          </cell>
          <cell r="F144">
            <v>2.2200000000000002E-3</v>
          </cell>
          <cell r="G144" t="str">
            <v>CNY</v>
          </cell>
          <cell r="H144" t="str">
            <v>56</v>
          </cell>
          <cell r="I144" t="str">
            <v>5,000.000</v>
          </cell>
          <cell r="J144" t="str">
            <v>5,000.000</v>
          </cell>
        </row>
        <row r="145">
          <cell r="D145">
            <v>10100007109</v>
          </cell>
          <cell r="E145" t="str">
            <v>东莞华科电子有限公司</v>
          </cell>
          <cell r="F145">
            <v>3.8800000000000002E-3</v>
          </cell>
          <cell r="G145" t="str">
            <v>CNY</v>
          </cell>
          <cell r="H145" t="str">
            <v>56</v>
          </cell>
          <cell r="I145" t="str">
            <v>5,000.000</v>
          </cell>
          <cell r="J145" t="str">
            <v>5,000.000</v>
          </cell>
        </row>
        <row r="146">
          <cell r="D146">
            <v>10100007174</v>
          </cell>
          <cell r="E146" t="str">
            <v>东莞华科电子有限公司</v>
          </cell>
          <cell r="F146">
            <v>6.9499999999999996E-3</v>
          </cell>
          <cell r="G146" t="str">
            <v>CNY</v>
          </cell>
          <cell r="H146" t="str">
            <v>56</v>
          </cell>
          <cell r="I146" t="str">
            <v>5,000.000</v>
          </cell>
          <cell r="J146" t="str">
            <v>5,000.000</v>
          </cell>
        </row>
        <row r="147">
          <cell r="D147">
            <v>10100007615</v>
          </cell>
          <cell r="E147" t="str">
            <v>深圳市超利维实业有限公司</v>
          </cell>
          <cell r="F147">
            <v>1.4E-3</v>
          </cell>
          <cell r="G147" t="str">
            <v>CNY</v>
          </cell>
          <cell r="H147" t="str">
            <v>84</v>
          </cell>
          <cell r="I147" t="str">
            <v>10,000.000</v>
          </cell>
          <cell r="J147" t="str">
            <v>10,000.000</v>
          </cell>
        </row>
        <row r="148">
          <cell r="D148">
            <v>10100007852</v>
          </cell>
          <cell r="E148" t="str">
            <v>深圳市欧尔法电子有限公司</v>
          </cell>
          <cell r="F148">
            <v>8.0000000000000002E-3</v>
          </cell>
          <cell r="G148" t="str">
            <v>CNY</v>
          </cell>
          <cell r="H148" t="str">
            <v>70</v>
          </cell>
          <cell r="I148" t="str">
            <v>5,000.000</v>
          </cell>
          <cell r="J148" t="str">
            <v>5,000.000</v>
          </cell>
        </row>
        <row r="149">
          <cell r="D149">
            <v>10100008057</v>
          </cell>
          <cell r="E149" t="str">
            <v>广东风华高新科技股份有限公司</v>
          </cell>
          <cell r="F149">
            <v>1.1000000000000001E-3</v>
          </cell>
          <cell r="G149" t="str">
            <v>CNY</v>
          </cell>
          <cell r="H149" t="str">
            <v>42</v>
          </cell>
          <cell r="I149" t="str">
            <v>10,000.000</v>
          </cell>
          <cell r="J149" t="str">
            <v>10,000.000</v>
          </cell>
        </row>
        <row r="150">
          <cell r="D150">
            <v>10100008069</v>
          </cell>
          <cell r="E150" t="str">
            <v>东莞华科电子有限公司</v>
          </cell>
          <cell r="F150">
            <v>1.17E-3</v>
          </cell>
          <cell r="G150" t="str">
            <v>CNY</v>
          </cell>
          <cell r="H150" t="str">
            <v>56</v>
          </cell>
          <cell r="I150" t="str">
            <v>10,000.000</v>
          </cell>
          <cell r="J150" t="str">
            <v>10,000.000</v>
          </cell>
        </row>
        <row r="151">
          <cell r="D151">
            <v>10100008075</v>
          </cell>
          <cell r="E151" t="str">
            <v>深圳市超利维实业有限公司</v>
          </cell>
          <cell r="F151">
            <v>1.4E-3</v>
          </cell>
          <cell r="G151" t="str">
            <v>CNY</v>
          </cell>
          <cell r="H151" t="str">
            <v>84</v>
          </cell>
          <cell r="I151" t="str">
            <v>10,000.000</v>
          </cell>
          <cell r="J151" t="str">
            <v>10,000.000</v>
          </cell>
        </row>
        <row r="152">
          <cell r="D152">
            <v>10100008302</v>
          </cell>
          <cell r="E152" t="str">
            <v>东莞华科电子有限公司</v>
          </cell>
          <cell r="F152">
            <v>1.17E-3</v>
          </cell>
          <cell r="G152" t="str">
            <v>CNY</v>
          </cell>
          <cell r="H152" t="str">
            <v>56</v>
          </cell>
          <cell r="I152" t="str">
            <v>10,000.000</v>
          </cell>
          <cell r="J152" t="str">
            <v>10,000.000</v>
          </cell>
        </row>
        <row r="153">
          <cell r="D153">
            <v>10100008776</v>
          </cell>
          <cell r="E153" t="str">
            <v>广东风华高新科技股份有限公司</v>
          </cell>
          <cell r="F153">
            <v>2.0799999999999998E-3</v>
          </cell>
          <cell r="G153" t="str">
            <v>CNY</v>
          </cell>
          <cell r="H153" t="str">
            <v>42</v>
          </cell>
          <cell r="I153" t="str">
            <v>5,000.000</v>
          </cell>
          <cell r="J153" t="str">
            <v>5,000.000</v>
          </cell>
        </row>
        <row r="154">
          <cell r="D154">
            <v>10100008827</v>
          </cell>
          <cell r="E154" t="str">
            <v>东莞华科电子有限公司</v>
          </cell>
          <cell r="F154">
            <v>1.17E-3</v>
          </cell>
          <cell r="G154" t="str">
            <v>CNY</v>
          </cell>
          <cell r="H154" t="str">
            <v>56</v>
          </cell>
          <cell r="I154" t="str">
            <v>10,000.000</v>
          </cell>
          <cell r="J154" t="str">
            <v>10,000.000</v>
          </cell>
        </row>
        <row r="155">
          <cell r="D155">
            <v>10100008830</v>
          </cell>
          <cell r="E155" t="str">
            <v>深圳市欧尔法电子有限公司</v>
          </cell>
          <cell r="F155">
            <v>1.39E-3</v>
          </cell>
          <cell r="G155" t="str">
            <v>CNY</v>
          </cell>
          <cell r="H155" t="str">
            <v>56</v>
          </cell>
          <cell r="I155" t="str">
            <v>10,000.000</v>
          </cell>
          <cell r="J155" t="str">
            <v>10,000.000</v>
          </cell>
        </row>
        <row r="156">
          <cell r="D156">
            <v>10100009093</v>
          </cell>
          <cell r="E156" t="str">
            <v>东莞华科电子有限公司</v>
          </cell>
          <cell r="F156">
            <v>1.17E-3</v>
          </cell>
          <cell r="G156" t="str">
            <v>CNY</v>
          </cell>
          <cell r="H156" t="str">
            <v>56</v>
          </cell>
          <cell r="I156" t="str">
            <v>10,000.000</v>
          </cell>
          <cell r="J156" t="str">
            <v>10,000.000</v>
          </cell>
        </row>
        <row r="157">
          <cell r="D157">
            <v>10100009838</v>
          </cell>
          <cell r="E157" t="str">
            <v>厚声国际贸易（昆山）有限公司深圳分公司</v>
          </cell>
          <cell r="F157">
            <v>1.09E-3</v>
          </cell>
          <cell r="G157" t="str">
            <v>CNY</v>
          </cell>
          <cell r="H157" t="str">
            <v>42</v>
          </cell>
          <cell r="I157" t="str">
            <v>10,000.000</v>
          </cell>
          <cell r="J157" t="str">
            <v>10,000.000</v>
          </cell>
        </row>
        <row r="158">
          <cell r="D158">
            <v>10100010045</v>
          </cell>
          <cell r="E158" t="str">
            <v>东莞华科电子有限公司</v>
          </cell>
          <cell r="F158">
            <v>1.17E-3</v>
          </cell>
          <cell r="G158" t="str">
            <v>CNY</v>
          </cell>
          <cell r="H158" t="str">
            <v>56</v>
          </cell>
          <cell r="I158" t="str">
            <v>10,000.000</v>
          </cell>
          <cell r="J158" t="str">
            <v>10,000.000</v>
          </cell>
        </row>
        <row r="159">
          <cell r="D159">
            <v>10100011090</v>
          </cell>
          <cell r="E159" t="str">
            <v>厚声国际贸易（昆山）有限公司深圳分公司</v>
          </cell>
          <cell r="F159">
            <v>2.0999999999999999E-3</v>
          </cell>
          <cell r="G159" t="str">
            <v>CNY</v>
          </cell>
          <cell r="H159" t="str">
            <v>56</v>
          </cell>
          <cell r="I159" t="str">
            <v>5,000.000</v>
          </cell>
          <cell r="J159" t="str">
            <v>5,000.000</v>
          </cell>
        </row>
        <row r="160">
          <cell r="D160">
            <v>10100011726</v>
          </cell>
          <cell r="E160" t="str">
            <v>深圳市欧尔法电子有限公司</v>
          </cell>
          <cell r="F160">
            <v>1.39E-3</v>
          </cell>
          <cell r="G160" t="str">
            <v>CNY</v>
          </cell>
          <cell r="H160" t="str">
            <v>56</v>
          </cell>
          <cell r="I160" t="str">
            <v>10,000.000</v>
          </cell>
          <cell r="J160" t="str">
            <v>10,000.000</v>
          </cell>
        </row>
        <row r="161">
          <cell r="D161">
            <v>10100011886</v>
          </cell>
          <cell r="E161" t="str">
            <v>厚声国际贸易（昆山）有限公司深圳分公司</v>
          </cell>
          <cell r="F161">
            <v>1.09E-3</v>
          </cell>
          <cell r="G161" t="str">
            <v>CNY</v>
          </cell>
          <cell r="H161" t="str">
            <v>56</v>
          </cell>
          <cell r="I161" t="str">
            <v>10,000.000</v>
          </cell>
          <cell r="J161" t="str">
            <v>10,000.000</v>
          </cell>
        </row>
        <row r="162">
          <cell r="D162">
            <v>10100011993</v>
          </cell>
          <cell r="E162" t="str">
            <v>广东风华高新科技股份有限公司</v>
          </cell>
          <cell r="F162">
            <v>1.1000000000000001E-3</v>
          </cell>
          <cell r="G162" t="str">
            <v>CNY</v>
          </cell>
          <cell r="H162" t="str">
            <v>42</v>
          </cell>
          <cell r="I162" t="str">
            <v>10,000.000</v>
          </cell>
          <cell r="J162" t="str">
            <v>10,000.000</v>
          </cell>
        </row>
        <row r="163">
          <cell r="D163">
            <v>10100013040</v>
          </cell>
          <cell r="E163" t="str">
            <v>厚声国际贸易（昆山）有限公司深圳分公司</v>
          </cell>
          <cell r="F163">
            <v>1.09E-3</v>
          </cell>
          <cell r="G163" t="str">
            <v>CNY</v>
          </cell>
          <cell r="H163" t="str">
            <v>42</v>
          </cell>
          <cell r="I163" t="str">
            <v>10,000.000</v>
          </cell>
          <cell r="J163" t="str">
            <v>10,000.000</v>
          </cell>
        </row>
        <row r="164">
          <cell r="D164">
            <v>10100013093</v>
          </cell>
          <cell r="E164" t="str">
            <v>厚声国际贸易（昆山）有限公司深圳分公司</v>
          </cell>
          <cell r="F164">
            <v>1.09E-3</v>
          </cell>
          <cell r="G164" t="str">
            <v>CNY</v>
          </cell>
          <cell r="H164" t="str">
            <v>42</v>
          </cell>
          <cell r="I164" t="str">
            <v>10,000.000</v>
          </cell>
          <cell r="J164" t="str">
            <v>10,000.000</v>
          </cell>
        </row>
        <row r="165">
          <cell r="D165">
            <v>10100013936</v>
          </cell>
          <cell r="E165" t="str">
            <v>广东风华高新科技股份有限公司</v>
          </cell>
          <cell r="F165">
            <v>1.1000000000000001E-3</v>
          </cell>
          <cell r="G165" t="str">
            <v>CNY</v>
          </cell>
          <cell r="H165" t="str">
            <v>42</v>
          </cell>
          <cell r="I165" t="str">
            <v>10,000.000</v>
          </cell>
          <cell r="J165" t="str">
            <v>10,000.000</v>
          </cell>
        </row>
        <row r="166">
          <cell r="D166">
            <v>10100014304</v>
          </cell>
          <cell r="E166" t="str">
            <v>东莞华科电子有限公司</v>
          </cell>
          <cell r="F166">
            <v>6.9499999999999996E-3</v>
          </cell>
          <cell r="G166" t="str">
            <v>CNY</v>
          </cell>
          <cell r="H166" t="str">
            <v>56</v>
          </cell>
          <cell r="I166" t="str">
            <v>5,000.000</v>
          </cell>
          <cell r="J166" t="str">
            <v>5,000.000</v>
          </cell>
        </row>
        <row r="167">
          <cell r="D167">
            <v>10100014735</v>
          </cell>
          <cell r="E167" t="str">
            <v>厚声国际贸易（昆山）有限公司深圳分公司</v>
          </cell>
          <cell r="F167">
            <v>1.09E-3</v>
          </cell>
          <cell r="G167" t="str">
            <v>CNY</v>
          </cell>
          <cell r="H167" t="str">
            <v>42</v>
          </cell>
          <cell r="I167" t="str">
            <v>10,000.000</v>
          </cell>
          <cell r="J167" t="str">
            <v>10,000.000</v>
          </cell>
        </row>
        <row r="168">
          <cell r="D168">
            <v>10100017206</v>
          </cell>
          <cell r="E168" t="str">
            <v>厚声国际贸易（昆山）有限公司深圳分公司</v>
          </cell>
          <cell r="F168">
            <v>6.7799999999999996E-3</v>
          </cell>
          <cell r="G168" t="str">
            <v>CNY</v>
          </cell>
          <cell r="H168" t="str">
            <v>70</v>
          </cell>
          <cell r="I168" t="str">
            <v>5,000.000</v>
          </cell>
          <cell r="J168" t="str">
            <v>5,000.000</v>
          </cell>
        </row>
        <row r="169">
          <cell r="D169">
            <v>10100017511</v>
          </cell>
          <cell r="E169" t="str">
            <v>南充溢辉电子科技有限公司</v>
          </cell>
          <cell r="F169">
            <v>5.5999999999999999E-3</v>
          </cell>
          <cell r="G169" t="str">
            <v>CNY</v>
          </cell>
          <cell r="H169" t="str">
            <v>42</v>
          </cell>
          <cell r="I169" t="str">
            <v>5,000.000</v>
          </cell>
          <cell r="J169" t="str">
            <v>5,000.000</v>
          </cell>
        </row>
        <row r="170">
          <cell r="D170">
            <v>10100017551</v>
          </cell>
          <cell r="E170" t="str">
            <v>南充溢辉电子科技有限公司</v>
          </cell>
          <cell r="F170">
            <v>5.5999999999999999E-3</v>
          </cell>
          <cell r="G170" t="str">
            <v>CNY</v>
          </cell>
          <cell r="H170" t="str">
            <v>35</v>
          </cell>
          <cell r="I170" t="str">
            <v>5,000.000</v>
          </cell>
          <cell r="J170" t="str">
            <v>5,000.000</v>
          </cell>
        </row>
        <row r="171">
          <cell r="D171">
            <v>10100017616</v>
          </cell>
          <cell r="E171" t="str">
            <v>南充溢辉电子科技有限公司</v>
          </cell>
          <cell r="F171">
            <v>9.7999999999999997E-4</v>
          </cell>
          <cell r="G171" t="str">
            <v>CNY</v>
          </cell>
          <cell r="H171" t="str">
            <v>42</v>
          </cell>
          <cell r="I171" t="str">
            <v>10,000.000</v>
          </cell>
          <cell r="J171" t="str">
            <v>10,000.000</v>
          </cell>
        </row>
        <row r="172">
          <cell r="D172">
            <v>10100017618</v>
          </cell>
          <cell r="E172" t="str">
            <v>南充溢辉电子科技有限公司</v>
          </cell>
          <cell r="F172">
            <v>9.7999999999999997E-4</v>
          </cell>
          <cell r="G172" t="str">
            <v>CNY</v>
          </cell>
          <cell r="H172" t="str">
            <v>42</v>
          </cell>
          <cell r="I172" t="str">
            <v>10,000.000</v>
          </cell>
          <cell r="J172" t="str">
            <v>10,000.000</v>
          </cell>
        </row>
        <row r="173">
          <cell r="D173">
            <v>10100017642</v>
          </cell>
          <cell r="E173" t="str">
            <v>南充溢辉电子科技有限公司</v>
          </cell>
          <cell r="F173">
            <v>9.7999999999999997E-4</v>
          </cell>
          <cell r="G173" t="str">
            <v>CNY</v>
          </cell>
          <cell r="H173" t="str">
            <v>42</v>
          </cell>
          <cell r="I173" t="str">
            <v>10,000.000</v>
          </cell>
          <cell r="J173" t="str">
            <v>10,000.000</v>
          </cell>
        </row>
        <row r="174">
          <cell r="D174">
            <v>10100017664</v>
          </cell>
          <cell r="E174" t="str">
            <v>南充溢辉电子科技有限公司</v>
          </cell>
          <cell r="F174">
            <v>9.7999999999999997E-4</v>
          </cell>
          <cell r="G174" t="str">
            <v>CNY</v>
          </cell>
          <cell r="H174" t="str">
            <v>42</v>
          </cell>
          <cell r="I174" t="str">
            <v>10,000.000</v>
          </cell>
          <cell r="J174" t="str">
            <v>10,000.000</v>
          </cell>
        </row>
        <row r="175">
          <cell r="D175">
            <v>10100017679</v>
          </cell>
          <cell r="E175" t="str">
            <v>南充溢辉电子科技有限公司</v>
          </cell>
          <cell r="F175">
            <v>9.7999999999999997E-4</v>
          </cell>
          <cell r="G175" t="str">
            <v>CNY</v>
          </cell>
          <cell r="H175" t="str">
            <v>42</v>
          </cell>
          <cell r="I175" t="str">
            <v>10,000.000</v>
          </cell>
          <cell r="J175" t="str">
            <v>10,000.000</v>
          </cell>
        </row>
        <row r="176">
          <cell r="D176">
            <v>10100017738</v>
          </cell>
          <cell r="E176" t="str">
            <v>南充溢辉电子科技有限公司</v>
          </cell>
          <cell r="F176">
            <v>9.7999999999999997E-4</v>
          </cell>
          <cell r="G176" t="str">
            <v>CNY</v>
          </cell>
          <cell r="H176" t="str">
            <v>42</v>
          </cell>
          <cell r="I176" t="str">
            <v>10,000.000</v>
          </cell>
          <cell r="J176" t="str">
            <v>10,000.000</v>
          </cell>
        </row>
        <row r="177">
          <cell r="D177">
            <v>10100017764</v>
          </cell>
          <cell r="E177" t="str">
            <v>南充溢辉电子科技有限公司</v>
          </cell>
          <cell r="F177">
            <v>9.7999999999999997E-4</v>
          </cell>
          <cell r="G177" t="str">
            <v>CNY</v>
          </cell>
          <cell r="H177" t="str">
            <v>42</v>
          </cell>
          <cell r="I177" t="str">
            <v>10,000.000</v>
          </cell>
          <cell r="J177" t="str">
            <v>10,000.000</v>
          </cell>
        </row>
        <row r="178">
          <cell r="D178">
            <v>10100017970</v>
          </cell>
          <cell r="E178" t="str">
            <v>南充溢辉电子科技有限公司</v>
          </cell>
          <cell r="F178">
            <v>1.8500000000000001E-3</v>
          </cell>
          <cell r="G178" t="str">
            <v>CNY</v>
          </cell>
          <cell r="H178" t="str">
            <v>42</v>
          </cell>
          <cell r="I178" t="str">
            <v>5,000.000</v>
          </cell>
          <cell r="J178" t="str">
            <v>5,000.000</v>
          </cell>
        </row>
        <row r="179">
          <cell r="D179">
            <v>10100018109</v>
          </cell>
          <cell r="E179" t="str">
            <v>南充溢辉电子科技有限公司</v>
          </cell>
          <cell r="F179">
            <v>3.3500000000000001E-3</v>
          </cell>
          <cell r="G179" t="str">
            <v>CNY</v>
          </cell>
          <cell r="H179" t="str">
            <v>42</v>
          </cell>
          <cell r="I179" t="str">
            <v>5,000.000</v>
          </cell>
          <cell r="J179" t="str">
            <v>5,000.000</v>
          </cell>
        </row>
        <row r="180">
          <cell r="D180">
            <v>10100018253</v>
          </cell>
          <cell r="E180" t="str">
            <v>南充溢辉电子科技有限公司</v>
          </cell>
          <cell r="F180">
            <v>3.3500000000000001E-3</v>
          </cell>
          <cell r="G180" t="str">
            <v>CNY</v>
          </cell>
          <cell r="H180" t="str">
            <v>42</v>
          </cell>
          <cell r="I180" t="str">
            <v>5,000.000</v>
          </cell>
          <cell r="J180" t="str">
            <v>5,000.000</v>
          </cell>
        </row>
        <row r="181">
          <cell r="D181">
            <v>10100026554</v>
          </cell>
          <cell r="E181" t="str">
            <v>广东风华高新科技股份有限公司</v>
          </cell>
          <cell r="F181">
            <v>6.3699999999999998E-3</v>
          </cell>
          <cell r="G181" t="str">
            <v>CNY</v>
          </cell>
          <cell r="H181" t="str">
            <v>42</v>
          </cell>
          <cell r="I181" t="str">
            <v>5,000.000</v>
          </cell>
          <cell r="J181" t="str">
            <v>5,000.000</v>
          </cell>
        </row>
        <row r="182">
          <cell r="D182">
            <v>10110001388</v>
          </cell>
          <cell r="E182" t="str">
            <v>广东风华高新科技股份有限公司</v>
          </cell>
          <cell r="F182">
            <v>5.4999999999999997E-3</v>
          </cell>
          <cell r="G182" t="str">
            <v>CNY</v>
          </cell>
          <cell r="H182" t="str">
            <v>56</v>
          </cell>
          <cell r="I182" t="str">
            <v>4,000.000</v>
          </cell>
          <cell r="J182" t="str">
            <v>4,000.000</v>
          </cell>
        </row>
        <row r="183">
          <cell r="D183">
            <v>10110001391</v>
          </cell>
          <cell r="E183" t="str">
            <v>广东顺德集财电子有限公司</v>
          </cell>
          <cell r="F183">
            <v>6.1000000000000004E-3</v>
          </cell>
          <cell r="G183" t="str">
            <v>CNY</v>
          </cell>
          <cell r="H183" t="str">
            <v>56</v>
          </cell>
          <cell r="I183" t="str">
            <v>4,000.000</v>
          </cell>
          <cell r="J183" t="str">
            <v>4,000.000</v>
          </cell>
        </row>
        <row r="184">
          <cell r="D184">
            <v>10110003080</v>
          </cell>
          <cell r="E184" t="str">
            <v>深圳市兴鸿宇科技有限公司</v>
          </cell>
          <cell r="F184">
            <v>0.19800000000000001</v>
          </cell>
          <cell r="G184" t="str">
            <v>CNY</v>
          </cell>
          <cell r="H184" t="str">
            <v>84</v>
          </cell>
          <cell r="I184" t="str">
            <v>1,000.000</v>
          </cell>
          <cell r="J184" t="str">
            <v>1,000.000</v>
          </cell>
        </row>
        <row r="185">
          <cell r="D185">
            <v>10110003896</v>
          </cell>
          <cell r="E185" t="str">
            <v>深圳市奥特高科电子有限公司</v>
          </cell>
          <cell r="F185">
            <v>2.3E-3</v>
          </cell>
          <cell r="G185" t="str">
            <v>CNY</v>
          </cell>
          <cell r="H185" t="str">
            <v>56</v>
          </cell>
          <cell r="I185" t="str">
            <v>10,000.000</v>
          </cell>
          <cell r="J185" t="str">
            <v>10,000.000</v>
          </cell>
        </row>
        <row r="186">
          <cell r="D186">
            <v>10110003897</v>
          </cell>
          <cell r="E186" t="str">
            <v>深圳市奥特高科电子有限公司</v>
          </cell>
          <cell r="F186">
            <v>2.2000000000000001E-3</v>
          </cell>
          <cell r="G186" t="str">
            <v>CNY</v>
          </cell>
          <cell r="H186" t="str">
            <v>56</v>
          </cell>
          <cell r="I186" t="str">
            <v>10,000.000</v>
          </cell>
          <cell r="J186" t="str">
            <v>10,000.000</v>
          </cell>
        </row>
        <row r="187">
          <cell r="D187">
            <v>10110003944</v>
          </cell>
          <cell r="E187" t="str">
            <v>东莞华科电子有限公司</v>
          </cell>
          <cell r="F187">
            <v>5.4299999999999999E-3</v>
          </cell>
          <cell r="G187" t="str">
            <v>CNY</v>
          </cell>
          <cell r="H187" t="str">
            <v>56</v>
          </cell>
          <cell r="I187" t="str">
            <v>4,000.000</v>
          </cell>
          <cell r="J187" t="str">
            <v>4,000.000</v>
          </cell>
        </row>
        <row r="188">
          <cell r="D188">
            <v>10110004676</v>
          </cell>
          <cell r="E188" t="str">
            <v>东莞华科电子有限公司</v>
          </cell>
          <cell r="F188">
            <v>1.98E-3</v>
          </cell>
          <cell r="G188" t="str">
            <v>CNY</v>
          </cell>
          <cell r="H188" t="str">
            <v>56</v>
          </cell>
          <cell r="I188" t="str">
            <v>10,000.000</v>
          </cell>
          <cell r="J188" t="str">
            <v>10,000.000</v>
          </cell>
        </row>
        <row r="189">
          <cell r="D189">
            <v>10110005377</v>
          </cell>
          <cell r="E189" t="str">
            <v>深圳市巨新科电子有限公司</v>
          </cell>
          <cell r="F189">
            <v>2.98E-3</v>
          </cell>
          <cell r="G189" t="str">
            <v>CNY</v>
          </cell>
          <cell r="H189" t="str">
            <v>90</v>
          </cell>
          <cell r="I189" t="str">
            <v>10,000.000</v>
          </cell>
          <cell r="J189" t="str">
            <v>10,000.000</v>
          </cell>
        </row>
        <row r="190">
          <cell r="D190">
            <v>10110005378</v>
          </cell>
          <cell r="E190" t="str">
            <v>深圳市吉利通电子有限公司</v>
          </cell>
          <cell r="F190">
            <v>2.3999999999999998E-3</v>
          </cell>
          <cell r="G190" t="str">
            <v>CNY</v>
          </cell>
          <cell r="H190" t="str">
            <v>56</v>
          </cell>
          <cell r="I190" t="str">
            <v>10,000.000</v>
          </cell>
          <cell r="J190" t="str">
            <v>10,000.000</v>
          </cell>
        </row>
        <row r="191">
          <cell r="D191">
            <v>10110005723</v>
          </cell>
          <cell r="E191" t="str">
            <v>深圳市奥特高科电子有限公司</v>
          </cell>
          <cell r="F191">
            <v>6.4999999999999997E-3</v>
          </cell>
          <cell r="G191" t="str">
            <v>CNY</v>
          </cell>
          <cell r="H191" t="str">
            <v>56</v>
          </cell>
          <cell r="I191" t="str">
            <v>4,000.000</v>
          </cell>
          <cell r="J191" t="str">
            <v>4,000.000</v>
          </cell>
        </row>
        <row r="192">
          <cell r="D192">
            <v>10110005817</v>
          </cell>
          <cell r="E192" t="str">
            <v>东莞华科电子有限公司</v>
          </cell>
          <cell r="F192">
            <v>1.98E-3</v>
          </cell>
          <cell r="G192" t="str">
            <v>CNY</v>
          </cell>
          <cell r="H192" t="str">
            <v>56</v>
          </cell>
          <cell r="I192" t="str">
            <v>10,000.000</v>
          </cell>
          <cell r="J192" t="str">
            <v>10,000.000</v>
          </cell>
        </row>
        <row r="193">
          <cell r="D193">
            <v>10110006771</v>
          </cell>
          <cell r="E193" t="str">
            <v>深圳市奥特高科电子有限公司</v>
          </cell>
          <cell r="F193">
            <v>4.9500000000000004E-3</v>
          </cell>
          <cell r="G193" t="str">
            <v>CNY</v>
          </cell>
          <cell r="H193" t="str">
            <v>56</v>
          </cell>
          <cell r="I193" t="str">
            <v>10,000.000</v>
          </cell>
          <cell r="J193" t="str">
            <v>10,000.000</v>
          </cell>
        </row>
        <row r="194">
          <cell r="D194">
            <v>10110007139</v>
          </cell>
          <cell r="E194" t="str">
            <v>深圳市天河星供应链有限公司</v>
          </cell>
          <cell r="F194">
            <v>2.2000000000000001E-3</v>
          </cell>
          <cell r="G194" t="str">
            <v>CNY</v>
          </cell>
          <cell r="H194" t="str">
            <v>56</v>
          </cell>
          <cell r="I194" t="str">
            <v>10,000.000</v>
          </cell>
          <cell r="J194" t="str">
            <v>10,000.000</v>
          </cell>
        </row>
        <row r="195">
          <cell r="D195">
            <v>10110007822</v>
          </cell>
          <cell r="E195" t="str">
            <v>广东顺德集财电子有限公司</v>
          </cell>
          <cell r="F195">
            <v>2.3999999999999998E-3</v>
          </cell>
          <cell r="G195" t="str">
            <v>CNY</v>
          </cell>
          <cell r="H195" t="str">
            <v>56</v>
          </cell>
          <cell r="I195" t="str">
            <v>10,000.000</v>
          </cell>
          <cell r="J195" t="str">
            <v>10,000.000</v>
          </cell>
        </row>
        <row r="196">
          <cell r="D196">
            <v>10110008257</v>
          </cell>
          <cell r="E196" t="str">
            <v>广东顺德集财电子有限公司</v>
          </cell>
          <cell r="F196">
            <v>4.62E-3</v>
          </cell>
          <cell r="G196" t="str">
            <v>CNY</v>
          </cell>
          <cell r="H196" t="str">
            <v>56</v>
          </cell>
          <cell r="I196" t="str">
            <v>10,000.000</v>
          </cell>
          <cell r="J196" t="str">
            <v>10,000.000</v>
          </cell>
        </row>
        <row r="197">
          <cell r="D197">
            <v>10110008724</v>
          </cell>
          <cell r="E197" t="str">
            <v>广东顺德集财电子有限公司</v>
          </cell>
          <cell r="F197">
            <v>4.1000000000000003E-3</v>
          </cell>
          <cell r="G197" t="str">
            <v>CNY</v>
          </cell>
          <cell r="H197" t="str">
            <v>56</v>
          </cell>
          <cell r="I197" t="str">
            <v>10,000.000</v>
          </cell>
          <cell r="J197" t="str">
            <v>10,000.000</v>
          </cell>
        </row>
        <row r="198">
          <cell r="D198">
            <v>10110008726</v>
          </cell>
          <cell r="E198" t="str">
            <v>深圳市天河星供应链有限公司</v>
          </cell>
          <cell r="F198">
            <v>2.2000000000000001E-3</v>
          </cell>
          <cell r="G198" t="str">
            <v>CNY</v>
          </cell>
          <cell r="H198" t="str">
            <v>84</v>
          </cell>
          <cell r="I198" t="str">
            <v>10,000.000</v>
          </cell>
          <cell r="J198" t="str">
            <v>10,000.000</v>
          </cell>
        </row>
        <row r="199">
          <cell r="D199">
            <v>10110008729</v>
          </cell>
          <cell r="E199" t="str">
            <v>广东风华高新科技股份有限公司</v>
          </cell>
          <cell r="F199">
            <v>2.0999999999999999E-3</v>
          </cell>
          <cell r="G199" t="str">
            <v>CNY</v>
          </cell>
          <cell r="H199" t="str">
            <v>56</v>
          </cell>
          <cell r="I199" t="str">
            <v>10,000.000</v>
          </cell>
          <cell r="J199" t="str">
            <v>10,000.000</v>
          </cell>
        </row>
        <row r="200">
          <cell r="D200">
            <v>10110008734</v>
          </cell>
          <cell r="E200" t="str">
            <v>广东风华高新科技股份有限公司</v>
          </cell>
          <cell r="F200">
            <v>2.0999999999999999E-3</v>
          </cell>
          <cell r="G200" t="str">
            <v>CNY</v>
          </cell>
          <cell r="H200" t="str">
            <v>56</v>
          </cell>
          <cell r="I200" t="str">
            <v>10,000.000</v>
          </cell>
          <cell r="J200" t="str">
            <v>10,000.000</v>
          </cell>
        </row>
        <row r="201">
          <cell r="D201">
            <v>10110008934</v>
          </cell>
          <cell r="E201" t="str">
            <v>广东顺德集财电子有限公司</v>
          </cell>
          <cell r="F201">
            <v>9.8000000000000004E-2</v>
          </cell>
          <cell r="G201" t="str">
            <v>CNY</v>
          </cell>
          <cell r="H201" t="str">
            <v>56</v>
          </cell>
          <cell r="I201" t="str">
            <v>2,000.000</v>
          </cell>
          <cell r="J201" t="str">
            <v>2,000.000</v>
          </cell>
        </row>
        <row r="202">
          <cell r="D202">
            <v>10110009749</v>
          </cell>
          <cell r="E202" t="str">
            <v>深圳市欧亚达电子有限公司</v>
          </cell>
          <cell r="F202">
            <v>9.5499999999999995E-3</v>
          </cell>
          <cell r="G202" t="str">
            <v>CNY</v>
          </cell>
          <cell r="H202" t="str">
            <v>84</v>
          </cell>
          <cell r="I202" t="str">
            <v>10,000.000</v>
          </cell>
          <cell r="J202" t="str">
            <v>10,000.000</v>
          </cell>
        </row>
        <row r="203">
          <cell r="D203">
            <v>10110011269</v>
          </cell>
          <cell r="E203" t="str">
            <v>潮州三环（集团）股份有限公司</v>
          </cell>
          <cell r="F203">
            <v>1.8500000000000001E-3</v>
          </cell>
          <cell r="G203" t="str">
            <v>CNY</v>
          </cell>
          <cell r="H203" t="str">
            <v>56</v>
          </cell>
          <cell r="I203" t="str">
            <v>10,000.000</v>
          </cell>
          <cell r="J203" t="str">
            <v>10,000.000</v>
          </cell>
        </row>
        <row r="204">
          <cell r="D204">
            <v>10110011283</v>
          </cell>
          <cell r="E204" t="str">
            <v>潮州三环（集团）股份有限公司</v>
          </cell>
          <cell r="F204">
            <v>5.1500000000000001E-3</v>
          </cell>
          <cell r="G204" t="str">
            <v>CNY</v>
          </cell>
          <cell r="H204" t="str">
            <v>56</v>
          </cell>
          <cell r="I204" t="str">
            <v>4,000.000</v>
          </cell>
          <cell r="J204" t="str">
            <v>4,000.000</v>
          </cell>
        </row>
        <row r="205">
          <cell r="D205">
            <v>10110012147</v>
          </cell>
          <cell r="E205" t="str">
            <v>潮州三环（集团）股份有限公司</v>
          </cell>
          <cell r="F205">
            <v>1.9499999999999999E-3</v>
          </cell>
          <cell r="G205" t="str">
            <v>CNY</v>
          </cell>
          <cell r="H205" t="str">
            <v>56</v>
          </cell>
          <cell r="I205" t="str">
            <v>10,000.000</v>
          </cell>
          <cell r="J205" t="str">
            <v>10,000.000</v>
          </cell>
        </row>
        <row r="206">
          <cell r="D206">
            <v>10110012149</v>
          </cell>
          <cell r="E206" t="str">
            <v>潮州三环（集团）股份有限公司</v>
          </cell>
          <cell r="F206">
            <v>1.8500000000000001E-3</v>
          </cell>
          <cell r="G206" t="str">
            <v>CNY</v>
          </cell>
          <cell r="H206" t="str">
            <v>56</v>
          </cell>
          <cell r="I206" t="str">
            <v>10,000.000</v>
          </cell>
          <cell r="J206" t="str">
            <v>10,000.000</v>
          </cell>
        </row>
        <row r="207">
          <cell r="D207">
            <v>10110012398</v>
          </cell>
          <cell r="E207" t="str">
            <v>深圳市奥特高科电子有限公司</v>
          </cell>
          <cell r="F207">
            <v>7.0000000000000001E-3</v>
          </cell>
          <cell r="G207" t="str">
            <v>CNY</v>
          </cell>
          <cell r="H207" t="str">
            <v>56</v>
          </cell>
          <cell r="I207" t="str">
            <v>4,000.000</v>
          </cell>
          <cell r="J207" t="str">
            <v>4,000.000</v>
          </cell>
        </row>
        <row r="208">
          <cell r="D208">
            <v>10110012402</v>
          </cell>
          <cell r="E208" t="str">
            <v>深圳市巨新科电子有限公司</v>
          </cell>
          <cell r="F208">
            <v>6.96E-3</v>
          </cell>
          <cell r="G208" t="str">
            <v>CNY</v>
          </cell>
          <cell r="H208" t="str">
            <v>90</v>
          </cell>
          <cell r="I208" t="str">
            <v>4,000.000</v>
          </cell>
          <cell r="J208" t="str">
            <v>4,000.000</v>
          </cell>
        </row>
        <row r="209">
          <cell r="D209">
            <v>10110012403</v>
          </cell>
          <cell r="E209" t="str">
            <v>广东风华高新科技股份有限公司</v>
          </cell>
          <cell r="F209">
            <v>7.0000000000000001E-3</v>
          </cell>
          <cell r="G209" t="str">
            <v>CNY</v>
          </cell>
          <cell r="H209" t="str">
            <v>42</v>
          </cell>
          <cell r="I209" t="str">
            <v>4,000.000</v>
          </cell>
          <cell r="J209" t="str">
            <v>4,000.000</v>
          </cell>
        </row>
        <row r="210">
          <cell r="D210">
            <v>10110013851</v>
          </cell>
          <cell r="E210" t="str">
            <v>潮州三环（集团）股份有限公司</v>
          </cell>
          <cell r="F210">
            <v>7.0899999999999999E-3</v>
          </cell>
          <cell r="G210" t="str">
            <v>CNY</v>
          </cell>
          <cell r="H210" t="str">
            <v>40</v>
          </cell>
          <cell r="I210" t="str">
            <v>4,000.000</v>
          </cell>
          <cell r="J210" t="str">
            <v>4,000.000</v>
          </cell>
        </row>
        <row r="211">
          <cell r="D211">
            <v>10110016349</v>
          </cell>
          <cell r="E211" t="str">
            <v>广东顺德集财电子有限公司</v>
          </cell>
          <cell r="F211">
            <v>3.9500000000000004E-3</v>
          </cell>
          <cell r="G211" t="str">
            <v>CNY</v>
          </cell>
          <cell r="H211" t="str">
            <v>56</v>
          </cell>
          <cell r="I211" t="str">
            <v>10,000.000</v>
          </cell>
          <cell r="J211" t="str">
            <v>10,000.000</v>
          </cell>
        </row>
        <row r="212">
          <cell r="D212">
            <v>10110019208</v>
          </cell>
          <cell r="E212" t="str">
            <v>东莞华科电子有限公司</v>
          </cell>
          <cell r="F212">
            <v>0.12429999999999999</v>
          </cell>
          <cell r="G212" t="str">
            <v>CNY</v>
          </cell>
          <cell r="H212" t="str">
            <v>56</v>
          </cell>
          <cell r="I212" t="str">
            <v>10,000.000</v>
          </cell>
          <cell r="J212" t="str">
            <v>1,000.000</v>
          </cell>
        </row>
        <row r="213">
          <cell r="D213">
            <v>10140000397</v>
          </cell>
          <cell r="E213" t="str">
            <v>深圳市合信昌科技有限公司</v>
          </cell>
          <cell r="F213">
            <v>7.4999999999999997E-2</v>
          </cell>
          <cell r="G213" t="str">
            <v>CNY</v>
          </cell>
          <cell r="H213" t="str">
            <v>70</v>
          </cell>
          <cell r="I213" t="str">
            <v>1,800.000</v>
          </cell>
          <cell r="J213" t="str">
            <v>1,800.000</v>
          </cell>
        </row>
        <row r="214">
          <cell r="D214">
            <v>10140002123</v>
          </cell>
          <cell r="E214" t="str">
            <v>利尔达科技集团股份有限公司</v>
          </cell>
          <cell r="F214">
            <v>3.4500000000000003E-2</v>
          </cell>
          <cell r="G214" t="str">
            <v>CNY</v>
          </cell>
          <cell r="H214" t="str">
            <v>84</v>
          </cell>
          <cell r="I214" t="str">
            <v>3,000.000</v>
          </cell>
          <cell r="J214" t="str">
            <v>3,000.000</v>
          </cell>
        </row>
        <row r="215">
          <cell r="D215">
            <v>10140002743</v>
          </cell>
          <cell r="E215" t="str">
            <v>深圳市驰顺科技有限公司</v>
          </cell>
          <cell r="F215">
            <v>0.04</v>
          </cell>
          <cell r="G215" t="str">
            <v>CNY</v>
          </cell>
          <cell r="H215" t="str">
            <v>84</v>
          </cell>
          <cell r="I215" t="str">
            <v>7,500.000</v>
          </cell>
          <cell r="J215" t="str">
            <v>7,500.000</v>
          </cell>
        </row>
        <row r="216">
          <cell r="D216">
            <v>10140003381</v>
          </cell>
          <cell r="E216" t="str">
            <v>深圳南丰电子股份有限公司</v>
          </cell>
          <cell r="F216">
            <v>3.3599999999999998E-2</v>
          </cell>
          <cell r="G216" t="str">
            <v>CNY</v>
          </cell>
          <cell r="H216" t="str">
            <v>70</v>
          </cell>
          <cell r="I216" t="str">
            <v>7,500.000</v>
          </cell>
          <cell r="J216" t="str">
            <v>7,500.000</v>
          </cell>
        </row>
        <row r="217">
          <cell r="D217">
            <v>10140006310</v>
          </cell>
          <cell r="E217" t="str">
            <v>深圳翰世宇科技有限公司</v>
          </cell>
          <cell r="F217">
            <v>4.8000000000000001E-2</v>
          </cell>
          <cell r="G217" t="str">
            <v>CNY</v>
          </cell>
          <cell r="H217" t="str">
            <v>56</v>
          </cell>
          <cell r="I217" t="str">
            <v>3,000.000</v>
          </cell>
          <cell r="J217" t="str">
            <v>3,000.000</v>
          </cell>
        </row>
        <row r="218">
          <cell r="D218">
            <v>10140012358</v>
          </cell>
          <cell r="E218" t="str">
            <v>东莞市意中半导体有限公司</v>
          </cell>
          <cell r="F218">
            <v>3.3000000000000002E-2</v>
          </cell>
          <cell r="G218" t="str">
            <v>CNY</v>
          </cell>
          <cell r="H218" t="str">
            <v>60</v>
          </cell>
          <cell r="I218" t="str">
            <v>5,000.000</v>
          </cell>
          <cell r="J218" t="str">
            <v>5,000.000</v>
          </cell>
        </row>
        <row r="219">
          <cell r="D219">
            <v>10160006989</v>
          </cell>
          <cell r="E219" t="str">
            <v>浙江瑞丰光电有限公司</v>
          </cell>
          <cell r="F219">
            <v>4.8399999999999999E-2</v>
          </cell>
          <cell r="G219" t="str">
            <v>CNY</v>
          </cell>
          <cell r="H219" t="str">
            <v>28</v>
          </cell>
          <cell r="I219" t="str">
            <v>60,000.000</v>
          </cell>
          <cell r="J219" t="str">
            <v>4,000.000</v>
          </cell>
        </row>
        <row r="220">
          <cell r="D220">
            <v>10160007699</v>
          </cell>
          <cell r="E220" t="str">
            <v>肇庆市立得电子有限公司</v>
          </cell>
          <cell r="F220">
            <v>4.2999999999999997E-2</v>
          </cell>
          <cell r="G220" t="str">
            <v>CNY</v>
          </cell>
          <cell r="H220" t="str">
            <v>30</v>
          </cell>
          <cell r="I220" t="str">
            <v>20,000.000</v>
          </cell>
          <cell r="J220" t="str">
            <v>4,000.000</v>
          </cell>
        </row>
        <row r="221">
          <cell r="D221">
            <v>10160007809</v>
          </cell>
          <cell r="E221" t="str">
            <v>广东长利光电科技有限公司</v>
          </cell>
          <cell r="F221">
            <v>2.5999999999999999E-2</v>
          </cell>
          <cell r="G221" t="str">
            <v>CNY</v>
          </cell>
          <cell r="H221" t="str">
            <v>28</v>
          </cell>
          <cell r="I221" t="str">
            <v>4,000.000</v>
          </cell>
          <cell r="J221" t="str">
            <v>4,000.000</v>
          </cell>
        </row>
        <row r="222">
          <cell r="D222">
            <v>10160007865</v>
          </cell>
          <cell r="E222" t="str">
            <v>广东长利光电科技有限公司</v>
          </cell>
          <cell r="F222">
            <v>2.75E-2</v>
          </cell>
          <cell r="G222" t="str">
            <v>CNY</v>
          </cell>
          <cell r="H222" t="str">
            <v>10</v>
          </cell>
          <cell r="I222" t="str">
            <v>4,000.000</v>
          </cell>
          <cell r="J222" t="str">
            <v>4,000.000</v>
          </cell>
        </row>
        <row r="223">
          <cell r="D223">
            <v>10190000675</v>
          </cell>
          <cell r="E223" t="str">
            <v>好利来（厦门）电路保护科技有限公司</v>
          </cell>
          <cell r="F223">
            <v>8.3000000000000004E-2</v>
          </cell>
          <cell r="G223" t="str">
            <v>CNY</v>
          </cell>
          <cell r="H223" t="str">
            <v>28</v>
          </cell>
          <cell r="I223" t="str">
            <v>1,000.000</v>
          </cell>
          <cell r="J223" t="str">
            <v>1,000.000</v>
          </cell>
        </row>
        <row r="224">
          <cell r="D224">
            <v>10190001176</v>
          </cell>
          <cell r="E224" t="str">
            <v>东莞市贝特电子科技股份有限公司</v>
          </cell>
          <cell r="F224">
            <v>9.5000000000000001E-2</v>
          </cell>
          <cell r="G224" t="str">
            <v>CNY</v>
          </cell>
          <cell r="H224" t="str">
            <v>21</v>
          </cell>
          <cell r="I224" t="str">
            <v>1,000.000</v>
          </cell>
          <cell r="J224" t="str">
            <v>1,000.000</v>
          </cell>
        </row>
        <row r="225">
          <cell r="D225">
            <v>10100005703</v>
          </cell>
          <cell r="E225" t="str">
            <v>越南超利维科技有限公司</v>
          </cell>
          <cell r="F225">
            <v>1.8000000000000001E-4</v>
          </cell>
          <cell r="G225" t="str">
            <v>USD</v>
          </cell>
          <cell r="H225" t="str">
            <v>70</v>
          </cell>
          <cell r="I225" t="str">
            <v>10,000.000</v>
          </cell>
          <cell r="J225" t="str">
            <v>10,000.000</v>
          </cell>
        </row>
        <row r="226">
          <cell r="D226">
            <v>10110001388</v>
          </cell>
          <cell r="E226" t="str">
            <v>GALAXY HOLDING INTERNATIONAL CO., L</v>
          </cell>
          <cell r="F226">
            <v>7.1000000000000002E-4</v>
          </cell>
          <cell r="G226" t="str">
            <v>USD</v>
          </cell>
          <cell r="H226" t="str">
            <v>56</v>
          </cell>
          <cell r="I226" t="str">
            <v>4,000.000</v>
          </cell>
          <cell r="J226" t="str">
            <v>4,000.000</v>
          </cell>
        </row>
        <row r="227">
          <cell r="D227">
            <v>10110007139</v>
          </cell>
          <cell r="E227" t="str">
            <v>GALAXY HOLDING INTERNATIONAL CO., L</v>
          </cell>
          <cell r="F227">
            <v>2.7999999999999998E-4</v>
          </cell>
          <cell r="G227" t="str">
            <v>USD</v>
          </cell>
          <cell r="H227" t="str">
            <v>84</v>
          </cell>
          <cell r="I227" t="str">
            <v>10,000.000</v>
          </cell>
          <cell r="J227" t="str">
            <v>10,000.000</v>
          </cell>
        </row>
        <row r="228">
          <cell r="D228">
            <v>10110008726</v>
          </cell>
          <cell r="E228" t="str">
            <v>GALAXY HOLDING INTERNATIONAL CO., L</v>
          </cell>
          <cell r="F228">
            <v>2.7999999999999998E-4</v>
          </cell>
          <cell r="G228" t="str">
            <v>USD</v>
          </cell>
          <cell r="H228" t="str">
            <v>56</v>
          </cell>
          <cell r="I228" t="str">
            <v>10,000.000</v>
          </cell>
          <cell r="J228" t="str">
            <v>10,000.000</v>
          </cell>
        </row>
        <row r="229">
          <cell r="D229">
            <v>10110008729</v>
          </cell>
          <cell r="E229" t="str">
            <v>GALAXY HOLDING INTERNATIONAL CO., L</v>
          </cell>
          <cell r="F229">
            <v>2.7E-4</v>
          </cell>
          <cell r="G229" t="str">
            <v>USD</v>
          </cell>
          <cell r="H229" t="str">
            <v>56</v>
          </cell>
          <cell r="I229" t="str">
            <v>10,000.000</v>
          </cell>
          <cell r="J229" t="str">
            <v>10,000.000</v>
          </cell>
        </row>
        <row r="230">
          <cell r="D230">
            <v>10110008734</v>
          </cell>
          <cell r="E230" t="str">
            <v>GALAXY HOLDING INTERNATIONAL CO., L</v>
          </cell>
          <cell r="F230">
            <v>2.7E-4</v>
          </cell>
          <cell r="G230" t="str">
            <v>USD</v>
          </cell>
          <cell r="H230" t="str">
            <v>56</v>
          </cell>
          <cell r="I230" t="str">
            <v>10,000.000</v>
          </cell>
          <cell r="J230" t="str">
            <v>10,000.000</v>
          </cell>
        </row>
        <row r="231">
          <cell r="D231">
            <v>10110008742</v>
          </cell>
          <cell r="E231" t="str">
            <v>GALAXY HOLDING INTERNATIONAL CO., L</v>
          </cell>
          <cell r="F231">
            <v>2.7999999999999998E-4</v>
          </cell>
          <cell r="G231" t="str">
            <v>USD</v>
          </cell>
          <cell r="H231" t="str">
            <v>56</v>
          </cell>
          <cell r="I231" t="str">
            <v>10,000.000</v>
          </cell>
          <cell r="J231" t="str">
            <v>10,000.000</v>
          </cell>
        </row>
        <row r="232">
          <cell r="D232">
            <v>10110012402</v>
          </cell>
          <cell r="E232" t="str">
            <v>AMG COMPONENTS PTE. LTD</v>
          </cell>
          <cell r="F232">
            <v>1.01E-3</v>
          </cell>
          <cell r="G232" t="str">
            <v>USD</v>
          </cell>
          <cell r="H232" t="str">
            <v>56</v>
          </cell>
          <cell r="I232" t="str">
            <v>4,000.000</v>
          </cell>
          <cell r="J232" t="str">
            <v>4,000.000</v>
          </cell>
        </row>
        <row r="233">
          <cell r="D233">
            <v>10140002123</v>
          </cell>
          <cell r="E233" t="str">
            <v>新加坡商络有限公司</v>
          </cell>
          <cell r="F233">
            <v>4.4799999999999996E-3</v>
          </cell>
          <cell r="G233" t="str">
            <v>USD</v>
          </cell>
          <cell r="H233" t="str">
            <v>90</v>
          </cell>
          <cell r="I233" t="str">
            <v>3,000.000</v>
          </cell>
          <cell r="J233" t="str">
            <v>3,000.000</v>
          </cell>
        </row>
        <row r="234">
          <cell r="D234">
            <v>10100002122</v>
          </cell>
          <cell r="E234" t="str">
            <v>深圳市欧尔法电子有限公司</v>
          </cell>
          <cell r="F234">
            <v>4.7999999999999996E-3</v>
          </cell>
          <cell r="G234" t="str">
            <v>CNY</v>
          </cell>
          <cell r="H234" t="str">
            <v>56</v>
          </cell>
          <cell r="I234" t="str">
            <v>5,000.000</v>
          </cell>
          <cell r="J234" t="str">
            <v>5,000.000</v>
          </cell>
        </row>
        <row r="235">
          <cell r="D235">
            <v>10100002123</v>
          </cell>
          <cell r="E235" t="str">
            <v>广东风华高新科技股份有限公司</v>
          </cell>
          <cell r="F235">
            <v>3.7200000000000002E-3</v>
          </cell>
          <cell r="G235" t="str">
            <v>CNY</v>
          </cell>
          <cell r="H235" t="str">
            <v>42</v>
          </cell>
          <cell r="I235" t="str">
            <v>5,000.000</v>
          </cell>
          <cell r="J235" t="str">
            <v>5,000.000</v>
          </cell>
        </row>
        <row r="236">
          <cell r="D236">
            <v>10100002133</v>
          </cell>
          <cell r="E236" t="str">
            <v>广东风华高新科技股份有限公司</v>
          </cell>
          <cell r="F236">
            <v>3.2699999999999999E-3</v>
          </cell>
          <cell r="G236" t="str">
            <v>CNY</v>
          </cell>
          <cell r="H236" t="str">
            <v>42</v>
          </cell>
          <cell r="I236" t="str">
            <v>5,000.000</v>
          </cell>
          <cell r="J236" t="str">
            <v>5,000.000</v>
          </cell>
        </row>
        <row r="237">
          <cell r="D237">
            <v>10100002715</v>
          </cell>
          <cell r="E237" t="str">
            <v>深圳市欧尔法电子有限公司</v>
          </cell>
          <cell r="F237">
            <v>4.7999999999999996E-3</v>
          </cell>
          <cell r="G237" t="str">
            <v>CNY</v>
          </cell>
          <cell r="H237" t="str">
            <v>56</v>
          </cell>
          <cell r="I237" t="str">
            <v>5,000.000</v>
          </cell>
          <cell r="J237" t="str">
            <v>5,000.000</v>
          </cell>
        </row>
        <row r="238">
          <cell r="D238">
            <v>10100002752</v>
          </cell>
          <cell r="E238" t="str">
            <v>深圳市欧尔法电子有限公司</v>
          </cell>
          <cell r="F238">
            <v>4.7999999999999996E-3</v>
          </cell>
          <cell r="G238" t="str">
            <v>CNY</v>
          </cell>
          <cell r="H238" t="str">
            <v>56</v>
          </cell>
          <cell r="I238" t="str">
            <v>5,000.000</v>
          </cell>
          <cell r="J238" t="str">
            <v>5,000.000</v>
          </cell>
        </row>
        <row r="239">
          <cell r="D239">
            <v>10100003500</v>
          </cell>
          <cell r="E239" t="str">
            <v>深圳市超利维实业有限公司</v>
          </cell>
          <cell r="F239">
            <v>2.5999999999999999E-3</v>
          </cell>
          <cell r="G239" t="str">
            <v>CNY</v>
          </cell>
          <cell r="H239" t="str">
            <v>70</v>
          </cell>
          <cell r="I239" t="str">
            <v>5,000.000</v>
          </cell>
          <cell r="J239" t="str">
            <v>5,000.000</v>
          </cell>
        </row>
        <row r="240">
          <cell r="D240">
            <v>10100003511</v>
          </cell>
          <cell r="E240" t="str">
            <v>深圳市超利维实业有限公司</v>
          </cell>
          <cell r="F240">
            <v>8.0000000000000002E-3</v>
          </cell>
          <cell r="G240" t="str">
            <v>CNY</v>
          </cell>
          <cell r="H240" t="str">
            <v>84</v>
          </cell>
          <cell r="I240" t="str">
            <v>5,000.000</v>
          </cell>
          <cell r="J240" t="str">
            <v>5,000.000</v>
          </cell>
        </row>
        <row r="241">
          <cell r="D241">
            <v>10100004833</v>
          </cell>
          <cell r="E241" t="str">
            <v>东莞华科电子有限公司</v>
          </cell>
          <cell r="F241">
            <v>3.8800000000000002E-3</v>
          </cell>
          <cell r="G241" t="str">
            <v>CNY</v>
          </cell>
          <cell r="H241" t="str">
            <v>56</v>
          </cell>
          <cell r="I241" t="str">
            <v>5,000.000</v>
          </cell>
          <cell r="J241" t="str">
            <v>5,000.000</v>
          </cell>
        </row>
        <row r="242">
          <cell r="D242">
            <v>10100005487</v>
          </cell>
          <cell r="E242" t="str">
            <v>厚声国际贸易（昆山）有限公司深圳分公司</v>
          </cell>
          <cell r="F242">
            <v>3.8E-3</v>
          </cell>
          <cell r="G242" t="str">
            <v>CNY</v>
          </cell>
          <cell r="H242" t="str">
            <v>42</v>
          </cell>
          <cell r="I242" t="str">
            <v>5,000.000</v>
          </cell>
          <cell r="J242" t="str">
            <v>5,000.000</v>
          </cell>
        </row>
        <row r="243">
          <cell r="D243">
            <v>10100005503</v>
          </cell>
          <cell r="E243" t="str">
            <v>厚声国际贸易（昆山）有限公司深圳分公司</v>
          </cell>
          <cell r="F243">
            <v>3.8E-3</v>
          </cell>
          <cell r="G243" t="str">
            <v>CNY</v>
          </cell>
          <cell r="H243" t="str">
            <v>42</v>
          </cell>
          <cell r="I243" t="str">
            <v>5,000.000</v>
          </cell>
          <cell r="J243" t="str">
            <v>5,000.000</v>
          </cell>
        </row>
        <row r="244">
          <cell r="D244">
            <v>10100005703</v>
          </cell>
          <cell r="E244" t="str">
            <v>深圳市超利维实业有限公司</v>
          </cell>
          <cell r="F244">
            <v>1.4E-3</v>
          </cell>
          <cell r="G244" t="str">
            <v>CNY</v>
          </cell>
          <cell r="H244" t="str">
            <v>56</v>
          </cell>
          <cell r="I244" t="str">
            <v>10,000.000</v>
          </cell>
          <cell r="J244" t="str">
            <v>10,000.000</v>
          </cell>
        </row>
        <row r="245">
          <cell r="D245">
            <v>10100005718</v>
          </cell>
          <cell r="E245" t="str">
            <v>广东风华高新科技股份有限公司</v>
          </cell>
          <cell r="F245">
            <v>1.1000000000000001E-3</v>
          </cell>
          <cell r="G245" t="str">
            <v>CNY</v>
          </cell>
          <cell r="H245" t="str">
            <v>42</v>
          </cell>
          <cell r="I245" t="str">
            <v>10,000.000</v>
          </cell>
          <cell r="J245" t="str">
            <v>10,000.000</v>
          </cell>
        </row>
        <row r="246">
          <cell r="D246">
            <v>10100005795</v>
          </cell>
          <cell r="E246" t="str">
            <v>广东风华高新科技股份有限公司</v>
          </cell>
          <cell r="F246">
            <v>1.1000000000000001E-3</v>
          </cell>
          <cell r="G246" t="str">
            <v>CNY</v>
          </cell>
          <cell r="H246" t="str">
            <v>42</v>
          </cell>
          <cell r="I246" t="str">
            <v>10,000.000</v>
          </cell>
          <cell r="J246" t="str">
            <v>10,000.000</v>
          </cell>
        </row>
        <row r="247">
          <cell r="D247">
            <v>10100006398</v>
          </cell>
          <cell r="E247" t="str">
            <v>广东风华高新科技股份有限公司</v>
          </cell>
          <cell r="F247">
            <v>6.3699999999999998E-3</v>
          </cell>
          <cell r="G247" t="str">
            <v>CNY</v>
          </cell>
          <cell r="H247" t="str">
            <v>42</v>
          </cell>
          <cell r="I247" t="str">
            <v>5,000.000</v>
          </cell>
          <cell r="J247" t="str">
            <v>5,000.000</v>
          </cell>
        </row>
        <row r="248">
          <cell r="D248">
            <v>10100006507</v>
          </cell>
          <cell r="E248" t="str">
            <v>广东风华高新科技股份有限公司</v>
          </cell>
          <cell r="F248">
            <v>2.0799999999999998E-3</v>
          </cell>
          <cell r="G248" t="str">
            <v>CNY</v>
          </cell>
          <cell r="H248" t="str">
            <v>42</v>
          </cell>
          <cell r="I248" t="str">
            <v>5,000.000</v>
          </cell>
          <cell r="J248" t="str">
            <v>5,000.000</v>
          </cell>
        </row>
        <row r="249">
          <cell r="D249">
            <v>10100006625</v>
          </cell>
          <cell r="E249" t="str">
            <v>广东风华高新科技股份有限公司</v>
          </cell>
          <cell r="F249">
            <v>3.7200000000000002E-3</v>
          </cell>
          <cell r="G249" t="str">
            <v>CNY</v>
          </cell>
          <cell r="H249" t="str">
            <v>42</v>
          </cell>
          <cell r="I249" t="str">
            <v>5,000.000</v>
          </cell>
          <cell r="J249" t="str">
            <v>5,000.000</v>
          </cell>
        </row>
        <row r="250">
          <cell r="D250">
            <v>10100006627</v>
          </cell>
          <cell r="E250" t="str">
            <v>广东风华高新科技股份有限公司</v>
          </cell>
          <cell r="F250">
            <v>3.7200000000000002E-3</v>
          </cell>
          <cell r="G250" t="str">
            <v>CNY</v>
          </cell>
          <cell r="H250" t="str">
            <v>42</v>
          </cell>
          <cell r="I250" t="str">
            <v>5,000.000</v>
          </cell>
          <cell r="J250" t="str">
            <v>5,000.000</v>
          </cell>
        </row>
        <row r="251">
          <cell r="D251">
            <v>10100006711</v>
          </cell>
          <cell r="E251" t="str">
            <v>东莞华科电子有限公司</v>
          </cell>
          <cell r="F251">
            <v>1.17E-3</v>
          </cell>
          <cell r="G251" t="str">
            <v>CNY</v>
          </cell>
          <cell r="H251" t="str">
            <v>56</v>
          </cell>
          <cell r="I251" t="str">
            <v>10,000.000</v>
          </cell>
          <cell r="J251" t="str">
            <v>10,000.000</v>
          </cell>
        </row>
        <row r="252">
          <cell r="D252">
            <v>10100006845</v>
          </cell>
          <cell r="E252" t="str">
            <v>东莞华科电子有限公司</v>
          </cell>
          <cell r="F252">
            <v>2.2200000000000002E-3</v>
          </cell>
          <cell r="G252" t="str">
            <v>CNY</v>
          </cell>
          <cell r="H252" t="str">
            <v>56</v>
          </cell>
          <cell r="I252" t="str">
            <v>5,000.000</v>
          </cell>
          <cell r="J252" t="str">
            <v>5,000.000</v>
          </cell>
        </row>
        <row r="253">
          <cell r="D253">
            <v>10100007109</v>
          </cell>
          <cell r="E253" t="str">
            <v>东莞华科电子有限公司</v>
          </cell>
          <cell r="F253">
            <v>3.8800000000000002E-3</v>
          </cell>
          <cell r="G253" t="str">
            <v>CNY</v>
          </cell>
          <cell r="H253" t="str">
            <v>56</v>
          </cell>
          <cell r="I253" t="str">
            <v>5,000.000</v>
          </cell>
          <cell r="J253" t="str">
            <v>5,000.000</v>
          </cell>
        </row>
        <row r="254">
          <cell r="D254">
            <v>10100007120</v>
          </cell>
          <cell r="E254" t="str">
            <v>东莞华科电子有限公司</v>
          </cell>
          <cell r="F254">
            <v>3.8800000000000002E-3</v>
          </cell>
          <cell r="G254" t="str">
            <v>CNY</v>
          </cell>
          <cell r="H254" t="str">
            <v>56</v>
          </cell>
          <cell r="I254" t="str">
            <v>5,000.000</v>
          </cell>
          <cell r="J254" t="str">
            <v>5,000.000</v>
          </cell>
        </row>
        <row r="255">
          <cell r="D255">
            <v>10100007174</v>
          </cell>
          <cell r="E255" t="str">
            <v>东莞华科电子有限公司</v>
          </cell>
          <cell r="F255">
            <v>6.9499999999999996E-3</v>
          </cell>
          <cell r="G255" t="str">
            <v>CNY</v>
          </cell>
          <cell r="H255" t="str">
            <v>70</v>
          </cell>
          <cell r="I255" t="str">
            <v>5,000.000</v>
          </cell>
          <cell r="J255" t="str">
            <v>5,000.000</v>
          </cell>
        </row>
        <row r="256">
          <cell r="D256">
            <v>10100007615</v>
          </cell>
          <cell r="E256" t="str">
            <v>深圳市超利维实业有限公司</v>
          </cell>
          <cell r="F256">
            <v>1.4E-3</v>
          </cell>
          <cell r="G256" t="str">
            <v>CNY</v>
          </cell>
          <cell r="H256" t="str">
            <v>56</v>
          </cell>
          <cell r="I256" t="str">
            <v>10,000.000</v>
          </cell>
          <cell r="J256" t="str">
            <v>10,000.000</v>
          </cell>
        </row>
        <row r="257">
          <cell r="D257">
            <v>10100007852</v>
          </cell>
          <cell r="E257" t="str">
            <v>深圳市超利维实业有限公司</v>
          </cell>
          <cell r="F257">
            <v>8.0000000000000002E-3</v>
          </cell>
          <cell r="G257" t="str">
            <v>CNY</v>
          </cell>
          <cell r="H257" t="str">
            <v>56</v>
          </cell>
          <cell r="I257" t="str">
            <v>5,000.000</v>
          </cell>
          <cell r="J257" t="str">
            <v>5,000.000</v>
          </cell>
        </row>
        <row r="258">
          <cell r="D258">
            <v>10100008057</v>
          </cell>
          <cell r="E258" t="str">
            <v>广东风华高新科技股份有限公司</v>
          </cell>
          <cell r="F258">
            <v>1.1000000000000001E-3</v>
          </cell>
          <cell r="G258" t="str">
            <v>CNY</v>
          </cell>
          <cell r="H258" t="str">
            <v>42</v>
          </cell>
          <cell r="I258" t="str">
            <v>10,000.000</v>
          </cell>
          <cell r="J258" t="str">
            <v>10,000.000</v>
          </cell>
        </row>
        <row r="259">
          <cell r="D259">
            <v>10100008069</v>
          </cell>
          <cell r="E259" t="str">
            <v>东莞华科电子有限公司</v>
          </cell>
          <cell r="F259">
            <v>1.17E-3</v>
          </cell>
          <cell r="G259" t="str">
            <v>CNY</v>
          </cell>
          <cell r="H259" t="str">
            <v>56</v>
          </cell>
          <cell r="I259" t="str">
            <v>10,000.000</v>
          </cell>
          <cell r="J259" t="str">
            <v>10,000.000</v>
          </cell>
        </row>
        <row r="260">
          <cell r="D260">
            <v>10100008075</v>
          </cell>
          <cell r="E260" t="str">
            <v>深圳市超利维实业有限公司</v>
          </cell>
          <cell r="F260">
            <v>1.4E-3</v>
          </cell>
          <cell r="G260" t="str">
            <v>CNY</v>
          </cell>
          <cell r="H260" t="str">
            <v>56</v>
          </cell>
          <cell r="I260" t="str">
            <v>10,000.000</v>
          </cell>
          <cell r="J260" t="str">
            <v>10,000.000</v>
          </cell>
        </row>
        <row r="261">
          <cell r="D261">
            <v>10100008302</v>
          </cell>
          <cell r="E261" t="str">
            <v>东莞华科电子有限公司</v>
          </cell>
          <cell r="F261">
            <v>1.17E-3</v>
          </cell>
          <cell r="G261" t="str">
            <v>CNY</v>
          </cell>
          <cell r="H261" t="str">
            <v>56</v>
          </cell>
          <cell r="I261" t="str">
            <v>10,000.000</v>
          </cell>
          <cell r="J261" t="str">
            <v>10,000.000</v>
          </cell>
        </row>
        <row r="262">
          <cell r="D262">
            <v>10100008735</v>
          </cell>
          <cell r="E262" t="str">
            <v>广东风华高新科技股份有限公司</v>
          </cell>
          <cell r="F262">
            <v>1.1000000000000001E-3</v>
          </cell>
          <cell r="G262" t="str">
            <v>CNY</v>
          </cell>
          <cell r="H262" t="str">
            <v>42</v>
          </cell>
          <cell r="I262" t="str">
            <v>10,000.000</v>
          </cell>
          <cell r="J262" t="str">
            <v>10,000.000</v>
          </cell>
        </row>
        <row r="263">
          <cell r="D263">
            <v>10100008776</v>
          </cell>
          <cell r="E263" t="str">
            <v>广东风华高新科技股份有限公司</v>
          </cell>
          <cell r="F263">
            <v>2.0799999999999998E-3</v>
          </cell>
          <cell r="G263" t="str">
            <v>CNY</v>
          </cell>
          <cell r="H263" t="str">
            <v>42</v>
          </cell>
          <cell r="I263" t="str">
            <v>5,000.000</v>
          </cell>
          <cell r="J263" t="str">
            <v>5,000.000</v>
          </cell>
        </row>
        <row r="264">
          <cell r="D264">
            <v>10100008807</v>
          </cell>
          <cell r="E264" t="str">
            <v>东莞华科电子有限公司</v>
          </cell>
          <cell r="F264">
            <v>1.17E-3</v>
          </cell>
          <cell r="G264" t="str">
            <v>CNY</v>
          </cell>
          <cell r="H264" t="str">
            <v>56</v>
          </cell>
          <cell r="I264" t="str">
            <v>10,000.000</v>
          </cell>
          <cell r="J264" t="str">
            <v>10,000.000</v>
          </cell>
        </row>
        <row r="265">
          <cell r="D265">
            <v>10100008809</v>
          </cell>
          <cell r="E265" t="str">
            <v>广东风华高新科技股份有限公司</v>
          </cell>
          <cell r="F265">
            <v>1.1000000000000001E-3</v>
          </cell>
          <cell r="G265" t="str">
            <v>CNY</v>
          </cell>
          <cell r="H265" t="str">
            <v>42</v>
          </cell>
          <cell r="I265" t="str">
            <v>10,000.000</v>
          </cell>
          <cell r="J265" t="str">
            <v>10,000.000</v>
          </cell>
        </row>
        <row r="266">
          <cell r="D266">
            <v>10100008827</v>
          </cell>
          <cell r="E266" t="str">
            <v>东莞华科电子有限公司</v>
          </cell>
          <cell r="F266">
            <v>1.17E-3</v>
          </cell>
          <cell r="G266" t="str">
            <v>CNY</v>
          </cell>
          <cell r="H266" t="str">
            <v>56</v>
          </cell>
          <cell r="I266" t="str">
            <v>10,000.000</v>
          </cell>
          <cell r="J266" t="str">
            <v>10,000.000</v>
          </cell>
        </row>
        <row r="267">
          <cell r="D267">
            <v>10100008830</v>
          </cell>
          <cell r="E267" t="str">
            <v>深圳市超利维实业有限公司</v>
          </cell>
          <cell r="F267">
            <v>1.4E-3</v>
          </cell>
          <cell r="G267" t="str">
            <v>CNY</v>
          </cell>
          <cell r="H267" t="str">
            <v>84</v>
          </cell>
          <cell r="I267" t="str">
            <v>10,000.000</v>
          </cell>
          <cell r="J267" t="str">
            <v>10,000.000</v>
          </cell>
        </row>
        <row r="268">
          <cell r="D268">
            <v>10100009092</v>
          </cell>
          <cell r="E268" t="str">
            <v>深圳市奥特高科电子有限公司</v>
          </cell>
          <cell r="F268">
            <v>1.2999999999999999E-3</v>
          </cell>
          <cell r="G268" t="str">
            <v>CNY</v>
          </cell>
          <cell r="H268" t="str">
            <v>84</v>
          </cell>
          <cell r="I268" t="str">
            <v>10,000.000</v>
          </cell>
          <cell r="J268" t="str">
            <v>10,000.000</v>
          </cell>
        </row>
        <row r="269">
          <cell r="D269">
            <v>10100009093</v>
          </cell>
          <cell r="E269" t="str">
            <v>东莞华科电子有限公司</v>
          </cell>
          <cell r="F269">
            <v>1.17E-3</v>
          </cell>
          <cell r="G269" t="str">
            <v>CNY</v>
          </cell>
          <cell r="H269" t="str">
            <v>56</v>
          </cell>
          <cell r="I269" t="str">
            <v>10,000.000</v>
          </cell>
          <cell r="J269" t="str">
            <v>10,000.000</v>
          </cell>
        </row>
        <row r="270">
          <cell r="D270">
            <v>10100009721</v>
          </cell>
          <cell r="E270" t="str">
            <v>深圳市超利维实业有限公司</v>
          </cell>
          <cell r="F270">
            <v>1.4E-3</v>
          </cell>
          <cell r="G270" t="str">
            <v>CNY</v>
          </cell>
          <cell r="H270" t="str">
            <v>84</v>
          </cell>
          <cell r="I270" t="str">
            <v>10,000.000</v>
          </cell>
          <cell r="J270" t="str">
            <v>10,000.000</v>
          </cell>
        </row>
        <row r="271">
          <cell r="D271">
            <v>10100009722</v>
          </cell>
          <cell r="E271" t="str">
            <v>东莞华科电子有限公司</v>
          </cell>
          <cell r="F271">
            <v>1.17E-3</v>
          </cell>
          <cell r="G271" t="str">
            <v>CNY</v>
          </cell>
          <cell r="H271" t="str">
            <v>56</v>
          </cell>
          <cell r="I271" t="str">
            <v>10,000.000</v>
          </cell>
          <cell r="J271" t="str">
            <v>10,000.000</v>
          </cell>
        </row>
        <row r="272">
          <cell r="D272">
            <v>10100009838</v>
          </cell>
          <cell r="E272" t="str">
            <v>厚声国际贸易（昆山）有限公司深圳分公司</v>
          </cell>
          <cell r="F272">
            <v>1.09E-3</v>
          </cell>
          <cell r="G272" t="str">
            <v>CNY</v>
          </cell>
          <cell r="H272" t="str">
            <v>42</v>
          </cell>
          <cell r="I272" t="str">
            <v>10,000.000</v>
          </cell>
          <cell r="J272" t="str">
            <v>10,000.000</v>
          </cell>
        </row>
        <row r="273">
          <cell r="D273">
            <v>10100009843</v>
          </cell>
          <cell r="E273" t="str">
            <v>深圳市超利维实业有限公司</v>
          </cell>
          <cell r="F273">
            <v>1.4E-3</v>
          </cell>
          <cell r="G273" t="str">
            <v>CNY</v>
          </cell>
          <cell r="H273" t="str">
            <v>84</v>
          </cell>
          <cell r="I273" t="str">
            <v>10,000.000</v>
          </cell>
          <cell r="J273" t="str">
            <v>10,000.000</v>
          </cell>
        </row>
        <row r="274">
          <cell r="D274">
            <v>10100010045</v>
          </cell>
          <cell r="E274" t="str">
            <v>东莞华科电子有限公司</v>
          </cell>
          <cell r="F274">
            <v>1.17E-3</v>
          </cell>
          <cell r="G274" t="str">
            <v>CNY</v>
          </cell>
          <cell r="H274" t="str">
            <v>56</v>
          </cell>
          <cell r="I274" t="str">
            <v>10,000.000</v>
          </cell>
          <cell r="J274" t="str">
            <v>10,000.000</v>
          </cell>
        </row>
        <row r="275">
          <cell r="D275">
            <v>10100010325</v>
          </cell>
          <cell r="E275" t="str">
            <v>厚声国际贸易（昆山）有限公司深圳分公司</v>
          </cell>
          <cell r="F275">
            <v>3.8E-3</v>
          </cell>
          <cell r="G275" t="str">
            <v>CNY</v>
          </cell>
          <cell r="H275" t="str">
            <v>42</v>
          </cell>
          <cell r="I275" t="str">
            <v>5,000.000</v>
          </cell>
          <cell r="J275" t="str">
            <v>5,000.000</v>
          </cell>
        </row>
        <row r="276">
          <cell r="D276">
            <v>10100011090</v>
          </cell>
          <cell r="E276" t="str">
            <v>厚声国际贸易（昆山）有限公司深圳分公司</v>
          </cell>
          <cell r="F276">
            <v>2.0999999999999999E-3</v>
          </cell>
          <cell r="G276" t="str">
            <v>CNY</v>
          </cell>
          <cell r="H276" t="str">
            <v>42</v>
          </cell>
          <cell r="I276" t="str">
            <v>5,000.000</v>
          </cell>
          <cell r="J276" t="str">
            <v>5,000.000</v>
          </cell>
        </row>
        <row r="277">
          <cell r="D277">
            <v>10100011096</v>
          </cell>
          <cell r="E277" t="str">
            <v>厚声国际贸易（昆山）有限公司深圳分公司</v>
          </cell>
          <cell r="F277">
            <v>6.7799999999999996E-3</v>
          </cell>
          <cell r="G277" t="str">
            <v>CNY</v>
          </cell>
          <cell r="H277" t="str">
            <v>42</v>
          </cell>
          <cell r="I277" t="str">
            <v>5,000.000</v>
          </cell>
          <cell r="J277" t="str">
            <v>5,000.000</v>
          </cell>
        </row>
        <row r="278">
          <cell r="D278">
            <v>10100011343</v>
          </cell>
          <cell r="E278" t="str">
            <v>东莞华科电子有限公司</v>
          </cell>
          <cell r="F278">
            <v>1.17E-3</v>
          </cell>
          <cell r="G278" t="str">
            <v>CNY</v>
          </cell>
          <cell r="H278" t="str">
            <v>56</v>
          </cell>
          <cell r="I278" t="str">
            <v>10,000.000</v>
          </cell>
          <cell r="J278" t="str">
            <v>10,000.000</v>
          </cell>
        </row>
        <row r="279">
          <cell r="D279">
            <v>10100011621</v>
          </cell>
          <cell r="E279" t="str">
            <v>广东风华高新科技股份有限公司</v>
          </cell>
          <cell r="F279">
            <v>1.1000000000000001E-3</v>
          </cell>
          <cell r="G279" t="str">
            <v>CNY</v>
          </cell>
          <cell r="H279" t="str">
            <v>42</v>
          </cell>
          <cell r="I279" t="str">
            <v>10,000.000</v>
          </cell>
          <cell r="J279" t="str">
            <v>10,000.000</v>
          </cell>
        </row>
        <row r="280">
          <cell r="D280">
            <v>10100011726</v>
          </cell>
          <cell r="E280" t="str">
            <v>深圳市超利维实业有限公司</v>
          </cell>
          <cell r="F280">
            <v>1.4E-3</v>
          </cell>
          <cell r="G280" t="str">
            <v>CNY</v>
          </cell>
          <cell r="H280" t="str">
            <v>56</v>
          </cell>
          <cell r="I280" t="str">
            <v>10,000.000</v>
          </cell>
          <cell r="J280" t="str">
            <v>10,000.000</v>
          </cell>
        </row>
        <row r="281">
          <cell r="D281">
            <v>10100011886</v>
          </cell>
          <cell r="E281" t="str">
            <v>厚声国际贸易（昆山）有限公司深圳分公司</v>
          </cell>
          <cell r="F281">
            <v>1.09E-3</v>
          </cell>
          <cell r="G281" t="str">
            <v>CNY</v>
          </cell>
          <cell r="H281" t="str">
            <v>42</v>
          </cell>
          <cell r="I281" t="str">
            <v>10,000.000</v>
          </cell>
          <cell r="J281" t="str">
            <v>10,000.000</v>
          </cell>
        </row>
        <row r="282">
          <cell r="D282">
            <v>10100011993</v>
          </cell>
          <cell r="E282" t="str">
            <v>广东风华高新科技股份有限公司</v>
          </cell>
          <cell r="F282">
            <v>1.1000000000000001E-3</v>
          </cell>
          <cell r="G282" t="str">
            <v>CNY</v>
          </cell>
          <cell r="H282" t="str">
            <v>42</v>
          </cell>
          <cell r="I282" t="str">
            <v>10,000.000</v>
          </cell>
          <cell r="J282" t="str">
            <v>10,000.000</v>
          </cell>
        </row>
        <row r="283">
          <cell r="D283">
            <v>10100011996</v>
          </cell>
          <cell r="E283" t="str">
            <v>广东风华高新科技股份有限公司</v>
          </cell>
          <cell r="F283">
            <v>1.1000000000000001E-3</v>
          </cell>
          <cell r="G283" t="str">
            <v>CNY</v>
          </cell>
          <cell r="H283" t="str">
            <v>42</v>
          </cell>
          <cell r="I283" t="str">
            <v>10,000.000</v>
          </cell>
          <cell r="J283" t="str">
            <v>10,000.000</v>
          </cell>
        </row>
        <row r="284">
          <cell r="D284">
            <v>10100013040</v>
          </cell>
          <cell r="E284" t="str">
            <v>厚声国际贸易（昆山）有限公司深圳分公司</v>
          </cell>
          <cell r="F284">
            <v>1.09E-3</v>
          </cell>
          <cell r="G284" t="str">
            <v>CNY</v>
          </cell>
          <cell r="H284" t="str">
            <v>42</v>
          </cell>
          <cell r="I284" t="str">
            <v>10,000.000</v>
          </cell>
          <cell r="J284" t="str">
            <v>10,000.000</v>
          </cell>
        </row>
        <row r="285">
          <cell r="D285">
            <v>10100013093</v>
          </cell>
          <cell r="E285" t="str">
            <v>厚声国际贸易（昆山）有限公司深圳分公司</v>
          </cell>
          <cell r="F285">
            <v>1.09E-3</v>
          </cell>
          <cell r="G285" t="str">
            <v>CNY</v>
          </cell>
          <cell r="H285" t="str">
            <v>42</v>
          </cell>
          <cell r="I285" t="str">
            <v>10,000.000</v>
          </cell>
          <cell r="J285" t="str">
            <v>10,000.000</v>
          </cell>
        </row>
        <row r="286">
          <cell r="D286">
            <v>10100013936</v>
          </cell>
          <cell r="E286" t="str">
            <v>广东风华高新科技股份有限公司</v>
          </cell>
          <cell r="F286">
            <v>1.1000000000000001E-3</v>
          </cell>
          <cell r="G286" t="str">
            <v>CNY</v>
          </cell>
          <cell r="H286" t="str">
            <v>42</v>
          </cell>
          <cell r="I286" t="str">
            <v>10,000.000</v>
          </cell>
          <cell r="J286" t="str">
            <v>10,000.000</v>
          </cell>
        </row>
        <row r="287">
          <cell r="D287">
            <v>10100014263</v>
          </cell>
          <cell r="E287" t="str">
            <v>深圳市超利维实业有限公司</v>
          </cell>
          <cell r="F287">
            <v>1.4E-3</v>
          </cell>
          <cell r="G287" t="str">
            <v>CNY</v>
          </cell>
          <cell r="H287" t="str">
            <v>84</v>
          </cell>
          <cell r="I287" t="str">
            <v>10,000.000</v>
          </cell>
          <cell r="J287" t="str">
            <v>10,000.000</v>
          </cell>
        </row>
        <row r="288">
          <cell r="D288">
            <v>10100014304</v>
          </cell>
          <cell r="E288" t="str">
            <v>东莞华科电子有限公司</v>
          </cell>
          <cell r="F288">
            <v>6.9499999999999996E-3</v>
          </cell>
          <cell r="G288" t="str">
            <v>CNY</v>
          </cell>
          <cell r="H288" t="str">
            <v>70</v>
          </cell>
          <cell r="I288" t="str">
            <v>5,000.000</v>
          </cell>
          <cell r="J288" t="str">
            <v>5,000.000</v>
          </cell>
        </row>
        <row r="289">
          <cell r="D289">
            <v>10100014735</v>
          </cell>
          <cell r="E289" t="str">
            <v>厚声国际贸易（昆山）有限公司深圳分公司</v>
          </cell>
          <cell r="F289">
            <v>1.09E-3</v>
          </cell>
          <cell r="G289" t="str">
            <v>CNY</v>
          </cell>
          <cell r="H289" t="str">
            <v>42</v>
          </cell>
          <cell r="I289" t="str">
            <v>10,000.000</v>
          </cell>
          <cell r="J289" t="str">
            <v>10,000.000</v>
          </cell>
        </row>
        <row r="290">
          <cell r="D290">
            <v>10100015676</v>
          </cell>
          <cell r="E290" t="str">
            <v>厚声国际贸易（昆山）有限公司深圳分公司</v>
          </cell>
          <cell r="F290">
            <v>1.09E-3</v>
          </cell>
          <cell r="G290" t="str">
            <v>CNY</v>
          </cell>
          <cell r="H290" t="str">
            <v>42</v>
          </cell>
          <cell r="I290" t="str">
            <v>10,000.000</v>
          </cell>
          <cell r="J290" t="str">
            <v>10,000.000</v>
          </cell>
        </row>
        <row r="291">
          <cell r="D291">
            <v>10100016358</v>
          </cell>
          <cell r="E291" t="str">
            <v>深圳市超利维实业有限公司</v>
          </cell>
          <cell r="F291">
            <v>1.4E-3</v>
          </cell>
          <cell r="G291" t="str">
            <v>CNY</v>
          </cell>
          <cell r="H291" t="str">
            <v>84</v>
          </cell>
          <cell r="I291" t="str">
            <v>10,000.000</v>
          </cell>
          <cell r="J291" t="str">
            <v>10,000.000</v>
          </cell>
        </row>
        <row r="292">
          <cell r="D292">
            <v>10100016798</v>
          </cell>
          <cell r="E292" t="str">
            <v>东莞华科电子有限公司</v>
          </cell>
          <cell r="F292">
            <v>1E-3</v>
          </cell>
          <cell r="G292" t="str">
            <v>CNY</v>
          </cell>
          <cell r="H292" t="str">
            <v>56</v>
          </cell>
          <cell r="I292" t="str">
            <v>10,000.000</v>
          </cell>
          <cell r="J292" t="str">
            <v>10,000.000</v>
          </cell>
        </row>
        <row r="293">
          <cell r="D293">
            <v>10100017076</v>
          </cell>
          <cell r="E293" t="str">
            <v>东莞华科电子有限公司</v>
          </cell>
          <cell r="F293">
            <v>6.9499999999999996E-3</v>
          </cell>
          <cell r="G293" t="str">
            <v>CNY</v>
          </cell>
          <cell r="H293" t="str">
            <v>70</v>
          </cell>
          <cell r="I293" t="str">
            <v>5,000.000</v>
          </cell>
          <cell r="J293" t="str">
            <v>5,000.000</v>
          </cell>
        </row>
        <row r="294">
          <cell r="D294">
            <v>10100017206</v>
          </cell>
          <cell r="E294" t="str">
            <v>厚声国际贸易（昆山）有限公司深圳分公司</v>
          </cell>
          <cell r="F294">
            <v>6.7799999999999996E-3</v>
          </cell>
          <cell r="G294" t="str">
            <v>CNY</v>
          </cell>
          <cell r="H294" t="str">
            <v>42</v>
          </cell>
          <cell r="I294" t="str">
            <v>5,000.000</v>
          </cell>
          <cell r="J294" t="str">
            <v>5,000.000</v>
          </cell>
        </row>
        <row r="295">
          <cell r="D295">
            <v>10100017335</v>
          </cell>
          <cell r="E295" t="str">
            <v>厚声国际贸易（昆山）有限公司深圳分公司</v>
          </cell>
          <cell r="F295">
            <v>1.09E-3</v>
          </cell>
          <cell r="G295" t="str">
            <v>CNY</v>
          </cell>
          <cell r="H295" t="str">
            <v>42</v>
          </cell>
          <cell r="I295" t="str">
            <v>10,000.000</v>
          </cell>
          <cell r="J295" t="str">
            <v>10,000.000</v>
          </cell>
        </row>
        <row r="296">
          <cell r="D296">
            <v>10100017511</v>
          </cell>
          <cell r="E296" t="str">
            <v>南充溢辉电子科技有限公司</v>
          </cell>
          <cell r="F296">
            <v>5.5999999999999999E-3</v>
          </cell>
          <cell r="G296" t="str">
            <v>CNY</v>
          </cell>
          <cell r="H296" t="str">
            <v>35</v>
          </cell>
          <cell r="I296" t="str">
            <v>5,000.000</v>
          </cell>
          <cell r="J296" t="str">
            <v>5,000.000</v>
          </cell>
        </row>
        <row r="297">
          <cell r="D297">
            <v>10100017551</v>
          </cell>
          <cell r="E297" t="str">
            <v>南充溢辉电子科技有限公司</v>
          </cell>
          <cell r="F297">
            <v>5.5999999999999999E-3</v>
          </cell>
          <cell r="G297" t="str">
            <v>CNY</v>
          </cell>
          <cell r="H297" t="str">
            <v>35</v>
          </cell>
          <cell r="I297" t="str">
            <v>5,000.000</v>
          </cell>
          <cell r="J297" t="str">
            <v>5,000.000</v>
          </cell>
        </row>
        <row r="298">
          <cell r="D298">
            <v>10100017616</v>
          </cell>
          <cell r="E298" t="str">
            <v>南充溢辉电子科技有限公司</v>
          </cell>
          <cell r="F298">
            <v>9.7999999999999997E-4</v>
          </cell>
          <cell r="G298" t="str">
            <v>CNY</v>
          </cell>
          <cell r="H298" t="str">
            <v>35</v>
          </cell>
          <cell r="I298" t="str">
            <v>10,000.000</v>
          </cell>
          <cell r="J298" t="str">
            <v>10,000.000</v>
          </cell>
        </row>
        <row r="299">
          <cell r="D299">
            <v>10100017618</v>
          </cell>
          <cell r="E299" t="str">
            <v>南充溢辉电子科技有限公司</v>
          </cell>
          <cell r="F299">
            <v>9.7999999999999997E-4</v>
          </cell>
          <cell r="G299" t="str">
            <v>CNY</v>
          </cell>
          <cell r="H299" t="str">
            <v>35</v>
          </cell>
          <cell r="I299" t="str">
            <v>10,000.000</v>
          </cell>
          <cell r="J299" t="str">
            <v>10,000.000</v>
          </cell>
        </row>
        <row r="300">
          <cell r="D300">
            <v>10100017642</v>
          </cell>
          <cell r="E300" t="str">
            <v>南充溢辉电子科技有限公司</v>
          </cell>
          <cell r="F300">
            <v>9.7999999999999997E-4</v>
          </cell>
          <cell r="G300" t="str">
            <v>CNY</v>
          </cell>
          <cell r="H300" t="str">
            <v>35</v>
          </cell>
          <cell r="I300" t="str">
            <v>10,000.000</v>
          </cell>
          <cell r="J300" t="str">
            <v>10,000.000</v>
          </cell>
        </row>
        <row r="301">
          <cell r="D301">
            <v>10100017664</v>
          </cell>
          <cell r="E301" t="str">
            <v>南充溢辉电子科技有限公司</v>
          </cell>
          <cell r="F301">
            <v>9.7999999999999997E-4</v>
          </cell>
          <cell r="G301" t="str">
            <v>CNY</v>
          </cell>
          <cell r="H301" t="str">
            <v>35</v>
          </cell>
          <cell r="I301" t="str">
            <v>10,000.000</v>
          </cell>
          <cell r="J301" t="str">
            <v>10,000.000</v>
          </cell>
        </row>
        <row r="302">
          <cell r="D302">
            <v>10100017679</v>
          </cell>
          <cell r="E302" t="str">
            <v>南充溢辉电子科技有限公司</v>
          </cell>
          <cell r="F302">
            <v>9.7999999999999997E-4</v>
          </cell>
          <cell r="G302" t="str">
            <v>CNY</v>
          </cell>
          <cell r="H302" t="str">
            <v>35</v>
          </cell>
          <cell r="I302" t="str">
            <v>10,000.000</v>
          </cell>
          <cell r="J302" t="str">
            <v>10,000.000</v>
          </cell>
        </row>
        <row r="303">
          <cell r="D303">
            <v>10100017738</v>
          </cell>
          <cell r="E303" t="str">
            <v>南充溢辉电子科技有限公司</v>
          </cell>
          <cell r="F303">
            <v>9.7999999999999997E-4</v>
          </cell>
          <cell r="G303" t="str">
            <v>CNY</v>
          </cell>
          <cell r="H303" t="str">
            <v>35</v>
          </cell>
          <cell r="I303" t="str">
            <v>10,000.000</v>
          </cell>
          <cell r="J303" t="str">
            <v>10,000.000</v>
          </cell>
        </row>
        <row r="304">
          <cell r="D304">
            <v>10100017741</v>
          </cell>
          <cell r="E304" t="str">
            <v>南充溢辉电子科技有限公司</v>
          </cell>
          <cell r="F304">
            <v>9.7999999999999997E-4</v>
          </cell>
          <cell r="G304" t="str">
            <v>CNY</v>
          </cell>
          <cell r="H304" t="str">
            <v>35</v>
          </cell>
          <cell r="I304" t="str">
            <v>10,000.000</v>
          </cell>
          <cell r="J304" t="str">
            <v>10,000.000</v>
          </cell>
        </row>
        <row r="305">
          <cell r="D305">
            <v>10100017764</v>
          </cell>
          <cell r="E305" t="str">
            <v>南充溢辉电子科技有限公司</v>
          </cell>
          <cell r="F305">
            <v>9.7999999999999997E-4</v>
          </cell>
          <cell r="G305" t="str">
            <v>CNY</v>
          </cell>
          <cell r="H305" t="str">
            <v>35</v>
          </cell>
          <cell r="I305" t="str">
            <v>10,000.000</v>
          </cell>
          <cell r="J305" t="str">
            <v>10,000.000</v>
          </cell>
        </row>
        <row r="306">
          <cell r="D306">
            <v>10100017970</v>
          </cell>
          <cell r="E306" t="str">
            <v>南充溢辉电子科技有限公司</v>
          </cell>
          <cell r="F306">
            <v>1.8500000000000001E-3</v>
          </cell>
          <cell r="G306" t="str">
            <v>CNY</v>
          </cell>
          <cell r="H306" t="str">
            <v>35</v>
          </cell>
          <cell r="I306" t="str">
            <v>5,000.000</v>
          </cell>
          <cell r="J306" t="str">
            <v>5,000.000</v>
          </cell>
        </row>
        <row r="307">
          <cell r="D307">
            <v>10100018109</v>
          </cell>
          <cell r="E307" t="str">
            <v>南充溢辉电子科技有限公司</v>
          </cell>
          <cell r="F307">
            <v>3.3500000000000001E-3</v>
          </cell>
          <cell r="G307" t="str">
            <v>CNY</v>
          </cell>
          <cell r="H307" t="str">
            <v>35</v>
          </cell>
          <cell r="I307" t="str">
            <v>5,000.000</v>
          </cell>
          <cell r="J307" t="str">
            <v>5,000.000</v>
          </cell>
        </row>
        <row r="308">
          <cell r="D308">
            <v>10100018253</v>
          </cell>
          <cell r="E308" t="str">
            <v>南充溢辉电子科技有限公司</v>
          </cell>
          <cell r="F308">
            <v>3.3500000000000001E-3</v>
          </cell>
          <cell r="G308" t="str">
            <v>CNY</v>
          </cell>
          <cell r="H308" t="str">
            <v>35</v>
          </cell>
          <cell r="I308" t="str">
            <v>5,000.000</v>
          </cell>
          <cell r="J308" t="str">
            <v>5,000.000</v>
          </cell>
        </row>
        <row r="309">
          <cell r="D309">
            <v>10100018256</v>
          </cell>
          <cell r="E309" t="str">
            <v>南充溢辉电子科技有限公司</v>
          </cell>
          <cell r="F309">
            <v>3.3500000000000001E-3</v>
          </cell>
          <cell r="G309" t="str">
            <v>CNY</v>
          </cell>
          <cell r="H309" t="str">
            <v>35</v>
          </cell>
          <cell r="I309" t="str">
            <v>5,000.000</v>
          </cell>
          <cell r="J309" t="str">
            <v>5,000.000</v>
          </cell>
        </row>
        <row r="310">
          <cell r="D310">
            <v>10100018399</v>
          </cell>
          <cell r="E310" t="str">
            <v>南充溢辉电子科技有限公司</v>
          </cell>
          <cell r="F310">
            <v>9.7999999999999997E-4</v>
          </cell>
          <cell r="G310" t="str">
            <v>CNY</v>
          </cell>
          <cell r="H310" t="str">
            <v>35</v>
          </cell>
          <cell r="I310" t="str">
            <v>10,000.000</v>
          </cell>
          <cell r="J310" t="str">
            <v>10,000.000</v>
          </cell>
        </row>
        <row r="311">
          <cell r="D311">
            <v>10100019075</v>
          </cell>
          <cell r="E311" t="str">
            <v>厚声国际贸易（昆山）有限公司深圳分公司</v>
          </cell>
          <cell r="F311">
            <v>1.09E-3</v>
          </cell>
          <cell r="G311" t="str">
            <v>CNY</v>
          </cell>
          <cell r="H311" t="str">
            <v>42</v>
          </cell>
          <cell r="I311" t="str">
            <v>10,000.000</v>
          </cell>
          <cell r="J311" t="str">
            <v>10,000.000</v>
          </cell>
        </row>
        <row r="312">
          <cell r="D312">
            <v>10100019134</v>
          </cell>
          <cell r="E312" t="str">
            <v>南充溢辉电子科技有限公司</v>
          </cell>
          <cell r="F312">
            <v>9.7999999999999997E-4</v>
          </cell>
          <cell r="G312" t="str">
            <v>CNY</v>
          </cell>
          <cell r="H312" t="str">
            <v>35</v>
          </cell>
          <cell r="I312" t="str">
            <v>10,000.000</v>
          </cell>
          <cell r="J312" t="str">
            <v>10,000.000</v>
          </cell>
        </row>
        <row r="313">
          <cell r="D313">
            <v>10100020950</v>
          </cell>
          <cell r="E313" t="str">
            <v>厚声国际贸易（昆山）有限公司深圳分公司</v>
          </cell>
          <cell r="F313">
            <v>1.09E-3</v>
          </cell>
          <cell r="G313" t="str">
            <v>CNY</v>
          </cell>
          <cell r="H313" t="str">
            <v>42</v>
          </cell>
          <cell r="I313" t="str">
            <v>10,000.000</v>
          </cell>
          <cell r="J313" t="str">
            <v>10,000.000</v>
          </cell>
        </row>
        <row r="314">
          <cell r="D314">
            <v>10100022516</v>
          </cell>
          <cell r="E314" t="str">
            <v>厚声国际贸易（昆山）有限公司深圳分公司</v>
          </cell>
          <cell r="F314">
            <v>1.09E-3</v>
          </cell>
          <cell r="G314" t="str">
            <v>CNY</v>
          </cell>
          <cell r="H314" t="str">
            <v>42</v>
          </cell>
          <cell r="I314" t="str">
            <v>10,000.000</v>
          </cell>
          <cell r="J314" t="str">
            <v>10,000.000</v>
          </cell>
        </row>
        <row r="315">
          <cell r="D315">
            <v>10100022846</v>
          </cell>
          <cell r="E315" t="str">
            <v>深圳市超利维实业有限公司</v>
          </cell>
          <cell r="F315">
            <v>1.4E-3</v>
          </cell>
          <cell r="G315" t="str">
            <v>CNY</v>
          </cell>
          <cell r="H315" t="str">
            <v>84</v>
          </cell>
          <cell r="I315" t="str">
            <v>10,000.000</v>
          </cell>
          <cell r="J315" t="str">
            <v>10,000.000</v>
          </cell>
        </row>
        <row r="316">
          <cell r="D316">
            <v>10100022852</v>
          </cell>
          <cell r="E316" t="str">
            <v>东莞华科电子有限公司</v>
          </cell>
          <cell r="F316">
            <v>1.17E-3</v>
          </cell>
          <cell r="G316" t="str">
            <v>CNY</v>
          </cell>
          <cell r="H316" t="str">
            <v>56</v>
          </cell>
          <cell r="I316" t="str">
            <v>10,000.000</v>
          </cell>
          <cell r="J316" t="str">
            <v>10,000.000</v>
          </cell>
        </row>
        <row r="317">
          <cell r="D317">
            <v>10100022856</v>
          </cell>
          <cell r="E317" t="str">
            <v>厚声国际贸易（昆山）有限公司深圳分公司</v>
          </cell>
          <cell r="F317">
            <v>1.09E-3</v>
          </cell>
          <cell r="G317" t="str">
            <v>CNY</v>
          </cell>
          <cell r="H317" t="str">
            <v>42</v>
          </cell>
          <cell r="I317" t="str">
            <v>10,000.000</v>
          </cell>
          <cell r="J317" t="str">
            <v>10,000.000</v>
          </cell>
        </row>
        <row r="318">
          <cell r="D318">
            <v>10100022860</v>
          </cell>
          <cell r="E318" t="str">
            <v>广东风华高新科技股份有限公司</v>
          </cell>
          <cell r="F318">
            <v>1.1000000000000001E-3</v>
          </cell>
          <cell r="G318" t="str">
            <v>CNY</v>
          </cell>
          <cell r="H318" t="str">
            <v>42</v>
          </cell>
          <cell r="I318" t="str">
            <v>10,000.000</v>
          </cell>
          <cell r="J318" t="str">
            <v>10,000.000</v>
          </cell>
        </row>
        <row r="319">
          <cell r="D319">
            <v>10100023928</v>
          </cell>
          <cell r="E319" t="str">
            <v>厚声国际贸易（昆山）有限公司深圳分公司</v>
          </cell>
          <cell r="F319">
            <v>6.7799999999999996E-3</v>
          </cell>
          <cell r="G319" t="str">
            <v>CNY</v>
          </cell>
          <cell r="H319" t="str">
            <v>42</v>
          </cell>
          <cell r="I319" t="str">
            <v>5,000.000</v>
          </cell>
          <cell r="J319" t="str">
            <v>5,000.000</v>
          </cell>
        </row>
        <row r="320">
          <cell r="D320">
            <v>10100023933</v>
          </cell>
          <cell r="E320" t="str">
            <v>广东风华高新科技股份有限公司</v>
          </cell>
          <cell r="F320">
            <v>6.3699999999999998E-3</v>
          </cell>
          <cell r="G320" t="str">
            <v>CNY</v>
          </cell>
          <cell r="H320" t="str">
            <v>56</v>
          </cell>
          <cell r="I320" t="str">
            <v>5,000.000</v>
          </cell>
          <cell r="J320" t="str">
            <v>5,000.000</v>
          </cell>
        </row>
        <row r="321">
          <cell r="D321">
            <v>10100023938</v>
          </cell>
          <cell r="E321" t="str">
            <v>深圳市超利维实业有限公司</v>
          </cell>
          <cell r="F321">
            <v>8.0000000000000002E-3</v>
          </cell>
          <cell r="G321" t="str">
            <v>CNY</v>
          </cell>
          <cell r="H321" t="str">
            <v>84</v>
          </cell>
          <cell r="I321" t="str">
            <v>5,000.000</v>
          </cell>
          <cell r="J321" t="str">
            <v>5,000.000</v>
          </cell>
        </row>
        <row r="322">
          <cell r="D322">
            <v>10100024044</v>
          </cell>
          <cell r="E322" t="str">
            <v>南充溢辉电子科技有限公司</v>
          </cell>
          <cell r="F322">
            <v>5.5999999999999999E-3</v>
          </cell>
          <cell r="G322" t="str">
            <v>CNY</v>
          </cell>
          <cell r="H322" t="str">
            <v>35</v>
          </cell>
          <cell r="I322" t="str">
            <v>5,000.000</v>
          </cell>
          <cell r="J322" t="str">
            <v>5,000.000</v>
          </cell>
        </row>
        <row r="323">
          <cell r="D323">
            <v>10100024100</v>
          </cell>
          <cell r="E323" t="str">
            <v>广东风华高新科技股份有限公司</v>
          </cell>
          <cell r="F323">
            <v>2.0799999999999998E-3</v>
          </cell>
          <cell r="G323" t="str">
            <v>CNY</v>
          </cell>
          <cell r="H323" t="str">
            <v>42</v>
          </cell>
          <cell r="I323" t="str">
            <v>5,000.000</v>
          </cell>
          <cell r="J323" t="str">
            <v>5,000.000</v>
          </cell>
        </row>
        <row r="324">
          <cell r="D324">
            <v>10100025239</v>
          </cell>
          <cell r="E324" t="str">
            <v>广州盛中电子有限公司</v>
          </cell>
          <cell r="F324">
            <v>0.19</v>
          </cell>
          <cell r="G324" t="str">
            <v>CNY</v>
          </cell>
          <cell r="H324" t="str">
            <v>112</v>
          </cell>
          <cell r="I324" t="str">
            <v>4,000.000</v>
          </cell>
          <cell r="J324" t="str">
            <v>4,000.000</v>
          </cell>
        </row>
        <row r="325">
          <cell r="D325">
            <v>10100026554</v>
          </cell>
          <cell r="E325" t="str">
            <v>广东风华高新科技股份有限公司</v>
          </cell>
          <cell r="F325">
            <v>6.3699999999999998E-3</v>
          </cell>
          <cell r="G325" t="str">
            <v>CNY</v>
          </cell>
          <cell r="H325" t="str">
            <v>42</v>
          </cell>
          <cell r="I325" t="str">
            <v>5,000.000</v>
          </cell>
          <cell r="J325" t="str">
            <v>5,000.000</v>
          </cell>
        </row>
        <row r="326">
          <cell r="D326">
            <v>10100026860</v>
          </cell>
          <cell r="E326" t="str">
            <v>深圳安培龙科技股份有限公司</v>
          </cell>
          <cell r="F326">
            <v>0.25</v>
          </cell>
          <cell r="G326" t="str">
            <v>CNY</v>
          </cell>
          <cell r="H326" t="str">
            <v>28</v>
          </cell>
          <cell r="I326" t="str">
            <v>5,000.000</v>
          </cell>
          <cell r="J326" t="str">
            <v>500.000</v>
          </cell>
        </row>
        <row r="327">
          <cell r="D327">
            <v>10100030065</v>
          </cell>
          <cell r="E327" t="str">
            <v>成都铁达电子股份有限公司</v>
          </cell>
          <cell r="F327">
            <v>0.47</v>
          </cell>
          <cell r="G327" t="str">
            <v>CNY</v>
          </cell>
          <cell r="H327" t="str">
            <v>15</v>
          </cell>
          <cell r="I327" t="str">
            <v>1,600.000</v>
          </cell>
          <cell r="J327" t="str">
            <v>400.000</v>
          </cell>
        </row>
        <row r="328">
          <cell r="D328">
            <v>10100033903</v>
          </cell>
          <cell r="E328" t="str">
            <v>恒辉电阻（益阳）有限公司</v>
          </cell>
          <cell r="F328">
            <v>9.7999999999999997E-4</v>
          </cell>
          <cell r="G328" t="str">
            <v>CNY</v>
          </cell>
          <cell r="H328" t="str">
            <v>42</v>
          </cell>
          <cell r="I328" t="str">
            <v>10,000.000</v>
          </cell>
          <cell r="J328" t="str">
            <v>10,000.000</v>
          </cell>
        </row>
        <row r="329">
          <cell r="D329">
            <v>10100034109</v>
          </cell>
          <cell r="E329" t="str">
            <v>广东风华高新科技股份有限公司</v>
          </cell>
          <cell r="F329">
            <v>1.1000000000000001E-3</v>
          </cell>
          <cell r="G329" t="str">
            <v>CNY</v>
          </cell>
          <cell r="H329" t="str">
            <v>42</v>
          </cell>
          <cell r="I329" t="str">
            <v>10,000.000</v>
          </cell>
          <cell r="J329" t="str">
            <v>10,000.000</v>
          </cell>
        </row>
        <row r="330">
          <cell r="D330">
            <v>10110001388</v>
          </cell>
          <cell r="E330" t="str">
            <v>广东风华高新科技股份有限公司</v>
          </cell>
          <cell r="F330">
            <v>5.4999999999999997E-3</v>
          </cell>
          <cell r="G330" t="str">
            <v>CNY</v>
          </cell>
          <cell r="H330" t="str">
            <v>42</v>
          </cell>
          <cell r="I330" t="str">
            <v>4,000.000</v>
          </cell>
          <cell r="J330" t="str">
            <v>4,000.000</v>
          </cell>
        </row>
        <row r="331">
          <cell r="D331">
            <v>10110001391</v>
          </cell>
          <cell r="E331" t="str">
            <v>广东顺德集财电子有限公司</v>
          </cell>
          <cell r="F331">
            <v>6.1000000000000004E-3</v>
          </cell>
          <cell r="G331" t="str">
            <v>CNY</v>
          </cell>
          <cell r="H331" t="str">
            <v>56</v>
          </cell>
          <cell r="I331" t="str">
            <v>4,000.000</v>
          </cell>
          <cell r="J331" t="str">
            <v>4,000.000</v>
          </cell>
        </row>
        <row r="332">
          <cell r="D332">
            <v>10110003080</v>
          </cell>
          <cell r="E332" t="str">
            <v>深圳市兴鸿宇科技有限公司</v>
          </cell>
          <cell r="F332">
            <v>0.19800000000000001</v>
          </cell>
          <cell r="G332" t="str">
            <v>CNY</v>
          </cell>
          <cell r="H332" t="str">
            <v>84</v>
          </cell>
          <cell r="I332" t="str">
            <v>1,000.000</v>
          </cell>
          <cell r="J332" t="str">
            <v>1,000.000</v>
          </cell>
        </row>
        <row r="333">
          <cell r="D333">
            <v>10110003896</v>
          </cell>
          <cell r="E333" t="str">
            <v>深圳市奥特高科电子有限公司</v>
          </cell>
          <cell r="F333">
            <v>2.3E-3</v>
          </cell>
          <cell r="G333" t="str">
            <v>CNY</v>
          </cell>
          <cell r="H333" t="str">
            <v>56</v>
          </cell>
          <cell r="I333" t="str">
            <v>10,000.000</v>
          </cell>
          <cell r="J333" t="str">
            <v>10,000.000</v>
          </cell>
        </row>
        <row r="334">
          <cell r="D334">
            <v>10110003897</v>
          </cell>
          <cell r="E334" t="str">
            <v>深圳市奥特高科电子有限公司</v>
          </cell>
          <cell r="F334">
            <v>2.2000000000000001E-3</v>
          </cell>
          <cell r="G334" t="str">
            <v>CNY</v>
          </cell>
          <cell r="H334" t="str">
            <v>56</v>
          </cell>
          <cell r="I334" t="str">
            <v>10,000.000</v>
          </cell>
          <cell r="J334" t="str">
            <v>10,000.000</v>
          </cell>
        </row>
        <row r="335">
          <cell r="D335">
            <v>10110003944</v>
          </cell>
          <cell r="E335" t="str">
            <v>东莞华科电子有限公司</v>
          </cell>
          <cell r="F335">
            <v>5.4299999999999999E-3</v>
          </cell>
          <cell r="G335" t="str">
            <v>CNY</v>
          </cell>
          <cell r="H335" t="str">
            <v>56</v>
          </cell>
          <cell r="I335" t="str">
            <v>4,000.000</v>
          </cell>
          <cell r="J335" t="str">
            <v>4,000.000</v>
          </cell>
        </row>
        <row r="336">
          <cell r="D336">
            <v>10110004676</v>
          </cell>
          <cell r="E336" t="str">
            <v>东莞华科电子有限公司</v>
          </cell>
          <cell r="F336">
            <v>1.98E-3</v>
          </cell>
          <cell r="G336" t="str">
            <v>CNY</v>
          </cell>
          <cell r="H336" t="str">
            <v>56</v>
          </cell>
          <cell r="I336" t="str">
            <v>10,000.000</v>
          </cell>
          <cell r="J336" t="str">
            <v>10,000.000</v>
          </cell>
        </row>
        <row r="337">
          <cell r="D337">
            <v>10110005377</v>
          </cell>
          <cell r="E337" t="str">
            <v>深圳市巨新科电子有限公司</v>
          </cell>
          <cell r="F337">
            <v>2.98E-3</v>
          </cell>
          <cell r="G337" t="str">
            <v>CNY</v>
          </cell>
          <cell r="H337" t="str">
            <v>56</v>
          </cell>
          <cell r="I337" t="str">
            <v>10,000.000</v>
          </cell>
          <cell r="J337" t="str">
            <v>10,000.000</v>
          </cell>
        </row>
        <row r="338">
          <cell r="D338">
            <v>10110005378</v>
          </cell>
          <cell r="E338" t="str">
            <v>深圳市吉利通电子有限公司</v>
          </cell>
          <cell r="F338">
            <v>2.3999999999999998E-3</v>
          </cell>
          <cell r="G338" t="str">
            <v>CNY</v>
          </cell>
          <cell r="H338" t="str">
            <v>56</v>
          </cell>
          <cell r="I338" t="str">
            <v>10,000.000</v>
          </cell>
          <cell r="J338" t="str">
            <v>10,000.000</v>
          </cell>
        </row>
        <row r="339">
          <cell r="D339">
            <v>10110005723</v>
          </cell>
          <cell r="E339" t="str">
            <v>深圳市奥特高科电子有限公司</v>
          </cell>
          <cell r="F339">
            <v>6.4999999999999997E-3</v>
          </cell>
          <cell r="G339" t="str">
            <v>CNY</v>
          </cell>
          <cell r="H339" t="str">
            <v>56</v>
          </cell>
          <cell r="I339" t="str">
            <v>4,000.000</v>
          </cell>
          <cell r="J339" t="str">
            <v>4,000.000</v>
          </cell>
        </row>
        <row r="340">
          <cell r="D340">
            <v>10110005817</v>
          </cell>
          <cell r="E340" t="str">
            <v>东莞华科电子有限公司</v>
          </cell>
          <cell r="F340">
            <v>1.98E-3</v>
          </cell>
          <cell r="G340" t="str">
            <v>CNY</v>
          </cell>
          <cell r="H340" t="str">
            <v>56</v>
          </cell>
          <cell r="I340" t="str">
            <v>10,000.000</v>
          </cell>
          <cell r="J340" t="str">
            <v>10,000.000</v>
          </cell>
        </row>
        <row r="341">
          <cell r="D341">
            <v>10110006771</v>
          </cell>
          <cell r="E341" t="str">
            <v>深圳市奥特高科电子有限公司</v>
          </cell>
          <cell r="F341">
            <v>4.9500000000000004E-3</v>
          </cell>
          <cell r="G341" t="str">
            <v>CNY</v>
          </cell>
          <cell r="H341" t="str">
            <v>56</v>
          </cell>
          <cell r="I341" t="str">
            <v>10,000.000</v>
          </cell>
          <cell r="J341" t="str">
            <v>10,000.000</v>
          </cell>
        </row>
        <row r="342">
          <cell r="D342">
            <v>10110007139</v>
          </cell>
          <cell r="E342" t="str">
            <v>深圳市天河星供应链有限公司</v>
          </cell>
          <cell r="F342">
            <v>2.2000000000000001E-3</v>
          </cell>
          <cell r="G342" t="str">
            <v>CNY</v>
          </cell>
          <cell r="H342" t="str">
            <v>56</v>
          </cell>
          <cell r="I342" t="str">
            <v>10,000.000</v>
          </cell>
          <cell r="J342" t="str">
            <v>10,000.000</v>
          </cell>
        </row>
        <row r="343">
          <cell r="D343">
            <v>10110007822</v>
          </cell>
          <cell r="E343" t="str">
            <v>广东顺德集财电子有限公司</v>
          </cell>
          <cell r="F343">
            <v>2.3999999999999998E-3</v>
          </cell>
          <cell r="G343" t="str">
            <v>CNY</v>
          </cell>
          <cell r="H343" t="str">
            <v>56</v>
          </cell>
          <cell r="I343" t="str">
            <v>10,000.000</v>
          </cell>
          <cell r="J343" t="str">
            <v>10,000.000</v>
          </cell>
        </row>
        <row r="344">
          <cell r="D344">
            <v>10110008257</v>
          </cell>
          <cell r="E344" t="str">
            <v>深圳市兴鸿宇科技有限公司</v>
          </cell>
          <cell r="F344">
            <v>4.5999999999999999E-3</v>
          </cell>
          <cell r="G344" t="str">
            <v>CNY</v>
          </cell>
          <cell r="H344" t="str">
            <v>56</v>
          </cell>
          <cell r="I344" t="str">
            <v>10,000.000</v>
          </cell>
          <cell r="J344" t="str">
            <v>10,000.000</v>
          </cell>
        </row>
        <row r="345">
          <cell r="D345">
            <v>10110008724</v>
          </cell>
          <cell r="E345" t="str">
            <v>广东顺德集财电子有限公司</v>
          </cell>
          <cell r="F345">
            <v>4.1000000000000003E-3</v>
          </cell>
          <cell r="G345" t="str">
            <v>CNY</v>
          </cell>
          <cell r="H345" t="str">
            <v>56</v>
          </cell>
          <cell r="I345" t="str">
            <v>10,000.000</v>
          </cell>
          <cell r="J345" t="str">
            <v>10,000.000</v>
          </cell>
        </row>
        <row r="346">
          <cell r="D346">
            <v>10110008726</v>
          </cell>
          <cell r="E346" t="str">
            <v>深圳市天河星供应链有限公司</v>
          </cell>
          <cell r="F346">
            <v>2.2000000000000001E-3</v>
          </cell>
          <cell r="G346" t="str">
            <v>CNY</v>
          </cell>
          <cell r="H346" t="str">
            <v>56</v>
          </cell>
          <cell r="I346" t="str">
            <v>10,000.000</v>
          </cell>
          <cell r="J346" t="str">
            <v>10,000.000</v>
          </cell>
        </row>
        <row r="347">
          <cell r="D347">
            <v>10110008729</v>
          </cell>
          <cell r="E347" t="str">
            <v>深圳市天河星供应链有限公司</v>
          </cell>
          <cell r="F347">
            <v>2.0999999999999999E-3</v>
          </cell>
          <cell r="G347" t="str">
            <v>CNY</v>
          </cell>
          <cell r="H347" t="str">
            <v>56</v>
          </cell>
          <cell r="I347" t="str">
            <v>10,000.000</v>
          </cell>
          <cell r="J347" t="str">
            <v>10,000.000</v>
          </cell>
        </row>
        <row r="348">
          <cell r="D348">
            <v>10110008734</v>
          </cell>
          <cell r="E348" t="str">
            <v>深圳市天河星供应链有限公司</v>
          </cell>
          <cell r="F348">
            <v>2.0999999999999999E-3</v>
          </cell>
          <cell r="G348" t="str">
            <v>CNY</v>
          </cell>
          <cell r="H348" t="str">
            <v>56</v>
          </cell>
          <cell r="I348" t="str">
            <v>10,000.000</v>
          </cell>
          <cell r="J348" t="str">
            <v>10,000.000</v>
          </cell>
        </row>
        <row r="349">
          <cell r="D349">
            <v>10110008742</v>
          </cell>
          <cell r="E349" t="str">
            <v>广东风华高新科技股份有限公司</v>
          </cell>
          <cell r="F349">
            <v>2.1900000000000001E-3</v>
          </cell>
          <cell r="G349" t="str">
            <v>CNY</v>
          </cell>
          <cell r="H349" t="str">
            <v>56</v>
          </cell>
          <cell r="I349" t="str">
            <v>10,000.000</v>
          </cell>
          <cell r="J349" t="str">
            <v>10,000.000</v>
          </cell>
        </row>
        <row r="350">
          <cell r="D350">
            <v>10110008934</v>
          </cell>
          <cell r="E350" t="str">
            <v>广东顺德集财电子有限公司</v>
          </cell>
          <cell r="F350">
            <v>9.8000000000000004E-2</v>
          </cell>
          <cell r="G350" t="str">
            <v>CNY</v>
          </cell>
          <cell r="H350" t="str">
            <v>56</v>
          </cell>
          <cell r="I350" t="str">
            <v>2,000.000</v>
          </cell>
          <cell r="J350" t="str">
            <v>2,000.000</v>
          </cell>
        </row>
        <row r="351">
          <cell r="D351">
            <v>10110008993</v>
          </cell>
          <cell r="E351" t="str">
            <v>东莞华科电子有限公司</v>
          </cell>
          <cell r="F351">
            <v>3.0500000000000002E-3</v>
          </cell>
          <cell r="G351" t="str">
            <v>CNY</v>
          </cell>
          <cell r="H351" t="str">
            <v>56</v>
          </cell>
          <cell r="I351" t="str">
            <v>10,000.000</v>
          </cell>
          <cell r="J351" t="str">
            <v>10,000.000</v>
          </cell>
        </row>
        <row r="352">
          <cell r="D352">
            <v>10110009071</v>
          </cell>
          <cell r="E352" t="str">
            <v>东莞华科电子有限公司</v>
          </cell>
          <cell r="F352">
            <v>0.16964000000000001</v>
          </cell>
          <cell r="G352" t="str">
            <v>CNY</v>
          </cell>
          <cell r="H352" t="str">
            <v>84</v>
          </cell>
          <cell r="I352" t="str">
            <v>3,000.000</v>
          </cell>
          <cell r="J352" t="str">
            <v>3,000.000</v>
          </cell>
        </row>
        <row r="353">
          <cell r="D353">
            <v>10110009749</v>
          </cell>
          <cell r="E353" t="str">
            <v>深圳市欧亚达电子有限公司</v>
          </cell>
          <cell r="F353">
            <v>9.5499999999999995E-3</v>
          </cell>
          <cell r="G353" t="str">
            <v>CNY</v>
          </cell>
          <cell r="H353" t="str">
            <v>84</v>
          </cell>
          <cell r="I353" t="str">
            <v>10,000.000</v>
          </cell>
          <cell r="J353" t="str">
            <v>10,000.000</v>
          </cell>
        </row>
        <row r="354">
          <cell r="D354">
            <v>10110010638</v>
          </cell>
          <cell r="E354" t="str">
            <v>深圳市宏昌鑫科技有限责任公司</v>
          </cell>
          <cell r="F354">
            <v>7.3699999999999998E-3</v>
          </cell>
          <cell r="G354" t="str">
            <v>CNY</v>
          </cell>
          <cell r="H354" t="str">
            <v>140</v>
          </cell>
          <cell r="I354" t="str">
            <v>10,000.000</v>
          </cell>
          <cell r="J354" t="str">
            <v>10,000.000</v>
          </cell>
        </row>
        <row r="355">
          <cell r="D355">
            <v>10110011269</v>
          </cell>
          <cell r="E355" t="str">
            <v>潮州三环（集团）股份有限公司</v>
          </cell>
          <cell r="F355">
            <v>1.8500000000000001E-3</v>
          </cell>
          <cell r="G355" t="str">
            <v>CNY</v>
          </cell>
          <cell r="H355" t="str">
            <v>56</v>
          </cell>
          <cell r="I355" t="str">
            <v>10,000.000</v>
          </cell>
          <cell r="J355" t="str">
            <v>10,000.000</v>
          </cell>
        </row>
        <row r="356">
          <cell r="D356">
            <v>10110011283</v>
          </cell>
          <cell r="E356" t="str">
            <v>潮州三环（集团）股份有限公司</v>
          </cell>
          <cell r="F356">
            <v>5.1500000000000001E-3</v>
          </cell>
          <cell r="G356" t="str">
            <v>CNY</v>
          </cell>
          <cell r="H356" t="str">
            <v>56</v>
          </cell>
          <cell r="I356" t="str">
            <v>4,000.000</v>
          </cell>
          <cell r="J356" t="str">
            <v>4,000.000</v>
          </cell>
        </row>
        <row r="357">
          <cell r="D357">
            <v>10110012147</v>
          </cell>
          <cell r="E357" t="str">
            <v>潮州三环（集团）股份有限公司</v>
          </cell>
          <cell r="F357">
            <v>1.9499999999999999E-3</v>
          </cell>
          <cell r="G357" t="str">
            <v>CNY</v>
          </cell>
          <cell r="H357" t="str">
            <v>56</v>
          </cell>
          <cell r="I357" t="str">
            <v>10,000.000</v>
          </cell>
          <cell r="J357" t="str">
            <v>10,000.000</v>
          </cell>
        </row>
        <row r="358">
          <cell r="D358">
            <v>10110012149</v>
          </cell>
          <cell r="E358" t="str">
            <v>潮州三环（集团）股份有限公司</v>
          </cell>
          <cell r="F358">
            <v>1.8500000000000001E-3</v>
          </cell>
          <cell r="G358" t="str">
            <v>CNY</v>
          </cell>
          <cell r="H358" t="str">
            <v>56</v>
          </cell>
          <cell r="I358" t="str">
            <v>10,000.000</v>
          </cell>
          <cell r="J358" t="str">
            <v>10,000.000</v>
          </cell>
        </row>
        <row r="359">
          <cell r="D359">
            <v>10110012398</v>
          </cell>
          <cell r="E359" t="str">
            <v>深圳市奥特高科电子有限公司</v>
          </cell>
          <cell r="F359">
            <v>7.0000000000000001E-3</v>
          </cell>
          <cell r="G359" t="str">
            <v>CNY</v>
          </cell>
          <cell r="H359" t="str">
            <v>56</v>
          </cell>
          <cell r="I359" t="str">
            <v>4,000.000</v>
          </cell>
          <cell r="J359" t="str">
            <v>4,000.000</v>
          </cell>
        </row>
        <row r="360">
          <cell r="D360">
            <v>10110012402</v>
          </cell>
          <cell r="E360" t="str">
            <v>深圳市兴鸿宇科技有限公司</v>
          </cell>
          <cell r="F360">
            <v>6.8999999999999999E-3</v>
          </cell>
          <cell r="G360" t="str">
            <v>CNY</v>
          </cell>
          <cell r="H360" t="str">
            <v>70</v>
          </cell>
          <cell r="I360" t="str">
            <v>4,000.000</v>
          </cell>
          <cell r="J360" t="str">
            <v>4,000.000</v>
          </cell>
        </row>
        <row r="361">
          <cell r="D361">
            <v>10110012403</v>
          </cell>
          <cell r="E361" t="str">
            <v>广东风华高新科技股份有限公司</v>
          </cell>
          <cell r="F361">
            <v>7.0000000000000001E-3</v>
          </cell>
          <cell r="G361" t="str">
            <v>CNY</v>
          </cell>
          <cell r="H361" t="str">
            <v>56</v>
          </cell>
          <cell r="I361" t="str">
            <v>4,000.000</v>
          </cell>
          <cell r="J361" t="str">
            <v>4,000.000</v>
          </cell>
        </row>
        <row r="362">
          <cell r="D362">
            <v>10110013851</v>
          </cell>
          <cell r="E362" t="str">
            <v>潮州三环（集团）股份有限公司</v>
          </cell>
          <cell r="F362">
            <v>7.0899999999999999E-3</v>
          </cell>
          <cell r="G362" t="str">
            <v>CNY</v>
          </cell>
          <cell r="H362" t="str">
            <v>56</v>
          </cell>
          <cell r="I362" t="str">
            <v>4,000.000</v>
          </cell>
          <cell r="J362" t="str">
            <v>4,000.000</v>
          </cell>
        </row>
        <row r="363">
          <cell r="D363">
            <v>10110014746</v>
          </cell>
          <cell r="E363" t="str">
            <v>汕头保税区松田电子科技有限公司</v>
          </cell>
          <cell r="F363">
            <v>0.23311999999999999</v>
          </cell>
          <cell r="G363" t="str">
            <v>CNY</v>
          </cell>
          <cell r="H363" t="str">
            <v>28</v>
          </cell>
          <cell r="I363" t="str">
            <v>1,000.000</v>
          </cell>
          <cell r="J363" t="str">
            <v>1,000.000</v>
          </cell>
        </row>
        <row r="364">
          <cell r="D364">
            <v>10110015893</v>
          </cell>
          <cell r="E364" t="str">
            <v>潮州三环（集团）股份有限公司</v>
          </cell>
          <cell r="F364">
            <v>1.8600000000000001E-3</v>
          </cell>
          <cell r="G364" t="str">
            <v>CNY</v>
          </cell>
          <cell r="H364" t="str">
            <v>56</v>
          </cell>
          <cell r="I364" t="str">
            <v>10,000.000</v>
          </cell>
          <cell r="J364" t="str">
            <v>10,000.000</v>
          </cell>
        </row>
        <row r="365">
          <cell r="D365">
            <v>10110016198</v>
          </cell>
          <cell r="E365" t="str">
            <v>深圳市奥特高科电子有限公司</v>
          </cell>
          <cell r="F365">
            <v>2.3E-3</v>
          </cell>
          <cell r="G365" t="str">
            <v>CNY</v>
          </cell>
          <cell r="H365" t="str">
            <v>56</v>
          </cell>
          <cell r="I365" t="str">
            <v>10,000.000</v>
          </cell>
          <cell r="J365" t="str">
            <v>10,000.000</v>
          </cell>
        </row>
        <row r="366">
          <cell r="D366">
            <v>10110016349</v>
          </cell>
          <cell r="E366" t="str">
            <v>潮州三环（集团）股份有限公司</v>
          </cell>
          <cell r="F366">
            <v>3.9500000000000004E-3</v>
          </cell>
          <cell r="G366" t="str">
            <v>CNY</v>
          </cell>
          <cell r="H366" t="str">
            <v>56</v>
          </cell>
          <cell r="I366" t="str">
            <v>10,000.000</v>
          </cell>
          <cell r="J366" t="str">
            <v>10,000.000</v>
          </cell>
        </row>
        <row r="367">
          <cell r="D367">
            <v>10110016965</v>
          </cell>
          <cell r="E367" t="str">
            <v>深圳市巨新科电子有限公司</v>
          </cell>
          <cell r="F367">
            <v>1.695E-2</v>
          </cell>
          <cell r="G367" t="str">
            <v>CNY</v>
          </cell>
          <cell r="H367" t="str">
            <v>84</v>
          </cell>
          <cell r="I367" t="str">
            <v>4,000.000</v>
          </cell>
          <cell r="J367" t="str">
            <v>4,000.000</v>
          </cell>
        </row>
        <row r="368">
          <cell r="D368">
            <v>10110016977</v>
          </cell>
          <cell r="E368" t="str">
            <v>广东顺德集财电子有限公司</v>
          </cell>
          <cell r="F368">
            <v>1.0200000000000001E-2</v>
          </cell>
          <cell r="G368" t="str">
            <v>CNY</v>
          </cell>
          <cell r="H368" t="str">
            <v>56</v>
          </cell>
          <cell r="I368" t="str">
            <v>4,000.000</v>
          </cell>
          <cell r="J368" t="str">
            <v>4,000.000</v>
          </cell>
        </row>
        <row r="369">
          <cell r="D369">
            <v>10110016988</v>
          </cell>
          <cell r="E369" t="str">
            <v>广东风华高新科技股份有限公司</v>
          </cell>
          <cell r="F369">
            <v>9.2999999999999992E-3</v>
          </cell>
          <cell r="G369" t="str">
            <v>CNY</v>
          </cell>
          <cell r="H369" t="str">
            <v>42</v>
          </cell>
          <cell r="I369" t="str">
            <v>4,000.000</v>
          </cell>
          <cell r="J369" t="str">
            <v>4,000.000</v>
          </cell>
        </row>
        <row r="370">
          <cell r="D370">
            <v>10110018933</v>
          </cell>
          <cell r="E370" t="str">
            <v>东莞华科电子有限公司</v>
          </cell>
          <cell r="F370">
            <v>7.9100000000000004E-3</v>
          </cell>
          <cell r="G370" t="str">
            <v>CNY</v>
          </cell>
          <cell r="H370" t="str">
            <v>84</v>
          </cell>
          <cell r="I370" t="str">
            <v>10,000.000</v>
          </cell>
          <cell r="J370" t="str">
            <v>10,000.000</v>
          </cell>
        </row>
        <row r="371">
          <cell r="D371">
            <v>10110018934</v>
          </cell>
          <cell r="E371" t="str">
            <v>深圳市超利维实业有限公司</v>
          </cell>
          <cell r="F371">
            <v>1.2999999999999999E-2</v>
          </cell>
          <cell r="G371" t="str">
            <v>CNY</v>
          </cell>
          <cell r="H371" t="str">
            <v>112</v>
          </cell>
          <cell r="I371" t="str">
            <v>10,000.000</v>
          </cell>
          <cell r="J371" t="str">
            <v>10,000.000</v>
          </cell>
        </row>
        <row r="372">
          <cell r="D372">
            <v>10110019073</v>
          </cell>
          <cell r="E372" t="str">
            <v>广东风华高新科技股份有限公司</v>
          </cell>
          <cell r="F372">
            <v>0.17799999999999999</v>
          </cell>
          <cell r="G372" t="str">
            <v>CNY</v>
          </cell>
          <cell r="H372" t="str">
            <v>56</v>
          </cell>
          <cell r="I372" t="str">
            <v>1,000.000</v>
          </cell>
          <cell r="J372" t="str">
            <v>1,000.000</v>
          </cell>
        </row>
        <row r="373">
          <cell r="D373">
            <v>10110019130</v>
          </cell>
          <cell r="E373" t="str">
            <v>潮州三环（集团）股份有限公司</v>
          </cell>
          <cell r="F373">
            <v>0.18</v>
          </cell>
          <cell r="G373" t="str">
            <v>CNY</v>
          </cell>
          <cell r="H373" t="str">
            <v>56</v>
          </cell>
          <cell r="I373" t="str">
            <v>1,000.000</v>
          </cell>
          <cell r="J373" t="str">
            <v>1,000.000</v>
          </cell>
        </row>
        <row r="374">
          <cell r="D374">
            <v>10110019208</v>
          </cell>
          <cell r="E374" t="str">
            <v>东莞华科电子有限公司</v>
          </cell>
          <cell r="F374">
            <v>0.12429999999999999</v>
          </cell>
          <cell r="G374" t="str">
            <v>CNY</v>
          </cell>
          <cell r="H374" t="str">
            <v>56</v>
          </cell>
          <cell r="I374" t="str">
            <v>10,000.000</v>
          </cell>
          <cell r="J374" t="str">
            <v>10,000.000</v>
          </cell>
        </row>
        <row r="375">
          <cell r="D375">
            <v>10110020767</v>
          </cell>
          <cell r="E375" t="str">
            <v>广东顺德集财电子有限公司</v>
          </cell>
          <cell r="F375">
            <v>5.5399999999999998E-2</v>
          </cell>
          <cell r="G375" t="str">
            <v>CNY</v>
          </cell>
          <cell r="H375" t="str">
            <v>84</v>
          </cell>
          <cell r="I375" t="str">
            <v>10,000.000</v>
          </cell>
          <cell r="J375" t="str">
            <v>10,000.000</v>
          </cell>
        </row>
        <row r="376">
          <cell r="D376">
            <v>10110022271</v>
          </cell>
          <cell r="E376" t="str">
            <v>六和电子（江西）有限公司</v>
          </cell>
          <cell r="F376">
            <v>0.26300000000000001</v>
          </cell>
          <cell r="G376" t="str">
            <v>CNY</v>
          </cell>
          <cell r="H376" t="str">
            <v>35</v>
          </cell>
          <cell r="I376" t="str">
            <v>4,000.000</v>
          </cell>
          <cell r="J376" t="str">
            <v>4,000.000</v>
          </cell>
        </row>
        <row r="377">
          <cell r="D377">
            <v>10110024666</v>
          </cell>
          <cell r="E377" t="str">
            <v>深圳市阳和通电子有限公司</v>
          </cell>
          <cell r="F377">
            <v>6.7000000000000004E-2</v>
          </cell>
          <cell r="G377" t="str">
            <v>CNY</v>
          </cell>
          <cell r="H377" t="str">
            <v>56</v>
          </cell>
          <cell r="I377" t="str">
            <v>2,000.000</v>
          </cell>
          <cell r="J377" t="str">
            <v>2,000.000</v>
          </cell>
        </row>
        <row r="378">
          <cell r="D378">
            <v>10110024693</v>
          </cell>
          <cell r="E378" t="str">
            <v>东莞昱新电子有限公司</v>
          </cell>
          <cell r="F378">
            <v>0.14535000000000001</v>
          </cell>
          <cell r="G378" t="str">
            <v>CNY</v>
          </cell>
          <cell r="H378" t="str">
            <v>20</v>
          </cell>
          <cell r="I378" t="str">
            <v>6,000.000</v>
          </cell>
          <cell r="J378" t="str">
            <v>600.000</v>
          </cell>
        </row>
        <row r="379">
          <cell r="D379">
            <v>10110027056</v>
          </cell>
          <cell r="E379" t="str">
            <v>安升电子（深圳）有限公司</v>
          </cell>
          <cell r="F379">
            <v>0.58199999999999996</v>
          </cell>
          <cell r="G379" t="str">
            <v>CNY</v>
          </cell>
          <cell r="H379" t="str">
            <v>112</v>
          </cell>
          <cell r="I379" t="str">
            <v>1,000.000</v>
          </cell>
          <cell r="J379" t="str">
            <v>1,000.000</v>
          </cell>
        </row>
        <row r="380">
          <cell r="D380">
            <v>10110027253</v>
          </cell>
          <cell r="E380" t="str">
            <v>广东风华高新科技股份有限公司</v>
          </cell>
          <cell r="F380">
            <v>1.6E-2</v>
          </cell>
          <cell r="G380" t="str">
            <v>CNY</v>
          </cell>
          <cell r="H380" t="str">
            <v>42</v>
          </cell>
          <cell r="I380" t="str">
            <v>10,000.000</v>
          </cell>
          <cell r="J380" t="str">
            <v>10,000.000</v>
          </cell>
        </row>
        <row r="381">
          <cell r="D381">
            <v>10120003513</v>
          </cell>
          <cell r="E381" t="str">
            <v>伍尔特(天津)电子有限公司</v>
          </cell>
          <cell r="F381">
            <v>1.52</v>
          </cell>
          <cell r="G381" t="str">
            <v>CNY</v>
          </cell>
          <cell r="H381" t="str">
            <v>70</v>
          </cell>
          <cell r="I381" t="str">
            <v>2,800.000</v>
          </cell>
          <cell r="J381" t="str">
            <v>700.000</v>
          </cell>
        </row>
        <row r="382">
          <cell r="D382">
            <v>10120003563</v>
          </cell>
          <cell r="E382" t="str">
            <v>武汉三乐益电子有限公司</v>
          </cell>
          <cell r="F382">
            <v>0.61760000000000004</v>
          </cell>
          <cell r="G382" t="str">
            <v>CNY</v>
          </cell>
          <cell r="H382" t="str">
            <v>50</v>
          </cell>
          <cell r="I382" t="str">
            <v>700.000</v>
          </cell>
          <cell r="J382" t="str">
            <v>700.000</v>
          </cell>
        </row>
        <row r="383">
          <cell r="D383">
            <v>10140000397</v>
          </cell>
          <cell r="E383" t="str">
            <v>深圳市合信昌科技有限公司</v>
          </cell>
          <cell r="F383">
            <v>7.4999999999999997E-2</v>
          </cell>
          <cell r="G383" t="str">
            <v>CNY</v>
          </cell>
          <cell r="H383" t="str">
            <v>60</v>
          </cell>
          <cell r="I383" t="str">
            <v>1,800.000</v>
          </cell>
          <cell r="J383" t="str">
            <v>1,800.000</v>
          </cell>
        </row>
        <row r="384">
          <cell r="D384">
            <v>10140002123</v>
          </cell>
          <cell r="E384" t="str">
            <v>利尔达科技集团股份有限公司</v>
          </cell>
          <cell r="F384">
            <v>3.4500000000000003E-2</v>
          </cell>
          <cell r="G384" t="str">
            <v>CNY</v>
          </cell>
          <cell r="H384" t="str">
            <v>84</v>
          </cell>
          <cell r="I384" t="str">
            <v>3,000.000</v>
          </cell>
          <cell r="J384" t="str">
            <v>3,000.000</v>
          </cell>
        </row>
        <row r="385">
          <cell r="D385">
            <v>10140002743</v>
          </cell>
          <cell r="E385" t="str">
            <v>深圳市驰顺科技有限公司</v>
          </cell>
          <cell r="F385">
            <v>0.04</v>
          </cell>
          <cell r="G385" t="str">
            <v>CNY</v>
          </cell>
          <cell r="H385" t="str">
            <v>84</v>
          </cell>
          <cell r="I385" t="str">
            <v>7,500.000</v>
          </cell>
          <cell r="J385" t="str">
            <v>7,500.000</v>
          </cell>
        </row>
        <row r="386">
          <cell r="D386">
            <v>10140003381</v>
          </cell>
          <cell r="E386" t="str">
            <v>深圳南丰电子股份有限公司</v>
          </cell>
          <cell r="F386">
            <v>3.3599999999999998E-2</v>
          </cell>
          <cell r="G386" t="str">
            <v>CNY</v>
          </cell>
          <cell r="H386" t="str">
            <v>70</v>
          </cell>
          <cell r="I386" t="str">
            <v>7,500.000</v>
          </cell>
          <cell r="J386" t="str">
            <v>7,500.000</v>
          </cell>
        </row>
        <row r="387">
          <cell r="D387">
            <v>10140006310</v>
          </cell>
          <cell r="E387" t="str">
            <v>深圳翰世宇科技有限公司</v>
          </cell>
          <cell r="F387">
            <v>0.05</v>
          </cell>
          <cell r="G387" t="str">
            <v>CNY</v>
          </cell>
          <cell r="H387" t="str">
            <v>60</v>
          </cell>
          <cell r="I387" t="str">
            <v>3,000.000</v>
          </cell>
          <cell r="J387" t="str">
            <v>3,000.000</v>
          </cell>
        </row>
        <row r="388">
          <cell r="D388">
            <v>10140009195</v>
          </cell>
          <cell r="E388" t="str">
            <v>深圳市铭祥达电子有限公司</v>
          </cell>
          <cell r="F388">
            <v>0.1105</v>
          </cell>
          <cell r="G388" t="str">
            <v>CNY</v>
          </cell>
          <cell r="H388" t="str">
            <v>98</v>
          </cell>
          <cell r="I388" t="str">
            <v>7,200.000</v>
          </cell>
          <cell r="J388" t="str">
            <v>1,800.000</v>
          </cell>
        </row>
        <row r="389">
          <cell r="D389">
            <v>10140012358</v>
          </cell>
          <cell r="E389" t="str">
            <v>东莞市意中半导体有限公司</v>
          </cell>
          <cell r="F389">
            <v>3.3000000000000002E-2</v>
          </cell>
          <cell r="G389" t="str">
            <v>CNY</v>
          </cell>
          <cell r="H389" t="str">
            <v>65</v>
          </cell>
          <cell r="I389" t="str">
            <v>5,000.000</v>
          </cell>
          <cell r="J389" t="str">
            <v>5,000.000</v>
          </cell>
        </row>
        <row r="390">
          <cell r="D390">
            <v>10150011020</v>
          </cell>
          <cell r="E390" t="str">
            <v>深圳市几度创想科技有限公司</v>
          </cell>
          <cell r="F390">
            <v>0.56999999999999995</v>
          </cell>
          <cell r="G390" t="str">
            <v>CNY</v>
          </cell>
          <cell r="H390" t="str">
            <v>56</v>
          </cell>
          <cell r="I390" t="str">
            <v>2,500.000</v>
          </cell>
          <cell r="J390" t="str">
            <v>2,500.000</v>
          </cell>
        </row>
        <row r="391">
          <cell r="D391">
            <v>10160006989</v>
          </cell>
          <cell r="E391" t="str">
            <v>浙江瑞丰光电有限公司</v>
          </cell>
          <cell r="F391">
            <v>4.8399999999999999E-2</v>
          </cell>
          <cell r="G391" t="str">
            <v>CNY</v>
          </cell>
          <cell r="H391" t="str">
            <v>28</v>
          </cell>
          <cell r="I391" t="str">
            <v>12,000.000</v>
          </cell>
          <cell r="J391" t="str">
            <v>12,000.000</v>
          </cell>
        </row>
        <row r="392">
          <cell r="D392">
            <v>10160007809</v>
          </cell>
          <cell r="E392" t="str">
            <v>广东长利光电科技有限公司</v>
          </cell>
          <cell r="F392">
            <v>2.5999999999999999E-2</v>
          </cell>
          <cell r="G392" t="str">
            <v>CNY</v>
          </cell>
          <cell r="H392" t="str">
            <v>17</v>
          </cell>
          <cell r="I392" t="str">
            <v>4,000.000</v>
          </cell>
          <cell r="J392" t="str">
            <v>4,000.000</v>
          </cell>
        </row>
        <row r="393">
          <cell r="D393">
            <v>10160007865</v>
          </cell>
          <cell r="E393" t="str">
            <v>广东长利光电科技有限公司</v>
          </cell>
          <cell r="F393">
            <v>2.75E-2</v>
          </cell>
          <cell r="G393" t="str">
            <v>CNY</v>
          </cell>
          <cell r="H393" t="str">
            <v>14</v>
          </cell>
          <cell r="I393" t="str">
            <v>4,000.000</v>
          </cell>
          <cell r="J393" t="str">
            <v>4,000.000</v>
          </cell>
        </row>
        <row r="394">
          <cell r="D394">
            <v>10190000675</v>
          </cell>
          <cell r="E394" t="str">
            <v>好利来（厦门）电路保护科技有限公司</v>
          </cell>
          <cell r="F394">
            <v>8.3000000000000004E-2</v>
          </cell>
          <cell r="G394" t="str">
            <v>CNY</v>
          </cell>
          <cell r="H394" t="str">
            <v>30</v>
          </cell>
          <cell r="I394" t="str">
            <v>1,000.000</v>
          </cell>
          <cell r="J394" t="str">
            <v>1,000.000</v>
          </cell>
        </row>
        <row r="395">
          <cell r="D395">
            <v>10190001176</v>
          </cell>
          <cell r="E395" t="str">
            <v>东莞市贝特电子科技股份有限公司</v>
          </cell>
          <cell r="F395">
            <v>9.5000000000000001E-2</v>
          </cell>
          <cell r="G395" t="str">
            <v>CNY</v>
          </cell>
          <cell r="H395" t="str">
            <v>30</v>
          </cell>
          <cell r="I395" t="str">
            <v>10,000.000</v>
          </cell>
          <cell r="J395" t="str">
            <v>1,000.000</v>
          </cell>
        </row>
        <row r="396">
          <cell r="D396">
            <v>10190002307</v>
          </cell>
          <cell r="E396" t="str">
            <v>深圳市惠而得实业有限公司</v>
          </cell>
          <cell r="F396">
            <v>0.16950000000000001</v>
          </cell>
          <cell r="G396" t="str">
            <v>CNY</v>
          </cell>
          <cell r="H396" t="str">
            <v>98</v>
          </cell>
          <cell r="I396" t="str">
            <v>1,400.000</v>
          </cell>
          <cell r="J396" t="str">
            <v>1,400.000</v>
          </cell>
        </row>
        <row r="397">
          <cell r="D397">
            <v>10100002122</v>
          </cell>
          <cell r="E397" t="str">
            <v>深圳市欧尔法电子有限公司</v>
          </cell>
          <cell r="F397">
            <v>4.7999999999999996E-3</v>
          </cell>
          <cell r="G397" t="str">
            <v>CNY</v>
          </cell>
          <cell r="H397" t="str">
            <v>84</v>
          </cell>
          <cell r="I397" t="str">
            <v>5,000.000</v>
          </cell>
          <cell r="J397" t="str">
            <v>5,000.000</v>
          </cell>
        </row>
        <row r="398">
          <cell r="D398">
            <v>10100002123</v>
          </cell>
          <cell r="E398" t="str">
            <v>广东风华高新科技股份有限公司</v>
          </cell>
          <cell r="F398">
            <v>3.7200000000000002E-3</v>
          </cell>
          <cell r="G398" t="str">
            <v>CNY</v>
          </cell>
          <cell r="H398" t="str">
            <v>56</v>
          </cell>
          <cell r="I398" t="str">
            <v>5,000.000</v>
          </cell>
          <cell r="J398" t="str">
            <v>5,000.000</v>
          </cell>
        </row>
        <row r="399">
          <cell r="D399">
            <v>10100002133</v>
          </cell>
          <cell r="E399" t="str">
            <v>广东风华高新科技股份有限公司</v>
          </cell>
          <cell r="F399">
            <v>3.7200000000000002E-3</v>
          </cell>
          <cell r="G399" t="str">
            <v>CNY</v>
          </cell>
          <cell r="H399" t="str">
            <v>56</v>
          </cell>
          <cell r="I399" t="str">
            <v>5,000.000</v>
          </cell>
          <cell r="J399" t="str">
            <v>5,000.000</v>
          </cell>
        </row>
        <row r="400">
          <cell r="D400">
            <v>10100002715</v>
          </cell>
          <cell r="E400" t="str">
            <v>深圳市欧尔法电子有限公司</v>
          </cell>
          <cell r="F400">
            <v>4.7999999999999996E-3</v>
          </cell>
          <cell r="G400" t="str">
            <v>CNY</v>
          </cell>
          <cell r="H400" t="str">
            <v>84</v>
          </cell>
          <cell r="I400" t="str">
            <v>5,000.000</v>
          </cell>
          <cell r="J400" t="str">
            <v>5,000.000</v>
          </cell>
        </row>
        <row r="401">
          <cell r="D401">
            <v>10100002752</v>
          </cell>
          <cell r="E401" t="str">
            <v>深圳市欧尔法电子有限公司</v>
          </cell>
          <cell r="F401">
            <v>4.7999999999999996E-3</v>
          </cell>
          <cell r="G401" t="str">
            <v>CNY</v>
          </cell>
          <cell r="H401" t="str">
            <v>84</v>
          </cell>
          <cell r="I401" t="str">
            <v>5,000.000</v>
          </cell>
          <cell r="J401" t="str">
            <v>5,000.000</v>
          </cell>
        </row>
        <row r="402">
          <cell r="D402">
            <v>10100003500</v>
          </cell>
          <cell r="E402" t="str">
            <v>深圳市超利维实业有限公司</v>
          </cell>
          <cell r="F402">
            <v>2.5999999999999999E-3</v>
          </cell>
          <cell r="G402" t="str">
            <v>CNY</v>
          </cell>
          <cell r="H402" t="str">
            <v>56</v>
          </cell>
          <cell r="I402" t="str">
            <v>5,000.000</v>
          </cell>
          <cell r="J402" t="str">
            <v>5,000.000</v>
          </cell>
        </row>
        <row r="403">
          <cell r="D403">
            <v>10100003511</v>
          </cell>
          <cell r="E403" t="str">
            <v>深圳市超利维实业有限公司</v>
          </cell>
          <cell r="F403">
            <v>8.0000000000000002E-3</v>
          </cell>
          <cell r="G403" t="str">
            <v>CNY</v>
          </cell>
          <cell r="H403" t="str">
            <v>56</v>
          </cell>
          <cell r="I403" t="str">
            <v>5,000.000</v>
          </cell>
          <cell r="J403" t="str">
            <v>5,000.000</v>
          </cell>
        </row>
        <row r="404">
          <cell r="D404">
            <v>10100004833</v>
          </cell>
          <cell r="E404" t="str">
            <v>东莞华科电子有限公司</v>
          </cell>
          <cell r="F404">
            <v>3.8800000000000002E-3</v>
          </cell>
          <cell r="G404" t="str">
            <v>CNY</v>
          </cell>
          <cell r="H404" t="str">
            <v>56</v>
          </cell>
          <cell r="I404" t="str">
            <v>5,000.000</v>
          </cell>
          <cell r="J404" t="str">
            <v>5,000.000</v>
          </cell>
        </row>
        <row r="405">
          <cell r="D405">
            <v>10100005487</v>
          </cell>
          <cell r="E405" t="str">
            <v>厚声国际贸易（昆山）有限公司</v>
          </cell>
          <cell r="F405">
            <v>3.8E-3</v>
          </cell>
          <cell r="G405" t="str">
            <v>CNY</v>
          </cell>
          <cell r="H405" t="str">
            <v>56</v>
          </cell>
          <cell r="I405" t="str">
            <v>5,000.000</v>
          </cell>
          <cell r="J405" t="str">
            <v>5,000.000</v>
          </cell>
        </row>
        <row r="406">
          <cell r="D406">
            <v>10100005503</v>
          </cell>
          <cell r="E406" t="str">
            <v>厚声国际贸易（昆山）有限公司</v>
          </cell>
          <cell r="F406">
            <v>3.8E-3</v>
          </cell>
          <cell r="G406" t="str">
            <v>CNY</v>
          </cell>
          <cell r="H406" t="str">
            <v>56</v>
          </cell>
          <cell r="I406" t="str">
            <v>5,000.000</v>
          </cell>
          <cell r="J406" t="str">
            <v>5,000.000</v>
          </cell>
        </row>
        <row r="407">
          <cell r="D407">
            <v>10100005703</v>
          </cell>
          <cell r="E407" t="str">
            <v>深圳市超利维实业有限公司</v>
          </cell>
          <cell r="F407">
            <v>1.4E-3</v>
          </cell>
          <cell r="G407" t="str">
            <v>CNY</v>
          </cell>
          <cell r="H407" t="str">
            <v>56</v>
          </cell>
          <cell r="I407" t="str">
            <v>10,000.000</v>
          </cell>
          <cell r="J407" t="str">
            <v>10,000.000</v>
          </cell>
        </row>
        <row r="408">
          <cell r="D408">
            <v>10100005718</v>
          </cell>
          <cell r="E408" t="str">
            <v>广东风华高新科技股份有限公司</v>
          </cell>
          <cell r="F408">
            <v>1.1000000000000001E-3</v>
          </cell>
          <cell r="G408" t="str">
            <v>CNY</v>
          </cell>
          <cell r="H408" t="str">
            <v>56</v>
          </cell>
          <cell r="I408" t="str">
            <v>10,000.000</v>
          </cell>
          <cell r="J408" t="str">
            <v>10,000.000</v>
          </cell>
        </row>
        <row r="409">
          <cell r="D409">
            <v>10100005795</v>
          </cell>
          <cell r="E409" t="str">
            <v>广东风华高新科技股份有限公司</v>
          </cell>
          <cell r="F409">
            <v>1.1000000000000001E-3</v>
          </cell>
          <cell r="G409" t="str">
            <v>CNY</v>
          </cell>
          <cell r="H409" t="str">
            <v>56</v>
          </cell>
          <cell r="I409" t="str">
            <v>10,000.000</v>
          </cell>
          <cell r="J409" t="str">
            <v>10,000.000</v>
          </cell>
        </row>
        <row r="410">
          <cell r="D410">
            <v>10100006398</v>
          </cell>
          <cell r="E410" t="str">
            <v>广东风华高新科技股份有限公司</v>
          </cell>
          <cell r="F410">
            <v>6.3699999999999998E-3</v>
          </cell>
          <cell r="G410" t="str">
            <v>CNY</v>
          </cell>
          <cell r="H410" t="str">
            <v>70</v>
          </cell>
          <cell r="I410" t="str">
            <v>5,000.000</v>
          </cell>
          <cell r="J410" t="str">
            <v>5,000.000</v>
          </cell>
        </row>
        <row r="411">
          <cell r="D411">
            <v>10100006507</v>
          </cell>
          <cell r="E411" t="str">
            <v>广东风华高新科技股份有限公司</v>
          </cell>
          <cell r="F411">
            <v>2.0799999999999998E-3</v>
          </cell>
          <cell r="G411" t="str">
            <v>CNY</v>
          </cell>
          <cell r="H411" t="str">
            <v>56</v>
          </cell>
          <cell r="I411" t="str">
            <v>5,000.000</v>
          </cell>
          <cell r="J411" t="str">
            <v>5,000.000</v>
          </cell>
        </row>
        <row r="412">
          <cell r="D412">
            <v>10100006625</v>
          </cell>
          <cell r="E412" t="str">
            <v>广东风华高新科技股份有限公司</v>
          </cell>
          <cell r="F412">
            <v>3.7599999999999999E-3</v>
          </cell>
          <cell r="G412" t="str">
            <v>CNY</v>
          </cell>
          <cell r="H412" t="str">
            <v>56</v>
          </cell>
          <cell r="I412" t="str">
            <v>5,000.000</v>
          </cell>
          <cell r="J412" t="str">
            <v>5,000.000</v>
          </cell>
        </row>
        <row r="413">
          <cell r="D413">
            <v>10100006627</v>
          </cell>
          <cell r="E413" t="str">
            <v>广东风华高新科技股份有限公司</v>
          </cell>
          <cell r="F413">
            <v>3.7200000000000002E-3</v>
          </cell>
          <cell r="G413" t="str">
            <v>CNY</v>
          </cell>
          <cell r="H413" t="str">
            <v>56</v>
          </cell>
          <cell r="I413" t="str">
            <v>5,000.000</v>
          </cell>
          <cell r="J413" t="str">
            <v>5,000.000</v>
          </cell>
        </row>
        <row r="414">
          <cell r="D414">
            <v>10100006711</v>
          </cell>
          <cell r="E414" t="str">
            <v>东莞华科电子有限公司</v>
          </cell>
          <cell r="F414">
            <v>1.17E-3</v>
          </cell>
          <cell r="G414" t="str">
            <v>CNY</v>
          </cell>
          <cell r="H414" t="str">
            <v>56</v>
          </cell>
          <cell r="I414" t="str">
            <v>10,000.000</v>
          </cell>
          <cell r="J414" t="str">
            <v>10,000.000</v>
          </cell>
        </row>
        <row r="415">
          <cell r="D415">
            <v>10100006845</v>
          </cell>
          <cell r="E415" t="str">
            <v>东莞华科电子有限公司</v>
          </cell>
          <cell r="F415">
            <v>2.2200000000000002E-3</v>
          </cell>
          <cell r="G415" t="str">
            <v>CNY</v>
          </cell>
          <cell r="H415" t="str">
            <v>56</v>
          </cell>
          <cell r="I415" t="str">
            <v>5,000.000</v>
          </cell>
          <cell r="J415" t="str">
            <v>5,000.000</v>
          </cell>
        </row>
        <row r="416">
          <cell r="D416">
            <v>10100007109</v>
          </cell>
          <cell r="E416" t="str">
            <v>东莞华科电子有限公司</v>
          </cell>
          <cell r="F416">
            <v>4.15E-3</v>
          </cell>
          <cell r="G416" t="str">
            <v>CNY</v>
          </cell>
          <cell r="H416" t="str">
            <v>56</v>
          </cell>
          <cell r="I416" t="str">
            <v>5,000.000</v>
          </cell>
          <cell r="J416" t="str">
            <v>5,000.000</v>
          </cell>
        </row>
        <row r="417">
          <cell r="D417">
            <v>10100007109</v>
          </cell>
          <cell r="E417" t="str">
            <v>东莞华科电子有限公司</v>
          </cell>
          <cell r="F417">
            <v>3.8800000000000002E-3</v>
          </cell>
          <cell r="G417" t="str">
            <v>CNY</v>
          </cell>
          <cell r="H417" t="str">
            <v>56</v>
          </cell>
          <cell r="I417" t="str">
            <v>5,000.000</v>
          </cell>
          <cell r="J417" t="str">
            <v>5,000.000</v>
          </cell>
        </row>
        <row r="418">
          <cell r="D418">
            <v>10100007120</v>
          </cell>
          <cell r="E418" t="str">
            <v>东莞华科电子有限公司</v>
          </cell>
          <cell r="F418">
            <v>3.8800000000000002E-3</v>
          </cell>
          <cell r="G418" t="str">
            <v>CNY</v>
          </cell>
          <cell r="H418" t="str">
            <v>84</v>
          </cell>
          <cell r="I418" t="str">
            <v>5,000.000</v>
          </cell>
          <cell r="J418" t="str">
            <v>5,000.000</v>
          </cell>
        </row>
        <row r="419">
          <cell r="D419">
            <v>10100007174</v>
          </cell>
          <cell r="E419" t="str">
            <v>东莞华科电子有限公司</v>
          </cell>
          <cell r="F419">
            <v>6.9499999999999996E-3</v>
          </cell>
          <cell r="G419" t="str">
            <v>CNY</v>
          </cell>
          <cell r="H419" t="str">
            <v>70</v>
          </cell>
          <cell r="I419" t="str">
            <v>5,000.000</v>
          </cell>
          <cell r="J419" t="str">
            <v>5,000.000</v>
          </cell>
        </row>
        <row r="420">
          <cell r="D420">
            <v>10100007615</v>
          </cell>
          <cell r="E420" t="str">
            <v>深圳市超利维实业有限公司</v>
          </cell>
          <cell r="F420">
            <v>1.4E-3</v>
          </cell>
          <cell r="G420" t="str">
            <v>CNY</v>
          </cell>
          <cell r="H420" t="str">
            <v>56</v>
          </cell>
          <cell r="I420" t="str">
            <v>10,000.000</v>
          </cell>
          <cell r="J420" t="str">
            <v>10,000.000</v>
          </cell>
        </row>
        <row r="421">
          <cell r="D421">
            <v>10100007852</v>
          </cell>
          <cell r="E421" t="str">
            <v>深圳市超利维实业有限公司</v>
          </cell>
          <cell r="F421">
            <v>8.0000000000000002E-3</v>
          </cell>
          <cell r="G421" t="str">
            <v>CNY</v>
          </cell>
          <cell r="H421" t="str">
            <v>56</v>
          </cell>
          <cell r="I421" t="str">
            <v>5,000.000</v>
          </cell>
          <cell r="J421" t="str">
            <v>5,000.000</v>
          </cell>
        </row>
        <row r="422">
          <cell r="D422">
            <v>10100008057</v>
          </cell>
          <cell r="E422" t="str">
            <v>广东风华高新科技股份有限公司</v>
          </cell>
          <cell r="F422">
            <v>1.1000000000000001E-3</v>
          </cell>
          <cell r="G422" t="str">
            <v>CNY</v>
          </cell>
          <cell r="H422" t="str">
            <v>56</v>
          </cell>
          <cell r="I422" t="str">
            <v>10,000.000</v>
          </cell>
          <cell r="J422" t="str">
            <v>10,000.000</v>
          </cell>
        </row>
        <row r="423">
          <cell r="D423">
            <v>10100008069</v>
          </cell>
          <cell r="E423" t="str">
            <v>东莞华科电子有限公司</v>
          </cell>
          <cell r="F423">
            <v>1.17E-3</v>
          </cell>
          <cell r="G423" t="str">
            <v>CNY</v>
          </cell>
          <cell r="H423" t="str">
            <v>56</v>
          </cell>
          <cell r="I423" t="str">
            <v>10,000.000</v>
          </cell>
          <cell r="J423" t="str">
            <v>10,000.000</v>
          </cell>
        </row>
        <row r="424">
          <cell r="D424">
            <v>10100008075</v>
          </cell>
          <cell r="E424" t="str">
            <v>深圳市超利维实业有限公司</v>
          </cell>
          <cell r="F424">
            <v>1.4E-3</v>
          </cell>
          <cell r="G424" t="str">
            <v>CNY</v>
          </cell>
          <cell r="H424" t="str">
            <v>56</v>
          </cell>
          <cell r="I424" t="str">
            <v>10,000.000</v>
          </cell>
          <cell r="J424" t="str">
            <v>10,000.000</v>
          </cell>
        </row>
        <row r="425">
          <cell r="D425">
            <v>10100008302</v>
          </cell>
          <cell r="E425" t="str">
            <v>东莞华科电子有限公司</v>
          </cell>
          <cell r="F425">
            <v>1.17E-3</v>
          </cell>
          <cell r="G425" t="str">
            <v>CNY</v>
          </cell>
          <cell r="H425" t="str">
            <v>56</v>
          </cell>
          <cell r="I425" t="str">
            <v>10,000.000</v>
          </cell>
          <cell r="J425" t="str">
            <v>10,000.000</v>
          </cell>
        </row>
        <row r="426">
          <cell r="D426">
            <v>10100008735</v>
          </cell>
          <cell r="E426" t="str">
            <v>广东风华高新科技股份有限公司</v>
          </cell>
          <cell r="F426">
            <v>1.1000000000000001E-3</v>
          </cell>
          <cell r="G426" t="str">
            <v>CNY</v>
          </cell>
          <cell r="H426" t="str">
            <v>56</v>
          </cell>
          <cell r="I426" t="str">
            <v>10,000.000</v>
          </cell>
          <cell r="J426" t="str">
            <v>10,000.000</v>
          </cell>
        </row>
        <row r="427">
          <cell r="D427">
            <v>10100008807</v>
          </cell>
          <cell r="E427" t="str">
            <v>东莞华科电子有限公司</v>
          </cell>
          <cell r="F427">
            <v>1.17E-3</v>
          </cell>
          <cell r="G427" t="str">
            <v>CNY</v>
          </cell>
          <cell r="H427" t="str">
            <v>56</v>
          </cell>
          <cell r="I427" t="str">
            <v>10,000.000</v>
          </cell>
          <cell r="J427" t="str">
            <v>10,000.000</v>
          </cell>
        </row>
        <row r="428">
          <cell r="D428">
            <v>10100008809</v>
          </cell>
          <cell r="E428" t="str">
            <v>广东风华高新科技股份有限公司</v>
          </cell>
          <cell r="F428">
            <v>1.1000000000000001E-3</v>
          </cell>
          <cell r="G428" t="str">
            <v>CNY</v>
          </cell>
          <cell r="H428" t="str">
            <v>56</v>
          </cell>
          <cell r="I428" t="str">
            <v>10,000.000</v>
          </cell>
          <cell r="J428" t="str">
            <v>10,000.000</v>
          </cell>
        </row>
        <row r="429">
          <cell r="D429">
            <v>10100008827</v>
          </cell>
          <cell r="E429" t="str">
            <v>东莞华科电子有限公司</v>
          </cell>
          <cell r="F429">
            <v>1.17E-3</v>
          </cell>
          <cell r="G429" t="str">
            <v>CNY</v>
          </cell>
          <cell r="H429" t="str">
            <v>56</v>
          </cell>
          <cell r="I429" t="str">
            <v>10,000.000</v>
          </cell>
          <cell r="J429" t="str">
            <v>10,000.000</v>
          </cell>
        </row>
        <row r="430">
          <cell r="D430">
            <v>10100008830</v>
          </cell>
          <cell r="E430" t="str">
            <v>厦门信和达电子有限公司</v>
          </cell>
          <cell r="F430">
            <v>1.4499999999999999E-3</v>
          </cell>
          <cell r="G430" t="str">
            <v>CNY</v>
          </cell>
          <cell r="H430" t="str">
            <v>56</v>
          </cell>
          <cell r="I430" t="str">
            <v>10,000.000</v>
          </cell>
          <cell r="J430" t="str">
            <v>10,000.000</v>
          </cell>
        </row>
        <row r="431">
          <cell r="D431">
            <v>10100009092</v>
          </cell>
          <cell r="E431" t="str">
            <v>深圳市奥特高科电子有限公司</v>
          </cell>
          <cell r="F431">
            <v>1.2999999999999999E-3</v>
          </cell>
          <cell r="G431" t="str">
            <v>CNY</v>
          </cell>
          <cell r="H431" t="str">
            <v>56</v>
          </cell>
          <cell r="I431" t="str">
            <v>10,000.000</v>
          </cell>
          <cell r="J431" t="str">
            <v>10,000.000</v>
          </cell>
        </row>
        <row r="432">
          <cell r="D432">
            <v>10100009093</v>
          </cell>
          <cell r="E432" t="str">
            <v>东莞华科电子有限公司</v>
          </cell>
          <cell r="F432">
            <v>1.17E-3</v>
          </cell>
          <cell r="G432" t="str">
            <v>CNY</v>
          </cell>
          <cell r="H432" t="str">
            <v>56</v>
          </cell>
          <cell r="I432" t="str">
            <v>10,000.000</v>
          </cell>
          <cell r="J432" t="str">
            <v>10,000.000</v>
          </cell>
        </row>
        <row r="433">
          <cell r="D433">
            <v>10100009721</v>
          </cell>
          <cell r="E433" t="str">
            <v>深圳市超利维实业有限公司</v>
          </cell>
          <cell r="F433">
            <v>1.4E-3</v>
          </cell>
          <cell r="G433" t="str">
            <v>CNY</v>
          </cell>
          <cell r="H433" t="str">
            <v>56</v>
          </cell>
          <cell r="I433" t="str">
            <v>10,000.000</v>
          </cell>
          <cell r="J433" t="str">
            <v>10,000.000</v>
          </cell>
        </row>
        <row r="434">
          <cell r="D434">
            <v>10100009722</v>
          </cell>
          <cell r="E434" t="str">
            <v>东莞华科电子有限公司</v>
          </cell>
          <cell r="F434">
            <v>1.17E-3</v>
          </cell>
          <cell r="G434" t="str">
            <v>CNY</v>
          </cell>
          <cell r="H434" t="str">
            <v>56</v>
          </cell>
          <cell r="I434" t="str">
            <v>10,000.000</v>
          </cell>
          <cell r="J434" t="str">
            <v>10,000.000</v>
          </cell>
        </row>
        <row r="435">
          <cell r="D435">
            <v>10100009838</v>
          </cell>
          <cell r="E435" t="str">
            <v>厚声国际贸易（昆山）有限公司</v>
          </cell>
          <cell r="F435">
            <v>1.09E-3</v>
          </cell>
          <cell r="G435" t="str">
            <v>CNY</v>
          </cell>
          <cell r="H435" t="str">
            <v>56</v>
          </cell>
          <cell r="I435" t="str">
            <v>10,000.000</v>
          </cell>
          <cell r="J435" t="str">
            <v>10,000.000</v>
          </cell>
        </row>
        <row r="436">
          <cell r="D436">
            <v>10100009843</v>
          </cell>
          <cell r="E436" t="str">
            <v>深圳市超利维实业有限公司</v>
          </cell>
          <cell r="F436">
            <v>1.4E-3</v>
          </cell>
          <cell r="G436" t="str">
            <v>CNY</v>
          </cell>
          <cell r="H436" t="str">
            <v>56</v>
          </cell>
          <cell r="I436" t="str">
            <v>10,000.000</v>
          </cell>
          <cell r="J436" t="str">
            <v>10,000.000</v>
          </cell>
        </row>
        <row r="437">
          <cell r="D437">
            <v>10100010045</v>
          </cell>
          <cell r="E437" t="str">
            <v>东莞华科电子有限公司</v>
          </cell>
          <cell r="F437">
            <v>1.17E-3</v>
          </cell>
          <cell r="G437" t="str">
            <v>CNY</v>
          </cell>
          <cell r="H437" t="str">
            <v>56</v>
          </cell>
          <cell r="I437" t="str">
            <v>10,000.000</v>
          </cell>
          <cell r="J437" t="str">
            <v>10,000.000</v>
          </cell>
        </row>
        <row r="438">
          <cell r="D438">
            <v>10100010325</v>
          </cell>
          <cell r="E438" t="str">
            <v>厚声国际贸易（昆山）有限公司</v>
          </cell>
          <cell r="F438">
            <v>3.8E-3</v>
          </cell>
          <cell r="G438" t="str">
            <v>CNY</v>
          </cell>
          <cell r="H438" t="str">
            <v>56</v>
          </cell>
          <cell r="I438" t="str">
            <v>5,000.000</v>
          </cell>
          <cell r="J438" t="str">
            <v>5,000.000</v>
          </cell>
        </row>
        <row r="439">
          <cell r="D439">
            <v>10100011090</v>
          </cell>
          <cell r="E439" t="str">
            <v>厚声国际贸易（昆山）有限公司</v>
          </cell>
          <cell r="F439">
            <v>2.0999999999999999E-3</v>
          </cell>
          <cell r="G439" t="str">
            <v>CNY</v>
          </cell>
          <cell r="H439" t="str">
            <v>56</v>
          </cell>
          <cell r="I439" t="str">
            <v>5,000.000</v>
          </cell>
          <cell r="J439" t="str">
            <v>5,000.000</v>
          </cell>
        </row>
        <row r="440">
          <cell r="D440">
            <v>10100011096</v>
          </cell>
          <cell r="E440" t="str">
            <v>厚声国际贸易（昆山）有限公司</v>
          </cell>
          <cell r="F440">
            <v>6.7799999999999996E-3</v>
          </cell>
          <cell r="G440" t="str">
            <v>CNY</v>
          </cell>
          <cell r="H440" t="str">
            <v>56</v>
          </cell>
          <cell r="I440" t="str">
            <v>5,000.000</v>
          </cell>
          <cell r="J440" t="str">
            <v>5,000.000</v>
          </cell>
        </row>
        <row r="441">
          <cell r="D441">
            <v>10100011343</v>
          </cell>
          <cell r="E441" t="str">
            <v>东莞华科电子有限公司</v>
          </cell>
          <cell r="F441">
            <v>1.17E-3</v>
          </cell>
          <cell r="G441" t="str">
            <v>CNY</v>
          </cell>
          <cell r="H441" t="str">
            <v>56</v>
          </cell>
          <cell r="I441" t="str">
            <v>10,000.000</v>
          </cell>
          <cell r="J441" t="str">
            <v>10,000.000</v>
          </cell>
        </row>
        <row r="442">
          <cell r="D442">
            <v>10100011621</v>
          </cell>
          <cell r="E442" t="str">
            <v>广东风华高新科技股份有限公司</v>
          </cell>
          <cell r="F442">
            <v>1.1000000000000001E-3</v>
          </cell>
          <cell r="G442" t="str">
            <v>CNY</v>
          </cell>
          <cell r="H442" t="str">
            <v>56</v>
          </cell>
          <cell r="I442" t="str">
            <v>10,000.000</v>
          </cell>
          <cell r="J442" t="str">
            <v>10,000.000</v>
          </cell>
        </row>
        <row r="443">
          <cell r="D443">
            <v>10100011726</v>
          </cell>
          <cell r="E443" t="str">
            <v>厦门信和达电子有限公司</v>
          </cell>
          <cell r="F443">
            <v>1.4E-3</v>
          </cell>
          <cell r="G443" t="str">
            <v>CNY</v>
          </cell>
          <cell r="H443" t="str">
            <v>56</v>
          </cell>
          <cell r="I443" t="str">
            <v>10,000.000</v>
          </cell>
          <cell r="J443" t="str">
            <v>10,000.000</v>
          </cell>
        </row>
        <row r="444">
          <cell r="D444">
            <v>10100011886</v>
          </cell>
          <cell r="E444" t="str">
            <v>厚声国际贸易（昆山）有限公司</v>
          </cell>
          <cell r="F444">
            <v>1.09E-3</v>
          </cell>
          <cell r="G444" t="str">
            <v>CNY</v>
          </cell>
          <cell r="H444" t="str">
            <v>56</v>
          </cell>
          <cell r="I444" t="str">
            <v>10,000.000</v>
          </cell>
          <cell r="J444" t="str">
            <v>10,000.000</v>
          </cell>
        </row>
        <row r="445">
          <cell r="D445">
            <v>10100011993</v>
          </cell>
          <cell r="E445" t="str">
            <v>广东风华高新科技股份有限公司</v>
          </cell>
          <cell r="F445">
            <v>1.1000000000000001E-3</v>
          </cell>
          <cell r="G445" t="str">
            <v>CNY</v>
          </cell>
          <cell r="H445" t="str">
            <v>56</v>
          </cell>
          <cell r="I445" t="str">
            <v>10,000.000</v>
          </cell>
          <cell r="J445" t="str">
            <v>10,000.000</v>
          </cell>
        </row>
        <row r="446">
          <cell r="D446">
            <v>10100011996</v>
          </cell>
          <cell r="E446" t="str">
            <v>广东风华高新科技股份有限公司</v>
          </cell>
          <cell r="F446">
            <v>1.1000000000000001E-3</v>
          </cell>
          <cell r="G446" t="str">
            <v>CNY</v>
          </cell>
          <cell r="H446" t="str">
            <v>56</v>
          </cell>
          <cell r="I446" t="str">
            <v>10,000.000</v>
          </cell>
          <cell r="J446" t="str">
            <v>10,000.000</v>
          </cell>
        </row>
        <row r="447">
          <cell r="D447">
            <v>10100013040</v>
          </cell>
          <cell r="E447" t="str">
            <v>厚声国际贸易（昆山）有限公司</v>
          </cell>
          <cell r="F447">
            <v>1.09E-3</v>
          </cell>
          <cell r="G447" t="str">
            <v>CNY</v>
          </cell>
          <cell r="H447" t="str">
            <v>56</v>
          </cell>
          <cell r="I447" t="str">
            <v>10,000.000</v>
          </cell>
          <cell r="J447" t="str">
            <v>10,000.000</v>
          </cell>
        </row>
        <row r="448">
          <cell r="D448">
            <v>10100013093</v>
          </cell>
          <cell r="E448" t="str">
            <v>厚声国际贸易（昆山）有限公司</v>
          </cell>
          <cell r="F448">
            <v>1.09E-3</v>
          </cell>
          <cell r="G448" t="str">
            <v>CNY</v>
          </cell>
          <cell r="H448" t="str">
            <v>56</v>
          </cell>
          <cell r="I448" t="str">
            <v>10,000.000</v>
          </cell>
          <cell r="J448" t="str">
            <v>10,000.000</v>
          </cell>
        </row>
        <row r="449">
          <cell r="D449">
            <v>10100013936</v>
          </cell>
          <cell r="E449" t="str">
            <v>广东风华高新科技股份有限公司</v>
          </cell>
          <cell r="F449">
            <v>1.1000000000000001E-3</v>
          </cell>
          <cell r="G449" t="str">
            <v>CNY</v>
          </cell>
          <cell r="H449" t="str">
            <v>56</v>
          </cell>
          <cell r="I449" t="str">
            <v>10,000.000</v>
          </cell>
          <cell r="J449" t="str">
            <v>10,000.000</v>
          </cell>
        </row>
        <row r="450">
          <cell r="D450">
            <v>10100014263</v>
          </cell>
          <cell r="E450" t="str">
            <v>深圳市超利维实业有限公司</v>
          </cell>
          <cell r="F450">
            <v>1.4E-3</v>
          </cell>
          <cell r="G450" t="str">
            <v>CNY</v>
          </cell>
          <cell r="H450" t="str">
            <v>56</v>
          </cell>
          <cell r="I450" t="str">
            <v>10,000.000</v>
          </cell>
          <cell r="J450" t="str">
            <v>10,000.000</v>
          </cell>
        </row>
        <row r="451">
          <cell r="D451">
            <v>10100014304</v>
          </cell>
          <cell r="E451" t="str">
            <v>东莞华科电子有限公司</v>
          </cell>
          <cell r="F451">
            <v>6.9499999999999996E-3</v>
          </cell>
          <cell r="G451" t="str">
            <v>CNY</v>
          </cell>
          <cell r="H451" t="str">
            <v>70</v>
          </cell>
          <cell r="I451" t="str">
            <v>5,000.000</v>
          </cell>
          <cell r="J451" t="str">
            <v>5,000.000</v>
          </cell>
        </row>
        <row r="452">
          <cell r="D452">
            <v>10100014735</v>
          </cell>
          <cell r="E452" t="str">
            <v>厚声国际贸易（昆山）有限公司</v>
          </cell>
          <cell r="F452">
            <v>1.09E-3</v>
          </cell>
          <cell r="G452" t="str">
            <v>CNY</v>
          </cell>
          <cell r="H452" t="str">
            <v>56</v>
          </cell>
          <cell r="I452" t="str">
            <v>10,000.000</v>
          </cell>
          <cell r="J452" t="str">
            <v>10,000.000</v>
          </cell>
        </row>
        <row r="453">
          <cell r="D453">
            <v>10100015676</v>
          </cell>
          <cell r="E453" t="str">
            <v>厚声国际贸易（昆山）有限公司</v>
          </cell>
          <cell r="F453">
            <v>1.09E-3</v>
          </cell>
          <cell r="G453" t="str">
            <v>CNY</v>
          </cell>
          <cell r="H453" t="str">
            <v>56</v>
          </cell>
          <cell r="I453" t="str">
            <v>10,000.000</v>
          </cell>
          <cell r="J453" t="str">
            <v>10,000.000</v>
          </cell>
        </row>
        <row r="454">
          <cell r="D454">
            <v>10100016358</v>
          </cell>
          <cell r="E454" t="str">
            <v>深圳市超利维实业有限公司</v>
          </cell>
          <cell r="F454">
            <v>1.4E-3</v>
          </cell>
          <cell r="G454" t="str">
            <v>CNY</v>
          </cell>
          <cell r="H454" t="str">
            <v>56</v>
          </cell>
          <cell r="I454" t="str">
            <v>10,000.000</v>
          </cell>
          <cell r="J454" t="str">
            <v>10,000.000</v>
          </cell>
        </row>
        <row r="455">
          <cell r="D455">
            <v>10100017206</v>
          </cell>
          <cell r="E455" t="str">
            <v>厚声国际贸易（昆山）有限公司</v>
          </cell>
          <cell r="F455">
            <v>6.7799999999999996E-3</v>
          </cell>
          <cell r="G455" t="str">
            <v>CNY</v>
          </cell>
          <cell r="H455" t="str">
            <v>56</v>
          </cell>
          <cell r="I455" t="str">
            <v>5,000.000</v>
          </cell>
          <cell r="J455" t="str">
            <v>5,000.000</v>
          </cell>
        </row>
        <row r="456">
          <cell r="D456">
            <v>10100017335</v>
          </cell>
          <cell r="E456" t="str">
            <v>厚声国际贸易（昆山）有限公司</v>
          </cell>
          <cell r="F456">
            <v>1.09E-3</v>
          </cell>
          <cell r="G456" t="str">
            <v>CNY</v>
          </cell>
          <cell r="H456" t="str">
            <v>56</v>
          </cell>
          <cell r="I456" t="str">
            <v>10,000.000</v>
          </cell>
          <cell r="J456" t="str">
            <v>10,000.000</v>
          </cell>
        </row>
        <row r="457">
          <cell r="D457">
            <v>10100017616</v>
          </cell>
          <cell r="E457" t="str">
            <v>恒辉电阻（益阳）有限公司</v>
          </cell>
          <cell r="F457">
            <v>9.7999999999999997E-4</v>
          </cell>
          <cell r="G457" t="str">
            <v>CNY</v>
          </cell>
          <cell r="H457" t="str">
            <v>56</v>
          </cell>
          <cell r="I457" t="str">
            <v>10,000.000</v>
          </cell>
          <cell r="J457" t="str">
            <v>10,000.000</v>
          </cell>
        </row>
        <row r="458">
          <cell r="D458">
            <v>10100017618</v>
          </cell>
          <cell r="E458" t="str">
            <v>恒辉电阻（益阳）有限公司</v>
          </cell>
          <cell r="F458">
            <v>9.7999999999999997E-4</v>
          </cell>
          <cell r="G458" t="str">
            <v>CNY</v>
          </cell>
          <cell r="H458" t="str">
            <v>56</v>
          </cell>
          <cell r="I458" t="str">
            <v>10,000.000</v>
          </cell>
          <cell r="J458" t="str">
            <v>10,000.000</v>
          </cell>
        </row>
        <row r="459">
          <cell r="D459">
            <v>10100017642</v>
          </cell>
          <cell r="E459" t="str">
            <v>恒辉电阻（益阳）有限公司</v>
          </cell>
          <cell r="F459">
            <v>9.7999999999999997E-4</v>
          </cell>
          <cell r="G459" t="str">
            <v>CNY</v>
          </cell>
          <cell r="H459" t="str">
            <v>56</v>
          </cell>
          <cell r="I459" t="str">
            <v>10,000.000</v>
          </cell>
          <cell r="J459" t="str">
            <v>10,000.000</v>
          </cell>
        </row>
        <row r="460">
          <cell r="D460">
            <v>10100017664</v>
          </cell>
          <cell r="E460" t="str">
            <v>恒辉电阻（益阳）有限公司</v>
          </cell>
          <cell r="F460">
            <v>9.7999999999999997E-4</v>
          </cell>
          <cell r="G460" t="str">
            <v>CNY</v>
          </cell>
          <cell r="H460" t="str">
            <v>56</v>
          </cell>
          <cell r="I460" t="str">
            <v>10,000.000</v>
          </cell>
          <cell r="J460" t="str">
            <v>10,000.000</v>
          </cell>
        </row>
        <row r="461">
          <cell r="D461">
            <v>10100017738</v>
          </cell>
          <cell r="E461" t="str">
            <v>恒辉电阻（益阳）有限公司</v>
          </cell>
          <cell r="F461">
            <v>9.7999999999999997E-4</v>
          </cell>
          <cell r="G461" t="str">
            <v>CNY</v>
          </cell>
          <cell r="H461" t="str">
            <v>56</v>
          </cell>
          <cell r="I461" t="str">
            <v>10,000.000</v>
          </cell>
          <cell r="J461" t="str">
            <v>10,000.000</v>
          </cell>
        </row>
        <row r="462">
          <cell r="D462">
            <v>10100017970</v>
          </cell>
          <cell r="E462" t="str">
            <v>恒辉电阻（益阳）有限公司</v>
          </cell>
          <cell r="F462">
            <v>1.8500000000000001E-3</v>
          </cell>
          <cell r="G462" t="str">
            <v>CNY</v>
          </cell>
          <cell r="H462" t="str">
            <v>42</v>
          </cell>
          <cell r="I462" t="str">
            <v>5,000.000</v>
          </cell>
          <cell r="J462" t="str">
            <v>5,000.000</v>
          </cell>
        </row>
        <row r="463">
          <cell r="D463">
            <v>10100018109</v>
          </cell>
          <cell r="E463" t="str">
            <v>恒辉电阻（益阳）有限公司</v>
          </cell>
          <cell r="F463">
            <v>3.3500000000000001E-3</v>
          </cell>
          <cell r="G463" t="str">
            <v>CNY</v>
          </cell>
          <cell r="H463" t="str">
            <v>42</v>
          </cell>
          <cell r="I463" t="str">
            <v>5,000.000</v>
          </cell>
          <cell r="J463" t="str">
            <v>5,000.000</v>
          </cell>
        </row>
        <row r="464">
          <cell r="D464">
            <v>10100018253</v>
          </cell>
          <cell r="E464" t="str">
            <v>恒辉电阻（益阳）有限公司</v>
          </cell>
          <cell r="F464">
            <v>3.3500000000000001E-3</v>
          </cell>
          <cell r="G464" t="str">
            <v>CNY</v>
          </cell>
          <cell r="H464" t="str">
            <v>42</v>
          </cell>
          <cell r="I464" t="str">
            <v>5,000.000</v>
          </cell>
          <cell r="J464" t="str">
            <v>5,000.000</v>
          </cell>
        </row>
        <row r="465">
          <cell r="D465">
            <v>10100018399</v>
          </cell>
          <cell r="E465" t="str">
            <v>恒辉电阻（益阳）有限公司</v>
          </cell>
          <cell r="F465">
            <v>9.7999999999999997E-4</v>
          </cell>
          <cell r="G465" t="str">
            <v>CNY</v>
          </cell>
          <cell r="H465" t="str">
            <v>42</v>
          </cell>
          <cell r="I465" t="str">
            <v>10,000.000</v>
          </cell>
          <cell r="J465" t="str">
            <v>10,000.000</v>
          </cell>
        </row>
        <row r="466">
          <cell r="D466">
            <v>10100019075</v>
          </cell>
          <cell r="E466" t="str">
            <v>厚声国际贸易（昆山）有限公司</v>
          </cell>
          <cell r="F466">
            <v>1.09E-3</v>
          </cell>
          <cell r="G466" t="str">
            <v>CNY</v>
          </cell>
          <cell r="H466" t="str">
            <v>56</v>
          </cell>
          <cell r="I466" t="str">
            <v>10,000.000</v>
          </cell>
          <cell r="J466" t="str">
            <v>10,000.000</v>
          </cell>
        </row>
        <row r="467">
          <cell r="D467">
            <v>10100019134</v>
          </cell>
          <cell r="E467" t="str">
            <v>恒辉电阻（益阳）有限公司</v>
          </cell>
          <cell r="F467">
            <v>9.7999999999999997E-4</v>
          </cell>
          <cell r="G467" t="str">
            <v>CNY</v>
          </cell>
          <cell r="H467" t="str">
            <v>42</v>
          </cell>
          <cell r="I467" t="str">
            <v>10,000.000</v>
          </cell>
          <cell r="J467" t="str">
            <v>10,000.000</v>
          </cell>
        </row>
        <row r="468">
          <cell r="D468">
            <v>10100020950</v>
          </cell>
          <cell r="E468" t="str">
            <v>厚声国际贸易（昆山）有限公司</v>
          </cell>
          <cell r="F468">
            <v>1.09E-3</v>
          </cell>
          <cell r="G468" t="str">
            <v>CNY</v>
          </cell>
          <cell r="H468" t="str">
            <v>56</v>
          </cell>
          <cell r="I468" t="str">
            <v>10,000.000</v>
          </cell>
          <cell r="J468" t="str">
            <v>10,000.000</v>
          </cell>
        </row>
        <row r="469">
          <cell r="D469">
            <v>10100022516</v>
          </cell>
          <cell r="E469" t="str">
            <v>厚声国际贸易（昆山）有限公司</v>
          </cell>
          <cell r="F469">
            <v>1.09E-3</v>
          </cell>
          <cell r="G469" t="str">
            <v>CNY</v>
          </cell>
          <cell r="H469" t="str">
            <v>56</v>
          </cell>
          <cell r="I469" t="str">
            <v>10,000.000</v>
          </cell>
          <cell r="J469" t="str">
            <v>10,000.000</v>
          </cell>
        </row>
        <row r="470">
          <cell r="D470">
            <v>10100024100</v>
          </cell>
          <cell r="E470" t="str">
            <v>广东风华高新科技股份有限公司</v>
          </cell>
          <cell r="F470">
            <v>2.0799999999999998E-3</v>
          </cell>
          <cell r="G470" t="str">
            <v>CNY</v>
          </cell>
          <cell r="H470" t="str">
            <v>56</v>
          </cell>
          <cell r="I470" t="str">
            <v>5,000.000</v>
          </cell>
          <cell r="J470" t="str">
            <v>5,000.000</v>
          </cell>
        </row>
        <row r="471">
          <cell r="D471">
            <v>10100026554</v>
          </cell>
          <cell r="E471" t="str">
            <v>广东风华高新科技股份有限公司</v>
          </cell>
          <cell r="F471">
            <v>6.4999999999999997E-3</v>
          </cell>
          <cell r="G471" t="str">
            <v>CNY</v>
          </cell>
          <cell r="H471" t="str">
            <v>56</v>
          </cell>
          <cell r="I471" t="str">
            <v>5,000.000</v>
          </cell>
          <cell r="J471" t="str">
            <v>5,000.000</v>
          </cell>
        </row>
        <row r="472">
          <cell r="D472">
            <v>10110001388</v>
          </cell>
          <cell r="E472" t="str">
            <v>深圳市兴鸿宇科技有限公司</v>
          </cell>
          <cell r="F472">
            <v>5.4999999999999997E-3</v>
          </cell>
          <cell r="G472" t="str">
            <v>CNY</v>
          </cell>
          <cell r="H472" t="str">
            <v>56</v>
          </cell>
          <cell r="I472" t="str">
            <v>4,000.000</v>
          </cell>
          <cell r="J472" t="str">
            <v>4,000.000</v>
          </cell>
        </row>
        <row r="473">
          <cell r="D473">
            <v>10110001391</v>
          </cell>
          <cell r="E473" t="str">
            <v>深圳市兴鸿宇科技有限公司</v>
          </cell>
          <cell r="F473">
            <v>6.3E-3</v>
          </cell>
          <cell r="G473" t="str">
            <v>CNY</v>
          </cell>
          <cell r="H473" t="str">
            <v>56</v>
          </cell>
          <cell r="I473" t="str">
            <v>4,000.000</v>
          </cell>
          <cell r="J473" t="str">
            <v>4,000.000</v>
          </cell>
        </row>
        <row r="474">
          <cell r="D474">
            <v>10110003896</v>
          </cell>
          <cell r="E474" t="str">
            <v>深圳市兴鸿宇科技有限公司</v>
          </cell>
          <cell r="F474">
            <v>2.3E-3</v>
          </cell>
          <cell r="G474" t="str">
            <v>CNY</v>
          </cell>
          <cell r="H474" t="str">
            <v>56</v>
          </cell>
          <cell r="I474" t="str">
            <v>10,000.000</v>
          </cell>
          <cell r="J474" t="str">
            <v>10,000.000</v>
          </cell>
        </row>
        <row r="475">
          <cell r="D475">
            <v>10110003897</v>
          </cell>
          <cell r="E475" t="str">
            <v>深圳市奥特高科电子有限公司</v>
          </cell>
          <cell r="F475">
            <v>2.2000000000000001E-3</v>
          </cell>
          <cell r="G475" t="str">
            <v>CNY</v>
          </cell>
          <cell r="H475" t="str">
            <v>56</v>
          </cell>
          <cell r="I475" t="str">
            <v>10,000.000</v>
          </cell>
          <cell r="J475" t="str">
            <v>10,000.000</v>
          </cell>
        </row>
        <row r="476">
          <cell r="D476">
            <v>10110003944</v>
          </cell>
          <cell r="E476" t="str">
            <v>东莞华科电子有限公司</v>
          </cell>
          <cell r="F476">
            <v>5.4299999999999999E-3</v>
          </cell>
          <cell r="G476" t="str">
            <v>CNY</v>
          </cell>
          <cell r="H476" t="str">
            <v>56</v>
          </cell>
          <cell r="I476" t="str">
            <v>4,000.000</v>
          </cell>
          <cell r="J476" t="str">
            <v>4,000.000</v>
          </cell>
        </row>
        <row r="477">
          <cell r="D477">
            <v>10110004676</v>
          </cell>
          <cell r="E477" t="str">
            <v>东莞华科电子有限公司</v>
          </cell>
          <cell r="F477">
            <v>1.98E-3</v>
          </cell>
          <cell r="G477" t="str">
            <v>CNY</v>
          </cell>
          <cell r="H477" t="str">
            <v>56</v>
          </cell>
          <cell r="I477" t="str">
            <v>10,000.000</v>
          </cell>
          <cell r="J477" t="str">
            <v>10,000.000</v>
          </cell>
        </row>
        <row r="478">
          <cell r="D478">
            <v>10110005378</v>
          </cell>
          <cell r="E478" t="str">
            <v>深圳市吉利通电子有限公司</v>
          </cell>
          <cell r="F478">
            <v>2.3999999999999998E-3</v>
          </cell>
          <cell r="G478" t="str">
            <v>CNY</v>
          </cell>
          <cell r="H478" t="str">
            <v>56</v>
          </cell>
          <cell r="I478" t="str">
            <v>10,000.000</v>
          </cell>
          <cell r="J478" t="str">
            <v>10,000.000</v>
          </cell>
        </row>
        <row r="479">
          <cell r="D479">
            <v>10110005723</v>
          </cell>
          <cell r="E479" t="str">
            <v>深圳市奥特高科电子有限公司</v>
          </cell>
          <cell r="F479">
            <v>6.4999999999999997E-3</v>
          </cell>
          <cell r="G479" t="str">
            <v>CNY</v>
          </cell>
          <cell r="H479" t="str">
            <v>84</v>
          </cell>
          <cell r="I479" t="str">
            <v>4,000.000</v>
          </cell>
          <cell r="J479" t="str">
            <v>4,000.000</v>
          </cell>
        </row>
        <row r="480">
          <cell r="D480">
            <v>10110005817</v>
          </cell>
          <cell r="E480" t="str">
            <v>东莞华科电子有限公司</v>
          </cell>
          <cell r="F480">
            <v>1.98E-3</v>
          </cell>
          <cell r="G480" t="str">
            <v>CNY</v>
          </cell>
          <cell r="H480" t="str">
            <v>56</v>
          </cell>
          <cell r="I480" t="str">
            <v>10,000.000</v>
          </cell>
          <cell r="J480" t="str">
            <v>10,000.000</v>
          </cell>
        </row>
        <row r="481">
          <cell r="D481">
            <v>10110006771</v>
          </cell>
          <cell r="E481" t="str">
            <v>深圳市兴鸿宇科技有限公司</v>
          </cell>
          <cell r="F481">
            <v>4.9500000000000004E-3</v>
          </cell>
          <cell r="G481" t="str">
            <v>CNY</v>
          </cell>
          <cell r="H481" t="str">
            <v>56</v>
          </cell>
          <cell r="I481" t="str">
            <v>10,000.000</v>
          </cell>
          <cell r="J481" t="str">
            <v>10,000.000</v>
          </cell>
        </row>
        <row r="482">
          <cell r="D482">
            <v>10110007139</v>
          </cell>
          <cell r="E482" t="str">
            <v>苏州荣采电子有限公司</v>
          </cell>
          <cell r="F482">
            <v>2.9399999999999999E-3</v>
          </cell>
          <cell r="G482" t="str">
            <v>CNY</v>
          </cell>
          <cell r="H482" t="str">
            <v>84</v>
          </cell>
          <cell r="I482" t="str">
            <v>10,000.000</v>
          </cell>
          <cell r="J482" t="str">
            <v>10,000.000</v>
          </cell>
        </row>
        <row r="483">
          <cell r="D483">
            <v>10110007822</v>
          </cell>
          <cell r="E483" t="str">
            <v>苏州荣采电子有限公司</v>
          </cell>
          <cell r="F483">
            <v>2.8E-3</v>
          </cell>
          <cell r="G483" t="str">
            <v>CNY</v>
          </cell>
          <cell r="H483" t="str">
            <v>56</v>
          </cell>
          <cell r="I483" t="str">
            <v>10,000.000</v>
          </cell>
          <cell r="J483" t="str">
            <v>10,000.000</v>
          </cell>
        </row>
        <row r="484">
          <cell r="D484">
            <v>10110008257</v>
          </cell>
          <cell r="E484" t="str">
            <v>深圳市兴鸿宇科技有限公司</v>
          </cell>
          <cell r="F484">
            <v>4.5999999999999999E-3</v>
          </cell>
          <cell r="G484" t="str">
            <v>CNY</v>
          </cell>
          <cell r="H484" t="str">
            <v>56</v>
          </cell>
          <cell r="I484" t="str">
            <v>10,000.000</v>
          </cell>
          <cell r="J484" t="str">
            <v>10,000.000</v>
          </cell>
        </row>
        <row r="485">
          <cell r="D485">
            <v>10110008724</v>
          </cell>
          <cell r="E485" t="str">
            <v>深圳市兴鸿宇科技有限公司</v>
          </cell>
          <cell r="F485">
            <v>4.1000000000000003E-3</v>
          </cell>
          <cell r="G485" t="str">
            <v>CNY</v>
          </cell>
          <cell r="H485" t="str">
            <v>56</v>
          </cell>
          <cell r="I485" t="str">
            <v>10,000.000</v>
          </cell>
          <cell r="J485" t="str">
            <v>10,000.000</v>
          </cell>
        </row>
        <row r="486">
          <cell r="D486">
            <v>10110008726</v>
          </cell>
          <cell r="E486" t="str">
            <v>深圳市天河星供应链有限公司</v>
          </cell>
          <cell r="F486">
            <v>2.2000000000000001E-3</v>
          </cell>
          <cell r="G486" t="str">
            <v>CNY</v>
          </cell>
          <cell r="H486" t="str">
            <v>56</v>
          </cell>
          <cell r="I486" t="str">
            <v>10,000.000</v>
          </cell>
          <cell r="J486" t="str">
            <v>10,000.000</v>
          </cell>
        </row>
        <row r="487">
          <cell r="D487">
            <v>10110008729</v>
          </cell>
          <cell r="E487" t="str">
            <v>广东风华高新科技股份有限公司</v>
          </cell>
          <cell r="F487">
            <v>2.0999999999999999E-3</v>
          </cell>
          <cell r="G487" t="str">
            <v>CNY</v>
          </cell>
          <cell r="H487" t="str">
            <v>56</v>
          </cell>
          <cell r="I487" t="str">
            <v>10,000.000</v>
          </cell>
          <cell r="J487" t="str">
            <v>10,000.000</v>
          </cell>
        </row>
        <row r="488">
          <cell r="D488">
            <v>10110008734</v>
          </cell>
          <cell r="E488" t="str">
            <v>广东风华高新科技股份有限公司</v>
          </cell>
          <cell r="F488">
            <v>2.0999999999999999E-3</v>
          </cell>
          <cell r="G488" t="str">
            <v>CNY</v>
          </cell>
          <cell r="H488" t="str">
            <v>56</v>
          </cell>
          <cell r="I488" t="str">
            <v>10,000.000</v>
          </cell>
          <cell r="J488" t="str">
            <v>10,000.000</v>
          </cell>
        </row>
        <row r="489">
          <cell r="D489">
            <v>10110008742</v>
          </cell>
          <cell r="E489" t="str">
            <v>广东风华高新科技股份有限公司</v>
          </cell>
          <cell r="F489">
            <v>2.1900000000000001E-3</v>
          </cell>
          <cell r="G489" t="str">
            <v>CNY</v>
          </cell>
          <cell r="H489" t="str">
            <v>56</v>
          </cell>
          <cell r="I489" t="str">
            <v>10,000.000</v>
          </cell>
          <cell r="J489" t="str">
            <v>10,000.000</v>
          </cell>
        </row>
        <row r="490">
          <cell r="D490">
            <v>10110008993</v>
          </cell>
          <cell r="E490" t="str">
            <v>东莞华科电子有限公司</v>
          </cell>
          <cell r="F490">
            <v>3.0500000000000002E-3</v>
          </cell>
          <cell r="G490" t="str">
            <v>CNY</v>
          </cell>
          <cell r="H490" t="str">
            <v>56</v>
          </cell>
          <cell r="I490" t="str">
            <v>10,000.000</v>
          </cell>
          <cell r="J490" t="str">
            <v>10,000.000</v>
          </cell>
        </row>
        <row r="491">
          <cell r="D491">
            <v>10110009749</v>
          </cell>
          <cell r="E491" t="str">
            <v>深圳市欧亚达电子有限公司</v>
          </cell>
          <cell r="F491">
            <v>9.5499999999999995E-3</v>
          </cell>
          <cell r="G491" t="str">
            <v>CNY</v>
          </cell>
          <cell r="H491" t="str">
            <v>84</v>
          </cell>
          <cell r="I491" t="str">
            <v>10,000.000</v>
          </cell>
          <cell r="J491" t="str">
            <v>10,000.000</v>
          </cell>
        </row>
        <row r="492">
          <cell r="D492">
            <v>10110011269</v>
          </cell>
          <cell r="E492" t="str">
            <v>潮州三环（集团）股份有限公司</v>
          </cell>
          <cell r="F492">
            <v>1.8600000000000001E-3</v>
          </cell>
          <cell r="G492" t="str">
            <v>CNY</v>
          </cell>
          <cell r="H492" t="str">
            <v>70</v>
          </cell>
          <cell r="I492" t="str">
            <v>10,000.000</v>
          </cell>
          <cell r="J492" t="str">
            <v>10,000.000</v>
          </cell>
        </row>
        <row r="493">
          <cell r="D493">
            <v>10110011283</v>
          </cell>
          <cell r="E493" t="str">
            <v>潮州三环（集团）股份有限公司</v>
          </cell>
          <cell r="F493">
            <v>5.1500000000000001E-3</v>
          </cell>
          <cell r="G493" t="str">
            <v>CNY</v>
          </cell>
          <cell r="H493" t="str">
            <v>56</v>
          </cell>
          <cell r="I493" t="str">
            <v>4,000.000</v>
          </cell>
          <cell r="J493" t="str">
            <v>4,000.000</v>
          </cell>
        </row>
        <row r="494">
          <cell r="D494">
            <v>10110012147</v>
          </cell>
          <cell r="E494" t="str">
            <v>潮州三环（集团）股份有限公司</v>
          </cell>
          <cell r="F494">
            <v>1.9499999999999999E-3</v>
          </cell>
          <cell r="G494" t="str">
            <v>CNY</v>
          </cell>
          <cell r="H494" t="str">
            <v>70</v>
          </cell>
          <cell r="I494" t="str">
            <v>10,000.000</v>
          </cell>
          <cell r="J494" t="str">
            <v>10,000.000</v>
          </cell>
        </row>
        <row r="495">
          <cell r="D495">
            <v>10110012149</v>
          </cell>
          <cell r="E495" t="str">
            <v>潮州三环（集团）股份有限公司</v>
          </cell>
          <cell r="F495">
            <v>1.8600000000000001E-3</v>
          </cell>
          <cell r="G495" t="str">
            <v>CNY</v>
          </cell>
          <cell r="H495" t="str">
            <v>70</v>
          </cell>
          <cell r="I495" t="str">
            <v>10,000.000</v>
          </cell>
          <cell r="J495" t="str">
            <v>10,000.000</v>
          </cell>
        </row>
        <row r="496">
          <cell r="D496">
            <v>10110012398</v>
          </cell>
          <cell r="E496" t="str">
            <v>深圳市奥特高科电子有限公司</v>
          </cell>
          <cell r="F496">
            <v>7.0000000000000001E-3</v>
          </cell>
          <cell r="G496" t="str">
            <v>CNY</v>
          </cell>
          <cell r="H496" t="str">
            <v>56</v>
          </cell>
          <cell r="I496" t="str">
            <v>4,000.000</v>
          </cell>
          <cell r="J496" t="str">
            <v>4,000.000</v>
          </cell>
        </row>
        <row r="497">
          <cell r="D497">
            <v>10110012402</v>
          </cell>
          <cell r="E497" t="str">
            <v>深圳市兴鸿宇科技有限公司</v>
          </cell>
          <cell r="F497">
            <v>6.8999999999999999E-3</v>
          </cell>
          <cell r="G497" t="str">
            <v>CNY</v>
          </cell>
          <cell r="H497" t="str">
            <v>56</v>
          </cell>
          <cell r="I497" t="str">
            <v>4,000.000</v>
          </cell>
          <cell r="J497" t="str">
            <v>4,000.000</v>
          </cell>
        </row>
        <row r="498">
          <cell r="D498">
            <v>10110012403</v>
          </cell>
          <cell r="E498" t="str">
            <v>广东风华高新科技股份有限公司</v>
          </cell>
          <cell r="F498">
            <v>7.0000000000000001E-3</v>
          </cell>
          <cell r="G498" t="str">
            <v>CNY</v>
          </cell>
          <cell r="H498" t="str">
            <v>56</v>
          </cell>
          <cell r="I498" t="str">
            <v>4,000.000</v>
          </cell>
          <cell r="J498" t="str">
            <v>4,000.000</v>
          </cell>
        </row>
        <row r="499">
          <cell r="D499">
            <v>10110013851</v>
          </cell>
          <cell r="E499" t="str">
            <v>潮州三环（集团）股份有限公司</v>
          </cell>
          <cell r="F499">
            <v>7.0899999999999999E-3</v>
          </cell>
          <cell r="G499" t="str">
            <v>CNY</v>
          </cell>
          <cell r="H499" t="str">
            <v>56</v>
          </cell>
          <cell r="I499" t="str">
            <v>4,000.000</v>
          </cell>
          <cell r="J499" t="str">
            <v>4,000.000</v>
          </cell>
        </row>
        <row r="500">
          <cell r="D500">
            <v>10110015893</v>
          </cell>
          <cell r="E500" t="str">
            <v>潮州三环（集团）股份有限公司</v>
          </cell>
          <cell r="F500">
            <v>1.8600000000000001E-3</v>
          </cell>
          <cell r="G500" t="str">
            <v>CNY</v>
          </cell>
          <cell r="H500" t="str">
            <v>70</v>
          </cell>
          <cell r="I500" t="str">
            <v>10,000.000</v>
          </cell>
          <cell r="J500" t="str">
            <v>10,000.000</v>
          </cell>
        </row>
        <row r="501">
          <cell r="D501">
            <v>10110016349</v>
          </cell>
          <cell r="E501" t="str">
            <v>潮州三环（集团）股份有限公司</v>
          </cell>
          <cell r="F501">
            <v>4.15E-3</v>
          </cell>
          <cell r="G501" t="str">
            <v>CNY</v>
          </cell>
          <cell r="H501" t="str">
            <v>56</v>
          </cell>
          <cell r="I501" t="str">
            <v>10,000.000</v>
          </cell>
          <cell r="J501" t="str">
            <v>10,000.000</v>
          </cell>
        </row>
        <row r="502">
          <cell r="D502">
            <v>10110016965</v>
          </cell>
          <cell r="E502" t="str">
            <v>深圳市泽天电子有限公司</v>
          </cell>
          <cell r="F502">
            <v>1.695E-2</v>
          </cell>
          <cell r="G502" t="str">
            <v>CNY</v>
          </cell>
          <cell r="H502" t="str">
            <v>56</v>
          </cell>
          <cell r="I502" t="str">
            <v>4,000.000</v>
          </cell>
          <cell r="J502" t="str">
            <v>4,000.000</v>
          </cell>
        </row>
        <row r="503">
          <cell r="D503">
            <v>10110016977</v>
          </cell>
          <cell r="E503" t="str">
            <v>深圳市奥特高科电子有限公司</v>
          </cell>
          <cell r="F503">
            <v>1.0500000000000001E-2</v>
          </cell>
          <cell r="G503" t="str">
            <v>CNY</v>
          </cell>
          <cell r="H503" t="str">
            <v>56</v>
          </cell>
          <cell r="I503" t="str">
            <v>4,000.000</v>
          </cell>
          <cell r="J503" t="str">
            <v>4,000.000</v>
          </cell>
        </row>
        <row r="504">
          <cell r="D504">
            <v>10110016988</v>
          </cell>
          <cell r="E504" t="str">
            <v>广东风华高新科技股份有限公司</v>
          </cell>
          <cell r="F504">
            <v>9.2999999999999992E-3</v>
          </cell>
          <cell r="G504" t="str">
            <v>CNY</v>
          </cell>
          <cell r="H504" t="str">
            <v>56</v>
          </cell>
          <cell r="I504" t="str">
            <v>4,000.000</v>
          </cell>
          <cell r="J504" t="str">
            <v>4,000.000</v>
          </cell>
        </row>
        <row r="505">
          <cell r="D505">
            <v>10140000397</v>
          </cell>
          <cell r="E505" t="str">
            <v>深圳市合信昌科技有限公司</v>
          </cell>
          <cell r="F505">
            <v>7.4999999999999997E-2</v>
          </cell>
          <cell r="G505" t="str">
            <v>CNY</v>
          </cell>
          <cell r="H505" t="str">
            <v>84</v>
          </cell>
          <cell r="I505" t="str">
            <v>1,800.000</v>
          </cell>
          <cell r="J505" t="str">
            <v>1,800.000</v>
          </cell>
        </row>
        <row r="506">
          <cell r="D506">
            <v>10140002123</v>
          </cell>
          <cell r="E506" t="str">
            <v>利尔达科技集团股份有限公司</v>
          </cell>
          <cell r="F506">
            <v>3.4500000000000003E-2</v>
          </cell>
          <cell r="G506" t="str">
            <v>CNY</v>
          </cell>
          <cell r="H506" t="str">
            <v>84</v>
          </cell>
          <cell r="I506" t="str">
            <v>3,000.000</v>
          </cell>
          <cell r="J506" t="str">
            <v>3,000.000</v>
          </cell>
        </row>
        <row r="507">
          <cell r="D507">
            <v>10140006310</v>
          </cell>
          <cell r="E507" t="str">
            <v>深圳翰世宇科技有限公司</v>
          </cell>
          <cell r="F507">
            <v>4.8000000000000001E-2</v>
          </cell>
          <cell r="G507" t="str">
            <v>CNY</v>
          </cell>
          <cell r="H507" t="str">
            <v>56</v>
          </cell>
          <cell r="I507" t="str">
            <v>3,000.000</v>
          </cell>
          <cell r="J507" t="str">
            <v>3,000.000</v>
          </cell>
        </row>
        <row r="508">
          <cell r="D508">
            <v>10190001176</v>
          </cell>
          <cell r="E508" t="str">
            <v>东莞市贝特电子科技股份有限公司</v>
          </cell>
          <cell r="F508">
            <v>9.5000000000000001E-2</v>
          </cell>
          <cell r="G508" t="str">
            <v>CNY</v>
          </cell>
          <cell r="H508" t="str">
            <v>25</v>
          </cell>
          <cell r="I508" t="str">
            <v>1,000.000</v>
          </cell>
          <cell r="J508" t="str">
            <v>1,000.000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AP"/>
      <sheetName val="Sheet3"/>
    </sheetNames>
    <sheetDataSet>
      <sheetData sheetId="0"/>
      <sheetData sheetId="1">
        <row r="1">
          <cell r="D1" t="str">
            <v>物料号</v>
          </cell>
          <cell r="E1" t="str">
            <v>物料名称</v>
          </cell>
          <cell r="F1" t="str">
            <v>物料组</v>
          </cell>
          <cell r="G1" t="str">
            <v>物料描述</v>
          </cell>
          <cell r="H1" t="str">
            <v>制造商</v>
          </cell>
          <cell r="I1" t="str">
            <v>制造商零件编号</v>
          </cell>
          <cell r="J1" t="str">
            <v>供应商</v>
          </cell>
          <cell r="K1" t="str">
            <v>供应商名称</v>
          </cell>
          <cell r="L1" t="str">
            <v>固定货源</v>
          </cell>
          <cell r="M1" t="str">
            <v>删除标记</v>
          </cell>
          <cell r="N1" t="str">
            <v>每基本单位</v>
          </cell>
          <cell r="O1"/>
          <cell r="P1" t="str">
            <v>基本单位净价</v>
          </cell>
          <cell r="Q1" t="str">
            <v>信息记录净价</v>
          </cell>
          <cell r="R1" t="str">
            <v>价格单位</v>
          </cell>
          <cell r="S1" t="str">
            <v>基本计量单位</v>
          </cell>
          <cell r="T1" t="str">
            <v>信息记录L/T</v>
          </cell>
          <cell r="U1" t="str">
            <v>税码</v>
          </cell>
          <cell r="V1" t="str">
            <v>货币单位</v>
          </cell>
          <cell r="W1" t="str">
            <v>MOQ</v>
          </cell>
          <cell r="X1" t="str">
            <v>MPQ</v>
          </cell>
        </row>
        <row r="2">
          <cell r="D2">
            <v>10100002122</v>
          </cell>
          <cell r="E2" t="str">
            <v>厚膜贴片电阻器</v>
          </cell>
          <cell r="F2">
            <v>10010302</v>
          </cell>
          <cell r="G2" t="str">
            <v>YAGEO\RES 1K F 1/8W 0805</v>
          </cell>
          <cell r="H2" t="str">
            <v>YAGEO(国巨)</v>
          </cell>
          <cell r="I2" t="str">
            <v>RC0805FR-071KL</v>
          </cell>
          <cell r="J2">
            <v>100632</v>
          </cell>
          <cell r="K2" t="str">
            <v>深圳市欧尔法电子有限公司</v>
          </cell>
          <cell r="L2" t="str">
            <v>X</v>
          </cell>
          <cell r="M2" t="str">
            <v/>
          </cell>
          <cell r="N2">
            <v>1</v>
          </cell>
          <cell r="O2">
            <v>4.7999999999999996E-3</v>
          </cell>
          <cell r="P2">
            <v>4.8</v>
          </cell>
          <cell r="Q2">
            <v>4.8</v>
          </cell>
          <cell r="R2">
            <v>1000</v>
          </cell>
          <cell r="S2" t="str">
            <v>PCS</v>
          </cell>
          <cell r="T2">
            <v>56</v>
          </cell>
          <cell r="U2" t="str">
            <v>J3</v>
          </cell>
          <cell r="V2" t="str">
            <v>CNY</v>
          </cell>
          <cell r="W2">
            <v>5000</v>
          </cell>
          <cell r="X2">
            <v>5000</v>
          </cell>
        </row>
        <row r="3">
          <cell r="D3">
            <v>10100002123</v>
          </cell>
          <cell r="E3" t="str">
            <v>厚膜贴片电阻器</v>
          </cell>
          <cell r="F3">
            <v>10010302</v>
          </cell>
          <cell r="G3" t="str">
            <v>FH\RES 1K F 1/8W 0805</v>
          </cell>
          <cell r="H3" t="str">
            <v>FH(风华)</v>
          </cell>
          <cell r="I3" t="str">
            <v>RS-05K1001FT</v>
          </cell>
          <cell r="J3">
            <v>100654</v>
          </cell>
          <cell r="K3" t="str">
            <v>广东风华高新科技股份有限公司</v>
          </cell>
          <cell r="L3" t="str">
            <v>X</v>
          </cell>
          <cell r="M3" t="str">
            <v/>
          </cell>
          <cell r="N3">
            <v>1</v>
          </cell>
          <cell r="O3">
            <v>3.7200000000000002E-3</v>
          </cell>
          <cell r="P3">
            <v>3.72</v>
          </cell>
          <cell r="Q3">
            <v>3.72</v>
          </cell>
          <cell r="R3">
            <v>1000</v>
          </cell>
          <cell r="S3" t="str">
            <v>PCS</v>
          </cell>
          <cell r="T3">
            <v>42</v>
          </cell>
          <cell r="U3" t="str">
            <v>J3</v>
          </cell>
          <cell r="V3" t="str">
            <v>CNY</v>
          </cell>
          <cell r="W3">
            <v>5000</v>
          </cell>
          <cell r="X3">
            <v>5000</v>
          </cell>
        </row>
        <row r="4">
          <cell r="D4">
            <v>10100002658</v>
          </cell>
          <cell r="E4" t="str">
            <v>厚膜贴片电阻器</v>
          </cell>
          <cell r="F4">
            <v>10010302</v>
          </cell>
          <cell r="G4" t="str">
            <v>FH\RES 470R F 1/4W 1206</v>
          </cell>
          <cell r="H4" t="str">
            <v>FH(风华)</v>
          </cell>
          <cell r="I4" t="str">
            <v>RS-06K4700FT</v>
          </cell>
          <cell r="J4">
            <v>100654</v>
          </cell>
          <cell r="K4" t="str">
            <v>广东风华高新科技股份有限公司</v>
          </cell>
          <cell r="L4" t="str">
            <v>X</v>
          </cell>
          <cell r="M4" t="str">
            <v/>
          </cell>
          <cell r="N4">
            <v>1</v>
          </cell>
          <cell r="O4">
            <v>6.4999999999999997E-3</v>
          </cell>
          <cell r="P4">
            <v>6.5</v>
          </cell>
          <cell r="Q4">
            <v>6.5</v>
          </cell>
          <cell r="R4">
            <v>1000</v>
          </cell>
          <cell r="S4" t="str">
            <v>PCS</v>
          </cell>
          <cell r="T4">
            <v>42</v>
          </cell>
          <cell r="U4" t="str">
            <v>J3</v>
          </cell>
          <cell r="V4" t="str">
            <v>CNY</v>
          </cell>
          <cell r="W4">
            <v>5000</v>
          </cell>
          <cell r="X4">
            <v>5000</v>
          </cell>
        </row>
        <row r="5">
          <cell r="D5">
            <v>10100002659</v>
          </cell>
          <cell r="E5" t="str">
            <v>厚膜贴片电阻器</v>
          </cell>
          <cell r="F5">
            <v>10010302</v>
          </cell>
          <cell r="G5" t="str">
            <v>YAGEO\RES 470R F 1/4W 1206</v>
          </cell>
          <cell r="H5" t="str">
            <v>YAGEO(国巨)</v>
          </cell>
          <cell r="I5" t="str">
            <v>RC1206FR-07470RL</v>
          </cell>
          <cell r="J5">
            <v>100078</v>
          </cell>
          <cell r="K5" t="str">
            <v>深圳市超利维实业有限公司</v>
          </cell>
          <cell r="L5" t="str">
            <v>X</v>
          </cell>
          <cell r="M5" t="str">
            <v/>
          </cell>
          <cell r="N5">
            <v>1</v>
          </cell>
          <cell r="O5">
            <v>8.0000000000000002E-3</v>
          </cell>
          <cell r="P5">
            <v>8</v>
          </cell>
          <cell r="Q5">
            <v>8</v>
          </cell>
          <cell r="R5">
            <v>1000</v>
          </cell>
          <cell r="S5" t="str">
            <v>PCS</v>
          </cell>
          <cell r="T5">
            <v>56</v>
          </cell>
          <cell r="U5" t="str">
            <v>J3</v>
          </cell>
          <cell r="V5" t="str">
            <v>CNY</v>
          </cell>
          <cell r="W5">
            <v>5000</v>
          </cell>
          <cell r="X5">
            <v>5000</v>
          </cell>
        </row>
        <row r="6">
          <cell r="D6">
            <v>10100002715</v>
          </cell>
          <cell r="E6" t="str">
            <v>厚膜贴片电阻器</v>
          </cell>
          <cell r="F6">
            <v>10010302</v>
          </cell>
          <cell r="G6" t="str">
            <v>YAGEO\RES 5.1K F 1/8W 0805</v>
          </cell>
          <cell r="H6" t="str">
            <v>YAGEO(国巨)</v>
          </cell>
          <cell r="I6" t="str">
            <v>RC0805FR-075K1L</v>
          </cell>
          <cell r="J6">
            <v>100632</v>
          </cell>
          <cell r="K6" t="str">
            <v>深圳市欧尔法电子有限公司</v>
          </cell>
          <cell r="L6" t="str">
            <v>X</v>
          </cell>
          <cell r="M6" t="str">
            <v/>
          </cell>
          <cell r="N6">
            <v>1</v>
          </cell>
          <cell r="O6">
            <v>4.7999999999999996E-3</v>
          </cell>
          <cell r="P6">
            <v>4.8</v>
          </cell>
          <cell r="Q6">
            <v>4.8</v>
          </cell>
          <cell r="R6">
            <v>1000</v>
          </cell>
          <cell r="S6" t="str">
            <v>PCS</v>
          </cell>
          <cell r="T6">
            <v>70</v>
          </cell>
          <cell r="U6" t="str">
            <v>J3</v>
          </cell>
          <cell r="V6" t="str">
            <v>CNY</v>
          </cell>
          <cell r="W6">
            <v>5000</v>
          </cell>
          <cell r="X6">
            <v>5000</v>
          </cell>
        </row>
        <row r="7">
          <cell r="D7">
            <v>10100003500</v>
          </cell>
          <cell r="E7" t="str">
            <v>厚膜贴片电阻器</v>
          </cell>
          <cell r="F7">
            <v>10010302</v>
          </cell>
          <cell r="G7" t="str">
            <v>YAGEO\RES 4.7K F 1/10W 0603</v>
          </cell>
          <cell r="H7" t="str">
            <v>YAGEO(国巨)</v>
          </cell>
          <cell r="I7" t="str">
            <v>RC0603FR-074K7L</v>
          </cell>
          <cell r="J7">
            <v>100078</v>
          </cell>
          <cell r="K7" t="str">
            <v>深圳市超利维实业有限公司</v>
          </cell>
          <cell r="L7" t="str">
            <v>X</v>
          </cell>
          <cell r="M7" t="str">
            <v/>
          </cell>
          <cell r="N7">
            <v>1</v>
          </cell>
          <cell r="O7">
            <v>2.5999999999999999E-3</v>
          </cell>
          <cell r="P7">
            <v>2.6</v>
          </cell>
          <cell r="Q7">
            <v>2.6</v>
          </cell>
          <cell r="R7">
            <v>1000</v>
          </cell>
          <cell r="S7" t="str">
            <v>PCS</v>
          </cell>
          <cell r="T7">
            <v>56</v>
          </cell>
          <cell r="U7" t="str">
            <v>J3</v>
          </cell>
          <cell r="V7" t="str">
            <v>CNY</v>
          </cell>
          <cell r="W7">
            <v>5000</v>
          </cell>
          <cell r="X7">
            <v>5000</v>
          </cell>
        </row>
        <row r="8">
          <cell r="D8">
            <v>10100003565</v>
          </cell>
          <cell r="E8" t="str">
            <v>厚膜贴片电阻器</v>
          </cell>
          <cell r="F8">
            <v>10010302</v>
          </cell>
          <cell r="G8" t="str">
            <v>FH\RES 68K F 1/10W 0603</v>
          </cell>
          <cell r="H8" t="str">
            <v>FH(风华)</v>
          </cell>
          <cell r="I8" t="str">
            <v>RS-03K6802FT</v>
          </cell>
          <cell r="J8">
            <v>100654</v>
          </cell>
          <cell r="K8" t="str">
            <v>广东风华高新科技股份有限公司</v>
          </cell>
          <cell r="L8" t="str">
            <v>X</v>
          </cell>
          <cell r="M8" t="str">
            <v/>
          </cell>
          <cell r="N8">
            <v>1</v>
          </cell>
          <cell r="O8">
            <v>2.0799999999999998E-3</v>
          </cell>
          <cell r="P8">
            <v>2.08</v>
          </cell>
          <cell r="Q8">
            <v>2.08</v>
          </cell>
          <cell r="R8">
            <v>1000</v>
          </cell>
          <cell r="S8" t="str">
            <v>PCS</v>
          </cell>
          <cell r="T8">
            <v>42</v>
          </cell>
          <cell r="U8" t="str">
            <v>J3</v>
          </cell>
          <cell r="V8" t="str">
            <v>CNY</v>
          </cell>
          <cell r="W8">
            <v>5000</v>
          </cell>
          <cell r="X8">
            <v>5000</v>
          </cell>
        </row>
        <row r="9">
          <cell r="D9">
            <v>10100004273</v>
          </cell>
          <cell r="E9" t="str">
            <v>厚膜贴片电阻器</v>
          </cell>
          <cell r="F9">
            <v>10010302</v>
          </cell>
          <cell r="G9" t="str">
            <v>YAGEO\RES 2.2K F 1/10W 0603</v>
          </cell>
          <cell r="H9" t="str">
            <v>YAGEO(国巨)</v>
          </cell>
          <cell r="I9" t="str">
            <v>RC0603FR-072K2L</v>
          </cell>
          <cell r="J9">
            <v>100078</v>
          </cell>
          <cell r="K9" t="str">
            <v>深圳市超利维实业有限公司</v>
          </cell>
          <cell r="L9" t="str">
            <v>X</v>
          </cell>
          <cell r="M9" t="str">
            <v/>
          </cell>
          <cell r="N9">
            <v>1</v>
          </cell>
          <cell r="O9">
            <v>2.5999999999999999E-3</v>
          </cell>
          <cell r="P9">
            <v>2.6</v>
          </cell>
          <cell r="Q9">
            <v>2.6</v>
          </cell>
          <cell r="R9">
            <v>1000</v>
          </cell>
          <cell r="S9" t="str">
            <v>PCS</v>
          </cell>
          <cell r="T9">
            <v>56</v>
          </cell>
          <cell r="U9" t="str">
            <v>J3</v>
          </cell>
          <cell r="V9" t="str">
            <v>CNY</v>
          </cell>
          <cell r="W9">
            <v>5000</v>
          </cell>
          <cell r="X9">
            <v>5000</v>
          </cell>
        </row>
        <row r="10">
          <cell r="D10">
            <v>10100004833</v>
          </cell>
          <cell r="E10" t="str">
            <v>厚膜贴片电阻器</v>
          </cell>
          <cell r="F10">
            <v>10010302</v>
          </cell>
          <cell r="G10" t="str">
            <v>WALS\RES 1K F 1/8W 0805</v>
          </cell>
          <cell r="H10" t="str">
            <v>WALS(华科)</v>
          </cell>
          <cell r="I10" t="str">
            <v>WR08X1001FTL</v>
          </cell>
          <cell r="J10">
            <v>100131</v>
          </cell>
          <cell r="K10" t="str">
            <v>东莞华科电子有限公司</v>
          </cell>
          <cell r="L10" t="str">
            <v>X</v>
          </cell>
          <cell r="M10" t="str">
            <v/>
          </cell>
          <cell r="N10">
            <v>1</v>
          </cell>
          <cell r="O10">
            <v>3.8800000000000002E-3</v>
          </cell>
          <cell r="P10">
            <v>3.88</v>
          </cell>
          <cell r="Q10">
            <v>3.88</v>
          </cell>
          <cell r="R10">
            <v>1000</v>
          </cell>
          <cell r="S10" t="str">
            <v>PCS</v>
          </cell>
          <cell r="T10">
            <v>56</v>
          </cell>
          <cell r="U10" t="str">
            <v>J3</v>
          </cell>
          <cell r="V10" t="str">
            <v>CNY</v>
          </cell>
          <cell r="W10">
            <v>5000</v>
          </cell>
          <cell r="X10">
            <v>5000</v>
          </cell>
        </row>
        <row r="11">
          <cell r="D11">
            <v>10100005487</v>
          </cell>
          <cell r="E11" t="str">
            <v>厚膜贴片电阻器</v>
          </cell>
          <cell r="F11">
            <v>10010302</v>
          </cell>
          <cell r="G11" t="str">
            <v>ROYA\RES 1K F 1/8W 0805</v>
          </cell>
          <cell r="H11" t="str">
            <v>ROYALOHM(厚声)</v>
          </cell>
          <cell r="I11" t="str">
            <v>0805W8F1001T5E</v>
          </cell>
          <cell r="J11">
            <v>100096</v>
          </cell>
          <cell r="K11" t="str">
            <v>厚声国际贸易（昆山）有限公司深圳分公司</v>
          </cell>
          <cell r="L11" t="str">
            <v>X</v>
          </cell>
          <cell r="M11" t="str">
            <v/>
          </cell>
          <cell r="N11">
            <v>1</v>
          </cell>
          <cell r="O11">
            <v>3.8E-3</v>
          </cell>
          <cell r="P11">
            <v>3.8</v>
          </cell>
          <cell r="Q11">
            <v>3.8</v>
          </cell>
          <cell r="R11">
            <v>1000</v>
          </cell>
          <cell r="S11" t="str">
            <v>PCS</v>
          </cell>
          <cell r="T11">
            <v>56</v>
          </cell>
          <cell r="U11" t="str">
            <v>J3</v>
          </cell>
          <cell r="V11" t="str">
            <v>CNY</v>
          </cell>
          <cell r="W11">
            <v>5000</v>
          </cell>
          <cell r="X11">
            <v>5000</v>
          </cell>
        </row>
        <row r="12">
          <cell r="D12">
            <v>10100005703</v>
          </cell>
          <cell r="E12" t="str">
            <v>厚膜贴片电阻器</v>
          </cell>
          <cell r="F12">
            <v>10010302</v>
          </cell>
          <cell r="G12" t="str">
            <v>YAGEO\RES 1K F 1/16W 0402</v>
          </cell>
          <cell r="H12" t="str">
            <v>YAGEO(国巨)</v>
          </cell>
          <cell r="I12" t="str">
            <v>RC0402FR-071KL</v>
          </cell>
          <cell r="J12">
            <v>100078</v>
          </cell>
          <cell r="K12" t="str">
            <v>深圳市超利维实业有限公司</v>
          </cell>
          <cell r="L12" t="str">
            <v>X</v>
          </cell>
          <cell r="M12" t="str">
            <v/>
          </cell>
          <cell r="N12">
            <v>1</v>
          </cell>
          <cell r="O12">
            <v>1.4E-3</v>
          </cell>
          <cell r="P12">
            <v>1.4</v>
          </cell>
          <cell r="Q12">
            <v>1.4</v>
          </cell>
          <cell r="R12">
            <v>1000</v>
          </cell>
          <cell r="S12" t="str">
            <v>PCS</v>
          </cell>
          <cell r="T12">
            <v>84</v>
          </cell>
          <cell r="U12" t="str">
            <v>J3</v>
          </cell>
          <cell r="V12" t="str">
            <v>CNY</v>
          </cell>
          <cell r="W12">
            <v>10000</v>
          </cell>
          <cell r="X12">
            <v>10000</v>
          </cell>
        </row>
        <row r="13">
          <cell r="D13">
            <v>10100005718</v>
          </cell>
          <cell r="E13" t="str">
            <v>厚膜贴片电阻器</v>
          </cell>
          <cell r="F13">
            <v>10010302</v>
          </cell>
          <cell r="G13" t="str">
            <v>FH\RES 1K F 1/16W 0402</v>
          </cell>
          <cell r="H13" t="str">
            <v>FH(风华)</v>
          </cell>
          <cell r="I13" t="str">
            <v>RC-02K1001FT</v>
          </cell>
          <cell r="J13">
            <v>100654</v>
          </cell>
          <cell r="K13" t="str">
            <v>广东风华高新科技股份有限公司</v>
          </cell>
          <cell r="L13" t="str">
            <v>X</v>
          </cell>
          <cell r="M13" t="str">
            <v/>
          </cell>
          <cell r="N13">
            <v>1</v>
          </cell>
          <cell r="O13">
            <v>1.1000000000000001E-3</v>
          </cell>
          <cell r="P13">
            <v>1.1000000000000001</v>
          </cell>
          <cell r="Q13">
            <v>1.1000000000000001</v>
          </cell>
          <cell r="R13">
            <v>1000</v>
          </cell>
          <cell r="S13" t="str">
            <v>PCS</v>
          </cell>
          <cell r="T13">
            <v>42</v>
          </cell>
          <cell r="U13" t="str">
            <v>J3</v>
          </cell>
          <cell r="V13" t="str">
            <v>CNY</v>
          </cell>
          <cell r="W13">
            <v>10000</v>
          </cell>
          <cell r="X13">
            <v>10000</v>
          </cell>
        </row>
        <row r="14">
          <cell r="D14">
            <v>10100005795</v>
          </cell>
          <cell r="E14" t="str">
            <v>厚膜贴片电阻器</v>
          </cell>
          <cell r="F14">
            <v>10010302</v>
          </cell>
          <cell r="G14" t="str">
            <v>FH\RES 10K F 1/16W 0402</v>
          </cell>
          <cell r="H14" t="str">
            <v>FH(风华)</v>
          </cell>
          <cell r="I14" t="str">
            <v>RC-02K1002FT</v>
          </cell>
          <cell r="J14">
            <v>100654</v>
          </cell>
          <cell r="K14" t="str">
            <v>广东风华高新科技股份有限公司</v>
          </cell>
          <cell r="L14" t="str">
            <v>X</v>
          </cell>
          <cell r="M14" t="str">
            <v/>
          </cell>
          <cell r="N14">
            <v>1</v>
          </cell>
          <cell r="O14">
            <v>1.1000000000000001E-3</v>
          </cell>
          <cell r="P14">
            <v>1.1000000000000001</v>
          </cell>
          <cell r="Q14">
            <v>1.1000000000000001</v>
          </cell>
          <cell r="R14">
            <v>1000</v>
          </cell>
          <cell r="S14" t="str">
            <v>PCS</v>
          </cell>
          <cell r="T14">
            <v>42</v>
          </cell>
          <cell r="U14" t="str">
            <v>J3</v>
          </cell>
          <cell r="V14" t="str">
            <v>CNY</v>
          </cell>
          <cell r="W14">
            <v>10000</v>
          </cell>
          <cell r="X14">
            <v>10000</v>
          </cell>
        </row>
        <row r="15">
          <cell r="D15">
            <v>10100006494</v>
          </cell>
          <cell r="E15" t="str">
            <v>厚膜贴片电阻器</v>
          </cell>
          <cell r="F15">
            <v>10010302</v>
          </cell>
          <cell r="G15" t="str">
            <v>FH\RES 2.2K F 1/10W 0603</v>
          </cell>
          <cell r="H15" t="str">
            <v>FH(风华)</v>
          </cell>
          <cell r="I15" t="str">
            <v>RS-03K2201FT</v>
          </cell>
          <cell r="J15">
            <v>100654</v>
          </cell>
          <cell r="K15" t="str">
            <v>广东风华高新科技股份有限公司</v>
          </cell>
          <cell r="L15" t="str">
            <v>X</v>
          </cell>
          <cell r="M15" t="str">
            <v/>
          </cell>
          <cell r="N15">
            <v>1</v>
          </cell>
          <cell r="O15">
            <v>2.0799999999999998E-3</v>
          </cell>
          <cell r="P15">
            <v>2.08</v>
          </cell>
          <cell r="Q15">
            <v>2.08</v>
          </cell>
          <cell r="R15">
            <v>1000</v>
          </cell>
          <cell r="S15" t="str">
            <v>PCS</v>
          </cell>
          <cell r="T15">
            <v>42</v>
          </cell>
          <cell r="U15" t="str">
            <v>J3</v>
          </cell>
          <cell r="V15" t="str">
            <v>CNY</v>
          </cell>
          <cell r="W15">
            <v>5000</v>
          </cell>
          <cell r="X15">
            <v>5000</v>
          </cell>
        </row>
        <row r="16">
          <cell r="D16">
            <v>10100006507</v>
          </cell>
          <cell r="E16" t="str">
            <v>厚膜贴片电阻器</v>
          </cell>
          <cell r="F16">
            <v>10010302</v>
          </cell>
          <cell r="G16" t="str">
            <v>FH\RES 4.7K F 1/10W 0603</v>
          </cell>
          <cell r="H16" t="str">
            <v>FH(风华)</v>
          </cell>
          <cell r="I16" t="str">
            <v>RS-03K4701FT</v>
          </cell>
          <cell r="J16">
            <v>100654</v>
          </cell>
          <cell r="K16" t="str">
            <v>广东风华高新科技股份有限公司</v>
          </cell>
          <cell r="L16" t="str">
            <v>X</v>
          </cell>
          <cell r="M16" t="str">
            <v/>
          </cell>
          <cell r="N16">
            <v>1</v>
          </cell>
          <cell r="O16">
            <v>2.0799999999999998E-3</v>
          </cell>
          <cell r="P16">
            <v>2.08</v>
          </cell>
          <cell r="Q16">
            <v>2.08</v>
          </cell>
          <cell r="R16">
            <v>1000</v>
          </cell>
          <cell r="S16" t="str">
            <v>PCS</v>
          </cell>
          <cell r="T16">
            <v>42</v>
          </cell>
          <cell r="U16" t="str">
            <v>J3</v>
          </cell>
          <cell r="V16" t="str">
            <v>CNY</v>
          </cell>
          <cell r="W16">
            <v>5000</v>
          </cell>
          <cell r="X16">
            <v>5000</v>
          </cell>
        </row>
        <row r="17">
          <cell r="D17">
            <v>10100006627</v>
          </cell>
          <cell r="E17" t="str">
            <v>厚膜贴片电阻器</v>
          </cell>
          <cell r="F17">
            <v>10010302</v>
          </cell>
          <cell r="G17" t="str">
            <v>FH\RES 5.1K F 1/8W 0805</v>
          </cell>
          <cell r="H17" t="str">
            <v>FH(风华)</v>
          </cell>
          <cell r="I17" t="str">
            <v>RS-05K5101FT</v>
          </cell>
          <cell r="J17">
            <v>100654</v>
          </cell>
          <cell r="K17" t="str">
            <v>广东风华高新科技股份有限公司</v>
          </cell>
          <cell r="L17" t="str">
            <v>X</v>
          </cell>
          <cell r="M17" t="str">
            <v/>
          </cell>
          <cell r="N17">
            <v>1</v>
          </cell>
          <cell r="O17">
            <v>3.7200000000000002E-3</v>
          </cell>
          <cell r="P17">
            <v>3.72</v>
          </cell>
          <cell r="Q17">
            <v>3.72</v>
          </cell>
          <cell r="R17">
            <v>1000</v>
          </cell>
          <cell r="S17" t="str">
            <v>PCS</v>
          </cell>
          <cell r="T17">
            <v>42</v>
          </cell>
          <cell r="U17" t="str">
            <v>J3</v>
          </cell>
          <cell r="V17" t="str">
            <v>CNY</v>
          </cell>
          <cell r="W17">
            <v>5000</v>
          </cell>
          <cell r="X17">
            <v>5000</v>
          </cell>
        </row>
        <row r="18">
          <cell r="D18">
            <v>10100006711</v>
          </cell>
          <cell r="E18" t="str">
            <v>厚膜贴片电阻器</v>
          </cell>
          <cell r="F18">
            <v>10010302</v>
          </cell>
          <cell r="G18" t="str">
            <v>WALS\RES 1K F 1/16W 0402</v>
          </cell>
          <cell r="H18" t="str">
            <v>WALS(华科)</v>
          </cell>
          <cell r="I18" t="str">
            <v>WR04X1001FTL</v>
          </cell>
          <cell r="J18">
            <v>100131</v>
          </cell>
          <cell r="K18" t="str">
            <v>东莞华科电子有限公司</v>
          </cell>
          <cell r="L18" t="str">
            <v>X</v>
          </cell>
          <cell r="M18" t="str">
            <v/>
          </cell>
          <cell r="N18">
            <v>1</v>
          </cell>
          <cell r="O18">
            <v>1.17E-3</v>
          </cell>
          <cell r="P18">
            <v>1.17</v>
          </cell>
          <cell r="Q18">
            <v>1.17</v>
          </cell>
          <cell r="R18">
            <v>1000</v>
          </cell>
          <cell r="S18" t="str">
            <v>PCS</v>
          </cell>
          <cell r="T18">
            <v>56</v>
          </cell>
          <cell r="U18" t="str">
            <v>J3</v>
          </cell>
          <cell r="V18" t="str">
            <v>CNY</v>
          </cell>
          <cell r="W18">
            <v>10000</v>
          </cell>
          <cell r="X18">
            <v>10000</v>
          </cell>
        </row>
        <row r="19">
          <cell r="D19">
            <v>10100006793</v>
          </cell>
          <cell r="E19" t="str">
            <v>厚膜贴片电阻器</v>
          </cell>
          <cell r="F19">
            <v>10010302</v>
          </cell>
          <cell r="G19" t="str">
            <v>WALS\RES 68K F 1/10W 0603</v>
          </cell>
          <cell r="H19" t="str">
            <v>WALS(华科)</v>
          </cell>
          <cell r="I19" t="str">
            <v>WR06X6802FTL</v>
          </cell>
          <cell r="J19">
            <v>100131</v>
          </cell>
          <cell r="K19" t="str">
            <v>东莞华科电子有限公司</v>
          </cell>
          <cell r="L19" t="str">
            <v>X</v>
          </cell>
          <cell r="M19" t="str">
            <v/>
          </cell>
          <cell r="N19">
            <v>1</v>
          </cell>
          <cell r="O19">
            <v>2.2200000000000002E-3</v>
          </cell>
          <cell r="P19">
            <v>2.2200000000000002</v>
          </cell>
          <cell r="Q19">
            <v>2.2200000000000002</v>
          </cell>
          <cell r="R19">
            <v>1000</v>
          </cell>
          <cell r="S19" t="str">
            <v>PCS</v>
          </cell>
          <cell r="T19">
            <v>56</v>
          </cell>
          <cell r="U19" t="str">
            <v>J3</v>
          </cell>
          <cell r="V19" t="str">
            <v>CNY</v>
          </cell>
          <cell r="W19">
            <v>5000</v>
          </cell>
          <cell r="X19">
            <v>5000</v>
          </cell>
        </row>
        <row r="20">
          <cell r="D20">
            <v>10100006809</v>
          </cell>
          <cell r="E20" t="str">
            <v>厚膜贴片电阻器</v>
          </cell>
          <cell r="F20">
            <v>10010302</v>
          </cell>
          <cell r="G20" t="str">
            <v>WALS\RES 2.2K F 1/10W 0603</v>
          </cell>
          <cell r="H20" t="str">
            <v>WALS(华科)</v>
          </cell>
          <cell r="I20" t="str">
            <v>WR06X2201FTL</v>
          </cell>
          <cell r="J20">
            <v>100131</v>
          </cell>
          <cell r="K20" t="str">
            <v>东莞华科电子有限公司</v>
          </cell>
          <cell r="L20" t="str">
            <v>X</v>
          </cell>
          <cell r="M20" t="str">
            <v/>
          </cell>
          <cell r="N20">
            <v>1</v>
          </cell>
          <cell r="O20">
            <v>2.2200000000000002E-3</v>
          </cell>
          <cell r="P20">
            <v>2.2200000000000002</v>
          </cell>
          <cell r="Q20">
            <v>2.2200000000000002</v>
          </cell>
          <cell r="R20">
            <v>1000</v>
          </cell>
          <cell r="S20" t="str">
            <v>PCS</v>
          </cell>
          <cell r="T20">
            <v>56</v>
          </cell>
          <cell r="U20" t="str">
            <v>J3</v>
          </cell>
          <cell r="V20" t="str">
            <v>CNY</v>
          </cell>
          <cell r="W20">
            <v>5000</v>
          </cell>
          <cell r="X20">
            <v>5000</v>
          </cell>
        </row>
        <row r="21">
          <cell r="D21">
            <v>10100006845</v>
          </cell>
          <cell r="E21" t="str">
            <v>厚膜贴片电阻器</v>
          </cell>
          <cell r="F21">
            <v>10010302</v>
          </cell>
          <cell r="G21" t="str">
            <v>WALS\RES 4.7K F 1/10W 0603</v>
          </cell>
          <cell r="H21" t="str">
            <v>WALS(华科)</v>
          </cell>
          <cell r="I21" t="str">
            <v>WR06X4701FTL</v>
          </cell>
          <cell r="J21">
            <v>100131</v>
          </cell>
          <cell r="K21" t="str">
            <v>东莞华科电子有限公司</v>
          </cell>
          <cell r="L21" t="str">
            <v>X</v>
          </cell>
          <cell r="M21" t="str">
            <v/>
          </cell>
          <cell r="N21">
            <v>1</v>
          </cell>
          <cell r="O21">
            <v>2.2200000000000002E-3</v>
          </cell>
          <cell r="P21">
            <v>2.2200000000000002</v>
          </cell>
          <cell r="Q21">
            <v>2.2200000000000002</v>
          </cell>
          <cell r="R21">
            <v>1000</v>
          </cell>
          <cell r="S21" t="str">
            <v>PCS</v>
          </cell>
          <cell r="T21">
            <v>56</v>
          </cell>
          <cell r="U21" t="str">
            <v>J3</v>
          </cell>
          <cell r="V21" t="str">
            <v>CNY</v>
          </cell>
          <cell r="W21">
            <v>5000</v>
          </cell>
          <cell r="X21">
            <v>5000</v>
          </cell>
        </row>
        <row r="22">
          <cell r="D22">
            <v>10100006984</v>
          </cell>
          <cell r="E22" t="str">
            <v>厚膜贴片电阻器</v>
          </cell>
          <cell r="F22">
            <v>10010302</v>
          </cell>
          <cell r="G22" t="str">
            <v>WALS\RES 470R F 1/4W 1206</v>
          </cell>
          <cell r="H22" t="str">
            <v>WALS(华科)</v>
          </cell>
          <cell r="I22" t="str">
            <v>WR12X4700FTL</v>
          </cell>
          <cell r="J22">
            <v>100131</v>
          </cell>
          <cell r="K22" t="str">
            <v>东莞华科电子有限公司</v>
          </cell>
          <cell r="L22" t="str">
            <v>X</v>
          </cell>
          <cell r="M22" t="str">
            <v/>
          </cell>
          <cell r="N22">
            <v>1</v>
          </cell>
          <cell r="O22">
            <v>6.9499999999999996E-3</v>
          </cell>
          <cell r="P22">
            <v>6.95</v>
          </cell>
          <cell r="Q22">
            <v>6.95</v>
          </cell>
          <cell r="R22">
            <v>1000</v>
          </cell>
          <cell r="S22" t="str">
            <v>PCS</v>
          </cell>
          <cell r="T22">
            <v>70</v>
          </cell>
          <cell r="U22" t="str">
            <v>J3</v>
          </cell>
          <cell r="V22" t="str">
            <v>CNY</v>
          </cell>
          <cell r="W22">
            <v>5000</v>
          </cell>
          <cell r="X22">
            <v>5000</v>
          </cell>
        </row>
        <row r="23">
          <cell r="D23">
            <v>10100007109</v>
          </cell>
          <cell r="E23" t="str">
            <v>厚膜贴片电阻器</v>
          </cell>
          <cell r="F23">
            <v>10010302</v>
          </cell>
          <cell r="G23" t="str">
            <v>WALS\RES 5.1K F 1/8W 0805</v>
          </cell>
          <cell r="H23" t="str">
            <v>WALS(华科)</v>
          </cell>
          <cell r="I23" t="str">
            <v>WR08X5101FTL</v>
          </cell>
          <cell r="J23">
            <v>100131</v>
          </cell>
          <cell r="K23" t="str">
            <v>东莞华科电子有限公司</v>
          </cell>
          <cell r="L23" t="str">
            <v>X</v>
          </cell>
          <cell r="M23" t="str">
            <v/>
          </cell>
          <cell r="N23">
            <v>1</v>
          </cell>
          <cell r="O23">
            <v>3.8800000000000002E-3</v>
          </cell>
          <cell r="P23">
            <v>3.88</v>
          </cell>
          <cell r="Q23">
            <v>3.88</v>
          </cell>
          <cell r="R23">
            <v>1000</v>
          </cell>
          <cell r="S23" t="str">
            <v>PCS</v>
          </cell>
          <cell r="T23">
            <v>56</v>
          </cell>
          <cell r="U23" t="str">
            <v>J3</v>
          </cell>
          <cell r="V23" t="str">
            <v>CNY</v>
          </cell>
          <cell r="W23">
            <v>5000</v>
          </cell>
          <cell r="X23">
            <v>5000</v>
          </cell>
        </row>
        <row r="24">
          <cell r="D24">
            <v>10100007615</v>
          </cell>
          <cell r="E24" t="str">
            <v>厚膜贴片电阻器</v>
          </cell>
          <cell r="F24">
            <v>10010302</v>
          </cell>
          <cell r="G24" t="str">
            <v>YAGEO\RES 100R F 1/16W 0402</v>
          </cell>
          <cell r="H24" t="str">
            <v>YAGEO(国巨)</v>
          </cell>
          <cell r="I24" t="str">
            <v>RC0402FR-07100RL</v>
          </cell>
          <cell r="J24">
            <v>100078</v>
          </cell>
          <cell r="K24" t="str">
            <v>深圳市超利维实业有限公司</v>
          </cell>
          <cell r="L24" t="str">
            <v>X</v>
          </cell>
          <cell r="M24" t="str">
            <v/>
          </cell>
          <cell r="N24">
            <v>1</v>
          </cell>
          <cell r="O24">
            <v>1.4E-3</v>
          </cell>
          <cell r="P24">
            <v>1.4</v>
          </cell>
          <cell r="Q24">
            <v>1.4</v>
          </cell>
          <cell r="R24">
            <v>1000</v>
          </cell>
          <cell r="S24" t="str">
            <v>PCS</v>
          </cell>
          <cell r="T24">
            <v>84</v>
          </cell>
          <cell r="U24" t="str">
            <v>J3</v>
          </cell>
          <cell r="V24" t="str">
            <v>CNY</v>
          </cell>
          <cell r="W24">
            <v>10000</v>
          </cell>
          <cell r="X24">
            <v>10000</v>
          </cell>
        </row>
        <row r="25">
          <cell r="D25">
            <v>10100008011</v>
          </cell>
          <cell r="E25" t="str">
            <v>厚膜贴片电阻器</v>
          </cell>
          <cell r="F25">
            <v>10010302</v>
          </cell>
          <cell r="G25" t="str">
            <v>WALS\RES 100R F 1/4W 1206</v>
          </cell>
          <cell r="H25" t="str">
            <v>WALS(华科)</v>
          </cell>
          <cell r="I25" t="str">
            <v>WR12X1000FTL</v>
          </cell>
          <cell r="J25">
            <v>100131</v>
          </cell>
          <cell r="K25" t="str">
            <v>东莞华科电子有限公司</v>
          </cell>
          <cell r="L25" t="str">
            <v>X</v>
          </cell>
          <cell r="M25" t="str">
            <v/>
          </cell>
          <cell r="N25">
            <v>1</v>
          </cell>
          <cell r="O25">
            <v>6.9499999999999996E-3</v>
          </cell>
          <cell r="P25">
            <v>6.95</v>
          </cell>
          <cell r="Q25">
            <v>6.95</v>
          </cell>
          <cell r="R25">
            <v>1000</v>
          </cell>
          <cell r="S25" t="str">
            <v>PCS</v>
          </cell>
          <cell r="T25">
            <v>70</v>
          </cell>
          <cell r="U25" t="str">
            <v>J3</v>
          </cell>
          <cell r="V25" t="str">
            <v>CNY</v>
          </cell>
          <cell r="W25">
            <v>5000</v>
          </cell>
          <cell r="X25">
            <v>5000</v>
          </cell>
        </row>
        <row r="26">
          <cell r="D26">
            <v>10100008057</v>
          </cell>
          <cell r="E26" t="str">
            <v>厚膜贴片电阻器</v>
          </cell>
          <cell r="F26">
            <v>10010302</v>
          </cell>
          <cell r="G26" t="str">
            <v>FH\RES 22K F 1/16W 0402</v>
          </cell>
          <cell r="H26" t="str">
            <v>FH(风华)</v>
          </cell>
          <cell r="I26" t="str">
            <v>RC-02K2202FT</v>
          </cell>
          <cell r="J26">
            <v>100654</v>
          </cell>
          <cell r="K26" t="str">
            <v>广东风华高新科技股份有限公司</v>
          </cell>
          <cell r="L26" t="str">
            <v>X</v>
          </cell>
          <cell r="M26" t="str">
            <v/>
          </cell>
          <cell r="N26">
            <v>1</v>
          </cell>
          <cell r="O26">
            <v>1.1000000000000001E-3</v>
          </cell>
          <cell r="P26">
            <v>1.1000000000000001</v>
          </cell>
          <cell r="Q26">
            <v>1.1000000000000001</v>
          </cell>
          <cell r="R26">
            <v>1000</v>
          </cell>
          <cell r="S26" t="str">
            <v>PCS</v>
          </cell>
          <cell r="T26">
            <v>42</v>
          </cell>
          <cell r="U26" t="str">
            <v>J3</v>
          </cell>
          <cell r="V26" t="str">
            <v>CNY</v>
          </cell>
          <cell r="W26">
            <v>10000</v>
          </cell>
          <cell r="X26">
            <v>10000</v>
          </cell>
        </row>
        <row r="27">
          <cell r="D27">
            <v>10100008069</v>
          </cell>
          <cell r="E27" t="str">
            <v>厚膜贴片电阻器</v>
          </cell>
          <cell r="F27">
            <v>10010302</v>
          </cell>
          <cell r="G27" t="str">
            <v>WALS\RES 22K F 1/16W 0402</v>
          </cell>
          <cell r="H27" t="str">
            <v>WALS(华科)</v>
          </cell>
          <cell r="I27" t="str">
            <v>WR04X2202FTL</v>
          </cell>
          <cell r="J27">
            <v>100131</v>
          </cell>
          <cell r="K27" t="str">
            <v>东莞华科电子有限公司</v>
          </cell>
          <cell r="L27" t="str">
            <v>X</v>
          </cell>
          <cell r="M27" t="str">
            <v/>
          </cell>
          <cell r="N27">
            <v>1</v>
          </cell>
          <cell r="O27">
            <v>1.17E-3</v>
          </cell>
          <cell r="P27">
            <v>1.17</v>
          </cell>
          <cell r="Q27">
            <v>1.17</v>
          </cell>
          <cell r="R27">
            <v>1000</v>
          </cell>
          <cell r="S27" t="str">
            <v>PCS</v>
          </cell>
          <cell r="T27">
            <v>56</v>
          </cell>
          <cell r="U27" t="str">
            <v>J3</v>
          </cell>
          <cell r="V27" t="str">
            <v>CNY</v>
          </cell>
          <cell r="W27">
            <v>10000</v>
          </cell>
          <cell r="X27">
            <v>10000</v>
          </cell>
        </row>
        <row r="28">
          <cell r="D28">
            <v>10100008075</v>
          </cell>
          <cell r="E28" t="str">
            <v>厚膜贴片电阻器</v>
          </cell>
          <cell r="F28">
            <v>10010302</v>
          </cell>
          <cell r="G28" t="str">
            <v>YAGEO\RES 22K F 1/16W 0402</v>
          </cell>
          <cell r="H28" t="str">
            <v>YAGEO(国巨)</v>
          </cell>
          <cell r="I28" t="str">
            <v>RC0402FR-0722KL</v>
          </cell>
          <cell r="J28">
            <v>100078</v>
          </cell>
          <cell r="K28" t="str">
            <v>深圳市超利维实业有限公司</v>
          </cell>
          <cell r="L28" t="str">
            <v>X</v>
          </cell>
          <cell r="M28" t="str">
            <v/>
          </cell>
          <cell r="N28">
            <v>1</v>
          </cell>
          <cell r="O28">
            <v>1.4E-3</v>
          </cell>
          <cell r="P28">
            <v>1.4</v>
          </cell>
          <cell r="Q28">
            <v>1.4</v>
          </cell>
          <cell r="R28">
            <v>1000</v>
          </cell>
          <cell r="S28" t="str">
            <v>PCS</v>
          </cell>
          <cell r="T28">
            <v>56</v>
          </cell>
          <cell r="U28" t="str">
            <v>J3</v>
          </cell>
          <cell r="V28" t="str">
            <v>CNY</v>
          </cell>
          <cell r="W28">
            <v>10000</v>
          </cell>
          <cell r="X28">
            <v>10000</v>
          </cell>
        </row>
        <row r="29">
          <cell r="D29">
            <v>10100008302</v>
          </cell>
          <cell r="E29" t="str">
            <v>厚膜贴片电阻器</v>
          </cell>
          <cell r="F29">
            <v>10010302</v>
          </cell>
          <cell r="G29" t="str">
            <v>WALS\RES 100R F 1/16W 0402</v>
          </cell>
          <cell r="H29" t="str">
            <v>WALS(华科)</v>
          </cell>
          <cell r="I29" t="str">
            <v>WR04X1000FTL</v>
          </cell>
          <cell r="J29">
            <v>100131</v>
          </cell>
          <cell r="K29" t="str">
            <v>东莞华科电子有限公司</v>
          </cell>
          <cell r="L29" t="str">
            <v>X</v>
          </cell>
          <cell r="M29" t="str">
            <v/>
          </cell>
          <cell r="N29">
            <v>1</v>
          </cell>
          <cell r="O29">
            <v>1.17E-3</v>
          </cell>
          <cell r="P29">
            <v>1.17</v>
          </cell>
          <cell r="Q29">
            <v>1.17</v>
          </cell>
          <cell r="R29">
            <v>1000</v>
          </cell>
          <cell r="S29" t="str">
            <v>PCS</v>
          </cell>
          <cell r="T29">
            <v>56</v>
          </cell>
          <cell r="U29" t="str">
            <v>J3</v>
          </cell>
          <cell r="V29" t="str">
            <v>CNY</v>
          </cell>
          <cell r="W29">
            <v>10000</v>
          </cell>
          <cell r="X29">
            <v>10000</v>
          </cell>
        </row>
        <row r="30">
          <cell r="D30">
            <v>10100008735</v>
          </cell>
          <cell r="E30" t="str">
            <v>厚膜贴片电阻器</v>
          </cell>
          <cell r="F30">
            <v>10010302</v>
          </cell>
          <cell r="G30" t="str">
            <v>FH\RES 0R R&lt;10mR 1/16W 0402 1A</v>
          </cell>
          <cell r="H30" t="str">
            <v>FH(风华)</v>
          </cell>
          <cell r="I30" t="str">
            <v>RC-02000FT</v>
          </cell>
          <cell r="J30">
            <v>100654</v>
          </cell>
          <cell r="K30" t="str">
            <v>广东风华高新科技股份有限公司</v>
          </cell>
          <cell r="L30" t="str">
            <v>X</v>
          </cell>
          <cell r="M30" t="str">
            <v/>
          </cell>
          <cell r="N30">
            <v>1</v>
          </cell>
          <cell r="O30">
            <v>1.1000000000000001E-3</v>
          </cell>
          <cell r="P30">
            <v>1.1000000000000001</v>
          </cell>
          <cell r="Q30">
            <v>1.1000000000000001</v>
          </cell>
          <cell r="R30">
            <v>1000</v>
          </cell>
          <cell r="S30" t="str">
            <v>PCS</v>
          </cell>
          <cell r="T30">
            <v>42</v>
          </cell>
          <cell r="U30" t="str">
            <v>J3</v>
          </cell>
          <cell r="V30" t="str">
            <v>CNY</v>
          </cell>
          <cell r="W30">
            <v>10000</v>
          </cell>
          <cell r="X30">
            <v>10000</v>
          </cell>
        </row>
        <row r="31">
          <cell r="D31">
            <v>10100008776</v>
          </cell>
          <cell r="E31" t="str">
            <v>厚膜贴片电阻器</v>
          </cell>
          <cell r="F31">
            <v>10010302</v>
          </cell>
          <cell r="G31" t="str">
            <v>FH\RES 0R R&lt;10mR 1/10W 0603 1A</v>
          </cell>
          <cell r="H31" t="str">
            <v>FH(风华)</v>
          </cell>
          <cell r="I31" t="str">
            <v>RS-03000FT</v>
          </cell>
          <cell r="J31">
            <v>100654</v>
          </cell>
          <cell r="K31" t="str">
            <v>广东风华高新科技股份有限公司</v>
          </cell>
          <cell r="L31" t="str">
            <v>X</v>
          </cell>
          <cell r="M31" t="str">
            <v/>
          </cell>
          <cell r="N31">
            <v>1</v>
          </cell>
          <cell r="O31">
            <v>2.0799999999999998E-3</v>
          </cell>
          <cell r="P31">
            <v>2.08</v>
          </cell>
          <cell r="Q31">
            <v>2.08</v>
          </cell>
          <cell r="R31">
            <v>1000</v>
          </cell>
          <cell r="S31" t="str">
            <v>PCS</v>
          </cell>
          <cell r="T31">
            <v>42</v>
          </cell>
          <cell r="U31" t="str">
            <v>J3</v>
          </cell>
          <cell r="V31" t="str">
            <v>CNY</v>
          </cell>
          <cell r="W31">
            <v>5000</v>
          </cell>
          <cell r="X31">
            <v>5000</v>
          </cell>
        </row>
        <row r="32">
          <cell r="D32">
            <v>10100008807</v>
          </cell>
          <cell r="E32" t="str">
            <v>厚膜贴片电阻器</v>
          </cell>
          <cell r="F32">
            <v>10010302</v>
          </cell>
          <cell r="G32" t="str">
            <v>WALS\RES 390R F 1/16W 0402</v>
          </cell>
          <cell r="H32" t="str">
            <v>WALS(华科)</v>
          </cell>
          <cell r="I32" t="str">
            <v>WR04X3900FTL</v>
          </cell>
          <cell r="J32">
            <v>100131</v>
          </cell>
          <cell r="K32" t="str">
            <v>东莞华科电子有限公司</v>
          </cell>
          <cell r="L32" t="str">
            <v>X</v>
          </cell>
          <cell r="M32" t="str">
            <v/>
          </cell>
          <cell r="N32">
            <v>1</v>
          </cell>
          <cell r="O32">
            <v>1.17E-3</v>
          </cell>
          <cell r="P32">
            <v>1.17</v>
          </cell>
          <cell r="Q32">
            <v>1.17</v>
          </cell>
          <cell r="R32">
            <v>1000</v>
          </cell>
          <cell r="S32" t="str">
            <v>PCS</v>
          </cell>
          <cell r="T32">
            <v>56</v>
          </cell>
          <cell r="U32" t="str">
            <v>J3</v>
          </cell>
          <cell r="V32" t="str">
            <v>CNY</v>
          </cell>
          <cell r="W32">
            <v>10000</v>
          </cell>
          <cell r="X32">
            <v>10000</v>
          </cell>
        </row>
        <row r="33">
          <cell r="D33">
            <v>10100008809</v>
          </cell>
          <cell r="E33" t="str">
            <v>厚膜贴片电阻器</v>
          </cell>
          <cell r="F33">
            <v>10010302</v>
          </cell>
          <cell r="G33" t="str">
            <v>FH\RES 390R F 1/16W 0402</v>
          </cell>
          <cell r="H33" t="str">
            <v>FH(风华)</v>
          </cell>
          <cell r="I33" t="str">
            <v>RC-02K3900FT</v>
          </cell>
          <cell r="J33">
            <v>100654</v>
          </cell>
          <cell r="K33" t="str">
            <v>广东风华高新科技股份有限公司</v>
          </cell>
          <cell r="L33" t="str">
            <v>X</v>
          </cell>
          <cell r="M33" t="str">
            <v/>
          </cell>
          <cell r="N33">
            <v>1</v>
          </cell>
          <cell r="O33">
            <v>1.1000000000000001E-3</v>
          </cell>
          <cell r="P33">
            <v>1.1000000000000001</v>
          </cell>
          <cell r="Q33">
            <v>1.1000000000000001</v>
          </cell>
          <cell r="R33">
            <v>1000</v>
          </cell>
          <cell r="S33" t="str">
            <v>PCS</v>
          </cell>
          <cell r="T33">
            <v>42</v>
          </cell>
          <cell r="U33" t="str">
            <v>J3</v>
          </cell>
          <cell r="V33" t="str">
            <v>CNY</v>
          </cell>
          <cell r="W33">
            <v>10000</v>
          </cell>
          <cell r="X33">
            <v>10000</v>
          </cell>
        </row>
        <row r="34">
          <cell r="D34">
            <v>10100008827</v>
          </cell>
          <cell r="E34" t="str">
            <v>厚膜贴片电阻器</v>
          </cell>
          <cell r="F34">
            <v>10010302</v>
          </cell>
          <cell r="G34" t="str">
            <v>WALS\RES 9.1K F 1/16W 0402</v>
          </cell>
          <cell r="H34" t="str">
            <v>WALS(华科)</v>
          </cell>
          <cell r="I34" t="str">
            <v>WR04X9101FTL</v>
          </cell>
          <cell r="J34">
            <v>100131</v>
          </cell>
          <cell r="K34" t="str">
            <v>东莞华科电子有限公司</v>
          </cell>
          <cell r="L34" t="str">
            <v>X</v>
          </cell>
          <cell r="M34" t="str">
            <v/>
          </cell>
          <cell r="N34">
            <v>1</v>
          </cell>
          <cell r="O34">
            <v>1.17E-3</v>
          </cell>
          <cell r="P34">
            <v>1.17</v>
          </cell>
          <cell r="Q34">
            <v>1.17</v>
          </cell>
          <cell r="R34">
            <v>1000</v>
          </cell>
          <cell r="S34" t="str">
            <v>PCS</v>
          </cell>
          <cell r="T34">
            <v>56</v>
          </cell>
          <cell r="U34" t="str">
            <v>J3</v>
          </cell>
          <cell r="V34" t="str">
            <v>CNY</v>
          </cell>
          <cell r="W34">
            <v>10000</v>
          </cell>
          <cell r="X34">
            <v>10000</v>
          </cell>
        </row>
        <row r="35">
          <cell r="D35">
            <v>10100008830</v>
          </cell>
          <cell r="E35" t="str">
            <v>厚膜贴片电阻器</v>
          </cell>
          <cell r="F35">
            <v>10010302</v>
          </cell>
          <cell r="G35" t="str">
            <v>YAGEO\RES 9.1K F 1/16W 0402</v>
          </cell>
          <cell r="H35" t="str">
            <v>YAGEO(国巨)</v>
          </cell>
          <cell r="I35" t="str">
            <v>RC0402FR-079K1L</v>
          </cell>
          <cell r="J35">
            <v>100632</v>
          </cell>
          <cell r="K35" t="str">
            <v>深圳市欧尔法电子有限公司</v>
          </cell>
          <cell r="L35" t="str">
            <v>X</v>
          </cell>
          <cell r="M35" t="str">
            <v/>
          </cell>
          <cell r="N35">
            <v>1</v>
          </cell>
          <cell r="O35">
            <v>1.39E-3</v>
          </cell>
          <cell r="P35">
            <v>1.39</v>
          </cell>
          <cell r="Q35">
            <v>1.39</v>
          </cell>
          <cell r="R35">
            <v>1000</v>
          </cell>
          <cell r="S35" t="str">
            <v>PCS</v>
          </cell>
          <cell r="T35">
            <v>56</v>
          </cell>
          <cell r="U35" t="str">
            <v>J3</v>
          </cell>
          <cell r="V35" t="str">
            <v>CNY</v>
          </cell>
          <cell r="W35">
            <v>10000</v>
          </cell>
          <cell r="X35">
            <v>10000</v>
          </cell>
        </row>
        <row r="36">
          <cell r="D36">
            <v>10100009092</v>
          </cell>
          <cell r="E36" t="str">
            <v>厚膜贴片电阻器</v>
          </cell>
          <cell r="F36">
            <v>10010302</v>
          </cell>
          <cell r="G36" t="str">
            <v>YAGEO\RES 2K F 1/16W 0402</v>
          </cell>
          <cell r="H36" t="str">
            <v>YAGEO(国巨)</v>
          </cell>
          <cell r="I36" t="str">
            <v>RC0402FR-072KL</v>
          </cell>
          <cell r="J36">
            <v>101553</v>
          </cell>
          <cell r="K36" t="str">
            <v>深圳市奥特高科电子有限公司</v>
          </cell>
          <cell r="L36" t="str">
            <v>X</v>
          </cell>
          <cell r="M36" t="str">
            <v/>
          </cell>
          <cell r="N36">
            <v>1</v>
          </cell>
          <cell r="O36">
            <v>1.2999999999999999E-3</v>
          </cell>
          <cell r="P36">
            <v>1.3</v>
          </cell>
          <cell r="Q36">
            <v>1.3</v>
          </cell>
          <cell r="R36">
            <v>1000</v>
          </cell>
          <cell r="S36" t="str">
            <v>PCS</v>
          </cell>
          <cell r="T36">
            <v>84</v>
          </cell>
          <cell r="U36" t="str">
            <v>J3</v>
          </cell>
          <cell r="V36" t="str">
            <v>CNY</v>
          </cell>
          <cell r="W36">
            <v>10000</v>
          </cell>
          <cell r="X36">
            <v>10000</v>
          </cell>
        </row>
        <row r="37">
          <cell r="D37">
            <v>10100009093</v>
          </cell>
          <cell r="E37" t="str">
            <v>厚膜贴片电阻器</v>
          </cell>
          <cell r="F37">
            <v>10010302</v>
          </cell>
          <cell r="G37" t="str">
            <v>WALS\RES 2K F 1/16W 0402</v>
          </cell>
          <cell r="H37" t="str">
            <v>WALS(华科)</v>
          </cell>
          <cell r="I37" t="str">
            <v>WR04X2001FTL</v>
          </cell>
          <cell r="J37">
            <v>100131</v>
          </cell>
          <cell r="K37" t="str">
            <v>东莞华科电子有限公司</v>
          </cell>
          <cell r="L37" t="str">
            <v>X</v>
          </cell>
          <cell r="M37" t="str">
            <v/>
          </cell>
          <cell r="N37">
            <v>1</v>
          </cell>
          <cell r="O37">
            <v>1.17E-3</v>
          </cell>
          <cell r="P37">
            <v>1.17</v>
          </cell>
          <cell r="Q37">
            <v>1.17</v>
          </cell>
          <cell r="R37">
            <v>1000</v>
          </cell>
          <cell r="S37" t="str">
            <v>PCS</v>
          </cell>
          <cell r="T37">
            <v>56</v>
          </cell>
          <cell r="U37" t="str">
            <v>J3</v>
          </cell>
          <cell r="V37" t="str">
            <v>CNY</v>
          </cell>
          <cell r="W37">
            <v>10000</v>
          </cell>
          <cell r="X37">
            <v>10000</v>
          </cell>
        </row>
        <row r="38">
          <cell r="D38">
            <v>10100009552</v>
          </cell>
          <cell r="E38" t="str">
            <v>厚膜贴片电阻器</v>
          </cell>
          <cell r="F38">
            <v>10010302</v>
          </cell>
          <cell r="G38" t="str">
            <v>ROYA\RES 2.2K F 1/10W 0603</v>
          </cell>
          <cell r="H38" t="str">
            <v>ROYALOHM(厚声)</v>
          </cell>
          <cell r="I38" t="str">
            <v>0603WAF2201T5E</v>
          </cell>
          <cell r="J38">
            <v>100096</v>
          </cell>
          <cell r="K38" t="str">
            <v>厚声国际贸易（昆山）有限公司深圳分公司</v>
          </cell>
          <cell r="L38" t="str">
            <v>X</v>
          </cell>
          <cell r="M38" t="str">
            <v/>
          </cell>
          <cell r="N38">
            <v>1</v>
          </cell>
          <cell r="O38">
            <v>2.0999999999999999E-3</v>
          </cell>
          <cell r="P38">
            <v>2.1</v>
          </cell>
          <cell r="Q38">
            <v>2.1</v>
          </cell>
          <cell r="R38">
            <v>1000</v>
          </cell>
          <cell r="S38" t="str">
            <v>PCS</v>
          </cell>
          <cell r="T38">
            <v>56</v>
          </cell>
          <cell r="U38" t="str">
            <v>J3</v>
          </cell>
          <cell r="V38" t="str">
            <v>CNY</v>
          </cell>
          <cell r="W38">
            <v>5000</v>
          </cell>
          <cell r="X38">
            <v>5000</v>
          </cell>
        </row>
        <row r="39">
          <cell r="D39">
            <v>10100009721</v>
          </cell>
          <cell r="E39" t="str">
            <v>厚膜贴片电阻器</v>
          </cell>
          <cell r="F39">
            <v>10010302</v>
          </cell>
          <cell r="G39" t="str">
            <v>YAGEO\RES 11K F 1/16W 0402</v>
          </cell>
          <cell r="H39" t="str">
            <v>YAGEO(国巨)</v>
          </cell>
          <cell r="I39" t="str">
            <v>RC0402FR-0711KL</v>
          </cell>
          <cell r="J39">
            <v>100078</v>
          </cell>
          <cell r="K39" t="str">
            <v>深圳市超利维实业有限公司</v>
          </cell>
          <cell r="L39" t="str">
            <v>X</v>
          </cell>
          <cell r="M39" t="str">
            <v/>
          </cell>
          <cell r="N39">
            <v>1</v>
          </cell>
          <cell r="O39">
            <v>1.4E-3</v>
          </cell>
          <cell r="P39">
            <v>1.4</v>
          </cell>
          <cell r="Q39">
            <v>1.4</v>
          </cell>
          <cell r="R39">
            <v>1000</v>
          </cell>
          <cell r="S39" t="str">
            <v>PCS</v>
          </cell>
          <cell r="T39">
            <v>84</v>
          </cell>
          <cell r="U39" t="str">
            <v>J3</v>
          </cell>
          <cell r="V39" t="str">
            <v>CNY</v>
          </cell>
          <cell r="W39">
            <v>10000</v>
          </cell>
          <cell r="X39">
            <v>10000</v>
          </cell>
        </row>
        <row r="40">
          <cell r="D40">
            <v>10100009722</v>
          </cell>
          <cell r="E40" t="str">
            <v>厚膜贴片电阻器</v>
          </cell>
          <cell r="F40">
            <v>10010302</v>
          </cell>
          <cell r="G40" t="str">
            <v>WALS\RES 11K F 1/16W 0402</v>
          </cell>
          <cell r="H40" t="str">
            <v>WALS(华科)</v>
          </cell>
          <cell r="I40" t="str">
            <v>WR04X1102FTL</v>
          </cell>
          <cell r="J40">
            <v>100131</v>
          </cell>
          <cell r="K40" t="str">
            <v>东莞华科电子有限公司</v>
          </cell>
          <cell r="L40" t="str">
            <v>X</v>
          </cell>
          <cell r="M40" t="str">
            <v/>
          </cell>
          <cell r="N40">
            <v>1</v>
          </cell>
          <cell r="O40">
            <v>1.17E-3</v>
          </cell>
          <cell r="P40">
            <v>1.17</v>
          </cell>
          <cell r="Q40">
            <v>1.17</v>
          </cell>
          <cell r="R40">
            <v>1000</v>
          </cell>
          <cell r="S40" t="str">
            <v>PCS</v>
          </cell>
          <cell r="T40">
            <v>56</v>
          </cell>
          <cell r="U40" t="str">
            <v>J3</v>
          </cell>
          <cell r="V40" t="str">
            <v>CNY</v>
          </cell>
          <cell r="W40">
            <v>10000</v>
          </cell>
          <cell r="X40">
            <v>10000</v>
          </cell>
        </row>
        <row r="41">
          <cell r="D41">
            <v>10100009838</v>
          </cell>
          <cell r="E41" t="str">
            <v>厚膜贴片电阻器</v>
          </cell>
          <cell r="F41">
            <v>10010302</v>
          </cell>
          <cell r="G41" t="str">
            <v>ROYA\RES 10K F 1/16W 0402</v>
          </cell>
          <cell r="H41" t="str">
            <v>ROYALOHM(厚声)</v>
          </cell>
          <cell r="I41" t="str">
            <v>0402WGF1002TCE</v>
          </cell>
          <cell r="J41">
            <v>100096</v>
          </cell>
          <cell r="K41" t="str">
            <v>厚声国际贸易（昆山）有限公司深圳分公司</v>
          </cell>
          <cell r="L41" t="str">
            <v>X</v>
          </cell>
          <cell r="M41" t="str">
            <v/>
          </cell>
          <cell r="N41">
            <v>1</v>
          </cell>
          <cell r="O41">
            <v>1.09E-3</v>
          </cell>
          <cell r="P41">
            <v>1.0900000000000001</v>
          </cell>
          <cell r="Q41">
            <v>1.0900000000000001</v>
          </cell>
          <cell r="R41">
            <v>1000</v>
          </cell>
          <cell r="S41" t="str">
            <v>PCS</v>
          </cell>
          <cell r="T41">
            <v>56</v>
          </cell>
          <cell r="U41" t="str">
            <v>J3</v>
          </cell>
          <cell r="V41" t="str">
            <v>CNY</v>
          </cell>
          <cell r="W41">
            <v>10000</v>
          </cell>
          <cell r="X41">
            <v>10000</v>
          </cell>
        </row>
        <row r="42">
          <cell r="D42">
            <v>10100010045</v>
          </cell>
          <cell r="E42" t="str">
            <v>厚膜贴片电阻器</v>
          </cell>
          <cell r="F42">
            <v>10010302</v>
          </cell>
          <cell r="G42" t="str">
            <v>WALS\RES 10K F 1/16W 0402</v>
          </cell>
          <cell r="H42" t="str">
            <v>WALS(华科)</v>
          </cell>
          <cell r="I42" t="str">
            <v>WR04X1002FTL</v>
          </cell>
          <cell r="J42">
            <v>100131</v>
          </cell>
          <cell r="K42" t="str">
            <v>东莞华科电子有限公司</v>
          </cell>
          <cell r="L42" t="str">
            <v>X</v>
          </cell>
          <cell r="M42" t="str">
            <v/>
          </cell>
          <cell r="N42">
            <v>1</v>
          </cell>
          <cell r="O42">
            <v>1.17E-3</v>
          </cell>
          <cell r="P42">
            <v>1.17</v>
          </cell>
          <cell r="Q42">
            <v>1.17</v>
          </cell>
          <cell r="R42">
            <v>1000</v>
          </cell>
          <cell r="S42" t="str">
            <v>PCS</v>
          </cell>
          <cell r="T42">
            <v>56</v>
          </cell>
          <cell r="U42" t="str">
            <v>J3</v>
          </cell>
          <cell r="V42" t="str">
            <v>CNY</v>
          </cell>
          <cell r="W42">
            <v>10000</v>
          </cell>
          <cell r="X42">
            <v>10000</v>
          </cell>
        </row>
        <row r="43">
          <cell r="D43">
            <v>10100011090</v>
          </cell>
          <cell r="E43" t="str">
            <v>厚膜贴片电阻器</v>
          </cell>
          <cell r="F43">
            <v>10010302</v>
          </cell>
          <cell r="G43" t="str">
            <v>ROYA\RES 4.7K F 1/10W 0603</v>
          </cell>
          <cell r="H43" t="str">
            <v>ROYALOHM(厚声)</v>
          </cell>
          <cell r="I43" t="str">
            <v>0603WAF4701T5E</v>
          </cell>
          <cell r="J43">
            <v>100096</v>
          </cell>
          <cell r="K43" t="str">
            <v>厚声国际贸易（昆山）有限公司深圳分公司</v>
          </cell>
          <cell r="L43" t="str">
            <v>X</v>
          </cell>
          <cell r="M43" t="str">
            <v/>
          </cell>
          <cell r="N43">
            <v>1</v>
          </cell>
          <cell r="O43">
            <v>2.0999999999999999E-3</v>
          </cell>
          <cell r="P43">
            <v>2.1</v>
          </cell>
          <cell r="Q43">
            <v>2.1</v>
          </cell>
          <cell r="R43">
            <v>1000</v>
          </cell>
          <cell r="S43" t="str">
            <v>PCS</v>
          </cell>
          <cell r="T43">
            <v>56</v>
          </cell>
          <cell r="U43" t="str">
            <v>J3</v>
          </cell>
          <cell r="V43" t="str">
            <v>CNY</v>
          </cell>
          <cell r="W43">
            <v>5000</v>
          </cell>
          <cell r="X43">
            <v>5000</v>
          </cell>
        </row>
        <row r="44">
          <cell r="D44">
            <v>10100011343</v>
          </cell>
          <cell r="E44" t="str">
            <v>厚膜贴片电阻器</v>
          </cell>
          <cell r="F44">
            <v>10010302</v>
          </cell>
          <cell r="G44" t="str">
            <v>WALS\RES 5.6K F 1/16W 0402</v>
          </cell>
          <cell r="H44" t="str">
            <v>WALS(华科)</v>
          </cell>
          <cell r="I44" t="str">
            <v>WR04X5601FTL</v>
          </cell>
          <cell r="J44">
            <v>100131</v>
          </cell>
          <cell r="K44" t="str">
            <v>东莞华科电子有限公司</v>
          </cell>
          <cell r="L44" t="str">
            <v>X</v>
          </cell>
          <cell r="M44" t="str">
            <v/>
          </cell>
          <cell r="N44">
            <v>1</v>
          </cell>
          <cell r="O44">
            <v>1.17E-3</v>
          </cell>
          <cell r="P44">
            <v>1.17</v>
          </cell>
          <cell r="Q44">
            <v>1.17</v>
          </cell>
          <cell r="R44">
            <v>1000</v>
          </cell>
          <cell r="S44" t="str">
            <v>PCS</v>
          </cell>
          <cell r="T44">
            <v>56</v>
          </cell>
          <cell r="U44" t="str">
            <v>J3</v>
          </cell>
          <cell r="V44" t="str">
            <v>CNY</v>
          </cell>
          <cell r="W44">
            <v>10000</v>
          </cell>
          <cell r="X44">
            <v>10000</v>
          </cell>
        </row>
        <row r="45">
          <cell r="D45">
            <v>10100011621</v>
          </cell>
          <cell r="E45" t="str">
            <v>厚膜贴片电阻器</v>
          </cell>
          <cell r="F45">
            <v>10010302</v>
          </cell>
          <cell r="G45" t="str">
            <v>FH\RES 5.6K F 1/16W 0402</v>
          </cell>
          <cell r="H45" t="str">
            <v>FH(风华)</v>
          </cell>
          <cell r="I45" t="str">
            <v>RC-02K5601FT</v>
          </cell>
          <cell r="J45">
            <v>100654</v>
          </cell>
          <cell r="K45" t="str">
            <v>广东风华高新科技股份有限公司</v>
          </cell>
          <cell r="L45" t="str">
            <v>X</v>
          </cell>
          <cell r="M45" t="str">
            <v/>
          </cell>
          <cell r="N45">
            <v>1</v>
          </cell>
          <cell r="O45">
            <v>1.1000000000000001E-3</v>
          </cell>
          <cell r="P45">
            <v>1.1000000000000001</v>
          </cell>
          <cell r="Q45">
            <v>1.1000000000000001</v>
          </cell>
          <cell r="R45">
            <v>1000</v>
          </cell>
          <cell r="S45" t="str">
            <v>PCS</v>
          </cell>
          <cell r="T45">
            <v>45</v>
          </cell>
          <cell r="U45" t="str">
            <v>J3</v>
          </cell>
          <cell r="V45" t="str">
            <v>CNY</v>
          </cell>
          <cell r="W45">
            <v>10000</v>
          </cell>
          <cell r="X45">
            <v>10000</v>
          </cell>
        </row>
        <row r="46">
          <cell r="D46">
            <v>10100011726</v>
          </cell>
          <cell r="E46" t="str">
            <v>厚膜贴片电阻器</v>
          </cell>
          <cell r="F46">
            <v>10010302</v>
          </cell>
          <cell r="G46" t="str">
            <v>YAGEO\RES 5.1K F 1/16W 0402</v>
          </cell>
          <cell r="H46" t="str">
            <v>YAGEO(国巨)</v>
          </cell>
          <cell r="I46" t="str">
            <v>RC0402FR-075K1L</v>
          </cell>
          <cell r="J46">
            <v>100632</v>
          </cell>
          <cell r="K46" t="str">
            <v>深圳市欧尔法电子有限公司</v>
          </cell>
          <cell r="L46" t="str">
            <v>X</v>
          </cell>
          <cell r="M46" t="str">
            <v/>
          </cell>
          <cell r="N46">
            <v>1</v>
          </cell>
          <cell r="O46">
            <v>1.39E-3</v>
          </cell>
          <cell r="P46">
            <v>1.39</v>
          </cell>
          <cell r="Q46">
            <v>1.39</v>
          </cell>
          <cell r="R46">
            <v>1000</v>
          </cell>
          <cell r="S46" t="str">
            <v>PCS</v>
          </cell>
          <cell r="T46">
            <v>56</v>
          </cell>
          <cell r="U46" t="str">
            <v>J3</v>
          </cell>
          <cell r="V46" t="str">
            <v>CNY</v>
          </cell>
          <cell r="W46">
            <v>10000</v>
          </cell>
          <cell r="X46">
            <v>10000</v>
          </cell>
        </row>
        <row r="47">
          <cell r="D47">
            <v>10100011886</v>
          </cell>
          <cell r="E47" t="str">
            <v>厚膜贴片电阻器</v>
          </cell>
          <cell r="F47">
            <v>10010302</v>
          </cell>
          <cell r="G47" t="str">
            <v>ROYA\RES 9.1K F 1/16W 0402</v>
          </cell>
          <cell r="H47" t="str">
            <v>ROYALOHM(厚声)</v>
          </cell>
          <cell r="I47" t="str">
            <v>0402WGF9101TCE</v>
          </cell>
          <cell r="J47">
            <v>100096</v>
          </cell>
          <cell r="K47" t="str">
            <v>厚声国际贸易（昆山）有限公司深圳分公司</v>
          </cell>
          <cell r="L47" t="str">
            <v>X</v>
          </cell>
          <cell r="M47" t="str">
            <v/>
          </cell>
          <cell r="N47">
            <v>1</v>
          </cell>
          <cell r="O47">
            <v>1.09E-3</v>
          </cell>
          <cell r="P47">
            <v>1.0900000000000001</v>
          </cell>
          <cell r="Q47">
            <v>1.0900000000000001</v>
          </cell>
          <cell r="R47">
            <v>1000</v>
          </cell>
          <cell r="S47" t="str">
            <v>PCS</v>
          </cell>
          <cell r="T47">
            <v>56</v>
          </cell>
          <cell r="U47" t="str">
            <v>J3</v>
          </cell>
          <cell r="V47" t="str">
            <v>CNY</v>
          </cell>
          <cell r="W47">
            <v>10000</v>
          </cell>
          <cell r="X47">
            <v>10000</v>
          </cell>
        </row>
        <row r="48">
          <cell r="D48">
            <v>10100011993</v>
          </cell>
          <cell r="E48" t="str">
            <v>厚膜贴片电阻器</v>
          </cell>
          <cell r="F48">
            <v>10010302</v>
          </cell>
          <cell r="G48" t="str">
            <v>FH\RES 5.1K F 1/16W 0402</v>
          </cell>
          <cell r="H48" t="str">
            <v>FH(风华)</v>
          </cell>
          <cell r="I48" t="str">
            <v>RC-02K5101FT</v>
          </cell>
          <cell r="J48">
            <v>100654</v>
          </cell>
          <cell r="K48" t="str">
            <v>广东风华高新科技股份有限公司</v>
          </cell>
          <cell r="L48" t="str">
            <v>X</v>
          </cell>
          <cell r="M48" t="str">
            <v/>
          </cell>
          <cell r="N48">
            <v>1</v>
          </cell>
          <cell r="O48">
            <v>1.1000000000000001E-3</v>
          </cell>
          <cell r="P48">
            <v>1.1000000000000001</v>
          </cell>
          <cell r="Q48">
            <v>1.1000000000000001</v>
          </cell>
          <cell r="R48">
            <v>1000</v>
          </cell>
          <cell r="S48" t="str">
            <v>PCS</v>
          </cell>
          <cell r="T48">
            <v>42</v>
          </cell>
          <cell r="U48" t="str">
            <v>J3</v>
          </cell>
          <cell r="V48" t="str">
            <v>CNY</v>
          </cell>
          <cell r="W48">
            <v>10000</v>
          </cell>
          <cell r="X48">
            <v>10000</v>
          </cell>
        </row>
        <row r="49">
          <cell r="D49">
            <v>10100011996</v>
          </cell>
          <cell r="E49" t="str">
            <v>厚膜贴片电阻器</v>
          </cell>
          <cell r="F49">
            <v>10010302</v>
          </cell>
          <cell r="G49" t="str">
            <v>FH\RES 9.1K F 1/16W 0402</v>
          </cell>
          <cell r="H49" t="str">
            <v>FH(风华)</v>
          </cell>
          <cell r="I49" t="str">
            <v>RC-02K9101FT</v>
          </cell>
          <cell r="J49">
            <v>100654</v>
          </cell>
          <cell r="K49" t="str">
            <v>广东风华高新科技股份有限公司</v>
          </cell>
          <cell r="L49" t="str">
            <v>X</v>
          </cell>
          <cell r="M49" t="str">
            <v/>
          </cell>
          <cell r="N49">
            <v>1</v>
          </cell>
          <cell r="O49">
            <v>1.1000000000000001E-3</v>
          </cell>
          <cell r="P49">
            <v>1.1000000000000001</v>
          </cell>
          <cell r="Q49">
            <v>1.1000000000000001</v>
          </cell>
          <cell r="R49">
            <v>1000</v>
          </cell>
          <cell r="S49" t="str">
            <v>PCS</v>
          </cell>
          <cell r="T49">
            <v>42</v>
          </cell>
          <cell r="U49" t="str">
            <v>J3</v>
          </cell>
          <cell r="V49" t="str">
            <v>CNY</v>
          </cell>
          <cell r="W49">
            <v>10000</v>
          </cell>
          <cell r="X49">
            <v>10000</v>
          </cell>
        </row>
        <row r="50">
          <cell r="D50">
            <v>10100012014</v>
          </cell>
          <cell r="E50" t="str">
            <v>厚膜贴片电阻器</v>
          </cell>
          <cell r="F50">
            <v>10010302</v>
          </cell>
          <cell r="G50" t="str">
            <v>FH\RES 100R F 1/4W 1206</v>
          </cell>
          <cell r="H50" t="str">
            <v>FH(风华)</v>
          </cell>
          <cell r="I50" t="str">
            <v>RS-06K1000FT</v>
          </cell>
          <cell r="J50">
            <v>100654</v>
          </cell>
          <cell r="K50" t="str">
            <v>广东风华高新科技股份有限公司</v>
          </cell>
          <cell r="L50" t="str">
            <v>X</v>
          </cell>
          <cell r="M50" t="str">
            <v/>
          </cell>
          <cell r="N50">
            <v>1</v>
          </cell>
          <cell r="O50">
            <v>6.3699999999999998E-3</v>
          </cell>
          <cell r="P50">
            <v>6.37</v>
          </cell>
          <cell r="Q50">
            <v>6.37</v>
          </cell>
          <cell r="R50">
            <v>1000</v>
          </cell>
          <cell r="S50" t="str">
            <v>PCS</v>
          </cell>
          <cell r="T50">
            <v>42</v>
          </cell>
          <cell r="U50" t="str">
            <v>J3</v>
          </cell>
          <cell r="V50" t="str">
            <v>CNY</v>
          </cell>
          <cell r="W50">
            <v>5000</v>
          </cell>
          <cell r="X50">
            <v>5000</v>
          </cell>
        </row>
        <row r="51">
          <cell r="D51">
            <v>10100012860</v>
          </cell>
          <cell r="E51" t="str">
            <v>厚膜贴片电阻器</v>
          </cell>
          <cell r="F51">
            <v>10010302</v>
          </cell>
          <cell r="G51" t="str">
            <v>ROYA\RES 68K F 1/10W 0603</v>
          </cell>
          <cell r="H51" t="str">
            <v>ROYALOHM(厚声)</v>
          </cell>
          <cell r="I51" t="str">
            <v>0603WAF6802T5E</v>
          </cell>
          <cell r="J51">
            <v>100096</v>
          </cell>
          <cell r="K51" t="str">
            <v>厚声国际贸易（昆山）有限公司深圳分公司</v>
          </cell>
          <cell r="L51" t="str">
            <v>X</v>
          </cell>
          <cell r="M51" t="str">
            <v/>
          </cell>
          <cell r="N51">
            <v>1</v>
          </cell>
          <cell r="O51">
            <v>2.0999999999999999E-3</v>
          </cell>
          <cell r="P51">
            <v>2.1</v>
          </cell>
          <cell r="Q51">
            <v>2.1</v>
          </cell>
          <cell r="R51">
            <v>1000</v>
          </cell>
          <cell r="S51" t="str">
            <v>PCS</v>
          </cell>
          <cell r="T51">
            <v>42</v>
          </cell>
          <cell r="U51" t="str">
            <v>J3</v>
          </cell>
          <cell r="V51" t="str">
            <v>CNY</v>
          </cell>
          <cell r="W51">
            <v>5000</v>
          </cell>
          <cell r="X51">
            <v>5000</v>
          </cell>
        </row>
        <row r="52">
          <cell r="D52">
            <v>10100013040</v>
          </cell>
          <cell r="E52" t="str">
            <v>厚膜贴片电阻器</v>
          </cell>
          <cell r="F52">
            <v>10010302</v>
          </cell>
          <cell r="G52" t="str">
            <v>ROYA\RES 1K F 1/16W 0402</v>
          </cell>
          <cell r="H52" t="str">
            <v>ROYALOHM(厚声)</v>
          </cell>
          <cell r="I52" t="str">
            <v>0402WGF1001TCE</v>
          </cell>
          <cell r="J52">
            <v>100096</v>
          </cell>
          <cell r="K52" t="str">
            <v>厚声国际贸易（昆山）有限公司深圳分公司</v>
          </cell>
          <cell r="L52" t="str">
            <v>X</v>
          </cell>
          <cell r="M52" t="str">
            <v/>
          </cell>
          <cell r="N52">
            <v>1</v>
          </cell>
          <cell r="O52">
            <v>1.09E-3</v>
          </cell>
          <cell r="P52">
            <v>1.0900000000000001</v>
          </cell>
          <cell r="Q52">
            <v>1.0900000000000001</v>
          </cell>
          <cell r="R52">
            <v>1000</v>
          </cell>
          <cell r="S52" t="str">
            <v>PCS</v>
          </cell>
          <cell r="T52">
            <v>56</v>
          </cell>
          <cell r="U52" t="str">
            <v>J3</v>
          </cell>
          <cell r="V52" t="str">
            <v>CNY</v>
          </cell>
          <cell r="W52">
            <v>10000</v>
          </cell>
          <cell r="X52">
            <v>10000</v>
          </cell>
        </row>
        <row r="53">
          <cell r="D53">
            <v>10100013093</v>
          </cell>
          <cell r="E53" t="str">
            <v>厚膜贴片电阻器</v>
          </cell>
          <cell r="F53">
            <v>10010302</v>
          </cell>
          <cell r="G53" t="str">
            <v>ROYA\RES 100R F 1/16W 0402</v>
          </cell>
          <cell r="H53" t="str">
            <v>ROYALOHM(厚声)</v>
          </cell>
          <cell r="I53" t="str">
            <v>0402WGF1000TCE</v>
          </cell>
          <cell r="J53">
            <v>100096</v>
          </cell>
          <cell r="K53" t="str">
            <v>厚声国际贸易（昆山）有限公司深圳分公司</v>
          </cell>
          <cell r="L53" t="str">
            <v>X</v>
          </cell>
          <cell r="M53" t="str">
            <v/>
          </cell>
          <cell r="N53">
            <v>1</v>
          </cell>
          <cell r="O53">
            <v>1.09E-3</v>
          </cell>
          <cell r="P53">
            <v>1.0900000000000001</v>
          </cell>
          <cell r="Q53">
            <v>1.0900000000000001</v>
          </cell>
          <cell r="R53">
            <v>1000</v>
          </cell>
          <cell r="S53" t="str">
            <v>PCS</v>
          </cell>
          <cell r="T53">
            <v>42</v>
          </cell>
          <cell r="U53" t="str">
            <v>J3</v>
          </cell>
          <cell r="V53" t="str">
            <v>CNY</v>
          </cell>
          <cell r="W53">
            <v>10000</v>
          </cell>
          <cell r="X53">
            <v>10000</v>
          </cell>
        </row>
        <row r="54">
          <cell r="D54">
            <v>10100013936</v>
          </cell>
          <cell r="E54" t="str">
            <v>厚膜贴片电阻器</v>
          </cell>
          <cell r="F54">
            <v>10010302</v>
          </cell>
          <cell r="G54" t="str">
            <v>FH\RES 100R F 1/16W 0402</v>
          </cell>
          <cell r="H54" t="str">
            <v>FH(风华)</v>
          </cell>
          <cell r="I54" t="str">
            <v>RC-02K1000FT</v>
          </cell>
          <cell r="J54">
            <v>100654</v>
          </cell>
          <cell r="K54" t="str">
            <v>广东风华高新科技股份有限公司</v>
          </cell>
          <cell r="L54" t="str">
            <v>X</v>
          </cell>
          <cell r="M54" t="str">
            <v/>
          </cell>
          <cell r="N54">
            <v>1</v>
          </cell>
          <cell r="O54">
            <v>1.1000000000000001E-3</v>
          </cell>
          <cell r="P54">
            <v>1.1000000000000001</v>
          </cell>
          <cell r="Q54">
            <v>1.1000000000000001</v>
          </cell>
          <cell r="R54">
            <v>1000</v>
          </cell>
          <cell r="S54" t="str">
            <v>PCS</v>
          </cell>
          <cell r="T54">
            <v>42</v>
          </cell>
          <cell r="U54" t="str">
            <v>J3</v>
          </cell>
          <cell r="V54" t="str">
            <v>CNY</v>
          </cell>
          <cell r="W54">
            <v>10000</v>
          </cell>
          <cell r="X54">
            <v>10000</v>
          </cell>
        </row>
        <row r="55">
          <cell r="D55">
            <v>10100014263</v>
          </cell>
          <cell r="E55" t="str">
            <v>厚膜贴片电阻器</v>
          </cell>
          <cell r="F55">
            <v>10010302</v>
          </cell>
          <cell r="G55" t="str">
            <v>YAGEO\RES 390R F 1/16W 0402</v>
          </cell>
          <cell r="H55" t="str">
            <v>YAGEO(国巨)</v>
          </cell>
          <cell r="I55" t="str">
            <v>RC0402FR-07390RL</v>
          </cell>
          <cell r="J55">
            <v>100078</v>
          </cell>
          <cell r="K55" t="str">
            <v>深圳市超利维实业有限公司</v>
          </cell>
          <cell r="L55" t="str">
            <v>X</v>
          </cell>
          <cell r="M55" t="str">
            <v/>
          </cell>
          <cell r="N55">
            <v>1</v>
          </cell>
          <cell r="O55">
            <v>1.4E-3</v>
          </cell>
          <cell r="P55">
            <v>1.4</v>
          </cell>
          <cell r="Q55">
            <v>1.4</v>
          </cell>
          <cell r="R55">
            <v>1000</v>
          </cell>
          <cell r="S55" t="str">
            <v>PCS</v>
          </cell>
          <cell r="T55">
            <v>56</v>
          </cell>
          <cell r="U55" t="str">
            <v>J3</v>
          </cell>
          <cell r="V55" t="str">
            <v>CNY</v>
          </cell>
          <cell r="W55">
            <v>10000</v>
          </cell>
          <cell r="X55">
            <v>10000</v>
          </cell>
        </row>
        <row r="56">
          <cell r="D56">
            <v>10100014304</v>
          </cell>
          <cell r="E56" t="str">
            <v>厚膜贴片电阻器</v>
          </cell>
          <cell r="F56">
            <v>10010302</v>
          </cell>
          <cell r="G56" t="str">
            <v>WALS\RES 300K F 1/4W 1206</v>
          </cell>
          <cell r="H56" t="str">
            <v>WALS(华科)</v>
          </cell>
          <cell r="I56" t="str">
            <v>WR12X3003FTL</v>
          </cell>
          <cell r="J56">
            <v>100131</v>
          </cell>
          <cell r="K56" t="str">
            <v>东莞华科电子有限公司</v>
          </cell>
          <cell r="L56" t="str">
            <v>X</v>
          </cell>
          <cell r="M56" t="str">
            <v/>
          </cell>
          <cell r="N56">
            <v>1</v>
          </cell>
          <cell r="O56">
            <v>6.9499999999999996E-3</v>
          </cell>
          <cell r="P56">
            <v>6.95</v>
          </cell>
          <cell r="Q56">
            <v>6.95</v>
          </cell>
          <cell r="R56">
            <v>1000</v>
          </cell>
          <cell r="S56" t="str">
            <v>PCS</v>
          </cell>
          <cell r="T56">
            <v>70</v>
          </cell>
          <cell r="U56" t="str">
            <v>J3</v>
          </cell>
          <cell r="V56" t="str">
            <v>CNY</v>
          </cell>
          <cell r="W56">
            <v>5000</v>
          </cell>
          <cell r="X56">
            <v>5000</v>
          </cell>
        </row>
        <row r="57">
          <cell r="D57">
            <v>10100014735</v>
          </cell>
          <cell r="E57" t="str">
            <v>厚膜贴片电阻器</v>
          </cell>
          <cell r="F57">
            <v>10010302</v>
          </cell>
          <cell r="G57" t="str">
            <v>ROYA\RES 2K F 1/16W 0402</v>
          </cell>
          <cell r="H57" t="str">
            <v>ROYALOHM(厚声)</v>
          </cell>
          <cell r="I57" t="str">
            <v>0402WGF2001TCE</v>
          </cell>
          <cell r="J57">
            <v>100096</v>
          </cell>
          <cell r="K57" t="str">
            <v>厚声国际贸易（昆山）有限公司深圳分公司</v>
          </cell>
          <cell r="L57" t="str">
            <v>X</v>
          </cell>
          <cell r="M57" t="str">
            <v/>
          </cell>
          <cell r="N57">
            <v>1</v>
          </cell>
          <cell r="O57">
            <v>1.09E-3</v>
          </cell>
          <cell r="P57">
            <v>1.0900000000000001</v>
          </cell>
          <cell r="Q57">
            <v>1.0900000000000001</v>
          </cell>
          <cell r="R57">
            <v>1000</v>
          </cell>
          <cell r="S57" t="str">
            <v>PCS</v>
          </cell>
          <cell r="T57">
            <v>56</v>
          </cell>
          <cell r="U57" t="str">
            <v>J3</v>
          </cell>
          <cell r="V57" t="str">
            <v>CNY</v>
          </cell>
          <cell r="W57">
            <v>10000</v>
          </cell>
          <cell r="X57">
            <v>10000</v>
          </cell>
        </row>
        <row r="58">
          <cell r="D58">
            <v>10100015127</v>
          </cell>
          <cell r="E58" t="str">
            <v>厚膜贴片电阻器</v>
          </cell>
          <cell r="F58">
            <v>10010302</v>
          </cell>
          <cell r="G58" t="str">
            <v>ROYA\RES 100R F 1/4W 1206</v>
          </cell>
          <cell r="H58" t="str">
            <v>ROYALOHM(厚声)</v>
          </cell>
          <cell r="I58" t="str">
            <v>1206W4F1000T5E</v>
          </cell>
          <cell r="J58">
            <v>100096</v>
          </cell>
          <cell r="K58" t="str">
            <v>厚声国际贸易（昆山）有限公司深圳分公司</v>
          </cell>
          <cell r="L58" t="str">
            <v>X</v>
          </cell>
          <cell r="M58" t="str">
            <v/>
          </cell>
          <cell r="N58">
            <v>1</v>
          </cell>
          <cell r="O58">
            <v>6.7799999999999996E-3</v>
          </cell>
          <cell r="P58">
            <v>6.78</v>
          </cell>
          <cell r="Q58">
            <v>6.78</v>
          </cell>
          <cell r="R58">
            <v>1000</v>
          </cell>
          <cell r="S58" t="str">
            <v>PCS</v>
          </cell>
          <cell r="T58">
            <v>42</v>
          </cell>
          <cell r="U58" t="str">
            <v>J3</v>
          </cell>
          <cell r="V58" t="str">
            <v>CNY</v>
          </cell>
          <cell r="W58">
            <v>5000</v>
          </cell>
          <cell r="X58">
            <v>5000</v>
          </cell>
        </row>
        <row r="59">
          <cell r="D59">
            <v>10100017206</v>
          </cell>
          <cell r="E59" t="str">
            <v>厚膜贴片电阻器</v>
          </cell>
          <cell r="F59">
            <v>10010302</v>
          </cell>
          <cell r="G59" t="str">
            <v>ROYA\RES 300K F 1/4W 1206</v>
          </cell>
          <cell r="H59" t="str">
            <v>ROYALOHM(厚声)</v>
          </cell>
          <cell r="I59" t="str">
            <v>1206W4F3003T5E</v>
          </cell>
          <cell r="J59">
            <v>100096</v>
          </cell>
          <cell r="K59" t="str">
            <v>厚声国际贸易（昆山）有限公司深圳分公司</v>
          </cell>
          <cell r="L59" t="str">
            <v>X</v>
          </cell>
          <cell r="M59" t="str">
            <v/>
          </cell>
          <cell r="N59">
            <v>1</v>
          </cell>
          <cell r="O59">
            <v>6.7799999999999996E-3</v>
          </cell>
          <cell r="P59">
            <v>6.78</v>
          </cell>
          <cell r="Q59">
            <v>6.78</v>
          </cell>
          <cell r="R59">
            <v>1000</v>
          </cell>
          <cell r="S59" t="str">
            <v>PCS</v>
          </cell>
          <cell r="T59">
            <v>42</v>
          </cell>
          <cell r="U59" t="str">
            <v>J3</v>
          </cell>
          <cell r="V59" t="str">
            <v>CNY</v>
          </cell>
          <cell r="W59">
            <v>5000</v>
          </cell>
          <cell r="X59">
            <v>5000</v>
          </cell>
        </row>
        <row r="60">
          <cell r="D60">
            <v>10100017335</v>
          </cell>
          <cell r="E60" t="str">
            <v>厚膜贴片电阻器</v>
          </cell>
          <cell r="F60">
            <v>10010302</v>
          </cell>
          <cell r="G60" t="str">
            <v>ROYA\RES 22K F 1/16W 0402</v>
          </cell>
          <cell r="H60" t="str">
            <v>ROYALOHM(厚声)</v>
          </cell>
          <cell r="I60" t="str">
            <v>0402WGF2202TCE</v>
          </cell>
          <cell r="J60">
            <v>100096</v>
          </cell>
          <cell r="K60" t="str">
            <v>厚声国际贸易（昆山）有限公司深圳分公司</v>
          </cell>
          <cell r="L60" t="str">
            <v>X</v>
          </cell>
          <cell r="M60" t="str">
            <v/>
          </cell>
          <cell r="N60">
            <v>1</v>
          </cell>
          <cell r="O60">
            <v>1.09E-3</v>
          </cell>
          <cell r="P60">
            <v>1.0900000000000001</v>
          </cell>
          <cell r="Q60">
            <v>1.0900000000000001</v>
          </cell>
          <cell r="R60">
            <v>1000</v>
          </cell>
          <cell r="S60" t="str">
            <v>PCS</v>
          </cell>
          <cell r="T60">
            <v>42</v>
          </cell>
          <cell r="U60" t="str">
            <v>J3</v>
          </cell>
          <cell r="V60" t="str">
            <v>CNY</v>
          </cell>
          <cell r="W60">
            <v>10000</v>
          </cell>
          <cell r="X60">
            <v>10000</v>
          </cell>
        </row>
        <row r="61">
          <cell r="D61">
            <v>10100017409</v>
          </cell>
          <cell r="E61" t="str">
            <v>厚膜贴片电阻器</v>
          </cell>
          <cell r="F61">
            <v>10010302</v>
          </cell>
          <cell r="G61" t="str">
            <v>HKR\RES 100R F 1/4W 1206</v>
          </cell>
          <cell r="H61" t="str">
            <v>HKR(香港电阻)</v>
          </cell>
          <cell r="I61" t="str">
            <v>RCT06100RFLF</v>
          </cell>
          <cell r="J61">
            <v>100293</v>
          </cell>
          <cell r="K61" t="str">
            <v>恒辉电阻（益阳）有限公司</v>
          </cell>
          <cell r="L61" t="str">
            <v>X</v>
          </cell>
          <cell r="M61" t="str">
            <v/>
          </cell>
          <cell r="N61">
            <v>1</v>
          </cell>
          <cell r="O61">
            <v>5.5999999999999999E-3</v>
          </cell>
          <cell r="P61">
            <v>5.6</v>
          </cell>
          <cell r="Q61">
            <v>5.6</v>
          </cell>
          <cell r="R61">
            <v>1000</v>
          </cell>
          <cell r="S61" t="str">
            <v>PCS</v>
          </cell>
          <cell r="T61">
            <v>28</v>
          </cell>
          <cell r="U61" t="str">
            <v>J3</v>
          </cell>
          <cell r="V61" t="str">
            <v>CNY</v>
          </cell>
          <cell r="W61">
            <v>5000</v>
          </cell>
          <cell r="X61">
            <v>5000</v>
          </cell>
        </row>
        <row r="62">
          <cell r="D62">
            <v>10100017511</v>
          </cell>
          <cell r="E62" t="str">
            <v>厚膜贴片电阻器</v>
          </cell>
          <cell r="F62">
            <v>10010302</v>
          </cell>
          <cell r="G62" t="str">
            <v>HKR\RES 300K F 1/4W 1206</v>
          </cell>
          <cell r="H62" t="str">
            <v>HKR(香港电阻)</v>
          </cell>
          <cell r="I62" t="str">
            <v>RCT06300KFLF</v>
          </cell>
          <cell r="J62">
            <v>100293</v>
          </cell>
          <cell r="K62" t="str">
            <v>恒辉电阻（益阳）有限公司</v>
          </cell>
          <cell r="L62" t="str">
            <v>X</v>
          </cell>
          <cell r="M62" t="str">
            <v/>
          </cell>
          <cell r="N62">
            <v>1</v>
          </cell>
          <cell r="O62">
            <v>5.5999999999999999E-3</v>
          </cell>
          <cell r="P62">
            <v>5.6</v>
          </cell>
          <cell r="Q62">
            <v>5.6</v>
          </cell>
          <cell r="R62">
            <v>1000</v>
          </cell>
          <cell r="S62" t="str">
            <v>PCS</v>
          </cell>
          <cell r="T62">
            <v>42</v>
          </cell>
          <cell r="U62" t="str">
            <v>J3</v>
          </cell>
          <cell r="V62" t="str">
            <v>CNY</v>
          </cell>
          <cell r="W62">
            <v>5000</v>
          </cell>
          <cell r="X62">
            <v>5000</v>
          </cell>
        </row>
        <row r="63">
          <cell r="D63">
            <v>10100017548</v>
          </cell>
          <cell r="E63" t="str">
            <v>厚膜贴片电阻器</v>
          </cell>
          <cell r="F63">
            <v>10010302</v>
          </cell>
          <cell r="G63" t="str">
            <v>HKR\RES 470R F 1/4W 1206</v>
          </cell>
          <cell r="H63" t="str">
            <v>HKR(香港电阻)</v>
          </cell>
          <cell r="I63" t="str">
            <v>RCT06470RFLF</v>
          </cell>
          <cell r="J63">
            <v>100293</v>
          </cell>
          <cell r="K63" t="str">
            <v>恒辉电阻（益阳）有限公司</v>
          </cell>
          <cell r="L63" t="str">
            <v>X</v>
          </cell>
          <cell r="M63" t="str">
            <v/>
          </cell>
          <cell r="N63">
            <v>1</v>
          </cell>
          <cell r="O63">
            <v>5.5999999999999999E-3</v>
          </cell>
          <cell r="P63">
            <v>5.6</v>
          </cell>
          <cell r="Q63">
            <v>5.6</v>
          </cell>
          <cell r="R63">
            <v>1000</v>
          </cell>
          <cell r="S63" t="str">
            <v>PCS</v>
          </cell>
          <cell r="T63">
            <v>42</v>
          </cell>
          <cell r="U63" t="str">
            <v>J3</v>
          </cell>
          <cell r="V63" t="str">
            <v>CNY</v>
          </cell>
          <cell r="W63">
            <v>5000</v>
          </cell>
          <cell r="X63">
            <v>5000</v>
          </cell>
        </row>
        <row r="64">
          <cell r="D64">
            <v>10100017616</v>
          </cell>
          <cell r="E64" t="str">
            <v>厚膜贴片电阻器</v>
          </cell>
          <cell r="F64">
            <v>10010302</v>
          </cell>
          <cell r="G64" t="str">
            <v>HKR\RES 100R F 1/16W 0402</v>
          </cell>
          <cell r="H64" t="str">
            <v>HKR(香港电阻)</v>
          </cell>
          <cell r="I64" t="str">
            <v>RCT02100RFLF</v>
          </cell>
          <cell r="J64">
            <v>100293</v>
          </cell>
          <cell r="K64" t="str">
            <v>恒辉电阻（益阳）有限公司</v>
          </cell>
          <cell r="L64" t="str">
            <v>X</v>
          </cell>
          <cell r="M64" t="str">
            <v/>
          </cell>
          <cell r="N64">
            <v>1</v>
          </cell>
          <cell r="O64">
            <v>9.7999999999999997E-4</v>
          </cell>
          <cell r="P64">
            <v>0.98</v>
          </cell>
          <cell r="Q64">
            <v>0.98</v>
          </cell>
          <cell r="R64">
            <v>1000</v>
          </cell>
          <cell r="S64" t="str">
            <v>PCS</v>
          </cell>
          <cell r="T64">
            <v>42</v>
          </cell>
          <cell r="U64" t="str">
            <v>J3</v>
          </cell>
          <cell r="V64" t="str">
            <v>CNY</v>
          </cell>
          <cell r="W64">
            <v>10000</v>
          </cell>
          <cell r="X64">
            <v>10000</v>
          </cell>
        </row>
        <row r="65">
          <cell r="D65">
            <v>10100017618</v>
          </cell>
          <cell r="E65" t="str">
            <v>厚膜贴片电阻器</v>
          </cell>
          <cell r="F65">
            <v>10010302</v>
          </cell>
          <cell r="G65" t="str">
            <v>HKR\RES 10K F 1/16W 0402</v>
          </cell>
          <cell r="H65" t="str">
            <v>HKR(香港电阻)</v>
          </cell>
          <cell r="I65" t="str">
            <v>RCT0210KFLF</v>
          </cell>
          <cell r="J65">
            <v>100293</v>
          </cell>
          <cell r="K65" t="str">
            <v>恒辉电阻（益阳）有限公司</v>
          </cell>
          <cell r="L65" t="str">
            <v>X</v>
          </cell>
          <cell r="M65" t="str">
            <v/>
          </cell>
          <cell r="N65">
            <v>1</v>
          </cell>
          <cell r="O65">
            <v>9.7999999999999997E-4</v>
          </cell>
          <cell r="P65">
            <v>0.98</v>
          </cell>
          <cell r="Q65">
            <v>0.98</v>
          </cell>
          <cell r="R65">
            <v>1000</v>
          </cell>
          <cell r="S65" t="str">
            <v>PCS</v>
          </cell>
          <cell r="T65">
            <v>42</v>
          </cell>
          <cell r="U65" t="str">
            <v>J3</v>
          </cell>
          <cell r="V65" t="str">
            <v>CNY</v>
          </cell>
          <cell r="W65">
            <v>10000</v>
          </cell>
          <cell r="X65">
            <v>10000</v>
          </cell>
        </row>
        <row r="66">
          <cell r="D66">
            <v>10100017642</v>
          </cell>
          <cell r="E66" t="str">
            <v>厚膜贴片电阻器</v>
          </cell>
          <cell r="F66">
            <v>10010302</v>
          </cell>
          <cell r="G66" t="str">
            <v>HKR\RES 1K F 1/16W 0402</v>
          </cell>
          <cell r="H66" t="str">
            <v>HKR(香港电阻)</v>
          </cell>
          <cell r="I66" t="str">
            <v>RCT021KFLF</v>
          </cell>
          <cell r="J66">
            <v>100293</v>
          </cell>
          <cell r="K66" t="str">
            <v>恒辉电阻（益阳）有限公司</v>
          </cell>
          <cell r="L66" t="str">
            <v>X</v>
          </cell>
          <cell r="M66" t="str">
            <v/>
          </cell>
          <cell r="N66">
            <v>1</v>
          </cell>
          <cell r="O66">
            <v>9.7999999999999997E-4</v>
          </cell>
          <cell r="P66">
            <v>0.98</v>
          </cell>
          <cell r="Q66">
            <v>0.98</v>
          </cell>
          <cell r="R66">
            <v>1000</v>
          </cell>
          <cell r="S66" t="str">
            <v>PCS</v>
          </cell>
          <cell r="T66">
            <v>42</v>
          </cell>
          <cell r="U66" t="str">
            <v>J3</v>
          </cell>
          <cell r="V66" t="str">
            <v>CNY</v>
          </cell>
          <cell r="W66">
            <v>10000</v>
          </cell>
          <cell r="X66">
            <v>10000</v>
          </cell>
        </row>
        <row r="67">
          <cell r="D67">
            <v>10100017664</v>
          </cell>
          <cell r="E67" t="str">
            <v>厚膜贴片电阻器</v>
          </cell>
          <cell r="F67">
            <v>10010302</v>
          </cell>
          <cell r="G67" t="str">
            <v>HKR\RES 22K F 1/16W 0402</v>
          </cell>
          <cell r="H67" t="str">
            <v>HKR(香港电阻)</v>
          </cell>
          <cell r="I67" t="str">
            <v>RCT0222KFLF</v>
          </cell>
          <cell r="J67">
            <v>100293</v>
          </cell>
          <cell r="K67" t="str">
            <v>恒辉电阻（益阳）有限公司</v>
          </cell>
          <cell r="L67" t="str">
            <v>X</v>
          </cell>
          <cell r="M67" t="str">
            <v/>
          </cell>
          <cell r="N67">
            <v>1</v>
          </cell>
          <cell r="O67">
            <v>9.7999999999999997E-4</v>
          </cell>
          <cell r="P67">
            <v>0.98</v>
          </cell>
          <cell r="Q67">
            <v>0.98</v>
          </cell>
          <cell r="R67">
            <v>1000</v>
          </cell>
          <cell r="S67" t="str">
            <v>PCS</v>
          </cell>
          <cell r="T67">
            <v>42</v>
          </cell>
          <cell r="U67" t="str">
            <v>J3</v>
          </cell>
          <cell r="V67" t="str">
            <v>CNY</v>
          </cell>
          <cell r="W67">
            <v>10000</v>
          </cell>
          <cell r="X67">
            <v>10000</v>
          </cell>
        </row>
        <row r="68">
          <cell r="D68">
            <v>10100017679</v>
          </cell>
          <cell r="E68" t="str">
            <v>厚膜贴片电阻器</v>
          </cell>
          <cell r="F68">
            <v>10010302</v>
          </cell>
          <cell r="G68" t="str">
            <v>HKR\RES 2K F 1/16W 0402</v>
          </cell>
          <cell r="H68" t="str">
            <v>HKR(香港电阻)</v>
          </cell>
          <cell r="I68" t="str">
            <v>RCT022KFLF</v>
          </cell>
          <cell r="J68">
            <v>100293</v>
          </cell>
          <cell r="K68" t="str">
            <v>恒辉电阻（益阳）有限公司</v>
          </cell>
          <cell r="L68" t="str">
            <v>X</v>
          </cell>
          <cell r="M68" t="str">
            <v/>
          </cell>
          <cell r="N68">
            <v>1</v>
          </cell>
          <cell r="O68">
            <v>9.7999999999999997E-4</v>
          </cell>
          <cell r="P68">
            <v>0.98</v>
          </cell>
          <cell r="Q68">
            <v>0.98</v>
          </cell>
          <cell r="R68">
            <v>1000</v>
          </cell>
          <cell r="S68" t="str">
            <v>PCS</v>
          </cell>
          <cell r="T68">
            <v>42</v>
          </cell>
          <cell r="U68" t="str">
            <v>J3</v>
          </cell>
          <cell r="V68" t="str">
            <v>CNY</v>
          </cell>
          <cell r="W68">
            <v>10000</v>
          </cell>
          <cell r="X68">
            <v>10000</v>
          </cell>
        </row>
        <row r="69">
          <cell r="D69">
            <v>10100017738</v>
          </cell>
          <cell r="E69" t="str">
            <v>厚膜贴片电阻器</v>
          </cell>
          <cell r="F69">
            <v>10010302</v>
          </cell>
          <cell r="G69" t="str">
            <v>HKR\RES 5.1K F 1/16W 0402</v>
          </cell>
          <cell r="H69" t="str">
            <v>HKR(香港电阻)</v>
          </cell>
          <cell r="I69" t="str">
            <v>RCT025K1FLF</v>
          </cell>
          <cell r="J69">
            <v>100293</v>
          </cell>
          <cell r="K69" t="str">
            <v>恒辉电阻（益阳）有限公司</v>
          </cell>
          <cell r="L69" t="str">
            <v>X</v>
          </cell>
          <cell r="M69" t="str">
            <v/>
          </cell>
          <cell r="N69">
            <v>1</v>
          </cell>
          <cell r="O69">
            <v>9.7999999999999997E-4</v>
          </cell>
          <cell r="P69">
            <v>0.98</v>
          </cell>
          <cell r="Q69">
            <v>0.98</v>
          </cell>
          <cell r="R69">
            <v>1000</v>
          </cell>
          <cell r="S69" t="str">
            <v>PCS</v>
          </cell>
          <cell r="T69">
            <v>42</v>
          </cell>
          <cell r="U69" t="str">
            <v>J3</v>
          </cell>
          <cell r="V69" t="str">
            <v>CNY</v>
          </cell>
          <cell r="W69">
            <v>10000</v>
          </cell>
          <cell r="X69">
            <v>10000</v>
          </cell>
        </row>
        <row r="70">
          <cell r="D70">
            <v>10100017741</v>
          </cell>
          <cell r="E70" t="str">
            <v>厚膜贴片电阻器</v>
          </cell>
          <cell r="F70">
            <v>10010302</v>
          </cell>
          <cell r="G70" t="str">
            <v>HKR\RES 5.6K F 1/16W 0402</v>
          </cell>
          <cell r="H70" t="str">
            <v>HKR(香港电阻)</v>
          </cell>
          <cell r="I70" t="str">
            <v>RCT025K6FLF</v>
          </cell>
          <cell r="J70">
            <v>100293</v>
          </cell>
          <cell r="K70" t="str">
            <v>恒辉电阻（益阳）有限公司</v>
          </cell>
          <cell r="L70" t="str">
            <v>X</v>
          </cell>
          <cell r="M70" t="str">
            <v/>
          </cell>
          <cell r="N70">
            <v>1</v>
          </cell>
          <cell r="O70">
            <v>9.7999999999999997E-4</v>
          </cell>
          <cell r="P70">
            <v>0.98</v>
          </cell>
          <cell r="Q70">
            <v>0.98</v>
          </cell>
          <cell r="R70">
            <v>1000</v>
          </cell>
          <cell r="S70" t="str">
            <v>PCS</v>
          </cell>
          <cell r="T70">
            <v>42</v>
          </cell>
          <cell r="U70" t="str">
            <v>J3</v>
          </cell>
          <cell r="V70" t="str">
            <v>CNY</v>
          </cell>
          <cell r="W70">
            <v>10000</v>
          </cell>
          <cell r="X70">
            <v>10000</v>
          </cell>
        </row>
        <row r="71">
          <cell r="D71">
            <v>10100017764</v>
          </cell>
          <cell r="E71" t="str">
            <v>厚膜贴片电阻器</v>
          </cell>
          <cell r="F71">
            <v>10010302</v>
          </cell>
          <cell r="G71" t="str">
            <v>HKR\RES 9.1K F 1/16W 0402</v>
          </cell>
          <cell r="H71" t="str">
            <v>HKR(香港电阻)</v>
          </cell>
          <cell r="I71" t="str">
            <v>RCT029K1FLF</v>
          </cell>
          <cell r="J71">
            <v>100293</v>
          </cell>
          <cell r="K71" t="str">
            <v>恒辉电阻（益阳）有限公司</v>
          </cell>
          <cell r="L71" t="str">
            <v>X</v>
          </cell>
          <cell r="M71" t="str">
            <v/>
          </cell>
          <cell r="N71">
            <v>1</v>
          </cell>
          <cell r="O71">
            <v>9.7999999999999997E-4</v>
          </cell>
          <cell r="P71">
            <v>0.98</v>
          </cell>
          <cell r="Q71">
            <v>0.98</v>
          </cell>
          <cell r="R71">
            <v>1000</v>
          </cell>
          <cell r="S71" t="str">
            <v>PCS</v>
          </cell>
          <cell r="T71">
            <v>42</v>
          </cell>
          <cell r="U71" t="str">
            <v>J3</v>
          </cell>
          <cell r="V71" t="str">
            <v>CNY</v>
          </cell>
          <cell r="W71">
            <v>10000</v>
          </cell>
          <cell r="X71">
            <v>10000</v>
          </cell>
        </row>
        <row r="72">
          <cell r="D72">
            <v>10100017881</v>
          </cell>
          <cell r="E72" t="str">
            <v>厚膜贴片电阻器</v>
          </cell>
          <cell r="F72">
            <v>10010302</v>
          </cell>
          <cell r="G72" t="str">
            <v>HKR\RES 2.2K F 1/10W 0603</v>
          </cell>
          <cell r="H72" t="str">
            <v>HKR(香港电阻)</v>
          </cell>
          <cell r="I72" t="str">
            <v>RCT032K2FLF</v>
          </cell>
          <cell r="J72">
            <v>100293</v>
          </cell>
          <cell r="K72" t="str">
            <v>恒辉电阻（益阳）有限公司</v>
          </cell>
          <cell r="L72" t="str">
            <v>X</v>
          </cell>
          <cell r="M72" t="str">
            <v/>
          </cell>
          <cell r="N72">
            <v>1</v>
          </cell>
          <cell r="O72">
            <v>1.8500000000000001E-3</v>
          </cell>
          <cell r="P72">
            <v>1.85</v>
          </cell>
          <cell r="Q72">
            <v>1.85</v>
          </cell>
          <cell r="R72">
            <v>1000</v>
          </cell>
          <cell r="S72" t="str">
            <v>PCS</v>
          </cell>
          <cell r="T72">
            <v>42</v>
          </cell>
          <cell r="U72" t="str">
            <v>J3</v>
          </cell>
          <cell r="V72" t="str">
            <v>CNY</v>
          </cell>
          <cell r="W72">
            <v>5000</v>
          </cell>
          <cell r="X72">
            <v>5000</v>
          </cell>
        </row>
        <row r="73">
          <cell r="D73">
            <v>10100017970</v>
          </cell>
          <cell r="E73" t="str">
            <v>厚膜贴片电阻器</v>
          </cell>
          <cell r="F73">
            <v>10010302</v>
          </cell>
          <cell r="G73" t="str">
            <v>HKR\RES 4.7K F 1/10W 0603</v>
          </cell>
          <cell r="H73" t="str">
            <v>HKR(香港电阻)</v>
          </cell>
          <cell r="I73" t="str">
            <v>RCT034K7FLF</v>
          </cell>
          <cell r="J73">
            <v>100293</v>
          </cell>
          <cell r="K73" t="str">
            <v>恒辉电阻（益阳）有限公司</v>
          </cell>
          <cell r="L73" t="str">
            <v>X</v>
          </cell>
          <cell r="M73" t="str">
            <v/>
          </cell>
          <cell r="N73">
            <v>1</v>
          </cell>
          <cell r="O73">
            <v>1.8500000000000001E-3</v>
          </cell>
          <cell r="P73">
            <v>1.85</v>
          </cell>
          <cell r="Q73">
            <v>1.85</v>
          </cell>
          <cell r="R73">
            <v>1000</v>
          </cell>
          <cell r="S73" t="str">
            <v>PCS</v>
          </cell>
          <cell r="T73">
            <v>42</v>
          </cell>
          <cell r="U73" t="str">
            <v>J3</v>
          </cell>
          <cell r="V73" t="str">
            <v>CNY</v>
          </cell>
          <cell r="W73">
            <v>5000</v>
          </cell>
          <cell r="X73">
            <v>5000</v>
          </cell>
        </row>
        <row r="74">
          <cell r="D74">
            <v>10100018011</v>
          </cell>
          <cell r="E74" t="str">
            <v>厚膜贴片电阻器</v>
          </cell>
          <cell r="F74">
            <v>10010302</v>
          </cell>
          <cell r="G74" t="str">
            <v>HKR\RES 68K F 1/10W 0603</v>
          </cell>
          <cell r="H74" t="str">
            <v>HKR(香港电阻)</v>
          </cell>
          <cell r="I74" t="str">
            <v>RCT0368KFLF</v>
          </cell>
          <cell r="J74">
            <v>100293</v>
          </cell>
          <cell r="K74" t="str">
            <v>恒辉电阻（益阳）有限公司</v>
          </cell>
          <cell r="L74" t="str">
            <v>X</v>
          </cell>
          <cell r="M74" t="str">
            <v/>
          </cell>
          <cell r="N74">
            <v>1</v>
          </cell>
          <cell r="O74">
            <v>1.8500000000000001E-3</v>
          </cell>
          <cell r="P74">
            <v>1.85</v>
          </cell>
          <cell r="Q74">
            <v>1.85</v>
          </cell>
          <cell r="R74">
            <v>1000</v>
          </cell>
          <cell r="S74" t="str">
            <v>PCS</v>
          </cell>
          <cell r="T74">
            <v>42</v>
          </cell>
          <cell r="U74" t="str">
            <v>J3</v>
          </cell>
          <cell r="V74" t="str">
            <v>CNY</v>
          </cell>
          <cell r="W74">
            <v>5000</v>
          </cell>
          <cell r="X74">
            <v>5000</v>
          </cell>
        </row>
        <row r="75">
          <cell r="D75">
            <v>10100018109</v>
          </cell>
          <cell r="E75" t="str">
            <v>厚膜贴片电阻器</v>
          </cell>
          <cell r="F75">
            <v>10010302</v>
          </cell>
          <cell r="G75" t="str">
            <v>HKR\RES 1K F 1/8W 0805</v>
          </cell>
          <cell r="H75" t="str">
            <v>HKR(香港电阻)</v>
          </cell>
          <cell r="I75" t="str">
            <v>RCT051KFLF</v>
          </cell>
          <cell r="J75">
            <v>100293</v>
          </cell>
          <cell r="K75" t="str">
            <v>恒辉电阻（益阳）有限公司</v>
          </cell>
          <cell r="L75" t="str">
            <v>X</v>
          </cell>
          <cell r="M75" t="str">
            <v/>
          </cell>
          <cell r="N75">
            <v>1</v>
          </cell>
          <cell r="O75">
            <v>3.3500000000000001E-3</v>
          </cell>
          <cell r="P75">
            <v>3.35</v>
          </cell>
          <cell r="Q75">
            <v>3.35</v>
          </cell>
          <cell r="R75">
            <v>1000</v>
          </cell>
          <cell r="S75" t="str">
            <v>PCS</v>
          </cell>
          <cell r="T75">
            <v>42</v>
          </cell>
          <cell r="U75" t="str">
            <v>J3</v>
          </cell>
          <cell r="V75" t="str">
            <v>CNY</v>
          </cell>
          <cell r="W75">
            <v>5000</v>
          </cell>
          <cell r="X75">
            <v>5000</v>
          </cell>
        </row>
        <row r="76">
          <cell r="D76">
            <v>10100018253</v>
          </cell>
          <cell r="E76" t="str">
            <v>厚膜贴片电阻器</v>
          </cell>
          <cell r="F76">
            <v>10010302</v>
          </cell>
          <cell r="G76" t="str">
            <v>HKR\RES 5.1K F 1/8W 0805</v>
          </cell>
          <cell r="H76" t="str">
            <v>HKR(香港电阻)</v>
          </cell>
          <cell r="I76" t="str">
            <v>RCT055K1FLF</v>
          </cell>
          <cell r="J76">
            <v>100293</v>
          </cell>
          <cell r="K76" t="str">
            <v>恒辉电阻（益阳）有限公司</v>
          </cell>
          <cell r="L76" t="str">
            <v>X</v>
          </cell>
          <cell r="M76" t="str">
            <v/>
          </cell>
          <cell r="N76">
            <v>1</v>
          </cell>
          <cell r="O76">
            <v>3.3500000000000001E-3</v>
          </cell>
          <cell r="P76">
            <v>3.35</v>
          </cell>
          <cell r="Q76">
            <v>3.35</v>
          </cell>
          <cell r="R76">
            <v>1000</v>
          </cell>
          <cell r="S76" t="str">
            <v>PCS</v>
          </cell>
          <cell r="T76">
            <v>42</v>
          </cell>
          <cell r="U76" t="str">
            <v>J3</v>
          </cell>
          <cell r="V76" t="str">
            <v>CNY</v>
          </cell>
          <cell r="W76">
            <v>5000</v>
          </cell>
          <cell r="X76">
            <v>5000</v>
          </cell>
        </row>
        <row r="77">
          <cell r="D77">
            <v>10100018399</v>
          </cell>
          <cell r="E77" t="str">
            <v>厚膜贴片电阻器</v>
          </cell>
          <cell r="F77">
            <v>10010302</v>
          </cell>
          <cell r="G77" t="str">
            <v>HKR\RES 390R F 1/16W 0402</v>
          </cell>
          <cell r="H77" t="str">
            <v>HKR(香港电阻)</v>
          </cell>
          <cell r="I77" t="str">
            <v>RCT02390RFLF</v>
          </cell>
          <cell r="J77">
            <v>100293</v>
          </cell>
          <cell r="K77" t="str">
            <v>恒辉电阻（益阳）有限公司</v>
          </cell>
          <cell r="L77" t="str">
            <v>X</v>
          </cell>
          <cell r="M77" t="str">
            <v/>
          </cell>
          <cell r="N77">
            <v>1</v>
          </cell>
          <cell r="O77">
            <v>9.7999999999999997E-4</v>
          </cell>
          <cell r="P77">
            <v>0.98</v>
          </cell>
          <cell r="Q77">
            <v>0.98</v>
          </cell>
          <cell r="R77">
            <v>1000</v>
          </cell>
          <cell r="S77" t="str">
            <v>PCS</v>
          </cell>
          <cell r="T77">
            <v>42</v>
          </cell>
          <cell r="U77" t="str">
            <v>J3</v>
          </cell>
          <cell r="V77" t="str">
            <v>CNY</v>
          </cell>
          <cell r="W77">
            <v>10000</v>
          </cell>
          <cell r="X77">
            <v>10000</v>
          </cell>
        </row>
        <row r="78">
          <cell r="D78">
            <v>10100019075</v>
          </cell>
          <cell r="E78" t="str">
            <v>厚膜贴片电阻器</v>
          </cell>
          <cell r="F78">
            <v>10010302</v>
          </cell>
          <cell r="G78" t="str">
            <v>ROYA\RES 390R F 1/16W 0402</v>
          </cell>
          <cell r="H78" t="str">
            <v>ROYALOHM(厚声)</v>
          </cell>
          <cell r="I78" t="str">
            <v>0402WGF3900TCE</v>
          </cell>
          <cell r="J78">
            <v>100096</v>
          </cell>
          <cell r="K78" t="str">
            <v>厚声国际贸易（昆山）有限公司深圳分公司</v>
          </cell>
          <cell r="L78" t="str">
            <v>X</v>
          </cell>
          <cell r="M78" t="str">
            <v/>
          </cell>
          <cell r="N78">
            <v>1</v>
          </cell>
          <cell r="O78">
            <v>1.09E-3</v>
          </cell>
          <cell r="P78">
            <v>1.0900000000000001</v>
          </cell>
          <cell r="Q78">
            <v>1.0900000000000001</v>
          </cell>
          <cell r="R78">
            <v>1000</v>
          </cell>
          <cell r="S78" t="str">
            <v>PCS</v>
          </cell>
          <cell r="T78">
            <v>42</v>
          </cell>
          <cell r="U78" t="str">
            <v>J3</v>
          </cell>
          <cell r="V78" t="str">
            <v>CNY</v>
          </cell>
          <cell r="W78">
            <v>10000</v>
          </cell>
          <cell r="X78">
            <v>10000</v>
          </cell>
        </row>
        <row r="79">
          <cell r="D79">
            <v>10100019134</v>
          </cell>
          <cell r="E79" t="str">
            <v>厚膜贴片电阻器</v>
          </cell>
          <cell r="F79">
            <v>10010302</v>
          </cell>
          <cell r="G79" t="str">
            <v>HKR\RES 11K F 1/16W 0402</v>
          </cell>
          <cell r="H79" t="str">
            <v>HKR(香港电阻)</v>
          </cell>
          <cell r="I79" t="str">
            <v>RCT0211KFLF</v>
          </cell>
          <cell r="J79">
            <v>100293</v>
          </cell>
          <cell r="K79" t="str">
            <v>恒辉电阻（益阳）有限公司</v>
          </cell>
          <cell r="L79" t="str">
            <v>X</v>
          </cell>
          <cell r="M79" t="str">
            <v/>
          </cell>
          <cell r="N79">
            <v>1</v>
          </cell>
          <cell r="O79">
            <v>9.7999999999999997E-4</v>
          </cell>
          <cell r="P79">
            <v>0.98</v>
          </cell>
          <cell r="Q79">
            <v>0.98</v>
          </cell>
          <cell r="R79">
            <v>1000</v>
          </cell>
          <cell r="S79" t="str">
            <v>PCS</v>
          </cell>
          <cell r="T79">
            <v>42</v>
          </cell>
          <cell r="U79" t="str">
            <v>J3</v>
          </cell>
          <cell r="V79" t="str">
            <v>CNY</v>
          </cell>
          <cell r="W79">
            <v>10000</v>
          </cell>
          <cell r="X79">
            <v>10000</v>
          </cell>
        </row>
        <row r="80">
          <cell r="D80">
            <v>10100022516</v>
          </cell>
          <cell r="E80" t="str">
            <v>厚膜贴片电阻器</v>
          </cell>
          <cell r="F80">
            <v>10010302</v>
          </cell>
          <cell r="G80" t="str">
            <v>ROYA\RES 11K F 1/16W 0402</v>
          </cell>
          <cell r="H80" t="str">
            <v>ROYALOHM(厚声)</v>
          </cell>
          <cell r="I80" t="str">
            <v>0402WGF1102TCE</v>
          </cell>
          <cell r="J80">
            <v>100096</v>
          </cell>
          <cell r="K80" t="str">
            <v>厚声国际贸易（昆山）有限公司深圳分公司</v>
          </cell>
          <cell r="L80" t="str">
            <v>X</v>
          </cell>
          <cell r="M80" t="str">
            <v/>
          </cell>
          <cell r="N80">
            <v>1</v>
          </cell>
          <cell r="O80">
            <v>1.09E-3</v>
          </cell>
          <cell r="P80">
            <v>1.0900000000000001</v>
          </cell>
          <cell r="Q80">
            <v>1.0900000000000001</v>
          </cell>
          <cell r="R80">
            <v>1000</v>
          </cell>
          <cell r="S80" t="str">
            <v>PCS</v>
          </cell>
          <cell r="T80">
            <v>42</v>
          </cell>
          <cell r="U80" t="str">
            <v>J3</v>
          </cell>
          <cell r="V80" t="str">
            <v>CNY</v>
          </cell>
          <cell r="W80">
            <v>10000</v>
          </cell>
          <cell r="X80">
            <v>10000</v>
          </cell>
        </row>
        <row r="81">
          <cell r="D81">
            <v>10100024187</v>
          </cell>
          <cell r="E81" t="str">
            <v>厚膜贴片电阻器</v>
          </cell>
          <cell r="F81">
            <v>10010302</v>
          </cell>
          <cell r="G81" t="str">
            <v>ROYA\RES 470R F 1/4W 1206</v>
          </cell>
          <cell r="H81" t="str">
            <v>ROYALOHM(厚声)</v>
          </cell>
          <cell r="I81" t="str">
            <v>1206W4F4700T5E</v>
          </cell>
          <cell r="J81">
            <v>100096</v>
          </cell>
          <cell r="K81" t="str">
            <v>厚声国际贸易（昆山）有限公司深圳分公司</v>
          </cell>
          <cell r="L81" t="str">
            <v>X</v>
          </cell>
          <cell r="M81" t="str">
            <v/>
          </cell>
          <cell r="N81">
            <v>1</v>
          </cell>
          <cell r="O81">
            <v>6.7799999999999996E-3</v>
          </cell>
          <cell r="P81">
            <v>6.78</v>
          </cell>
          <cell r="Q81">
            <v>6.78</v>
          </cell>
          <cell r="R81">
            <v>1000</v>
          </cell>
          <cell r="S81" t="str">
            <v>PCS</v>
          </cell>
          <cell r="T81">
            <v>42</v>
          </cell>
          <cell r="U81" t="str">
            <v>J3</v>
          </cell>
          <cell r="V81" t="str">
            <v>CNY</v>
          </cell>
          <cell r="W81">
            <v>5000</v>
          </cell>
          <cell r="X81">
            <v>5000</v>
          </cell>
        </row>
        <row r="82">
          <cell r="D82">
            <v>10100026554</v>
          </cell>
          <cell r="E82" t="str">
            <v>厚膜贴片电阻器</v>
          </cell>
          <cell r="F82">
            <v>10010302</v>
          </cell>
          <cell r="G82" t="str">
            <v>FH\RES 300K F 1/4W 1206</v>
          </cell>
          <cell r="H82" t="str">
            <v>FH(风华)</v>
          </cell>
          <cell r="I82" t="str">
            <v>RS-06K3003FT</v>
          </cell>
          <cell r="J82">
            <v>100654</v>
          </cell>
          <cell r="K82" t="str">
            <v>广东风华高新科技股份有限公司</v>
          </cell>
          <cell r="L82" t="str">
            <v>X</v>
          </cell>
          <cell r="M82" t="str">
            <v/>
          </cell>
          <cell r="N82">
            <v>1</v>
          </cell>
          <cell r="O82">
            <v>6.4999999999999997E-3</v>
          </cell>
          <cell r="P82">
            <v>6.5</v>
          </cell>
          <cell r="Q82">
            <v>6.5</v>
          </cell>
          <cell r="R82">
            <v>1000</v>
          </cell>
          <cell r="S82" t="str">
            <v>PCS</v>
          </cell>
          <cell r="T82">
            <v>42</v>
          </cell>
          <cell r="U82" t="str">
            <v>J3</v>
          </cell>
          <cell r="V82" t="str">
            <v>CNY</v>
          </cell>
          <cell r="W82">
            <v>5000</v>
          </cell>
          <cell r="X82">
            <v>5000</v>
          </cell>
        </row>
        <row r="83">
          <cell r="D83">
            <v>10110003896</v>
          </cell>
          <cell r="E83" t="str">
            <v>贴片陶瓷电容器</v>
          </cell>
          <cell r="F83">
            <v>11060201</v>
          </cell>
          <cell r="G83" t="str">
            <v>YAGEO\CAP Cer 1nF K X7R 50VDC 0402</v>
          </cell>
          <cell r="H83" t="str">
            <v>YAGEO(国巨)</v>
          </cell>
          <cell r="I83" t="str">
            <v>CC0402KRX7R9BB102</v>
          </cell>
          <cell r="J83">
            <v>101553</v>
          </cell>
          <cell r="K83" t="str">
            <v>深圳市奥特高科电子有限公司</v>
          </cell>
          <cell r="L83" t="str">
            <v>X</v>
          </cell>
          <cell r="M83" t="str">
            <v/>
          </cell>
          <cell r="N83">
            <v>1</v>
          </cell>
          <cell r="O83">
            <v>2.3E-3</v>
          </cell>
          <cell r="P83">
            <v>2.2999999999999998</v>
          </cell>
          <cell r="Q83">
            <v>2.2999999999999998</v>
          </cell>
          <cell r="R83">
            <v>1000</v>
          </cell>
          <cell r="S83" t="str">
            <v>PCS</v>
          </cell>
          <cell r="T83">
            <v>56</v>
          </cell>
          <cell r="U83" t="str">
            <v>J3</v>
          </cell>
          <cell r="V83" t="str">
            <v>CNY</v>
          </cell>
          <cell r="W83">
            <v>10000</v>
          </cell>
          <cell r="X83">
            <v>10000</v>
          </cell>
        </row>
        <row r="84">
          <cell r="D84">
            <v>10110003897</v>
          </cell>
          <cell r="E84" t="str">
            <v>贴片陶瓷电容器</v>
          </cell>
          <cell r="F84">
            <v>11060201</v>
          </cell>
          <cell r="G84" t="str">
            <v>YAGEO\CAP Cer 10nF K X7R 50VDC 0402</v>
          </cell>
          <cell r="H84" t="str">
            <v>YAGEO(国巨)</v>
          </cell>
          <cell r="I84" t="str">
            <v>CC0402KRX7R9BB103</v>
          </cell>
          <cell r="J84">
            <v>101553</v>
          </cell>
          <cell r="K84" t="str">
            <v>深圳市奥特高科电子有限公司</v>
          </cell>
          <cell r="L84" t="str">
            <v>X</v>
          </cell>
          <cell r="M84" t="str">
            <v/>
          </cell>
          <cell r="N84">
            <v>1</v>
          </cell>
          <cell r="O84">
            <v>2.2000000000000001E-3</v>
          </cell>
          <cell r="P84">
            <v>2.2000000000000002</v>
          </cell>
          <cell r="Q84">
            <v>2.2000000000000002</v>
          </cell>
          <cell r="R84">
            <v>1000</v>
          </cell>
          <cell r="S84" t="str">
            <v>PCS</v>
          </cell>
          <cell r="T84">
            <v>56</v>
          </cell>
          <cell r="U84" t="str">
            <v>J3</v>
          </cell>
          <cell r="V84" t="str">
            <v>CNY</v>
          </cell>
          <cell r="W84">
            <v>10000</v>
          </cell>
          <cell r="X84">
            <v>10000</v>
          </cell>
        </row>
        <row r="85">
          <cell r="D85">
            <v>10110004676</v>
          </cell>
          <cell r="E85" t="str">
            <v>贴片陶瓷电容器</v>
          </cell>
          <cell r="F85">
            <v>11060201</v>
          </cell>
          <cell r="G85" t="str">
            <v>WALS\CAP Cer 10nF K X7R 50VDC 0402</v>
          </cell>
          <cell r="H85" t="str">
            <v>WALS(华科)</v>
          </cell>
          <cell r="I85" t="str">
            <v>0402B103K500CT</v>
          </cell>
          <cell r="J85">
            <v>100131</v>
          </cell>
          <cell r="K85" t="str">
            <v>东莞华科电子有限公司</v>
          </cell>
          <cell r="L85" t="str">
            <v>X</v>
          </cell>
          <cell r="M85" t="str">
            <v/>
          </cell>
          <cell r="N85">
            <v>1</v>
          </cell>
          <cell r="O85">
            <v>1.98E-3</v>
          </cell>
          <cell r="P85">
            <v>1.98</v>
          </cell>
          <cell r="Q85">
            <v>1.98</v>
          </cell>
          <cell r="R85">
            <v>1000</v>
          </cell>
          <cell r="S85" t="str">
            <v>PCS</v>
          </cell>
          <cell r="T85">
            <v>56</v>
          </cell>
          <cell r="U85" t="str">
            <v>J3</v>
          </cell>
          <cell r="V85" t="str">
            <v>CNY</v>
          </cell>
          <cell r="W85">
            <v>10000</v>
          </cell>
          <cell r="X85">
            <v>10000</v>
          </cell>
        </row>
        <row r="86">
          <cell r="D86">
            <v>10110005377</v>
          </cell>
          <cell r="E86" t="str">
            <v>贴片陶瓷电容器</v>
          </cell>
          <cell r="F86">
            <v>11060201</v>
          </cell>
          <cell r="G86" t="str">
            <v>WALS\CAP Cer 100pF K X7R 50VDC 0402</v>
          </cell>
          <cell r="H86" t="str">
            <v>WALS(华科)</v>
          </cell>
          <cell r="I86" t="str">
            <v>0402B101K500CT</v>
          </cell>
          <cell r="J86">
            <v>101751</v>
          </cell>
          <cell r="K86" t="str">
            <v>深圳市巨新科电子有限公司</v>
          </cell>
          <cell r="L86" t="str">
            <v>X</v>
          </cell>
          <cell r="M86" t="str">
            <v/>
          </cell>
          <cell r="N86">
            <v>1</v>
          </cell>
          <cell r="O86">
            <v>2.98E-3</v>
          </cell>
          <cell r="P86">
            <v>2.98</v>
          </cell>
          <cell r="Q86">
            <v>2.98</v>
          </cell>
          <cell r="R86">
            <v>1000</v>
          </cell>
          <cell r="S86" t="str">
            <v>PCS</v>
          </cell>
          <cell r="T86">
            <v>90</v>
          </cell>
          <cell r="U86" t="str">
            <v>J3</v>
          </cell>
          <cell r="V86" t="str">
            <v>CNY</v>
          </cell>
          <cell r="W86">
            <v>10000</v>
          </cell>
          <cell r="X86">
            <v>10000</v>
          </cell>
        </row>
        <row r="87">
          <cell r="D87">
            <v>10110005378</v>
          </cell>
          <cell r="E87" t="str">
            <v>贴片陶瓷电容器</v>
          </cell>
          <cell r="F87">
            <v>11060201</v>
          </cell>
          <cell r="G87" t="str">
            <v>YAGEO\CAP Cer 100pF K X7R 50VDC 0402</v>
          </cell>
          <cell r="H87" t="str">
            <v>YAGEO(国巨)</v>
          </cell>
          <cell r="I87" t="str">
            <v>CC0402KRX7R9BB101</v>
          </cell>
          <cell r="J87">
            <v>100621</v>
          </cell>
          <cell r="K87" t="str">
            <v>深圳市吉利通电子有限公司</v>
          </cell>
          <cell r="L87" t="str">
            <v>X</v>
          </cell>
          <cell r="M87" t="str">
            <v/>
          </cell>
          <cell r="N87">
            <v>1</v>
          </cell>
          <cell r="O87">
            <v>2.3999999999999998E-3</v>
          </cell>
          <cell r="P87">
            <v>2.4</v>
          </cell>
          <cell r="Q87">
            <v>2.4</v>
          </cell>
          <cell r="R87">
            <v>1000</v>
          </cell>
          <cell r="S87" t="str">
            <v>PCS</v>
          </cell>
          <cell r="T87">
            <v>168</v>
          </cell>
          <cell r="U87" t="str">
            <v>J3</v>
          </cell>
          <cell r="V87" t="str">
            <v>CNY</v>
          </cell>
          <cell r="W87">
            <v>10000</v>
          </cell>
          <cell r="X87">
            <v>10000</v>
          </cell>
        </row>
        <row r="88">
          <cell r="D88">
            <v>10110005817</v>
          </cell>
          <cell r="E88" t="str">
            <v>贴片陶瓷电容器</v>
          </cell>
          <cell r="F88">
            <v>11060201</v>
          </cell>
          <cell r="G88" t="str">
            <v>WALS\CAP Cer 1nF K X7R 50VDC 0402</v>
          </cell>
          <cell r="H88" t="str">
            <v>WALS(华科)</v>
          </cell>
          <cell r="I88" t="str">
            <v>0402B102K500CT</v>
          </cell>
          <cell r="J88">
            <v>100131</v>
          </cell>
          <cell r="K88" t="str">
            <v>东莞华科电子有限公司</v>
          </cell>
          <cell r="L88" t="str">
            <v>X</v>
          </cell>
          <cell r="M88" t="str">
            <v/>
          </cell>
          <cell r="N88">
            <v>1</v>
          </cell>
          <cell r="O88">
            <v>1.98E-3</v>
          </cell>
          <cell r="P88">
            <v>1.98</v>
          </cell>
          <cell r="Q88">
            <v>1.98</v>
          </cell>
          <cell r="R88">
            <v>1000</v>
          </cell>
          <cell r="S88" t="str">
            <v>PCS</v>
          </cell>
          <cell r="T88">
            <v>56</v>
          </cell>
          <cell r="U88" t="str">
            <v>J3</v>
          </cell>
          <cell r="V88" t="str">
            <v>CNY</v>
          </cell>
          <cell r="W88">
            <v>10000</v>
          </cell>
          <cell r="X88">
            <v>10000</v>
          </cell>
        </row>
        <row r="89">
          <cell r="D89">
            <v>10110006771</v>
          </cell>
          <cell r="E89" t="str">
            <v>贴片陶瓷电容器</v>
          </cell>
          <cell r="F89">
            <v>11060201</v>
          </cell>
          <cell r="G89" t="str">
            <v>YAGEO\CAP Cer 100nF K X7R 50VDC 0402</v>
          </cell>
          <cell r="H89" t="str">
            <v>YAGEO(国巨)</v>
          </cell>
          <cell r="I89" t="str">
            <v>CC0402KRX7R9BB104</v>
          </cell>
          <cell r="J89">
            <v>101553</v>
          </cell>
          <cell r="K89" t="str">
            <v>深圳市奥特高科电子有限公司</v>
          </cell>
          <cell r="L89" t="str">
            <v>X</v>
          </cell>
          <cell r="M89" t="str">
            <v/>
          </cell>
          <cell r="N89">
            <v>1</v>
          </cell>
          <cell r="O89">
            <v>4.9500000000000004E-3</v>
          </cell>
          <cell r="P89">
            <v>4.95</v>
          </cell>
          <cell r="Q89">
            <v>4.95</v>
          </cell>
          <cell r="R89">
            <v>1000</v>
          </cell>
          <cell r="S89" t="str">
            <v>PCS</v>
          </cell>
          <cell r="T89">
            <v>56</v>
          </cell>
          <cell r="U89" t="str">
            <v>J3</v>
          </cell>
          <cell r="V89" t="str">
            <v>CNY</v>
          </cell>
          <cell r="W89">
            <v>10000</v>
          </cell>
          <cell r="X89">
            <v>10000</v>
          </cell>
        </row>
        <row r="90">
          <cell r="D90">
            <v>10110007139</v>
          </cell>
          <cell r="E90" t="str">
            <v>贴片陶瓷电容器</v>
          </cell>
          <cell r="F90">
            <v>11060201</v>
          </cell>
          <cell r="G90" t="str">
            <v>SAMS\CAP Cer 10nF K X7R 50VDC 0402</v>
          </cell>
          <cell r="H90" t="str">
            <v>SAMSUNG(三星)</v>
          </cell>
          <cell r="I90" t="str">
            <v>CL05B103KB5NNNC</v>
          </cell>
          <cell r="J90">
            <v>100599</v>
          </cell>
          <cell r="K90" t="str">
            <v>深圳市天河星供应链有限公司</v>
          </cell>
          <cell r="L90" t="str">
            <v>X</v>
          </cell>
          <cell r="M90" t="str">
            <v/>
          </cell>
          <cell r="N90">
            <v>1</v>
          </cell>
          <cell r="O90">
            <v>2.2000000000000001E-3</v>
          </cell>
          <cell r="P90">
            <v>2.2000000000000002</v>
          </cell>
          <cell r="Q90">
            <v>2.2000000000000002</v>
          </cell>
          <cell r="R90">
            <v>1000</v>
          </cell>
          <cell r="S90" t="str">
            <v>PCS</v>
          </cell>
          <cell r="T90">
            <v>56</v>
          </cell>
          <cell r="U90" t="str">
            <v>J3</v>
          </cell>
          <cell r="V90" t="str">
            <v>CNY</v>
          </cell>
          <cell r="W90">
            <v>10000</v>
          </cell>
          <cell r="X90">
            <v>1000</v>
          </cell>
        </row>
        <row r="91">
          <cell r="D91">
            <v>10110007822</v>
          </cell>
          <cell r="E91" t="str">
            <v>贴片陶瓷电容器</v>
          </cell>
          <cell r="F91">
            <v>11060201</v>
          </cell>
          <cell r="G91" t="str">
            <v>SAMS\CAP Cer 1nF K X7R 50VDC 0402</v>
          </cell>
          <cell r="H91" t="str">
            <v>SAMSUNG(三星)</v>
          </cell>
          <cell r="I91" t="str">
            <v>CL05B102KB5NNNC</v>
          </cell>
          <cell r="J91">
            <v>101957</v>
          </cell>
          <cell r="K91" t="str">
            <v>广东顺德集财电子有限公司</v>
          </cell>
          <cell r="L91" t="str">
            <v>X</v>
          </cell>
          <cell r="M91" t="str">
            <v/>
          </cell>
          <cell r="N91">
            <v>1</v>
          </cell>
          <cell r="O91">
            <v>2.3999999999999998E-3</v>
          </cell>
          <cell r="P91">
            <v>2.4</v>
          </cell>
          <cell r="Q91">
            <v>2.4</v>
          </cell>
          <cell r="R91">
            <v>1000</v>
          </cell>
          <cell r="S91" t="str">
            <v>PCS</v>
          </cell>
          <cell r="T91">
            <v>56</v>
          </cell>
          <cell r="U91" t="str">
            <v>J3</v>
          </cell>
          <cell r="V91" t="str">
            <v>CNY</v>
          </cell>
          <cell r="W91">
            <v>10000</v>
          </cell>
          <cell r="X91">
            <v>10000</v>
          </cell>
        </row>
        <row r="92">
          <cell r="D92">
            <v>10110008257</v>
          </cell>
          <cell r="E92" t="str">
            <v>贴片陶瓷电容器</v>
          </cell>
          <cell r="F92">
            <v>11060201</v>
          </cell>
          <cell r="G92" t="str">
            <v>WALS\CAP Cer 100nF K X7R 50VDC 0402</v>
          </cell>
          <cell r="H92" t="str">
            <v>WALS(华科)</v>
          </cell>
          <cell r="I92" t="str">
            <v>0402B104K500CT</v>
          </cell>
          <cell r="J92">
            <v>101566</v>
          </cell>
          <cell r="K92" t="str">
            <v>深圳市兴鸿宇科技有限公司</v>
          </cell>
          <cell r="L92" t="str">
            <v>X</v>
          </cell>
          <cell r="M92" t="str">
            <v/>
          </cell>
          <cell r="N92">
            <v>1</v>
          </cell>
          <cell r="O92">
            <v>4.5999999999999999E-3</v>
          </cell>
          <cell r="P92">
            <v>4.5999999999999996</v>
          </cell>
          <cell r="Q92">
            <v>4.5999999999999996</v>
          </cell>
          <cell r="R92">
            <v>1000</v>
          </cell>
          <cell r="S92" t="str">
            <v>PCS</v>
          </cell>
          <cell r="T92">
            <v>56</v>
          </cell>
          <cell r="U92" t="str">
            <v>J3</v>
          </cell>
          <cell r="V92" t="str">
            <v>CNY</v>
          </cell>
          <cell r="W92">
            <v>10000</v>
          </cell>
          <cell r="X92">
            <v>10000</v>
          </cell>
        </row>
        <row r="93">
          <cell r="D93">
            <v>10110008724</v>
          </cell>
          <cell r="E93" t="str">
            <v>贴片陶瓷电容器</v>
          </cell>
          <cell r="F93">
            <v>11060201</v>
          </cell>
          <cell r="G93" t="str">
            <v>FH\CAP Cer 100nF K X7R 50VDC 0402</v>
          </cell>
          <cell r="H93" t="str">
            <v>FH(风华)</v>
          </cell>
          <cell r="I93" t="str">
            <v>0402B104K500NT</v>
          </cell>
          <cell r="J93">
            <v>101957</v>
          </cell>
          <cell r="K93" t="str">
            <v>广东顺德集财电子有限公司</v>
          </cell>
          <cell r="L93" t="str">
            <v>X</v>
          </cell>
          <cell r="M93" t="str">
            <v/>
          </cell>
          <cell r="N93">
            <v>1</v>
          </cell>
          <cell r="O93">
            <v>4.1000000000000003E-3</v>
          </cell>
          <cell r="P93">
            <v>4.0999999999999996</v>
          </cell>
          <cell r="Q93">
            <v>4.0999999999999996</v>
          </cell>
          <cell r="R93">
            <v>1000</v>
          </cell>
          <cell r="S93" t="str">
            <v>PCS</v>
          </cell>
          <cell r="T93">
            <v>56</v>
          </cell>
          <cell r="U93" t="str">
            <v>J3</v>
          </cell>
          <cell r="V93" t="str">
            <v>CNY</v>
          </cell>
          <cell r="W93">
            <v>10000</v>
          </cell>
          <cell r="X93">
            <v>10000</v>
          </cell>
        </row>
        <row r="94">
          <cell r="D94">
            <v>10110008726</v>
          </cell>
          <cell r="E94" t="str">
            <v>贴片陶瓷电容器</v>
          </cell>
          <cell r="F94">
            <v>11060201</v>
          </cell>
          <cell r="G94" t="str">
            <v>FH\CAP Cer 100pF K X7R 50VDC 0402</v>
          </cell>
          <cell r="H94" t="str">
            <v>FH(风华)</v>
          </cell>
          <cell r="I94" t="str">
            <v>0402B101K500NT</v>
          </cell>
          <cell r="J94">
            <v>100599</v>
          </cell>
          <cell r="K94" t="str">
            <v>深圳市天河星供应链有限公司</v>
          </cell>
          <cell r="L94" t="str">
            <v>X</v>
          </cell>
          <cell r="M94" t="str">
            <v/>
          </cell>
          <cell r="N94">
            <v>1</v>
          </cell>
          <cell r="O94">
            <v>2.2000000000000001E-3</v>
          </cell>
          <cell r="P94">
            <v>2.2000000000000002</v>
          </cell>
          <cell r="Q94">
            <v>2.2000000000000002</v>
          </cell>
          <cell r="R94">
            <v>1000</v>
          </cell>
          <cell r="S94" t="str">
            <v>PCS</v>
          </cell>
          <cell r="T94">
            <v>56</v>
          </cell>
          <cell r="U94" t="str">
            <v>J3</v>
          </cell>
          <cell r="V94" t="str">
            <v>CNY</v>
          </cell>
          <cell r="W94">
            <v>10000</v>
          </cell>
          <cell r="X94">
            <v>10000</v>
          </cell>
        </row>
        <row r="95">
          <cell r="D95">
            <v>10110008729</v>
          </cell>
          <cell r="E95" t="str">
            <v>贴片陶瓷电容器</v>
          </cell>
          <cell r="F95">
            <v>11060201</v>
          </cell>
          <cell r="G95" t="str">
            <v>FH\CAP Cer 10nF K X7R 50VDC 0402</v>
          </cell>
          <cell r="H95" t="str">
            <v>FH(风华)</v>
          </cell>
          <cell r="I95" t="str">
            <v>0402B103K500NT</v>
          </cell>
          <cell r="J95">
            <v>100654</v>
          </cell>
          <cell r="K95" t="str">
            <v>广东风华高新科技股份有限公司</v>
          </cell>
          <cell r="L95" t="str">
            <v>X</v>
          </cell>
          <cell r="M95" t="str">
            <v/>
          </cell>
          <cell r="N95">
            <v>1</v>
          </cell>
          <cell r="O95">
            <v>2.0999999999999999E-3</v>
          </cell>
          <cell r="P95">
            <v>2.1</v>
          </cell>
          <cell r="Q95">
            <v>2.1</v>
          </cell>
          <cell r="R95">
            <v>1000</v>
          </cell>
          <cell r="S95" t="str">
            <v>PCS</v>
          </cell>
          <cell r="T95">
            <v>56</v>
          </cell>
          <cell r="U95" t="str">
            <v>J3</v>
          </cell>
          <cell r="V95" t="str">
            <v>CNY</v>
          </cell>
          <cell r="W95">
            <v>10000</v>
          </cell>
          <cell r="X95">
            <v>10000</v>
          </cell>
        </row>
        <row r="96">
          <cell r="D96">
            <v>10110008734</v>
          </cell>
          <cell r="E96" t="str">
            <v>贴片陶瓷电容器</v>
          </cell>
          <cell r="F96">
            <v>11060201</v>
          </cell>
          <cell r="G96" t="str">
            <v>FH\CAP Cer 1nF K X7R 50VDC 0402</v>
          </cell>
          <cell r="H96" t="str">
            <v>FH(风华)</v>
          </cell>
          <cell r="I96" t="str">
            <v>0402B102K500NT</v>
          </cell>
          <cell r="J96">
            <v>100654</v>
          </cell>
          <cell r="K96" t="str">
            <v>广东风华高新科技股份有限公司</v>
          </cell>
          <cell r="L96" t="str">
            <v>X</v>
          </cell>
          <cell r="M96" t="str">
            <v/>
          </cell>
          <cell r="N96">
            <v>1</v>
          </cell>
          <cell r="O96">
            <v>2.0999999999999999E-3</v>
          </cell>
          <cell r="P96">
            <v>2.1</v>
          </cell>
          <cell r="Q96">
            <v>2.1</v>
          </cell>
          <cell r="R96">
            <v>1000</v>
          </cell>
          <cell r="S96" t="str">
            <v>PCS</v>
          </cell>
          <cell r="T96">
            <v>56</v>
          </cell>
          <cell r="U96" t="str">
            <v>J3</v>
          </cell>
          <cell r="V96" t="str">
            <v>CNY</v>
          </cell>
          <cell r="W96">
            <v>10000</v>
          </cell>
          <cell r="X96">
            <v>10000</v>
          </cell>
        </row>
        <row r="97">
          <cell r="D97">
            <v>10110008742</v>
          </cell>
          <cell r="E97" t="str">
            <v>贴片陶瓷电容器</v>
          </cell>
          <cell r="F97">
            <v>11060201</v>
          </cell>
          <cell r="G97" t="str">
            <v>FH\CAP Cer 2.2nF K X7R 50VDC 0402</v>
          </cell>
          <cell r="H97" t="str">
            <v>FH(风华)</v>
          </cell>
          <cell r="I97" t="str">
            <v>0402B222K500NT</v>
          </cell>
          <cell r="J97">
            <v>100654</v>
          </cell>
          <cell r="K97" t="str">
            <v>广东风华高新科技股份有限公司</v>
          </cell>
          <cell r="L97" t="str">
            <v>X</v>
          </cell>
          <cell r="M97" t="str">
            <v/>
          </cell>
          <cell r="N97">
            <v>1</v>
          </cell>
          <cell r="O97">
            <v>2.1900000000000001E-3</v>
          </cell>
          <cell r="P97">
            <v>2.19</v>
          </cell>
          <cell r="Q97">
            <v>2.19</v>
          </cell>
          <cell r="R97">
            <v>1000</v>
          </cell>
          <cell r="S97" t="str">
            <v>PCS</v>
          </cell>
          <cell r="T97">
            <v>42</v>
          </cell>
          <cell r="U97" t="str">
            <v>J3</v>
          </cell>
          <cell r="V97" t="str">
            <v>CNY</v>
          </cell>
          <cell r="W97">
            <v>10000</v>
          </cell>
          <cell r="X97">
            <v>10000</v>
          </cell>
        </row>
        <row r="98">
          <cell r="D98">
            <v>10110008934</v>
          </cell>
          <cell r="E98" t="str">
            <v>贴片陶瓷电容器</v>
          </cell>
          <cell r="F98">
            <v>11060201</v>
          </cell>
          <cell r="G98" t="str">
            <v>FH\CAP Cer 4.7uF K X7R 50VDC 0805</v>
          </cell>
          <cell r="H98" t="str">
            <v>FH(风华)</v>
          </cell>
          <cell r="I98" t="str">
            <v>0805B475K500NT</v>
          </cell>
          <cell r="J98">
            <v>101957</v>
          </cell>
          <cell r="K98" t="str">
            <v>广东顺德集财电子有限公司</v>
          </cell>
          <cell r="L98" t="str">
            <v>X</v>
          </cell>
          <cell r="M98" t="str">
            <v/>
          </cell>
          <cell r="N98">
            <v>1</v>
          </cell>
          <cell r="O98">
            <v>9.8000000000000004E-2</v>
          </cell>
          <cell r="P98">
            <v>98</v>
          </cell>
          <cell r="Q98">
            <v>98</v>
          </cell>
          <cell r="R98">
            <v>1000</v>
          </cell>
          <cell r="S98" t="str">
            <v>PCS</v>
          </cell>
          <cell r="T98">
            <v>56</v>
          </cell>
          <cell r="U98" t="str">
            <v>J3</v>
          </cell>
          <cell r="V98" t="str">
            <v>CNY</v>
          </cell>
          <cell r="W98">
            <v>2000</v>
          </cell>
          <cell r="X98">
            <v>2000</v>
          </cell>
        </row>
        <row r="99">
          <cell r="D99">
            <v>10110008993</v>
          </cell>
          <cell r="E99" t="str">
            <v>贴片陶瓷电容器</v>
          </cell>
          <cell r="F99">
            <v>11060201</v>
          </cell>
          <cell r="G99" t="str">
            <v>WALS\CAP Cer 2.2nF K X7R 50VDC 0402</v>
          </cell>
          <cell r="H99" t="str">
            <v>WALS(华科)</v>
          </cell>
          <cell r="I99" t="str">
            <v>0402B222K500CT</v>
          </cell>
          <cell r="J99">
            <v>100131</v>
          </cell>
          <cell r="K99" t="str">
            <v>东莞华科电子有限公司</v>
          </cell>
          <cell r="L99" t="str">
            <v>X</v>
          </cell>
          <cell r="M99" t="str">
            <v/>
          </cell>
          <cell r="N99">
            <v>1</v>
          </cell>
          <cell r="O99">
            <v>3.0500000000000002E-3</v>
          </cell>
          <cell r="P99">
            <v>3.05</v>
          </cell>
          <cell r="Q99">
            <v>3.05</v>
          </cell>
          <cell r="R99">
            <v>1000</v>
          </cell>
          <cell r="S99" t="str">
            <v>PCS</v>
          </cell>
          <cell r="T99">
            <v>70</v>
          </cell>
          <cell r="U99" t="str">
            <v>J3</v>
          </cell>
          <cell r="V99" t="str">
            <v>CNY</v>
          </cell>
          <cell r="W99">
            <v>10000</v>
          </cell>
          <cell r="X99">
            <v>1000</v>
          </cell>
        </row>
        <row r="100">
          <cell r="D100">
            <v>10110009071</v>
          </cell>
          <cell r="E100" t="str">
            <v>贴片陶瓷电容器</v>
          </cell>
          <cell r="F100">
            <v>11060201</v>
          </cell>
          <cell r="G100" t="str">
            <v>WALS\CAP Cer 4.7uF K X7R 50VDC 0805</v>
          </cell>
          <cell r="H100" t="str">
            <v>WALS(华科)</v>
          </cell>
          <cell r="I100" t="str">
            <v>0805B475K500CT</v>
          </cell>
          <cell r="J100">
            <v>100131</v>
          </cell>
          <cell r="K100" t="str">
            <v>东莞华科电子有限公司</v>
          </cell>
          <cell r="L100" t="str">
            <v>X</v>
          </cell>
          <cell r="M100" t="str">
            <v/>
          </cell>
          <cell r="N100">
            <v>1</v>
          </cell>
          <cell r="O100">
            <v>0.16964000000000001</v>
          </cell>
          <cell r="P100">
            <v>169.64</v>
          </cell>
          <cell r="Q100">
            <v>169.64</v>
          </cell>
          <cell r="R100">
            <v>1000</v>
          </cell>
          <cell r="S100" t="str">
            <v>PCS</v>
          </cell>
          <cell r="T100">
            <v>84</v>
          </cell>
          <cell r="U100" t="str">
            <v>J3</v>
          </cell>
          <cell r="V100" t="str">
            <v>CNY</v>
          </cell>
          <cell r="W100">
            <v>3000</v>
          </cell>
          <cell r="X100">
            <v>3000</v>
          </cell>
        </row>
        <row r="101">
          <cell r="D101">
            <v>10110009749</v>
          </cell>
          <cell r="E101" t="str">
            <v>贴片陶瓷电容器</v>
          </cell>
          <cell r="F101">
            <v>11060201</v>
          </cell>
          <cell r="G101" t="str">
            <v>SAMS\CAP Cer 100pF K X7R 50VDC 0402</v>
          </cell>
          <cell r="H101" t="str">
            <v>SAMSUNG(三星)</v>
          </cell>
          <cell r="I101" t="str">
            <v>CL05B101KB5NNNC</v>
          </cell>
          <cell r="J101">
            <v>101783</v>
          </cell>
          <cell r="K101" t="str">
            <v>深圳市欧亚达电子有限公司</v>
          </cell>
          <cell r="L101" t="str">
            <v>X</v>
          </cell>
          <cell r="M101" t="str">
            <v/>
          </cell>
          <cell r="N101">
            <v>1</v>
          </cell>
          <cell r="O101">
            <v>9.5499999999999995E-3</v>
          </cell>
          <cell r="P101">
            <v>9.5500000000000007</v>
          </cell>
          <cell r="Q101">
            <v>9.5500000000000007</v>
          </cell>
          <cell r="R101">
            <v>1000</v>
          </cell>
          <cell r="S101" t="str">
            <v>PCS</v>
          </cell>
          <cell r="T101">
            <v>84</v>
          </cell>
          <cell r="U101" t="str">
            <v>J3</v>
          </cell>
          <cell r="V101" t="str">
            <v>CNY</v>
          </cell>
          <cell r="W101">
            <v>10000</v>
          </cell>
          <cell r="X101">
            <v>10000</v>
          </cell>
        </row>
        <row r="102">
          <cell r="D102">
            <v>10110010638</v>
          </cell>
          <cell r="E102" t="str">
            <v>贴片陶瓷电容器</v>
          </cell>
          <cell r="F102">
            <v>11060201</v>
          </cell>
          <cell r="G102" t="str">
            <v>SAMS\CAP Cer 2.2nF K X7R 50VDC 0402</v>
          </cell>
          <cell r="H102" t="str">
            <v>SAMSUNG(三星)</v>
          </cell>
          <cell r="I102" t="str">
            <v>CL05B222KB5NNNC</v>
          </cell>
          <cell r="J102">
            <v>102940</v>
          </cell>
          <cell r="K102" t="str">
            <v>深圳市宏昌鑫科技有限责任公司</v>
          </cell>
          <cell r="L102" t="str">
            <v>X</v>
          </cell>
          <cell r="M102" t="str">
            <v/>
          </cell>
          <cell r="N102">
            <v>1</v>
          </cell>
          <cell r="O102">
            <v>7.3699999999999998E-3</v>
          </cell>
          <cell r="P102">
            <v>7.37</v>
          </cell>
          <cell r="Q102">
            <v>7.37</v>
          </cell>
          <cell r="R102">
            <v>1000</v>
          </cell>
          <cell r="S102" t="str">
            <v>PCS</v>
          </cell>
          <cell r="T102">
            <v>140</v>
          </cell>
          <cell r="U102" t="str">
            <v>J3</v>
          </cell>
          <cell r="V102" t="str">
            <v>CNY</v>
          </cell>
          <cell r="W102">
            <v>10000</v>
          </cell>
          <cell r="X102">
            <v>10000</v>
          </cell>
        </row>
        <row r="103">
          <cell r="D103">
            <v>10110011269</v>
          </cell>
          <cell r="E103" t="str">
            <v>贴片陶瓷电容器</v>
          </cell>
          <cell r="F103">
            <v>11060201</v>
          </cell>
          <cell r="G103" t="str">
            <v>SH3\CAP Cer 10nF K X7R 50VDC 0402</v>
          </cell>
          <cell r="H103" t="str">
            <v>CCTC(三环)</v>
          </cell>
          <cell r="I103" t="str">
            <v>TCC0402X7R103K500AT</v>
          </cell>
          <cell r="J103">
            <v>102178</v>
          </cell>
          <cell r="K103" t="str">
            <v>潮州三环（集团）股份有限公司</v>
          </cell>
          <cell r="L103" t="str">
            <v>X</v>
          </cell>
          <cell r="M103" t="str">
            <v/>
          </cell>
          <cell r="N103">
            <v>1</v>
          </cell>
          <cell r="O103">
            <v>1.8500000000000001E-3</v>
          </cell>
          <cell r="P103">
            <v>1.85</v>
          </cell>
          <cell r="Q103">
            <v>1.85</v>
          </cell>
          <cell r="R103">
            <v>1000</v>
          </cell>
          <cell r="S103" t="str">
            <v>PCS</v>
          </cell>
          <cell r="T103">
            <v>56</v>
          </cell>
          <cell r="U103" t="str">
            <v>J3</v>
          </cell>
          <cell r="V103" t="str">
            <v>CNY</v>
          </cell>
          <cell r="W103">
            <v>10000</v>
          </cell>
          <cell r="X103">
            <v>10000</v>
          </cell>
        </row>
        <row r="104">
          <cell r="D104">
            <v>10110012147</v>
          </cell>
          <cell r="E104" t="str">
            <v>贴片陶瓷电容器</v>
          </cell>
          <cell r="F104">
            <v>11060201</v>
          </cell>
          <cell r="G104" t="str">
            <v>SH3\CAP Cer 100pF K X7R 50VDC 0402</v>
          </cell>
          <cell r="H104" t="str">
            <v>CCTC(三环)</v>
          </cell>
          <cell r="I104" t="str">
            <v>TCC0402X7R101K500AT</v>
          </cell>
          <cell r="J104">
            <v>102178</v>
          </cell>
          <cell r="K104" t="str">
            <v>潮州三环（集团）股份有限公司</v>
          </cell>
          <cell r="L104" t="str">
            <v>X</v>
          </cell>
          <cell r="M104" t="str">
            <v/>
          </cell>
          <cell r="N104">
            <v>1</v>
          </cell>
          <cell r="O104">
            <v>1.9499999999999999E-3</v>
          </cell>
          <cell r="P104">
            <v>1.95</v>
          </cell>
          <cell r="Q104">
            <v>1.95</v>
          </cell>
          <cell r="R104">
            <v>1000</v>
          </cell>
          <cell r="S104" t="str">
            <v>PCS</v>
          </cell>
          <cell r="T104">
            <v>56</v>
          </cell>
          <cell r="U104" t="str">
            <v>J3</v>
          </cell>
          <cell r="V104" t="str">
            <v>CNY</v>
          </cell>
          <cell r="W104">
            <v>10000</v>
          </cell>
          <cell r="X104">
            <v>10000</v>
          </cell>
        </row>
        <row r="105">
          <cell r="D105">
            <v>10110012149</v>
          </cell>
          <cell r="E105" t="str">
            <v>贴片陶瓷电容器</v>
          </cell>
          <cell r="F105">
            <v>11060201</v>
          </cell>
          <cell r="G105" t="str">
            <v>SH3\CAP Cer 1nF K X7R 50VDC 0402</v>
          </cell>
          <cell r="H105" t="str">
            <v>CCTC(三环)</v>
          </cell>
          <cell r="I105" t="str">
            <v>TCC0402X7R102K500AT</v>
          </cell>
          <cell r="J105">
            <v>102178</v>
          </cell>
          <cell r="K105" t="str">
            <v>潮州三环（集团）股份有限公司</v>
          </cell>
          <cell r="L105" t="str">
            <v>X</v>
          </cell>
          <cell r="M105" t="str">
            <v/>
          </cell>
          <cell r="N105">
            <v>1</v>
          </cell>
          <cell r="O105">
            <v>1.8500000000000001E-3</v>
          </cell>
          <cell r="P105">
            <v>1.85</v>
          </cell>
          <cell r="Q105">
            <v>1.85</v>
          </cell>
          <cell r="R105">
            <v>1000</v>
          </cell>
          <cell r="S105" t="str">
            <v>PCS</v>
          </cell>
          <cell r="T105">
            <v>56</v>
          </cell>
          <cell r="U105" t="str">
            <v>J3</v>
          </cell>
          <cell r="V105" t="str">
            <v>CNY</v>
          </cell>
          <cell r="W105">
            <v>10000</v>
          </cell>
          <cell r="X105">
            <v>10000</v>
          </cell>
        </row>
        <row r="106">
          <cell r="D106">
            <v>10110014746</v>
          </cell>
          <cell r="E106" t="str">
            <v>X2安规薄膜电容器</v>
          </cell>
          <cell r="F106">
            <v>11010102</v>
          </cell>
          <cell r="G106" t="str">
            <v>STE\CAP X2 220nF K 275VAC 13*6*12 F=10&amp;</v>
          </cell>
          <cell r="H106" t="str">
            <v>STE(松田)</v>
          </cell>
          <cell r="I106" t="str">
            <v>X2P2224KN5B0130120060ES0</v>
          </cell>
          <cell r="J106">
            <v>101946</v>
          </cell>
          <cell r="K106" t="str">
            <v>汕头保税区松田电子科技有限公司</v>
          </cell>
          <cell r="L106" t="str">
            <v>X</v>
          </cell>
          <cell r="M106" t="str">
            <v/>
          </cell>
          <cell r="N106">
            <v>1</v>
          </cell>
          <cell r="O106">
            <v>0.23311999999999999</v>
          </cell>
          <cell r="P106">
            <v>233.12</v>
          </cell>
          <cell r="Q106">
            <v>233.12</v>
          </cell>
          <cell r="R106">
            <v>1000</v>
          </cell>
          <cell r="S106" t="str">
            <v>PCS</v>
          </cell>
          <cell r="T106">
            <v>28</v>
          </cell>
          <cell r="U106" t="str">
            <v>J3</v>
          </cell>
          <cell r="V106" t="str">
            <v>CNY</v>
          </cell>
          <cell r="W106">
            <v>1000</v>
          </cell>
          <cell r="X106">
            <v>1000</v>
          </cell>
        </row>
        <row r="107">
          <cell r="D107">
            <v>10110015893</v>
          </cell>
          <cell r="E107" t="str">
            <v>贴片陶瓷电容器</v>
          </cell>
          <cell r="F107">
            <v>11060201</v>
          </cell>
          <cell r="G107" t="str">
            <v>SH3\CAP Cer 2.2nF K X7R 50VDC 0402</v>
          </cell>
          <cell r="H107" t="str">
            <v>CCTC(三环)</v>
          </cell>
          <cell r="I107" t="str">
            <v>TCC0402X7R222K500AT</v>
          </cell>
          <cell r="J107">
            <v>102178</v>
          </cell>
          <cell r="K107" t="str">
            <v>潮州三环（集团）股份有限公司</v>
          </cell>
          <cell r="L107" t="str">
            <v>X</v>
          </cell>
          <cell r="M107" t="str">
            <v/>
          </cell>
          <cell r="N107">
            <v>1</v>
          </cell>
          <cell r="O107">
            <v>1.8600000000000001E-3</v>
          </cell>
          <cell r="P107">
            <v>1.86</v>
          </cell>
          <cell r="Q107">
            <v>1.86</v>
          </cell>
          <cell r="R107">
            <v>1000</v>
          </cell>
          <cell r="S107" t="str">
            <v>PCS</v>
          </cell>
          <cell r="T107">
            <v>56</v>
          </cell>
          <cell r="U107" t="str">
            <v>J3</v>
          </cell>
          <cell r="V107" t="str">
            <v>CNY</v>
          </cell>
          <cell r="W107">
            <v>10000</v>
          </cell>
          <cell r="X107">
            <v>10000</v>
          </cell>
        </row>
        <row r="108">
          <cell r="D108">
            <v>10110016198</v>
          </cell>
          <cell r="E108" t="str">
            <v>贴片陶瓷电容器</v>
          </cell>
          <cell r="F108">
            <v>11060201</v>
          </cell>
          <cell r="G108" t="str">
            <v>YAGEO\CAP Cer 2.2nF K X7R 50VDC 0402</v>
          </cell>
          <cell r="H108" t="str">
            <v>YAGEO(国巨)</v>
          </cell>
          <cell r="I108" t="str">
            <v>CC0402KRX7R9BB222</v>
          </cell>
          <cell r="J108">
            <v>101553</v>
          </cell>
          <cell r="K108" t="str">
            <v>深圳市奥特高科电子有限公司</v>
          </cell>
          <cell r="L108" t="str">
            <v>X</v>
          </cell>
          <cell r="M108" t="str">
            <v/>
          </cell>
          <cell r="N108">
            <v>1</v>
          </cell>
          <cell r="O108">
            <v>2.3E-3</v>
          </cell>
          <cell r="P108">
            <v>2.2999999999999998</v>
          </cell>
          <cell r="Q108">
            <v>2.2999999999999998</v>
          </cell>
          <cell r="R108">
            <v>1000</v>
          </cell>
          <cell r="S108" t="str">
            <v>PCS</v>
          </cell>
          <cell r="T108">
            <v>56</v>
          </cell>
          <cell r="U108" t="str">
            <v>J3</v>
          </cell>
          <cell r="V108" t="str">
            <v>CNY</v>
          </cell>
          <cell r="W108">
            <v>10000</v>
          </cell>
          <cell r="X108">
            <v>10000</v>
          </cell>
        </row>
        <row r="109">
          <cell r="D109">
            <v>10110016349</v>
          </cell>
          <cell r="E109" t="str">
            <v>贴片陶瓷电容器</v>
          </cell>
          <cell r="F109">
            <v>11060201</v>
          </cell>
          <cell r="G109" t="str">
            <v>SH3\CAP Cer 100nF K X7R 50VDC 0402</v>
          </cell>
          <cell r="H109" t="str">
            <v>CCTC(三环)</v>
          </cell>
          <cell r="I109" t="str">
            <v>TCC0402X7R104K500AT</v>
          </cell>
          <cell r="J109">
            <v>101957</v>
          </cell>
          <cell r="K109" t="str">
            <v>广东顺德集财电子有限公司</v>
          </cell>
          <cell r="L109" t="str">
            <v>X</v>
          </cell>
          <cell r="M109" t="str">
            <v/>
          </cell>
          <cell r="N109">
            <v>1</v>
          </cell>
          <cell r="O109">
            <v>4.0899999999999999E-3</v>
          </cell>
          <cell r="P109">
            <v>4.09</v>
          </cell>
          <cell r="Q109">
            <v>4.09</v>
          </cell>
          <cell r="R109">
            <v>1000</v>
          </cell>
          <cell r="S109" t="str">
            <v>PCS</v>
          </cell>
          <cell r="T109">
            <v>56</v>
          </cell>
          <cell r="U109" t="str">
            <v>J3</v>
          </cell>
          <cell r="V109" t="str">
            <v>CNY</v>
          </cell>
          <cell r="W109">
            <v>10000</v>
          </cell>
          <cell r="X109">
            <v>10000</v>
          </cell>
        </row>
        <row r="110">
          <cell r="D110">
            <v>10110020767</v>
          </cell>
          <cell r="E110" t="str">
            <v>贴片陶瓷电容器</v>
          </cell>
          <cell r="F110">
            <v>11060201</v>
          </cell>
          <cell r="G110" t="str">
            <v>YAGEO\CAP Cer 1uF K X7R 10VDC 0402</v>
          </cell>
          <cell r="H110" t="str">
            <v>YAGEO(国巨)</v>
          </cell>
          <cell r="I110" t="str">
            <v>CC0402KRX7R6BB105</v>
          </cell>
          <cell r="J110">
            <v>101957</v>
          </cell>
          <cell r="K110" t="str">
            <v>广东顺德集财电子有限公司</v>
          </cell>
          <cell r="L110" t="str">
            <v>X</v>
          </cell>
          <cell r="M110" t="str">
            <v/>
          </cell>
          <cell r="N110">
            <v>1</v>
          </cell>
          <cell r="O110">
            <v>5.5399999999999998E-2</v>
          </cell>
          <cell r="P110">
            <v>55.4</v>
          </cell>
          <cell r="Q110">
            <v>55.4</v>
          </cell>
          <cell r="R110">
            <v>1000</v>
          </cell>
          <cell r="S110" t="str">
            <v>PCS</v>
          </cell>
          <cell r="T110">
            <v>84</v>
          </cell>
          <cell r="U110" t="str">
            <v>J3</v>
          </cell>
          <cell r="V110" t="str">
            <v>CNY</v>
          </cell>
          <cell r="W110">
            <v>10000</v>
          </cell>
          <cell r="X110">
            <v>10000</v>
          </cell>
        </row>
        <row r="111">
          <cell r="D111">
            <v>10140000397</v>
          </cell>
          <cell r="E111" t="str">
            <v>贴片整流二极管</v>
          </cell>
          <cell r="F111">
            <v>14030601</v>
          </cell>
          <cell r="G111" t="str">
            <v>PANJ\Diode Rect SMA 1A 1000V GS1M</v>
          </cell>
          <cell r="H111" t="str">
            <v>PANJ(强茂)</v>
          </cell>
          <cell r="I111" t="str">
            <v>GS1M</v>
          </cell>
          <cell r="J111">
            <v>101672</v>
          </cell>
          <cell r="K111" t="str">
            <v>深圳市合信昌科技有限公司</v>
          </cell>
          <cell r="L111" t="str">
            <v>X</v>
          </cell>
          <cell r="M111" t="str">
            <v/>
          </cell>
          <cell r="N111">
            <v>1</v>
          </cell>
          <cell r="O111">
            <v>7.4999999999999997E-2</v>
          </cell>
          <cell r="P111">
            <v>75</v>
          </cell>
          <cell r="Q111">
            <v>75</v>
          </cell>
          <cell r="R111">
            <v>1000</v>
          </cell>
          <cell r="S111" t="str">
            <v>PCS</v>
          </cell>
          <cell r="T111">
            <v>70</v>
          </cell>
          <cell r="U111" t="str">
            <v>J3</v>
          </cell>
          <cell r="V111" t="str">
            <v>CNY</v>
          </cell>
          <cell r="W111">
            <v>1800</v>
          </cell>
          <cell r="X111">
            <v>1800</v>
          </cell>
        </row>
        <row r="112">
          <cell r="D112">
            <v>10140002123</v>
          </cell>
          <cell r="E112" t="str">
            <v>贴片NPN三极管(内置电阻)</v>
          </cell>
          <cell r="F112">
            <v>14050102</v>
          </cell>
          <cell r="G112" t="str">
            <v>LRC\Transistor SOT-23 0.1A 50V R1=4K7 R&amp;</v>
          </cell>
          <cell r="H112" t="str">
            <v>LRC(乐山无线电)</v>
          </cell>
          <cell r="I112" t="str">
            <v>LMUN2232LT1G</v>
          </cell>
          <cell r="J112">
            <v>101275</v>
          </cell>
          <cell r="K112" t="str">
            <v>利尔达科技集团股份有限公司</v>
          </cell>
          <cell r="L112" t="str">
            <v>X</v>
          </cell>
          <cell r="M112" t="str">
            <v/>
          </cell>
          <cell r="N112">
            <v>1</v>
          </cell>
          <cell r="O112">
            <v>3.4500000000000003E-2</v>
          </cell>
          <cell r="P112">
            <v>34.5</v>
          </cell>
          <cell r="Q112">
            <v>34.5</v>
          </cell>
          <cell r="R112">
            <v>1000</v>
          </cell>
          <cell r="S112" t="str">
            <v>PCS</v>
          </cell>
          <cell r="T112">
            <v>56</v>
          </cell>
          <cell r="U112" t="str">
            <v>J3</v>
          </cell>
          <cell r="V112" t="str">
            <v>CNY</v>
          </cell>
          <cell r="W112">
            <v>3000</v>
          </cell>
          <cell r="X112">
            <v>3000</v>
          </cell>
        </row>
        <row r="113">
          <cell r="D113">
            <v>10140002743</v>
          </cell>
          <cell r="E113" t="str">
            <v>贴片整流二极管</v>
          </cell>
          <cell r="F113">
            <v>14030601</v>
          </cell>
          <cell r="G113" t="str">
            <v>MCC\Diode Rect SMA 1A 1000V GS1M-L-TP</v>
          </cell>
          <cell r="H113" t="str">
            <v>MCC(美微科)</v>
          </cell>
          <cell r="I113" t="str">
            <v>GS1M-L-TP</v>
          </cell>
          <cell r="J113">
            <v>100629</v>
          </cell>
          <cell r="K113" t="str">
            <v>深圳市驰顺科技有限公司</v>
          </cell>
          <cell r="L113" t="str">
            <v>X</v>
          </cell>
          <cell r="M113" t="str">
            <v/>
          </cell>
          <cell r="N113">
            <v>1</v>
          </cell>
          <cell r="O113">
            <v>0.04</v>
          </cell>
          <cell r="P113">
            <v>40</v>
          </cell>
          <cell r="Q113">
            <v>40</v>
          </cell>
          <cell r="R113">
            <v>1000</v>
          </cell>
          <cell r="S113" t="str">
            <v>PCS</v>
          </cell>
          <cell r="T113">
            <v>90</v>
          </cell>
          <cell r="U113" t="str">
            <v>J3</v>
          </cell>
          <cell r="V113" t="str">
            <v>CNY</v>
          </cell>
          <cell r="W113">
            <v>7500</v>
          </cell>
          <cell r="X113">
            <v>7500</v>
          </cell>
        </row>
        <row r="114">
          <cell r="D114">
            <v>10140003381</v>
          </cell>
          <cell r="E114" t="str">
            <v>贴片整流二极管</v>
          </cell>
          <cell r="F114">
            <v>14030601</v>
          </cell>
          <cell r="G114" t="str">
            <v>LRC\Diode Rect DO-214AC 1A 1000V FM407</v>
          </cell>
          <cell r="H114" t="str">
            <v>LRC(乐山无线电)</v>
          </cell>
          <cell r="I114" t="str">
            <v>FM407</v>
          </cell>
          <cell r="J114">
            <v>101645</v>
          </cell>
          <cell r="K114" t="str">
            <v>深圳南丰电子股份有限公司</v>
          </cell>
          <cell r="L114" t="str">
            <v>X</v>
          </cell>
          <cell r="M114" t="str">
            <v/>
          </cell>
          <cell r="N114">
            <v>1</v>
          </cell>
          <cell r="O114">
            <v>3.3599999999999998E-2</v>
          </cell>
          <cell r="P114">
            <v>33.6</v>
          </cell>
          <cell r="Q114">
            <v>33.6</v>
          </cell>
          <cell r="R114">
            <v>1000</v>
          </cell>
          <cell r="S114" t="str">
            <v>PCS</v>
          </cell>
          <cell r="T114">
            <v>70</v>
          </cell>
          <cell r="U114" t="str">
            <v>J3</v>
          </cell>
          <cell r="V114" t="str">
            <v>CNY</v>
          </cell>
          <cell r="W114">
            <v>7500</v>
          </cell>
          <cell r="X114">
            <v>7500</v>
          </cell>
        </row>
        <row r="115">
          <cell r="D115">
            <v>10140003844</v>
          </cell>
          <cell r="E115" t="str">
            <v>贴片瞬态抑制二极管</v>
          </cell>
          <cell r="F115">
            <v>14030301</v>
          </cell>
          <cell r="G115" t="str">
            <v>JSCJ\Diode TVS SOD-123FL 15V 200W SMF15A</v>
          </cell>
          <cell r="H115" t="str">
            <v>JSCJ(江苏长晶)</v>
          </cell>
          <cell r="I115" t="str">
            <v>SMF15A</v>
          </cell>
          <cell r="J115">
            <v>101845</v>
          </cell>
          <cell r="K115" t="str">
            <v>深圳翰世宇科技有限公司</v>
          </cell>
          <cell r="L115" t="str">
            <v>X</v>
          </cell>
          <cell r="M115" t="str">
            <v/>
          </cell>
          <cell r="N115">
            <v>1</v>
          </cell>
          <cell r="O115">
            <v>0.12</v>
          </cell>
          <cell r="P115">
            <v>120</v>
          </cell>
          <cell r="Q115">
            <v>120</v>
          </cell>
          <cell r="R115">
            <v>1000</v>
          </cell>
          <cell r="S115" t="str">
            <v>PCS</v>
          </cell>
          <cell r="T115">
            <v>56</v>
          </cell>
          <cell r="U115" t="str">
            <v>J3</v>
          </cell>
          <cell r="V115" t="str">
            <v>CNY</v>
          </cell>
          <cell r="W115">
            <v>3000</v>
          </cell>
          <cell r="X115">
            <v>3000</v>
          </cell>
        </row>
        <row r="116">
          <cell r="D116">
            <v>10140006310</v>
          </cell>
          <cell r="E116" t="str">
            <v>贴片NPN三极管(内置电阻)</v>
          </cell>
          <cell r="F116">
            <v>14050102</v>
          </cell>
          <cell r="G116" t="str">
            <v>JSCJ\Transistor SOT-23 100mA50V R1=4K7&amp;</v>
          </cell>
          <cell r="H116" t="str">
            <v>JSCJ(江苏长晶)</v>
          </cell>
          <cell r="I116" t="str">
            <v>DTC143ECA</v>
          </cell>
          <cell r="J116">
            <v>101845</v>
          </cell>
          <cell r="K116" t="str">
            <v>深圳翰世宇科技有限公司</v>
          </cell>
          <cell r="L116" t="str">
            <v>X</v>
          </cell>
          <cell r="M116" t="str">
            <v/>
          </cell>
          <cell r="N116">
            <v>1</v>
          </cell>
          <cell r="O116">
            <v>4.8000000000000001E-2</v>
          </cell>
          <cell r="P116">
            <v>48</v>
          </cell>
          <cell r="Q116">
            <v>48</v>
          </cell>
          <cell r="R116">
            <v>1000</v>
          </cell>
          <cell r="S116" t="str">
            <v>PCS</v>
          </cell>
          <cell r="T116">
            <v>56</v>
          </cell>
          <cell r="U116" t="str">
            <v>J3</v>
          </cell>
          <cell r="V116" t="str">
            <v>CNY</v>
          </cell>
          <cell r="W116">
            <v>3000</v>
          </cell>
          <cell r="X116">
            <v>3000</v>
          </cell>
        </row>
        <row r="117">
          <cell r="D117">
            <v>10140012358</v>
          </cell>
          <cell r="E117" t="str">
            <v>贴片整流二极管</v>
          </cell>
          <cell r="F117">
            <v>14030601</v>
          </cell>
          <cell r="G117" t="str">
            <v>JSCJ\Diode Rect SMAG 1A 1000V GS1MA</v>
          </cell>
          <cell r="H117" t="str">
            <v>JSCJ(江苏长晶)</v>
          </cell>
          <cell r="I117" t="str">
            <v>GS1MA</v>
          </cell>
          <cell r="J117">
            <v>100482</v>
          </cell>
          <cell r="K117" t="str">
            <v>东莞市意中半导体有限公司</v>
          </cell>
          <cell r="L117" t="str">
            <v>X</v>
          </cell>
          <cell r="M117" t="str">
            <v/>
          </cell>
          <cell r="N117">
            <v>1</v>
          </cell>
          <cell r="O117">
            <v>3.3000000000000002E-2</v>
          </cell>
          <cell r="P117">
            <v>33</v>
          </cell>
          <cell r="Q117">
            <v>33</v>
          </cell>
          <cell r="R117">
            <v>1000</v>
          </cell>
          <cell r="S117" t="str">
            <v>PCS</v>
          </cell>
          <cell r="T117">
            <v>60</v>
          </cell>
          <cell r="U117" t="str">
            <v>J3</v>
          </cell>
          <cell r="V117" t="str">
            <v>CNY</v>
          </cell>
          <cell r="W117">
            <v>5000</v>
          </cell>
          <cell r="X117">
            <v>5000</v>
          </cell>
        </row>
        <row r="118">
          <cell r="D118">
            <v>10140013896</v>
          </cell>
          <cell r="E118" t="str">
            <v>贴片快恢复二极管</v>
          </cell>
          <cell r="F118">
            <v>14030201</v>
          </cell>
          <cell r="G118" t="str">
            <v>JSCJ\Diode Fast DO-214AC(SMAG) 1A 600V&amp;</v>
          </cell>
          <cell r="H118" t="str">
            <v>JSCJ(江苏长晶)</v>
          </cell>
          <cell r="I118" t="str">
            <v>ES1J</v>
          </cell>
          <cell r="J118">
            <v>101845</v>
          </cell>
          <cell r="K118" t="str">
            <v>深圳翰世宇科技有限公司</v>
          </cell>
          <cell r="L118" t="str">
            <v>X</v>
          </cell>
          <cell r="M118" t="str">
            <v/>
          </cell>
          <cell r="N118">
            <v>1</v>
          </cell>
          <cell r="O118">
            <v>5.8000000000000003E-2</v>
          </cell>
          <cell r="P118">
            <v>58</v>
          </cell>
          <cell r="Q118">
            <v>58</v>
          </cell>
          <cell r="R118">
            <v>1000</v>
          </cell>
          <cell r="S118" t="str">
            <v>PCS</v>
          </cell>
          <cell r="T118">
            <v>56</v>
          </cell>
          <cell r="U118" t="str">
            <v>J3</v>
          </cell>
          <cell r="V118" t="str">
            <v>CNY</v>
          </cell>
          <cell r="W118">
            <v>5000</v>
          </cell>
          <cell r="X118">
            <v>5000</v>
          </cell>
        </row>
        <row r="119">
          <cell r="D119">
            <v>10140014223</v>
          </cell>
          <cell r="E119" t="str">
            <v>贴片稳压二极管</v>
          </cell>
          <cell r="F119">
            <v>14030401</v>
          </cell>
          <cell r="G119" t="str">
            <v>JSCJ\Diode ZEN SMAG 20V 5% 1W 1SMA4747A</v>
          </cell>
          <cell r="H119" t="str">
            <v>JSCJ(江苏长晶)</v>
          </cell>
          <cell r="I119" t="str">
            <v>1SMA4747A</v>
          </cell>
          <cell r="J119">
            <v>101845</v>
          </cell>
          <cell r="K119" t="str">
            <v>深圳翰世宇科技有限公司</v>
          </cell>
          <cell r="L119" t="str">
            <v>X</v>
          </cell>
          <cell r="M119" t="str">
            <v/>
          </cell>
          <cell r="N119">
            <v>1</v>
          </cell>
          <cell r="O119">
            <v>0.19500000000000001</v>
          </cell>
          <cell r="P119">
            <v>195</v>
          </cell>
          <cell r="Q119">
            <v>195</v>
          </cell>
          <cell r="R119">
            <v>1000</v>
          </cell>
          <cell r="S119" t="str">
            <v>PCS</v>
          </cell>
          <cell r="T119">
            <v>56</v>
          </cell>
          <cell r="U119" t="str">
            <v>J3</v>
          </cell>
          <cell r="V119" t="str">
            <v>CNY</v>
          </cell>
          <cell r="W119">
            <v>5000</v>
          </cell>
          <cell r="X119">
            <v>5000</v>
          </cell>
        </row>
        <row r="120">
          <cell r="D120">
            <v>10160006989</v>
          </cell>
          <cell r="E120" t="str">
            <v>贴片方顶可见光LED</v>
          </cell>
          <cell r="F120">
            <v>16020205</v>
          </cell>
          <cell r="G120" t="str">
            <v>REFO\LED 0603 红光 无色 透明 高亮</v>
          </cell>
          <cell r="H120" t="str">
            <v>RF(瑞丰)</v>
          </cell>
          <cell r="I120" t="str">
            <v>RF-OUB191TB-CE-B0-EL</v>
          </cell>
          <cell r="J120">
            <v>101693</v>
          </cell>
          <cell r="K120" t="str">
            <v>浙江瑞丰光电有限公司</v>
          </cell>
          <cell r="L120" t="str">
            <v>X</v>
          </cell>
          <cell r="M120" t="str">
            <v/>
          </cell>
          <cell r="N120">
            <v>1</v>
          </cell>
          <cell r="O120">
            <v>4.8399999999999999E-2</v>
          </cell>
          <cell r="P120">
            <v>48.4</v>
          </cell>
          <cell r="Q120">
            <v>48.4</v>
          </cell>
          <cell r="R120">
            <v>1000</v>
          </cell>
          <cell r="S120" t="str">
            <v>PCS</v>
          </cell>
          <cell r="T120">
            <v>28</v>
          </cell>
          <cell r="U120" t="str">
            <v>J3</v>
          </cell>
          <cell r="V120" t="str">
            <v>CNY</v>
          </cell>
          <cell r="W120">
            <v>60000</v>
          </cell>
          <cell r="X120">
            <v>4000</v>
          </cell>
        </row>
        <row r="121">
          <cell r="D121">
            <v>10160007865</v>
          </cell>
          <cell r="E121" t="str">
            <v>贴片方顶可见光LED</v>
          </cell>
          <cell r="F121">
            <v>16020205</v>
          </cell>
          <cell r="G121" t="str">
            <v>CL\LED 0603 红光 无色 透明 超高亮</v>
          </cell>
          <cell r="H121" t="str">
            <v>CL(长利)</v>
          </cell>
          <cell r="I121" t="str">
            <v>CL-0603R/YY-J8</v>
          </cell>
          <cell r="J121">
            <v>100436</v>
          </cell>
          <cell r="K121" t="str">
            <v>广东长利光电科技有限公司</v>
          </cell>
          <cell r="L121" t="str">
            <v>X</v>
          </cell>
          <cell r="M121" t="str">
            <v/>
          </cell>
          <cell r="N121">
            <v>1</v>
          </cell>
          <cell r="O121">
            <v>2.75E-2</v>
          </cell>
          <cell r="P121">
            <v>27.5</v>
          </cell>
          <cell r="Q121">
            <v>27.5</v>
          </cell>
          <cell r="R121">
            <v>1000</v>
          </cell>
          <cell r="S121" t="str">
            <v>PCS</v>
          </cell>
          <cell r="T121">
            <v>10</v>
          </cell>
          <cell r="U121" t="str">
            <v>J3</v>
          </cell>
          <cell r="V121" t="str">
            <v>CNY</v>
          </cell>
          <cell r="W121">
            <v>4000</v>
          </cell>
          <cell r="X121">
            <v>4000</v>
          </cell>
        </row>
        <row r="122">
          <cell r="D122">
            <v>10190000675</v>
          </cell>
          <cell r="E122" t="str">
            <v>方型塑壳保险丝</v>
          </cell>
          <cell r="F122">
            <v>19010105</v>
          </cell>
          <cell r="G122" t="str">
            <v>HOLLY\FUSE 3.15A 250VAC 慢断 8.5*4*7.2 F=&amp;</v>
          </cell>
          <cell r="H122" t="str">
            <v>HOLLY(好利来)</v>
          </cell>
          <cell r="I122" t="str">
            <v>5ET-032HA</v>
          </cell>
          <cell r="J122">
            <v>101345</v>
          </cell>
          <cell r="K122" t="str">
            <v>好利来（厦门）电路保护科技有限公司</v>
          </cell>
          <cell r="L122" t="str">
            <v>X</v>
          </cell>
          <cell r="M122" t="str">
            <v/>
          </cell>
          <cell r="N122">
            <v>1</v>
          </cell>
          <cell r="O122">
            <v>8.3000000000000004E-2</v>
          </cell>
          <cell r="P122">
            <v>83</v>
          </cell>
          <cell r="Q122">
            <v>83</v>
          </cell>
          <cell r="R122">
            <v>1000</v>
          </cell>
          <cell r="S122" t="str">
            <v>PCS</v>
          </cell>
          <cell r="T122">
            <v>45</v>
          </cell>
          <cell r="U122" t="str">
            <v>J3</v>
          </cell>
          <cell r="V122" t="str">
            <v>CNY</v>
          </cell>
          <cell r="W122">
            <v>1000</v>
          </cell>
          <cell r="X122">
            <v>1000</v>
          </cell>
        </row>
        <row r="123">
          <cell r="D123">
            <v>10190001176</v>
          </cell>
          <cell r="E123" t="str">
            <v>方型塑壳保险丝</v>
          </cell>
          <cell r="F123">
            <v>19010105</v>
          </cell>
          <cell r="G123" t="str">
            <v>BETT\FUSE 3.15A 250VAC 慢断 8.3*4.1*7.6 F&amp;</v>
          </cell>
          <cell r="H123" t="str">
            <v>Better(贝特)</v>
          </cell>
          <cell r="I123">
            <v>9321315278</v>
          </cell>
          <cell r="J123">
            <v>100135</v>
          </cell>
          <cell r="K123" t="str">
            <v>东莞市贝特电子科技股份有限公司</v>
          </cell>
          <cell r="L123" t="str">
            <v>X</v>
          </cell>
          <cell r="M123" t="str">
            <v/>
          </cell>
          <cell r="N123">
            <v>1</v>
          </cell>
          <cell r="O123">
            <v>9.5000000000000001E-2</v>
          </cell>
          <cell r="P123">
            <v>95</v>
          </cell>
          <cell r="Q123">
            <v>95</v>
          </cell>
          <cell r="R123">
            <v>1000</v>
          </cell>
          <cell r="S123" t="str">
            <v>PCS</v>
          </cell>
          <cell r="T123">
            <v>21</v>
          </cell>
          <cell r="U123" t="str">
            <v>J3</v>
          </cell>
          <cell r="V123" t="str">
            <v>CNY</v>
          </cell>
          <cell r="W123">
            <v>1000</v>
          </cell>
          <cell r="X123">
            <v>1000</v>
          </cell>
        </row>
        <row r="124">
          <cell r="D124">
            <v>10190002307</v>
          </cell>
          <cell r="E124" t="str">
            <v>方型塑壳保险丝</v>
          </cell>
          <cell r="F124">
            <v>19010105</v>
          </cell>
          <cell r="G124" t="str">
            <v>LITT\FUSE 3.15A250VAC 8.5*4*8 F=5.08 编带&amp;</v>
          </cell>
          <cell r="H124" t="str">
            <v>LITTELFUSE(力特)</v>
          </cell>
          <cell r="I124">
            <v>39213150000</v>
          </cell>
          <cell r="J124">
            <v>100276</v>
          </cell>
          <cell r="K124" t="str">
            <v>青岛宝融电子有限公司</v>
          </cell>
          <cell r="L124" t="str">
            <v>X</v>
          </cell>
          <cell r="M124" t="str">
            <v/>
          </cell>
          <cell r="N124">
            <v>1</v>
          </cell>
          <cell r="O124">
            <v>0.155</v>
          </cell>
          <cell r="P124">
            <v>155</v>
          </cell>
          <cell r="Q124">
            <v>155</v>
          </cell>
          <cell r="R124">
            <v>1000</v>
          </cell>
          <cell r="S124" t="str">
            <v>PCS</v>
          </cell>
          <cell r="T124">
            <v>112</v>
          </cell>
          <cell r="U124" t="str">
            <v>J3</v>
          </cell>
          <cell r="V124" t="str">
            <v>CNY</v>
          </cell>
          <cell r="W124">
            <v>1400</v>
          </cell>
          <cell r="X124">
            <v>1400</v>
          </cell>
        </row>
        <row r="125">
          <cell r="D125">
            <v>10100002122</v>
          </cell>
          <cell r="E125" t="str">
            <v>厚膜贴片电阻器</v>
          </cell>
          <cell r="F125">
            <v>10010302</v>
          </cell>
          <cell r="G125" t="str">
            <v>YAGEO\RES 1K F 1/8W 0805</v>
          </cell>
          <cell r="H125" t="str">
            <v>YAGEO(国巨)</v>
          </cell>
          <cell r="I125" t="str">
            <v>RC0805FR-071KL</v>
          </cell>
          <cell r="J125">
            <v>100632</v>
          </cell>
          <cell r="K125" t="str">
            <v>深圳市欧尔法电子有限公司</v>
          </cell>
          <cell r="L125" t="str">
            <v>X</v>
          </cell>
          <cell r="M125" t="str">
            <v/>
          </cell>
          <cell r="N125">
            <v>1</v>
          </cell>
          <cell r="O125">
            <v>4.7999999999999996E-3</v>
          </cell>
          <cell r="P125">
            <v>4.8</v>
          </cell>
          <cell r="Q125">
            <v>4.8</v>
          </cell>
          <cell r="R125">
            <v>1000</v>
          </cell>
          <cell r="S125" t="str">
            <v>PCS</v>
          </cell>
          <cell r="T125">
            <v>56</v>
          </cell>
          <cell r="U125" t="str">
            <v>J3</v>
          </cell>
          <cell r="V125" t="str">
            <v>CNY</v>
          </cell>
          <cell r="W125">
            <v>5000</v>
          </cell>
          <cell r="X125">
            <v>5000</v>
          </cell>
        </row>
        <row r="126">
          <cell r="D126">
            <v>10100002123</v>
          </cell>
          <cell r="E126" t="str">
            <v>厚膜贴片电阻器</v>
          </cell>
          <cell r="F126">
            <v>10010302</v>
          </cell>
          <cell r="G126" t="str">
            <v>FH\RES 1K F 1/8W 0805</v>
          </cell>
          <cell r="H126" t="str">
            <v>FH(风华)</v>
          </cell>
          <cell r="I126" t="str">
            <v>RS-05K1001FT</v>
          </cell>
          <cell r="J126">
            <v>100654</v>
          </cell>
          <cell r="K126" t="str">
            <v>广东风华高新科技股份有限公司</v>
          </cell>
          <cell r="L126" t="str">
            <v>X</v>
          </cell>
          <cell r="M126" t="str">
            <v/>
          </cell>
          <cell r="N126">
            <v>1</v>
          </cell>
          <cell r="O126">
            <v>3.7200000000000002E-3</v>
          </cell>
          <cell r="P126">
            <v>3.72</v>
          </cell>
          <cell r="Q126">
            <v>3.72</v>
          </cell>
          <cell r="R126">
            <v>1000</v>
          </cell>
          <cell r="S126" t="str">
            <v>PCS</v>
          </cell>
          <cell r="T126">
            <v>42</v>
          </cell>
          <cell r="U126" t="str">
            <v>J3</v>
          </cell>
          <cell r="V126" t="str">
            <v>CNY</v>
          </cell>
          <cell r="W126">
            <v>5000</v>
          </cell>
          <cell r="X126">
            <v>5000</v>
          </cell>
        </row>
        <row r="127">
          <cell r="D127">
            <v>10100002658</v>
          </cell>
          <cell r="E127" t="str">
            <v>厚膜贴片电阻器</v>
          </cell>
          <cell r="F127">
            <v>10010302</v>
          </cell>
          <cell r="G127" t="str">
            <v>FH\RES 470R F 1/4W 1206</v>
          </cell>
          <cell r="H127" t="str">
            <v>FH(风华)</v>
          </cell>
          <cell r="I127" t="str">
            <v>RS-06K4700FT</v>
          </cell>
          <cell r="J127">
            <v>100654</v>
          </cell>
          <cell r="K127" t="str">
            <v>广东风华高新科技股份有限公司</v>
          </cell>
          <cell r="L127" t="str">
            <v>X</v>
          </cell>
          <cell r="M127" t="str">
            <v/>
          </cell>
          <cell r="N127">
            <v>1</v>
          </cell>
          <cell r="O127">
            <v>6.4999999999999997E-3</v>
          </cell>
          <cell r="P127">
            <v>6.5</v>
          </cell>
          <cell r="Q127">
            <v>6.5</v>
          </cell>
          <cell r="R127">
            <v>1000</v>
          </cell>
          <cell r="S127" t="str">
            <v>PCS</v>
          </cell>
          <cell r="T127">
            <v>42</v>
          </cell>
          <cell r="U127" t="str">
            <v>J3</v>
          </cell>
          <cell r="V127" t="str">
            <v>CNY</v>
          </cell>
          <cell r="W127">
            <v>5000</v>
          </cell>
          <cell r="X127">
            <v>5000</v>
          </cell>
        </row>
        <row r="128">
          <cell r="D128">
            <v>10100002659</v>
          </cell>
          <cell r="E128" t="str">
            <v>厚膜贴片电阻器</v>
          </cell>
          <cell r="F128">
            <v>10010302</v>
          </cell>
          <cell r="G128" t="str">
            <v>YAGEO\RES 470R F 1/4W 1206</v>
          </cell>
          <cell r="H128" t="str">
            <v>YAGEO(国巨)</v>
          </cell>
          <cell r="I128" t="str">
            <v>RC1206FR-07470RL</v>
          </cell>
          <cell r="J128">
            <v>100632</v>
          </cell>
          <cell r="K128" t="str">
            <v>深圳市欧尔法电子有限公司</v>
          </cell>
          <cell r="L128" t="str">
            <v>X</v>
          </cell>
          <cell r="M128" t="str">
            <v/>
          </cell>
          <cell r="N128">
            <v>1</v>
          </cell>
          <cell r="O128">
            <v>8.0000000000000002E-3</v>
          </cell>
          <cell r="P128">
            <v>8</v>
          </cell>
          <cell r="Q128">
            <v>8</v>
          </cell>
          <cell r="R128">
            <v>1000</v>
          </cell>
          <cell r="S128" t="str">
            <v>PCS</v>
          </cell>
          <cell r="T128">
            <v>70</v>
          </cell>
          <cell r="U128" t="str">
            <v>J3</v>
          </cell>
          <cell r="V128" t="str">
            <v>CNY</v>
          </cell>
          <cell r="W128">
            <v>5000</v>
          </cell>
          <cell r="X128">
            <v>5000</v>
          </cell>
        </row>
        <row r="129">
          <cell r="D129">
            <v>10100002715</v>
          </cell>
          <cell r="E129" t="str">
            <v>厚膜贴片电阻器</v>
          </cell>
          <cell r="F129">
            <v>10010302</v>
          </cell>
          <cell r="G129" t="str">
            <v>YAGEO\RES 5.1K F 1/8W 0805</v>
          </cell>
          <cell r="H129" t="str">
            <v>YAGEO(国巨)</v>
          </cell>
          <cell r="I129" t="str">
            <v>RC0805FR-075K1L</v>
          </cell>
          <cell r="J129">
            <v>100632</v>
          </cell>
          <cell r="K129" t="str">
            <v>深圳市欧尔法电子有限公司</v>
          </cell>
          <cell r="L129" t="str">
            <v>X</v>
          </cell>
          <cell r="M129" t="str">
            <v/>
          </cell>
          <cell r="N129">
            <v>1</v>
          </cell>
          <cell r="O129">
            <v>4.7999999999999996E-3</v>
          </cell>
          <cell r="P129">
            <v>4.8</v>
          </cell>
          <cell r="Q129">
            <v>4.8</v>
          </cell>
          <cell r="R129">
            <v>1000</v>
          </cell>
          <cell r="S129" t="str">
            <v>PCS</v>
          </cell>
          <cell r="T129">
            <v>70</v>
          </cell>
          <cell r="U129" t="str">
            <v>J3</v>
          </cell>
          <cell r="V129" t="str">
            <v>CNY</v>
          </cell>
          <cell r="W129">
            <v>5000</v>
          </cell>
          <cell r="X129">
            <v>5000</v>
          </cell>
        </row>
        <row r="130">
          <cell r="D130">
            <v>10100003500</v>
          </cell>
          <cell r="E130" t="str">
            <v>厚膜贴片电阻器</v>
          </cell>
          <cell r="F130">
            <v>10010302</v>
          </cell>
          <cell r="G130" t="str">
            <v>YAGEO\RES 4.7K F 1/10W 0603</v>
          </cell>
          <cell r="H130" t="str">
            <v>YAGEO(国巨)</v>
          </cell>
          <cell r="I130" t="str">
            <v>RC0603FR-074K7L</v>
          </cell>
          <cell r="J130">
            <v>100078</v>
          </cell>
          <cell r="K130" t="str">
            <v>深圳市超利维实业有限公司</v>
          </cell>
          <cell r="L130" t="str">
            <v>X</v>
          </cell>
          <cell r="M130" t="str">
            <v/>
          </cell>
          <cell r="N130">
            <v>1</v>
          </cell>
          <cell r="O130">
            <v>2.5999999999999999E-3</v>
          </cell>
          <cell r="P130">
            <v>2.6</v>
          </cell>
          <cell r="Q130">
            <v>2.6</v>
          </cell>
          <cell r="R130">
            <v>1000</v>
          </cell>
          <cell r="S130" t="str">
            <v>PCS</v>
          </cell>
          <cell r="T130">
            <v>56</v>
          </cell>
          <cell r="U130" t="str">
            <v>J3</v>
          </cell>
          <cell r="V130" t="str">
            <v>CNY</v>
          </cell>
          <cell r="W130">
            <v>5000</v>
          </cell>
          <cell r="X130">
            <v>5000</v>
          </cell>
        </row>
        <row r="131">
          <cell r="D131">
            <v>10100003511</v>
          </cell>
          <cell r="E131" t="str">
            <v>厚膜贴片电阻器</v>
          </cell>
          <cell r="F131">
            <v>10010302</v>
          </cell>
          <cell r="G131" t="str">
            <v>YAGEO\RES 47R F 1/4W 1206</v>
          </cell>
          <cell r="H131" t="str">
            <v>YAGEO(国巨)</v>
          </cell>
          <cell r="I131" t="str">
            <v>RC1206FR-0747RL</v>
          </cell>
          <cell r="J131">
            <v>100632</v>
          </cell>
          <cell r="K131" t="str">
            <v>深圳市欧尔法电子有限公司</v>
          </cell>
          <cell r="L131" t="str">
            <v>X</v>
          </cell>
          <cell r="M131" t="str">
            <v/>
          </cell>
          <cell r="N131">
            <v>1</v>
          </cell>
          <cell r="O131">
            <v>8.0000000000000002E-3</v>
          </cell>
          <cell r="P131">
            <v>8</v>
          </cell>
          <cell r="Q131">
            <v>8</v>
          </cell>
          <cell r="R131">
            <v>1000</v>
          </cell>
          <cell r="S131" t="str">
            <v>PCS</v>
          </cell>
          <cell r="T131">
            <v>56</v>
          </cell>
          <cell r="U131" t="str">
            <v>J3</v>
          </cell>
          <cell r="V131" t="str">
            <v>CNY</v>
          </cell>
          <cell r="W131">
            <v>5000</v>
          </cell>
          <cell r="X131">
            <v>5000</v>
          </cell>
        </row>
        <row r="132">
          <cell r="D132">
            <v>10100003565</v>
          </cell>
          <cell r="E132" t="str">
            <v>厚膜贴片电阻器</v>
          </cell>
          <cell r="F132">
            <v>10010302</v>
          </cell>
          <cell r="G132" t="str">
            <v>FH\RES 68K F 1/10W 0603</v>
          </cell>
          <cell r="H132" t="str">
            <v>FH(风华)</v>
          </cell>
          <cell r="I132" t="str">
            <v>RS-03K6802FT</v>
          </cell>
          <cell r="J132">
            <v>100654</v>
          </cell>
          <cell r="K132" t="str">
            <v>广东风华高新科技股份有限公司</v>
          </cell>
          <cell r="L132" t="str">
            <v>X</v>
          </cell>
          <cell r="M132" t="str">
            <v/>
          </cell>
          <cell r="N132">
            <v>1</v>
          </cell>
          <cell r="O132">
            <v>2.0799999999999998E-3</v>
          </cell>
          <cell r="P132">
            <v>2.08</v>
          </cell>
          <cell r="Q132">
            <v>2.08</v>
          </cell>
          <cell r="R132">
            <v>1000</v>
          </cell>
          <cell r="S132" t="str">
            <v>PCS</v>
          </cell>
          <cell r="T132">
            <v>42</v>
          </cell>
          <cell r="U132" t="str">
            <v>J3</v>
          </cell>
          <cell r="V132" t="str">
            <v>CNY</v>
          </cell>
          <cell r="W132">
            <v>5000</v>
          </cell>
          <cell r="X132">
            <v>5000</v>
          </cell>
        </row>
        <row r="133">
          <cell r="D133">
            <v>10100003566</v>
          </cell>
          <cell r="E133" t="str">
            <v>厚膜贴片电阻器</v>
          </cell>
          <cell r="F133">
            <v>10010302</v>
          </cell>
          <cell r="G133" t="str">
            <v>YAGEO\RES 68K F 1/10W 0603</v>
          </cell>
          <cell r="H133" t="str">
            <v>YAGEO(国巨)</v>
          </cell>
          <cell r="I133" t="str">
            <v>RC0603FR-0768KL</v>
          </cell>
          <cell r="J133">
            <v>100078</v>
          </cell>
          <cell r="K133" t="str">
            <v>深圳市超利维实业有限公司</v>
          </cell>
          <cell r="L133" t="str">
            <v>X</v>
          </cell>
          <cell r="M133" t="str">
            <v/>
          </cell>
          <cell r="N133">
            <v>1</v>
          </cell>
          <cell r="O133">
            <v>2.5999999999999999E-3</v>
          </cell>
          <cell r="P133">
            <v>2.6</v>
          </cell>
          <cell r="Q133">
            <v>2.6</v>
          </cell>
          <cell r="R133">
            <v>1000</v>
          </cell>
          <cell r="S133" t="str">
            <v>PCS</v>
          </cell>
          <cell r="T133">
            <v>56</v>
          </cell>
          <cell r="U133" t="str">
            <v>J3</v>
          </cell>
          <cell r="V133" t="str">
            <v>CNY</v>
          </cell>
          <cell r="W133">
            <v>5000</v>
          </cell>
          <cell r="X133">
            <v>5000</v>
          </cell>
        </row>
        <row r="134">
          <cell r="D134">
            <v>10100004273</v>
          </cell>
          <cell r="E134" t="str">
            <v>厚膜贴片电阻器</v>
          </cell>
          <cell r="F134">
            <v>10010302</v>
          </cell>
          <cell r="G134" t="str">
            <v>YAGEO\RES 2.2K F 1/10W 0603</v>
          </cell>
          <cell r="H134" t="str">
            <v>YAGEO(国巨)</v>
          </cell>
          <cell r="I134" t="str">
            <v>RC0603FR-072K2L</v>
          </cell>
          <cell r="J134">
            <v>100078</v>
          </cell>
          <cell r="K134" t="str">
            <v>深圳市超利维实业有限公司</v>
          </cell>
          <cell r="L134" t="str">
            <v>X</v>
          </cell>
          <cell r="M134" t="str">
            <v/>
          </cell>
          <cell r="N134">
            <v>1</v>
          </cell>
          <cell r="O134">
            <v>2.5999999999999999E-3</v>
          </cell>
          <cell r="P134">
            <v>2.6</v>
          </cell>
          <cell r="Q134">
            <v>2.6</v>
          </cell>
          <cell r="R134">
            <v>1000</v>
          </cell>
          <cell r="S134" t="str">
            <v>PCS</v>
          </cell>
          <cell r="T134">
            <v>56</v>
          </cell>
          <cell r="U134" t="str">
            <v>J3</v>
          </cell>
          <cell r="V134" t="str">
            <v>CNY</v>
          </cell>
          <cell r="W134">
            <v>5000</v>
          </cell>
          <cell r="X134">
            <v>5000</v>
          </cell>
        </row>
        <row r="135">
          <cell r="D135">
            <v>10100004833</v>
          </cell>
          <cell r="E135" t="str">
            <v>厚膜贴片电阻器</v>
          </cell>
          <cell r="F135">
            <v>10010302</v>
          </cell>
          <cell r="G135" t="str">
            <v>WALS\RES 1K F 1/8W 0805</v>
          </cell>
          <cell r="H135" t="str">
            <v>WALS(华科)</v>
          </cell>
          <cell r="I135" t="str">
            <v>WR08X1001FTL</v>
          </cell>
          <cell r="J135">
            <v>100131</v>
          </cell>
          <cell r="K135" t="str">
            <v>东莞华科电子有限公司</v>
          </cell>
          <cell r="L135" t="str">
            <v>X</v>
          </cell>
          <cell r="M135" t="str">
            <v/>
          </cell>
          <cell r="N135">
            <v>1</v>
          </cell>
          <cell r="O135">
            <v>3.8800000000000002E-3</v>
          </cell>
          <cell r="P135">
            <v>3.88</v>
          </cell>
          <cell r="Q135">
            <v>3.88</v>
          </cell>
          <cell r="R135">
            <v>1000</v>
          </cell>
          <cell r="S135" t="str">
            <v>PCS</v>
          </cell>
          <cell r="T135">
            <v>56</v>
          </cell>
          <cell r="U135" t="str">
            <v>J3</v>
          </cell>
          <cell r="V135" t="str">
            <v>CNY</v>
          </cell>
          <cell r="W135">
            <v>5000</v>
          </cell>
          <cell r="X135">
            <v>5000</v>
          </cell>
        </row>
        <row r="136">
          <cell r="D136">
            <v>10100005487</v>
          </cell>
          <cell r="E136" t="str">
            <v>厚膜贴片电阻器</v>
          </cell>
          <cell r="F136">
            <v>10010302</v>
          </cell>
          <cell r="G136" t="str">
            <v>ROYA\RES 1K F 1/8W 0805</v>
          </cell>
          <cell r="H136" t="str">
            <v>ROYALOHM(厚声)</v>
          </cell>
          <cell r="I136" t="str">
            <v>0805W8F1001T5E</v>
          </cell>
          <cell r="J136">
            <v>100096</v>
          </cell>
          <cell r="K136" t="str">
            <v>厚声国际贸易（昆山）有限公司深圳分公司</v>
          </cell>
          <cell r="L136" t="str">
            <v>X</v>
          </cell>
          <cell r="M136" t="str">
            <v/>
          </cell>
          <cell r="N136">
            <v>1</v>
          </cell>
          <cell r="O136">
            <v>3.8E-3</v>
          </cell>
          <cell r="P136">
            <v>3.8</v>
          </cell>
          <cell r="Q136">
            <v>3.8</v>
          </cell>
          <cell r="R136">
            <v>1000</v>
          </cell>
          <cell r="S136" t="str">
            <v>PCS</v>
          </cell>
          <cell r="T136">
            <v>56</v>
          </cell>
          <cell r="U136" t="str">
            <v>J3</v>
          </cell>
          <cell r="V136" t="str">
            <v>CNY</v>
          </cell>
          <cell r="W136">
            <v>5000</v>
          </cell>
          <cell r="X136">
            <v>5000</v>
          </cell>
        </row>
        <row r="137">
          <cell r="D137">
            <v>10100005503</v>
          </cell>
          <cell r="E137" t="str">
            <v>厚膜贴片电阻器</v>
          </cell>
          <cell r="F137">
            <v>10010302</v>
          </cell>
          <cell r="G137" t="str">
            <v>ROYA\RES 5.1K F 1/8W 0805</v>
          </cell>
          <cell r="H137" t="str">
            <v>ROYALOHM(厚声)</v>
          </cell>
          <cell r="I137" t="str">
            <v>0805W8F5101T5E</v>
          </cell>
          <cell r="J137">
            <v>100096</v>
          </cell>
          <cell r="K137" t="str">
            <v>厚声国际贸易（昆山）有限公司深圳分公司</v>
          </cell>
          <cell r="L137" t="str">
            <v>X</v>
          </cell>
          <cell r="M137" t="str">
            <v/>
          </cell>
          <cell r="N137">
            <v>1</v>
          </cell>
          <cell r="O137">
            <v>3.8E-3</v>
          </cell>
          <cell r="P137">
            <v>3.8</v>
          </cell>
          <cell r="Q137">
            <v>3.8</v>
          </cell>
          <cell r="R137">
            <v>1000</v>
          </cell>
          <cell r="S137" t="str">
            <v>PCS</v>
          </cell>
          <cell r="T137">
            <v>56</v>
          </cell>
          <cell r="U137" t="str">
            <v>J3</v>
          </cell>
          <cell r="V137" t="str">
            <v>CNY</v>
          </cell>
          <cell r="W137">
            <v>5000</v>
          </cell>
          <cell r="X137">
            <v>5000</v>
          </cell>
        </row>
        <row r="138">
          <cell r="D138">
            <v>10100005703</v>
          </cell>
          <cell r="E138" t="str">
            <v>厚膜贴片电阻器</v>
          </cell>
          <cell r="F138">
            <v>10010302</v>
          </cell>
          <cell r="G138" t="str">
            <v>YAGEO\RES 1K F 1/16W 0402</v>
          </cell>
          <cell r="H138" t="str">
            <v>YAGEO(国巨)</v>
          </cell>
          <cell r="I138" t="str">
            <v>RC0402FR-071KL</v>
          </cell>
          <cell r="J138">
            <v>100078</v>
          </cell>
          <cell r="K138" t="str">
            <v>深圳市超利维实业有限公司</v>
          </cell>
          <cell r="L138" t="str">
            <v>X</v>
          </cell>
          <cell r="M138" t="str">
            <v/>
          </cell>
          <cell r="N138">
            <v>1</v>
          </cell>
          <cell r="O138">
            <v>1.4E-3</v>
          </cell>
          <cell r="P138">
            <v>1.4</v>
          </cell>
          <cell r="Q138">
            <v>1.4</v>
          </cell>
          <cell r="R138">
            <v>1000</v>
          </cell>
          <cell r="S138" t="str">
            <v>PCS</v>
          </cell>
          <cell r="T138">
            <v>84</v>
          </cell>
          <cell r="U138" t="str">
            <v>J3</v>
          </cell>
          <cell r="V138" t="str">
            <v>CNY</v>
          </cell>
          <cell r="W138">
            <v>10000</v>
          </cell>
          <cell r="X138">
            <v>10000</v>
          </cell>
        </row>
        <row r="139">
          <cell r="D139">
            <v>10100005718</v>
          </cell>
          <cell r="E139" t="str">
            <v>厚膜贴片电阻器</v>
          </cell>
          <cell r="F139">
            <v>10010302</v>
          </cell>
          <cell r="G139" t="str">
            <v>FH\RES 1K F 1/16W 0402</v>
          </cell>
          <cell r="H139" t="str">
            <v>FH(风华)</v>
          </cell>
          <cell r="I139" t="str">
            <v>RC-02K1001FT</v>
          </cell>
          <cell r="J139">
            <v>100654</v>
          </cell>
          <cell r="K139" t="str">
            <v>广东风华高新科技股份有限公司</v>
          </cell>
          <cell r="L139" t="str">
            <v>X</v>
          </cell>
          <cell r="M139" t="str">
            <v/>
          </cell>
          <cell r="N139">
            <v>1</v>
          </cell>
          <cell r="O139">
            <v>1.1000000000000001E-3</v>
          </cell>
          <cell r="P139">
            <v>1.1000000000000001</v>
          </cell>
          <cell r="Q139">
            <v>1.1000000000000001</v>
          </cell>
          <cell r="R139">
            <v>1000</v>
          </cell>
          <cell r="S139" t="str">
            <v>PCS</v>
          </cell>
          <cell r="T139">
            <v>42</v>
          </cell>
          <cell r="U139" t="str">
            <v>J3</v>
          </cell>
          <cell r="V139" t="str">
            <v>CNY</v>
          </cell>
          <cell r="W139">
            <v>10000</v>
          </cell>
          <cell r="X139">
            <v>10000</v>
          </cell>
        </row>
        <row r="140">
          <cell r="D140">
            <v>10100005795</v>
          </cell>
          <cell r="E140" t="str">
            <v>厚膜贴片电阻器</v>
          </cell>
          <cell r="F140">
            <v>10010302</v>
          </cell>
          <cell r="G140" t="str">
            <v>FH\RES 10K F 1/16W 0402</v>
          </cell>
          <cell r="H140" t="str">
            <v>FH(风华)</v>
          </cell>
          <cell r="I140" t="str">
            <v>RC-02K1002FT</v>
          </cell>
          <cell r="J140">
            <v>100654</v>
          </cell>
          <cell r="K140" t="str">
            <v>广东风华高新科技股份有限公司</v>
          </cell>
          <cell r="L140" t="str">
            <v>X</v>
          </cell>
          <cell r="M140" t="str">
            <v/>
          </cell>
          <cell r="N140">
            <v>1</v>
          </cell>
          <cell r="O140">
            <v>1.1000000000000001E-3</v>
          </cell>
          <cell r="P140">
            <v>1.1000000000000001</v>
          </cell>
          <cell r="Q140">
            <v>1.1000000000000001</v>
          </cell>
          <cell r="R140">
            <v>1000</v>
          </cell>
          <cell r="S140" t="str">
            <v>PCS</v>
          </cell>
          <cell r="T140">
            <v>42</v>
          </cell>
          <cell r="U140" t="str">
            <v>J3</v>
          </cell>
          <cell r="V140" t="str">
            <v>CNY</v>
          </cell>
          <cell r="W140">
            <v>10000</v>
          </cell>
          <cell r="X140">
            <v>10000</v>
          </cell>
        </row>
        <row r="141">
          <cell r="D141">
            <v>10100006398</v>
          </cell>
          <cell r="E141" t="str">
            <v>厚膜贴片电阻器</v>
          </cell>
          <cell r="F141">
            <v>10010302</v>
          </cell>
          <cell r="G141" t="str">
            <v>FH\RES 47R F 1/4W 1206</v>
          </cell>
          <cell r="H141" t="str">
            <v>FH(风华)</v>
          </cell>
          <cell r="I141" t="str">
            <v>RS-06K47R0FT</v>
          </cell>
          <cell r="J141">
            <v>100654</v>
          </cell>
          <cell r="K141" t="str">
            <v>广东风华高新科技股份有限公司</v>
          </cell>
          <cell r="L141" t="str">
            <v>X</v>
          </cell>
          <cell r="M141" t="str">
            <v/>
          </cell>
          <cell r="N141">
            <v>1</v>
          </cell>
          <cell r="O141">
            <v>6.3699999999999998E-3</v>
          </cell>
          <cell r="P141">
            <v>6.37</v>
          </cell>
          <cell r="Q141">
            <v>6.37</v>
          </cell>
          <cell r="R141">
            <v>1000</v>
          </cell>
          <cell r="S141" t="str">
            <v>PCS</v>
          </cell>
          <cell r="T141">
            <v>42</v>
          </cell>
          <cell r="U141" t="str">
            <v>J3</v>
          </cell>
          <cell r="V141" t="str">
            <v>CNY</v>
          </cell>
          <cell r="W141">
            <v>4000</v>
          </cell>
          <cell r="X141">
            <v>4000</v>
          </cell>
        </row>
        <row r="142">
          <cell r="D142">
            <v>10100006494</v>
          </cell>
          <cell r="E142" t="str">
            <v>厚膜贴片电阻器</v>
          </cell>
          <cell r="F142">
            <v>10010302</v>
          </cell>
          <cell r="G142" t="str">
            <v>FH\RES 2.2K F 1/10W 0603</v>
          </cell>
          <cell r="H142" t="str">
            <v>FH(风华)</v>
          </cell>
          <cell r="I142" t="str">
            <v>RS-03K2201FT</v>
          </cell>
          <cell r="J142">
            <v>100654</v>
          </cell>
          <cell r="K142" t="str">
            <v>广东风华高新科技股份有限公司</v>
          </cell>
          <cell r="L142" t="str">
            <v>X</v>
          </cell>
          <cell r="M142" t="str">
            <v/>
          </cell>
          <cell r="N142">
            <v>1</v>
          </cell>
          <cell r="O142">
            <v>2.0799999999999998E-3</v>
          </cell>
          <cell r="P142">
            <v>2.08</v>
          </cell>
          <cell r="Q142">
            <v>2.08</v>
          </cell>
          <cell r="R142">
            <v>1000</v>
          </cell>
          <cell r="S142" t="str">
            <v>PCS</v>
          </cell>
          <cell r="T142">
            <v>42</v>
          </cell>
          <cell r="U142" t="str">
            <v>J3</v>
          </cell>
          <cell r="V142" t="str">
            <v>CNY</v>
          </cell>
          <cell r="W142">
            <v>5000</v>
          </cell>
          <cell r="X142">
            <v>5000</v>
          </cell>
        </row>
        <row r="143">
          <cell r="D143">
            <v>10100006507</v>
          </cell>
          <cell r="E143" t="str">
            <v>厚膜贴片电阻器</v>
          </cell>
          <cell r="F143">
            <v>10010302</v>
          </cell>
          <cell r="G143" t="str">
            <v>FH\RES 4.7K F 1/10W 0603</v>
          </cell>
          <cell r="H143" t="str">
            <v>FH(风华)</v>
          </cell>
          <cell r="I143" t="str">
            <v>RS-03K4701FT</v>
          </cell>
          <cell r="J143">
            <v>100654</v>
          </cell>
          <cell r="K143" t="str">
            <v>广东风华高新科技股份有限公司</v>
          </cell>
          <cell r="L143" t="str">
            <v>X</v>
          </cell>
          <cell r="M143" t="str">
            <v/>
          </cell>
          <cell r="N143">
            <v>1</v>
          </cell>
          <cell r="O143">
            <v>2.0799999999999998E-3</v>
          </cell>
          <cell r="P143">
            <v>2.08</v>
          </cell>
          <cell r="Q143">
            <v>2.08</v>
          </cell>
          <cell r="R143">
            <v>1000</v>
          </cell>
          <cell r="S143" t="str">
            <v>PCS</v>
          </cell>
          <cell r="T143">
            <v>42</v>
          </cell>
          <cell r="U143" t="str">
            <v>J3</v>
          </cell>
          <cell r="V143" t="str">
            <v>CNY</v>
          </cell>
          <cell r="W143">
            <v>5000</v>
          </cell>
          <cell r="X143">
            <v>5000</v>
          </cell>
        </row>
        <row r="144">
          <cell r="D144">
            <v>10100006627</v>
          </cell>
          <cell r="E144" t="str">
            <v>厚膜贴片电阻器</v>
          </cell>
          <cell r="F144">
            <v>10010302</v>
          </cell>
          <cell r="G144" t="str">
            <v>FH\RES 5.1K F 1/8W 0805</v>
          </cell>
          <cell r="H144" t="str">
            <v>FH(风华)</v>
          </cell>
          <cell r="I144" t="str">
            <v>RS-05K5101FT</v>
          </cell>
          <cell r="J144">
            <v>100654</v>
          </cell>
          <cell r="K144" t="str">
            <v>广东风华高新科技股份有限公司</v>
          </cell>
          <cell r="L144" t="str">
            <v>X</v>
          </cell>
          <cell r="M144" t="str">
            <v/>
          </cell>
          <cell r="N144">
            <v>1</v>
          </cell>
          <cell r="O144">
            <v>3.7200000000000002E-3</v>
          </cell>
          <cell r="P144">
            <v>3.72</v>
          </cell>
          <cell r="Q144">
            <v>3.72</v>
          </cell>
          <cell r="R144">
            <v>1000</v>
          </cell>
          <cell r="S144" t="str">
            <v>PCS</v>
          </cell>
          <cell r="T144">
            <v>42</v>
          </cell>
          <cell r="U144" t="str">
            <v>J3</v>
          </cell>
          <cell r="V144" t="str">
            <v>CNY</v>
          </cell>
          <cell r="W144">
            <v>5000</v>
          </cell>
          <cell r="X144">
            <v>5000</v>
          </cell>
        </row>
        <row r="145">
          <cell r="D145">
            <v>10100006711</v>
          </cell>
          <cell r="E145" t="str">
            <v>厚膜贴片电阻器</v>
          </cell>
          <cell r="F145">
            <v>10010302</v>
          </cell>
          <cell r="G145" t="str">
            <v>WALS\RES 1K F 1/16W 0402</v>
          </cell>
          <cell r="H145" t="str">
            <v>WALS(华科)</v>
          </cell>
          <cell r="I145" t="str">
            <v>WR04X1001FTL</v>
          </cell>
          <cell r="J145">
            <v>100131</v>
          </cell>
          <cell r="K145" t="str">
            <v>东莞华科电子有限公司</v>
          </cell>
          <cell r="L145" t="str">
            <v>X</v>
          </cell>
          <cell r="M145" t="str">
            <v/>
          </cell>
          <cell r="N145">
            <v>1</v>
          </cell>
          <cell r="O145">
            <v>1.17E-3</v>
          </cell>
          <cell r="P145">
            <v>1.17</v>
          </cell>
          <cell r="Q145">
            <v>1.17</v>
          </cell>
          <cell r="R145">
            <v>1000</v>
          </cell>
          <cell r="S145" t="str">
            <v>PCS</v>
          </cell>
          <cell r="T145">
            <v>56</v>
          </cell>
          <cell r="U145" t="str">
            <v>J3</v>
          </cell>
          <cell r="V145" t="str">
            <v>CNY</v>
          </cell>
          <cell r="W145">
            <v>10000</v>
          </cell>
          <cell r="X145">
            <v>10000</v>
          </cell>
        </row>
        <row r="146">
          <cell r="D146">
            <v>10100006809</v>
          </cell>
          <cell r="E146" t="str">
            <v>厚膜贴片电阻器</v>
          </cell>
          <cell r="F146">
            <v>10010302</v>
          </cell>
          <cell r="G146" t="str">
            <v>WALS\RES 2.2K F 1/10W 0603</v>
          </cell>
          <cell r="H146" t="str">
            <v>WALS(华科)</v>
          </cell>
          <cell r="I146" t="str">
            <v>WR06X2201FTL</v>
          </cell>
          <cell r="J146">
            <v>100131</v>
          </cell>
          <cell r="K146" t="str">
            <v>东莞华科电子有限公司</v>
          </cell>
          <cell r="L146" t="str">
            <v>X</v>
          </cell>
          <cell r="M146" t="str">
            <v/>
          </cell>
          <cell r="N146">
            <v>1</v>
          </cell>
          <cell r="O146">
            <v>2.2200000000000002E-3</v>
          </cell>
          <cell r="P146">
            <v>2.2200000000000002</v>
          </cell>
          <cell r="Q146">
            <v>2.2200000000000002</v>
          </cell>
          <cell r="R146">
            <v>1000</v>
          </cell>
          <cell r="S146" t="str">
            <v>PCS</v>
          </cell>
          <cell r="T146">
            <v>56</v>
          </cell>
          <cell r="U146" t="str">
            <v>J3</v>
          </cell>
          <cell r="V146" t="str">
            <v>CNY</v>
          </cell>
          <cell r="W146">
            <v>5000</v>
          </cell>
          <cell r="X146">
            <v>5000</v>
          </cell>
        </row>
        <row r="147">
          <cell r="D147">
            <v>10100006845</v>
          </cell>
          <cell r="E147" t="str">
            <v>厚膜贴片电阻器</v>
          </cell>
          <cell r="F147">
            <v>10010302</v>
          </cell>
          <cell r="G147" t="str">
            <v>WALS\RES 4.7K F 1/10W 0603</v>
          </cell>
          <cell r="H147" t="str">
            <v>WALS(华科)</v>
          </cell>
          <cell r="I147" t="str">
            <v>WR06X4701FTL</v>
          </cell>
          <cell r="J147">
            <v>100131</v>
          </cell>
          <cell r="K147" t="str">
            <v>东莞华科电子有限公司</v>
          </cell>
          <cell r="L147" t="str">
            <v>X</v>
          </cell>
          <cell r="M147" t="str">
            <v/>
          </cell>
          <cell r="N147">
            <v>1</v>
          </cell>
          <cell r="O147">
            <v>2.2200000000000002E-3</v>
          </cell>
          <cell r="P147">
            <v>2.2200000000000002</v>
          </cell>
          <cell r="Q147">
            <v>2.2200000000000002</v>
          </cell>
          <cell r="R147">
            <v>1000</v>
          </cell>
          <cell r="S147" t="str">
            <v>PCS</v>
          </cell>
          <cell r="T147">
            <v>56</v>
          </cell>
          <cell r="U147" t="str">
            <v>J3</v>
          </cell>
          <cell r="V147" t="str">
            <v>CNY</v>
          </cell>
          <cell r="W147">
            <v>5000</v>
          </cell>
          <cell r="X147">
            <v>5000</v>
          </cell>
        </row>
        <row r="148">
          <cell r="D148">
            <v>10100006984</v>
          </cell>
          <cell r="E148" t="str">
            <v>厚膜贴片电阻器</v>
          </cell>
          <cell r="F148">
            <v>10010302</v>
          </cell>
          <cell r="G148" t="str">
            <v>WALS\RES 470R F 1/4W 1206</v>
          </cell>
          <cell r="H148" t="str">
            <v>WALS(华科)</v>
          </cell>
          <cell r="I148" t="str">
            <v>WR12X4700FTL</v>
          </cell>
          <cell r="J148">
            <v>100131</v>
          </cell>
          <cell r="K148" t="str">
            <v>东莞华科电子有限公司</v>
          </cell>
          <cell r="L148" t="str">
            <v>X</v>
          </cell>
          <cell r="M148" t="str">
            <v/>
          </cell>
          <cell r="N148">
            <v>1</v>
          </cell>
          <cell r="O148">
            <v>6.9499999999999996E-3</v>
          </cell>
          <cell r="P148">
            <v>6.95</v>
          </cell>
          <cell r="Q148">
            <v>6.95</v>
          </cell>
          <cell r="R148">
            <v>1000</v>
          </cell>
          <cell r="S148" t="str">
            <v>PCS</v>
          </cell>
          <cell r="T148">
            <v>56</v>
          </cell>
          <cell r="U148" t="str">
            <v>J3</v>
          </cell>
          <cell r="V148" t="str">
            <v>CNY</v>
          </cell>
          <cell r="W148">
            <v>5000</v>
          </cell>
          <cell r="X148">
            <v>5000</v>
          </cell>
        </row>
        <row r="149">
          <cell r="D149">
            <v>10100007109</v>
          </cell>
          <cell r="E149" t="str">
            <v>厚膜贴片电阻器</v>
          </cell>
          <cell r="F149">
            <v>10010302</v>
          </cell>
          <cell r="G149" t="str">
            <v>WALS\RES 5.1K F 1/8W 0805</v>
          </cell>
          <cell r="H149" t="str">
            <v>WALS(华科)</v>
          </cell>
          <cell r="I149" t="str">
            <v>WR08X5101FTL</v>
          </cell>
          <cell r="J149">
            <v>100131</v>
          </cell>
          <cell r="K149" t="str">
            <v>东莞华科电子有限公司</v>
          </cell>
          <cell r="L149" t="str">
            <v>X</v>
          </cell>
          <cell r="M149" t="str">
            <v/>
          </cell>
          <cell r="N149">
            <v>1</v>
          </cell>
          <cell r="O149">
            <v>3.8800000000000002E-3</v>
          </cell>
          <cell r="P149">
            <v>3.88</v>
          </cell>
          <cell r="Q149">
            <v>3.88</v>
          </cell>
          <cell r="R149">
            <v>1000</v>
          </cell>
          <cell r="S149" t="str">
            <v>PCS</v>
          </cell>
          <cell r="T149">
            <v>56</v>
          </cell>
          <cell r="U149" t="str">
            <v>J3</v>
          </cell>
          <cell r="V149" t="str">
            <v>CNY</v>
          </cell>
          <cell r="W149">
            <v>5000</v>
          </cell>
          <cell r="X149">
            <v>5000</v>
          </cell>
        </row>
        <row r="150">
          <cell r="D150">
            <v>10100007174</v>
          </cell>
          <cell r="E150" t="str">
            <v>厚膜贴片电阻器</v>
          </cell>
          <cell r="F150">
            <v>10010302</v>
          </cell>
          <cell r="G150" t="str">
            <v>WALS\RES 47R F 1/4W 1206</v>
          </cell>
          <cell r="H150" t="str">
            <v>WALS(华科)</v>
          </cell>
          <cell r="I150" t="str">
            <v>WR12X47R0FTL</v>
          </cell>
          <cell r="J150">
            <v>100131</v>
          </cell>
          <cell r="K150" t="str">
            <v>东莞华科电子有限公司</v>
          </cell>
          <cell r="L150" t="str">
            <v>X</v>
          </cell>
          <cell r="M150" t="str">
            <v/>
          </cell>
          <cell r="N150">
            <v>1</v>
          </cell>
          <cell r="O150">
            <v>6.9499999999999996E-3</v>
          </cell>
          <cell r="P150">
            <v>6.95</v>
          </cell>
          <cell r="Q150">
            <v>6.95</v>
          </cell>
          <cell r="R150">
            <v>1000</v>
          </cell>
          <cell r="S150" t="str">
            <v>PCS</v>
          </cell>
          <cell r="T150">
            <v>56</v>
          </cell>
          <cell r="U150" t="str">
            <v>J3</v>
          </cell>
          <cell r="V150" t="str">
            <v>CNY</v>
          </cell>
          <cell r="W150">
            <v>5000</v>
          </cell>
          <cell r="X150">
            <v>5000</v>
          </cell>
        </row>
        <row r="151">
          <cell r="D151">
            <v>10100007562</v>
          </cell>
          <cell r="E151" t="str">
            <v>厚膜贴片电阻器</v>
          </cell>
          <cell r="F151">
            <v>10010302</v>
          </cell>
          <cell r="G151" t="str">
            <v>YAGEO\RES 100R F 1/4W 1206</v>
          </cell>
          <cell r="H151" t="str">
            <v>YAGEO(国巨)</v>
          </cell>
          <cell r="I151" t="str">
            <v>RC1206FR-07100RL</v>
          </cell>
          <cell r="J151">
            <v>100632</v>
          </cell>
          <cell r="K151" t="str">
            <v>深圳市欧尔法电子有限公司</v>
          </cell>
          <cell r="L151" t="str">
            <v>X</v>
          </cell>
          <cell r="M151" t="str">
            <v/>
          </cell>
          <cell r="N151">
            <v>1</v>
          </cell>
          <cell r="O151">
            <v>8.0000000000000002E-3</v>
          </cell>
          <cell r="P151">
            <v>8</v>
          </cell>
          <cell r="Q151">
            <v>8</v>
          </cell>
          <cell r="R151">
            <v>1000</v>
          </cell>
          <cell r="S151" t="str">
            <v>PCS</v>
          </cell>
          <cell r="T151">
            <v>56</v>
          </cell>
          <cell r="U151" t="str">
            <v>J3</v>
          </cell>
          <cell r="V151" t="str">
            <v>CNY</v>
          </cell>
          <cell r="W151">
            <v>5000</v>
          </cell>
          <cell r="X151">
            <v>5000</v>
          </cell>
        </row>
        <row r="152">
          <cell r="D152">
            <v>10100007615</v>
          </cell>
          <cell r="E152" t="str">
            <v>厚膜贴片电阻器</v>
          </cell>
          <cell r="F152">
            <v>10010302</v>
          </cell>
          <cell r="G152" t="str">
            <v>YAGEO\RES 100R F 1/16W 0402</v>
          </cell>
          <cell r="H152" t="str">
            <v>YAGEO(国巨)</v>
          </cell>
          <cell r="I152" t="str">
            <v>RC0402FR-07100RL</v>
          </cell>
          <cell r="J152">
            <v>100078</v>
          </cell>
          <cell r="K152" t="str">
            <v>深圳市超利维实业有限公司</v>
          </cell>
          <cell r="L152" t="str">
            <v>X</v>
          </cell>
          <cell r="M152" t="str">
            <v/>
          </cell>
          <cell r="N152">
            <v>1</v>
          </cell>
          <cell r="O152">
            <v>1.4E-3</v>
          </cell>
          <cell r="P152">
            <v>1.4</v>
          </cell>
          <cell r="Q152">
            <v>1.4</v>
          </cell>
          <cell r="R152">
            <v>1000</v>
          </cell>
          <cell r="S152" t="str">
            <v>PCS</v>
          </cell>
          <cell r="T152">
            <v>84</v>
          </cell>
          <cell r="U152" t="str">
            <v>J3</v>
          </cell>
          <cell r="V152" t="str">
            <v>CNY</v>
          </cell>
          <cell r="W152">
            <v>10000</v>
          </cell>
          <cell r="X152">
            <v>10000</v>
          </cell>
        </row>
        <row r="153">
          <cell r="D153">
            <v>10100007852</v>
          </cell>
          <cell r="E153" t="str">
            <v>厚膜贴片电阻器</v>
          </cell>
          <cell r="F153">
            <v>10010302</v>
          </cell>
          <cell r="G153" t="str">
            <v>YAGEO\RES 300K F 1/4W 1206</v>
          </cell>
          <cell r="H153" t="str">
            <v>YAGEO(国巨)</v>
          </cell>
          <cell r="I153" t="str">
            <v>RC1206FR-07300KL</v>
          </cell>
          <cell r="J153">
            <v>100632</v>
          </cell>
          <cell r="K153" t="str">
            <v>深圳市欧尔法电子有限公司</v>
          </cell>
          <cell r="L153" t="str">
            <v>X</v>
          </cell>
          <cell r="M153" t="str">
            <v/>
          </cell>
          <cell r="N153">
            <v>1</v>
          </cell>
          <cell r="O153">
            <v>8.0000000000000002E-3</v>
          </cell>
          <cell r="P153">
            <v>8</v>
          </cell>
          <cell r="Q153">
            <v>8</v>
          </cell>
          <cell r="R153">
            <v>1000</v>
          </cell>
          <cell r="S153" t="str">
            <v>PCS</v>
          </cell>
          <cell r="T153">
            <v>70</v>
          </cell>
          <cell r="U153" t="str">
            <v>J3</v>
          </cell>
          <cell r="V153" t="str">
            <v>CNY</v>
          </cell>
          <cell r="W153">
            <v>5000</v>
          </cell>
          <cell r="X153">
            <v>5000</v>
          </cell>
        </row>
        <row r="154">
          <cell r="D154">
            <v>10100008011</v>
          </cell>
          <cell r="E154" t="str">
            <v>厚膜贴片电阻器</v>
          </cell>
          <cell r="F154">
            <v>10010302</v>
          </cell>
          <cell r="G154" t="str">
            <v>WALS\RES 100R F 1/4W 1206</v>
          </cell>
          <cell r="H154" t="str">
            <v>WALS(华科)</v>
          </cell>
          <cell r="I154" t="str">
            <v>WR12X1000FTL</v>
          </cell>
          <cell r="J154">
            <v>100131</v>
          </cell>
          <cell r="K154" t="str">
            <v>东莞华科电子有限公司</v>
          </cell>
          <cell r="L154" t="str">
            <v>X</v>
          </cell>
          <cell r="M154" t="str">
            <v/>
          </cell>
          <cell r="N154">
            <v>1</v>
          </cell>
          <cell r="O154">
            <v>6.9499999999999996E-3</v>
          </cell>
          <cell r="P154">
            <v>6.95</v>
          </cell>
          <cell r="Q154">
            <v>6.95</v>
          </cell>
          <cell r="R154">
            <v>1000</v>
          </cell>
          <cell r="S154" t="str">
            <v>PCS</v>
          </cell>
          <cell r="T154">
            <v>56</v>
          </cell>
          <cell r="U154" t="str">
            <v>J3</v>
          </cell>
          <cell r="V154" t="str">
            <v>CNY</v>
          </cell>
          <cell r="W154">
            <v>5000</v>
          </cell>
          <cell r="X154">
            <v>5000</v>
          </cell>
        </row>
        <row r="155">
          <cell r="D155">
            <v>10100008057</v>
          </cell>
          <cell r="E155" t="str">
            <v>厚膜贴片电阻器</v>
          </cell>
          <cell r="F155">
            <v>10010302</v>
          </cell>
          <cell r="G155" t="str">
            <v>FH\RES 22K F 1/16W 0402</v>
          </cell>
          <cell r="H155" t="str">
            <v>FH(风华)</v>
          </cell>
          <cell r="I155" t="str">
            <v>RC-02K2202FT</v>
          </cell>
          <cell r="J155">
            <v>100654</v>
          </cell>
          <cell r="K155" t="str">
            <v>广东风华高新科技股份有限公司</v>
          </cell>
          <cell r="L155" t="str">
            <v>X</v>
          </cell>
          <cell r="M155" t="str">
            <v/>
          </cell>
          <cell r="N155">
            <v>1</v>
          </cell>
          <cell r="O155">
            <v>1.1000000000000001E-3</v>
          </cell>
          <cell r="P155">
            <v>1.1000000000000001</v>
          </cell>
          <cell r="Q155">
            <v>1.1000000000000001</v>
          </cell>
          <cell r="R155">
            <v>1000</v>
          </cell>
          <cell r="S155" t="str">
            <v>PCS</v>
          </cell>
          <cell r="T155">
            <v>42</v>
          </cell>
          <cell r="U155" t="str">
            <v>J3</v>
          </cell>
          <cell r="V155" t="str">
            <v>CNY</v>
          </cell>
          <cell r="W155">
            <v>10000</v>
          </cell>
          <cell r="X155">
            <v>10000</v>
          </cell>
        </row>
        <row r="156">
          <cell r="D156">
            <v>10100008069</v>
          </cell>
          <cell r="E156" t="str">
            <v>厚膜贴片电阻器</v>
          </cell>
          <cell r="F156">
            <v>10010302</v>
          </cell>
          <cell r="G156" t="str">
            <v>WALS\RES 22K F 1/16W 0402</v>
          </cell>
          <cell r="H156" t="str">
            <v>WALS(华科)</v>
          </cell>
          <cell r="I156" t="str">
            <v>WR04X2202FTL</v>
          </cell>
          <cell r="J156">
            <v>100131</v>
          </cell>
          <cell r="K156" t="str">
            <v>东莞华科电子有限公司</v>
          </cell>
          <cell r="L156" t="str">
            <v>X</v>
          </cell>
          <cell r="M156" t="str">
            <v/>
          </cell>
          <cell r="N156">
            <v>1</v>
          </cell>
          <cell r="O156">
            <v>1.17E-3</v>
          </cell>
          <cell r="P156">
            <v>1.17</v>
          </cell>
          <cell r="Q156">
            <v>1.17</v>
          </cell>
          <cell r="R156">
            <v>1000</v>
          </cell>
          <cell r="S156" t="str">
            <v>PCS</v>
          </cell>
          <cell r="T156">
            <v>56</v>
          </cell>
          <cell r="U156" t="str">
            <v>J3</v>
          </cell>
          <cell r="V156" t="str">
            <v>CNY</v>
          </cell>
          <cell r="W156">
            <v>10000</v>
          </cell>
          <cell r="X156">
            <v>10000</v>
          </cell>
        </row>
        <row r="157">
          <cell r="D157">
            <v>10100008075</v>
          </cell>
          <cell r="E157" t="str">
            <v>厚膜贴片电阻器</v>
          </cell>
          <cell r="F157">
            <v>10010302</v>
          </cell>
          <cell r="G157" t="str">
            <v>YAGEO\RES 22K F 1/16W 0402</v>
          </cell>
          <cell r="H157" t="str">
            <v>YAGEO(国巨)</v>
          </cell>
          <cell r="I157" t="str">
            <v>RC0402FR-0722KL</v>
          </cell>
          <cell r="J157">
            <v>100078</v>
          </cell>
          <cell r="K157" t="str">
            <v>深圳市超利维实业有限公司</v>
          </cell>
          <cell r="L157" t="str">
            <v>X</v>
          </cell>
          <cell r="M157" t="str">
            <v/>
          </cell>
          <cell r="N157">
            <v>1</v>
          </cell>
          <cell r="O157">
            <v>1.4E-3</v>
          </cell>
          <cell r="P157">
            <v>1.4</v>
          </cell>
          <cell r="Q157">
            <v>1.4</v>
          </cell>
          <cell r="R157">
            <v>1000</v>
          </cell>
          <cell r="S157" t="str">
            <v>PCS</v>
          </cell>
          <cell r="T157">
            <v>84</v>
          </cell>
          <cell r="U157" t="str">
            <v>J3</v>
          </cell>
          <cell r="V157" t="str">
            <v>CNY</v>
          </cell>
          <cell r="W157">
            <v>10000</v>
          </cell>
          <cell r="X157">
            <v>10000</v>
          </cell>
        </row>
        <row r="158">
          <cell r="D158">
            <v>10100008302</v>
          </cell>
          <cell r="E158" t="str">
            <v>厚膜贴片电阻器</v>
          </cell>
          <cell r="F158">
            <v>10010302</v>
          </cell>
          <cell r="G158" t="str">
            <v>WALS\RES 100R F 1/16W 0402</v>
          </cell>
          <cell r="H158" t="str">
            <v>WALS(华科)</v>
          </cell>
          <cell r="I158" t="str">
            <v>WR04X1000FTL</v>
          </cell>
          <cell r="J158">
            <v>100131</v>
          </cell>
          <cell r="K158" t="str">
            <v>东莞华科电子有限公司</v>
          </cell>
          <cell r="L158" t="str">
            <v>X</v>
          </cell>
          <cell r="M158" t="str">
            <v/>
          </cell>
          <cell r="N158">
            <v>1</v>
          </cell>
          <cell r="O158">
            <v>1.17E-3</v>
          </cell>
          <cell r="P158">
            <v>1.17</v>
          </cell>
          <cell r="Q158">
            <v>1.17</v>
          </cell>
          <cell r="R158">
            <v>1000</v>
          </cell>
          <cell r="S158" t="str">
            <v>PCS</v>
          </cell>
          <cell r="T158">
            <v>56</v>
          </cell>
          <cell r="U158" t="str">
            <v>J3</v>
          </cell>
          <cell r="V158" t="str">
            <v>CNY</v>
          </cell>
          <cell r="W158">
            <v>10000</v>
          </cell>
          <cell r="X158">
            <v>10000</v>
          </cell>
        </row>
        <row r="159">
          <cell r="D159">
            <v>10100008776</v>
          </cell>
          <cell r="E159" t="str">
            <v>厚膜贴片电阻器</v>
          </cell>
          <cell r="F159">
            <v>10010302</v>
          </cell>
          <cell r="G159" t="str">
            <v>FH\RES 0R R&lt;10mR 1/10W 0603 1A</v>
          </cell>
          <cell r="H159" t="str">
            <v>FH(风华)</v>
          </cell>
          <cell r="I159" t="str">
            <v>RS-03000FT</v>
          </cell>
          <cell r="J159">
            <v>100654</v>
          </cell>
          <cell r="K159" t="str">
            <v>广东风华高新科技股份有限公司</v>
          </cell>
          <cell r="L159" t="str">
            <v>X</v>
          </cell>
          <cell r="M159" t="str">
            <v/>
          </cell>
          <cell r="N159">
            <v>1</v>
          </cell>
          <cell r="O159">
            <v>2.0799999999999998E-3</v>
          </cell>
          <cell r="P159">
            <v>2.08</v>
          </cell>
          <cell r="Q159">
            <v>2.08</v>
          </cell>
          <cell r="R159">
            <v>1000</v>
          </cell>
          <cell r="S159" t="str">
            <v>PCS</v>
          </cell>
          <cell r="T159">
            <v>42</v>
          </cell>
          <cell r="U159" t="str">
            <v>J3</v>
          </cell>
          <cell r="V159" t="str">
            <v>CNY</v>
          </cell>
          <cell r="W159">
            <v>5000</v>
          </cell>
          <cell r="X159">
            <v>5000</v>
          </cell>
        </row>
        <row r="160">
          <cell r="D160">
            <v>10100008827</v>
          </cell>
          <cell r="E160" t="str">
            <v>厚膜贴片电阻器</v>
          </cell>
          <cell r="F160">
            <v>10010302</v>
          </cell>
          <cell r="G160" t="str">
            <v>WALS\RES 9.1K F 1/16W 0402</v>
          </cell>
          <cell r="H160" t="str">
            <v>WALS(华科)</v>
          </cell>
          <cell r="I160" t="str">
            <v>WR04X9101FTL</v>
          </cell>
          <cell r="J160">
            <v>100131</v>
          </cell>
          <cell r="K160" t="str">
            <v>东莞华科电子有限公司</v>
          </cell>
          <cell r="L160" t="str">
            <v>X</v>
          </cell>
          <cell r="M160" t="str">
            <v/>
          </cell>
          <cell r="N160">
            <v>1</v>
          </cell>
          <cell r="O160">
            <v>1.17E-3</v>
          </cell>
          <cell r="P160">
            <v>1.17</v>
          </cell>
          <cell r="Q160">
            <v>1.17</v>
          </cell>
          <cell r="R160">
            <v>1000</v>
          </cell>
          <cell r="S160" t="str">
            <v>PCS</v>
          </cell>
          <cell r="T160">
            <v>56</v>
          </cell>
          <cell r="U160" t="str">
            <v>J3</v>
          </cell>
          <cell r="V160" t="str">
            <v>CNY</v>
          </cell>
          <cell r="W160">
            <v>10000</v>
          </cell>
          <cell r="X160">
            <v>10000</v>
          </cell>
        </row>
        <row r="161">
          <cell r="D161">
            <v>10100008830</v>
          </cell>
          <cell r="E161" t="str">
            <v>厚膜贴片电阻器</v>
          </cell>
          <cell r="F161">
            <v>10010302</v>
          </cell>
          <cell r="G161" t="str">
            <v>YAGEO\RES 9.1K F 1/16W 0402</v>
          </cell>
          <cell r="H161" t="str">
            <v>YAGEO(国巨)</v>
          </cell>
          <cell r="I161" t="str">
            <v>RC0402FR-079K1L</v>
          </cell>
          <cell r="J161">
            <v>100632</v>
          </cell>
          <cell r="K161" t="str">
            <v>深圳市欧尔法电子有限公司</v>
          </cell>
          <cell r="L161" t="str">
            <v>X</v>
          </cell>
          <cell r="M161" t="str">
            <v/>
          </cell>
          <cell r="N161">
            <v>1</v>
          </cell>
          <cell r="O161">
            <v>1.39E-3</v>
          </cell>
          <cell r="P161">
            <v>1.39</v>
          </cell>
          <cell r="Q161">
            <v>1.39</v>
          </cell>
          <cell r="R161">
            <v>1000</v>
          </cell>
          <cell r="S161" t="str">
            <v>PCS</v>
          </cell>
          <cell r="T161">
            <v>56</v>
          </cell>
          <cell r="U161" t="str">
            <v>J3</v>
          </cell>
          <cell r="V161" t="str">
            <v>CNY</v>
          </cell>
          <cell r="W161">
            <v>10000</v>
          </cell>
          <cell r="X161">
            <v>10000</v>
          </cell>
        </row>
        <row r="162">
          <cell r="D162">
            <v>10100009093</v>
          </cell>
          <cell r="E162" t="str">
            <v>厚膜贴片电阻器</v>
          </cell>
          <cell r="F162">
            <v>10010302</v>
          </cell>
          <cell r="G162" t="str">
            <v>WALS\RES 2K F 1/16W 0402</v>
          </cell>
          <cell r="H162" t="str">
            <v>WALS(华科)</v>
          </cell>
          <cell r="I162" t="str">
            <v>WR04X2001FTL</v>
          </cell>
          <cell r="J162">
            <v>100131</v>
          </cell>
          <cell r="K162" t="str">
            <v>东莞华科电子有限公司</v>
          </cell>
          <cell r="L162" t="str">
            <v>X</v>
          </cell>
          <cell r="M162" t="str">
            <v/>
          </cell>
          <cell r="N162">
            <v>1</v>
          </cell>
          <cell r="O162">
            <v>1.17E-3</v>
          </cell>
          <cell r="P162">
            <v>1.17</v>
          </cell>
          <cell r="Q162">
            <v>1.17</v>
          </cell>
          <cell r="R162">
            <v>1000</v>
          </cell>
          <cell r="S162" t="str">
            <v>PCS</v>
          </cell>
          <cell r="T162">
            <v>56</v>
          </cell>
          <cell r="U162" t="str">
            <v>J3</v>
          </cell>
          <cell r="V162" t="str">
            <v>CNY</v>
          </cell>
          <cell r="W162">
            <v>10000</v>
          </cell>
          <cell r="X162">
            <v>10000</v>
          </cell>
        </row>
        <row r="163">
          <cell r="D163">
            <v>10100009552</v>
          </cell>
          <cell r="E163" t="str">
            <v>厚膜贴片电阻器</v>
          </cell>
          <cell r="F163">
            <v>10010302</v>
          </cell>
          <cell r="G163" t="str">
            <v>ROYA\RES 2.2K F 1/10W 0603</v>
          </cell>
          <cell r="H163" t="str">
            <v>ROYALOHM(厚声)</v>
          </cell>
          <cell r="I163" t="str">
            <v>0603WAF2201T5E</v>
          </cell>
          <cell r="J163">
            <v>100096</v>
          </cell>
          <cell r="K163" t="str">
            <v>厚声国际贸易（昆山）有限公司深圳分公司</v>
          </cell>
          <cell r="L163" t="str">
            <v>X</v>
          </cell>
          <cell r="M163" t="str">
            <v/>
          </cell>
          <cell r="N163">
            <v>1</v>
          </cell>
          <cell r="O163">
            <v>2.0999999999999999E-3</v>
          </cell>
          <cell r="P163">
            <v>2.1</v>
          </cell>
          <cell r="Q163">
            <v>2.1</v>
          </cell>
          <cell r="R163">
            <v>1000</v>
          </cell>
          <cell r="S163" t="str">
            <v>PCS</v>
          </cell>
          <cell r="T163">
            <v>56</v>
          </cell>
          <cell r="U163" t="str">
            <v>J3</v>
          </cell>
          <cell r="V163" t="str">
            <v>CNY</v>
          </cell>
          <cell r="W163">
            <v>5000</v>
          </cell>
          <cell r="X163">
            <v>5000</v>
          </cell>
        </row>
        <row r="164">
          <cell r="D164">
            <v>10100009838</v>
          </cell>
          <cell r="E164" t="str">
            <v>厚膜贴片电阻器</v>
          </cell>
          <cell r="F164">
            <v>10010302</v>
          </cell>
          <cell r="G164" t="str">
            <v>ROYA\RES 10K F 1/16W 0402</v>
          </cell>
          <cell r="H164" t="str">
            <v>ROYALOHM(厚声)</v>
          </cell>
          <cell r="I164" t="str">
            <v>0402WGF1002TCE</v>
          </cell>
          <cell r="J164">
            <v>100096</v>
          </cell>
          <cell r="K164" t="str">
            <v>厚声国际贸易（昆山）有限公司深圳分公司</v>
          </cell>
          <cell r="L164" t="str">
            <v>X</v>
          </cell>
          <cell r="M164" t="str">
            <v/>
          </cell>
          <cell r="N164">
            <v>1</v>
          </cell>
          <cell r="O164">
            <v>1.09E-3</v>
          </cell>
          <cell r="P164">
            <v>1.0900000000000001</v>
          </cell>
          <cell r="Q164">
            <v>1.0900000000000001</v>
          </cell>
          <cell r="R164">
            <v>1000</v>
          </cell>
          <cell r="S164" t="str">
            <v>PCS</v>
          </cell>
          <cell r="T164">
            <v>42</v>
          </cell>
          <cell r="U164" t="str">
            <v>J3</v>
          </cell>
          <cell r="V164" t="str">
            <v>CNY</v>
          </cell>
          <cell r="W164">
            <v>10000</v>
          </cell>
          <cell r="X164">
            <v>10000</v>
          </cell>
        </row>
        <row r="165">
          <cell r="D165">
            <v>10100010045</v>
          </cell>
          <cell r="E165" t="str">
            <v>厚膜贴片电阻器</v>
          </cell>
          <cell r="F165">
            <v>10010302</v>
          </cell>
          <cell r="G165" t="str">
            <v>WALS\RES 10K F 1/16W 0402</v>
          </cell>
          <cell r="H165" t="str">
            <v>WALS(华科)</v>
          </cell>
          <cell r="I165" t="str">
            <v>WR04X1002FTL</v>
          </cell>
          <cell r="J165">
            <v>100131</v>
          </cell>
          <cell r="K165" t="str">
            <v>东莞华科电子有限公司</v>
          </cell>
          <cell r="L165" t="str">
            <v>X</v>
          </cell>
          <cell r="M165" t="str">
            <v/>
          </cell>
          <cell r="N165">
            <v>1</v>
          </cell>
          <cell r="O165">
            <v>1.17E-3</v>
          </cell>
          <cell r="P165">
            <v>1.17</v>
          </cell>
          <cell r="Q165">
            <v>1.17</v>
          </cell>
          <cell r="R165">
            <v>1000</v>
          </cell>
          <cell r="S165" t="str">
            <v>PCS</v>
          </cell>
          <cell r="T165">
            <v>56</v>
          </cell>
          <cell r="U165" t="str">
            <v>J3</v>
          </cell>
          <cell r="V165" t="str">
            <v>CNY</v>
          </cell>
          <cell r="W165">
            <v>10000</v>
          </cell>
          <cell r="X165">
            <v>10000</v>
          </cell>
        </row>
        <row r="166">
          <cell r="D166">
            <v>10100011090</v>
          </cell>
          <cell r="E166" t="str">
            <v>厚膜贴片电阻器</v>
          </cell>
          <cell r="F166">
            <v>10010302</v>
          </cell>
          <cell r="G166" t="str">
            <v>ROYA\RES 4.7K F 1/10W 0603</v>
          </cell>
          <cell r="H166" t="str">
            <v>ROYALOHM(厚声)</v>
          </cell>
          <cell r="I166" t="str">
            <v>0603WAF4701T5E</v>
          </cell>
          <cell r="J166">
            <v>100096</v>
          </cell>
          <cell r="K166" t="str">
            <v>厚声国际贸易（昆山）有限公司深圳分公司</v>
          </cell>
          <cell r="L166" t="str">
            <v>X</v>
          </cell>
          <cell r="M166" t="str">
            <v/>
          </cell>
          <cell r="N166">
            <v>1</v>
          </cell>
          <cell r="O166">
            <v>2.0999999999999999E-3</v>
          </cell>
          <cell r="P166">
            <v>2.1</v>
          </cell>
          <cell r="Q166">
            <v>2.1</v>
          </cell>
          <cell r="R166">
            <v>1000</v>
          </cell>
          <cell r="S166" t="str">
            <v>PCS</v>
          </cell>
          <cell r="T166">
            <v>56</v>
          </cell>
          <cell r="U166" t="str">
            <v>J3</v>
          </cell>
          <cell r="V166" t="str">
            <v>CNY</v>
          </cell>
          <cell r="W166">
            <v>5000</v>
          </cell>
          <cell r="X166">
            <v>5000</v>
          </cell>
        </row>
        <row r="167">
          <cell r="D167">
            <v>10100011726</v>
          </cell>
          <cell r="E167" t="str">
            <v>厚膜贴片电阻器</v>
          </cell>
          <cell r="F167">
            <v>10010302</v>
          </cell>
          <cell r="G167" t="str">
            <v>YAGEO\RES 5.1K F 1/16W 0402</v>
          </cell>
          <cell r="H167" t="str">
            <v>YAGEO(国巨)</v>
          </cell>
          <cell r="I167" t="str">
            <v>RC0402FR-075K1L</v>
          </cell>
          <cell r="J167">
            <v>100632</v>
          </cell>
          <cell r="K167" t="str">
            <v>深圳市欧尔法电子有限公司</v>
          </cell>
          <cell r="L167" t="str">
            <v>X</v>
          </cell>
          <cell r="M167" t="str">
            <v/>
          </cell>
          <cell r="N167">
            <v>1</v>
          </cell>
          <cell r="O167">
            <v>1.39E-3</v>
          </cell>
          <cell r="P167">
            <v>1.39</v>
          </cell>
          <cell r="Q167">
            <v>1.39</v>
          </cell>
          <cell r="R167">
            <v>1000</v>
          </cell>
          <cell r="S167" t="str">
            <v>PCS</v>
          </cell>
          <cell r="T167">
            <v>56</v>
          </cell>
          <cell r="U167" t="str">
            <v>J3</v>
          </cell>
          <cell r="V167" t="str">
            <v>CNY</v>
          </cell>
          <cell r="W167">
            <v>10000</v>
          </cell>
          <cell r="X167">
            <v>10000</v>
          </cell>
        </row>
        <row r="168">
          <cell r="D168">
            <v>10100011886</v>
          </cell>
          <cell r="E168" t="str">
            <v>厚膜贴片电阻器</v>
          </cell>
          <cell r="F168">
            <v>10010302</v>
          </cell>
          <cell r="G168" t="str">
            <v>ROYA\RES 9.1K F 1/16W 0402</v>
          </cell>
          <cell r="H168" t="str">
            <v>ROYALOHM(厚声)</v>
          </cell>
          <cell r="I168" t="str">
            <v>0402WGF9101TCE</v>
          </cell>
          <cell r="J168">
            <v>100096</v>
          </cell>
          <cell r="K168" t="str">
            <v>厚声国际贸易（昆山）有限公司深圳分公司</v>
          </cell>
          <cell r="L168" t="str">
            <v>X</v>
          </cell>
          <cell r="M168" t="str">
            <v/>
          </cell>
          <cell r="N168">
            <v>1</v>
          </cell>
          <cell r="O168">
            <v>1.09E-3</v>
          </cell>
          <cell r="P168">
            <v>1.0900000000000001</v>
          </cell>
          <cell r="Q168">
            <v>1.0900000000000001</v>
          </cell>
          <cell r="R168">
            <v>1000</v>
          </cell>
          <cell r="S168" t="str">
            <v>PCS</v>
          </cell>
          <cell r="T168">
            <v>56</v>
          </cell>
          <cell r="U168" t="str">
            <v>J3</v>
          </cell>
          <cell r="V168" t="str">
            <v>CNY</v>
          </cell>
          <cell r="W168">
            <v>10000</v>
          </cell>
          <cell r="X168">
            <v>10000</v>
          </cell>
        </row>
        <row r="169">
          <cell r="D169">
            <v>10100011993</v>
          </cell>
          <cell r="E169" t="str">
            <v>厚膜贴片电阻器</v>
          </cell>
          <cell r="F169">
            <v>10010302</v>
          </cell>
          <cell r="G169" t="str">
            <v>FH\RES 5.1K F 1/16W 0402</v>
          </cell>
          <cell r="H169" t="str">
            <v>FH(风华)</v>
          </cell>
          <cell r="I169" t="str">
            <v>RC-02K5101FT</v>
          </cell>
          <cell r="J169">
            <v>100654</v>
          </cell>
          <cell r="K169" t="str">
            <v>广东风华高新科技股份有限公司</v>
          </cell>
          <cell r="L169" t="str">
            <v>X</v>
          </cell>
          <cell r="M169" t="str">
            <v/>
          </cell>
          <cell r="N169">
            <v>1</v>
          </cell>
          <cell r="O169">
            <v>1.1000000000000001E-3</v>
          </cell>
          <cell r="P169">
            <v>1.1000000000000001</v>
          </cell>
          <cell r="Q169">
            <v>1.1000000000000001</v>
          </cell>
          <cell r="R169">
            <v>1000</v>
          </cell>
          <cell r="S169" t="str">
            <v>PCS</v>
          </cell>
          <cell r="T169">
            <v>42</v>
          </cell>
          <cell r="U169" t="str">
            <v>J3</v>
          </cell>
          <cell r="V169" t="str">
            <v>CNY</v>
          </cell>
          <cell r="W169">
            <v>10000</v>
          </cell>
          <cell r="X169">
            <v>10000</v>
          </cell>
        </row>
        <row r="170">
          <cell r="D170">
            <v>10100012014</v>
          </cell>
          <cell r="E170" t="str">
            <v>厚膜贴片电阻器</v>
          </cell>
          <cell r="F170">
            <v>10010302</v>
          </cell>
          <cell r="G170" t="str">
            <v>FH\RES 100R F 1/4W 1206</v>
          </cell>
          <cell r="H170" t="str">
            <v>FH(风华)</v>
          </cell>
          <cell r="I170" t="str">
            <v>RS-06K1000FT</v>
          </cell>
          <cell r="J170">
            <v>100654</v>
          </cell>
          <cell r="K170" t="str">
            <v>广东风华高新科技股份有限公司</v>
          </cell>
          <cell r="L170" t="str">
            <v>X</v>
          </cell>
          <cell r="M170" t="str">
            <v/>
          </cell>
          <cell r="N170">
            <v>1</v>
          </cell>
          <cell r="O170">
            <v>6.3699999999999998E-3</v>
          </cell>
          <cell r="P170">
            <v>6.37</v>
          </cell>
          <cell r="Q170">
            <v>6.37</v>
          </cell>
          <cell r="R170">
            <v>1000</v>
          </cell>
          <cell r="S170" t="str">
            <v>PCS</v>
          </cell>
          <cell r="T170">
            <v>42</v>
          </cell>
          <cell r="U170" t="str">
            <v>J3</v>
          </cell>
          <cell r="V170" t="str">
            <v>CNY</v>
          </cell>
          <cell r="W170">
            <v>5000</v>
          </cell>
          <cell r="X170">
            <v>5000</v>
          </cell>
        </row>
        <row r="171">
          <cell r="D171">
            <v>10100012860</v>
          </cell>
          <cell r="E171" t="str">
            <v>厚膜贴片电阻器</v>
          </cell>
          <cell r="F171">
            <v>10010302</v>
          </cell>
          <cell r="G171" t="str">
            <v>ROYA\RES 68K F 1/10W 0603</v>
          </cell>
          <cell r="H171" t="str">
            <v>ROYALOHM(厚声)</v>
          </cell>
          <cell r="I171" t="str">
            <v>0603WAF6802T5E</v>
          </cell>
          <cell r="J171">
            <v>100096</v>
          </cell>
          <cell r="K171" t="str">
            <v>厚声国际贸易（昆山）有限公司深圳分公司</v>
          </cell>
          <cell r="L171" t="str">
            <v>X</v>
          </cell>
          <cell r="M171" t="str">
            <v/>
          </cell>
          <cell r="N171">
            <v>1</v>
          </cell>
          <cell r="O171">
            <v>2.0999999999999999E-3</v>
          </cell>
          <cell r="P171">
            <v>2.1</v>
          </cell>
          <cell r="Q171">
            <v>2.1</v>
          </cell>
          <cell r="R171">
            <v>1000</v>
          </cell>
          <cell r="S171" t="str">
            <v>PCS</v>
          </cell>
          <cell r="T171">
            <v>56</v>
          </cell>
          <cell r="U171" t="str">
            <v>J3</v>
          </cell>
          <cell r="V171" t="str">
            <v>CNY</v>
          </cell>
          <cell r="W171">
            <v>5000</v>
          </cell>
          <cell r="X171">
            <v>5000</v>
          </cell>
        </row>
        <row r="172">
          <cell r="D172">
            <v>10100013040</v>
          </cell>
          <cell r="E172" t="str">
            <v>厚膜贴片电阻器</v>
          </cell>
          <cell r="F172">
            <v>10010302</v>
          </cell>
          <cell r="G172" t="str">
            <v>ROYA\RES 1K F 1/16W 0402</v>
          </cell>
          <cell r="H172" t="str">
            <v>ROYALOHM(厚声)</v>
          </cell>
          <cell r="I172" t="str">
            <v>0402WGF1001TCE</v>
          </cell>
          <cell r="J172">
            <v>100096</v>
          </cell>
          <cell r="K172" t="str">
            <v>厚声国际贸易（昆山）有限公司深圳分公司</v>
          </cell>
          <cell r="L172" t="str">
            <v>X</v>
          </cell>
          <cell r="M172" t="str">
            <v/>
          </cell>
          <cell r="N172">
            <v>1</v>
          </cell>
          <cell r="O172">
            <v>1.09E-3</v>
          </cell>
          <cell r="P172">
            <v>1.0900000000000001</v>
          </cell>
          <cell r="Q172">
            <v>1.0900000000000001</v>
          </cell>
          <cell r="R172">
            <v>1000</v>
          </cell>
          <cell r="S172" t="str">
            <v>PCS</v>
          </cell>
          <cell r="T172">
            <v>42</v>
          </cell>
          <cell r="U172" t="str">
            <v>J3</v>
          </cell>
          <cell r="V172" t="str">
            <v>CNY</v>
          </cell>
          <cell r="W172">
            <v>10000</v>
          </cell>
          <cell r="X172">
            <v>10000</v>
          </cell>
        </row>
        <row r="173">
          <cell r="D173">
            <v>10100013093</v>
          </cell>
          <cell r="E173" t="str">
            <v>厚膜贴片电阻器</v>
          </cell>
          <cell r="F173">
            <v>10010302</v>
          </cell>
          <cell r="G173" t="str">
            <v>ROYA\RES 100R F 1/16W 0402</v>
          </cell>
          <cell r="H173" t="str">
            <v>ROYALOHM(厚声)</v>
          </cell>
          <cell r="I173" t="str">
            <v>0402WGF1000TCE</v>
          </cell>
          <cell r="J173">
            <v>100096</v>
          </cell>
          <cell r="K173" t="str">
            <v>厚声国际贸易（昆山）有限公司深圳分公司</v>
          </cell>
          <cell r="L173" t="str">
            <v>X</v>
          </cell>
          <cell r="M173" t="str">
            <v/>
          </cell>
          <cell r="N173">
            <v>1</v>
          </cell>
          <cell r="O173">
            <v>1.09E-3</v>
          </cell>
          <cell r="P173">
            <v>1.0900000000000001</v>
          </cell>
          <cell r="Q173">
            <v>1.0900000000000001</v>
          </cell>
          <cell r="R173">
            <v>1000</v>
          </cell>
          <cell r="S173" t="str">
            <v>PCS</v>
          </cell>
          <cell r="T173">
            <v>42</v>
          </cell>
          <cell r="U173" t="str">
            <v>J3</v>
          </cell>
          <cell r="V173" t="str">
            <v>CNY</v>
          </cell>
          <cell r="W173">
            <v>10000</v>
          </cell>
          <cell r="X173">
            <v>10000</v>
          </cell>
        </row>
        <row r="174">
          <cell r="D174">
            <v>10100013936</v>
          </cell>
          <cell r="E174" t="str">
            <v>厚膜贴片电阻器</v>
          </cell>
          <cell r="F174">
            <v>10010302</v>
          </cell>
          <cell r="G174" t="str">
            <v>FH\RES 100R F 1/16W 0402</v>
          </cell>
          <cell r="H174" t="str">
            <v>FH(风华)</v>
          </cell>
          <cell r="I174" t="str">
            <v>RC-02K1000FT</v>
          </cell>
          <cell r="J174">
            <v>100654</v>
          </cell>
          <cell r="K174" t="str">
            <v>广东风华高新科技股份有限公司</v>
          </cell>
          <cell r="L174" t="str">
            <v>X</v>
          </cell>
          <cell r="M174" t="str">
            <v/>
          </cell>
          <cell r="N174">
            <v>1</v>
          </cell>
          <cell r="O174">
            <v>1.1000000000000001E-3</v>
          </cell>
          <cell r="P174">
            <v>1.1000000000000001</v>
          </cell>
          <cell r="Q174">
            <v>1.1000000000000001</v>
          </cell>
          <cell r="R174">
            <v>1000</v>
          </cell>
          <cell r="S174" t="str">
            <v>PCS</v>
          </cell>
          <cell r="T174">
            <v>42</v>
          </cell>
          <cell r="U174" t="str">
            <v>J3</v>
          </cell>
          <cell r="V174" t="str">
            <v>CNY</v>
          </cell>
          <cell r="W174">
            <v>10000</v>
          </cell>
          <cell r="X174">
            <v>10000</v>
          </cell>
        </row>
        <row r="175">
          <cell r="D175">
            <v>10100014304</v>
          </cell>
          <cell r="E175" t="str">
            <v>厚膜贴片电阻器</v>
          </cell>
          <cell r="F175">
            <v>10010302</v>
          </cell>
          <cell r="G175" t="str">
            <v>WALS\RES 300K F 1/4W 1206</v>
          </cell>
          <cell r="H175" t="str">
            <v>WALS(华科)</v>
          </cell>
          <cell r="I175" t="str">
            <v>WR12X3003FTL</v>
          </cell>
          <cell r="J175">
            <v>100131</v>
          </cell>
          <cell r="K175" t="str">
            <v>东莞华科电子有限公司</v>
          </cell>
          <cell r="L175" t="str">
            <v>X</v>
          </cell>
          <cell r="M175" t="str">
            <v/>
          </cell>
          <cell r="N175">
            <v>1</v>
          </cell>
          <cell r="O175">
            <v>6.9499999999999996E-3</v>
          </cell>
          <cell r="P175">
            <v>6.95</v>
          </cell>
          <cell r="Q175">
            <v>6.95</v>
          </cell>
          <cell r="R175">
            <v>1000</v>
          </cell>
          <cell r="S175" t="str">
            <v>PCS</v>
          </cell>
          <cell r="T175">
            <v>56</v>
          </cell>
          <cell r="U175" t="str">
            <v>J3</v>
          </cell>
          <cell r="V175" t="str">
            <v>CNY</v>
          </cell>
          <cell r="W175">
            <v>5000</v>
          </cell>
          <cell r="X175">
            <v>5000</v>
          </cell>
        </row>
        <row r="176">
          <cell r="D176">
            <v>10100014735</v>
          </cell>
          <cell r="E176" t="str">
            <v>厚膜贴片电阻器</v>
          </cell>
          <cell r="F176">
            <v>10010302</v>
          </cell>
          <cell r="G176" t="str">
            <v>ROYA\RES 2K F 1/16W 0402</v>
          </cell>
          <cell r="H176" t="str">
            <v>ROYALOHM(厚声)</v>
          </cell>
          <cell r="I176" t="str">
            <v>0402WGF2001TCE</v>
          </cell>
          <cell r="J176">
            <v>100096</v>
          </cell>
          <cell r="K176" t="str">
            <v>厚声国际贸易（昆山）有限公司深圳分公司</v>
          </cell>
          <cell r="L176" t="str">
            <v>X</v>
          </cell>
          <cell r="M176" t="str">
            <v/>
          </cell>
          <cell r="N176">
            <v>1</v>
          </cell>
          <cell r="O176">
            <v>1.09E-3</v>
          </cell>
          <cell r="P176">
            <v>1.0900000000000001</v>
          </cell>
          <cell r="Q176">
            <v>1.0900000000000001</v>
          </cell>
          <cell r="R176">
            <v>1000</v>
          </cell>
          <cell r="S176" t="str">
            <v>PCS</v>
          </cell>
          <cell r="T176">
            <v>42</v>
          </cell>
          <cell r="U176" t="str">
            <v>J3</v>
          </cell>
          <cell r="V176" t="str">
            <v>CNY</v>
          </cell>
          <cell r="W176">
            <v>10000</v>
          </cell>
          <cell r="X176">
            <v>10000</v>
          </cell>
        </row>
        <row r="177">
          <cell r="D177">
            <v>10100015127</v>
          </cell>
          <cell r="E177" t="str">
            <v>厚膜贴片电阻器</v>
          </cell>
          <cell r="F177">
            <v>10010302</v>
          </cell>
          <cell r="G177" t="str">
            <v>ROYA\RES 100R F 1/4W 1206</v>
          </cell>
          <cell r="H177" t="str">
            <v>ROYALOHM(厚声)</v>
          </cell>
          <cell r="I177" t="str">
            <v>1206W4F1000T5E</v>
          </cell>
          <cell r="J177">
            <v>100096</v>
          </cell>
          <cell r="K177" t="str">
            <v>厚声国际贸易（昆山）有限公司深圳分公司</v>
          </cell>
          <cell r="L177" t="str">
            <v>X</v>
          </cell>
          <cell r="M177" t="str">
            <v/>
          </cell>
          <cell r="N177">
            <v>1</v>
          </cell>
          <cell r="O177">
            <v>6.7799999999999996E-3</v>
          </cell>
          <cell r="P177">
            <v>6.78</v>
          </cell>
          <cell r="Q177">
            <v>6.78</v>
          </cell>
          <cell r="R177">
            <v>1000</v>
          </cell>
          <cell r="S177" t="str">
            <v>PCS</v>
          </cell>
          <cell r="T177">
            <v>70</v>
          </cell>
          <cell r="U177" t="str">
            <v>J3</v>
          </cell>
          <cell r="V177" t="str">
            <v>CNY</v>
          </cell>
          <cell r="W177">
            <v>5000</v>
          </cell>
          <cell r="X177">
            <v>5000</v>
          </cell>
        </row>
        <row r="178">
          <cell r="D178">
            <v>10100017206</v>
          </cell>
          <cell r="E178" t="str">
            <v>厚膜贴片电阻器</v>
          </cell>
          <cell r="F178">
            <v>10010302</v>
          </cell>
          <cell r="G178" t="str">
            <v>ROYA\RES 300K F 1/4W 1206</v>
          </cell>
          <cell r="H178" t="str">
            <v>ROYALOHM(厚声)</v>
          </cell>
          <cell r="I178" t="str">
            <v>1206W4F3003T5E</v>
          </cell>
          <cell r="J178">
            <v>100096</v>
          </cell>
          <cell r="K178" t="str">
            <v>厚声国际贸易（昆山）有限公司深圳分公司</v>
          </cell>
          <cell r="L178" t="str">
            <v>X</v>
          </cell>
          <cell r="M178" t="str">
            <v/>
          </cell>
          <cell r="N178">
            <v>1</v>
          </cell>
          <cell r="O178">
            <v>6.7799999999999996E-3</v>
          </cell>
          <cell r="P178">
            <v>6.78</v>
          </cell>
          <cell r="Q178">
            <v>6.78</v>
          </cell>
          <cell r="R178">
            <v>1000</v>
          </cell>
          <cell r="S178" t="str">
            <v>PCS</v>
          </cell>
          <cell r="T178">
            <v>70</v>
          </cell>
          <cell r="U178" t="str">
            <v>J3</v>
          </cell>
          <cell r="V178" t="str">
            <v>CNY</v>
          </cell>
          <cell r="W178">
            <v>5000</v>
          </cell>
          <cell r="X178">
            <v>5000</v>
          </cell>
        </row>
        <row r="179">
          <cell r="D179">
            <v>10100017409</v>
          </cell>
          <cell r="E179" t="str">
            <v>厚膜贴片电阻器</v>
          </cell>
          <cell r="F179">
            <v>10010302</v>
          </cell>
          <cell r="G179" t="str">
            <v>HKR\RES 100R F 1/4W 1206</v>
          </cell>
          <cell r="H179" t="str">
            <v>HKR(香港电阻)</v>
          </cell>
          <cell r="I179" t="str">
            <v>RCT06100RFLF</v>
          </cell>
          <cell r="J179">
            <v>103166</v>
          </cell>
          <cell r="K179" t="str">
            <v>南充溢辉电子科技有限公司</v>
          </cell>
          <cell r="L179" t="str">
            <v>X</v>
          </cell>
          <cell r="M179" t="str">
            <v/>
          </cell>
          <cell r="N179">
            <v>1</v>
          </cell>
          <cell r="O179">
            <v>5.5999999999999999E-3</v>
          </cell>
          <cell r="P179">
            <v>5.6</v>
          </cell>
          <cell r="Q179">
            <v>5.6</v>
          </cell>
          <cell r="R179">
            <v>1000</v>
          </cell>
          <cell r="S179" t="str">
            <v>PCS</v>
          </cell>
          <cell r="T179">
            <v>42</v>
          </cell>
          <cell r="U179" t="str">
            <v>J3</v>
          </cell>
          <cell r="V179" t="str">
            <v>CNY</v>
          </cell>
          <cell r="W179">
            <v>5000</v>
          </cell>
          <cell r="X179">
            <v>5000</v>
          </cell>
        </row>
        <row r="180">
          <cell r="D180">
            <v>10100017511</v>
          </cell>
          <cell r="E180" t="str">
            <v>厚膜贴片电阻器</v>
          </cell>
          <cell r="F180">
            <v>10010302</v>
          </cell>
          <cell r="G180" t="str">
            <v>HKR\RES 300K F 1/4W 1206</v>
          </cell>
          <cell r="H180" t="str">
            <v>HKR(香港电阻)</v>
          </cell>
          <cell r="I180" t="str">
            <v>RCT06300KFLF</v>
          </cell>
          <cell r="J180">
            <v>103166</v>
          </cell>
          <cell r="K180" t="str">
            <v>南充溢辉电子科技有限公司</v>
          </cell>
          <cell r="L180" t="str">
            <v>X</v>
          </cell>
          <cell r="M180" t="str">
            <v/>
          </cell>
          <cell r="N180">
            <v>1</v>
          </cell>
          <cell r="O180">
            <v>5.5999999999999999E-3</v>
          </cell>
          <cell r="P180">
            <v>5.6</v>
          </cell>
          <cell r="Q180">
            <v>5.6</v>
          </cell>
          <cell r="R180">
            <v>1000</v>
          </cell>
          <cell r="S180" t="str">
            <v>PCS</v>
          </cell>
          <cell r="T180">
            <v>42</v>
          </cell>
          <cell r="U180" t="str">
            <v>J3</v>
          </cell>
          <cell r="V180" t="str">
            <v>CNY</v>
          </cell>
          <cell r="W180">
            <v>5000</v>
          </cell>
          <cell r="X180">
            <v>5000</v>
          </cell>
        </row>
        <row r="181">
          <cell r="D181">
            <v>10100017548</v>
          </cell>
          <cell r="E181" t="str">
            <v>厚膜贴片电阻器</v>
          </cell>
          <cell r="F181">
            <v>10010302</v>
          </cell>
          <cell r="G181" t="str">
            <v>HKR\RES 470R F 1/4W 1206</v>
          </cell>
          <cell r="H181" t="str">
            <v>HKR(香港电阻)</v>
          </cell>
          <cell r="I181" t="str">
            <v>RCT06470RFLF</v>
          </cell>
          <cell r="J181">
            <v>103166</v>
          </cell>
          <cell r="K181" t="str">
            <v>南充溢辉电子科技有限公司</v>
          </cell>
          <cell r="L181" t="str">
            <v>X</v>
          </cell>
          <cell r="M181" t="str">
            <v/>
          </cell>
          <cell r="N181">
            <v>1</v>
          </cell>
          <cell r="O181">
            <v>5.5999999999999999E-3</v>
          </cell>
          <cell r="P181">
            <v>5.6</v>
          </cell>
          <cell r="Q181">
            <v>5.6</v>
          </cell>
          <cell r="R181">
            <v>1000</v>
          </cell>
          <cell r="S181" t="str">
            <v>PCS</v>
          </cell>
          <cell r="T181">
            <v>42</v>
          </cell>
          <cell r="U181" t="str">
            <v>J3</v>
          </cell>
          <cell r="V181" t="str">
            <v>CNY</v>
          </cell>
          <cell r="W181">
            <v>5000</v>
          </cell>
          <cell r="X181">
            <v>5000</v>
          </cell>
        </row>
        <row r="182">
          <cell r="D182">
            <v>10100017551</v>
          </cell>
          <cell r="E182" t="str">
            <v>厚膜贴片电阻器</v>
          </cell>
          <cell r="F182">
            <v>10010302</v>
          </cell>
          <cell r="G182" t="str">
            <v>HKR\RES 47R F 1/4W 1206</v>
          </cell>
          <cell r="H182" t="str">
            <v>HKR(香港电阻)</v>
          </cell>
          <cell r="I182" t="str">
            <v>RCT0647RFLF</v>
          </cell>
          <cell r="J182">
            <v>103166</v>
          </cell>
          <cell r="K182" t="str">
            <v>南充溢辉电子科技有限公司</v>
          </cell>
          <cell r="L182" t="str">
            <v>X</v>
          </cell>
          <cell r="M182" t="str">
            <v/>
          </cell>
          <cell r="N182">
            <v>1</v>
          </cell>
          <cell r="O182">
            <v>5.5999999999999999E-3</v>
          </cell>
          <cell r="P182">
            <v>5.6</v>
          </cell>
          <cell r="Q182">
            <v>5.6</v>
          </cell>
          <cell r="R182">
            <v>1000</v>
          </cell>
          <cell r="S182" t="str">
            <v>PCS</v>
          </cell>
          <cell r="T182">
            <v>35</v>
          </cell>
          <cell r="U182" t="str">
            <v>J3</v>
          </cell>
          <cell r="V182" t="str">
            <v>CNY</v>
          </cell>
          <cell r="W182">
            <v>5000</v>
          </cell>
          <cell r="X182">
            <v>5000</v>
          </cell>
        </row>
        <row r="183">
          <cell r="D183">
            <v>10100017616</v>
          </cell>
          <cell r="E183" t="str">
            <v>厚膜贴片电阻器</v>
          </cell>
          <cell r="F183">
            <v>10010302</v>
          </cell>
          <cell r="G183" t="str">
            <v>HKR\RES 100R F 1/16W 0402</v>
          </cell>
          <cell r="H183" t="str">
            <v>HKR(香港电阻)</v>
          </cell>
          <cell r="I183" t="str">
            <v>RCT02100RFLF</v>
          </cell>
          <cell r="J183">
            <v>103166</v>
          </cell>
          <cell r="K183" t="str">
            <v>南充溢辉电子科技有限公司</v>
          </cell>
          <cell r="L183" t="str">
            <v>X</v>
          </cell>
          <cell r="M183" t="str">
            <v/>
          </cell>
          <cell r="N183">
            <v>1</v>
          </cell>
          <cell r="O183">
            <v>9.7999999999999997E-4</v>
          </cell>
          <cell r="P183">
            <v>0.98</v>
          </cell>
          <cell r="Q183">
            <v>0.98</v>
          </cell>
          <cell r="R183">
            <v>1000</v>
          </cell>
          <cell r="S183" t="str">
            <v>PCS</v>
          </cell>
          <cell r="T183">
            <v>42</v>
          </cell>
          <cell r="U183" t="str">
            <v>J3</v>
          </cell>
          <cell r="V183" t="str">
            <v>CNY</v>
          </cell>
          <cell r="W183">
            <v>10000</v>
          </cell>
          <cell r="X183">
            <v>10000</v>
          </cell>
        </row>
        <row r="184">
          <cell r="D184">
            <v>10100017618</v>
          </cell>
          <cell r="E184" t="str">
            <v>厚膜贴片电阻器</v>
          </cell>
          <cell r="F184">
            <v>10010302</v>
          </cell>
          <cell r="G184" t="str">
            <v>HKR\RES 10K F 1/16W 0402</v>
          </cell>
          <cell r="H184" t="str">
            <v>HKR(香港电阻)</v>
          </cell>
          <cell r="I184" t="str">
            <v>RCT0210KFLF</v>
          </cell>
          <cell r="J184">
            <v>103166</v>
          </cell>
          <cell r="K184" t="str">
            <v>南充溢辉电子科技有限公司</v>
          </cell>
          <cell r="L184" t="str">
            <v>X</v>
          </cell>
          <cell r="M184" t="str">
            <v/>
          </cell>
          <cell r="N184">
            <v>1</v>
          </cell>
          <cell r="O184">
            <v>9.7999999999999997E-4</v>
          </cell>
          <cell r="P184">
            <v>0.98</v>
          </cell>
          <cell r="Q184">
            <v>0.98</v>
          </cell>
          <cell r="R184">
            <v>1000</v>
          </cell>
          <cell r="S184" t="str">
            <v>PCS</v>
          </cell>
          <cell r="T184">
            <v>42</v>
          </cell>
          <cell r="U184" t="str">
            <v>J3</v>
          </cell>
          <cell r="V184" t="str">
            <v>CNY</v>
          </cell>
          <cell r="W184">
            <v>10000</v>
          </cell>
          <cell r="X184">
            <v>10000</v>
          </cell>
        </row>
        <row r="185">
          <cell r="D185">
            <v>10100017642</v>
          </cell>
          <cell r="E185" t="str">
            <v>厚膜贴片电阻器</v>
          </cell>
          <cell r="F185">
            <v>10010302</v>
          </cell>
          <cell r="G185" t="str">
            <v>HKR\RES 1K F 1/16W 0402</v>
          </cell>
          <cell r="H185" t="str">
            <v>HKR(香港电阻)</v>
          </cell>
          <cell r="I185" t="str">
            <v>RCT021KFLF</v>
          </cell>
          <cell r="J185">
            <v>103166</v>
          </cell>
          <cell r="K185" t="str">
            <v>南充溢辉电子科技有限公司</v>
          </cell>
          <cell r="L185" t="str">
            <v>X</v>
          </cell>
          <cell r="M185" t="str">
            <v/>
          </cell>
          <cell r="N185">
            <v>1</v>
          </cell>
          <cell r="O185">
            <v>9.7999999999999997E-4</v>
          </cell>
          <cell r="P185">
            <v>0.98</v>
          </cell>
          <cell r="Q185">
            <v>0.98</v>
          </cell>
          <cell r="R185">
            <v>1000</v>
          </cell>
          <cell r="S185" t="str">
            <v>PCS</v>
          </cell>
          <cell r="T185">
            <v>42</v>
          </cell>
          <cell r="U185" t="str">
            <v>J3</v>
          </cell>
          <cell r="V185" t="str">
            <v>CNY</v>
          </cell>
          <cell r="W185">
            <v>10000</v>
          </cell>
          <cell r="X185">
            <v>10000</v>
          </cell>
        </row>
        <row r="186">
          <cell r="D186">
            <v>10100017664</v>
          </cell>
          <cell r="E186" t="str">
            <v>厚膜贴片电阻器</v>
          </cell>
          <cell r="F186">
            <v>10010302</v>
          </cell>
          <cell r="G186" t="str">
            <v>HKR\RES 22K F 1/16W 0402</v>
          </cell>
          <cell r="H186" t="str">
            <v>HKR(香港电阻)</v>
          </cell>
          <cell r="I186" t="str">
            <v>RCT0222KFLF</v>
          </cell>
          <cell r="J186">
            <v>103166</v>
          </cell>
          <cell r="K186" t="str">
            <v>南充溢辉电子科技有限公司</v>
          </cell>
          <cell r="L186" t="str">
            <v>X</v>
          </cell>
          <cell r="M186" t="str">
            <v/>
          </cell>
          <cell r="N186">
            <v>1</v>
          </cell>
          <cell r="O186">
            <v>9.7999999999999997E-4</v>
          </cell>
          <cell r="P186">
            <v>0.98</v>
          </cell>
          <cell r="Q186">
            <v>0.98</v>
          </cell>
          <cell r="R186">
            <v>1000</v>
          </cell>
          <cell r="S186" t="str">
            <v>PCS</v>
          </cell>
          <cell r="T186">
            <v>42</v>
          </cell>
          <cell r="U186" t="str">
            <v>J3</v>
          </cell>
          <cell r="V186" t="str">
            <v>CNY</v>
          </cell>
          <cell r="W186">
            <v>10000</v>
          </cell>
          <cell r="X186">
            <v>10000</v>
          </cell>
        </row>
        <row r="187">
          <cell r="D187">
            <v>10100017679</v>
          </cell>
          <cell r="E187" t="str">
            <v>厚膜贴片电阻器</v>
          </cell>
          <cell r="F187">
            <v>10010302</v>
          </cell>
          <cell r="G187" t="str">
            <v>HKR\RES 2K F 1/16W 0402</v>
          </cell>
          <cell r="H187" t="str">
            <v>HKR(香港电阻)</v>
          </cell>
          <cell r="I187" t="str">
            <v>RCT022KFLF</v>
          </cell>
          <cell r="J187">
            <v>103166</v>
          </cell>
          <cell r="K187" t="str">
            <v>南充溢辉电子科技有限公司</v>
          </cell>
          <cell r="L187" t="str">
            <v>X</v>
          </cell>
          <cell r="M187" t="str">
            <v/>
          </cell>
          <cell r="N187">
            <v>1</v>
          </cell>
          <cell r="O187">
            <v>9.7999999999999997E-4</v>
          </cell>
          <cell r="P187">
            <v>0.98</v>
          </cell>
          <cell r="Q187">
            <v>0.98</v>
          </cell>
          <cell r="R187">
            <v>1000</v>
          </cell>
          <cell r="S187" t="str">
            <v>PCS</v>
          </cell>
          <cell r="T187">
            <v>42</v>
          </cell>
          <cell r="U187" t="str">
            <v>J3</v>
          </cell>
          <cell r="V187" t="str">
            <v>CNY</v>
          </cell>
          <cell r="W187">
            <v>10000</v>
          </cell>
          <cell r="X187">
            <v>10000</v>
          </cell>
        </row>
        <row r="188">
          <cell r="D188">
            <v>10100017738</v>
          </cell>
          <cell r="E188" t="str">
            <v>厚膜贴片电阻器</v>
          </cell>
          <cell r="F188">
            <v>10010302</v>
          </cell>
          <cell r="G188" t="str">
            <v>HKR\RES 5.1K F 1/16W 0402</v>
          </cell>
          <cell r="H188" t="str">
            <v>HKR(香港电阻)</v>
          </cell>
          <cell r="I188" t="str">
            <v>RCT025K1FLF</v>
          </cell>
          <cell r="J188">
            <v>103166</v>
          </cell>
          <cell r="K188" t="str">
            <v>南充溢辉电子科技有限公司</v>
          </cell>
          <cell r="L188" t="str">
            <v>X</v>
          </cell>
          <cell r="M188" t="str">
            <v/>
          </cell>
          <cell r="N188">
            <v>1</v>
          </cell>
          <cell r="O188">
            <v>9.7999999999999997E-4</v>
          </cell>
          <cell r="P188">
            <v>0.98</v>
          </cell>
          <cell r="Q188">
            <v>0.98</v>
          </cell>
          <cell r="R188">
            <v>1000</v>
          </cell>
          <cell r="S188" t="str">
            <v>PCS</v>
          </cell>
          <cell r="T188">
            <v>42</v>
          </cell>
          <cell r="U188" t="str">
            <v>J3</v>
          </cell>
          <cell r="V188" t="str">
            <v>CNY</v>
          </cell>
          <cell r="W188">
            <v>10000</v>
          </cell>
          <cell r="X188">
            <v>10000</v>
          </cell>
        </row>
        <row r="189">
          <cell r="D189">
            <v>10100017764</v>
          </cell>
          <cell r="E189" t="str">
            <v>厚膜贴片电阻器</v>
          </cell>
          <cell r="F189">
            <v>10010302</v>
          </cell>
          <cell r="G189" t="str">
            <v>HKR\RES 9.1K F 1/16W 0402</v>
          </cell>
          <cell r="H189" t="str">
            <v>HKR(香港电阻)</v>
          </cell>
          <cell r="I189" t="str">
            <v>RCT029K1FLF</v>
          </cell>
          <cell r="J189">
            <v>103166</v>
          </cell>
          <cell r="K189" t="str">
            <v>南充溢辉电子科技有限公司</v>
          </cell>
          <cell r="L189" t="str">
            <v>X</v>
          </cell>
          <cell r="M189" t="str">
            <v/>
          </cell>
          <cell r="N189">
            <v>1</v>
          </cell>
          <cell r="O189">
            <v>9.7999999999999997E-4</v>
          </cell>
          <cell r="P189">
            <v>0.98</v>
          </cell>
          <cell r="Q189">
            <v>0.98</v>
          </cell>
          <cell r="R189">
            <v>1000</v>
          </cell>
          <cell r="S189" t="str">
            <v>PCS</v>
          </cell>
          <cell r="T189">
            <v>42</v>
          </cell>
          <cell r="U189" t="str">
            <v>J3</v>
          </cell>
          <cell r="V189" t="str">
            <v>CNY</v>
          </cell>
          <cell r="W189">
            <v>10000</v>
          </cell>
          <cell r="X189">
            <v>10000</v>
          </cell>
        </row>
        <row r="190">
          <cell r="D190">
            <v>10100017881</v>
          </cell>
          <cell r="E190" t="str">
            <v>厚膜贴片电阻器</v>
          </cell>
          <cell r="F190">
            <v>10010302</v>
          </cell>
          <cell r="G190" t="str">
            <v>HKR\RES 2.2K F 1/10W 0603</v>
          </cell>
          <cell r="H190" t="str">
            <v>HKR(香港电阻)</v>
          </cell>
          <cell r="I190" t="str">
            <v>RCT032K2FLF</v>
          </cell>
          <cell r="J190">
            <v>103166</v>
          </cell>
          <cell r="K190" t="str">
            <v>南充溢辉电子科技有限公司</v>
          </cell>
          <cell r="L190" t="str">
            <v>X</v>
          </cell>
          <cell r="M190" t="str">
            <v/>
          </cell>
          <cell r="N190">
            <v>1</v>
          </cell>
          <cell r="O190">
            <v>1.8500000000000001E-3</v>
          </cell>
          <cell r="P190">
            <v>1.85</v>
          </cell>
          <cell r="Q190">
            <v>1.85</v>
          </cell>
          <cell r="R190">
            <v>1000</v>
          </cell>
          <cell r="S190" t="str">
            <v>PCS</v>
          </cell>
          <cell r="T190">
            <v>42</v>
          </cell>
          <cell r="U190" t="str">
            <v>J3</v>
          </cell>
          <cell r="V190" t="str">
            <v>CNY</v>
          </cell>
          <cell r="W190">
            <v>5000</v>
          </cell>
          <cell r="X190">
            <v>5000</v>
          </cell>
        </row>
        <row r="191">
          <cell r="D191">
            <v>10100017970</v>
          </cell>
          <cell r="E191" t="str">
            <v>厚膜贴片电阻器</v>
          </cell>
          <cell r="F191">
            <v>10010302</v>
          </cell>
          <cell r="G191" t="str">
            <v>HKR\RES 4.7K F 1/10W 0603</v>
          </cell>
          <cell r="H191" t="str">
            <v>HKR(香港电阻)</v>
          </cell>
          <cell r="I191" t="str">
            <v>RCT034K7FLF</v>
          </cell>
          <cell r="J191">
            <v>103166</v>
          </cell>
          <cell r="K191" t="str">
            <v>南充溢辉电子科技有限公司</v>
          </cell>
          <cell r="L191" t="str">
            <v>X</v>
          </cell>
          <cell r="M191" t="str">
            <v/>
          </cell>
          <cell r="N191">
            <v>1</v>
          </cell>
          <cell r="O191">
            <v>1.8500000000000001E-3</v>
          </cell>
          <cell r="P191">
            <v>1.85</v>
          </cell>
          <cell r="Q191">
            <v>1.85</v>
          </cell>
          <cell r="R191">
            <v>1000</v>
          </cell>
          <cell r="S191" t="str">
            <v>PCS</v>
          </cell>
          <cell r="T191">
            <v>42</v>
          </cell>
          <cell r="U191" t="str">
            <v>J3</v>
          </cell>
          <cell r="V191" t="str">
            <v>CNY</v>
          </cell>
          <cell r="W191">
            <v>5000</v>
          </cell>
          <cell r="X191">
            <v>5000</v>
          </cell>
        </row>
        <row r="192">
          <cell r="D192">
            <v>10100018011</v>
          </cell>
          <cell r="E192" t="str">
            <v>厚膜贴片电阻器</v>
          </cell>
          <cell r="F192">
            <v>10010302</v>
          </cell>
          <cell r="G192" t="str">
            <v>HKR\RES 68K F 1/10W 0603</v>
          </cell>
          <cell r="H192" t="str">
            <v>HKR(香港电阻)</v>
          </cell>
          <cell r="I192" t="str">
            <v>RCT0368KFLF</v>
          </cell>
          <cell r="J192">
            <v>103166</v>
          </cell>
          <cell r="K192" t="str">
            <v>南充溢辉电子科技有限公司</v>
          </cell>
          <cell r="L192" t="str">
            <v>X</v>
          </cell>
          <cell r="M192" t="str">
            <v/>
          </cell>
          <cell r="N192">
            <v>1</v>
          </cell>
          <cell r="O192">
            <v>1.8500000000000001E-3</v>
          </cell>
          <cell r="P192">
            <v>1.85</v>
          </cell>
          <cell r="Q192">
            <v>1.85</v>
          </cell>
          <cell r="R192">
            <v>1000</v>
          </cell>
          <cell r="S192" t="str">
            <v>PCS</v>
          </cell>
          <cell r="T192">
            <v>42</v>
          </cell>
          <cell r="U192" t="str">
            <v>J3</v>
          </cell>
          <cell r="V192" t="str">
            <v>CNY</v>
          </cell>
          <cell r="W192">
            <v>5000</v>
          </cell>
          <cell r="X192">
            <v>5000</v>
          </cell>
        </row>
        <row r="193">
          <cell r="D193">
            <v>10100018109</v>
          </cell>
          <cell r="E193" t="str">
            <v>厚膜贴片电阻器</v>
          </cell>
          <cell r="F193">
            <v>10010302</v>
          </cell>
          <cell r="G193" t="str">
            <v>HKR\RES 1K F 1/8W 0805</v>
          </cell>
          <cell r="H193" t="str">
            <v>HKR(香港电阻)</v>
          </cell>
          <cell r="I193" t="str">
            <v>RCT051KFLF</v>
          </cell>
          <cell r="J193">
            <v>103166</v>
          </cell>
          <cell r="K193" t="str">
            <v>南充溢辉电子科技有限公司</v>
          </cell>
          <cell r="L193" t="str">
            <v>X</v>
          </cell>
          <cell r="M193" t="str">
            <v/>
          </cell>
          <cell r="N193">
            <v>1</v>
          </cell>
          <cell r="O193">
            <v>3.3500000000000001E-3</v>
          </cell>
          <cell r="P193">
            <v>3.35</v>
          </cell>
          <cell r="Q193">
            <v>3.35</v>
          </cell>
          <cell r="R193">
            <v>1000</v>
          </cell>
          <cell r="S193" t="str">
            <v>PCS</v>
          </cell>
          <cell r="T193">
            <v>42</v>
          </cell>
          <cell r="U193" t="str">
            <v>J3</v>
          </cell>
          <cell r="V193" t="str">
            <v>CNY</v>
          </cell>
          <cell r="W193">
            <v>5000</v>
          </cell>
          <cell r="X193">
            <v>5000</v>
          </cell>
        </row>
        <row r="194">
          <cell r="D194">
            <v>10100018253</v>
          </cell>
          <cell r="E194" t="str">
            <v>厚膜贴片电阻器</v>
          </cell>
          <cell r="F194">
            <v>10010302</v>
          </cell>
          <cell r="G194" t="str">
            <v>HKR\RES 5.1K F 1/8W 0805</v>
          </cell>
          <cell r="H194" t="str">
            <v>HKR(香港电阻)</v>
          </cell>
          <cell r="I194" t="str">
            <v>RCT055K1FLF</v>
          </cell>
          <cell r="J194">
            <v>103166</v>
          </cell>
          <cell r="K194" t="str">
            <v>南充溢辉电子科技有限公司</v>
          </cell>
          <cell r="L194" t="str">
            <v>X</v>
          </cell>
          <cell r="M194" t="str">
            <v/>
          </cell>
          <cell r="N194">
            <v>1</v>
          </cell>
          <cell r="O194">
            <v>3.3500000000000001E-3</v>
          </cell>
          <cell r="P194">
            <v>3.35</v>
          </cell>
          <cell r="Q194">
            <v>3.35</v>
          </cell>
          <cell r="R194">
            <v>1000</v>
          </cell>
          <cell r="S194" t="str">
            <v>PCS</v>
          </cell>
          <cell r="T194">
            <v>42</v>
          </cell>
          <cell r="U194" t="str">
            <v>J3</v>
          </cell>
          <cell r="V194" t="str">
            <v>CNY</v>
          </cell>
          <cell r="W194">
            <v>5000</v>
          </cell>
          <cell r="X194">
            <v>5000</v>
          </cell>
        </row>
        <row r="195">
          <cell r="D195">
            <v>10100026554</v>
          </cell>
          <cell r="E195" t="str">
            <v>厚膜贴片电阻器</v>
          </cell>
          <cell r="F195">
            <v>10010302</v>
          </cell>
          <cell r="G195" t="str">
            <v>FH\RES 300K F 1/4W 1206</v>
          </cell>
          <cell r="H195" t="str">
            <v>FH(风华)</v>
          </cell>
          <cell r="I195" t="str">
            <v>RS-06K3003FT</v>
          </cell>
          <cell r="J195">
            <v>100654</v>
          </cell>
          <cell r="K195" t="str">
            <v>广东风华高新科技股份有限公司</v>
          </cell>
          <cell r="L195" t="str">
            <v>X</v>
          </cell>
          <cell r="M195" t="str">
            <v/>
          </cell>
          <cell r="N195">
            <v>1</v>
          </cell>
          <cell r="O195">
            <v>6.3699999999999998E-3</v>
          </cell>
          <cell r="P195">
            <v>6.37</v>
          </cell>
          <cell r="Q195">
            <v>6.37</v>
          </cell>
          <cell r="R195">
            <v>1000</v>
          </cell>
          <cell r="S195" t="str">
            <v>PCS</v>
          </cell>
          <cell r="T195">
            <v>42</v>
          </cell>
          <cell r="U195" t="str">
            <v>J3</v>
          </cell>
          <cell r="V195" t="str">
            <v>CNY</v>
          </cell>
          <cell r="W195">
            <v>5000</v>
          </cell>
          <cell r="X195">
            <v>5000</v>
          </cell>
        </row>
        <row r="196">
          <cell r="D196">
            <v>10110003896</v>
          </cell>
          <cell r="E196" t="str">
            <v>贴片陶瓷电容器</v>
          </cell>
          <cell r="F196">
            <v>11060201</v>
          </cell>
          <cell r="G196" t="str">
            <v>YAGEO\CAP Cer 1nF K X7R 50VDC 0402</v>
          </cell>
          <cell r="H196" t="str">
            <v>YAGEO(国巨)</v>
          </cell>
          <cell r="I196" t="str">
            <v>CC0402KRX7R9BB102</v>
          </cell>
          <cell r="J196">
            <v>101553</v>
          </cell>
          <cell r="K196" t="str">
            <v>深圳市奥特高科电子有限公司</v>
          </cell>
          <cell r="L196" t="str">
            <v>X</v>
          </cell>
          <cell r="M196" t="str">
            <v/>
          </cell>
          <cell r="N196">
            <v>1</v>
          </cell>
          <cell r="O196">
            <v>2.3E-3</v>
          </cell>
          <cell r="P196">
            <v>2.2999999999999998</v>
          </cell>
          <cell r="Q196">
            <v>2.2999999999999998</v>
          </cell>
          <cell r="R196">
            <v>1000</v>
          </cell>
          <cell r="S196" t="str">
            <v>PCS</v>
          </cell>
          <cell r="T196">
            <v>56</v>
          </cell>
          <cell r="U196" t="str">
            <v>J3</v>
          </cell>
          <cell r="V196" t="str">
            <v>CNY</v>
          </cell>
          <cell r="W196">
            <v>10000</v>
          </cell>
          <cell r="X196">
            <v>10000</v>
          </cell>
        </row>
        <row r="197">
          <cell r="D197">
            <v>10110003897</v>
          </cell>
          <cell r="E197" t="str">
            <v>贴片陶瓷电容器</v>
          </cell>
          <cell r="F197">
            <v>11060201</v>
          </cell>
          <cell r="G197" t="str">
            <v>YAGEO\CAP Cer 10nF K X7R 50VDC 0402</v>
          </cell>
          <cell r="H197" t="str">
            <v>YAGEO(国巨)</v>
          </cell>
          <cell r="I197" t="str">
            <v>CC0402KRX7R9BB103</v>
          </cell>
          <cell r="J197">
            <v>101553</v>
          </cell>
          <cell r="K197" t="str">
            <v>深圳市奥特高科电子有限公司</v>
          </cell>
          <cell r="L197" t="str">
            <v>X</v>
          </cell>
          <cell r="M197" t="str">
            <v/>
          </cell>
          <cell r="N197">
            <v>1</v>
          </cell>
          <cell r="O197">
            <v>2.2000000000000001E-3</v>
          </cell>
          <cell r="P197">
            <v>2.2000000000000002</v>
          </cell>
          <cell r="Q197">
            <v>2.2000000000000002</v>
          </cell>
          <cell r="R197">
            <v>1000</v>
          </cell>
          <cell r="S197" t="str">
            <v>PCS</v>
          </cell>
          <cell r="T197">
            <v>56</v>
          </cell>
          <cell r="U197" t="str">
            <v>J3</v>
          </cell>
          <cell r="V197" t="str">
            <v>CNY</v>
          </cell>
          <cell r="W197">
            <v>10000</v>
          </cell>
          <cell r="X197">
            <v>10000</v>
          </cell>
        </row>
        <row r="198">
          <cell r="D198">
            <v>10110004676</v>
          </cell>
          <cell r="E198" t="str">
            <v>贴片陶瓷电容器</v>
          </cell>
          <cell r="F198">
            <v>11060201</v>
          </cell>
          <cell r="G198" t="str">
            <v>WALS\CAP Cer 10nF K X7R 50VDC 0402</v>
          </cell>
          <cell r="H198" t="str">
            <v>WALS(华科)</v>
          </cell>
          <cell r="I198" t="str">
            <v>0402B103K500CT</v>
          </cell>
          <cell r="J198">
            <v>100131</v>
          </cell>
          <cell r="K198" t="str">
            <v>东莞华科电子有限公司</v>
          </cell>
          <cell r="L198" t="str">
            <v>X</v>
          </cell>
          <cell r="M198" t="str">
            <v/>
          </cell>
          <cell r="N198">
            <v>1</v>
          </cell>
          <cell r="O198">
            <v>1.98E-3</v>
          </cell>
          <cell r="P198">
            <v>1.98</v>
          </cell>
          <cell r="Q198">
            <v>1.98</v>
          </cell>
          <cell r="R198">
            <v>1000</v>
          </cell>
          <cell r="S198" t="str">
            <v>PCS</v>
          </cell>
          <cell r="T198">
            <v>56</v>
          </cell>
          <cell r="U198" t="str">
            <v>J3</v>
          </cell>
          <cell r="V198" t="str">
            <v>CNY</v>
          </cell>
          <cell r="W198">
            <v>10000</v>
          </cell>
          <cell r="X198">
            <v>10000</v>
          </cell>
        </row>
        <row r="199">
          <cell r="D199">
            <v>10110005377</v>
          </cell>
          <cell r="E199" t="str">
            <v>贴片陶瓷电容器</v>
          </cell>
          <cell r="F199">
            <v>11060201</v>
          </cell>
          <cell r="G199" t="str">
            <v>WALS\CAP Cer 100pF K X7R 50VDC 0402</v>
          </cell>
          <cell r="H199" t="str">
            <v>WALS(华科)</v>
          </cell>
          <cell r="I199" t="str">
            <v>0402B101K500CT</v>
          </cell>
          <cell r="J199">
            <v>101751</v>
          </cell>
          <cell r="K199" t="str">
            <v>深圳市巨新科电子有限公司</v>
          </cell>
          <cell r="L199" t="str">
            <v>X</v>
          </cell>
          <cell r="M199" t="str">
            <v/>
          </cell>
          <cell r="N199">
            <v>1</v>
          </cell>
          <cell r="O199">
            <v>2.98E-3</v>
          </cell>
          <cell r="P199">
            <v>2.98</v>
          </cell>
          <cell r="Q199">
            <v>2.98</v>
          </cell>
          <cell r="R199">
            <v>1000</v>
          </cell>
          <cell r="S199" t="str">
            <v>PCS</v>
          </cell>
          <cell r="T199">
            <v>90</v>
          </cell>
          <cell r="U199" t="str">
            <v>J3</v>
          </cell>
          <cell r="V199" t="str">
            <v>CNY</v>
          </cell>
          <cell r="W199">
            <v>10000</v>
          </cell>
          <cell r="X199">
            <v>10000</v>
          </cell>
        </row>
        <row r="200">
          <cell r="D200">
            <v>10110005378</v>
          </cell>
          <cell r="E200" t="str">
            <v>贴片陶瓷电容器</v>
          </cell>
          <cell r="F200">
            <v>11060201</v>
          </cell>
          <cell r="G200" t="str">
            <v>YAGEO\CAP Cer 100pF K X7R 50VDC 0402</v>
          </cell>
          <cell r="H200" t="str">
            <v>YAGEO(国巨)</v>
          </cell>
          <cell r="I200" t="str">
            <v>CC0402KRX7R9BB101</v>
          </cell>
          <cell r="J200">
            <v>100621</v>
          </cell>
          <cell r="K200" t="str">
            <v>深圳市吉利通电子有限公司</v>
          </cell>
          <cell r="L200" t="str">
            <v>X</v>
          </cell>
          <cell r="M200" t="str">
            <v/>
          </cell>
          <cell r="N200">
            <v>1</v>
          </cell>
          <cell r="O200">
            <v>2.3999999999999998E-3</v>
          </cell>
          <cell r="P200">
            <v>2.4</v>
          </cell>
          <cell r="Q200">
            <v>2.4</v>
          </cell>
          <cell r="R200">
            <v>1000</v>
          </cell>
          <cell r="S200" t="str">
            <v>PCS</v>
          </cell>
          <cell r="T200">
            <v>56</v>
          </cell>
          <cell r="U200" t="str">
            <v>J3</v>
          </cell>
          <cell r="V200" t="str">
            <v>CNY</v>
          </cell>
          <cell r="W200">
            <v>10000</v>
          </cell>
          <cell r="X200">
            <v>10000</v>
          </cell>
        </row>
        <row r="201">
          <cell r="D201">
            <v>10110005817</v>
          </cell>
          <cell r="E201" t="str">
            <v>贴片陶瓷电容器</v>
          </cell>
          <cell r="F201">
            <v>11060201</v>
          </cell>
          <cell r="G201" t="str">
            <v>WALS\CAP Cer 1nF K X7R 50VDC 0402</v>
          </cell>
          <cell r="H201" t="str">
            <v>WALS(华科)</v>
          </cell>
          <cell r="I201" t="str">
            <v>0402B102K500CT</v>
          </cell>
          <cell r="J201">
            <v>100131</v>
          </cell>
          <cell r="K201" t="str">
            <v>东莞华科电子有限公司</v>
          </cell>
          <cell r="L201" t="str">
            <v>X</v>
          </cell>
          <cell r="M201" t="str">
            <v/>
          </cell>
          <cell r="N201">
            <v>1</v>
          </cell>
          <cell r="O201">
            <v>1.98E-3</v>
          </cell>
          <cell r="P201">
            <v>1.98</v>
          </cell>
          <cell r="Q201">
            <v>1.98</v>
          </cell>
          <cell r="R201">
            <v>1000</v>
          </cell>
          <cell r="S201" t="str">
            <v>PCS</v>
          </cell>
          <cell r="T201">
            <v>56</v>
          </cell>
          <cell r="U201" t="str">
            <v>J3</v>
          </cell>
          <cell r="V201" t="str">
            <v>CNY</v>
          </cell>
          <cell r="W201">
            <v>10000</v>
          </cell>
          <cell r="X201">
            <v>10000</v>
          </cell>
        </row>
        <row r="202">
          <cell r="D202">
            <v>10110006771</v>
          </cell>
          <cell r="E202" t="str">
            <v>贴片陶瓷电容器</v>
          </cell>
          <cell r="F202">
            <v>11060201</v>
          </cell>
          <cell r="G202" t="str">
            <v>YAGEO\CAP Cer 100nF K X7R 50VDC 0402</v>
          </cell>
          <cell r="H202" t="str">
            <v>YAGEO(国巨)</v>
          </cell>
          <cell r="I202" t="str">
            <v>CC0402KRX7R9BB104</v>
          </cell>
          <cell r="J202">
            <v>101553</v>
          </cell>
          <cell r="K202" t="str">
            <v>深圳市奥特高科电子有限公司</v>
          </cell>
          <cell r="L202" t="str">
            <v>X</v>
          </cell>
          <cell r="M202" t="str">
            <v/>
          </cell>
          <cell r="N202">
            <v>1</v>
          </cell>
          <cell r="O202">
            <v>4.9500000000000004E-3</v>
          </cell>
          <cell r="P202">
            <v>4.95</v>
          </cell>
          <cell r="Q202">
            <v>4.95</v>
          </cell>
          <cell r="R202">
            <v>1000</v>
          </cell>
          <cell r="S202" t="str">
            <v>PCS</v>
          </cell>
          <cell r="T202">
            <v>56</v>
          </cell>
          <cell r="U202" t="str">
            <v>J3</v>
          </cell>
          <cell r="V202" t="str">
            <v>CNY</v>
          </cell>
          <cell r="W202">
            <v>10000</v>
          </cell>
          <cell r="X202">
            <v>10000</v>
          </cell>
        </row>
        <row r="203">
          <cell r="D203">
            <v>10110007139</v>
          </cell>
          <cell r="E203" t="str">
            <v>贴片陶瓷电容器</v>
          </cell>
          <cell r="F203">
            <v>11060201</v>
          </cell>
          <cell r="G203" t="str">
            <v>SAMS\CAP Cer 10nF K X7R 50VDC 0402</v>
          </cell>
          <cell r="H203" t="str">
            <v>SAMSUNG(三星)</v>
          </cell>
          <cell r="I203" t="str">
            <v>CL05B103KB5NNNC</v>
          </cell>
          <cell r="J203">
            <v>100599</v>
          </cell>
          <cell r="K203" t="str">
            <v>深圳市天河星供应链有限公司</v>
          </cell>
          <cell r="L203" t="str">
            <v>X</v>
          </cell>
          <cell r="M203" t="str">
            <v/>
          </cell>
          <cell r="N203">
            <v>1</v>
          </cell>
          <cell r="O203">
            <v>2.2000000000000001E-3</v>
          </cell>
          <cell r="P203">
            <v>2.2000000000000002</v>
          </cell>
          <cell r="Q203">
            <v>2.2000000000000002</v>
          </cell>
          <cell r="R203">
            <v>1000</v>
          </cell>
          <cell r="S203" t="str">
            <v>PCS</v>
          </cell>
          <cell r="T203">
            <v>56</v>
          </cell>
          <cell r="U203" t="str">
            <v>J3</v>
          </cell>
          <cell r="V203" t="str">
            <v>CNY</v>
          </cell>
          <cell r="W203">
            <v>10000</v>
          </cell>
          <cell r="X203">
            <v>10000</v>
          </cell>
        </row>
        <row r="204">
          <cell r="D204">
            <v>10110007822</v>
          </cell>
          <cell r="E204" t="str">
            <v>贴片陶瓷电容器</v>
          </cell>
          <cell r="F204">
            <v>11060201</v>
          </cell>
          <cell r="G204" t="str">
            <v>SAMS\CAP Cer 1nF K X7R 50VDC 0402</v>
          </cell>
          <cell r="H204" t="str">
            <v>SAMSUNG(三星)</v>
          </cell>
          <cell r="I204" t="str">
            <v>CL05B102KB5NNNC</v>
          </cell>
          <cell r="J204">
            <v>101957</v>
          </cell>
          <cell r="K204" t="str">
            <v>广东顺德集财电子有限公司</v>
          </cell>
          <cell r="L204" t="str">
            <v>X</v>
          </cell>
          <cell r="M204" t="str">
            <v/>
          </cell>
          <cell r="N204">
            <v>1</v>
          </cell>
          <cell r="O204">
            <v>2.3999999999999998E-3</v>
          </cell>
          <cell r="P204">
            <v>2.4</v>
          </cell>
          <cell r="Q204">
            <v>2.4</v>
          </cell>
          <cell r="R204">
            <v>1000</v>
          </cell>
          <cell r="S204" t="str">
            <v>PCS</v>
          </cell>
          <cell r="T204">
            <v>56</v>
          </cell>
          <cell r="U204" t="str">
            <v>J3</v>
          </cell>
          <cell r="V204" t="str">
            <v>CNY</v>
          </cell>
          <cell r="W204">
            <v>10000</v>
          </cell>
          <cell r="X204">
            <v>10000</v>
          </cell>
        </row>
        <row r="205">
          <cell r="D205">
            <v>10110008257</v>
          </cell>
          <cell r="E205" t="str">
            <v>贴片陶瓷电容器</v>
          </cell>
          <cell r="F205">
            <v>11060201</v>
          </cell>
          <cell r="G205" t="str">
            <v>WALS\CAP Cer 100nF K X7R 50VDC 0402</v>
          </cell>
          <cell r="H205" t="str">
            <v>WALS(华科)</v>
          </cell>
          <cell r="I205" t="str">
            <v>0402B104K500CT</v>
          </cell>
          <cell r="J205">
            <v>101957</v>
          </cell>
          <cell r="K205" t="str">
            <v>广东顺德集财电子有限公司</v>
          </cell>
          <cell r="L205" t="str">
            <v>X</v>
          </cell>
          <cell r="M205" t="str">
            <v/>
          </cell>
          <cell r="N205">
            <v>1</v>
          </cell>
          <cell r="O205">
            <v>4.62E-3</v>
          </cell>
          <cell r="P205">
            <v>4.62</v>
          </cell>
          <cell r="Q205">
            <v>4.62</v>
          </cell>
          <cell r="R205">
            <v>1000</v>
          </cell>
          <cell r="S205" t="str">
            <v>PCS</v>
          </cell>
          <cell r="T205">
            <v>56</v>
          </cell>
          <cell r="U205" t="str">
            <v>J3</v>
          </cell>
          <cell r="V205" t="str">
            <v>CNY</v>
          </cell>
          <cell r="W205">
            <v>10000</v>
          </cell>
          <cell r="X205">
            <v>10000</v>
          </cell>
        </row>
        <row r="206">
          <cell r="D206">
            <v>10110008724</v>
          </cell>
          <cell r="E206" t="str">
            <v>贴片陶瓷电容器</v>
          </cell>
          <cell r="F206">
            <v>11060201</v>
          </cell>
          <cell r="G206" t="str">
            <v>FH\CAP Cer 100nF K X7R 50VDC 0402</v>
          </cell>
          <cell r="H206" t="str">
            <v>FH(风华)</v>
          </cell>
          <cell r="I206" t="str">
            <v>0402B104K500NT</v>
          </cell>
          <cell r="J206">
            <v>101957</v>
          </cell>
          <cell r="K206" t="str">
            <v>广东顺德集财电子有限公司</v>
          </cell>
          <cell r="L206" t="str">
            <v>X</v>
          </cell>
          <cell r="M206" t="str">
            <v/>
          </cell>
          <cell r="N206">
            <v>1</v>
          </cell>
          <cell r="O206">
            <v>4.1000000000000003E-3</v>
          </cell>
          <cell r="P206">
            <v>4.0999999999999996</v>
          </cell>
          <cell r="Q206">
            <v>4.0999999999999996</v>
          </cell>
          <cell r="R206">
            <v>1000</v>
          </cell>
          <cell r="S206" t="str">
            <v>PCS</v>
          </cell>
          <cell r="T206">
            <v>56</v>
          </cell>
          <cell r="U206" t="str">
            <v>J3</v>
          </cell>
          <cell r="V206" t="str">
            <v>CNY</v>
          </cell>
          <cell r="W206">
            <v>10000</v>
          </cell>
          <cell r="X206">
            <v>10000</v>
          </cell>
        </row>
        <row r="207">
          <cell r="D207">
            <v>10110008726</v>
          </cell>
          <cell r="E207" t="str">
            <v>贴片陶瓷电容器</v>
          </cell>
          <cell r="F207">
            <v>11060201</v>
          </cell>
          <cell r="G207" t="str">
            <v>FH\CAP Cer 100pF K X7R 50VDC 0402</v>
          </cell>
          <cell r="H207" t="str">
            <v>FH(风华)</v>
          </cell>
          <cell r="I207" t="str">
            <v>0402B101K500NT</v>
          </cell>
          <cell r="J207">
            <v>100599</v>
          </cell>
          <cell r="K207" t="str">
            <v>深圳市天河星供应链有限公司</v>
          </cell>
          <cell r="L207" t="str">
            <v>X</v>
          </cell>
          <cell r="M207" t="str">
            <v/>
          </cell>
          <cell r="N207">
            <v>1</v>
          </cell>
          <cell r="O207">
            <v>2.2000000000000001E-3</v>
          </cell>
          <cell r="P207">
            <v>2.2000000000000002</v>
          </cell>
          <cell r="Q207">
            <v>2.2000000000000002</v>
          </cell>
          <cell r="R207">
            <v>1000</v>
          </cell>
          <cell r="S207" t="str">
            <v>PCS</v>
          </cell>
          <cell r="T207">
            <v>84</v>
          </cell>
          <cell r="U207" t="str">
            <v>J3</v>
          </cell>
          <cell r="V207" t="str">
            <v>CNY</v>
          </cell>
          <cell r="W207">
            <v>10000</v>
          </cell>
          <cell r="X207">
            <v>10000</v>
          </cell>
        </row>
        <row r="208">
          <cell r="D208">
            <v>10110008729</v>
          </cell>
          <cell r="E208" t="str">
            <v>贴片陶瓷电容器</v>
          </cell>
          <cell r="F208">
            <v>11060201</v>
          </cell>
          <cell r="G208" t="str">
            <v>FH\CAP Cer 10nF K X7R 50VDC 0402</v>
          </cell>
          <cell r="H208" t="str">
            <v>FH(风华)</v>
          </cell>
          <cell r="I208" t="str">
            <v>0402B103K500NT</v>
          </cell>
          <cell r="J208">
            <v>100654</v>
          </cell>
          <cell r="K208" t="str">
            <v>广东风华高新科技股份有限公司</v>
          </cell>
          <cell r="L208" t="str">
            <v>X</v>
          </cell>
          <cell r="M208" t="str">
            <v/>
          </cell>
          <cell r="N208">
            <v>1</v>
          </cell>
          <cell r="O208">
            <v>2.0999999999999999E-3</v>
          </cell>
          <cell r="P208">
            <v>2.1</v>
          </cell>
          <cell r="Q208">
            <v>2.1</v>
          </cell>
          <cell r="R208">
            <v>1000</v>
          </cell>
          <cell r="S208" t="str">
            <v>PCS</v>
          </cell>
          <cell r="T208">
            <v>56</v>
          </cell>
          <cell r="U208" t="str">
            <v>J3</v>
          </cell>
          <cell r="V208" t="str">
            <v>CNY</v>
          </cell>
          <cell r="W208">
            <v>10000</v>
          </cell>
          <cell r="X208">
            <v>10000</v>
          </cell>
        </row>
        <row r="209">
          <cell r="D209">
            <v>10110008734</v>
          </cell>
          <cell r="E209" t="str">
            <v>贴片陶瓷电容器</v>
          </cell>
          <cell r="F209">
            <v>11060201</v>
          </cell>
          <cell r="G209" t="str">
            <v>FH\CAP Cer 1nF K X7R 50VDC 0402</v>
          </cell>
          <cell r="H209" t="str">
            <v>FH(风华)</v>
          </cell>
          <cell r="I209" t="str">
            <v>0402B102K500NT</v>
          </cell>
          <cell r="J209">
            <v>100654</v>
          </cell>
          <cell r="K209" t="str">
            <v>广东风华高新科技股份有限公司</v>
          </cell>
          <cell r="L209" t="str">
            <v>X</v>
          </cell>
          <cell r="M209" t="str">
            <v/>
          </cell>
          <cell r="N209">
            <v>1</v>
          </cell>
          <cell r="O209">
            <v>2.0999999999999999E-3</v>
          </cell>
          <cell r="P209">
            <v>2.1</v>
          </cell>
          <cell r="Q209">
            <v>2.1</v>
          </cell>
          <cell r="R209">
            <v>1000</v>
          </cell>
          <cell r="S209" t="str">
            <v>PCS</v>
          </cell>
          <cell r="T209">
            <v>56</v>
          </cell>
          <cell r="U209" t="str">
            <v>J3</v>
          </cell>
          <cell r="V209" t="str">
            <v>CNY</v>
          </cell>
          <cell r="W209">
            <v>10000</v>
          </cell>
          <cell r="X209">
            <v>10000</v>
          </cell>
        </row>
        <row r="210">
          <cell r="D210">
            <v>10110008934</v>
          </cell>
          <cell r="E210" t="str">
            <v>贴片陶瓷电容器</v>
          </cell>
          <cell r="F210">
            <v>11060201</v>
          </cell>
          <cell r="G210" t="str">
            <v>FH\CAP Cer 4.7uF K X7R 50VDC 0805</v>
          </cell>
          <cell r="H210" t="str">
            <v>FH(风华)</v>
          </cell>
          <cell r="I210" t="str">
            <v>0805B475K500NT</v>
          </cell>
          <cell r="J210">
            <v>101957</v>
          </cell>
          <cell r="K210" t="str">
            <v>广东顺德集财电子有限公司</v>
          </cell>
          <cell r="L210" t="str">
            <v>X</v>
          </cell>
          <cell r="M210" t="str">
            <v/>
          </cell>
          <cell r="N210">
            <v>1</v>
          </cell>
          <cell r="O210">
            <v>9.8000000000000004E-2</v>
          </cell>
          <cell r="P210">
            <v>98</v>
          </cell>
          <cell r="Q210">
            <v>98</v>
          </cell>
          <cell r="R210">
            <v>1000</v>
          </cell>
          <cell r="S210" t="str">
            <v>PCS</v>
          </cell>
          <cell r="T210">
            <v>56</v>
          </cell>
          <cell r="U210" t="str">
            <v>J3</v>
          </cell>
          <cell r="V210" t="str">
            <v>CNY</v>
          </cell>
          <cell r="W210">
            <v>2000</v>
          </cell>
          <cell r="X210">
            <v>2000</v>
          </cell>
        </row>
        <row r="211">
          <cell r="D211">
            <v>10110009749</v>
          </cell>
          <cell r="E211" t="str">
            <v>贴片陶瓷电容器</v>
          </cell>
          <cell r="F211">
            <v>11060201</v>
          </cell>
          <cell r="G211" t="str">
            <v>SAMS\CAP Cer 100pF K X7R 50VDC 0402</v>
          </cell>
          <cell r="H211" t="str">
            <v>SAMSUNG(三星)</v>
          </cell>
          <cell r="I211" t="str">
            <v>CL05B101KB5NNNC</v>
          </cell>
          <cell r="J211">
            <v>101783</v>
          </cell>
          <cell r="K211" t="str">
            <v>深圳市欧亚达电子有限公司</v>
          </cell>
          <cell r="L211" t="str">
            <v>X</v>
          </cell>
          <cell r="M211" t="str">
            <v/>
          </cell>
          <cell r="N211">
            <v>1</v>
          </cell>
          <cell r="O211">
            <v>9.5499999999999995E-3</v>
          </cell>
          <cell r="P211">
            <v>9.5500000000000007</v>
          </cell>
          <cell r="Q211">
            <v>9.5500000000000007</v>
          </cell>
          <cell r="R211">
            <v>1000</v>
          </cell>
          <cell r="S211" t="str">
            <v>PCS</v>
          </cell>
          <cell r="T211">
            <v>84</v>
          </cell>
          <cell r="U211" t="str">
            <v>J3</v>
          </cell>
          <cell r="V211" t="str">
            <v>CNY</v>
          </cell>
          <cell r="W211">
            <v>10000</v>
          </cell>
          <cell r="X211">
            <v>10000</v>
          </cell>
        </row>
        <row r="212">
          <cell r="D212">
            <v>10110011269</v>
          </cell>
          <cell r="E212" t="str">
            <v>贴片陶瓷电容器</v>
          </cell>
          <cell r="F212">
            <v>11060201</v>
          </cell>
          <cell r="G212" t="str">
            <v>SH3\CAP Cer 10nF K X7R 50VDC 0402</v>
          </cell>
          <cell r="H212" t="str">
            <v>CCTC(三环)</v>
          </cell>
          <cell r="I212" t="str">
            <v>TCC0402X7R103K500AT</v>
          </cell>
          <cell r="J212">
            <v>102178</v>
          </cell>
          <cell r="K212" t="str">
            <v>潮州三环（集团）股份有限公司</v>
          </cell>
          <cell r="L212" t="str">
            <v>X</v>
          </cell>
          <cell r="M212" t="str">
            <v/>
          </cell>
          <cell r="N212">
            <v>1</v>
          </cell>
          <cell r="O212">
            <v>1.8500000000000001E-3</v>
          </cell>
          <cell r="P212">
            <v>1.85</v>
          </cell>
          <cell r="Q212">
            <v>1.85</v>
          </cell>
          <cell r="R212">
            <v>1000</v>
          </cell>
          <cell r="S212" t="str">
            <v>PCS</v>
          </cell>
          <cell r="T212">
            <v>56</v>
          </cell>
          <cell r="U212" t="str">
            <v>J3</v>
          </cell>
          <cell r="V212" t="str">
            <v>CNY</v>
          </cell>
          <cell r="W212">
            <v>10000</v>
          </cell>
          <cell r="X212">
            <v>10000</v>
          </cell>
        </row>
        <row r="213">
          <cell r="D213">
            <v>10110012147</v>
          </cell>
          <cell r="E213" t="str">
            <v>贴片陶瓷电容器</v>
          </cell>
          <cell r="F213">
            <v>11060201</v>
          </cell>
          <cell r="G213" t="str">
            <v>SH3\CAP Cer 100pF K X7R 50VDC 0402</v>
          </cell>
          <cell r="H213" t="str">
            <v>CCTC(三环)</v>
          </cell>
          <cell r="I213" t="str">
            <v>TCC0402X7R101K500AT</v>
          </cell>
          <cell r="J213">
            <v>102178</v>
          </cell>
          <cell r="K213" t="str">
            <v>潮州三环（集团）股份有限公司</v>
          </cell>
          <cell r="L213" t="str">
            <v>X</v>
          </cell>
          <cell r="M213" t="str">
            <v/>
          </cell>
          <cell r="N213">
            <v>1</v>
          </cell>
          <cell r="O213">
            <v>1.9499999999999999E-3</v>
          </cell>
          <cell r="P213">
            <v>1.95</v>
          </cell>
          <cell r="Q213">
            <v>1.95</v>
          </cell>
          <cell r="R213">
            <v>1000</v>
          </cell>
          <cell r="S213" t="str">
            <v>PCS</v>
          </cell>
          <cell r="T213">
            <v>56</v>
          </cell>
          <cell r="U213" t="str">
            <v>J3</v>
          </cell>
          <cell r="V213" t="str">
            <v>CNY</v>
          </cell>
          <cell r="W213">
            <v>10000</v>
          </cell>
          <cell r="X213">
            <v>10000</v>
          </cell>
        </row>
        <row r="214">
          <cell r="D214">
            <v>10110012149</v>
          </cell>
          <cell r="E214" t="str">
            <v>贴片陶瓷电容器</v>
          </cell>
          <cell r="F214">
            <v>11060201</v>
          </cell>
          <cell r="G214" t="str">
            <v>SH3\CAP Cer 1nF K X7R 50VDC 0402</v>
          </cell>
          <cell r="H214" t="str">
            <v>CCTC(三环)</v>
          </cell>
          <cell r="I214" t="str">
            <v>TCC0402X7R102K500AT</v>
          </cell>
          <cell r="J214">
            <v>102178</v>
          </cell>
          <cell r="K214" t="str">
            <v>潮州三环（集团）股份有限公司</v>
          </cell>
          <cell r="L214" t="str">
            <v>X</v>
          </cell>
          <cell r="M214" t="str">
            <v/>
          </cell>
          <cell r="N214">
            <v>1</v>
          </cell>
          <cell r="O214">
            <v>1.8500000000000001E-3</v>
          </cell>
          <cell r="P214">
            <v>1.85</v>
          </cell>
          <cell r="Q214">
            <v>1.85</v>
          </cell>
          <cell r="R214">
            <v>1000</v>
          </cell>
          <cell r="S214" t="str">
            <v>PCS</v>
          </cell>
          <cell r="T214">
            <v>56</v>
          </cell>
          <cell r="U214" t="str">
            <v>J3</v>
          </cell>
          <cell r="V214" t="str">
            <v>CNY</v>
          </cell>
          <cell r="W214">
            <v>10000</v>
          </cell>
          <cell r="X214">
            <v>10000</v>
          </cell>
        </row>
        <row r="215">
          <cell r="D215">
            <v>10110016349</v>
          </cell>
          <cell r="E215" t="str">
            <v>贴片陶瓷电容器</v>
          </cell>
          <cell r="F215">
            <v>11060201</v>
          </cell>
          <cell r="G215" t="str">
            <v>SH3\CAP Cer 100nF K X7R 50VDC 0402</v>
          </cell>
          <cell r="H215" t="str">
            <v>CCTC(三环)</v>
          </cell>
          <cell r="I215" t="str">
            <v>TCC0402X7R104K500AT</v>
          </cell>
          <cell r="J215">
            <v>101957</v>
          </cell>
          <cell r="K215" t="str">
            <v>广东顺德集财电子有限公司</v>
          </cell>
          <cell r="L215" t="str">
            <v>X</v>
          </cell>
          <cell r="M215" t="str">
            <v/>
          </cell>
          <cell r="N215">
            <v>1</v>
          </cell>
          <cell r="O215">
            <v>3.9500000000000004E-3</v>
          </cell>
          <cell r="P215">
            <v>3.95</v>
          </cell>
          <cell r="Q215">
            <v>3.95</v>
          </cell>
          <cell r="R215">
            <v>1000</v>
          </cell>
          <cell r="S215" t="str">
            <v>PCS</v>
          </cell>
          <cell r="T215">
            <v>56</v>
          </cell>
          <cell r="U215" t="str">
            <v>J3</v>
          </cell>
          <cell r="V215" t="str">
            <v>CNY</v>
          </cell>
          <cell r="W215">
            <v>10000</v>
          </cell>
          <cell r="X215">
            <v>10000</v>
          </cell>
        </row>
        <row r="216">
          <cell r="D216">
            <v>10110019208</v>
          </cell>
          <cell r="E216" t="str">
            <v>Y1安规圆片电容器</v>
          </cell>
          <cell r="F216">
            <v>11060301</v>
          </cell>
          <cell r="G216" t="str">
            <v>WALS\CAP Y1 2.2nF M Y5U 250VAC 9*4.5 F=&amp;</v>
          </cell>
          <cell r="H216" t="str">
            <v>WALS(华科)</v>
          </cell>
          <cell r="I216" t="str">
            <v>YU0AH222M080XAFD7T</v>
          </cell>
          <cell r="J216">
            <v>100131</v>
          </cell>
          <cell r="K216" t="str">
            <v>东莞华科电子有限公司</v>
          </cell>
          <cell r="L216" t="str">
            <v>X</v>
          </cell>
          <cell r="M216" t="str">
            <v/>
          </cell>
          <cell r="N216">
            <v>1</v>
          </cell>
          <cell r="O216">
            <v>0.12429999999999999</v>
          </cell>
          <cell r="P216">
            <v>124.3</v>
          </cell>
          <cell r="Q216">
            <v>124.3</v>
          </cell>
          <cell r="R216">
            <v>1000</v>
          </cell>
          <cell r="S216" t="str">
            <v>PCS</v>
          </cell>
          <cell r="T216">
            <v>56</v>
          </cell>
          <cell r="U216" t="str">
            <v>J3</v>
          </cell>
          <cell r="V216" t="str">
            <v>CNY</v>
          </cell>
          <cell r="W216">
            <v>10000</v>
          </cell>
          <cell r="X216">
            <v>1000</v>
          </cell>
        </row>
        <row r="217">
          <cell r="D217">
            <v>10140000397</v>
          </cell>
          <cell r="E217" t="str">
            <v>贴片整流二极管</v>
          </cell>
          <cell r="F217">
            <v>14030601</v>
          </cell>
          <cell r="G217" t="str">
            <v>PANJ\Diode Rect SMA 1A 1000V GS1M</v>
          </cell>
          <cell r="H217" t="str">
            <v>PANJ(强茂)</v>
          </cell>
          <cell r="I217" t="str">
            <v>GS1M</v>
          </cell>
          <cell r="J217">
            <v>101672</v>
          </cell>
          <cell r="K217" t="str">
            <v>深圳市合信昌科技有限公司</v>
          </cell>
          <cell r="L217" t="str">
            <v>X</v>
          </cell>
          <cell r="M217" t="str">
            <v/>
          </cell>
          <cell r="N217">
            <v>1</v>
          </cell>
          <cell r="O217">
            <v>7.4999999999999997E-2</v>
          </cell>
          <cell r="P217">
            <v>75</v>
          </cell>
          <cell r="Q217">
            <v>75</v>
          </cell>
          <cell r="R217">
            <v>1000</v>
          </cell>
          <cell r="S217" t="str">
            <v>PCS</v>
          </cell>
          <cell r="T217">
            <v>70</v>
          </cell>
          <cell r="U217" t="str">
            <v>J3</v>
          </cell>
          <cell r="V217" t="str">
            <v>CNY</v>
          </cell>
          <cell r="W217">
            <v>1800</v>
          </cell>
          <cell r="X217">
            <v>1800</v>
          </cell>
        </row>
        <row r="218">
          <cell r="D218">
            <v>10140002123</v>
          </cell>
          <cell r="E218" t="str">
            <v>贴片NPN三极管(内置电阻)</v>
          </cell>
          <cell r="F218">
            <v>14050102</v>
          </cell>
          <cell r="G218" t="str">
            <v>LRC\Transistor SOT-23 0.1A 50V R1=4K7 R&amp;</v>
          </cell>
          <cell r="H218" t="str">
            <v>LRC(乐山无线电)</v>
          </cell>
          <cell r="I218" t="str">
            <v>LMUN2232LT1G</v>
          </cell>
          <cell r="J218">
            <v>101275</v>
          </cell>
          <cell r="K218" t="str">
            <v>利尔达科技集团股份有限公司</v>
          </cell>
          <cell r="L218" t="str">
            <v>X</v>
          </cell>
          <cell r="M218" t="str">
            <v/>
          </cell>
          <cell r="N218">
            <v>1</v>
          </cell>
          <cell r="O218">
            <v>3.4500000000000003E-2</v>
          </cell>
          <cell r="P218">
            <v>34.5</v>
          </cell>
          <cell r="Q218">
            <v>34.5</v>
          </cell>
          <cell r="R218">
            <v>1000</v>
          </cell>
          <cell r="S218" t="str">
            <v>PCS</v>
          </cell>
          <cell r="T218">
            <v>84</v>
          </cell>
          <cell r="U218" t="str">
            <v>J3</v>
          </cell>
          <cell r="V218" t="str">
            <v>CNY</v>
          </cell>
          <cell r="W218">
            <v>3000</v>
          </cell>
          <cell r="X218">
            <v>3000</v>
          </cell>
        </row>
        <row r="219">
          <cell r="D219">
            <v>10140002743</v>
          </cell>
          <cell r="E219" t="str">
            <v>贴片整流二极管</v>
          </cell>
          <cell r="F219">
            <v>14030601</v>
          </cell>
          <cell r="G219" t="str">
            <v>MCC\Diode Rect SMA 1A 1000V GS1M-L-TP</v>
          </cell>
          <cell r="H219" t="str">
            <v>MCC(美微科)</v>
          </cell>
          <cell r="I219" t="str">
            <v>GS1M-L-TP</v>
          </cell>
          <cell r="J219">
            <v>100629</v>
          </cell>
          <cell r="K219" t="str">
            <v>深圳市驰顺科技有限公司</v>
          </cell>
          <cell r="L219" t="str">
            <v>X</v>
          </cell>
          <cell r="M219" t="str">
            <v/>
          </cell>
          <cell r="N219">
            <v>1</v>
          </cell>
          <cell r="O219">
            <v>0.04</v>
          </cell>
          <cell r="P219">
            <v>40</v>
          </cell>
          <cell r="Q219">
            <v>40</v>
          </cell>
          <cell r="R219">
            <v>1000</v>
          </cell>
          <cell r="S219" t="str">
            <v>PCS</v>
          </cell>
          <cell r="T219">
            <v>84</v>
          </cell>
          <cell r="U219" t="str">
            <v>J3</v>
          </cell>
          <cell r="V219" t="str">
            <v>CNY</v>
          </cell>
          <cell r="W219">
            <v>7500</v>
          </cell>
          <cell r="X219">
            <v>7500</v>
          </cell>
        </row>
        <row r="220">
          <cell r="D220">
            <v>10140003381</v>
          </cell>
          <cell r="E220" t="str">
            <v>贴片整流二极管</v>
          </cell>
          <cell r="F220">
            <v>14030601</v>
          </cell>
          <cell r="G220" t="str">
            <v>LRC\Diode Rect DO-214AC 1A 1000V FM407</v>
          </cell>
          <cell r="H220" t="str">
            <v>LRC(乐山无线电)</v>
          </cell>
          <cell r="I220" t="str">
            <v>FM407</v>
          </cell>
          <cell r="J220">
            <v>101645</v>
          </cell>
          <cell r="K220" t="str">
            <v>深圳南丰电子股份有限公司</v>
          </cell>
          <cell r="L220" t="str">
            <v>X</v>
          </cell>
          <cell r="M220" t="str">
            <v/>
          </cell>
          <cell r="N220">
            <v>1</v>
          </cell>
          <cell r="O220">
            <v>3.3599999999999998E-2</v>
          </cell>
          <cell r="P220">
            <v>33.6</v>
          </cell>
          <cell r="Q220">
            <v>33.6</v>
          </cell>
          <cell r="R220">
            <v>1000</v>
          </cell>
          <cell r="S220" t="str">
            <v>PCS</v>
          </cell>
          <cell r="T220">
            <v>70</v>
          </cell>
          <cell r="U220" t="str">
            <v>J3</v>
          </cell>
          <cell r="V220" t="str">
            <v>CNY</v>
          </cell>
          <cell r="W220">
            <v>7500</v>
          </cell>
          <cell r="X220">
            <v>7500</v>
          </cell>
        </row>
        <row r="221">
          <cell r="D221">
            <v>10140003844</v>
          </cell>
          <cell r="E221" t="str">
            <v>贴片瞬态抑制二极管</v>
          </cell>
          <cell r="F221">
            <v>14030301</v>
          </cell>
          <cell r="G221" t="str">
            <v>JSCJ\Diode TVS SOD-123FL 15V 200W SMF15A</v>
          </cell>
          <cell r="H221" t="str">
            <v>JSCJ(江苏长晶)</v>
          </cell>
          <cell r="I221" t="str">
            <v>SMF15A</v>
          </cell>
          <cell r="J221">
            <v>101845</v>
          </cell>
          <cell r="K221" t="str">
            <v>深圳翰世宇科技有限公司</v>
          </cell>
          <cell r="L221" t="str">
            <v>X</v>
          </cell>
          <cell r="M221" t="str">
            <v/>
          </cell>
          <cell r="N221">
            <v>1</v>
          </cell>
          <cell r="O221">
            <v>0.12</v>
          </cell>
          <cell r="P221">
            <v>120</v>
          </cell>
          <cell r="Q221">
            <v>120</v>
          </cell>
          <cell r="R221">
            <v>1000</v>
          </cell>
          <cell r="S221" t="str">
            <v>PCS</v>
          </cell>
          <cell r="T221">
            <v>88</v>
          </cell>
          <cell r="U221" t="str">
            <v>J3</v>
          </cell>
          <cell r="V221" t="str">
            <v>CNY</v>
          </cell>
          <cell r="W221">
            <v>3000</v>
          </cell>
          <cell r="X221">
            <v>3000</v>
          </cell>
        </row>
        <row r="222">
          <cell r="D222">
            <v>10140006310</v>
          </cell>
          <cell r="E222" t="str">
            <v>贴片NPN三极管(内置电阻)</v>
          </cell>
          <cell r="F222">
            <v>14050102</v>
          </cell>
          <cell r="G222" t="str">
            <v>JSCJ\Transistor SOT-23 100mA50V R1=4K7&amp;</v>
          </cell>
          <cell r="H222" t="str">
            <v>JSCJ(江苏长晶)</v>
          </cell>
          <cell r="I222" t="str">
            <v>DTC143ECA</v>
          </cell>
          <cell r="J222">
            <v>101845</v>
          </cell>
          <cell r="K222" t="str">
            <v>深圳翰世宇科技有限公司</v>
          </cell>
          <cell r="L222" t="str">
            <v>X</v>
          </cell>
          <cell r="M222" t="str">
            <v/>
          </cell>
          <cell r="N222">
            <v>1</v>
          </cell>
          <cell r="O222">
            <v>4.8000000000000001E-2</v>
          </cell>
          <cell r="P222">
            <v>48</v>
          </cell>
          <cell r="Q222">
            <v>48</v>
          </cell>
          <cell r="R222">
            <v>1000</v>
          </cell>
          <cell r="S222" t="str">
            <v>PCS</v>
          </cell>
          <cell r="T222">
            <v>56</v>
          </cell>
          <cell r="U222" t="str">
            <v>J3</v>
          </cell>
          <cell r="V222" t="str">
            <v>CNY</v>
          </cell>
          <cell r="W222">
            <v>3000</v>
          </cell>
          <cell r="X222">
            <v>3000</v>
          </cell>
        </row>
        <row r="223">
          <cell r="D223">
            <v>10140012358</v>
          </cell>
          <cell r="E223" t="str">
            <v>贴片整流二极管</v>
          </cell>
          <cell r="F223">
            <v>14030601</v>
          </cell>
          <cell r="G223" t="str">
            <v>JSCJ\Diode Rect SMAG 1A 1000V GS1MA</v>
          </cell>
          <cell r="H223" t="str">
            <v>JSCJ(江苏长晶)</v>
          </cell>
          <cell r="I223" t="str">
            <v>GS1MA</v>
          </cell>
          <cell r="J223">
            <v>100482</v>
          </cell>
          <cell r="K223" t="str">
            <v>东莞市意中半导体有限公司</v>
          </cell>
          <cell r="L223" t="str">
            <v>X</v>
          </cell>
          <cell r="M223" t="str">
            <v/>
          </cell>
          <cell r="N223">
            <v>1</v>
          </cell>
          <cell r="O223">
            <v>3.3000000000000002E-2</v>
          </cell>
          <cell r="P223">
            <v>33</v>
          </cell>
          <cell r="Q223">
            <v>33</v>
          </cell>
          <cell r="R223">
            <v>1000</v>
          </cell>
          <cell r="S223" t="str">
            <v>PCS</v>
          </cell>
          <cell r="T223">
            <v>60</v>
          </cell>
          <cell r="U223" t="str">
            <v>J3</v>
          </cell>
          <cell r="V223" t="str">
            <v>CNY</v>
          </cell>
          <cell r="W223">
            <v>5000</v>
          </cell>
          <cell r="X223">
            <v>5000</v>
          </cell>
        </row>
        <row r="224">
          <cell r="D224">
            <v>10160006989</v>
          </cell>
          <cell r="E224" t="str">
            <v>贴片方顶可见光LED</v>
          </cell>
          <cell r="F224">
            <v>16020205</v>
          </cell>
          <cell r="G224" t="str">
            <v>REFO\LED 0603 红光 无色 透明 高亮</v>
          </cell>
          <cell r="H224" t="str">
            <v>RF(瑞丰)</v>
          </cell>
          <cell r="I224" t="str">
            <v>RF-OUB191TB-CE-B0-EL</v>
          </cell>
          <cell r="J224">
            <v>101693</v>
          </cell>
          <cell r="K224" t="str">
            <v>浙江瑞丰光电有限公司</v>
          </cell>
          <cell r="L224" t="str">
            <v>X</v>
          </cell>
          <cell r="M224" t="str">
            <v/>
          </cell>
          <cell r="N224">
            <v>1</v>
          </cell>
          <cell r="O224">
            <v>4.8399999999999999E-2</v>
          </cell>
          <cell r="P224">
            <v>48.4</v>
          </cell>
          <cell r="Q224">
            <v>48.4</v>
          </cell>
          <cell r="R224">
            <v>1000</v>
          </cell>
          <cell r="S224" t="str">
            <v>PCS</v>
          </cell>
          <cell r="T224">
            <v>28</v>
          </cell>
          <cell r="U224" t="str">
            <v>J3</v>
          </cell>
          <cell r="V224" t="str">
            <v>CNY</v>
          </cell>
          <cell r="W224">
            <v>60000</v>
          </cell>
          <cell r="X224">
            <v>4000</v>
          </cell>
        </row>
        <row r="225">
          <cell r="D225">
            <v>10160007865</v>
          </cell>
          <cell r="E225" t="str">
            <v>贴片方顶可见光LED</v>
          </cell>
          <cell r="F225">
            <v>16020205</v>
          </cell>
          <cell r="G225" t="str">
            <v>CL\LED 0603 红光 无色 透明 超高亮</v>
          </cell>
          <cell r="H225" t="str">
            <v>CL(长利)</v>
          </cell>
          <cell r="I225" t="str">
            <v>CL-0603R/YY-J8</v>
          </cell>
          <cell r="J225">
            <v>100436</v>
          </cell>
          <cell r="K225" t="str">
            <v>广东长利光电科技有限公司</v>
          </cell>
          <cell r="L225" t="str">
            <v>X</v>
          </cell>
          <cell r="M225" t="str">
            <v/>
          </cell>
          <cell r="N225">
            <v>1</v>
          </cell>
          <cell r="O225">
            <v>2.75E-2</v>
          </cell>
          <cell r="P225">
            <v>27.5</v>
          </cell>
          <cell r="Q225">
            <v>27.5</v>
          </cell>
          <cell r="R225">
            <v>1000</v>
          </cell>
          <cell r="S225" t="str">
            <v>PCS</v>
          </cell>
          <cell r="T225">
            <v>10</v>
          </cell>
          <cell r="U225" t="str">
            <v>J3</v>
          </cell>
          <cell r="V225" t="str">
            <v>CNY</v>
          </cell>
          <cell r="W225">
            <v>4000</v>
          </cell>
          <cell r="X225">
            <v>4000</v>
          </cell>
        </row>
        <row r="226">
          <cell r="D226">
            <v>10190000675</v>
          </cell>
          <cell r="E226" t="str">
            <v>方型塑壳保险丝</v>
          </cell>
          <cell r="F226">
            <v>19010105</v>
          </cell>
          <cell r="G226" t="str">
            <v>HOLLY\FUSE 3.15A 250VAC 慢断 8.5*4*7.2 F=&amp;</v>
          </cell>
          <cell r="H226" t="str">
            <v>HOLLY(好利来)</v>
          </cell>
          <cell r="I226" t="str">
            <v>5ET-032HA</v>
          </cell>
          <cell r="J226">
            <v>101345</v>
          </cell>
          <cell r="K226" t="str">
            <v>好利来（厦门）电路保护科技有限公司</v>
          </cell>
          <cell r="L226" t="str">
            <v>X</v>
          </cell>
          <cell r="M226" t="str">
            <v/>
          </cell>
          <cell r="N226">
            <v>1</v>
          </cell>
          <cell r="O226">
            <v>8.3000000000000004E-2</v>
          </cell>
          <cell r="P226">
            <v>83</v>
          </cell>
          <cell r="Q226">
            <v>83</v>
          </cell>
          <cell r="R226">
            <v>1000</v>
          </cell>
          <cell r="S226" t="str">
            <v>PCS</v>
          </cell>
          <cell r="T226">
            <v>28</v>
          </cell>
          <cell r="U226" t="str">
            <v>J3</v>
          </cell>
          <cell r="V226" t="str">
            <v>CNY</v>
          </cell>
          <cell r="W226">
            <v>1000</v>
          </cell>
          <cell r="X226">
            <v>1000</v>
          </cell>
        </row>
        <row r="227">
          <cell r="D227">
            <v>10190001176</v>
          </cell>
          <cell r="E227" t="str">
            <v>方型塑壳保险丝</v>
          </cell>
          <cell r="F227">
            <v>19010105</v>
          </cell>
          <cell r="G227" t="str">
            <v>BETT\FUSE 3.15A 250VAC 慢断 8.3*4.1*7.6 F&amp;</v>
          </cell>
          <cell r="H227" t="str">
            <v>Better(贝特)</v>
          </cell>
          <cell r="I227">
            <v>9321315278</v>
          </cell>
          <cell r="J227">
            <v>100135</v>
          </cell>
          <cell r="K227" t="str">
            <v>东莞市贝特电子科技股份有限公司</v>
          </cell>
          <cell r="L227" t="str">
            <v>X</v>
          </cell>
          <cell r="M227" t="str">
            <v/>
          </cell>
          <cell r="N227">
            <v>1</v>
          </cell>
          <cell r="O227">
            <v>9.5000000000000001E-2</v>
          </cell>
          <cell r="P227">
            <v>95</v>
          </cell>
          <cell r="Q227">
            <v>95</v>
          </cell>
          <cell r="R227">
            <v>1000</v>
          </cell>
          <cell r="S227" t="str">
            <v>PCS</v>
          </cell>
          <cell r="T227">
            <v>21</v>
          </cell>
          <cell r="U227" t="str">
            <v>J3</v>
          </cell>
          <cell r="V227" t="str">
            <v>CNY</v>
          </cell>
          <cell r="W227">
            <v>1000</v>
          </cell>
          <cell r="X227">
            <v>1000</v>
          </cell>
        </row>
        <row r="228">
          <cell r="D228">
            <v>10100002122</v>
          </cell>
          <cell r="E228" t="str">
            <v>厚膜贴片电阻器</v>
          </cell>
          <cell r="F228">
            <v>10010302</v>
          </cell>
          <cell r="G228" t="str">
            <v>YAGEO\RES 1K F 1/8W 0805</v>
          </cell>
          <cell r="H228" t="str">
            <v>YAGEO(国巨)</v>
          </cell>
          <cell r="I228" t="str">
            <v>RC0805FR-071KL</v>
          </cell>
          <cell r="J228">
            <v>100632</v>
          </cell>
          <cell r="K228" t="str">
            <v>深圳市欧尔法电子有限公司</v>
          </cell>
          <cell r="L228" t="str">
            <v>X</v>
          </cell>
          <cell r="M228" t="str">
            <v/>
          </cell>
          <cell r="N228">
            <v>1</v>
          </cell>
          <cell r="O228">
            <v>4.7999999999999996E-3</v>
          </cell>
          <cell r="P228">
            <v>4.8</v>
          </cell>
          <cell r="Q228">
            <v>4.8</v>
          </cell>
          <cell r="R228">
            <v>1000</v>
          </cell>
          <cell r="S228" t="str">
            <v>PCS</v>
          </cell>
          <cell r="T228">
            <v>56</v>
          </cell>
          <cell r="U228" t="str">
            <v>J3</v>
          </cell>
          <cell r="V228" t="str">
            <v>CNY</v>
          </cell>
          <cell r="W228">
            <v>5000</v>
          </cell>
          <cell r="X228">
            <v>5000</v>
          </cell>
        </row>
        <row r="229">
          <cell r="D229">
            <v>10100002123</v>
          </cell>
          <cell r="E229" t="str">
            <v>厚膜贴片电阻器</v>
          </cell>
          <cell r="F229">
            <v>10010302</v>
          </cell>
          <cell r="G229" t="str">
            <v>FH\RES 1K F 1/8W 0805</v>
          </cell>
          <cell r="H229" t="str">
            <v>FH(风华)</v>
          </cell>
          <cell r="I229" t="str">
            <v>RS-05K1001FT</v>
          </cell>
          <cell r="J229">
            <v>100654</v>
          </cell>
          <cell r="K229" t="str">
            <v>广东风华高新科技股份有限公司</v>
          </cell>
          <cell r="L229" t="str">
            <v>X</v>
          </cell>
          <cell r="M229" t="str">
            <v/>
          </cell>
          <cell r="N229">
            <v>1</v>
          </cell>
          <cell r="O229">
            <v>3.7200000000000002E-3</v>
          </cell>
          <cell r="P229">
            <v>3.72</v>
          </cell>
          <cell r="Q229">
            <v>3.72</v>
          </cell>
          <cell r="R229">
            <v>1000</v>
          </cell>
          <cell r="S229" t="str">
            <v>PCS</v>
          </cell>
          <cell r="T229">
            <v>42</v>
          </cell>
          <cell r="U229" t="str">
            <v>J3</v>
          </cell>
          <cell r="V229" t="str">
            <v>CNY</v>
          </cell>
          <cell r="W229">
            <v>5000</v>
          </cell>
          <cell r="X229">
            <v>5000</v>
          </cell>
        </row>
        <row r="230">
          <cell r="D230">
            <v>10100002658</v>
          </cell>
          <cell r="E230" t="str">
            <v>厚膜贴片电阻器</v>
          </cell>
          <cell r="F230">
            <v>10010302</v>
          </cell>
          <cell r="G230" t="str">
            <v>FH\RES 470R F 1/4W 1206</v>
          </cell>
          <cell r="H230" t="str">
            <v>FH(风华)</v>
          </cell>
          <cell r="I230" t="str">
            <v>RS-06K4700FT</v>
          </cell>
          <cell r="J230">
            <v>100654</v>
          </cell>
          <cell r="K230" t="str">
            <v>广东风华高新科技股份有限公司</v>
          </cell>
          <cell r="L230" t="str">
            <v>X</v>
          </cell>
          <cell r="M230" t="str">
            <v/>
          </cell>
          <cell r="N230">
            <v>1</v>
          </cell>
          <cell r="O230">
            <v>6.3699999999999998E-3</v>
          </cell>
          <cell r="P230">
            <v>6.37</v>
          </cell>
          <cell r="Q230">
            <v>6.37</v>
          </cell>
          <cell r="R230">
            <v>1000</v>
          </cell>
          <cell r="S230" t="str">
            <v>PCS</v>
          </cell>
          <cell r="T230">
            <v>42</v>
          </cell>
          <cell r="U230" t="str">
            <v>J3</v>
          </cell>
          <cell r="V230" t="str">
            <v>CNY</v>
          </cell>
          <cell r="W230">
            <v>5000</v>
          </cell>
          <cell r="X230">
            <v>5000</v>
          </cell>
        </row>
        <row r="231">
          <cell r="D231">
            <v>10100002659</v>
          </cell>
          <cell r="E231" t="str">
            <v>厚膜贴片电阻器</v>
          </cell>
          <cell r="F231">
            <v>10010302</v>
          </cell>
          <cell r="G231" t="str">
            <v>YAGEO\RES 470R F 1/4W 1206</v>
          </cell>
          <cell r="H231" t="str">
            <v>YAGEO(国巨)</v>
          </cell>
          <cell r="I231" t="str">
            <v>RC1206FR-07470RL</v>
          </cell>
          <cell r="J231">
            <v>100078</v>
          </cell>
          <cell r="K231" t="str">
            <v>深圳市超利维实业有限公司</v>
          </cell>
          <cell r="L231" t="str">
            <v>X</v>
          </cell>
          <cell r="M231" t="str">
            <v/>
          </cell>
          <cell r="N231">
            <v>1</v>
          </cell>
          <cell r="O231">
            <v>8.0000000000000002E-3</v>
          </cell>
          <cell r="P231">
            <v>8</v>
          </cell>
          <cell r="Q231">
            <v>8</v>
          </cell>
          <cell r="R231">
            <v>1000</v>
          </cell>
          <cell r="S231" t="str">
            <v>PCS</v>
          </cell>
          <cell r="T231">
            <v>84</v>
          </cell>
          <cell r="U231" t="str">
            <v>J3</v>
          </cell>
          <cell r="V231" t="str">
            <v>CNY</v>
          </cell>
          <cell r="W231">
            <v>5000</v>
          </cell>
          <cell r="X231">
            <v>5000</v>
          </cell>
        </row>
        <row r="232">
          <cell r="D232">
            <v>10100002715</v>
          </cell>
          <cell r="E232" t="str">
            <v>厚膜贴片电阻器</v>
          </cell>
          <cell r="F232">
            <v>10010302</v>
          </cell>
          <cell r="G232" t="str">
            <v>YAGEO\RES 5.1K F 1/8W 0805</v>
          </cell>
          <cell r="H232" t="str">
            <v>YAGEO(国巨)</v>
          </cell>
          <cell r="I232" t="str">
            <v>RC0805FR-075K1L</v>
          </cell>
          <cell r="J232">
            <v>100632</v>
          </cell>
          <cell r="K232" t="str">
            <v>深圳市欧尔法电子有限公司</v>
          </cell>
          <cell r="L232" t="str">
            <v>X</v>
          </cell>
          <cell r="M232" t="str">
            <v/>
          </cell>
          <cell r="N232">
            <v>1</v>
          </cell>
          <cell r="O232">
            <v>4.7999999999999996E-3</v>
          </cell>
          <cell r="P232">
            <v>4.8</v>
          </cell>
          <cell r="Q232">
            <v>4.8</v>
          </cell>
          <cell r="R232">
            <v>1000</v>
          </cell>
          <cell r="S232" t="str">
            <v>PCS</v>
          </cell>
          <cell r="T232">
            <v>56</v>
          </cell>
          <cell r="U232" t="str">
            <v>J3</v>
          </cell>
          <cell r="V232" t="str">
            <v>CNY</v>
          </cell>
          <cell r="W232">
            <v>5000</v>
          </cell>
          <cell r="X232">
            <v>5000</v>
          </cell>
        </row>
        <row r="233">
          <cell r="D233">
            <v>10100003500</v>
          </cell>
          <cell r="E233" t="str">
            <v>厚膜贴片电阻器</v>
          </cell>
          <cell r="F233">
            <v>10010302</v>
          </cell>
          <cell r="G233" t="str">
            <v>YAGEO\RES 4.7K F 1/10W 0603</v>
          </cell>
          <cell r="H233" t="str">
            <v>YAGEO(国巨)</v>
          </cell>
          <cell r="I233" t="str">
            <v>RC0603FR-074K7L</v>
          </cell>
          <cell r="J233">
            <v>100078</v>
          </cell>
          <cell r="K233" t="str">
            <v>深圳市超利维实业有限公司</v>
          </cell>
          <cell r="L233" t="str">
            <v>X</v>
          </cell>
          <cell r="M233" t="str">
            <v/>
          </cell>
          <cell r="N233">
            <v>1</v>
          </cell>
          <cell r="O233">
            <v>2.5999999999999999E-3</v>
          </cell>
          <cell r="P233">
            <v>2.6</v>
          </cell>
          <cell r="Q233">
            <v>2.6</v>
          </cell>
          <cell r="R233">
            <v>1000</v>
          </cell>
          <cell r="S233" t="str">
            <v>PCS</v>
          </cell>
          <cell r="T233">
            <v>70</v>
          </cell>
          <cell r="U233" t="str">
            <v>J3</v>
          </cell>
          <cell r="V233" t="str">
            <v>CNY</v>
          </cell>
          <cell r="W233">
            <v>5000</v>
          </cell>
          <cell r="X233">
            <v>5000</v>
          </cell>
        </row>
        <row r="234">
          <cell r="D234">
            <v>10100003511</v>
          </cell>
          <cell r="E234" t="str">
            <v>厚膜贴片电阻器</v>
          </cell>
          <cell r="F234">
            <v>10010302</v>
          </cell>
          <cell r="G234" t="str">
            <v>YAGEO\RES 47R F 1/4W 1206</v>
          </cell>
          <cell r="H234" t="str">
            <v>YAGEO(国巨)</v>
          </cell>
          <cell r="I234" t="str">
            <v>RC1206FR-0747RL</v>
          </cell>
          <cell r="J234">
            <v>100078</v>
          </cell>
          <cell r="K234" t="str">
            <v>深圳市超利维实业有限公司</v>
          </cell>
          <cell r="L234" t="str">
            <v>X</v>
          </cell>
          <cell r="M234" t="str">
            <v/>
          </cell>
          <cell r="N234">
            <v>1</v>
          </cell>
          <cell r="O234">
            <v>8.0000000000000002E-3</v>
          </cell>
          <cell r="P234">
            <v>8</v>
          </cell>
          <cell r="Q234">
            <v>8</v>
          </cell>
          <cell r="R234">
            <v>1000</v>
          </cell>
          <cell r="S234" t="str">
            <v>PCS</v>
          </cell>
          <cell r="T234">
            <v>84</v>
          </cell>
          <cell r="U234" t="str">
            <v>J3</v>
          </cell>
          <cell r="V234" t="str">
            <v>CNY</v>
          </cell>
          <cell r="W234">
            <v>5000</v>
          </cell>
          <cell r="X234">
            <v>5000</v>
          </cell>
        </row>
        <row r="235">
          <cell r="D235">
            <v>10100003565</v>
          </cell>
          <cell r="E235" t="str">
            <v>厚膜贴片电阻器</v>
          </cell>
          <cell r="F235">
            <v>10010302</v>
          </cell>
          <cell r="G235" t="str">
            <v>FH\RES 68K F 1/10W 0603</v>
          </cell>
          <cell r="H235" t="str">
            <v>FH(风华)</v>
          </cell>
          <cell r="I235" t="str">
            <v>RS-03K6802FT</v>
          </cell>
          <cell r="J235">
            <v>100654</v>
          </cell>
          <cell r="K235" t="str">
            <v>广东风华高新科技股份有限公司</v>
          </cell>
          <cell r="L235" t="str">
            <v>X</v>
          </cell>
          <cell r="M235" t="str">
            <v/>
          </cell>
          <cell r="N235">
            <v>1</v>
          </cell>
          <cell r="O235">
            <v>2.0799999999999998E-3</v>
          </cell>
          <cell r="P235">
            <v>2.08</v>
          </cell>
          <cell r="Q235">
            <v>2.08</v>
          </cell>
          <cell r="R235">
            <v>1000</v>
          </cell>
          <cell r="S235" t="str">
            <v>PCS</v>
          </cell>
          <cell r="T235">
            <v>42</v>
          </cell>
          <cell r="U235" t="str">
            <v>J3</v>
          </cell>
          <cell r="V235" t="str">
            <v>CNY</v>
          </cell>
          <cell r="W235">
            <v>5000</v>
          </cell>
          <cell r="X235">
            <v>5000</v>
          </cell>
        </row>
        <row r="236">
          <cell r="D236">
            <v>10100003566</v>
          </cell>
          <cell r="E236" t="str">
            <v>厚膜贴片电阻器</v>
          </cell>
          <cell r="F236">
            <v>10010302</v>
          </cell>
          <cell r="G236" t="str">
            <v>YAGEO\RES 68K F 1/10W 0603</v>
          </cell>
          <cell r="H236" t="str">
            <v>YAGEO(国巨)</v>
          </cell>
          <cell r="I236" t="str">
            <v>RC0603FR-0768KL</v>
          </cell>
          <cell r="J236">
            <v>100078</v>
          </cell>
          <cell r="K236" t="str">
            <v>深圳市超利维实业有限公司</v>
          </cell>
          <cell r="L236" t="str">
            <v>X</v>
          </cell>
          <cell r="M236" t="str">
            <v/>
          </cell>
          <cell r="N236">
            <v>1</v>
          </cell>
          <cell r="O236">
            <v>2.5999999999999999E-3</v>
          </cell>
          <cell r="P236">
            <v>2.6</v>
          </cell>
          <cell r="Q236">
            <v>2.6</v>
          </cell>
          <cell r="R236">
            <v>1000</v>
          </cell>
          <cell r="S236" t="str">
            <v>PCS</v>
          </cell>
          <cell r="T236">
            <v>84</v>
          </cell>
          <cell r="U236" t="str">
            <v>J3</v>
          </cell>
          <cell r="V236" t="str">
            <v>CNY</v>
          </cell>
          <cell r="W236">
            <v>5000</v>
          </cell>
          <cell r="X236">
            <v>5000</v>
          </cell>
        </row>
        <row r="237">
          <cell r="D237">
            <v>10100004273</v>
          </cell>
          <cell r="E237" t="str">
            <v>厚膜贴片电阻器</v>
          </cell>
          <cell r="F237">
            <v>10010302</v>
          </cell>
          <cell r="G237" t="str">
            <v>YAGEO\RES 2.2K F 1/10W 0603</v>
          </cell>
          <cell r="H237" t="str">
            <v>YAGEO(国巨)</v>
          </cell>
          <cell r="I237" t="str">
            <v>RC0603FR-072K2L</v>
          </cell>
          <cell r="J237">
            <v>100078</v>
          </cell>
          <cell r="K237" t="str">
            <v>深圳市超利维实业有限公司</v>
          </cell>
          <cell r="L237" t="str">
            <v>X</v>
          </cell>
          <cell r="M237" t="str">
            <v/>
          </cell>
          <cell r="N237">
            <v>1</v>
          </cell>
          <cell r="O237">
            <v>2.5999999999999999E-3</v>
          </cell>
          <cell r="P237">
            <v>2.6</v>
          </cell>
          <cell r="Q237">
            <v>2.6</v>
          </cell>
          <cell r="R237">
            <v>1000</v>
          </cell>
          <cell r="S237" t="str">
            <v>PCS</v>
          </cell>
          <cell r="T237">
            <v>70</v>
          </cell>
          <cell r="U237" t="str">
            <v>J3</v>
          </cell>
          <cell r="V237" t="str">
            <v>CNY</v>
          </cell>
          <cell r="W237">
            <v>5000</v>
          </cell>
          <cell r="X237">
            <v>5000</v>
          </cell>
        </row>
        <row r="238">
          <cell r="D238">
            <v>10100004833</v>
          </cell>
          <cell r="E238" t="str">
            <v>厚膜贴片电阻器</v>
          </cell>
          <cell r="F238">
            <v>10010302</v>
          </cell>
          <cell r="G238" t="str">
            <v>WALS\RES 1K F 1/8W 0805</v>
          </cell>
          <cell r="H238" t="str">
            <v>WALS(华科)</v>
          </cell>
          <cell r="I238" t="str">
            <v>WR08X1001FTL</v>
          </cell>
          <cell r="J238">
            <v>100131</v>
          </cell>
          <cell r="K238" t="str">
            <v>东莞华科电子有限公司</v>
          </cell>
          <cell r="L238" t="str">
            <v>X</v>
          </cell>
          <cell r="M238" t="str">
            <v/>
          </cell>
          <cell r="N238">
            <v>1</v>
          </cell>
          <cell r="O238">
            <v>3.8800000000000002E-3</v>
          </cell>
          <cell r="P238">
            <v>3.88</v>
          </cell>
          <cell r="Q238">
            <v>3.88</v>
          </cell>
          <cell r="R238">
            <v>1000</v>
          </cell>
          <cell r="S238" t="str">
            <v>PCS</v>
          </cell>
          <cell r="T238">
            <v>56</v>
          </cell>
          <cell r="U238" t="str">
            <v>J3</v>
          </cell>
          <cell r="V238" t="str">
            <v>CNY</v>
          </cell>
          <cell r="W238">
            <v>5000</v>
          </cell>
          <cell r="X238">
            <v>5000</v>
          </cell>
        </row>
        <row r="239">
          <cell r="D239">
            <v>10100005487</v>
          </cell>
          <cell r="E239" t="str">
            <v>厚膜贴片电阻器</v>
          </cell>
          <cell r="F239">
            <v>10010302</v>
          </cell>
          <cell r="G239" t="str">
            <v>ROYA\RES 1K F 1/8W 0805</v>
          </cell>
          <cell r="H239" t="str">
            <v>ROYALOHM(厚声)</v>
          </cell>
          <cell r="I239" t="str">
            <v>0805W8F1001T5E</v>
          </cell>
          <cell r="J239">
            <v>100096</v>
          </cell>
          <cell r="K239" t="str">
            <v>厚声国际贸易（昆山）有限公司深圳分公司</v>
          </cell>
          <cell r="L239" t="str">
            <v>X</v>
          </cell>
          <cell r="M239" t="str">
            <v/>
          </cell>
          <cell r="N239">
            <v>1</v>
          </cell>
          <cell r="O239">
            <v>3.8E-3</v>
          </cell>
          <cell r="P239">
            <v>3.8</v>
          </cell>
          <cell r="Q239">
            <v>3.8</v>
          </cell>
          <cell r="R239">
            <v>1000</v>
          </cell>
          <cell r="S239" t="str">
            <v>PCS</v>
          </cell>
          <cell r="T239">
            <v>42</v>
          </cell>
          <cell r="U239" t="str">
            <v>J3</v>
          </cell>
          <cell r="V239" t="str">
            <v>CNY</v>
          </cell>
          <cell r="W239">
            <v>5000</v>
          </cell>
          <cell r="X239">
            <v>5000</v>
          </cell>
        </row>
        <row r="240">
          <cell r="D240">
            <v>10100005503</v>
          </cell>
          <cell r="E240" t="str">
            <v>厚膜贴片电阻器</v>
          </cell>
          <cell r="F240">
            <v>10010302</v>
          </cell>
          <cell r="G240" t="str">
            <v>ROYA\RES 5.1K F 1/8W 0805</v>
          </cell>
          <cell r="H240" t="str">
            <v>ROYALOHM(厚声)</v>
          </cell>
          <cell r="I240" t="str">
            <v>0805W8F5101T5E</v>
          </cell>
          <cell r="J240">
            <v>100096</v>
          </cell>
          <cell r="K240" t="str">
            <v>厚声国际贸易（昆山）有限公司深圳分公司</v>
          </cell>
          <cell r="L240" t="str">
            <v>X</v>
          </cell>
          <cell r="M240" t="str">
            <v/>
          </cell>
          <cell r="N240">
            <v>1</v>
          </cell>
          <cell r="O240">
            <v>3.8E-3</v>
          </cell>
          <cell r="P240">
            <v>3.8</v>
          </cell>
          <cell r="Q240">
            <v>3.8</v>
          </cell>
          <cell r="R240">
            <v>1000</v>
          </cell>
          <cell r="S240" t="str">
            <v>PCS</v>
          </cell>
          <cell r="T240">
            <v>42</v>
          </cell>
          <cell r="U240" t="str">
            <v>J3</v>
          </cell>
          <cell r="V240" t="str">
            <v>CNY</v>
          </cell>
          <cell r="W240">
            <v>5000</v>
          </cell>
          <cell r="X240">
            <v>5000</v>
          </cell>
        </row>
        <row r="241">
          <cell r="D241">
            <v>10100005703</v>
          </cell>
          <cell r="E241" t="str">
            <v>厚膜贴片电阻器</v>
          </cell>
          <cell r="F241">
            <v>10010302</v>
          </cell>
          <cell r="G241" t="str">
            <v>YAGEO\RES 1K F 1/16W 0402</v>
          </cell>
          <cell r="H241" t="str">
            <v>YAGEO(国巨)</v>
          </cell>
          <cell r="I241" t="str">
            <v>RC0402FR-071KL</v>
          </cell>
          <cell r="J241">
            <v>100078</v>
          </cell>
          <cell r="K241" t="str">
            <v>深圳市超利维实业有限公司</v>
          </cell>
          <cell r="L241" t="str">
            <v>X</v>
          </cell>
          <cell r="M241" t="str">
            <v/>
          </cell>
          <cell r="N241">
            <v>1</v>
          </cell>
          <cell r="O241">
            <v>1.4E-3</v>
          </cell>
          <cell r="P241">
            <v>1.4</v>
          </cell>
          <cell r="Q241">
            <v>1.4</v>
          </cell>
          <cell r="R241">
            <v>1000</v>
          </cell>
          <cell r="S241" t="str">
            <v>PCS</v>
          </cell>
          <cell r="T241">
            <v>56</v>
          </cell>
          <cell r="U241" t="str">
            <v>J3</v>
          </cell>
          <cell r="V241" t="str">
            <v>CNY</v>
          </cell>
          <cell r="W241">
            <v>10000</v>
          </cell>
          <cell r="X241">
            <v>10000</v>
          </cell>
        </row>
        <row r="242">
          <cell r="D242">
            <v>10100005718</v>
          </cell>
          <cell r="E242" t="str">
            <v>厚膜贴片电阻器</v>
          </cell>
          <cell r="F242">
            <v>10010302</v>
          </cell>
          <cell r="G242" t="str">
            <v>FH\RES 1K F 1/16W 0402</v>
          </cell>
          <cell r="H242" t="str">
            <v>FH(风华)</v>
          </cell>
          <cell r="I242" t="str">
            <v>RC-02K1001FT</v>
          </cell>
          <cell r="J242">
            <v>100654</v>
          </cell>
          <cell r="K242" t="str">
            <v>广东风华高新科技股份有限公司</v>
          </cell>
          <cell r="L242" t="str">
            <v>X</v>
          </cell>
          <cell r="M242" t="str">
            <v/>
          </cell>
          <cell r="N242">
            <v>1</v>
          </cell>
          <cell r="O242">
            <v>1.1000000000000001E-3</v>
          </cell>
          <cell r="P242">
            <v>1.1000000000000001</v>
          </cell>
          <cell r="Q242">
            <v>1.1000000000000001</v>
          </cell>
          <cell r="R242">
            <v>1000</v>
          </cell>
          <cell r="S242" t="str">
            <v>PCS</v>
          </cell>
          <cell r="T242">
            <v>42</v>
          </cell>
          <cell r="U242" t="str">
            <v>J3</v>
          </cell>
          <cell r="V242" t="str">
            <v>CNY</v>
          </cell>
          <cell r="W242">
            <v>10000</v>
          </cell>
          <cell r="X242">
            <v>10000</v>
          </cell>
        </row>
        <row r="243">
          <cell r="D243">
            <v>10100005795</v>
          </cell>
          <cell r="E243" t="str">
            <v>厚膜贴片电阻器</v>
          </cell>
          <cell r="F243">
            <v>10010302</v>
          </cell>
          <cell r="G243" t="str">
            <v>FH\RES 10K F 1/16W 0402</v>
          </cell>
          <cell r="H243" t="str">
            <v>FH(风华)</v>
          </cell>
          <cell r="I243" t="str">
            <v>RC-02K1002FT</v>
          </cell>
          <cell r="J243">
            <v>100654</v>
          </cell>
          <cell r="K243" t="str">
            <v>广东风华高新科技股份有限公司</v>
          </cell>
          <cell r="L243" t="str">
            <v>X</v>
          </cell>
          <cell r="M243" t="str">
            <v/>
          </cell>
          <cell r="N243">
            <v>1</v>
          </cell>
          <cell r="O243">
            <v>1.1000000000000001E-3</v>
          </cell>
          <cell r="P243">
            <v>1.1000000000000001</v>
          </cell>
          <cell r="Q243">
            <v>1.1000000000000001</v>
          </cell>
          <cell r="R243">
            <v>1000</v>
          </cell>
          <cell r="S243" t="str">
            <v>PCS</v>
          </cell>
          <cell r="T243">
            <v>42</v>
          </cell>
          <cell r="U243" t="str">
            <v>J3</v>
          </cell>
          <cell r="V243" t="str">
            <v>CNY</v>
          </cell>
          <cell r="W243">
            <v>10000</v>
          </cell>
          <cell r="X243">
            <v>10000</v>
          </cell>
        </row>
        <row r="244">
          <cell r="D244">
            <v>10100006398</v>
          </cell>
          <cell r="E244" t="str">
            <v>厚膜贴片电阻器</v>
          </cell>
          <cell r="F244">
            <v>10010302</v>
          </cell>
          <cell r="G244" t="str">
            <v>FH\RES 47R F 1/4W 1206</v>
          </cell>
          <cell r="H244" t="str">
            <v>FH(风华)</v>
          </cell>
          <cell r="I244" t="str">
            <v>RS-06K47R0FT</v>
          </cell>
          <cell r="J244">
            <v>100654</v>
          </cell>
          <cell r="K244" t="str">
            <v>广东风华高新科技股份有限公司</v>
          </cell>
          <cell r="L244" t="str">
            <v>X</v>
          </cell>
          <cell r="M244" t="str">
            <v/>
          </cell>
          <cell r="N244">
            <v>1</v>
          </cell>
          <cell r="O244">
            <v>6.3699999999999998E-3</v>
          </cell>
          <cell r="P244">
            <v>6.37</v>
          </cell>
          <cell r="Q244">
            <v>6.37</v>
          </cell>
          <cell r="R244">
            <v>1000</v>
          </cell>
          <cell r="S244" t="str">
            <v>PCS</v>
          </cell>
          <cell r="T244">
            <v>42</v>
          </cell>
          <cell r="U244" t="str">
            <v>J3</v>
          </cell>
          <cell r="V244" t="str">
            <v>CNY</v>
          </cell>
          <cell r="W244">
            <v>5000</v>
          </cell>
          <cell r="X244">
            <v>5000</v>
          </cell>
        </row>
        <row r="245">
          <cell r="D245">
            <v>10100006494</v>
          </cell>
          <cell r="E245" t="str">
            <v>厚膜贴片电阻器</v>
          </cell>
          <cell r="F245">
            <v>10010302</v>
          </cell>
          <cell r="G245" t="str">
            <v>FH\RES 2.2K F 1/10W 0603</v>
          </cell>
          <cell r="H245" t="str">
            <v>FH(风华)</v>
          </cell>
          <cell r="I245" t="str">
            <v>RS-03K2201FT</v>
          </cell>
          <cell r="J245">
            <v>100654</v>
          </cell>
          <cell r="K245" t="str">
            <v>广东风华高新科技股份有限公司</v>
          </cell>
          <cell r="L245" t="str">
            <v>X</v>
          </cell>
          <cell r="M245" t="str">
            <v/>
          </cell>
          <cell r="N245">
            <v>1</v>
          </cell>
          <cell r="O245">
            <v>2.0799999999999998E-3</v>
          </cell>
          <cell r="P245">
            <v>2.08</v>
          </cell>
          <cell r="Q245">
            <v>2.08</v>
          </cell>
          <cell r="R245">
            <v>1000</v>
          </cell>
          <cell r="S245" t="str">
            <v>PCS</v>
          </cell>
          <cell r="T245">
            <v>42</v>
          </cell>
          <cell r="U245" t="str">
            <v>J3</v>
          </cell>
          <cell r="V245" t="str">
            <v>CNY</v>
          </cell>
          <cell r="W245">
            <v>5000</v>
          </cell>
          <cell r="X245">
            <v>5000</v>
          </cell>
        </row>
        <row r="246">
          <cell r="D246">
            <v>10100006507</v>
          </cell>
          <cell r="E246" t="str">
            <v>厚膜贴片电阻器</v>
          </cell>
          <cell r="F246">
            <v>10010302</v>
          </cell>
          <cell r="G246" t="str">
            <v>FH\RES 4.7K F 1/10W 0603</v>
          </cell>
          <cell r="H246" t="str">
            <v>FH(风华)</v>
          </cell>
          <cell r="I246" t="str">
            <v>RS-03K4701FT</v>
          </cell>
          <cell r="J246">
            <v>100654</v>
          </cell>
          <cell r="K246" t="str">
            <v>广东风华高新科技股份有限公司</v>
          </cell>
          <cell r="L246" t="str">
            <v>X</v>
          </cell>
          <cell r="M246" t="str">
            <v/>
          </cell>
          <cell r="N246">
            <v>1</v>
          </cell>
          <cell r="O246">
            <v>2.0799999999999998E-3</v>
          </cell>
          <cell r="P246">
            <v>2.08</v>
          </cell>
          <cell r="Q246">
            <v>2.08</v>
          </cell>
          <cell r="R246">
            <v>1000</v>
          </cell>
          <cell r="S246" t="str">
            <v>PCS</v>
          </cell>
          <cell r="T246">
            <v>42</v>
          </cell>
          <cell r="U246" t="str">
            <v>J3</v>
          </cell>
          <cell r="V246" t="str">
            <v>CNY</v>
          </cell>
          <cell r="W246">
            <v>5000</v>
          </cell>
          <cell r="X246">
            <v>5000</v>
          </cell>
        </row>
        <row r="247">
          <cell r="D247">
            <v>10100006627</v>
          </cell>
          <cell r="E247" t="str">
            <v>厚膜贴片电阻器</v>
          </cell>
          <cell r="F247">
            <v>10010302</v>
          </cell>
          <cell r="G247" t="str">
            <v>FH\RES 5.1K F 1/8W 0805</v>
          </cell>
          <cell r="H247" t="str">
            <v>FH(风华)</v>
          </cell>
          <cell r="I247" t="str">
            <v>RS-05K5101FT</v>
          </cell>
          <cell r="J247">
            <v>100654</v>
          </cell>
          <cell r="K247" t="str">
            <v>广东风华高新科技股份有限公司</v>
          </cell>
          <cell r="L247" t="str">
            <v>X</v>
          </cell>
          <cell r="M247" t="str">
            <v/>
          </cell>
          <cell r="N247">
            <v>1</v>
          </cell>
          <cell r="O247">
            <v>3.7200000000000002E-3</v>
          </cell>
          <cell r="P247">
            <v>3.72</v>
          </cell>
          <cell r="Q247">
            <v>3.72</v>
          </cell>
          <cell r="R247">
            <v>1000</v>
          </cell>
          <cell r="S247" t="str">
            <v>PCS</v>
          </cell>
          <cell r="T247">
            <v>42</v>
          </cell>
          <cell r="U247" t="str">
            <v>J3</v>
          </cell>
          <cell r="V247" t="str">
            <v>CNY</v>
          </cell>
          <cell r="W247">
            <v>5000</v>
          </cell>
          <cell r="X247">
            <v>5000</v>
          </cell>
        </row>
        <row r="248">
          <cell r="D248">
            <v>10100006711</v>
          </cell>
          <cell r="E248" t="str">
            <v>厚膜贴片电阻器</v>
          </cell>
          <cell r="F248">
            <v>10010302</v>
          </cell>
          <cell r="G248" t="str">
            <v>WALS\RES 1K F 1/16W 0402</v>
          </cell>
          <cell r="H248" t="str">
            <v>WALS(华科)</v>
          </cell>
          <cell r="I248" t="str">
            <v>WR04X1001FTL</v>
          </cell>
          <cell r="J248">
            <v>100131</v>
          </cell>
          <cell r="K248" t="str">
            <v>东莞华科电子有限公司</v>
          </cell>
          <cell r="L248" t="str">
            <v>X</v>
          </cell>
          <cell r="M248" t="str">
            <v/>
          </cell>
          <cell r="N248">
            <v>1</v>
          </cell>
          <cell r="O248">
            <v>1.17E-3</v>
          </cell>
          <cell r="P248">
            <v>1.17</v>
          </cell>
          <cell r="Q248">
            <v>1.17</v>
          </cell>
          <cell r="R248">
            <v>1000</v>
          </cell>
          <cell r="S248" t="str">
            <v>PCS</v>
          </cell>
          <cell r="T248">
            <v>56</v>
          </cell>
          <cell r="U248" t="str">
            <v>J3</v>
          </cell>
          <cell r="V248" t="str">
            <v>CNY</v>
          </cell>
          <cell r="W248">
            <v>10000</v>
          </cell>
          <cell r="X248">
            <v>10000</v>
          </cell>
        </row>
        <row r="249">
          <cell r="D249">
            <v>10100006793</v>
          </cell>
          <cell r="E249" t="str">
            <v>厚膜贴片电阻器</v>
          </cell>
          <cell r="F249">
            <v>10010302</v>
          </cell>
          <cell r="G249" t="str">
            <v>WALS\RES 68K F 1/10W 0603</v>
          </cell>
          <cell r="H249" t="str">
            <v>WALS(华科)</v>
          </cell>
          <cell r="I249" t="str">
            <v>WR06X6802FTL</v>
          </cell>
          <cell r="J249">
            <v>100131</v>
          </cell>
          <cell r="K249" t="str">
            <v>东莞华科电子有限公司</v>
          </cell>
          <cell r="L249" t="str">
            <v>X</v>
          </cell>
          <cell r="M249" t="str">
            <v/>
          </cell>
          <cell r="N249">
            <v>1</v>
          </cell>
          <cell r="O249">
            <v>2.2200000000000002E-3</v>
          </cell>
          <cell r="P249">
            <v>2.2200000000000002</v>
          </cell>
          <cell r="Q249">
            <v>2.2200000000000002</v>
          </cell>
          <cell r="R249">
            <v>1000</v>
          </cell>
          <cell r="S249" t="str">
            <v>PCS</v>
          </cell>
          <cell r="T249">
            <v>56</v>
          </cell>
          <cell r="U249" t="str">
            <v>J3</v>
          </cell>
          <cell r="V249" t="str">
            <v>CNY</v>
          </cell>
          <cell r="W249">
            <v>5000</v>
          </cell>
          <cell r="X249">
            <v>5000</v>
          </cell>
        </row>
        <row r="250">
          <cell r="D250">
            <v>10100006809</v>
          </cell>
          <cell r="E250" t="str">
            <v>厚膜贴片电阻器</v>
          </cell>
          <cell r="F250">
            <v>10010302</v>
          </cell>
          <cell r="G250" t="str">
            <v>WALS\RES 2.2K F 1/10W 0603</v>
          </cell>
          <cell r="H250" t="str">
            <v>WALS(华科)</v>
          </cell>
          <cell r="I250" t="str">
            <v>WR06X2201FTL</v>
          </cell>
          <cell r="J250">
            <v>100131</v>
          </cell>
          <cell r="K250" t="str">
            <v>东莞华科电子有限公司</v>
          </cell>
          <cell r="L250" t="str">
            <v>X</v>
          </cell>
          <cell r="M250" t="str">
            <v/>
          </cell>
          <cell r="N250">
            <v>1</v>
          </cell>
          <cell r="O250">
            <v>2.2200000000000002E-3</v>
          </cell>
          <cell r="P250">
            <v>2.2200000000000002</v>
          </cell>
          <cell r="Q250">
            <v>2.2200000000000002</v>
          </cell>
          <cell r="R250">
            <v>1000</v>
          </cell>
          <cell r="S250" t="str">
            <v>PCS</v>
          </cell>
          <cell r="T250">
            <v>56</v>
          </cell>
          <cell r="U250" t="str">
            <v>J3</v>
          </cell>
          <cell r="V250" t="str">
            <v>CNY</v>
          </cell>
          <cell r="W250">
            <v>5000</v>
          </cell>
          <cell r="X250">
            <v>5000</v>
          </cell>
        </row>
        <row r="251">
          <cell r="D251">
            <v>10100006845</v>
          </cell>
          <cell r="E251" t="str">
            <v>厚膜贴片电阻器</v>
          </cell>
          <cell r="F251">
            <v>10010302</v>
          </cell>
          <cell r="G251" t="str">
            <v>WALS\RES 4.7K F 1/10W 0603</v>
          </cell>
          <cell r="H251" t="str">
            <v>WALS(华科)</v>
          </cell>
          <cell r="I251" t="str">
            <v>WR06X4701FTL</v>
          </cell>
          <cell r="J251">
            <v>100131</v>
          </cell>
          <cell r="K251" t="str">
            <v>东莞华科电子有限公司</v>
          </cell>
          <cell r="L251" t="str">
            <v>X</v>
          </cell>
          <cell r="M251" t="str">
            <v/>
          </cell>
          <cell r="N251">
            <v>1</v>
          </cell>
          <cell r="O251">
            <v>2.2200000000000002E-3</v>
          </cell>
          <cell r="P251">
            <v>2.2200000000000002</v>
          </cell>
          <cell r="Q251">
            <v>2.2200000000000002</v>
          </cell>
          <cell r="R251">
            <v>1000</v>
          </cell>
          <cell r="S251" t="str">
            <v>PCS</v>
          </cell>
          <cell r="T251">
            <v>56</v>
          </cell>
          <cell r="U251" t="str">
            <v>J3</v>
          </cell>
          <cell r="V251" t="str">
            <v>CNY</v>
          </cell>
          <cell r="W251">
            <v>5000</v>
          </cell>
          <cell r="X251">
            <v>5000</v>
          </cell>
        </row>
        <row r="252">
          <cell r="D252">
            <v>10100006984</v>
          </cell>
          <cell r="E252" t="str">
            <v>厚膜贴片电阻器</v>
          </cell>
          <cell r="F252">
            <v>10010302</v>
          </cell>
          <cell r="G252" t="str">
            <v>WALS\RES 470R F 1/4W 1206</v>
          </cell>
          <cell r="H252" t="str">
            <v>WALS(华科)</v>
          </cell>
          <cell r="I252" t="str">
            <v>WR12X4700FTL</v>
          </cell>
          <cell r="J252">
            <v>100131</v>
          </cell>
          <cell r="K252" t="str">
            <v>东莞华科电子有限公司</v>
          </cell>
          <cell r="L252" t="str">
            <v>X</v>
          </cell>
          <cell r="M252" t="str">
            <v/>
          </cell>
          <cell r="N252">
            <v>1</v>
          </cell>
          <cell r="O252">
            <v>6.9499999999999996E-3</v>
          </cell>
          <cell r="P252">
            <v>6.95</v>
          </cell>
          <cell r="Q252">
            <v>6.95</v>
          </cell>
          <cell r="R252">
            <v>1000</v>
          </cell>
          <cell r="S252" t="str">
            <v>PCS</v>
          </cell>
          <cell r="T252">
            <v>70</v>
          </cell>
          <cell r="U252" t="str">
            <v>J3</v>
          </cell>
          <cell r="V252" t="str">
            <v>CNY</v>
          </cell>
          <cell r="W252">
            <v>5000</v>
          </cell>
          <cell r="X252">
            <v>5000</v>
          </cell>
        </row>
        <row r="253">
          <cell r="D253">
            <v>10100007109</v>
          </cell>
          <cell r="E253" t="str">
            <v>厚膜贴片电阻器</v>
          </cell>
          <cell r="F253">
            <v>10010302</v>
          </cell>
          <cell r="G253" t="str">
            <v>WALS\RES 5.1K F 1/8W 0805</v>
          </cell>
          <cell r="H253" t="str">
            <v>WALS(华科)</v>
          </cell>
          <cell r="I253" t="str">
            <v>WR08X5101FTL</v>
          </cell>
          <cell r="J253">
            <v>100131</v>
          </cell>
          <cell r="K253" t="str">
            <v>东莞华科电子有限公司</v>
          </cell>
          <cell r="L253" t="str">
            <v>X</v>
          </cell>
          <cell r="M253" t="str">
            <v/>
          </cell>
          <cell r="N253">
            <v>1</v>
          </cell>
          <cell r="O253">
            <v>3.8800000000000002E-3</v>
          </cell>
          <cell r="P253">
            <v>3.88</v>
          </cell>
          <cell r="Q253">
            <v>3.88</v>
          </cell>
          <cell r="R253">
            <v>1000</v>
          </cell>
          <cell r="S253" t="str">
            <v>PCS</v>
          </cell>
          <cell r="T253">
            <v>56</v>
          </cell>
          <cell r="U253" t="str">
            <v>J3</v>
          </cell>
          <cell r="V253" t="str">
            <v>CNY</v>
          </cell>
          <cell r="W253">
            <v>5000</v>
          </cell>
          <cell r="X253">
            <v>5000</v>
          </cell>
        </row>
        <row r="254">
          <cell r="D254">
            <v>10100007174</v>
          </cell>
          <cell r="E254" t="str">
            <v>厚膜贴片电阻器</v>
          </cell>
          <cell r="F254">
            <v>10010302</v>
          </cell>
          <cell r="G254" t="str">
            <v>WALS\RES 47R F 1/4W 1206</v>
          </cell>
          <cell r="H254" t="str">
            <v>WALS(华科)</v>
          </cell>
          <cell r="I254" t="str">
            <v>WR12X47R0FTL</v>
          </cell>
          <cell r="J254">
            <v>100131</v>
          </cell>
          <cell r="K254" t="str">
            <v>东莞华科电子有限公司</v>
          </cell>
          <cell r="L254" t="str">
            <v>X</v>
          </cell>
          <cell r="M254" t="str">
            <v/>
          </cell>
          <cell r="N254">
            <v>1</v>
          </cell>
          <cell r="O254">
            <v>6.9499999999999996E-3</v>
          </cell>
          <cell r="P254">
            <v>6.95</v>
          </cell>
          <cell r="Q254">
            <v>6.95</v>
          </cell>
          <cell r="R254">
            <v>1000</v>
          </cell>
          <cell r="S254" t="str">
            <v>PCS</v>
          </cell>
          <cell r="T254">
            <v>70</v>
          </cell>
          <cell r="U254" t="str">
            <v>J3</v>
          </cell>
          <cell r="V254" t="str">
            <v>CNY</v>
          </cell>
          <cell r="W254">
            <v>5000</v>
          </cell>
          <cell r="X254">
            <v>5000</v>
          </cell>
        </row>
        <row r="255">
          <cell r="D255">
            <v>10100007562</v>
          </cell>
          <cell r="E255" t="str">
            <v>厚膜贴片电阻器</v>
          </cell>
          <cell r="F255">
            <v>10010302</v>
          </cell>
          <cell r="G255" t="str">
            <v>YAGEO\RES 100R F 1/4W 1206</v>
          </cell>
          <cell r="H255" t="str">
            <v>YAGEO(国巨)</v>
          </cell>
          <cell r="I255" t="str">
            <v>RC1206FR-07100RL</v>
          </cell>
          <cell r="J255">
            <v>100078</v>
          </cell>
          <cell r="K255" t="str">
            <v>深圳市超利维实业有限公司</v>
          </cell>
          <cell r="L255" t="str">
            <v>X</v>
          </cell>
          <cell r="M255" t="str">
            <v/>
          </cell>
          <cell r="N255">
            <v>1</v>
          </cell>
          <cell r="O255">
            <v>8.0000000000000002E-3</v>
          </cell>
          <cell r="P255">
            <v>8</v>
          </cell>
          <cell r="Q255">
            <v>8</v>
          </cell>
          <cell r="R255">
            <v>1000</v>
          </cell>
          <cell r="S255" t="str">
            <v>PCS</v>
          </cell>
          <cell r="T255">
            <v>56</v>
          </cell>
          <cell r="U255" t="str">
            <v>J3</v>
          </cell>
          <cell r="V255" t="str">
            <v>CNY</v>
          </cell>
          <cell r="W255">
            <v>5000</v>
          </cell>
          <cell r="X255">
            <v>5000</v>
          </cell>
        </row>
        <row r="256">
          <cell r="D256">
            <v>10100007615</v>
          </cell>
          <cell r="E256" t="str">
            <v>厚膜贴片电阻器</v>
          </cell>
          <cell r="F256">
            <v>10010302</v>
          </cell>
          <cell r="G256" t="str">
            <v>YAGEO\RES 100R F 1/16W 0402</v>
          </cell>
          <cell r="H256" t="str">
            <v>YAGEO(国巨)</v>
          </cell>
          <cell r="I256" t="str">
            <v>RC0402FR-07100RL</v>
          </cell>
          <cell r="J256">
            <v>100078</v>
          </cell>
          <cell r="K256" t="str">
            <v>深圳市超利维实业有限公司</v>
          </cell>
          <cell r="L256" t="str">
            <v>X</v>
          </cell>
          <cell r="M256" t="str">
            <v/>
          </cell>
          <cell r="N256">
            <v>1</v>
          </cell>
          <cell r="O256">
            <v>1.4E-3</v>
          </cell>
          <cell r="P256">
            <v>1.4</v>
          </cell>
          <cell r="Q256">
            <v>1.4</v>
          </cell>
          <cell r="R256">
            <v>1000</v>
          </cell>
          <cell r="S256" t="str">
            <v>PCS</v>
          </cell>
          <cell r="T256">
            <v>56</v>
          </cell>
          <cell r="U256" t="str">
            <v>J3</v>
          </cell>
          <cell r="V256" t="str">
            <v>CNY</v>
          </cell>
          <cell r="W256">
            <v>10000</v>
          </cell>
          <cell r="X256">
            <v>10000</v>
          </cell>
        </row>
        <row r="257">
          <cell r="D257">
            <v>10100007852</v>
          </cell>
          <cell r="E257" t="str">
            <v>厚膜贴片电阻器</v>
          </cell>
          <cell r="F257">
            <v>10010302</v>
          </cell>
          <cell r="G257" t="str">
            <v>YAGEO\RES 300K F 1/4W 1206</v>
          </cell>
          <cell r="H257" t="str">
            <v>YAGEO(国巨)</v>
          </cell>
          <cell r="I257" t="str">
            <v>RC1206FR-07300KL</v>
          </cell>
          <cell r="J257">
            <v>100078</v>
          </cell>
          <cell r="K257" t="str">
            <v>深圳市超利维实业有限公司</v>
          </cell>
          <cell r="L257" t="str">
            <v>X</v>
          </cell>
          <cell r="M257" t="str">
            <v/>
          </cell>
          <cell r="N257">
            <v>1</v>
          </cell>
          <cell r="O257">
            <v>8.0000000000000002E-3</v>
          </cell>
          <cell r="P257">
            <v>8</v>
          </cell>
          <cell r="Q257">
            <v>8</v>
          </cell>
          <cell r="R257">
            <v>1000</v>
          </cell>
          <cell r="S257" t="str">
            <v>PCS</v>
          </cell>
          <cell r="T257">
            <v>56</v>
          </cell>
          <cell r="U257" t="str">
            <v>J3</v>
          </cell>
          <cell r="V257" t="str">
            <v>CNY</v>
          </cell>
          <cell r="W257">
            <v>5000</v>
          </cell>
          <cell r="X257">
            <v>5000</v>
          </cell>
        </row>
        <row r="258">
          <cell r="D258">
            <v>10100008011</v>
          </cell>
          <cell r="E258" t="str">
            <v>厚膜贴片电阻器</v>
          </cell>
          <cell r="F258">
            <v>10010302</v>
          </cell>
          <cell r="G258" t="str">
            <v>WALS\RES 100R F 1/4W 1206</v>
          </cell>
          <cell r="H258" t="str">
            <v>WALS(华科)</v>
          </cell>
          <cell r="I258" t="str">
            <v>WR12X1000FTL</v>
          </cell>
          <cell r="J258">
            <v>100131</v>
          </cell>
          <cell r="K258" t="str">
            <v>东莞华科电子有限公司</v>
          </cell>
          <cell r="L258" t="str">
            <v>X</v>
          </cell>
          <cell r="M258" t="str">
            <v/>
          </cell>
          <cell r="N258">
            <v>1</v>
          </cell>
          <cell r="O258">
            <v>6.9499999999999996E-3</v>
          </cell>
          <cell r="P258">
            <v>6.95</v>
          </cell>
          <cell r="Q258">
            <v>6.95</v>
          </cell>
          <cell r="R258">
            <v>1000</v>
          </cell>
          <cell r="S258" t="str">
            <v>PCS</v>
          </cell>
          <cell r="T258">
            <v>70</v>
          </cell>
          <cell r="U258" t="str">
            <v>J3</v>
          </cell>
          <cell r="V258" t="str">
            <v>CNY</v>
          </cell>
          <cell r="W258">
            <v>5000</v>
          </cell>
          <cell r="X258">
            <v>5000</v>
          </cell>
        </row>
        <row r="259">
          <cell r="D259">
            <v>10100008057</v>
          </cell>
          <cell r="E259" t="str">
            <v>厚膜贴片电阻器</v>
          </cell>
          <cell r="F259">
            <v>10010302</v>
          </cell>
          <cell r="G259" t="str">
            <v>FH\RES 22K F 1/16W 0402</v>
          </cell>
          <cell r="H259" t="str">
            <v>FH(风华)</v>
          </cell>
          <cell r="I259" t="str">
            <v>RC-02K2202FT</v>
          </cell>
          <cell r="J259">
            <v>100654</v>
          </cell>
          <cell r="K259" t="str">
            <v>广东风华高新科技股份有限公司</v>
          </cell>
          <cell r="L259" t="str">
            <v>X</v>
          </cell>
          <cell r="M259" t="str">
            <v/>
          </cell>
          <cell r="N259">
            <v>1</v>
          </cell>
          <cell r="O259">
            <v>1.1000000000000001E-3</v>
          </cell>
          <cell r="P259">
            <v>1.1000000000000001</v>
          </cell>
          <cell r="Q259">
            <v>1.1000000000000001</v>
          </cell>
          <cell r="R259">
            <v>1000</v>
          </cell>
          <cell r="S259" t="str">
            <v>PCS</v>
          </cell>
          <cell r="T259">
            <v>42</v>
          </cell>
          <cell r="U259" t="str">
            <v>J3</v>
          </cell>
          <cell r="V259" t="str">
            <v>CNY</v>
          </cell>
          <cell r="W259">
            <v>10000</v>
          </cell>
          <cell r="X259">
            <v>10000</v>
          </cell>
        </row>
        <row r="260">
          <cell r="D260">
            <v>10100008069</v>
          </cell>
          <cell r="E260" t="str">
            <v>厚膜贴片电阻器</v>
          </cell>
          <cell r="F260">
            <v>10010302</v>
          </cell>
          <cell r="G260" t="str">
            <v>WALS\RES 22K F 1/16W 0402</v>
          </cell>
          <cell r="H260" t="str">
            <v>WALS(华科)</v>
          </cell>
          <cell r="I260" t="str">
            <v>WR04X2202FTL</v>
          </cell>
          <cell r="J260">
            <v>100131</v>
          </cell>
          <cell r="K260" t="str">
            <v>东莞华科电子有限公司</v>
          </cell>
          <cell r="L260" t="str">
            <v>X</v>
          </cell>
          <cell r="M260" t="str">
            <v/>
          </cell>
          <cell r="N260">
            <v>1</v>
          </cell>
          <cell r="O260">
            <v>1.17E-3</v>
          </cell>
          <cell r="P260">
            <v>1.17</v>
          </cell>
          <cell r="Q260">
            <v>1.17</v>
          </cell>
          <cell r="R260">
            <v>1000</v>
          </cell>
          <cell r="S260" t="str">
            <v>PCS</v>
          </cell>
          <cell r="T260">
            <v>56</v>
          </cell>
          <cell r="U260" t="str">
            <v>J3</v>
          </cell>
          <cell r="V260" t="str">
            <v>CNY</v>
          </cell>
          <cell r="W260">
            <v>10000</v>
          </cell>
          <cell r="X260">
            <v>10000</v>
          </cell>
        </row>
        <row r="261">
          <cell r="D261">
            <v>10100008075</v>
          </cell>
          <cell r="E261" t="str">
            <v>厚膜贴片电阻器</v>
          </cell>
          <cell r="F261">
            <v>10010302</v>
          </cell>
          <cell r="G261" t="str">
            <v>YAGEO\RES 22K F 1/16W 0402</v>
          </cell>
          <cell r="H261" t="str">
            <v>YAGEO(国巨)</v>
          </cell>
          <cell r="I261" t="str">
            <v>RC0402FR-0722KL</v>
          </cell>
          <cell r="J261">
            <v>100078</v>
          </cell>
          <cell r="K261" t="str">
            <v>深圳市超利维实业有限公司</v>
          </cell>
          <cell r="L261" t="str">
            <v>X</v>
          </cell>
          <cell r="M261" t="str">
            <v/>
          </cell>
          <cell r="N261">
            <v>1</v>
          </cell>
          <cell r="O261">
            <v>1.4E-3</v>
          </cell>
          <cell r="P261">
            <v>1.4</v>
          </cell>
          <cell r="Q261">
            <v>1.4</v>
          </cell>
          <cell r="R261">
            <v>1000</v>
          </cell>
          <cell r="S261" t="str">
            <v>PCS</v>
          </cell>
          <cell r="T261">
            <v>56</v>
          </cell>
          <cell r="U261" t="str">
            <v>J3</v>
          </cell>
          <cell r="V261" t="str">
            <v>CNY</v>
          </cell>
          <cell r="W261">
            <v>10000</v>
          </cell>
          <cell r="X261">
            <v>10000</v>
          </cell>
        </row>
        <row r="262">
          <cell r="D262">
            <v>10100008302</v>
          </cell>
          <cell r="E262" t="str">
            <v>厚膜贴片电阻器</v>
          </cell>
          <cell r="F262">
            <v>10010302</v>
          </cell>
          <cell r="G262" t="str">
            <v>WALS\RES 100R F 1/16W 0402</v>
          </cell>
          <cell r="H262" t="str">
            <v>WALS(华科)</v>
          </cell>
          <cell r="I262" t="str">
            <v>WR04X1000FTL</v>
          </cell>
          <cell r="J262">
            <v>100131</v>
          </cell>
          <cell r="K262" t="str">
            <v>东莞华科电子有限公司</v>
          </cell>
          <cell r="L262" t="str">
            <v>X</v>
          </cell>
          <cell r="M262" t="str">
            <v/>
          </cell>
          <cell r="N262">
            <v>1</v>
          </cell>
          <cell r="O262">
            <v>1.17E-3</v>
          </cell>
          <cell r="P262">
            <v>1.17</v>
          </cell>
          <cell r="Q262">
            <v>1.17</v>
          </cell>
          <cell r="R262">
            <v>1000</v>
          </cell>
          <cell r="S262" t="str">
            <v>PCS</v>
          </cell>
          <cell r="T262">
            <v>56</v>
          </cell>
          <cell r="U262" t="str">
            <v>J3</v>
          </cell>
          <cell r="V262" t="str">
            <v>CNY</v>
          </cell>
          <cell r="W262">
            <v>10000</v>
          </cell>
          <cell r="X262">
            <v>10000</v>
          </cell>
        </row>
        <row r="263">
          <cell r="D263">
            <v>10100008735</v>
          </cell>
          <cell r="E263" t="str">
            <v>厚膜贴片电阻器</v>
          </cell>
          <cell r="F263">
            <v>10010302</v>
          </cell>
          <cell r="G263" t="str">
            <v>FH\RES 0R R&lt;10mR 1/16W 0402 1A</v>
          </cell>
          <cell r="H263" t="str">
            <v>FH(风华)</v>
          </cell>
          <cell r="I263" t="str">
            <v>RC-02000FT</v>
          </cell>
          <cell r="J263">
            <v>100654</v>
          </cell>
          <cell r="K263" t="str">
            <v>广东风华高新科技股份有限公司</v>
          </cell>
          <cell r="L263" t="str">
            <v>X</v>
          </cell>
          <cell r="M263" t="str">
            <v/>
          </cell>
          <cell r="N263">
            <v>1</v>
          </cell>
          <cell r="O263">
            <v>1.1000000000000001E-3</v>
          </cell>
          <cell r="P263">
            <v>1.1000000000000001</v>
          </cell>
          <cell r="Q263">
            <v>1.1000000000000001</v>
          </cell>
          <cell r="R263">
            <v>1000</v>
          </cell>
          <cell r="S263" t="str">
            <v>PCS</v>
          </cell>
          <cell r="T263">
            <v>42</v>
          </cell>
          <cell r="U263" t="str">
            <v>J3</v>
          </cell>
          <cell r="V263" t="str">
            <v>CNY</v>
          </cell>
          <cell r="W263">
            <v>10000</v>
          </cell>
          <cell r="X263">
            <v>10000</v>
          </cell>
        </row>
        <row r="264">
          <cell r="D264">
            <v>10100008776</v>
          </cell>
          <cell r="E264" t="str">
            <v>厚膜贴片电阻器</v>
          </cell>
          <cell r="F264">
            <v>10010302</v>
          </cell>
          <cell r="G264" t="str">
            <v>FH\RES 0R R&lt;10mR 1/10W 0603 1A</v>
          </cell>
          <cell r="H264" t="str">
            <v>FH(风华)</v>
          </cell>
          <cell r="I264" t="str">
            <v>RS-03000FT</v>
          </cell>
          <cell r="J264">
            <v>100654</v>
          </cell>
          <cell r="K264" t="str">
            <v>广东风华高新科技股份有限公司</v>
          </cell>
          <cell r="L264" t="str">
            <v>X</v>
          </cell>
          <cell r="M264" t="str">
            <v/>
          </cell>
          <cell r="N264">
            <v>1</v>
          </cell>
          <cell r="O264">
            <v>2.0799999999999998E-3</v>
          </cell>
          <cell r="P264">
            <v>2.08</v>
          </cell>
          <cell r="Q264">
            <v>2.08</v>
          </cell>
          <cell r="R264">
            <v>1000</v>
          </cell>
          <cell r="S264" t="str">
            <v>PCS</v>
          </cell>
          <cell r="T264">
            <v>42</v>
          </cell>
          <cell r="U264" t="str">
            <v>J3</v>
          </cell>
          <cell r="V264" t="str">
            <v>CNY</v>
          </cell>
          <cell r="W264">
            <v>5000</v>
          </cell>
          <cell r="X264">
            <v>5000</v>
          </cell>
        </row>
        <row r="265">
          <cell r="D265">
            <v>10100008807</v>
          </cell>
          <cell r="E265" t="str">
            <v>厚膜贴片电阻器</v>
          </cell>
          <cell r="F265">
            <v>10010302</v>
          </cell>
          <cell r="G265" t="str">
            <v>WALS\RES 390R F 1/16W 0402</v>
          </cell>
          <cell r="H265" t="str">
            <v>WALS(华科)</v>
          </cell>
          <cell r="I265" t="str">
            <v>WR04X3900FTL</v>
          </cell>
          <cell r="J265">
            <v>100131</v>
          </cell>
          <cell r="K265" t="str">
            <v>东莞华科电子有限公司</v>
          </cell>
          <cell r="L265" t="str">
            <v>X</v>
          </cell>
          <cell r="M265" t="str">
            <v/>
          </cell>
          <cell r="N265">
            <v>1</v>
          </cell>
          <cell r="O265">
            <v>1.17E-3</v>
          </cell>
          <cell r="P265">
            <v>1.17</v>
          </cell>
          <cell r="Q265">
            <v>1.17</v>
          </cell>
          <cell r="R265">
            <v>1000</v>
          </cell>
          <cell r="S265" t="str">
            <v>PCS</v>
          </cell>
          <cell r="T265">
            <v>56</v>
          </cell>
          <cell r="U265" t="str">
            <v>J3</v>
          </cell>
          <cell r="V265" t="str">
            <v>CNY</v>
          </cell>
          <cell r="W265">
            <v>10000</v>
          </cell>
          <cell r="X265">
            <v>10000</v>
          </cell>
        </row>
        <row r="266">
          <cell r="D266">
            <v>10100008809</v>
          </cell>
          <cell r="E266" t="str">
            <v>厚膜贴片电阻器</v>
          </cell>
          <cell r="F266">
            <v>10010302</v>
          </cell>
          <cell r="G266" t="str">
            <v>FH\RES 390R F 1/16W 0402</v>
          </cell>
          <cell r="H266" t="str">
            <v>FH(风华)</v>
          </cell>
          <cell r="I266" t="str">
            <v>RC-02K3900FT</v>
          </cell>
          <cell r="J266">
            <v>100654</v>
          </cell>
          <cell r="K266" t="str">
            <v>广东风华高新科技股份有限公司</v>
          </cell>
          <cell r="L266" t="str">
            <v>X</v>
          </cell>
          <cell r="M266" t="str">
            <v/>
          </cell>
          <cell r="N266">
            <v>1</v>
          </cell>
          <cell r="O266">
            <v>1.1000000000000001E-3</v>
          </cell>
          <cell r="P266">
            <v>1.1000000000000001</v>
          </cell>
          <cell r="Q266">
            <v>1.1000000000000001</v>
          </cell>
          <cell r="R266">
            <v>1000</v>
          </cell>
          <cell r="S266" t="str">
            <v>PCS</v>
          </cell>
          <cell r="T266">
            <v>42</v>
          </cell>
          <cell r="U266" t="str">
            <v>J3</v>
          </cell>
          <cell r="V266" t="str">
            <v>CNY</v>
          </cell>
          <cell r="W266">
            <v>10000</v>
          </cell>
          <cell r="X266">
            <v>10000</v>
          </cell>
        </row>
        <row r="267">
          <cell r="D267">
            <v>10100008827</v>
          </cell>
          <cell r="E267" t="str">
            <v>厚膜贴片电阻器</v>
          </cell>
          <cell r="F267">
            <v>10010302</v>
          </cell>
          <cell r="G267" t="str">
            <v>WALS\RES 9.1K F 1/16W 0402</v>
          </cell>
          <cell r="H267" t="str">
            <v>WALS(华科)</v>
          </cell>
          <cell r="I267" t="str">
            <v>WR04X9101FTL</v>
          </cell>
          <cell r="J267">
            <v>100131</v>
          </cell>
          <cell r="K267" t="str">
            <v>东莞华科电子有限公司</v>
          </cell>
          <cell r="L267" t="str">
            <v>X</v>
          </cell>
          <cell r="M267" t="str">
            <v/>
          </cell>
          <cell r="N267">
            <v>1</v>
          </cell>
          <cell r="O267">
            <v>1.17E-3</v>
          </cell>
          <cell r="P267">
            <v>1.17</v>
          </cell>
          <cell r="Q267">
            <v>1.17</v>
          </cell>
          <cell r="R267">
            <v>1000</v>
          </cell>
          <cell r="S267" t="str">
            <v>PCS</v>
          </cell>
          <cell r="T267">
            <v>56</v>
          </cell>
          <cell r="U267" t="str">
            <v>J3</v>
          </cell>
          <cell r="V267" t="str">
            <v>CNY</v>
          </cell>
          <cell r="W267">
            <v>10000</v>
          </cell>
          <cell r="X267">
            <v>10000</v>
          </cell>
        </row>
        <row r="268">
          <cell r="D268">
            <v>10100008830</v>
          </cell>
          <cell r="E268" t="str">
            <v>厚膜贴片电阻器</v>
          </cell>
          <cell r="F268">
            <v>10010302</v>
          </cell>
          <cell r="G268" t="str">
            <v>YAGEO\RES 9.1K F 1/16W 0402</v>
          </cell>
          <cell r="H268" t="str">
            <v>YAGEO(国巨)</v>
          </cell>
          <cell r="I268" t="str">
            <v>RC0402FR-079K1L</v>
          </cell>
          <cell r="J268">
            <v>100078</v>
          </cell>
          <cell r="K268" t="str">
            <v>深圳市超利维实业有限公司</v>
          </cell>
          <cell r="L268" t="str">
            <v>X</v>
          </cell>
          <cell r="M268" t="str">
            <v/>
          </cell>
          <cell r="N268">
            <v>1</v>
          </cell>
          <cell r="O268">
            <v>1.4E-3</v>
          </cell>
          <cell r="P268">
            <v>1.4</v>
          </cell>
          <cell r="Q268">
            <v>1.4</v>
          </cell>
          <cell r="R268">
            <v>1000</v>
          </cell>
          <cell r="S268" t="str">
            <v>PCS</v>
          </cell>
          <cell r="T268">
            <v>84</v>
          </cell>
          <cell r="U268" t="str">
            <v>J3</v>
          </cell>
          <cell r="V268" t="str">
            <v>CNY</v>
          </cell>
          <cell r="W268">
            <v>10000</v>
          </cell>
          <cell r="X268">
            <v>10000</v>
          </cell>
        </row>
        <row r="269">
          <cell r="D269">
            <v>10100009092</v>
          </cell>
          <cell r="E269" t="str">
            <v>厚膜贴片电阻器</v>
          </cell>
          <cell r="F269">
            <v>10010302</v>
          </cell>
          <cell r="G269" t="str">
            <v>YAGEO\RES 2K F 1/16W 0402</v>
          </cell>
          <cell r="H269" t="str">
            <v>YAGEO(国巨)</v>
          </cell>
          <cell r="I269" t="str">
            <v>RC0402FR-072KL</v>
          </cell>
          <cell r="J269">
            <v>101553</v>
          </cell>
          <cell r="K269" t="str">
            <v>深圳市奥特高科电子有限公司</v>
          </cell>
          <cell r="L269" t="str">
            <v>X</v>
          </cell>
          <cell r="M269" t="str">
            <v/>
          </cell>
          <cell r="N269">
            <v>1</v>
          </cell>
          <cell r="O269">
            <v>1.2999999999999999E-3</v>
          </cell>
          <cell r="P269">
            <v>1.3</v>
          </cell>
          <cell r="Q269">
            <v>1.3</v>
          </cell>
          <cell r="R269">
            <v>1000</v>
          </cell>
          <cell r="S269" t="str">
            <v>PCS</v>
          </cell>
          <cell r="T269">
            <v>84</v>
          </cell>
          <cell r="U269" t="str">
            <v>J3</v>
          </cell>
          <cell r="V269" t="str">
            <v>CNY</v>
          </cell>
          <cell r="W269">
            <v>10000</v>
          </cell>
          <cell r="X269">
            <v>10000</v>
          </cell>
        </row>
        <row r="270">
          <cell r="D270">
            <v>10100009093</v>
          </cell>
          <cell r="E270" t="str">
            <v>厚膜贴片电阻器</v>
          </cell>
          <cell r="F270">
            <v>10010302</v>
          </cell>
          <cell r="G270" t="str">
            <v>WALS\RES 2K F 1/16W 0402</v>
          </cell>
          <cell r="H270" t="str">
            <v>WALS(华科)</v>
          </cell>
          <cell r="I270" t="str">
            <v>WR04X2001FTL</v>
          </cell>
          <cell r="J270">
            <v>100131</v>
          </cell>
          <cell r="K270" t="str">
            <v>东莞华科电子有限公司</v>
          </cell>
          <cell r="L270" t="str">
            <v>X</v>
          </cell>
          <cell r="M270" t="str">
            <v/>
          </cell>
          <cell r="N270">
            <v>1</v>
          </cell>
          <cell r="O270">
            <v>1.17E-3</v>
          </cell>
          <cell r="P270">
            <v>1.17</v>
          </cell>
          <cell r="Q270">
            <v>1.17</v>
          </cell>
          <cell r="R270">
            <v>1000</v>
          </cell>
          <cell r="S270" t="str">
            <v>PCS</v>
          </cell>
          <cell r="T270">
            <v>56</v>
          </cell>
          <cell r="U270" t="str">
            <v>J3</v>
          </cell>
          <cell r="V270" t="str">
            <v>CNY</v>
          </cell>
          <cell r="W270">
            <v>10000</v>
          </cell>
          <cell r="X270">
            <v>10000</v>
          </cell>
        </row>
        <row r="271">
          <cell r="D271">
            <v>10100009552</v>
          </cell>
          <cell r="E271" t="str">
            <v>厚膜贴片电阻器</v>
          </cell>
          <cell r="F271">
            <v>10010302</v>
          </cell>
          <cell r="G271" t="str">
            <v>ROYA\RES 2.2K F 1/10W 0603</v>
          </cell>
          <cell r="H271" t="str">
            <v>ROYALOHM(厚声)</v>
          </cell>
          <cell r="I271" t="str">
            <v>0603WAF2201T5E</v>
          </cell>
          <cell r="J271">
            <v>100096</v>
          </cell>
          <cell r="K271" t="str">
            <v>厚声国际贸易（昆山）有限公司深圳分公司</v>
          </cell>
          <cell r="L271" t="str">
            <v>X</v>
          </cell>
          <cell r="M271" t="str">
            <v/>
          </cell>
          <cell r="N271">
            <v>1</v>
          </cell>
          <cell r="O271">
            <v>2.0999999999999999E-3</v>
          </cell>
          <cell r="P271">
            <v>2.1</v>
          </cell>
          <cell r="Q271">
            <v>2.1</v>
          </cell>
          <cell r="R271">
            <v>1000</v>
          </cell>
          <cell r="S271" t="str">
            <v>PCS</v>
          </cell>
          <cell r="T271">
            <v>42</v>
          </cell>
          <cell r="U271" t="str">
            <v>J3</v>
          </cell>
          <cell r="V271" t="str">
            <v>CNY</v>
          </cell>
          <cell r="W271">
            <v>5000</v>
          </cell>
          <cell r="X271">
            <v>5000</v>
          </cell>
        </row>
        <row r="272">
          <cell r="D272">
            <v>10100009721</v>
          </cell>
          <cell r="E272" t="str">
            <v>厚膜贴片电阻器</v>
          </cell>
          <cell r="F272">
            <v>10010302</v>
          </cell>
          <cell r="G272" t="str">
            <v>YAGEO\RES 11K F 1/16W 0402</v>
          </cell>
          <cell r="H272" t="str">
            <v>YAGEO(国巨)</v>
          </cell>
          <cell r="I272" t="str">
            <v>RC0402FR-0711KL</v>
          </cell>
          <cell r="J272">
            <v>100078</v>
          </cell>
          <cell r="K272" t="str">
            <v>深圳市超利维实业有限公司</v>
          </cell>
          <cell r="L272" t="str">
            <v>X</v>
          </cell>
          <cell r="M272" t="str">
            <v/>
          </cell>
          <cell r="N272">
            <v>1</v>
          </cell>
          <cell r="O272">
            <v>1.4E-3</v>
          </cell>
          <cell r="P272">
            <v>1.4</v>
          </cell>
          <cell r="Q272">
            <v>1.4</v>
          </cell>
          <cell r="R272">
            <v>1000</v>
          </cell>
          <cell r="S272" t="str">
            <v>PCS</v>
          </cell>
          <cell r="T272">
            <v>84</v>
          </cell>
          <cell r="U272" t="str">
            <v>J3</v>
          </cell>
          <cell r="V272" t="str">
            <v>CNY</v>
          </cell>
          <cell r="W272">
            <v>10000</v>
          </cell>
          <cell r="X272">
            <v>10000</v>
          </cell>
        </row>
        <row r="273">
          <cell r="D273">
            <v>10100009722</v>
          </cell>
          <cell r="E273" t="str">
            <v>厚膜贴片电阻器</v>
          </cell>
          <cell r="F273">
            <v>10010302</v>
          </cell>
          <cell r="G273" t="str">
            <v>WALS\RES 11K F 1/16W 0402</v>
          </cell>
          <cell r="H273" t="str">
            <v>WALS(华科)</v>
          </cell>
          <cell r="I273" t="str">
            <v>WR04X1102FTL</v>
          </cell>
          <cell r="J273">
            <v>100131</v>
          </cell>
          <cell r="K273" t="str">
            <v>东莞华科电子有限公司</v>
          </cell>
          <cell r="L273" t="str">
            <v>X</v>
          </cell>
          <cell r="M273" t="str">
            <v/>
          </cell>
          <cell r="N273">
            <v>1</v>
          </cell>
          <cell r="O273">
            <v>1.17E-3</v>
          </cell>
          <cell r="P273">
            <v>1.17</v>
          </cell>
          <cell r="Q273">
            <v>1.17</v>
          </cell>
          <cell r="R273">
            <v>1000</v>
          </cell>
          <cell r="S273" t="str">
            <v>PCS</v>
          </cell>
          <cell r="T273">
            <v>56</v>
          </cell>
          <cell r="U273" t="str">
            <v>J3</v>
          </cell>
          <cell r="V273" t="str">
            <v>CNY</v>
          </cell>
          <cell r="W273">
            <v>10000</v>
          </cell>
          <cell r="X273">
            <v>10000</v>
          </cell>
        </row>
        <row r="274">
          <cell r="D274">
            <v>10100009838</v>
          </cell>
          <cell r="E274" t="str">
            <v>厚膜贴片电阻器</v>
          </cell>
          <cell r="F274">
            <v>10010302</v>
          </cell>
          <cell r="G274" t="str">
            <v>ROYA\RES 10K F 1/16W 0402</v>
          </cell>
          <cell r="H274" t="str">
            <v>ROYALOHM(厚声)</v>
          </cell>
          <cell r="I274" t="str">
            <v>0402WGF1002TCE</v>
          </cell>
          <cell r="J274">
            <v>100096</v>
          </cell>
          <cell r="K274" t="str">
            <v>厚声国际贸易（昆山）有限公司深圳分公司</v>
          </cell>
          <cell r="L274" t="str">
            <v>X</v>
          </cell>
          <cell r="M274" t="str">
            <v/>
          </cell>
          <cell r="N274">
            <v>1</v>
          </cell>
          <cell r="O274">
            <v>1.09E-3</v>
          </cell>
          <cell r="P274">
            <v>1.0900000000000001</v>
          </cell>
          <cell r="Q274">
            <v>1.0900000000000001</v>
          </cell>
          <cell r="R274">
            <v>1000</v>
          </cell>
          <cell r="S274" t="str">
            <v>PCS</v>
          </cell>
          <cell r="T274">
            <v>42</v>
          </cell>
          <cell r="U274" t="str">
            <v>J3</v>
          </cell>
          <cell r="V274" t="str">
            <v>CNY</v>
          </cell>
          <cell r="W274">
            <v>10000</v>
          </cell>
          <cell r="X274">
            <v>10000</v>
          </cell>
        </row>
        <row r="275">
          <cell r="D275">
            <v>10100009843</v>
          </cell>
          <cell r="E275" t="str">
            <v>厚膜贴片电阻器</v>
          </cell>
          <cell r="F275">
            <v>10010302</v>
          </cell>
          <cell r="G275" t="str">
            <v>YAGEO\RES 5.6K F 1/16W 0402</v>
          </cell>
          <cell r="H275" t="str">
            <v>YAGEO(国巨)</v>
          </cell>
          <cell r="I275" t="str">
            <v>RC0402FR-075K6L</v>
          </cell>
          <cell r="J275">
            <v>100078</v>
          </cell>
          <cell r="K275" t="str">
            <v>深圳市超利维实业有限公司</v>
          </cell>
          <cell r="L275" t="str">
            <v>X</v>
          </cell>
          <cell r="M275" t="str">
            <v/>
          </cell>
          <cell r="N275">
            <v>1</v>
          </cell>
          <cell r="O275">
            <v>1.4E-3</v>
          </cell>
          <cell r="P275">
            <v>1.4</v>
          </cell>
          <cell r="Q275">
            <v>1.4</v>
          </cell>
          <cell r="R275">
            <v>1000</v>
          </cell>
          <cell r="S275" t="str">
            <v>PCS</v>
          </cell>
          <cell r="T275">
            <v>84</v>
          </cell>
          <cell r="U275" t="str">
            <v>J3</v>
          </cell>
          <cell r="V275" t="str">
            <v>CNY</v>
          </cell>
          <cell r="W275">
            <v>10000</v>
          </cell>
          <cell r="X275">
            <v>10000</v>
          </cell>
        </row>
        <row r="276">
          <cell r="D276">
            <v>10100010045</v>
          </cell>
          <cell r="E276" t="str">
            <v>厚膜贴片电阻器</v>
          </cell>
          <cell r="F276">
            <v>10010302</v>
          </cell>
          <cell r="G276" t="str">
            <v>WALS\RES 10K F 1/16W 0402</v>
          </cell>
          <cell r="H276" t="str">
            <v>WALS(华科)</v>
          </cell>
          <cell r="I276" t="str">
            <v>WR04X1002FTL</v>
          </cell>
          <cell r="J276">
            <v>100131</v>
          </cell>
          <cell r="K276" t="str">
            <v>东莞华科电子有限公司</v>
          </cell>
          <cell r="L276" t="str">
            <v>X</v>
          </cell>
          <cell r="M276" t="str">
            <v/>
          </cell>
          <cell r="N276">
            <v>1</v>
          </cell>
          <cell r="O276">
            <v>1.17E-3</v>
          </cell>
          <cell r="P276">
            <v>1.17</v>
          </cell>
          <cell r="Q276">
            <v>1.17</v>
          </cell>
          <cell r="R276">
            <v>1000</v>
          </cell>
          <cell r="S276" t="str">
            <v>PCS</v>
          </cell>
          <cell r="T276">
            <v>56</v>
          </cell>
          <cell r="U276" t="str">
            <v>J3</v>
          </cell>
          <cell r="V276" t="str">
            <v>CNY</v>
          </cell>
          <cell r="W276">
            <v>10000</v>
          </cell>
          <cell r="X276">
            <v>10000</v>
          </cell>
        </row>
        <row r="277">
          <cell r="D277">
            <v>10100011090</v>
          </cell>
          <cell r="E277" t="str">
            <v>厚膜贴片电阻器</v>
          </cell>
          <cell r="F277">
            <v>10010302</v>
          </cell>
          <cell r="G277" t="str">
            <v>ROYA\RES 4.7K F 1/10W 0603</v>
          </cell>
          <cell r="H277" t="str">
            <v>ROYALOHM(厚声)</v>
          </cell>
          <cell r="I277" t="str">
            <v>0603WAF4701T5E</v>
          </cell>
          <cell r="J277">
            <v>100096</v>
          </cell>
          <cell r="K277" t="str">
            <v>厚声国际贸易（昆山）有限公司深圳分公司</v>
          </cell>
          <cell r="L277" t="str">
            <v>X</v>
          </cell>
          <cell r="M277" t="str">
            <v/>
          </cell>
          <cell r="N277">
            <v>1</v>
          </cell>
          <cell r="O277">
            <v>2.0999999999999999E-3</v>
          </cell>
          <cell r="P277">
            <v>2.1</v>
          </cell>
          <cell r="Q277">
            <v>2.1</v>
          </cell>
          <cell r="R277">
            <v>1000</v>
          </cell>
          <cell r="S277" t="str">
            <v>PCS</v>
          </cell>
          <cell r="T277">
            <v>42</v>
          </cell>
          <cell r="U277" t="str">
            <v>J3</v>
          </cell>
          <cell r="V277" t="str">
            <v>CNY</v>
          </cell>
          <cell r="W277">
            <v>5000</v>
          </cell>
          <cell r="X277">
            <v>5000</v>
          </cell>
        </row>
        <row r="278">
          <cell r="D278">
            <v>10100011096</v>
          </cell>
          <cell r="E278" t="str">
            <v>厚膜贴片电阻器</v>
          </cell>
          <cell r="F278">
            <v>10010302</v>
          </cell>
          <cell r="G278" t="str">
            <v>ROYA\RES 47R F 1/4W 1206</v>
          </cell>
          <cell r="H278" t="str">
            <v>ROYALOHM(厚声)</v>
          </cell>
          <cell r="I278" t="str">
            <v>1206W4F470JT5E</v>
          </cell>
          <cell r="J278">
            <v>100096</v>
          </cell>
          <cell r="K278" t="str">
            <v>厚声国际贸易（昆山）有限公司深圳分公司</v>
          </cell>
          <cell r="L278" t="str">
            <v>X</v>
          </cell>
          <cell r="M278" t="str">
            <v/>
          </cell>
          <cell r="N278">
            <v>1</v>
          </cell>
          <cell r="O278">
            <v>6.7799999999999996E-3</v>
          </cell>
          <cell r="P278">
            <v>6.78</v>
          </cell>
          <cell r="Q278">
            <v>6.78</v>
          </cell>
          <cell r="R278">
            <v>1000</v>
          </cell>
          <cell r="S278" t="str">
            <v>PCS</v>
          </cell>
          <cell r="T278">
            <v>42</v>
          </cell>
          <cell r="U278" t="str">
            <v>J3</v>
          </cell>
          <cell r="V278" t="str">
            <v>CNY</v>
          </cell>
          <cell r="W278">
            <v>5000</v>
          </cell>
          <cell r="X278">
            <v>5000</v>
          </cell>
        </row>
        <row r="279">
          <cell r="D279">
            <v>10100011343</v>
          </cell>
          <cell r="E279" t="str">
            <v>厚膜贴片电阻器</v>
          </cell>
          <cell r="F279">
            <v>10010302</v>
          </cell>
          <cell r="G279" t="str">
            <v>WALS\RES 5.6K F 1/16W 0402</v>
          </cell>
          <cell r="H279" t="str">
            <v>WALS(华科)</v>
          </cell>
          <cell r="I279" t="str">
            <v>WR04X5601FTL</v>
          </cell>
          <cell r="J279">
            <v>100131</v>
          </cell>
          <cell r="K279" t="str">
            <v>东莞华科电子有限公司</v>
          </cell>
          <cell r="L279" t="str">
            <v>X</v>
          </cell>
          <cell r="M279" t="str">
            <v/>
          </cell>
          <cell r="N279">
            <v>1</v>
          </cell>
          <cell r="O279">
            <v>1.17E-3</v>
          </cell>
          <cell r="P279">
            <v>1.17</v>
          </cell>
          <cell r="Q279">
            <v>1.17</v>
          </cell>
          <cell r="R279">
            <v>1000</v>
          </cell>
          <cell r="S279" t="str">
            <v>PCS</v>
          </cell>
          <cell r="T279">
            <v>56</v>
          </cell>
          <cell r="U279" t="str">
            <v>J3</v>
          </cell>
          <cell r="V279" t="str">
            <v>CNY</v>
          </cell>
          <cell r="W279">
            <v>10000</v>
          </cell>
          <cell r="X279">
            <v>10000</v>
          </cell>
        </row>
        <row r="280">
          <cell r="D280">
            <v>10100011621</v>
          </cell>
          <cell r="E280" t="str">
            <v>厚膜贴片电阻器</v>
          </cell>
          <cell r="F280">
            <v>10010302</v>
          </cell>
          <cell r="G280" t="str">
            <v>FH\RES 5.6K F 1/16W 0402</v>
          </cell>
          <cell r="H280" t="str">
            <v>FH(风华)</v>
          </cell>
          <cell r="I280" t="str">
            <v>RC-02K5601FT</v>
          </cell>
          <cell r="J280">
            <v>100654</v>
          </cell>
          <cell r="K280" t="str">
            <v>广东风华高新科技股份有限公司</v>
          </cell>
          <cell r="L280" t="str">
            <v>X</v>
          </cell>
          <cell r="M280" t="str">
            <v/>
          </cell>
          <cell r="N280">
            <v>1</v>
          </cell>
          <cell r="O280">
            <v>1.1000000000000001E-3</v>
          </cell>
          <cell r="P280">
            <v>1.1000000000000001</v>
          </cell>
          <cell r="Q280">
            <v>1.1000000000000001</v>
          </cell>
          <cell r="R280">
            <v>1000</v>
          </cell>
          <cell r="S280" t="str">
            <v>PCS</v>
          </cell>
          <cell r="T280">
            <v>42</v>
          </cell>
          <cell r="U280" t="str">
            <v>J3</v>
          </cell>
          <cell r="V280" t="str">
            <v>CNY</v>
          </cell>
          <cell r="W280">
            <v>10000</v>
          </cell>
          <cell r="X280">
            <v>10000</v>
          </cell>
        </row>
        <row r="281">
          <cell r="D281">
            <v>10100011726</v>
          </cell>
          <cell r="E281" t="str">
            <v>厚膜贴片电阻器</v>
          </cell>
          <cell r="F281">
            <v>10010302</v>
          </cell>
          <cell r="G281" t="str">
            <v>YAGEO\RES 5.1K F 1/16W 0402</v>
          </cell>
          <cell r="H281" t="str">
            <v>YAGEO(国巨)</v>
          </cell>
          <cell r="I281" t="str">
            <v>RC0402FR-075K1L</v>
          </cell>
          <cell r="J281">
            <v>100078</v>
          </cell>
          <cell r="K281" t="str">
            <v>深圳市超利维实业有限公司</v>
          </cell>
          <cell r="L281" t="str">
            <v>X</v>
          </cell>
          <cell r="M281" t="str">
            <v/>
          </cell>
          <cell r="N281">
            <v>1</v>
          </cell>
          <cell r="O281">
            <v>1.4E-3</v>
          </cell>
          <cell r="P281">
            <v>1.4</v>
          </cell>
          <cell r="Q281">
            <v>1.4</v>
          </cell>
          <cell r="R281">
            <v>1000</v>
          </cell>
          <cell r="S281" t="str">
            <v>PCS</v>
          </cell>
          <cell r="T281">
            <v>56</v>
          </cell>
          <cell r="U281" t="str">
            <v>J3</v>
          </cell>
          <cell r="V281" t="str">
            <v>CNY</v>
          </cell>
          <cell r="W281">
            <v>10000</v>
          </cell>
          <cell r="X281">
            <v>10000</v>
          </cell>
        </row>
        <row r="282">
          <cell r="D282">
            <v>10100011886</v>
          </cell>
          <cell r="E282" t="str">
            <v>厚膜贴片电阻器</v>
          </cell>
          <cell r="F282">
            <v>10010302</v>
          </cell>
          <cell r="G282" t="str">
            <v>ROYA\RES 9.1K F 1/16W 0402</v>
          </cell>
          <cell r="H282" t="str">
            <v>ROYALOHM(厚声)</v>
          </cell>
          <cell r="I282" t="str">
            <v>0402WGF9101TCE</v>
          </cell>
          <cell r="J282">
            <v>100096</v>
          </cell>
          <cell r="K282" t="str">
            <v>厚声国际贸易（昆山）有限公司深圳分公司</v>
          </cell>
          <cell r="L282" t="str">
            <v>X</v>
          </cell>
          <cell r="M282" t="str">
            <v/>
          </cell>
          <cell r="N282">
            <v>1</v>
          </cell>
          <cell r="O282">
            <v>1.09E-3</v>
          </cell>
          <cell r="P282">
            <v>1.0900000000000001</v>
          </cell>
          <cell r="Q282">
            <v>1.0900000000000001</v>
          </cell>
          <cell r="R282">
            <v>1000</v>
          </cell>
          <cell r="S282" t="str">
            <v>PCS</v>
          </cell>
          <cell r="T282">
            <v>42</v>
          </cell>
          <cell r="U282" t="str">
            <v>J3</v>
          </cell>
          <cell r="V282" t="str">
            <v>CNY</v>
          </cell>
          <cell r="W282">
            <v>10000</v>
          </cell>
          <cell r="X282">
            <v>10000</v>
          </cell>
        </row>
        <row r="283">
          <cell r="D283">
            <v>10100011993</v>
          </cell>
          <cell r="E283" t="str">
            <v>厚膜贴片电阻器</v>
          </cell>
          <cell r="F283">
            <v>10010302</v>
          </cell>
          <cell r="G283" t="str">
            <v>FH\RES 5.1K F 1/16W 0402</v>
          </cell>
          <cell r="H283" t="str">
            <v>FH(风华)</v>
          </cell>
          <cell r="I283" t="str">
            <v>RC-02K5101FT</v>
          </cell>
          <cell r="J283">
            <v>100654</v>
          </cell>
          <cell r="K283" t="str">
            <v>广东风华高新科技股份有限公司</v>
          </cell>
          <cell r="L283" t="str">
            <v>X</v>
          </cell>
          <cell r="M283" t="str">
            <v/>
          </cell>
          <cell r="N283">
            <v>1</v>
          </cell>
          <cell r="O283">
            <v>1.1000000000000001E-3</v>
          </cell>
          <cell r="P283">
            <v>1.1000000000000001</v>
          </cell>
          <cell r="Q283">
            <v>1.1000000000000001</v>
          </cell>
          <cell r="R283">
            <v>1000</v>
          </cell>
          <cell r="S283" t="str">
            <v>PCS</v>
          </cell>
          <cell r="T283">
            <v>42</v>
          </cell>
          <cell r="U283" t="str">
            <v>J3</v>
          </cell>
          <cell r="V283" t="str">
            <v>CNY</v>
          </cell>
          <cell r="W283">
            <v>10000</v>
          </cell>
          <cell r="X283">
            <v>10000</v>
          </cell>
        </row>
        <row r="284">
          <cell r="D284">
            <v>10100011996</v>
          </cell>
          <cell r="E284" t="str">
            <v>厚膜贴片电阻器</v>
          </cell>
          <cell r="F284">
            <v>10010302</v>
          </cell>
          <cell r="G284" t="str">
            <v>FH\RES 9.1K F 1/16W 0402</v>
          </cell>
          <cell r="H284" t="str">
            <v>FH(风华)</v>
          </cell>
          <cell r="I284" t="str">
            <v>RC-02K9101FT</v>
          </cell>
          <cell r="J284">
            <v>100654</v>
          </cell>
          <cell r="K284" t="str">
            <v>广东风华高新科技股份有限公司</v>
          </cell>
          <cell r="L284" t="str">
            <v>X</v>
          </cell>
          <cell r="M284" t="str">
            <v/>
          </cell>
          <cell r="N284">
            <v>1</v>
          </cell>
          <cell r="O284">
            <v>1.1000000000000001E-3</v>
          </cell>
          <cell r="P284">
            <v>1.1000000000000001</v>
          </cell>
          <cell r="Q284">
            <v>1.1000000000000001</v>
          </cell>
          <cell r="R284">
            <v>1000</v>
          </cell>
          <cell r="S284" t="str">
            <v>PCS</v>
          </cell>
          <cell r="T284">
            <v>42</v>
          </cell>
          <cell r="U284" t="str">
            <v>J3</v>
          </cell>
          <cell r="V284" t="str">
            <v>CNY</v>
          </cell>
          <cell r="W284">
            <v>10000</v>
          </cell>
          <cell r="X284">
            <v>10000</v>
          </cell>
        </row>
        <row r="285">
          <cell r="D285">
            <v>10100012014</v>
          </cell>
          <cell r="E285" t="str">
            <v>厚膜贴片电阻器</v>
          </cell>
          <cell r="F285">
            <v>10010302</v>
          </cell>
          <cell r="G285" t="str">
            <v>FH\RES 100R F 1/4W 1206</v>
          </cell>
          <cell r="H285" t="str">
            <v>FH(风华)</v>
          </cell>
          <cell r="I285" t="str">
            <v>RS-06K1000FT</v>
          </cell>
          <cell r="J285">
            <v>100654</v>
          </cell>
          <cell r="K285" t="str">
            <v>广东风华高新科技股份有限公司</v>
          </cell>
          <cell r="L285" t="str">
            <v>X</v>
          </cell>
          <cell r="M285" t="str">
            <v/>
          </cell>
          <cell r="N285">
            <v>1</v>
          </cell>
          <cell r="O285">
            <v>6.3699999999999998E-3</v>
          </cell>
          <cell r="P285">
            <v>6.37</v>
          </cell>
          <cell r="Q285">
            <v>6.37</v>
          </cell>
          <cell r="R285">
            <v>1000</v>
          </cell>
          <cell r="S285" t="str">
            <v>PCS</v>
          </cell>
          <cell r="T285">
            <v>42</v>
          </cell>
          <cell r="U285" t="str">
            <v>J3</v>
          </cell>
          <cell r="V285" t="str">
            <v>CNY</v>
          </cell>
          <cell r="W285">
            <v>5000</v>
          </cell>
          <cell r="X285">
            <v>5000</v>
          </cell>
        </row>
        <row r="286">
          <cell r="D286">
            <v>10100012860</v>
          </cell>
          <cell r="E286" t="str">
            <v>厚膜贴片电阻器</v>
          </cell>
          <cell r="F286">
            <v>10010302</v>
          </cell>
          <cell r="G286" t="str">
            <v>ROYA\RES 68K F 1/10W 0603</v>
          </cell>
          <cell r="H286" t="str">
            <v>ROYALOHM(厚声)</v>
          </cell>
          <cell r="I286" t="str">
            <v>0603WAF6802T5E</v>
          </cell>
          <cell r="J286">
            <v>100096</v>
          </cell>
          <cell r="K286" t="str">
            <v>厚声国际贸易（昆山）有限公司深圳分公司</v>
          </cell>
          <cell r="L286" t="str">
            <v>X</v>
          </cell>
          <cell r="M286" t="str">
            <v/>
          </cell>
          <cell r="N286">
            <v>1</v>
          </cell>
          <cell r="O286">
            <v>2.0999999999999999E-3</v>
          </cell>
          <cell r="P286">
            <v>2.1</v>
          </cell>
          <cell r="Q286">
            <v>2.1</v>
          </cell>
          <cell r="R286">
            <v>1000</v>
          </cell>
          <cell r="S286" t="str">
            <v>PCS</v>
          </cell>
          <cell r="T286">
            <v>42</v>
          </cell>
          <cell r="U286" t="str">
            <v>J3</v>
          </cell>
          <cell r="V286" t="str">
            <v>CNY</v>
          </cell>
          <cell r="W286">
            <v>5000</v>
          </cell>
          <cell r="X286">
            <v>5000</v>
          </cell>
        </row>
        <row r="287">
          <cell r="D287">
            <v>10100013040</v>
          </cell>
          <cell r="E287" t="str">
            <v>厚膜贴片电阻器</v>
          </cell>
          <cell r="F287">
            <v>10010302</v>
          </cell>
          <cell r="G287" t="str">
            <v>ROYA\RES 1K F 1/16W 0402</v>
          </cell>
          <cell r="H287" t="str">
            <v>ROYALOHM(厚声)</v>
          </cell>
          <cell r="I287" t="str">
            <v>0402WGF1001TCE</v>
          </cell>
          <cell r="J287">
            <v>100096</v>
          </cell>
          <cell r="K287" t="str">
            <v>厚声国际贸易（昆山）有限公司深圳分公司</v>
          </cell>
          <cell r="L287" t="str">
            <v>X</v>
          </cell>
          <cell r="M287" t="str">
            <v/>
          </cell>
          <cell r="N287">
            <v>1</v>
          </cell>
          <cell r="O287">
            <v>1.09E-3</v>
          </cell>
          <cell r="P287">
            <v>1.0900000000000001</v>
          </cell>
          <cell r="Q287">
            <v>1.0900000000000001</v>
          </cell>
          <cell r="R287">
            <v>1000</v>
          </cell>
          <cell r="S287" t="str">
            <v>PCS</v>
          </cell>
          <cell r="T287">
            <v>42</v>
          </cell>
          <cell r="U287" t="str">
            <v>J3</v>
          </cell>
          <cell r="V287" t="str">
            <v>CNY</v>
          </cell>
          <cell r="W287">
            <v>10000</v>
          </cell>
          <cell r="X287">
            <v>10000</v>
          </cell>
        </row>
        <row r="288">
          <cell r="D288">
            <v>10100013093</v>
          </cell>
          <cell r="E288" t="str">
            <v>厚膜贴片电阻器</v>
          </cell>
          <cell r="F288">
            <v>10010302</v>
          </cell>
          <cell r="G288" t="str">
            <v>ROYA\RES 100R F 1/16W 0402</v>
          </cell>
          <cell r="H288" t="str">
            <v>ROYALOHM(厚声)</v>
          </cell>
          <cell r="I288" t="str">
            <v>0402WGF1000TCE</v>
          </cell>
          <cell r="J288">
            <v>100096</v>
          </cell>
          <cell r="K288" t="str">
            <v>厚声国际贸易（昆山）有限公司深圳分公司</v>
          </cell>
          <cell r="L288" t="str">
            <v>X</v>
          </cell>
          <cell r="M288" t="str">
            <v/>
          </cell>
          <cell r="N288">
            <v>1</v>
          </cell>
          <cell r="O288">
            <v>1.09E-3</v>
          </cell>
          <cell r="P288">
            <v>1.0900000000000001</v>
          </cell>
          <cell r="Q288">
            <v>1.0900000000000001</v>
          </cell>
          <cell r="R288">
            <v>1000</v>
          </cell>
          <cell r="S288" t="str">
            <v>PCS</v>
          </cell>
          <cell r="T288">
            <v>42</v>
          </cell>
          <cell r="U288" t="str">
            <v>J3</v>
          </cell>
          <cell r="V288" t="str">
            <v>CNY</v>
          </cell>
          <cell r="W288">
            <v>10000</v>
          </cell>
          <cell r="X288">
            <v>10000</v>
          </cell>
        </row>
        <row r="289">
          <cell r="D289">
            <v>10100013936</v>
          </cell>
          <cell r="E289" t="str">
            <v>厚膜贴片电阻器</v>
          </cell>
          <cell r="F289">
            <v>10010302</v>
          </cell>
          <cell r="G289" t="str">
            <v>FH\RES 100R F 1/16W 0402</v>
          </cell>
          <cell r="H289" t="str">
            <v>FH(风华)</v>
          </cell>
          <cell r="I289" t="str">
            <v>RC-02K1000FT</v>
          </cell>
          <cell r="J289">
            <v>100654</v>
          </cell>
          <cell r="K289" t="str">
            <v>广东风华高新科技股份有限公司</v>
          </cell>
          <cell r="L289" t="str">
            <v>X</v>
          </cell>
          <cell r="M289" t="str">
            <v/>
          </cell>
          <cell r="N289">
            <v>1</v>
          </cell>
          <cell r="O289">
            <v>1.1000000000000001E-3</v>
          </cell>
          <cell r="P289">
            <v>1.1000000000000001</v>
          </cell>
          <cell r="Q289">
            <v>1.1000000000000001</v>
          </cell>
          <cell r="R289">
            <v>1000</v>
          </cell>
          <cell r="S289" t="str">
            <v>PCS</v>
          </cell>
          <cell r="T289">
            <v>42</v>
          </cell>
          <cell r="U289" t="str">
            <v>J3</v>
          </cell>
          <cell r="V289" t="str">
            <v>CNY</v>
          </cell>
          <cell r="W289">
            <v>10000</v>
          </cell>
          <cell r="X289">
            <v>10000</v>
          </cell>
        </row>
        <row r="290">
          <cell r="D290">
            <v>10100014263</v>
          </cell>
          <cell r="E290" t="str">
            <v>厚膜贴片电阻器</v>
          </cell>
          <cell r="F290">
            <v>10010302</v>
          </cell>
          <cell r="G290" t="str">
            <v>YAGEO\RES 390R F 1/16W 0402</v>
          </cell>
          <cell r="H290" t="str">
            <v>YAGEO(国巨)</v>
          </cell>
          <cell r="I290" t="str">
            <v>RC0402FR-07390RL</v>
          </cell>
          <cell r="J290">
            <v>100078</v>
          </cell>
          <cell r="K290" t="str">
            <v>深圳市超利维实业有限公司</v>
          </cell>
          <cell r="L290" t="str">
            <v>X</v>
          </cell>
          <cell r="M290" t="str">
            <v/>
          </cell>
          <cell r="N290">
            <v>1</v>
          </cell>
          <cell r="O290">
            <v>1.4E-3</v>
          </cell>
          <cell r="P290">
            <v>1.4</v>
          </cell>
          <cell r="Q290">
            <v>1.4</v>
          </cell>
          <cell r="R290">
            <v>1000</v>
          </cell>
          <cell r="S290" t="str">
            <v>PCS</v>
          </cell>
          <cell r="T290">
            <v>84</v>
          </cell>
          <cell r="U290" t="str">
            <v>J3</v>
          </cell>
          <cell r="V290" t="str">
            <v>CNY</v>
          </cell>
          <cell r="W290">
            <v>10000</v>
          </cell>
          <cell r="X290">
            <v>10000</v>
          </cell>
        </row>
        <row r="291">
          <cell r="D291">
            <v>10100014304</v>
          </cell>
          <cell r="E291" t="str">
            <v>厚膜贴片电阻器</v>
          </cell>
          <cell r="F291">
            <v>10010302</v>
          </cell>
          <cell r="G291" t="str">
            <v>WALS\RES 300K F 1/4W 1206</v>
          </cell>
          <cell r="H291" t="str">
            <v>WALS(华科)</v>
          </cell>
          <cell r="I291" t="str">
            <v>WR12X3003FTL</v>
          </cell>
          <cell r="J291">
            <v>100131</v>
          </cell>
          <cell r="K291" t="str">
            <v>东莞华科电子有限公司</v>
          </cell>
          <cell r="L291" t="str">
            <v>X</v>
          </cell>
          <cell r="M291" t="str">
            <v/>
          </cell>
          <cell r="N291">
            <v>1</v>
          </cell>
          <cell r="O291">
            <v>6.9499999999999996E-3</v>
          </cell>
          <cell r="P291">
            <v>6.95</v>
          </cell>
          <cell r="Q291">
            <v>6.95</v>
          </cell>
          <cell r="R291">
            <v>1000</v>
          </cell>
          <cell r="S291" t="str">
            <v>PCS</v>
          </cell>
          <cell r="T291">
            <v>70</v>
          </cell>
          <cell r="U291" t="str">
            <v>J3</v>
          </cell>
          <cell r="V291" t="str">
            <v>CNY</v>
          </cell>
          <cell r="W291">
            <v>5000</v>
          </cell>
          <cell r="X291">
            <v>5000</v>
          </cell>
        </row>
        <row r="292">
          <cell r="D292">
            <v>10100014735</v>
          </cell>
          <cell r="E292" t="str">
            <v>厚膜贴片电阻器</v>
          </cell>
          <cell r="F292">
            <v>10010302</v>
          </cell>
          <cell r="G292" t="str">
            <v>ROYA\RES 2K F 1/16W 0402</v>
          </cell>
          <cell r="H292" t="str">
            <v>ROYALOHM(厚声)</v>
          </cell>
          <cell r="I292" t="str">
            <v>0402WGF2001TCE</v>
          </cell>
          <cell r="J292">
            <v>100096</v>
          </cell>
          <cell r="K292" t="str">
            <v>厚声国际贸易（昆山）有限公司深圳分公司</v>
          </cell>
          <cell r="L292" t="str">
            <v>X</v>
          </cell>
          <cell r="M292" t="str">
            <v/>
          </cell>
          <cell r="N292">
            <v>1</v>
          </cell>
          <cell r="O292">
            <v>1.09E-3</v>
          </cell>
          <cell r="P292">
            <v>1.0900000000000001</v>
          </cell>
          <cell r="Q292">
            <v>1.0900000000000001</v>
          </cell>
          <cell r="R292">
            <v>1000</v>
          </cell>
          <cell r="S292" t="str">
            <v>PCS</v>
          </cell>
          <cell r="T292">
            <v>42</v>
          </cell>
          <cell r="U292" t="str">
            <v>J3</v>
          </cell>
          <cell r="V292" t="str">
            <v>CNY</v>
          </cell>
          <cell r="W292">
            <v>10000</v>
          </cell>
          <cell r="X292">
            <v>10000</v>
          </cell>
        </row>
        <row r="293">
          <cell r="D293">
            <v>10100015127</v>
          </cell>
          <cell r="E293" t="str">
            <v>厚膜贴片电阻器</v>
          </cell>
          <cell r="F293">
            <v>10010302</v>
          </cell>
          <cell r="G293" t="str">
            <v>ROYA\RES 100R F 1/4W 1206</v>
          </cell>
          <cell r="H293" t="str">
            <v>ROYALOHM(厚声)</v>
          </cell>
          <cell r="I293" t="str">
            <v>1206W4F1000T5E</v>
          </cell>
          <cell r="J293">
            <v>100096</v>
          </cell>
          <cell r="K293" t="str">
            <v>厚声国际贸易（昆山）有限公司深圳分公司</v>
          </cell>
          <cell r="L293" t="str">
            <v>X</v>
          </cell>
          <cell r="M293" t="str">
            <v/>
          </cell>
          <cell r="N293">
            <v>1</v>
          </cell>
          <cell r="O293">
            <v>6.7799999999999996E-3</v>
          </cell>
          <cell r="P293">
            <v>6.78</v>
          </cell>
          <cell r="Q293">
            <v>6.78</v>
          </cell>
          <cell r="R293">
            <v>1000</v>
          </cell>
          <cell r="S293" t="str">
            <v>PCS</v>
          </cell>
          <cell r="T293">
            <v>42</v>
          </cell>
          <cell r="U293" t="str">
            <v>J3</v>
          </cell>
          <cell r="V293" t="str">
            <v>CNY</v>
          </cell>
          <cell r="W293">
            <v>5000</v>
          </cell>
          <cell r="X293">
            <v>5000</v>
          </cell>
        </row>
        <row r="294">
          <cell r="D294">
            <v>10100015676</v>
          </cell>
          <cell r="E294" t="str">
            <v>厚膜贴片电阻器</v>
          </cell>
          <cell r="F294">
            <v>10010302</v>
          </cell>
          <cell r="G294" t="str">
            <v>ROYA\RES 5.6K F 1/16W 0402</v>
          </cell>
          <cell r="H294" t="str">
            <v>ROYALOHM(厚声)</v>
          </cell>
          <cell r="I294" t="str">
            <v>0402WGF5601TCE</v>
          </cell>
          <cell r="J294">
            <v>100096</v>
          </cell>
          <cell r="K294" t="str">
            <v>厚声国际贸易（昆山）有限公司深圳分公司</v>
          </cell>
          <cell r="L294" t="str">
            <v>X</v>
          </cell>
          <cell r="M294" t="str">
            <v/>
          </cell>
          <cell r="N294">
            <v>1</v>
          </cell>
          <cell r="O294">
            <v>1.09E-3</v>
          </cell>
          <cell r="P294">
            <v>1.0900000000000001</v>
          </cell>
          <cell r="Q294">
            <v>1.0900000000000001</v>
          </cell>
          <cell r="R294">
            <v>1000</v>
          </cell>
          <cell r="S294" t="str">
            <v>PCS</v>
          </cell>
          <cell r="T294">
            <v>42</v>
          </cell>
          <cell r="U294" t="str">
            <v>J3</v>
          </cell>
          <cell r="V294" t="str">
            <v>CNY</v>
          </cell>
          <cell r="W294">
            <v>10000</v>
          </cell>
          <cell r="X294">
            <v>10000</v>
          </cell>
        </row>
        <row r="295">
          <cell r="D295">
            <v>10100017076</v>
          </cell>
          <cell r="E295" t="str">
            <v>厚膜贴片电阻器</v>
          </cell>
          <cell r="F295">
            <v>10010302</v>
          </cell>
          <cell r="G295" t="str">
            <v>WALS\RES 75R F 1/4W 1206</v>
          </cell>
          <cell r="H295" t="str">
            <v>WALS(华科)</v>
          </cell>
          <cell r="I295" t="str">
            <v>WR12X75R0FTL</v>
          </cell>
          <cell r="J295">
            <v>100131</v>
          </cell>
          <cell r="K295" t="str">
            <v>东莞华科电子有限公司</v>
          </cell>
          <cell r="L295" t="str">
            <v>X</v>
          </cell>
          <cell r="M295" t="str">
            <v/>
          </cell>
          <cell r="N295">
            <v>1</v>
          </cell>
          <cell r="O295">
            <v>6.9499999999999996E-3</v>
          </cell>
          <cell r="P295">
            <v>6.95</v>
          </cell>
          <cell r="Q295">
            <v>6.95</v>
          </cell>
          <cell r="R295">
            <v>1000</v>
          </cell>
          <cell r="S295" t="str">
            <v>PCS</v>
          </cell>
          <cell r="T295">
            <v>70</v>
          </cell>
          <cell r="U295" t="str">
            <v>J3</v>
          </cell>
          <cell r="V295" t="str">
            <v>CNY</v>
          </cell>
          <cell r="W295">
            <v>5000</v>
          </cell>
          <cell r="X295">
            <v>5000</v>
          </cell>
        </row>
        <row r="296">
          <cell r="D296">
            <v>10100017206</v>
          </cell>
          <cell r="E296" t="str">
            <v>厚膜贴片电阻器</v>
          </cell>
          <cell r="F296">
            <v>10010302</v>
          </cell>
          <cell r="G296" t="str">
            <v>ROYA\RES 300K F 1/4W 1206</v>
          </cell>
          <cell r="H296" t="str">
            <v>ROYALOHM(厚声)</v>
          </cell>
          <cell r="I296" t="str">
            <v>1206W4F3003T5E</v>
          </cell>
          <cell r="J296">
            <v>100096</v>
          </cell>
          <cell r="K296" t="str">
            <v>厚声国际贸易（昆山）有限公司深圳分公司</v>
          </cell>
          <cell r="L296" t="str">
            <v>X</v>
          </cell>
          <cell r="M296" t="str">
            <v/>
          </cell>
          <cell r="N296">
            <v>1</v>
          </cell>
          <cell r="O296">
            <v>6.7799999999999996E-3</v>
          </cell>
          <cell r="P296">
            <v>6.78</v>
          </cell>
          <cell r="Q296">
            <v>6.78</v>
          </cell>
          <cell r="R296">
            <v>1000</v>
          </cell>
          <cell r="S296" t="str">
            <v>PCS</v>
          </cell>
          <cell r="T296">
            <v>42</v>
          </cell>
          <cell r="U296" t="str">
            <v>J3</v>
          </cell>
          <cell r="V296" t="str">
            <v>CNY</v>
          </cell>
          <cell r="W296">
            <v>5000</v>
          </cell>
          <cell r="X296">
            <v>5000</v>
          </cell>
        </row>
        <row r="297">
          <cell r="D297">
            <v>10100017335</v>
          </cell>
          <cell r="E297" t="str">
            <v>厚膜贴片电阻器</v>
          </cell>
          <cell r="F297">
            <v>10010302</v>
          </cell>
          <cell r="G297" t="str">
            <v>ROYA\RES 22K F 1/16W 0402</v>
          </cell>
          <cell r="H297" t="str">
            <v>ROYALOHM(厚声)</v>
          </cell>
          <cell r="I297" t="str">
            <v>0402WGF2202TCE</v>
          </cell>
          <cell r="J297">
            <v>100096</v>
          </cell>
          <cell r="K297" t="str">
            <v>厚声国际贸易（昆山）有限公司深圳分公司</v>
          </cell>
          <cell r="L297" t="str">
            <v>X</v>
          </cell>
          <cell r="M297" t="str">
            <v/>
          </cell>
          <cell r="N297">
            <v>1</v>
          </cell>
          <cell r="O297">
            <v>1.09E-3</v>
          </cell>
          <cell r="P297">
            <v>1.0900000000000001</v>
          </cell>
          <cell r="Q297">
            <v>1.0900000000000001</v>
          </cell>
          <cell r="R297">
            <v>1000</v>
          </cell>
          <cell r="S297" t="str">
            <v>PCS</v>
          </cell>
          <cell r="T297">
            <v>42</v>
          </cell>
          <cell r="U297" t="str">
            <v>J3</v>
          </cell>
          <cell r="V297" t="str">
            <v>CNY</v>
          </cell>
          <cell r="W297">
            <v>10000</v>
          </cell>
          <cell r="X297">
            <v>10000</v>
          </cell>
        </row>
        <row r="298">
          <cell r="D298">
            <v>10100017409</v>
          </cell>
          <cell r="E298" t="str">
            <v>厚膜贴片电阻器</v>
          </cell>
          <cell r="F298">
            <v>10010302</v>
          </cell>
          <cell r="G298" t="str">
            <v>HKR\RES 100R F 1/4W 1206</v>
          </cell>
          <cell r="H298" t="str">
            <v>HKR(香港电阻)</v>
          </cell>
          <cell r="I298" t="str">
            <v>RCT06100RFLF</v>
          </cell>
          <cell r="J298">
            <v>103166</v>
          </cell>
          <cell r="K298" t="str">
            <v>南充溢辉电子科技有限公司</v>
          </cell>
          <cell r="L298" t="str">
            <v>X</v>
          </cell>
          <cell r="M298" t="str">
            <v/>
          </cell>
          <cell r="N298">
            <v>1</v>
          </cell>
          <cell r="O298">
            <v>5.5999999999999999E-3</v>
          </cell>
          <cell r="P298">
            <v>5.6</v>
          </cell>
          <cell r="Q298">
            <v>5.6</v>
          </cell>
          <cell r="R298">
            <v>1000</v>
          </cell>
          <cell r="S298" t="str">
            <v>PCS</v>
          </cell>
          <cell r="T298">
            <v>35</v>
          </cell>
          <cell r="U298" t="str">
            <v>J3</v>
          </cell>
          <cell r="V298" t="str">
            <v>CNY</v>
          </cell>
          <cell r="W298">
            <v>5000</v>
          </cell>
          <cell r="X298">
            <v>5000</v>
          </cell>
        </row>
        <row r="299">
          <cell r="D299">
            <v>10100017511</v>
          </cell>
          <cell r="E299" t="str">
            <v>厚膜贴片电阻器</v>
          </cell>
          <cell r="F299">
            <v>10010302</v>
          </cell>
          <cell r="G299" t="str">
            <v>HKR\RES 300K F 1/4W 1206</v>
          </cell>
          <cell r="H299" t="str">
            <v>HKR(香港电阻)</v>
          </cell>
          <cell r="I299" t="str">
            <v>RCT06300KFLF</v>
          </cell>
          <cell r="J299">
            <v>103166</v>
          </cell>
          <cell r="K299" t="str">
            <v>南充溢辉电子科技有限公司</v>
          </cell>
          <cell r="L299" t="str">
            <v>X</v>
          </cell>
          <cell r="M299" t="str">
            <v/>
          </cell>
          <cell r="N299">
            <v>1</v>
          </cell>
          <cell r="O299">
            <v>5.5999999999999999E-3</v>
          </cell>
          <cell r="P299">
            <v>5.6</v>
          </cell>
          <cell r="Q299">
            <v>5.6</v>
          </cell>
          <cell r="R299">
            <v>1000</v>
          </cell>
          <cell r="S299" t="str">
            <v>PCS</v>
          </cell>
          <cell r="T299">
            <v>35</v>
          </cell>
          <cell r="U299" t="str">
            <v>J3</v>
          </cell>
          <cell r="V299" t="str">
            <v>CNY</v>
          </cell>
          <cell r="W299">
            <v>5000</v>
          </cell>
          <cell r="X299">
            <v>5000</v>
          </cell>
        </row>
        <row r="300">
          <cell r="D300">
            <v>10100017548</v>
          </cell>
          <cell r="E300" t="str">
            <v>厚膜贴片电阻器</v>
          </cell>
          <cell r="F300">
            <v>10010302</v>
          </cell>
          <cell r="G300" t="str">
            <v>HKR\RES 470R F 1/4W 1206</v>
          </cell>
          <cell r="H300" t="str">
            <v>HKR(香港电阻)</v>
          </cell>
          <cell r="I300" t="str">
            <v>RCT06470RFLF</v>
          </cell>
          <cell r="J300">
            <v>103166</v>
          </cell>
          <cell r="K300" t="str">
            <v>南充溢辉电子科技有限公司</v>
          </cell>
          <cell r="L300" t="str">
            <v>X</v>
          </cell>
          <cell r="M300" t="str">
            <v/>
          </cell>
          <cell r="N300">
            <v>1</v>
          </cell>
          <cell r="O300">
            <v>5.5999999999999999E-3</v>
          </cell>
          <cell r="P300">
            <v>5.6</v>
          </cell>
          <cell r="Q300">
            <v>5.6</v>
          </cell>
          <cell r="R300">
            <v>1000</v>
          </cell>
          <cell r="S300" t="str">
            <v>PCS</v>
          </cell>
          <cell r="T300">
            <v>35</v>
          </cell>
          <cell r="U300" t="str">
            <v>J3</v>
          </cell>
          <cell r="V300" t="str">
            <v>CNY</v>
          </cell>
          <cell r="W300">
            <v>5000</v>
          </cell>
          <cell r="X300">
            <v>5000</v>
          </cell>
        </row>
        <row r="301">
          <cell r="D301">
            <v>10100017551</v>
          </cell>
          <cell r="E301" t="str">
            <v>厚膜贴片电阻器</v>
          </cell>
          <cell r="F301">
            <v>10010302</v>
          </cell>
          <cell r="G301" t="str">
            <v>HKR\RES 47R F 1/4W 1206</v>
          </cell>
          <cell r="H301" t="str">
            <v>HKR(香港电阻)</v>
          </cell>
          <cell r="I301" t="str">
            <v>RCT0647RFLF</v>
          </cell>
          <cell r="J301">
            <v>103166</v>
          </cell>
          <cell r="K301" t="str">
            <v>南充溢辉电子科技有限公司</v>
          </cell>
          <cell r="L301" t="str">
            <v>X</v>
          </cell>
          <cell r="M301" t="str">
            <v/>
          </cell>
          <cell r="N301">
            <v>1</v>
          </cell>
          <cell r="O301">
            <v>5.5999999999999999E-3</v>
          </cell>
          <cell r="P301">
            <v>5.6</v>
          </cell>
          <cell r="Q301">
            <v>5.6</v>
          </cell>
          <cell r="R301">
            <v>1000</v>
          </cell>
          <cell r="S301" t="str">
            <v>PCS</v>
          </cell>
          <cell r="T301">
            <v>35</v>
          </cell>
          <cell r="U301" t="str">
            <v>J3</v>
          </cell>
          <cell r="V301" t="str">
            <v>CNY</v>
          </cell>
          <cell r="W301">
            <v>5000</v>
          </cell>
          <cell r="X301">
            <v>5000</v>
          </cell>
        </row>
        <row r="302">
          <cell r="D302">
            <v>10100017616</v>
          </cell>
          <cell r="E302" t="str">
            <v>厚膜贴片电阻器</v>
          </cell>
          <cell r="F302">
            <v>10010302</v>
          </cell>
          <cell r="G302" t="str">
            <v>HKR\RES 100R F 1/16W 0402</v>
          </cell>
          <cell r="H302" t="str">
            <v>HKR(香港电阻)</v>
          </cell>
          <cell r="I302" t="str">
            <v>RCT02100RFLF</v>
          </cell>
          <cell r="J302">
            <v>103166</v>
          </cell>
          <cell r="K302" t="str">
            <v>南充溢辉电子科技有限公司</v>
          </cell>
          <cell r="L302" t="str">
            <v>X</v>
          </cell>
          <cell r="M302" t="str">
            <v/>
          </cell>
          <cell r="N302">
            <v>1</v>
          </cell>
          <cell r="O302">
            <v>9.7999999999999997E-4</v>
          </cell>
          <cell r="P302">
            <v>0.98</v>
          </cell>
          <cell r="Q302">
            <v>0.98</v>
          </cell>
          <cell r="R302">
            <v>1000</v>
          </cell>
          <cell r="S302" t="str">
            <v>PCS</v>
          </cell>
          <cell r="T302">
            <v>35</v>
          </cell>
          <cell r="U302" t="str">
            <v>J3</v>
          </cell>
          <cell r="V302" t="str">
            <v>CNY</v>
          </cell>
          <cell r="W302">
            <v>10000</v>
          </cell>
          <cell r="X302">
            <v>10000</v>
          </cell>
        </row>
        <row r="303">
          <cell r="D303">
            <v>10100017618</v>
          </cell>
          <cell r="E303" t="str">
            <v>厚膜贴片电阻器</v>
          </cell>
          <cell r="F303">
            <v>10010302</v>
          </cell>
          <cell r="G303" t="str">
            <v>HKR\RES 10K F 1/16W 0402</v>
          </cell>
          <cell r="H303" t="str">
            <v>HKR(香港电阻)</v>
          </cell>
          <cell r="I303" t="str">
            <v>RCT0210KFLF</v>
          </cell>
          <cell r="J303">
            <v>103166</v>
          </cell>
          <cell r="K303" t="str">
            <v>南充溢辉电子科技有限公司</v>
          </cell>
          <cell r="L303" t="str">
            <v>X</v>
          </cell>
          <cell r="M303" t="str">
            <v/>
          </cell>
          <cell r="N303">
            <v>1</v>
          </cell>
          <cell r="O303">
            <v>9.7999999999999997E-4</v>
          </cell>
          <cell r="P303">
            <v>0.98</v>
          </cell>
          <cell r="Q303">
            <v>0.98</v>
          </cell>
          <cell r="R303">
            <v>1000</v>
          </cell>
          <cell r="S303" t="str">
            <v>PCS</v>
          </cell>
          <cell r="T303">
            <v>35</v>
          </cell>
          <cell r="U303" t="str">
            <v>J3</v>
          </cell>
          <cell r="V303" t="str">
            <v>CNY</v>
          </cell>
          <cell r="W303">
            <v>10000</v>
          </cell>
          <cell r="X303">
            <v>10000</v>
          </cell>
        </row>
        <row r="304">
          <cell r="D304">
            <v>10100017642</v>
          </cell>
          <cell r="E304" t="str">
            <v>厚膜贴片电阻器</v>
          </cell>
          <cell r="F304">
            <v>10010302</v>
          </cell>
          <cell r="G304" t="str">
            <v>HKR\RES 1K F 1/16W 0402</v>
          </cell>
          <cell r="H304" t="str">
            <v>HKR(香港电阻)</v>
          </cell>
          <cell r="I304" t="str">
            <v>RCT021KFLF</v>
          </cell>
          <cell r="J304">
            <v>103166</v>
          </cell>
          <cell r="K304" t="str">
            <v>南充溢辉电子科技有限公司</v>
          </cell>
          <cell r="L304" t="str">
            <v>X</v>
          </cell>
          <cell r="M304" t="str">
            <v/>
          </cell>
          <cell r="N304">
            <v>1</v>
          </cell>
          <cell r="O304">
            <v>9.7999999999999997E-4</v>
          </cell>
          <cell r="P304">
            <v>0.98</v>
          </cell>
          <cell r="Q304">
            <v>0.98</v>
          </cell>
          <cell r="R304">
            <v>1000</v>
          </cell>
          <cell r="S304" t="str">
            <v>PCS</v>
          </cell>
          <cell r="T304">
            <v>35</v>
          </cell>
          <cell r="U304" t="str">
            <v>J3</v>
          </cell>
          <cell r="V304" t="str">
            <v>CNY</v>
          </cell>
          <cell r="W304">
            <v>10000</v>
          </cell>
          <cell r="X304">
            <v>10000</v>
          </cell>
        </row>
        <row r="305">
          <cell r="D305">
            <v>10100017664</v>
          </cell>
          <cell r="E305" t="str">
            <v>厚膜贴片电阻器</v>
          </cell>
          <cell r="F305">
            <v>10010302</v>
          </cell>
          <cell r="G305" t="str">
            <v>HKR\RES 22K F 1/16W 0402</v>
          </cell>
          <cell r="H305" t="str">
            <v>HKR(香港电阻)</v>
          </cell>
          <cell r="I305" t="str">
            <v>RCT0222KFLF</v>
          </cell>
          <cell r="J305">
            <v>103166</v>
          </cell>
          <cell r="K305" t="str">
            <v>南充溢辉电子科技有限公司</v>
          </cell>
          <cell r="L305" t="str">
            <v>X</v>
          </cell>
          <cell r="M305" t="str">
            <v/>
          </cell>
          <cell r="N305">
            <v>1</v>
          </cell>
          <cell r="O305">
            <v>9.7999999999999997E-4</v>
          </cell>
          <cell r="P305">
            <v>0.98</v>
          </cell>
          <cell r="Q305">
            <v>0.98</v>
          </cell>
          <cell r="R305">
            <v>1000</v>
          </cell>
          <cell r="S305" t="str">
            <v>PCS</v>
          </cell>
          <cell r="T305">
            <v>35</v>
          </cell>
          <cell r="U305" t="str">
            <v>J3</v>
          </cell>
          <cell r="V305" t="str">
            <v>CNY</v>
          </cell>
          <cell r="W305">
            <v>10000</v>
          </cell>
          <cell r="X305">
            <v>10000</v>
          </cell>
        </row>
        <row r="306">
          <cell r="D306">
            <v>10100017679</v>
          </cell>
          <cell r="E306" t="str">
            <v>厚膜贴片电阻器</v>
          </cell>
          <cell r="F306">
            <v>10010302</v>
          </cell>
          <cell r="G306" t="str">
            <v>HKR\RES 2K F 1/16W 0402</v>
          </cell>
          <cell r="H306" t="str">
            <v>HKR(香港电阻)</v>
          </cell>
          <cell r="I306" t="str">
            <v>RCT022KFLF</v>
          </cell>
          <cell r="J306">
            <v>103166</v>
          </cell>
          <cell r="K306" t="str">
            <v>南充溢辉电子科技有限公司</v>
          </cell>
          <cell r="L306" t="str">
            <v>X</v>
          </cell>
          <cell r="M306" t="str">
            <v/>
          </cell>
          <cell r="N306">
            <v>1</v>
          </cell>
          <cell r="O306">
            <v>9.7999999999999997E-4</v>
          </cell>
          <cell r="P306">
            <v>0.98</v>
          </cell>
          <cell r="Q306">
            <v>0.98</v>
          </cell>
          <cell r="R306">
            <v>1000</v>
          </cell>
          <cell r="S306" t="str">
            <v>PCS</v>
          </cell>
          <cell r="T306">
            <v>35</v>
          </cell>
          <cell r="U306" t="str">
            <v>J3</v>
          </cell>
          <cell r="V306" t="str">
            <v>CNY</v>
          </cell>
          <cell r="W306">
            <v>10000</v>
          </cell>
          <cell r="X306">
            <v>10000</v>
          </cell>
        </row>
        <row r="307">
          <cell r="D307">
            <v>10100017738</v>
          </cell>
          <cell r="E307" t="str">
            <v>厚膜贴片电阻器</v>
          </cell>
          <cell r="F307">
            <v>10010302</v>
          </cell>
          <cell r="G307" t="str">
            <v>HKR\RES 5.1K F 1/16W 0402</v>
          </cell>
          <cell r="H307" t="str">
            <v>HKR(香港电阻)</v>
          </cell>
          <cell r="I307" t="str">
            <v>RCT025K1FLF</v>
          </cell>
          <cell r="J307">
            <v>103166</v>
          </cell>
          <cell r="K307" t="str">
            <v>南充溢辉电子科技有限公司</v>
          </cell>
          <cell r="L307" t="str">
            <v>X</v>
          </cell>
          <cell r="M307" t="str">
            <v/>
          </cell>
          <cell r="N307">
            <v>1</v>
          </cell>
          <cell r="O307">
            <v>9.7999999999999997E-4</v>
          </cell>
          <cell r="P307">
            <v>0.98</v>
          </cell>
          <cell r="Q307">
            <v>0.98</v>
          </cell>
          <cell r="R307">
            <v>1000</v>
          </cell>
          <cell r="S307" t="str">
            <v>PCS</v>
          </cell>
          <cell r="T307">
            <v>35</v>
          </cell>
          <cell r="U307" t="str">
            <v>J3</v>
          </cell>
          <cell r="V307" t="str">
            <v>CNY</v>
          </cell>
          <cell r="W307">
            <v>10000</v>
          </cell>
          <cell r="X307">
            <v>10000</v>
          </cell>
        </row>
        <row r="308">
          <cell r="D308">
            <v>10100017741</v>
          </cell>
          <cell r="E308" t="str">
            <v>厚膜贴片电阻器</v>
          </cell>
          <cell r="F308">
            <v>10010302</v>
          </cell>
          <cell r="G308" t="str">
            <v>HKR\RES 5.6K F 1/16W 0402</v>
          </cell>
          <cell r="H308" t="str">
            <v>HKR(香港电阻)</v>
          </cell>
          <cell r="I308" t="str">
            <v>RCT025K6FLF</v>
          </cell>
          <cell r="J308">
            <v>103166</v>
          </cell>
          <cell r="K308" t="str">
            <v>南充溢辉电子科技有限公司</v>
          </cell>
          <cell r="L308" t="str">
            <v>X</v>
          </cell>
          <cell r="M308" t="str">
            <v/>
          </cell>
          <cell r="N308">
            <v>1</v>
          </cell>
          <cell r="O308">
            <v>9.7999999999999997E-4</v>
          </cell>
          <cell r="P308">
            <v>0.98</v>
          </cell>
          <cell r="Q308">
            <v>0.98</v>
          </cell>
          <cell r="R308">
            <v>1000</v>
          </cell>
          <cell r="S308" t="str">
            <v>PCS</v>
          </cell>
          <cell r="T308">
            <v>35</v>
          </cell>
          <cell r="U308" t="str">
            <v>J3</v>
          </cell>
          <cell r="V308" t="str">
            <v>CNY</v>
          </cell>
          <cell r="W308">
            <v>10000</v>
          </cell>
          <cell r="X308">
            <v>10000</v>
          </cell>
        </row>
        <row r="309">
          <cell r="D309">
            <v>10100017764</v>
          </cell>
          <cell r="E309" t="str">
            <v>厚膜贴片电阻器</v>
          </cell>
          <cell r="F309">
            <v>10010302</v>
          </cell>
          <cell r="G309" t="str">
            <v>HKR\RES 9.1K F 1/16W 0402</v>
          </cell>
          <cell r="H309" t="str">
            <v>HKR(香港电阻)</v>
          </cell>
          <cell r="I309" t="str">
            <v>RCT029K1FLF</v>
          </cell>
          <cell r="J309">
            <v>103166</v>
          </cell>
          <cell r="K309" t="str">
            <v>南充溢辉电子科技有限公司</v>
          </cell>
          <cell r="L309" t="str">
            <v>X</v>
          </cell>
          <cell r="M309" t="str">
            <v/>
          </cell>
          <cell r="N309">
            <v>1</v>
          </cell>
          <cell r="O309">
            <v>9.7999999999999997E-4</v>
          </cell>
          <cell r="P309">
            <v>0.98</v>
          </cell>
          <cell r="Q309">
            <v>0.98</v>
          </cell>
          <cell r="R309">
            <v>1000</v>
          </cell>
          <cell r="S309" t="str">
            <v>PCS</v>
          </cell>
          <cell r="T309">
            <v>35</v>
          </cell>
          <cell r="U309" t="str">
            <v>J3</v>
          </cell>
          <cell r="V309" t="str">
            <v>CNY</v>
          </cell>
          <cell r="W309">
            <v>10000</v>
          </cell>
          <cell r="X309">
            <v>10000</v>
          </cell>
        </row>
        <row r="310">
          <cell r="D310">
            <v>10100017881</v>
          </cell>
          <cell r="E310" t="str">
            <v>厚膜贴片电阻器</v>
          </cell>
          <cell r="F310">
            <v>10010302</v>
          </cell>
          <cell r="G310" t="str">
            <v>HKR\RES 2.2K F 1/10W 0603</v>
          </cell>
          <cell r="H310" t="str">
            <v>HKR(香港电阻)</v>
          </cell>
          <cell r="I310" t="str">
            <v>RCT032K2FLF</v>
          </cell>
          <cell r="J310">
            <v>103166</v>
          </cell>
          <cell r="K310" t="str">
            <v>南充溢辉电子科技有限公司</v>
          </cell>
          <cell r="L310" t="str">
            <v>X</v>
          </cell>
          <cell r="M310" t="str">
            <v/>
          </cell>
          <cell r="N310">
            <v>1</v>
          </cell>
          <cell r="O310">
            <v>1.8500000000000001E-3</v>
          </cell>
          <cell r="P310">
            <v>1.85</v>
          </cell>
          <cell r="Q310">
            <v>1.85</v>
          </cell>
          <cell r="R310">
            <v>1000</v>
          </cell>
          <cell r="S310" t="str">
            <v>PCS</v>
          </cell>
          <cell r="T310">
            <v>35</v>
          </cell>
          <cell r="U310" t="str">
            <v>J3</v>
          </cell>
          <cell r="V310" t="str">
            <v>CNY</v>
          </cell>
          <cell r="W310">
            <v>5000</v>
          </cell>
          <cell r="X310">
            <v>5000</v>
          </cell>
        </row>
        <row r="311">
          <cell r="D311">
            <v>10100017970</v>
          </cell>
          <cell r="E311" t="str">
            <v>厚膜贴片电阻器</v>
          </cell>
          <cell r="F311">
            <v>10010302</v>
          </cell>
          <cell r="G311" t="str">
            <v>HKR\RES 4.7K F 1/10W 0603</v>
          </cell>
          <cell r="H311" t="str">
            <v>HKR(香港电阻)</v>
          </cell>
          <cell r="I311" t="str">
            <v>RCT034K7FLF</v>
          </cell>
          <cell r="J311">
            <v>103166</v>
          </cell>
          <cell r="K311" t="str">
            <v>南充溢辉电子科技有限公司</v>
          </cell>
          <cell r="L311" t="str">
            <v>X</v>
          </cell>
          <cell r="M311" t="str">
            <v/>
          </cell>
          <cell r="N311">
            <v>1</v>
          </cell>
          <cell r="O311">
            <v>1.8500000000000001E-3</v>
          </cell>
          <cell r="P311">
            <v>1.85</v>
          </cell>
          <cell r="Q311">
            <v>1.85</v>
          </cell>
          <cell r="R311">
            <v>1000</v>
          </cell>
          <cell r="S311" t="str">
            <v>PCS</v>
          </cell>
          <cell r="T311">
            <v>35</v>
          </cell>
          <cell r="U311" t="str">
            <v>J3</v>
          </cell>
          <cell r="V311" t="str">
            <v>CNY</v>
          </cell>
          <cell r="W311">
            <v>5000</v>
          </cell>
          <cell r="X311">
            <v>5000</v>
          </cell>
        </row>
        <row r="312">
          <cell r="D312">
            <v>10100018011</v>
          </cell>
          <cell r="E312" t="str">
            <v>厚膜贴片电阻器</v>
          </cell>
          <cell r="F312">
            <v>10010302</v>
          </cell>
          <cell r="G312" t="str">
            <v>HKR\RES 68K F 1/10W 0603</v>
          </cell>
          <cell r="H312" t="str">
            <v>HKR(香港电阻)</v>
          </cell>
          <cell r="I312" t="str">
            <v>RCT0368KFLF</v>
          </cell>
          <cell r="J312">
            <v>103166</v>
          </cell>
          <cell r="K312" t="str">
            <v>南充溢辉电子科技有限公司</v>
          </cell>
          <cell r="L312" t="str">
            <v>X</v>
          </cell>
          <cell r="M312" t="str">
            <v/>
          </cell>
          <cell r="N312">
            <v>1</v>
          </cell>
          <cell r="O312">
            <v>1.8500000000000001E-3</v>
          </cell>
          <cell r="P312">
            <v>1.85</v>
          </cell>
          <cell r="Q312">
            <v>1.85</v>
          </cell>
          <cell r="R312">
            <v>1000</v>
          </cell>
          <cell r="S312" t="str">
            <v>PCS</v>
          </cell>
          <cell r="T312">
            <v>35</v>
          </cell>
          <cell r="U312" t="str">
            <v>J3</v>
          </cell>
          <cell r="V312" t="str">
            <v>CNY</v>
          </cell>
          <cell r="W312">
            <v>5000</v>
          </cell>
          <cell r="X312">
            <v>5000</v>
          </cell>
        </row>
        <row r="313">
          <cell r="D313">
            <v>10100018109</v>
          </cell>
          <cell r="E313" t="str">
            <v>厚膜贴片电阻器</v>
          </cell>
          <cell r="F313">
            <v>10010302</v>
          </cell>
          <cell r="G313" t="str">
            <v>HKR\RES 1K F 1/8W 0805</v>
          </cell>
          <cell r="H313" t="str">
            <v>HKR(香港电阻)</v>
          </cell>
          <cell r="I313" t="str">
            <v>RCT051KFLF</v>
          </cell>
          <cell r="J313">
            <v>103166</v>
          </cell>
          <cell r="K313" t="str">
            <v>南充溢辉电子科技有限公司</v>
          </cell>
          <cell r="L313" t="str">
            <v>X</v>
          </cell>
          <cell r="M313" t="str">
            <v/>
          </cell>
          <cell r="N313">
            <v>1</v>
          </cell>
          <cell r="O313">
            <v>3.3500000000000001E-3</v>
          </cell>
          <cell r="P313">
            <v>3.35</v>
          </cell>
          <cell r="Q313">
            <v>3.35</v>
          </cell>
          <cell r="R313">
            <v>1000</v>
          </cell>
          <cell r="S313" t="str">
            <v>PCS</v>
          </cell>
          <cell r="T313">
            <v>35</v>
          </cell>
          <cell r="U313" t="str">
            <v>J3</v>
          </cell>
          <cell r="V313" t="str">
            <v>CNY</v>
          </cell>
          <cell r="W313">
            <v>5000</v>
          </cell>
          <cell r="X313">
            <v>5000</v>
          </cell>
        </row>
        <row r="314">
          <cell r="D314">
            <v>10100018253</v>
          </cell>
          <cell r="E314" t="str">
            <v>厚膜贴片电阻器</v>
          </cell>
          <cell r="F314">
            <v>10010302</v>
          </cell>
          <cell r="G314" t="str">
            <v>HKR\RES 5.1K F 1/8W 0805</v>
          </cell>
          <cell r="H314" t="str">
            <v>HKR(香港电阻)</v>
          </cell>
          <cell r="I314" t="str">
            <v>RCT055K1FLF</v>
          </cell>
          <cell r="J314">
            <v>103166</v>
          </cell>
          <cell r="K314" t="str">
            <v>南充溢辉电子科技有限公司</v>
          </cell>
          <cell r="L314" t="str">
            <v>X</v>
          </cell>
          <cell r="M314" t="str">
            <v/>
          </cell>
          <cell r="N314">
            <v>1</v>
          </cell>
          <cell r="O314">
            <v>3.3500000000000001E-3</v>
          </cell>
          <cell r="P314">
            <v>3.35</v>
          </cell>
          <cell r="Q314">
            <v>3.35</v>
          </cell>
          <cell r="R314">
            <v>1000</v>
          </cell>
          <cell r="S314" t="str">
            <v>PCS</v>
          </cell>
          <cell r="T314">
            <v>35</v>
          </cell>
          <cell r="U314" t="str">
            <v>J3</v>
          </cell>
          <cell r="V314" t="str">
            <v>CNY</v>
          </cell>
          <cell r="W314">
            <v>5000</v>
          </cell>
          <cell r="X314">
            <v>5000</v>
          </cell>
        </row>
        <row r="315">
          <cell r="D315">
            <v>10100018399</v>
          </cell>
          <cell r="E315" t="str">
            <v>厚膜贴片电阻器</v>
          </cell>
          <cell r="F315">
            <v>10010302</v>
          </cell>
          <cell r="G315" t="str">
            <v>HKR\RES 390R F 1/16W 0402</v>
          </cell>
          <cell r="H315" t="str">
            <v>HKR(香港电阻)</v>
          </cell>
          <cell r="I315" t="str">
            <v>RCT02390RFLF</v>
          </cell>
          <cell r="J315">
            <v>103166</v>
          </cell>
          <cell r="K315" t="str">
            <v>南充溢辉电子科技有限公司</v>
          </cell>
          <cell r="L315" t="str">
            <v>X</v>
          </cell>
          <cell r="M315" t="str">
            <v/>
          </cell>
          <cell r="N315">
            <v>1</v>
          </cell>
          <cell r="O315">
            <v>9.7999999999999997E-4</v>
          </cell>
          <cell r="P315">
            <v>0.98</v>
          </cell>
          <cell r="Q315">
            <v>0.98</v>
          </cell>
          <cell r="R315">
            <v>1000</v>
          </cell>
          <cell r="S315" t="str">
            <v>PCS</v>
          </cell>
          <cell r="T315">
            <v>35</v>
          </cell>
          <cell r="U315" t="str">
            <v>J3</v>
          </cell>
          <cell r="V315" t="str">
            <v>CNY</v>
          </cell>
          <cell r="W315">
            <v>10000</v>
          </cell>
          <cell r="X315">
            <v>10000</v>
          </cell>
        </row>
        <row r="316">
          <cell r="D316">
            <v>10100019075</v>
          </cell>
          <cell r="E316" t="str">
            <v>厚膜贴片电阻器</v>
          </cell>
          <cell r="F316">
            <v>10010302</v>
          </cell>
          <cell r="G316" t="str">
            <v>ROYA\RES 390R F 1/16W 0402</v>
          </cell>
          <cell r="H316" t="str">
            <v>ROYALOHM(厚声)</v>
          </cell>
          <cell r="I316" t="str">
            <v>0402WGF3900TCE</v>
          </cell>
          <cell r="J316">
            <v>100096</v>
          </cell>
          <cell r="K316" t="str">
            <v>厚声国际贸易（昆山）有限公司深圳分公司</v>
          </cell>
          <cell r="L316" t="str">
            <v>X</v>
          </cell>
          <cell r="M316" t="str">
            <v/>
          </cell>
          <cell r="N316">
            <v>1</v>
          </cell>
          <cell r="O316">
            <v>1.09E-3</v>
          </cell>
          <cell r="P316">
            <v>1.0900000000000001</v>
          </cell>
          <cell r="Q316">
            <v>1.0900000000000001</v>
          </cell>
          <cell r="R316">
            <v>1000</v>
          </cell>
          <cell r="S316" t="str">
            <v>PCS</v>
          </cell>
          <cell r="T316">
            <v>42</v>
          </cell>
          <cell r="U316" t="str">
            <v>J3</v>
          </cell>
          <cell r="V316" t="str">
            <v>CNY</v>
          </cell>
          <cell r="W316">
            <v>10000</v>
          </cell>
          <cell r="X316">
            <v>10000</v>
          </cell>
        </row>
        <row r="317">
          <cell r="D317">
            <v>10100019134</v>
          </cell>
          <cell r="E317" t="str">
            <v>厚膜贴片电阻器</v>
          </cell>
          <cell r="F317">
            <v>10010302</v>
          </cell>
          <cell r="G317" t="str">
            <v>HKR\RES 11K F 1/16W 0402</v>
          </cell>
          <cell r="H317" t="str">
            <v>HKR(香港电阻)</v>
          </cell>
          <cell r="I317" t="str">
            <v>RCT0211KFLF</v>
          </cell>
          <cell r="J317">
            <v>103166</v>
          </cell>
          <cell r="K317" t="str">
            <v>南充溢辉电子科技有限公司</v>
          </cell>
          <cell r="L317" t="str">
            <v>X</v>
          </cell>
          <cell r="M317" t="str">
            <v/>
          </cell>
          <cell r="N317">
            <v>1</v>
          </cell>
          <cell r="O317">
            <v>9.7999999999999997E-4</v>
          </cell>
          <cell r="P317">
            <v>0.98</v>
          </cell>
          <cell r="Q317">
            <v>0.98</v>
          </cell>
          <cell r="R317">
            <v>1000</v>
          </cell>
          <cell r="S317" t="str">
            <v>PCS</v>
          </cell>
          <cell r="T317">
            <v>35</v>
          </cell>
          <cell r="U317" t="str">
            <v>J3</v>
          </cell>
          <cell r="V317" t="str">
            <v>CNY</v>
          </cell>
          <cell r="W317">
            <v>10000</v>
          </cell>
          <cell r="X317">
            <v>10000</v>
          </cell>
        </row>
        <row r="318">
          <cell r="D318">
            <v>10100022516</v>
          </cell>
          <cell r="E318" t="str">
            <v>厚膜贴片电阻器</v>
          </cell>
          <cell r="F318">
            <v>10010302</v>
          </cell>
          <cell r="G318" t="str">
            <v>ROYA\RES 11K F 1/16W 0402</v>
          </cell>
          <cell r="H318" t="str">
            <v>ROYALOHM(厚声)</v>
          </cell>
          <cell r="I318" t="str">
            <v>0402WGF1102TCE</v>
          </cell>
          <cell r="J318">
            <v>100096</v>
          </cell>
          <cell r="K318" t="str">
            <v>厚声国际贸易（昆山）有限公司深圳分公司</v>
          </cell>
          <cell r="L318" t="str">
            <v>X</v>
          </cell>
          <cell r="M318" t="str">
            <v/>
          </cell>
          <cell r="N318">
            <v>1</v>
          </cell>
          <cell r="O318">
            <v>1.09E-3</v>
          </cell>
          <cell r="P318">
            <v>1.0900000000000001</v>
          </cell>
          <cell r="Q318">
            <v>1.0900000000000001</v>
          </cell>
          <cell r="R318">
            <v>1000</v>
          </cell>
          <cell r="S318" t="str">
            <v>PCS</v>
          </cell>
          <cell r="T318">
            <v>42</v>
          </cell>
          <cell r="U318" t="str">
            <v>J3</v>
          </cell>
          <cell r="V318" t="str">
            <v>CNY</v>
          </cell>
          <cell r="W318">
            <v>10000</v>
          </cell>
          <cell r="X318">
            <v>10000</v>
          </cell>
        </row>
        <row r="319">
          <cell r="D319">
            <v>10100022846</v>
          </cell>
          <cell r="E319" t="str">
            <v>厚膜贴片电阻器</v>
          </cell>
          <cell r="F319">
            <v>10010302</v>
          </cell>
          <cell r="G319" t="str">
            <v>YAGEO\RES 6.2K F 1/16W 0402</v>
          </cell>
          <cell r="H319" t="str">
            <v>YAGEO(国巨)</v>
          </cell>
          <cell r="I319" t="str">
            <v>RC0402FR-076K2L</v>
          </cell>
          <cell r="J319">
            <v>100078</v>
          </cell>
          <cell r="K319" t="str">
            <v>深圳市超利维实业有限公司</v>
          </cell>
          <cell r="L319" t="str">
            <v>X</v>
          </cell>
          <cell r="M319" t="str">
            <v/>
          </cell>
          <cell r="N319">
            <v>1</v>
          </cell>
          <cell r="O319">
            <v>1.4E-3</v>
          </cell>
          <cell r="P319">
            <v>1.4</v>
          </cell>
          <cell r="Q319">
            <v>1.4</v>
          </cell>
          <cell r="R319">
            <v>1000</v>
          </cell>
          <cell r="S319" t="str">
            <v>PCS</v>
          </cell>
          <cell r="T319">
            <v>84</v>
          </cell>
          <cell r="U319" t="str">
            <v>J3</v>
          </cell>
          <cell r="V319" t="str">
            <v>CNY</v>
          </cell>
          <cell r="W319">
            <v>10000</v>
          </cell>
          <cell r="X319">
            <v>10000</v>
          </cell>
        </row>
        <row r="320">
          <cell r="D320">
            <v>10100022852</v>
          </cell>
          <cell r="E320" t="str">
            <v>厚膜贴片电阻器</v>
          </cell>
          <cell r="F320">
            <v>10010302</v>
          </cell>
          <cell r="G320" t="str">
            <v>WALS\RES 6.2K F 1/16W 0402</v>
          </cell>
          <cell r="H320" t="str">
            <v>WALS(华科)</v>
          </cell>
          <cell r="I320" t="str">
            <v>WR04X6201FTL</v>
          </cell>
          <cell r="J320">
            <v>100131</v>
          </cell>
          <cell r="K320" t="str">
            <v>东莞华科电子有限公司</v>
          </cell>
          <cell r="L320" t="str">
            <v>X</v>
          </cell>
          <cell r="M320" t="str">
            <v/>
          </cell>
          <cell r="N320">
            <v>1</v>
          </cell>
          <cell r="O320">
            <v>1.17E-3</v>
          </cell>
          <cell r="P320">
            <v>1.17</v>
          </cell>
          <cell r="Q320">
            <v>1.17</v>
          </cell>
          <cell r="R320">
            <v>1000</v>
          </cell>
          <cell r="S320" t="str">
            <v>PCS</v>
          </cell>
          <cell r="T320">
            <v>56</v>
          </cell>
          <cell r="U320" t="str">
            <v>J3</v>
          </cell>
          <cell r="V320" t="str">
            <v>CNY</v>
          </cell>
          <cell r="W320">
            <v>10000</v>
          </cell>
          <cell r="X320">
            <v>10000</v>
          </cell>
        </row>
        <row r="321">
          <cell r="D321">
            <v>10100022856</v>
          </cell>
          <cell r="E321" t="str">
            <v>厚膜贴片电阻器</v>
          </cell>
          <cell r="F321">
            <v>10010302</v>
          </cell>
          <cell r="G321" t="str">
            <v>ROYA\RES 6.2K F 1/16W 0402</v>
          </cell>
          <cell r="H321" t="str">
            <v>ROYALOHM(厚声)</v>
          </cell>
          <cell r="I321" t="str">
            <v>0402WGF6201TCE</v>
          </cell>
          <cell r="J321">
            <v>100096</v>
          </cell>
          <cell r="K321" t="str">
            <v>厚声国际贸易（昆山）有限公司深圳分公司</v>
          </cell>
          <cell r="L321" t="str">
            <v>X</v>
          </cell>
          <cell r="M321" t="str">
            <v/>
          </cell>
          <cell r="N321">
            <v>1</v>
          </cell>
          <cell r="O321">
            <v>1.09E-3</v>
          </cell>
          <cell r="P321">
            <v>1.0900000000000001</v>
          </cell>
          <cell r="Q321">
            <v>1.0900000000000001</v>
          </cell>
          <cell r="R321">
            <v>1000</v>
          </cell>
          <cell r="S321" t="str">
            <v>PCS</v>
          </cell>
          <cell r="T321">
            <v>42</v>
          </cell>
          <cell r="U321" t="str">
            <v>J3</v>
          </cell>
          <cell r="V321" t="str">
            <v>CNY</v>
          </cell>
          <cell r="W321">
            <v>10000</v>
          </cell>
          <cell r="X321">
            <v>10000</v>
          </cell>
        </row>
        <row r="322">
          <cell r="D322">
            <v>10100022860</v>
          </cell>
          <cell r="E322" t="str">
            <v>厚膜贴片电阻器</v>
          </cell>
          <cell r="F322">
            <v>10010302</v>
          </cell>
          <cell r="G322" t="str">
            <v>FH\RES 6.2K F 1/16W 0402</v>
          </cell>
          <cell r="H322" t="str">
            <v>FH(风华)</v>
          </cell>
          <cell r="I322" t="str">
            <v>RC-02K6201FT</v>
          </cell>
          <cell r="J322">
            <v>100654</v>
          </cell>
          <cell r="K322" t="str">
            <v>广东风华高新科技股份有限公司</v>
          </cell>
          <cell r="L322" t="str">
            <v>X</v>
          </cell>
          <cell r="M322" t="str">
            <v/>
          </cell>
          <cell r="N322">
            <v>1</v>
          </cell>
          <cell r="O322">
            <v>1.1000000000000001E-3</v>
          </cell>
          <cell r="P322">
            <v>1.1000000000000001</v>
          </cell>
          <cell r="Q322">
            <v>1.1000000000000001</v>
          </cell>
          <cell r="R322">
            <v>1000</v>
          </cell>
          <cell r="S322" t="str">
            <v>PCS</v>
          </cell>
          <cell r="T322">
            <v>42</v>
          </cell>
          <cell r="U322" t="str">
            <v>J3</v>
          </cell>
          <cell r="V322" t="str">
            <v>CNY</v>
          </cell>
          <cell r="W322">
            <v>10000</v>
          </cell>
          <cell r="X322">
            <v>10000</v>
          </cell>
        </row>
        <row r="323">
          <cell r="D323">
            <v>10100023928</v>
          </cell>
          <cell r="E323" t="str">
            <v>厚膜贴片电阻器</v>
          </cell>
          <cell r="F323">
            <v>10010302</v>
          </cell>
          <cell r="G323" t="str">
            <v>ROYA\RES 75R F 1/4W 1206</v>
          </cell>
          <cell r="H323" t="str">
            <v>ROYALOHM(厚声)</v>
          </cell>
          <cell r="I323" t="str">
            <v>1206W4F750JT5E</v>
          </cell>
          <cell r="J323">
            <v>100096</v>
          </cell>
          <cell r="K323" t="str">
            <v>厚声国际贸易（昆山）有限公司深圳分公司</v>
          </cell>
          <cell r="L323" t="str">
            <v>X</v>
          </cell>
          <cell r="M323" t="str">
            <v/>
          </cell>
          <cell r="N323">
            <v>1</v>
          </cell>
          <cell r="O323">
            <v>6.7799999999999996E-3</v>
          </cell>
          <cell r="P323">
            <v>6.78</v>
          </cell>
          <cell r="Q323">
            <v>6.78</v>
          </cell>
          <cell r="R323">
            <v>1000</v>
          </cell>
          <cell r="S323" t="str">
            <v>PCS</v>
          </cell>
          <cell r="T323">
            <v>42</v>
          </cell>
          <cell r="U323" t="str">
            <v>J3</v>
          </cell>
          <cell r="V323" t="str">
            <v>CNY</v>
          </cell>
          <cell r="W323">
            <v>5000</v>
          </cell>
          <cell r="X323">
            <v>5000</v>
          </cell>
        </row>
        <row r="324">
          <cell r="D324">
            <v>10100023933</v>
          </cell>
          <cell r="E324" t="str">
            <v>厚膜贴片电阻器</v>
          </cell>
          <cell r="F324">
            <v>10010302</v>
          </cell>
          <cell r="G324" t="str">
            <v>FH\RES 75R F 1/4W 1206</v>
          </cell>
          <cell r="H324" t="str">
            <v>FH(风华)</v>
          </cell>
          <cell r="I324" t="str">
            <v>RS-06K75R0FT</v>
          </cell>
          <cell r="J324">
            <v>100654</v>
          </cell>
          <cell r="K324" t="str">
            <v>广东风华高新科技股份有限公司</v>
          </cell>
          <cell r="L324" t="str">
            <v>X</v>
          </cell>
          <cell r="M324" t="str">
            <v/>
          </cell>
          <cell r="N324">
            <v>1</v>
          </cell>
          <cell r="O324">
            <v>6.3699999999999998E-3</v>
          </cell>
          <cell r="P324">
            <v>6.37</v>
          </cell>
          <cell r="Q324">
            <v>6.37</v>
          </cell>
          <cell r="R324">
            <v>1000</v>
          </cell>
          <cell r="S324" t="str">
            <v>PCS</v>
          </cell>
          <cell r="T324">
            <v>56</v>
          </cell>
          <cell r="U324" t="str">
            <v>J3</v>
          </cell>
          <cell r="V324" t="str">
            <v>CNY</v>
          </cell>
          <cell r="W324">
            <v>5000</v>
          </cell>
          <cell r="X324">
            <v>5000</v>
          </cell>
        </row>
        <row r="325">
          <cell r="D325">
            <v>10100023938</v>
          </cell>
          <cell r="E325" t="str">
            <v>厚膜贴片电阻器</v>
          </cell>
          <cell r="F325">
            <v>10010302</v>
          </cell>
          <cell r="G325" t="str">
            <v>YAGEO\RES 75R F 1/4W 1206</v>
          </cell>
          <cell r="H325" t="str">
            <v>YAGEO(国巨)</v>
          </cell>
          <cell r="I325" t="str">
            <v>RC1206FR-0775RL</v>
          </cell>
          <cell r="J325">
            <v>100078</v>
          </cell>
          <cell r="K325" t="str">
            <v>深圳市超利维实业有限公司</v>
          </cell>
          <cell r="L325" t="str">
            <v>X</v>
          </cell>
          <cell r="M325" t="str">
            <v/>
          </cell>
          <cell r="N325">
            <v>1</v>
          </cell>
          <cell r="O325">
            <v>8.0000000000000002E-3</v>
          </cell>
          <cell r="P325">
            <v>8</v>
          </cell>
          <cell r="Q325">
            <v>8</v>
          </cell>
          <cell r="R325">
            <v>1000</v>
          </cell>
          <cell r="S325" t="str">
            <v>PCS</v>
          </cell>
          <cell r="T325">
            <v>84</v>
          </cell>
          <cell r="U325" t="str">
            <v>J3</v>
          </cell>
          <cell r="V325" t="str">
            <v>CNY</v>
          </cell>
          <cell r="W325">
            <v>5000</v>
          </cell>
          <cell r="X325">
            <v>5000</v>
          </cell>
        </row>
        <row r="326">
          <cell r="D326">
            <v>10100024044</v>
          </cell>
          <cell r="E326" t="str">
            <v>厚膜贴片电阻器</v>
          </cell>
          <cell r="F326">
            <v>10010302</v>
          </cell>
          <cell r="G326" t="str">
            <v>HKR\RES 75R F 1/4W 1206</v>
          </cell>
          <cell r="H326" t="str">
            <v>HKR(香港电阻)</v>
          </cell>
          <cell r="I326" t="str">
            <v>RCT0675RFLF</v>
          </cell>
          <cell r="J326">
            <v>103166</v>
          </cell>
          <cell r="K326" t="str">
            <v>南充溢辉电子科技有限公司</v>
          </cell>
          <cell r="L326" t="str">
            <v>X</v>
          </cell>
          <cell r="M326" t="str">
            <v/>
          </cell>
          <cell r="N326">
            <v>1</v>
          </cell>
          <cell r="O326">
            <v>5.5999999999999999E-3</v>
          </cell>
          <cell r="P326">
            <v>5.6</v>
          </cell>
          <cell r="Q326">
            <v>5.6</v>
          </cell>
          <cell r="R326">
            <v>1000</v>
          </cell>
          <cell r="S326" t="str">
            <v>PCS</v>
          </cell>
          <cell r="T326">
            <v>35</v>
          </cell>
          <cell r="U326" t="str">
            <v>J3</v>
          </cell>
          <cell r="V326" t="str">
            <v>CNY</v>
          </cell>
          <cell r="W326">
            <v>5000</v>
          </cell>
          <cell r="X326">
            <v>5000</v>
          </cell>
        </row>
        <row r="327">
          <cell r="D327">
            <v>10100024100</v>
          </cell>
          <cell r="E327" t="str">
            <v>厚膜贴片电阻器</v>
          </cell>
          <cell r="F327">
            <v>10010302</v>
          </cell>
          <cell r="G327" t="str">
            <v>FH\RES 0R R&lt;10mR 1/10W 0603 1A</v>
          </cell>
          <cell r="H327" t="str">
            <v>FH(风华)</v>
          </cell>
          <cell r="I327" t="str">
            <v>RS-03000FT</v>
          </cell>
          <cell r="J327">
            <v>100654</v>
          </cell>
          <cell r="K327" t="str">
            <v>广东风华高新科技股份有限公司</v>
          </cell>
          <cell r="L327" t="str">
            <v>X</v>
          </cell>
          <cell r="M327" t="str">
            <v/>
          </cell>
          <cell r="N327">
            <v>1</v>
          </cell>
          <cell r="O327">
            <v>2.0799999999999998E-3</v>
          </cell>
          <cell r="P327">
            <v>2.08</v>
          </cell>
          <cell r="Q327">
            <v>2.08</v>
          </cell>
          <cell r="R327">
            <v>1000</v>
          </cell>
          <cell r="S327" t="str">
            <v>PCS</v>
          </cell>
          <cell r="T327">
            <v>42</v>
          </cell>
          <cell r="U327" t="str">
            <v>J3</v>
          </cell>
          <cell r="V327" t="str">
            <v>CNY</v>
          </cell>
          <cell r="W327">
            <v>5000</v>
          </cell>
          <cell r="X327">
            <v>5000</v>
          </cell>
        </row>
        <row r="328">
          <cell r="D328">
            <v>10100024187</v>
          </cell>
          <cell r="E328" t="str">
            <v>厚膜贴片电阻器</v>
          </cell>
          <cell r="F328">
            <v>10010302</v>
          </cell>
          <cell r="G328" t="str">
            <v>ROYA\RES 470R F 1/4W 1206</v>
          </cell>
          <cell r="H328" t="str">
            <v>ROYALOHM(厚声)</v>
          </cell>
          <cell r="I328" t="str">
            <v>1206W4F4700T5E</v>
          </cell>
          <cell r="J328">
            <v>100096</v>
          </cell>
          <cell r="K328" t="str">
            <v>厚声国际贸易（昆山）有限公司深圳分公司</v>
          </cell>
          <cell r="L328" t="str">
            <v>X</v>
          </cell>
          <cell r="M328" t="str">
            <v/>
          </cell>
          <cell r="N328">
            <v>1</v>
          </cell>
          <cell r="O328">
            <v>6.7799999999999996E-3</v>
          </cell>
          <cell r="P328">
            <v>6.78</v>
          </cell>
          <cell r="Q328">
            <v>6.78</v>
          </cell>
          <cell r="R328">
            <v>1000</v>
          </cell>
          <cell r="S328" t="str">
            <v>PCS</v>
          </cell>
          <cell r="T328">
            <v>42</v>
          </cell>
          <cell r="U328" t="str">
            <v>J3</v>
          </cell>
          <cell r="V328" t="str">
            <v>CNY</v>
          </cell>
          <cell r="W328">
            <v>5000</v>
          </cell>
          <cell r="X328">
            <v>5000</v>
          </cell>
        </row>
        <row r="329">
          <cell r="D329">
            <v>10100026554</v>
          </cell>
          <cell r="E329" t="str">
            <v>厚膜贴片电阻器</v>
          </cell>
          <cell r="F329">
            <v>10010302</v>
          </cell>
          <cell r="G329" t="str">
            <v>FH\RES 300K F 1/4W 1206</v>
          </cell>
          <cell r="H329" t="str">
            <v>FH(风华)</v>
          </cell>
          <cell r="I329" t="str">
            <v>RS-06K3003FT</v>
          </cell>
          <cell r="J329">
            <v>100654</v>
          </cell>
          <cell r="K329" t="str">
            <v>广东风华高新科技股份有限公司</v>
          </cell>
          <cell r="L329" t="str">
            <v>X</v>
          </cell>
          <cell r="M329" t="str">
            <v/>
          </cell>
          <cell r="N329">
            <v>1</v>
          </cell>
          <cell r="O329">
            <v>6.3699999999999998E-3</v>
          </cell>
          <cell r="P329">
            <v>6.37</v>
          </cell>
          <cell r="Q329">
            <v>6.37</v>
          </cell>
          <cell r="R329">
            <v>1000</v>
          </cell>
          <cell r="S329" t="str">
            <v>PCS</v>
          </cell>
          <cell r="T329">
            <v>42</v>
          </cell>
          <cell r="U329" t="str">
            <v>J3</v>
          </cell>
          <cell r="V329" t="str">
            <v>CNY</v>
          </cell>
          <cell r="W329">
            <v>5000</v>
          </cell>
          <cell r="X329">
            <v>5000</v>
          </cell>
        </row>
        <row r="330">
          <cell r="D330">
            <v>10100026860</v>
          </cell>
          <cell r="E330" t="str">
            <v>NTC热敏电阻器</v>
          </cell>
          <cell r="F330">
            <v>10020301</v>
          </cell>
          <cell r="G330" t="str">
            <v>APL\NTC R(25) 5R M B(25/50) 2800K F=7.5&amp;</v>
          </cell>
          <cell r="H330" t="str">
            <v>AMPRON(安培龙)</v>
          </cell>
          <cell r="I330" t="str">
            <v>MF72-5D11内弯编带</v>
          </cell>
          <cell r="J330">
            <v>100089</v>
          </cell>
          <cell r="K330" t="str">
            <v>深圳安培龙科技股份有限公司</v>
          </cell>
          <cell r="L330" t="str">
            <v>X</v>
          </cell>
          <cell r="M330" t="str">
            <v/>
          </cell>
          <cell r="N330">
            <v>1</v>
          </cell>
          <cell r="O330">
            <v>0.25</v>
          </cell>
          <cell r="P330">
            <v>250</v>
          </cell>
          <cell r="Q330">
            <v>250</v>
          </cell>
          <cell r="R330">
            <v>1000</v>
          </cell>
          <cell r="S330" t="str">
            <v>PCS</v>
          </cell>
          <cell r="T330">
            <v>28</v>
          </cell>
          <cell r="U330" t="str">
            <v>J3</v>
          </cell>
          <cell r="V330" t="str">
            <v>CNY</v>
          </cell>
          <cell r="W330">
            <v>5000</v>
          </cell>
          <cell r="X330">
            <v>500</v>
          </cell>
        </row>
        <row r="331">
          <cell r="D331">
            <v>10100030065</v>
          </cell>
          <cell r="E331" t="str">
            <v>氧化锌压敏电阻器</v>
          </cell>
          <cell r="F331">
            <v>10020201</v>
          </cell>
          <cell r="G331" t="str">
            <v>TD\VAR 560VDC 6000A 17.5*7.6 F=7.5 CQC;&amp;</v>
          </cell>
          <cell r="H331" t="str">
            <v>TD(成都铁达)</v>
          </cell>
          <cell r="I331" t="str">
            <v>MYN15-561K-TRP3Y1F2H</v>
          </cell>
          <cell r="J331">
            <v>100147</v>
          </cell>
          <cell r="K331" t="str">
            <v>成都铁达电子股份有限公司</v>
          </cell>
          <cell r="L331" t="str">
            <v>X</v>
          </cell>
          <cell r="M331" t="str">
            <v/>
          </cell>
          <cell r="N331">
            <v>1</v>
          </cell>
          <cell r="O331">
            <v>0.47</v>
          </cell>
          <cell r="P331">
            <v>470</v>
          </cell>
          <cell r="Q331">
            <v>470</v>
          </cell>
          <cell r="R331">
            <v>1000</v>
          </cell>
          <cell r="S331" t="str">
            <v>PCS</v>
          </cell>
          <cell r="T331">
            <v>15</v>
          </cell>
          <cell r="U331" t="str">
            <v>J3</v>
          </cell>
          <cell r="V331" t="str">
            <v>CNY</v>
          </cell>
          <cell r="W331">
            <v>1600</v>
          </cell>
          <cell r="X331">
            <v>400</v>
          </cell>
        </row>
        <row r="332">
          <cell r="D332">
            <v>10110003896</v>
          </cell>
          <cell r="E332" t="str">
            <v>贴片陶瓷电容器</v>
          </cell>
          <cell r="F332">
            <v>11060201</v>
          </cell>
          <cell r="G332" t="str">
            <v>YAGEO\CAP Cer 1nF K X7R 50VDC 0402</v>
          </cell>
          <cell r="H332" t="str">
            <v>YAGEO(国巨)</v>
          </cell>
          <cell r="I332" t="str">
            <v>CC0402KRX7R9BB102</v>
          </cell>
          <cell r="J332">
            <v>101553</v>
          </cell>
          <cell r="K332" t="str">
            <v>深圳市奥特高科电子有限公司</v>
          </cell>
          <cell r="L332" t="str">
            <v>X</v>
          </cell>
          <cell r="M332" t="str">
            <v/>
          </cell>
          <cell r="N332">
            <v>1</v>
          </cell>
          <cell r="O332">
            <v>2.3E-3</v>
          </cell>
          <cell r="P332">
            <v>2.2999999999999998</v>
          </cell>
          <cell r="Q332">
            <v>2.2999999999999998</v>
          </cell>
          <cell r="R332">
            <v>1000</v>
          </cell>
          <cell r="S332" t="str">
            <v>PCS</v>
          </cell>
          <cell r="T332">
            <v>56</v>
          </cell>
          <cell r="U332" t="str">
            <v>J3</v>
          </cell>
          <cell r="V332" t="str">
            <v>CNY</v>
          </cell>
          <cell r="W332">
            <v>10000</v>
          </cell>
          <cell r="X332">
            <v>10000</v>
          </cell>
        </row>
        <row r="333">
          <cell r="D333">
            <v>10110003897</v>
          </cell>
          <cell r="E333" t="str">
            <v>贴片陶瓷电容器</v>
          </cell>
          <cell r="F333">
            <v>11060201</v>
          </cell>
          <cell r="G333" t="str">
            <v>YAGEO\CAP Cer 10nF K X7R 50VDC 0402</v>
          </cell>
          <cell r="H333" t="str">
            <v>YAGEO(国巨)</v>
          </cell>
          <cell r="I333" t="str">
            <v>CC0402KRX7R9BB103</v>
          </cell>
          <cell r="J333">
            <v>101553</v>
          </cell>
          <cell r="K333" t="str">
            <v>深圳市奥特高科电子有限公司</v>
          </cell>
          <cell r="L333" t="str">
            <v>X</v>
          </cell>
          <cell r="M333" t="str">
            <v/>
          </cell>
          <cell r="N333">
            <v>1</v>
          </cell>
          <cell r="O333">
            <v>2.2000000000000001E-3</v>
          </cell>
          <cell r="P333">
            <v>2.2000000000000002</v>
          </cell>
          <cell r="Q333">
            <v>2.2000000000000002</v>
          </cell>
          <cell r="R333">
            <v>1000</v>
          </cell>
          <cell r="S333" t="str">
            <v>PCS</v>
          </cell>
          <cell r="T333">
            <v>56</v>
          </cell>
          <cell r="U333" t="str">
            <v>J3</v>
          </cell>
          <cell r="V333" t="str">
            <v>CNY</v>
          </cell>
          <cell r="W333">
            <v>10000</v>
          </cell>
          <cell r="X333">
            <v>10000</v>
          </cell>
        </row>
        <row r="334">
          <cell r="D334">
            <v>10110004676</v>
          </cell>
          <cell r="E334" t="str">
            <v>贴片陶瓷电容器</v>
          </cell>
          <cell r="F334">
            <v>11060201</v>
          </cell>
          <cell r="G334" t="str">
            <v>WALS\CAP Cer 10nF K X7R 50VDC 0402</v>
          </cell>
          <cell r="H334" t="str">
            <v>WALS(华科)</v>
          </cell>
          <cell r="I334" t="str">
            <v>0402B103K500CT</v>
          </cell>
          <cell r="J334">
            <v>100131</v>
          </cell>
          <cell r="K334" t="str">
            <v>东莞华科电子有限公司</v>
          </cell>
          <cell r="L334" t="str">
            <v>X</v>
          </cell>
          <cell r="M334" t="str">
            <v/>
          </cell>
          <cell r="N334">
            <v>1</v>
          </cell>
          <cell r="O334">
            <v>1.98E-3</v>
          </cell>
          <cell r="P334">
            <v>1.98</v>
          </cell>
          <cell r="Q334">
            <v>1.98</v>
          </cell>
          <cell r="R334">
            <v>1000</v>
          </cell>
          <cell r="S334" t="str">
            <v>PCS</v>
          </cell>
          <cell r="T334">
            <v>56</v>
          </cell>
          <cell r="U334" t="str">
            <v>J3</v>
          </cell>
          <cell r="V334" t="str">
            <v>CNY</v>
          </cell>
          <cell r="W334">
            <v>10000</v>
          </cell>
          <cell r="X334">
            <v>10000</v>
          </cell>
        </row>
        <row r="335">
          <cell r="D335">
            <v>10110005377</v>
          </cell>
          <cell r="E335" t="str">
            <v>贴片陶瓷电容器</v>
          </cell>
          <cell r="F335">
            <v>11060201</v>
          </cell>
          <cell r="G335" t="str">
            <v>WALS\CAP Cer 100pF K X7R 50VDC 0402</v>
          </cell>
          <cell r="H335" t="str">
            <v>WALS(华科)</v>
          </cell>
          <cell r="I335" t="str">
            <v>0402B101K500CT</v>
          </cell>
          <cell r="J335">
            <v>101751</v>
          </cell>
          <cell r="K335" t="str">
            <v>深圳市巨新科电子有限公司</v>
          </cell>
          <cell r="L335" t="str">
            <v>X</v>
          </cell>
          <cell r="M335" t="str">
            <v/>
          </cell>
          <cell r="N335">
            <v>1</v>
          </cell>
          <cell r="O335">
            <v>2.98E-3</v>
          </cell>
          <cell r="P335">
            <v>2.98</v>
          </cell>
          <cell r="Q335">
            <v>2.98</v>
          </cell>
          <cell r="R335">
            <v>1000</v>
          </cell>
          <cell r="S335" t="str">
            <v>PCS</v>
          </cell>
          <cell r="T335">
            <v>56</v>
          </cell>
          <cell r="U335" t="str">
            <v>J3</v>
          </cell>
          <cell r="V335" t="str">
            <v>CNY</v>
          </cell>
          <cell r="W335">
            <v>10000</v>
          </cell>
          <cell r="X335">
            <v>10000</v>
          </cell>
        </row>
        <row r="336">
          <cell r="D336">
            <v>10110005378</v>
          </cell>
          <cell r="E336" t="str">
            <v>贴片陶瓷电容器</v>
          </cell>
          <cell r="F336">
            <v>11060201</v>
          </cell>
          <cell r="G336" t="str">
            <v>YAGEO\CAP Cer 100pF K X7R 50VDC 0402</v>
          </cell>
          <cell r="H336" t="str">
            <v>YAGEO(国巨)</v>
          </cell>
          <cell r="I336" t="str">
            <v>CC0402KRX7R9BB101</v>
          </cell>
          <cell r="J336">
            <v>100621</v>
          </cell>
          <cell r="K336" t="str">
            <v>深圳市吉利通电子有限公司</v>
          </cell>
          <cell r="L336" t="str">
            <v>X</v>
          </cell>
          <cell r="M336" t="str">
            <v/>
          </cell>
          <cell r="N336">
            <v>1</v>
          </cell>
          <cell r="O336">
            <v>2.3999999999999998E-3</v>
          </cell>
          <cell r="P336">
            <v>2.4</v>
          </cell>
          <cell r="Q336">
            <v>2.4</v>
          </cell>
          <cell r="R336">
            <v>1000</v>
          </cell>
          <cell r="S336" t="str">
            <v>PCS</v>
          </cell>
          <cell r="T336">
            <v>56</v>
          </cell>
          <cell r="U336" t="str">
            <v>J3</v>
          </cell>
          <cell r="V336" t="str">
            <v>CNY</v>
          </cell>
          <cell r="W336">
            <v>10000</v>
          </cell>
          <cell r="X336">
            <v>10000</v>
          </cell>
        </row>
        <row r="337">
          <cell r="D337">
            <v>10110005817</v>
          </cell>
          <cell r="E337" t="str">
            <v>贴片陶瓷电容器</v>
          </cell>
          <cell r="F337">
            <v>11060201</v>
          </cell>
          <cell r="G337" t="str">
            <v>WALS\CAP Cer 1nF K X7R 50VDC 0402</v>
          </cell>
          <cell r="H337" t="str">
            <v>WALS(华科)</v>
          </cell>
          <cell r="I337" t="str">
            <v>0402B102K500CT</v>
          </cell>
          <cell r="J337">
            <v>100131</v>
          </cell>
          <cell r="K337" t="str">
            <v>东莞华科电子有限公司</v>
          </cell>
          <cell r="L337" t="str">
            <v>X</v>
          </cell>
          <cell r="M337" t="str">
            <v/>
          </cell>
          <cell r="N337">
            <v>1</v>
          </cell>
          <cell r="O337">
            <v>1.98E-3</v>
          </cell>
          <cell r="P337">
            <v>1.98</v>
          </cell>
          <cell r="Q337">
            <v>1.98</v>
          </cell>
          <cell r="R337">
            <v>1000</v>
          </cell>
          <cell r="S337" t="str">
            <v>PCS</v>
          </cell>
          <cell r="T337">
            <v>56</v>
          </cell>
          <cell r="U337" t="str">
            <v>J3</v>
          </cell>
          <cell r="V337" t="str">
            <v>CNY</v>
          </cell>
          <cell r="W337">
            <v>10000</v>
          </cell>
          <cell r="X337">
            <v>10000</v>
          </cell>
        </row>
        <row r="338">
          <cell r="D338">
            <v>10110006771</v>
          </cell>
          <cell r="E338" t="str">
            <v>贴片陶瓷电容器</v>
          </cell>
          <cell r="F338">
            <v>11060201</v>
          </cell>
          <cell r="G338" t="str">
            <v>YAGEO\CAP Cer 100nF K X7R 50VDC 0402</v>
          </cell>
          <cell r="H338" t="str">
            <v>YAGEO(国巨)</v>
          </cell>
          <cell r="I338" t="str">
            <v>CC0402KRX7R9BB104</v>
          </cell>
          <cell r="J338">
            <v>101553</v>
          </cell>
          <cell r="K338" t="str">
            <v>深圳市奥特高科电子有限公司</v>
          </cell>
          <cell r="L338" t="str">
            <v>X</v>
          </cell>
          <cell r="M338" t="str">
            <v/>
          </cell>
          <cell r="N338">
            <v>1</v>
          </cell>
          <cell r="O338">
            <v>4.9500000000000004E-3</v>
          </cell>
          <cell r="P338">
            <v>4.95</v>
          </cell>
          <cell r="Q338">
            <v>4.95</v>
          </cell>
          <cell r="R338">
            <v>1000</v>
          </cell>
          <cell r="S338" t="str">
            <v>PCS</v>
          </cell>
          <cell r="T338">
            <v>56</v>
          </cell>
          <cell r="U338" t="str">
            <v>J3</v>
          </cell>
          <cell r="V338" t="str">
            <v>CNY</v>
          </cell>
          <cell r="W338">
            <v>10000</v>
          </cell>
          <cell r="X338">
            <v>10000</v>
          </cell>
        </row>
        <row r="339">
          <cell r="D339">
            <v>10110007139</v>
          </cell>
          <cell r="E339" t="str">
            <v>贴片陶瓷电容器</v>
          </cell>
          <cell r="F339">
            <v>11060201</v>
          </cell>
          <cell r="G339" t="str">
            <v>SAMS\CAP Cer 10nF K X7R 50VDC 0402</v>
          </cell>
          <cell r="H339" t="str">
            <v>SAMSUNG(三星)</v>
          </cell>
          <cell r="I339" t="str">
            <v>CL05B103KB5NNNC</v>
          </cell>
          <cell r="J339">
            <v>100599</v>
          </cell>
          <cell r="K339" t="str">
            <v>深圳市天河星供应链有限公司</v>
          </cell>
          <cell r="L339" t="str">
            <v>X</v>
          </cell>
          <cell r="M339" t="str">
            <v/>
          </cell>
          <cell r="N339">
            <v>1</v>
          </cell>
          <cell r="O339">
            <v>2.2000000000000001E-3</v>
          </cell>
          <cell r="P339">
            <v>2.2000000000000002</v>
          </cell>
          <cell r="Q339">
            <v>2.2000000000000002</v>
          </cell>
          <cell r="R339">
            <v>1000</v>
          </cell>
          <cell r="S339" t="str">
            <v>PCS</v>
          </cell>
          <cell r="T339">
            <v>56</v>
          </cell>
          <cell r="U339" t="str">
            <v>J3</v>
          </cell>
          <cell r="V339" t="str">
            <v>CNY</v>
          </cell>
          <cell r="W339">
            <v>10000</v>
          </cell>
          <cell r="X339">
            <v>10000</v>
          </cell>
        </row>
        <row r="340">
          <cell r="D340">
            <v>10110007822</v>
          </cell>
          <cell r="E340" t="str">
            <v>贴片陶瓷电容器</v>
          </cell>
          <cell r="F340">
            <v>11060201</v>
          </cell>
          <cell r="G340" t="str">
            <v>SAMS\CAP Cer 1nF K X7R 50VDC 0402</v>
          </cell>
          <cell r="H340" t="str">
            <v>SAMSUNG(三星)</v>
          </cell>
          <cell r="I340" t="str">
            <v>CL05B102KB5NNNC</v>
          </cell>
          <cell r="J340">
            <v>101957</v>
          </cell>
          <cell r="K340" t="str">
            <v>广东顺德集财电子有限公司</v>
          </cell>
          <cell r="L340" t="str">
            <v>X</v>
          </cell>
          <cell r="M340" t="str">
            <v/>
          </cell>
          <cell r="N340">
            <v>1</v>
          </cell>
          <cell r="O340">
            <v>2.3999999999999998E-3</v>
          </cell>
          <cell r="P340">
            <v>2.4</v>
          </cell>
          <cell r="Q340">
            <v>2.4</v>
          </cell>
          <cell r="R340">
            <v>1000</v>
          </cell>
          <cell r="S340" t="str">
            <v>PCS</v>
          </cell>
          <cell r="T340">
            <v>56</v>
          </cell>
          <cell r="U340" t="str">
            <v>J3</v>
          </cell>
          <cell r="V340" t="str">
            <v>CNY</v>
          </cell>
          <cell r="W340">
            <v>10000</v>
          </cell>
          <cell r="X340">
            <v>10000</v>
          </cell>
        </row>
        <row r="341">
          <cell r="D341">
            <v>10110008257</v>
          </cell>
          <cell r="E341" t="str">
            <v>贴片陶瓷电容器</v>
          </cell>
          <cell r="F341">
            <v>11060201</v>
          </cell>
          <cell r="G341" t="str">
            <v>WALS\CAP Cer 100nF K X7R 50VDC 0402</v>
          </cell>
          <cell r="H341" t="str">
            <v>WALS(华科)</v>
          </cell>
          <cell r="I341" t="str">
            <v>0402B104K500CT</v>
          </cell>
          <cell r="J341">
            <v>101566</v>
          </cell>
          <cell r="K341" t="str">
            <v>深圳市兴鸿宇科技有限公司</v>
          </cell>
          <cell r="L341" t="str">
            <v>X</v>
          </cell>
          <cell r="M341" t="str">
            <v/>
          </cell>
          <cell r="N341">
            <v>1</v>
          </cell>
          <cell r="O341">
            <v>4.5999999999999999E-3</v>
          </cell>
          <cell r="P341">
            <v>4.5999999999999996</v>
          </cell>
          <cell r="Q341">
            <v>4.5999999999999996</v>
          </cell>
          <cell r="R341">
            <v>1000</v>
          </cell>
          <cell r="S341" t="str">
            <v>PCS</v>
          </cell>
          <cell r="T341">
            <v>56</v>
          </cell>
          <cell r="U341" t="str">
            <v>J3</v>
          </cell>
          <cell r="V341" t="str">
            <v>CNY</v>
          </cell>
          <cell r="W341">
            <v>10000</v>
          </cell>
          <cell r="X341">
            <v>10000</v>
          </cell>
        </row>
        <row r="342">
          <cell r="D342">
            <v>10110008724</v>
          </cell>
          <cell r="E342" t="str">
            <v>贴片陶瓷电容器</v>
          </cell>
          <cell r="F342">
            <v>11060201</v>
          </cell>
          <cell r="G342" t="str">
            <v>FH\CAP Cer 100nF K X7R 50VDC 0402</v>
          </cell>
          <cell r="H342" t="str">
            <v>FH(风华)</v>
          </cell>
          <cell r="I342" t="str">
            <v>0402B104K500NT</v>
          </cell>
          <cell r="J342">
            <v>101957</v>
          </cell>
          <cell r="K342" t="str">
            <v>广东顺德集财电子有限公司</v>
          </cell>
          <cell r="L342" t="str">
            <v>X</v>
          </cell>
          <cell r="M342" t="str">
            <v/>
          </cell>
          <cell r="N342">
            <v>1</v>
          </cell>
          <cell r="O342">
            <v>4.1000000000000003E-3</v>
          </cell>
          <cell r="P342">
            <v>4.0999999999999996</v>
          </cell>
          <cell r="Q342">
            <v>4.0999999999999996</v>
          </cell>
          <cell r="R342">
            <v>1000</v>
          </cell>
          <cell r="S342" t="str">
            <v>PCS</v>
          </cell>
          <cell r="T342">
            <v>56</v>
          </cell>
          <cell r="U342" t="str">
            <v>J3</v>
          </cell>
          <cell r="V342" t="str">
            <v>CNY</v>
          </cell>
          <cell r="W342">
            <v>10000</v>
          </cell>
          <cell r="X342">
            <v>10000</v>
          </cell>
        </row>
        <row r="343">
          <cell r="D343">
            <v>10110008726</v>
          </cell>
          <cell r="E343" t="str">
            <v>贴片陶瓷电容器</v>
          </cell>
          <cell r="F343">
            <v>11060201</v>
          </cell>
          <cell r="G343" t="str">
            <v>FH\CAP Cer 100pF K X7R 50VDC 0402</v>
          </cell>
          <cell r="H343" t="str">
            <v>FH(风华)</v>
          </cell>
          <cell r="I343" t="str">
            <v>0402B101K500NT</v>
          </cell>
          <cell r="J343">
            <v>100599</v>
          </cell>
          <cell r="K343" t="str">
            <v>深圳市天河星供应链有限公司</v>
          </cell>
          <cell r="L343" t="str">
            <v>X</v>
          </cell>
          <cell r="M343" t="str">
            <v/>
          </cell>
          <cell r="N343">
            <v>1</v>
          </cell>
          <cell r="O343">
            <v>2.2000000000000001E-3</v>
          </cell>
          <cell r="P343">
            <v>2.2000000000000002</v>
          </cell>
          <cell r="Q343">
            <v>2.2000000000000002</v>
          </cell>
          <cell r="R343">
            <v>1000</v>
          </cell>
          <cell r="S343" t="str">
            <v>PCS</v>
          </cell>
          <cell r="T343">
            <v>56</v>
          </cell>
          <cell r="U343" t="str">
            <v>J3</v>
          </cell>
          <cell r="V343" t="str">
            <v>CNY</v>
          </cell>
          <cell r="W343">
            <v>10000</v>
          </cell>
          <cell r="X343">
            <v>10000</v>
          </cell>
        </row>
        <row r="344">
          <cell r="D344">
            <v>10110008729</v>
          </cell>
          <cell r="E344" t="str">
            <v>贴片陶瓷电容器</v>
          </cell>
          <cell r="F344">
            <v>11060201</v>
          </cell>
          <cell r="G344" t="str">
            <v>FH\CAP Cer 10nF K X7R 50VDC 0402</v>
          </cell>
          <cell r="H344" t="str">
            <v>FH(风华)</v>
          </cell>
          <cell r="I344" t="str">
            <v>0402B103K500NT</v>
          </cell>
          <cell r="J344">
            <v>100599</v>
          </cell>
          <cell r="K344" t="str">
            <v>深圳市天河星供应链有限公司</v>
          </cell>
          <cell r="L344" t="str">
            <v>X</v>
          </cell>
          <cell r="M344" t="str">
            <v/>
          </cell>
          <cell r="N344">
            <v>1</v>
          </cell>
          <cell r="O344">
            <v>2.0999999999999999E-3</v>
          </cell>
          <cell r="P344">
            <v>2.1</v>
          </cell>
          <cell r="Q344">
            <v>2.1</v>
          </cell>
          <cell r="R344">
            <v>1000</v>
          </cell>
          <cell r="S344" t="str">
            <v>PCS</v>
          </cell>
          <cell r="T344">
            <v>56</v>
          </cell>
          <cell r="U344" t="str">
            <v>J3</v>
          </cell>
          <cell r="V344" t="str">
            <v>CNY</v>
          </cell>
          <cell r="W344">
            <v>10000</v>
          </cell>
          <cell r="X344">
            <v>10000</v>
          </cell>
        </row>
        <row r="345">
          <cell r="D345">
            <v>10110008734</v>
          </cell>
          <cell r="E345" t="str">
            <v>贴片陶瓷电容器</v>
          </cell>
          <cell r="F345">
            <v>11060201</v>
          </cell>
          <cell r="G345" t="str">
            <v>FH\CAP Cer 1nF K X7R 50VDC 0402</v>
          </cell>
          <cell r="H345" t="str">
            <v>FH(风华)</v>
          </cell>
          <cell r="I345" t="str">
            <v>0402B102K500NT</v>
          </cell>
          <cell r="J345">
            <v>100599</v>
          </cell>
          <cell r="K345" t="str">
            <v>深圳市天河星供应链有限公司</v>
          </cell>
          <cell r="L345" t="str">
            <v>X</v>
          </cell>
          <cell r="M345" t="str">
            <v/>
          </cell>
          <cell r="N345">
            <v>1</v>
          </cell>
          <cell r="O345">
            <v>2.0999999999999999E-3</v>
          </cell>
          <cell r="P345">
            <v>2.1</v>
          </cell>
          <cell r="Q345">
            <v>2.1</v>
          </cell>
          <cell r="R345">
            <v>1000</v>
          </cell>
          <cell r="S345" t="str">
            <v>PCS</v>
          </cell>
          <cell r="T345">
            <v>56</v>
          </cell>
          <cell r="U345" t="str">
            <v>J3</v>
          </cell>
          <cell r="V345" t="str">
            <v>CNY</v>
          </cell>
          <cell r="W345">
            <v>10000</v>
          </cell>
          <cell r="X345">
            <v>10000</v>
          </cell>
        </row>
        <row r="346">
          <cell r="D346">
            <v>10110008742</v>
          </cell>
          <cell r="E346" t="str">
            <v>贴片陶瓷电容器</v>
          </cell>
          <cell r="F346">
            <v>11060201</v>
          </cell>
          <cell r="G346" t="str">
            <v>FH\CAP Cer 2.2nF K X7R 50VDC 0402</v>
          </cell>
          <cell r="H346" t="str">
            <v>FH(风华)</v>
          </cell>
          <cell r="I346" t="str">
            <v>0402B222K500NT</v>
          </cell>
          <cell r="J346">
            <v>100654</v>
          </cell>
          <cell r="K346" t="str">
            <v>广东风华高新科技股份有限公司</v>
          </cell>
          <cell r="L346" t="str">
            <v>X</v>
          </cell>
          <cell r="M346" t="str">
            <v/>
          </cell>
          <cell r="N346">
            <v>1</v>
          </cell>
          <cell r="O346">
            <v>2.1900000000000001E-3</v>
          </cell>
          <cell r="P346">
            <v>2.19</v>
          </cell>
          <cell r="Q346">
            <v>2.19</v>
          </cell>
          <cell r="R346">
            <v>1000</v>
          </cell>
          <cell r="S346" t="str">
            <v>PCS</v>
          </cell>
          <cell r="T346">
            <v>56</v>
          </cell>
          <cell r="U346" t="str">
            <v>J3</v>
          </cell>
          <cell r="V346" t="str">
            <v>CNY</v>
          </cell>
          <cell r="W346">
            <v>10000</v>
          </cell>
          <cell r="X346">
            <v>10000</v>
          </cell>
        </row>
        <row r="347">
          <cell r="D347">
            <v>10110008934</v>
          </cell>
          <cell r="E347" t="str">
            <v>贴片陶瓷电容器</v>
          </cell>
          <cell r="F347">
            <v>11060201</v>
          </cell>
          <cell r="G347" t="str">
            <v>FH\CAP Cer 4.7uF K X7R 50VDC 0805</v>
          </cell>
          <cell r="H347" t="str">
            <v>FH(风华)</v>
          </cell>
          <cell r="I347" t="str">
            <v>0805B475K500NT</v>
          </cell>
          <cell r="J347">
            <v>101957</v>
          </cell>
          <cell r="K347" t="str">
            <v>广东顺德集财电子有限公司</v>
          </cell>
          <cell r="L347" t="str">
            <v>X</v>
          </cell>
          <cell r="M347" t="str">
            <v/>
          </cell>
          <cell r="N347">
            <v>1</v>
          </cell>
          <cell r="O347">
            <v>9.8000000000000004E-2</v>
          </cell>
          <cell r="P347">
            <v>98</v>
          </cell>
          <cell r="Q347">
            <v>98</v>
          </cell>
          <cell r="R347">
            <v>1000</v>
          </cell>
          <cell r="S347" t="str">
            <v>PCS</v>
          </cell>
          <cell r="T347">
            <v>56</v>
          </cell>
          <cell r="U347" t="str">
            <v>J3</v>
          </cell>
          <cell r="V347" t="str">
            <v>CNY</v>
          </cell>
          <cell r="W347">
            <v>2000</v>
          </cell>
          <cell r="X347">
            <v>2000</v>
          </cell>
        </row>
        <row r="348">
          <cell r="D348">
            <v>10110008993</v>
          </cell>
          <cell r="E348" t="str">
            <v>贴片陶瓷电容器</v>
          </cell>
          <cell r="F348">
            <v>11060201</v>
          </cell>
          <cell r="G348" t="str">
            <v>WALS\CAP Cer 2.2nF K X7R 50VDC 0402</v>
          </cell>
          <cell r="H348" t="str">
            <v>WALS(华科)</v>
          </cell>
          <cell r="I348" t="str">
            <v>0402B222K500CT</v>
          </cell>
          <cell r="J348">
            <v>100131</v>
          </cell>
          <cell r="K348" t="str">
            <v>东莞华科电子有限公司</v>
          </cell>
          <cell r="L348" t="str">
            <v>X</v>
          </cell>
          <cell r="M348" t="str">
            <v/>
          </cell>
          <cell r="N348">
            <v>1</v>
          </cell>
          <cell r="O348">
            <v>3.0500000000000002E-3</v>
          </cell>
          <cell r="P348">
            <v>3.05</v>
          </cell>
          <cell r="Q348">
            <v>3.05</v>
          </cell>
          <cell r="R348">
            <v>1000</v>
          </cell>
          <cell r="S348" t="str">
            <v>PCS</v>
          </cell>
          <cell r="T348">
            <v>56</v>
          </cell>
          <cell r="U348" t="str">
            <v>J3</v>
          </cell>
          <cell r="V348" t="str">
            <v>CNY</v>
          </cell>
          <cell r="W348">
            <v>10000</v>
          </cell>
          <cell r="X348">
            <v>10000</v>
          </cell>
        </row>
        <row r="349">
          <cell r="D349">
            <v>10110009071</v>
          </cell>
          <cell r="E349" t="str">
            <v>贴片陶瓷电容器</v>
          </cell>
          <cell r="F349">
            <v>11060201</v>
          </cell>
          <cell r="G349" t="str">
            <v>WALS\CAP Cer 4.7uF K X7R 50VDC 0805</v>
          </cell>
          <cell r="H349" t="str">
            <v>WALS(华科)</v>
          </cell>
          <cell r="I349" t="str">
            <v>0805B475K500CT</v>
          </cell>
          <cell r="J349">
            <v>100131</v>
          </cell>
          <cell r="K349" t="str">
            <v>东莞华科电子有限公司</v>
          </cell>
          <cell r="L349" t="str">
            <v>X</v>
          </cell>
          <cell r="M349" t="str">
            <v/>
          </cell>
          <cell r="N349">
            <v>1</v>
          </cell>
          <cell r="O349">
            <v>0.16964000000000001</v>
          </cell>
          <cell r="P349">
            <v>169.64</v>
          </cell>
          <cell r="Q349">
            <v>169.64</v>
          </cell>
          <cell r="R349">
            <v>1000</v>
          </cell>
          <cell r="S349" t="str">
            <v>PCS</v>
          </cell>
          <cell r="T349">
            <v>84</v>
          </cell>
          <cell r="U349" t="str">
            <v>J3</v>
          </cell>
          <cell r="V349" t="str">
            <v>CNY</v>
          </cell>
          <cell r="W349">
            <v>3000</v>
          </cell>
          <cell r="X349">
            <v>3000</v>
          </cell>
        </row>
        <row r="350">
          <cell r="D350">
            <v>10110009749</v>
          </cell>
          <cell r="E350" t="str">
            <v>贴片陶瓷电容器</v>
          </cell>
          <cell r="F350">
            <v>11060201</v>
          </cell>
          <cell r="G350" t="str">
            <v>SAMS\CAP Cer 100pF K X7R 50VDC 0402</v>
          </cell>
          <cell r="H350" t="str">
            <v>SAMSUNG(三星)</v>
          </cell>
          <cell r="I350" t="str">
            <v>CL05B101KB5NNNC</v>
          </cell>
          <cell r="J350">
            <v>101783</v>
          </cell>
          <cell r="K350" t="str">
            <v>深圳市欧亚达电子有限公司</v>
          </cell>
          <cell r="L350" t="str">
            <v>X</v>
          </cell>
          <cell r="M350" t="str">
            <v/>
          </cell>
          <cell r="N350">
            <v>1</v>
          </cell>
          <cell r="O350">
            <v>9.5499999999999995E-3</v>
          </cell>
          <cell r="P350">
            <v>9.5500000000000007</v>
          </cell>
          <cell r="Q350">
            <v>9.5500000000000007</v>
          </cell>
          <cell r="R350">
            <v>1000</v>
          </cell>
          <cell r="S350" t="str">
            <v>PCS</v>
          </cell>
          <cell r="T350">
            <v>84</v>
          </cell>
          <cell r="U350" t="str">
            <v>J3</v>
          </cell>
          <cell r="V350" t="str">
            <v>CNY</v>
          </cell>
          <cell r="W350">
            <v>10000</v>
          </cell>
          <cell r="X350">
            <v>10000</v>
          </cell>
        </row>
        <row r="351">
          <cell r="D351">
            <v>10110010638</v>
          </cell>
          <cell r="E351" t="str">
            <v>贴片陶瓷电容器</v>
          </cell>
          <cell r="F351">
            <v>11060201</v>
          </cell>
          <cell r="G351" t="str">
            <v>SAMS\CAP Cer 2.2nF K X7R 50VDC 0402</v>
          </cell>
          <cell r="H351" t="str">
            <v>SAMSUNG(三星)</v>
          </cell>
          <cell r="I351" t="str">
            <v>CL05B222KB5NNNC</v>
          </cell>
          <cell r="J351">
            <v>102940</v>
          </cell>
          <cell r="K351" t="str">
            <v>深圳市宏昌鑫科技有限责任公司</v>
          </cell>
          <cell r="L351" t="str">
            <v>X</v>
          </cell>
          <cell r="M351" t="str">
            <v/>
          </cell>
          <cell r="N351">
            <v>1</v>
          </cell>
          <cell r="O351">
            <v>7.3699999999999998E-3</v>
          </cell>
          <cell r="P351">
            <v>7.37</v>
          </cell>
          <cell r="Q351">
            <v>7.37</v>
          </cell>
          <cell r="R351">
            <v>1000</v>
          </cell>
          <cell r="S351" t="str">
            <v>PCS</v>
          </cell>
          <cell r="T351">
            <v>140</v>
          </cell>
          <cell r="U351" t="str">
            <v>J3</v>
          </cell>
          <cell r="V351" t="str">
            <v>CNY</v>
          </cell>
          <cell r="W351">
            <v>10000</v>
          </cell>
          <cell r="X351">
            <v>10000</v>
          </cell>
        </row>
        <row r="352">
          <cell r="D352">
            <v>10110011269</v>
          </cell>
          <cell r="E352" t="str">
            <v>贴片陶瓷电容器</v>
          </cell>
          <cell r="F352">
            <v>11060201</v>
          </cell>
          <cell r="G352" t="str">
            <v>SH3\CAP Cer 10nF K X7R 50VDC 0402</v>
          </cell>
          <cell r="H352" t="str">
            <v>CCTC(三环)</v>
          </cell>
          <cell r="I352" t="str">
            <v>TCC0402X7R103K500AT</v>
          </cell>
          <cell r="J352">
            <v>102178</v>
          </cell>
          <cell r="K352" t="str">
            <v>潮州三环（集团）股份有限公司</v>
          </cell>
          <cell r="L352" t="str">
            <v>X</v>
          </cell>
          <cell r="M352" t="str">
            <v/>
          </cell>
          <cell r="N352">
            <v>1</v>
          </cell>
          <cell r="O352">
            <v>1.8500000000000001E-3</v>
          </cell>
          <cell r="P352">
            <v>1.85</v>
          </cell>
          <cell r="Q352">
            <v>1.85</v>
          </cell>
          <cell r="R352">
            <v>1000</v>
          </cell>
          <cell r="S352" t="str">
            <v>PCS</v>
          </cell>
          <cell r="T352">
            <v>56</v>
          </cell>
          <cell r="U352" t="str">
            <v>J3</v>
          </cell>
          <cell r="V352" t="str">
            <v>CNY</v>
          </cell>
          <cell r="W352">
            <v>10000</v>
          </cell>
          <cell r="X352">
            <v>10000</v>
          </cell>
        </row>
        <row r="353">
          <cell r="D353">
            <v>10110012147</v>
          </cell>
          <cell r="E353" t="str">
            <v>贴片陶瓷电容器</v>
          </cell>
          <cell r="F353">
            <v>11060201</v>
          </cell>
          <cell r="G353" t="str">
            <v>SH3\CAP Cer 100pF K X7R 50VDC 0402</v>
          </cell>
          <cell r="H353" t="str">
            <v>CCTC(三环)</v>
          </cell>
          <cell r="I353" t="str">
            <v>TCC0402X7R101K500AT</v>
          </cell>
          <cell r="J353">
            <v>102178</v>
          </cell>
          <cell r="K353" t="str">
            <v>潮州三环（集团）股份有限公司</v>
          </cell>
          <cell r="L353" t="str">
            <v>X</v>
          </cell>
          <cell r="M353" t="str">
            <v/>
          </cell>
          <cell r="N353">
            <v>1</v>
          </cell>
          <cell r="O353">
            <v>1.9499999999999999E-3</v>
          </cell>
          <cell r="P353">
            <v>1.95</v>
          </cell>
          <cell r="Q353">
            <v>1.95</v>
          </cell>
          <cell r="R353">
            <v>1000</v>
          </cell>
          <cell r="S353" t="str">
            <v>PCS</v>
          </cell>
          <cell r="T353">
            <v>56</v>
          </cell>
          <cell r="U353" t="str">
            <v>J3</v>
          </cell>
          <cell r="V353" t="str">
            <v>CNY</v>
          </cell>
          <cell r="W353">
            <v>10000</v>
          </cell>
          <cell r="X353">
            <v>10000</v>
          </cell>
        </row>
        <row r="354">
          <cell r="D354">
            <v>10110012149</v>
          </cell>
          <cell r="E354" t="str">
            <v>贴片陶瓷电容器</v>
          </cell>
          <cell r="F354">
            <v>11060201</v>
          </cell>
          <cell r="G354" t="str">
            <v>SH3\CAP Cer 1nF K X7R 50VDC 0402</v>
          </cell>
          <cell r="H354" t="str">
            <v>CCTC(三环)</v>
          </cell>
          <cell r="I354" t="str">
            <v>TCC0402X7R102K500AT</v>
          </cell>
          <cell r="J354">
            <v>102178</v>
          </cell>
          <cell r="K354" t="str">
            <v>潮州三环（集团）股份有限公司</v>
          </cell>
          <cell r="L354" t="str">
            <v>X</v>
          </cell>
          <cell r="M354" t="str">
            <v/>
          </cell>
          <cell r="N354">
            <v>1</v>
          </cell>
          <cell r="O354">
            <v>1.8500000000000001E-3</v>
          </cell>
          <cell r="P354">
            <v>1.85</v>
          </cell>
          <cell r="Q354">
            <v>1.85</v>
          </cell>
          <cell r="R354">
            <v>1000</v>
          </cell>
          <cell r="S354" t="str">
            <v>PCS</v>
          </cell>
          <cell r="T354">
            <v>56</v>
          </cell>
          <cell r="U354" t="str">
            <v>J3</v>
          </cell>
          <cell r="V354" t="str">
            <v>CNY</v>
          </cell>
          <cell r="W354">
            <v>10000</v>
          </cell>
          <cell r="X354">
            <v>10000</v>
          </cell>
        </row>
        <row r="355">
          <cell r="D355">
            <v>10110014746</v>
          </cell>
          <cell r="E355" t="str">
            <v>X2安规薄膜电容器</v>
          </cell>
          <cell r="F355">
            <v>11010102</v>
          </cell>
          <cell r="G355" t="str">
            <v>STE\CAP X2 220nF K 275VAC 13*6*12 F=10&amp;</v>
          </cell>
          <cell r="H355" t="str">
            <v>STE(松田)</v>
          </cell>
          <cell r="I355" t="str">
            <v>X2P2224KN5B0130120060ES0</v>
          </cell>
          <cell r="J355">
            <v>101946</v>
          </cell>
          <cell r="K355" t="str">
            <v>汕头保税区松田电子科技有限公司</v>
          </cell>
          <cell r="L355" t="str">
            <v>X</v>
          </cell>
          <cell r="M355" t="str">
            <v/>
          </cell>
          <cell r="N355">
            <v>1</v>
          </cell>
          <cell r="O355">
            <v>0.23311999999999999</v>
          </cell>
          <cell r="P355">
            <v>233.12</v>
          </cell>
          <cell r="Q355">
            <v>233.12</v>
          </cell>
          <cell r="R355">
            <v>1000</v>
          </cell>
          <cell r="S355" t="str">
            <v>PCS</v>
          </cell>
          <cell r="T355">
            <v>28</v>
          </cell>
          <cell r="U355" t="str">
            <v>J3</v>
          </cell>
          <cell r="V355" t="str">
            <v>CNY</v>
          </cell>
          <cell r="W355">
            <v>1000</v>
          </cell>
          <cell r="X355">
            <v>1000</v>
          </cell>
        </row>
        <row r="356">
          <cell r="D356">
            <v>10110015893</v>
          </cell>
          <cell r="E356" t="str">
            <v>贴片陶瓷电容器</v>
          </cell>
          <cell r="F356">
            <v>11060201</v>
          </cell>
          <cell r="G356" t="str">
            <v>SH3\CAP Cer 2.2nF K X7R 50VDC 0402</v>
          </cell>
          <cell r="H356" t="str">
            <v>CCTC(三环)</v>
          </cell>
          <cell r="I356" t="str">
            <v>TCC0402X7R222K500AT</v>
          </cell>
          <cell r="J356">
            <v>102178</v>
          </cell>
          <cell r="K356" t="str">
            <v>潮州三环（集团）股份有限公司</v>
          </cell>
          <cell r="L356" t="str">
            <v>X</v>
          </cell>
          <cell r="M356" t="str">
            <v/>
          </cell>
          <cell r="N356">
            <v>1</v>
          </cell>
          <cell r="O356">
            <v>1.8600000000000001E-3</v>
          </cell>
          <cell r="P356">
            <v>1.86</v>
          </cell>
          <cell r="Q356">
            <v>1.86</v>
          </cell>
          <cell r="R356">
            <v>1000</v>
          </cell>
          <cell r="S356" t="str">
            <v>PCS</v>
          </cell>
          <cell r="T356">
            <v>56</v>
          </cell>
          <cell r="U356" t="str">
            <v>J3</v>
          </cell>
          <cell r="V356" t="str">
            <v>CNY</v>
          </cell>
          <cell r="W356">
            <v>10000</v>
          </cell>
          <cell r="X356">
            <v>10000</v>
          </cell>
        </row>
        <row r="357">
          <cell r="D357">
            <v>10110016198</v>
          </cell>
          <cell r="E357" t="str">
            <v>贴片陶瓷电容器</v>
          </cell>
          <cell r="F357">
            <v>11060201</v>
          </cell>
          <cell r="G357" t="str">
            <v>YAGEO\CAP Cer 2.2nF K X7R 50VDC 0402</v>
          </cell>
          <cell r="H357" t="str">
            <v>YAGEO(国巨)</v>
          </cell>
          <cell r="I357" t="str">
            <v>CC0402KRX7R9BB222</v>
          </cell>
          <cell r="J357">
            <v>101553</v>
          </cell>
          <cell r="K357" t="str">
            <v>深圳市奥特高科电子有限公司</v>
          </cell>
          <cell r="L357" t="str">
            <v>X</v>
          </cell>
          <cell r="M357" t="str">
            <v/>
          </cell>
          <cell r="N357">
            <v>1</v>
          </cell>
          <cell r="O357">
            <v>2.3E-3</v>
          </cell>
          <cell r="P357">
            <v>2.2999999999999998</v>
          </cell>
          <cell r="Q357">
            <v>2.2999999999999998</v>
          </cell>
          <cell r="R357">
            <v>1000</v>
          </cell>
          <cell r="S357" t="str">
            <v>PCS</v>
          </cell>
          <cell r="T357">
            <v>56</v>
          </cell>
          <cell r="U357" t="str">
            <v>J3</v>
          </cell>
          <cell r="V357" t="str">
            <v>CNY</v>
          </cell>
          <cell r="W357">
            <v>10000</v>
          </cell>
          <cell r="X357">
            <v>10000</v>
          </cell>
        </row>
        <row r="358">
          <cell r="D358">
            <v>10110016349</v>
          </cell>
          <cell r="E358" t="str">
            <v>贴片陶瓷电容器</v>
          </cell>
          <cell r="F358">
            <v>11060201</v>
          </cell>
          <cell r="G358" t="str">
            <v>SH3\CAP Cer 100nF K X7R 50VDC 0402</v>
          </cell>
          <cell r="H358" t="str">
            <v>CCTC(三环)</v>
          </cell>
          <cell r="I358" t="str">
            <v>TCC0402X7R104K500AT</v>
          </cell>
          <cell r="J358">
            <v>102178</v>
          </cell>
          <cell r="K358" t="str">
            <v>潮州三环（集团）股份有限公司</v>
          </cell>
          <cell r="L358" t="str">
            <v>X</v>
          </cell>
          <cell r="M358" t="str">
            <v/>
          </cell>
          <cell r="N358">
            <v>1</v>
          </cell>
          <cell r="O358">
            <v>3.9500000000000004E-3</v>
          </cell>
          <cell r="P358">
            <v>3.95</v>
          </cell>
          <cell r="Q358">
            <v>3.95</v>
          </cell>
          <cell r="R358">
            <v>1000</v>
          </cell>
          <cell r="S358" t="str">
            <v>PCS</v>
          </cell>
          <cell r="T358">
            <v>56</v>
          </cell>
          <cell r="U358" t="str">
            <v>J3</v>
          </cell>
          <cell r="V358" t="str">
            <v>CNY</v>
          </cell>
          <cell r="W358">
            <v>10000</v>
          </cell>
          <cell r="X358">
            <v>10000</v>
          </cell>
        </row>
        <row r="359">
          <cell r="D359">
            <v>10110017022</v>
          </cell>
          <cell r="E359" t="str">
            <v>贴片陶瓷电容器</v>
          </cell>
          <cell r="F359">
            <v>11060201</v>
          </cell>
          <cell r="G359" t="str">
            <v>WALS\CAP Cer 1nF K X7R 100VDC 0402</v>
          </cell>
          <cell r="H359" t="str">
            <v>WALS(华科)</v>
          </cell>
          <cell r="I359" t="str">
            <v>0402B102K101CT</v>
          </cell>
          <cell r="J359">
            <v>100131</v>
          </cell>
          <cell r="K359" t="str">
            <v>东莞华科电子有限公司</v>
          </cell>
          <cell r="L359" t="str">
            <v>X</v>
          </cell>
          <cell r="M359" t="str">
            <v/>
          </cell>
          <cell r="N359">
            <v>1</v>
          </cell>
          <cell r="O359">
            <v>1.074E-2</v>
          </cell>
          <cell r="P359">
            <v>10.74</v>
          </cell>
          <cell r="Q359">
            <v>10.74</v>
          </cell>
          <cell r="R359">
            <v>1000</v>
          </cell>
          <cell r="S359" t="str">
            <v>PCS</v>
          </cell>
          <cell r="T359">
            <v>84</v>
          </cell>
          <cell r="U359" t="str">
            <v>J3</v>
          </cell>
          <cell r="V359" t="str">
            <v>CNY</v>
          </cell>
          <cell r="W359">
            <v>10000</v>
          </cell>
          <cell r="X359">
            <v>10000</v>
          </cell>
        </row>
        <row r="360">
          <cell r="D360">
            <v>10110017023</v>
          </cell>
          <cell r="E360" t="str">
            <v>贴片陶瓷电容器</v>
          </cell>
          <cell r="F360">
            <v>11060201</v>
          </cell>
          <cell r="G360" t="str">
            <v>YAGEO\CAP Cer 1nF K X7R 100VDC 0402</v>
          </cell>
          <cell r="H360" t="str">
            <v>YAGEO(国巨)</v>
          </cell>
          <cell r="I360" t="str">
            <v>CC0402KRX7R0BB102</v>
          </cell>
          <cell r="J360">
            <v>100632</v>
          </cell>
          <cell r="K360" t="str">
            <v>深圳市欧尔法电子有限公司</v>
          </cell>
          <cell r="L360" t="str">
            <v>X</v>
          </cell>
          <cell r="M360" t="str">
            <v/>
          </cell>
          <cell r="N360">
            <v>1</v>
          </cell>
          <cell r="O360">
            <v>6.8999999999999999E-3</v>
          </cell>
          <cell r="P360">
            <v>6.9</v>
          </cell>
          <cell r="Q360">
            <v>6.9</v>
          </cell>
          <cell r="R360">
            <v>1000</v>
          </cell>
          <cell r="S360" t="str">
            <v>PCS</v>
          </cell>
          <cell r="T360">
            <v>56</v>
          </cell>
          <cell r="U360" t="str">
            <v>J3</v>
          </cell>
          <cell r="V360" t="str">
            <v>CNY</v>
          </cell>
          <cell r="W360">
            <v>10000</v>
          </cell>
          <cell r="X360">
            <v>10000</v>
          </cell>
        </row>
        <row r="361">
          <cell r="D361">
            <v>10110019208</v>
          </cell>
          <cell r="E361" t="str">
            <v>Y1安规圆片电容器</v>
          </cell>
          <cell r="F361">
            <v>11060301</v>
          </cell>
          <cell r="G361" t="str">
            <v>WALS\CAP Y1 2.2nF M Y5U 250VAC 9*4.5 F=&amp;</v>
          </cell>
          <cell r="H361" t="str">
            <v>WALS(华科)</v>
          </cell>
          <cell r="I361" t="str">
            <v>YU0AH222M080XAFD7T</v>
          </cell>
          <cell r="J361">
            <v>100131</v>
          </cell>
          <cell r="K361" t="str">
            <v>东莞华科电子有限公司</v>
          </cell>
          <cell r="L361" t="str">
            <v>X</v>
          </cell>
          <cell r="M361" t="str">
            <v/>
          </cell>
          <cell r="N361">
            <v>1</v>
          </cell>
          <cell r="O361">
            <v>0.12429999999999999</v>
          </cell>
          <cell r="P361">
            <v>124.3</v>
          </cell>
          <cell r="Q361">
            <v>124.3</v>
          </cell>
          <cell r="R361">
            <v>1000</v>
          </cell>
          <cell r="S361" t="str">
            <v>PCS</v>
          </cell>
          <cell r="T361">
            <v>56</v>
          </cell>
          <cell r="U361" t="str">
            <v>J3</v>
          </cell>
          <cell r="V361" t="str">
            <v>CNY</v>
          </cell>
          <cell r="W361">
            <v>10000</v>
          </cell>
          <cell r="X361">
            <v>10000</v>
          </cell>
        </row>
        <row r="362">
          <cell r="D362">
            <v>10110020767</v>
          </cell>
          <cell r="E362" t="str">
            <v>贴片陶瓷电容器</v>
          </cell>
          <cell r="F362">
            <v>11060201</v>
          </cell>
          <cell r="G362" t="str">
            <v>YAGEO\CAP Cer 1uF K X7R 10VDC 0402</v>
          </cell>
          <cell r="H362" t="str">
            <v>YAGEO(国巨)</v>
          </cell>
          <cell r="I362" t="str">
            <v>CC0402KRX7R6BB105</v>
          </cell>
          <cell r="J362">
            <v>101957</v>
          </cell>
          <cell r="K362" t="str">
            <v>广东顺德集财电子有限公司</v>
          </cell>
          <cell r="L362" t="str">
            <v>X</v>
          </cell>
          <cell r="M362" t="str">
            <v/>
          </cell>
          <cell r="N362">
            <v>1</v>
          </cell>
          <cell r="O362">
            <v>5.5399999999999998E-2</v>
          </cell>
          <cell r="P362">
            <v>55.4</v>
          </cell>
          <cell r="Q362">
            <v>55.4</v>
          </cell>
          <cell r="R362">
            <v>1000</v>
          </cell>
          <cell r="S362" t="str">
            <v>PCS</v>
          </cell>
          <cell r="T362">
            <v>84</v>
          </cell>
          <cell r="U362" t="str">
            <v>J3</v>
          </cell>
          <cell r="V362" t="str">
            <v>CNY</v>
          </cell>
          <cell r="W362">
            <v>10000</v>
          </cell>
          <cell r="X362">
            <v>10000</v>
          </cell>
        </row>
        <row r="363">
          <cell r="D363">
            <v>10110024666</v>
          </cell>
          <cell r="E363" t="str">
            <v>贴片陶瓷电容器</v>
          </cell>
          <cell r="F363">
            <v>11060201</v>
          </cell>
          <cell r="G363" t="str">
            <v>SH3\CAP Cer 4.7uF K X7R 50VDC 0805</v>
          </cell>
          <cell r="H363" t="str">
            <v>CCTC(三环)</v>
          </cell>
          <cell r="I363" t="str">
            <v>TCC0805X7R475K500FT</v>
          </cell>
          <cell r="J363">
            <v>100313</v>
          </cell>
          <cell r="K363" t="str">
            <v>深圳市阳和通电子有限公司</v>
          </cell>
          <cell r="L363" t="str">
            <v>X</v>
          </cell>
          <cell r="M363" t="str">
            <v/>
          </cell>
          <cell r="N363">
            <v>1</v>
          </cell>
          <cell r="O363">
            <v>6.7000000000000004E-2</v>
          </cell>
          <cell r="P363">
            <v>67</v>
          </cell>
          <cell r="Q363">
            <v>67</v>
          </cell>
          <cell r="R363">
            <v>1000</v>
          </cell>
          <cell r="S363" t="str">
            <v>PCS</v>
          </cell>
          <cell r="T363">
            <v>56</v>
          </cell>
          <cell r="U363" t="str">
            <v>J3</v>
          </cell>
          <cell r="V363" t="str">
            <v>CNY</v>
          </cell>
          <cell r="W363">
            <v>2000</v>
          </cell>
          <cell r="X363">
            <v>2000</v>
          </cell>
        </row>
        <row r="364">
          <cell r="D364">
            <v>10110027253</v>
          </cell>
          <cell r="E364" t="str">
            <v>贴片陶瓷电容器</v>
          </cell>
          <cell r="F364">
            <v>11060201</v>
          </cell>
          <cell r="G364" t="str">
            <v>FH\CAP Cer 1uF K X7R 10VDC 0402 -55℃~12&amp;</v>
          </cell>
          <cell r="H364" t="str">
            <v>FH(风华)</v>
          </cell>
          <cell r="I364" t="str">
            <v>0402B105K100NT</v>
          </cell>
          <cell r="J364">
            <v>100654</v>
          </cell>
          <cell r="K364" t="str">
            <v>广东风华高新科技股份有限公司</v>
          </cell>
          <cell r="L364" t="str">
            <v>X</v>
          </cell>
          <cell r="M364" t="str">
            <v/>
          </cell>
          <cell r="N364">
            <v>1</v>
          </cell>
          <cell r="O364">
            <v>1.6E-2</v>
          </cell>
          <cell r="P364">
            <v>16</v>
          </cell>
          <cell r="Q364">
            <v>16</v>
          </cell>
          <cell r="R364">
            <v>1000</v>
          </cell>
          <cell r="S364" t="str">
            <v>PCS</v>
          </cell>
          <cell r="T364">
            <v>42</v>
          </cell>
          <cell r="U364" t="str">
            <v>J3</v>
          </cell>
          <cell r="V364" t="str">
            <v>CNY</v>
          </cell>
          <cell r="W364">
            <v>10000</v>
          </cell>
          <cell r="X364">
            <v>10000</v>
          </cell>
        </row>
        <row r="365">
          <cell r="D365">
            <v>10120003513</v>
          </cell>
          <cell r="E365" t="str">
            <v>贴片功率电感器</v>
          </cell>
          <cell r="F365">
            <v>12010401</v>
          </cell>
          <cell r="G365" t="str">
            <v>WE\IND 1mH M 0.48A 8*8*6.5</v>
          </cell>
          <cell r="H365" t="str">
            <v>Würth Elektronik(伍</v>
          </cell>
          <cell r="I365">
            <v>74404086102</v>
          </cell>
          <cell r="J365">
            <v>100547</v>
          </cell>
          <cell r="K365" t="str">
            <v>伍尔特(天津)电子有限公司</v>
          </cell>
          <cell r="L365" t="str">
            <v>X</v>
          </cell>
          <cell r="M365" t="str">
            <v/>
          </cell>
          <cell r="N365">
            <v>1</v>
          </cell>
          <cell r="O365">
            <v>1.52</v>
          </cell>
          <cell r="P365">
            <v>1520</v>
          </cell>
          <cell r="Q365">
            <v>1520</v>
          </cell>
          <cell r="R365">
            <v>1000</v>
          </cell>
          <cell r="S365" t="str">
            <v>PCS</v>
          </cell>
          <cell r="T365">
            <v>70</v>
          </cell>
          <cell r="U365" t="str">
            <v>J3</v>
          </cell>
          <cell r="V365" t="str">
            <v>CNY</v>
          </cell>
          <cell r="W365">
            <v>2800</v>
          </cell>
          <cell r="X365">
            <v>700</v>
          </cell>
        </row>
        <row r="366">
          <cell r="D366">
            <v>10120003563</v>
          </cell>
          <cell r="E366" t="str">
            <v>贴片功率电感器</v>
          </cell>
          <cell r="F366">
            <v>12010401</v>
          </cell>
          <cell r="G366" t="str">
            <v>3L\IND 1mH M 0.48A 8.09*7.97*6.35</v>
          </cell>
          <cell r="H366" t="str">
            <v>3L(三乐益)</v>
          </cell>
          <cell r="I366" t="str">
            <v>SNR8065-102M?</v>
          </cell>
          <cell r="J366">
            <v>101399</v>
          </cell>
          <cell r="K366" t="str">
            <v>武汉三乐益电子有限公司</v>
          </cell>
          <cell r="L366" t="str">
            <v>X</v>
          </cell>
          <cell r="M366" t="str">
            <v/>
          </cell>
          <cell r="N366">
            <v>1</v>
          </cell>
          <cell r="O366">
            <v>0.61760000000000004</v>
          </cell>
          <cell r="P366">
            <v>617.6</v>
          </cell>
          <cell r="Q366">
            <v>617.6</v>
          </cell>
          <cell r="R366">
            <v>1000</v>
          </cell>
          <cell r="S366" t="str">
            <v>PCS</v>
          </cell>
          <cell r="T366">
            <v>50</v>
          </cell>
          <cell r="U366" t="str">
            <v>J3</v>
          </cell>
          <cell r="V366" t="str">
            <v>CNY</v>
          </cell>
          <cell r="W366">
            <v>700</v>
          </cell>
          <cell r="X366">
            <v>700</v>
          </cell>
        </row>
        <row r="367">
          <cell r="D367">
            <v>10140000397</v>
          </cell>
          <cell r="E367" t="str">
            <v>贴片整流二极管</v>
          </cell>
          <cell r="F367">
            <v>14030601</v>
          </cell>
          <cell r="G367" t="str">
            <v>PANJ\Diode Rect SMA 1A 1000V GS1M</v>
          </cell>
          <cell r="H367" t="str">
            <v>PANJ(强茂)</v>
          </cell>
          <cell r="I367" t="str">
            <v>GS1M</v>
          </cell>
          <cell r="J367">
            <v>101672</v>
          </cell>
          <cell r="K367" t="str">
            <v>深圳市合信昌科技有限公司</v>
          </cell>
          <cell r="L367" t="str">
            <v>X</v>
          </cell>
          <cell r="M367" t="str">
            <v/>
          </cell>
          <cell r="N367">
            <v>1</v>
          </cell>
          <cell r="O367">
            <v>7.4999999999999997E-2</v>
          </cell>
          <cell r="P367">
            <v>75</v>
          </cell>
          <cell r="Q367">
            <v>75</v>
          </cell>
          <cell r="R367">
            <v>1000</v>
          </cell>
          <cell r="S367" t="str">
            <v>PCS</v>
          </cell>
          <cell r="T367">
            <v>60</v>
          </cell>
          <cell r="U367" t="str">
            <v>J3</v>
          </cell>
          <cell r="V367" t="str">
            <v>CNY</v>
          </cell>
          <cell r="W367">
            <v>1800</v>
          </cell>
          <cell r="X367">
            <v>1800</v>
          </cell>
        </row>
        <row r="368">
          <cell r="D368">
            <v>10140002123</v>
          </cell>
          <cell r="E368" t="str">
            <v>贴片NPN三极管(内置电阻)</v>
          </cell>
          <cell r="F368">
            <v>14050102</v>
          </cell>
          <cell r="G368" t="str">
            <v>LRC\Transistor SOT-23 0.1A 50V R1=4K7 R&amp;</v>
          </cell>
          <cell r="H368" t="str">
            <v>LRC(乐山无线电)</v>
          </cell>
          <cell r="I368" t="str">
            <v>LMUN2232LT1G</v>
          </cell>
          <cell r="J368">
            <v>101275</v>
          </cell>
          <cell r="K368" t="str">
            <v>利尔达科技集团股份有限公司</v>
          </cell>
          <cell r="L368" t="str">
            <v>X</v>
          </cell>
          <cell r="M368" t="str">
            <v/>
          </cell>
          <cell r="N368">
            <v>1</v>
          </cell>
          <cell r="O368">
            <v>3.4500000000000003E-2</v>
          </cell>
          <cell r="P368">
            <v>34.5</v>
          </cell>
          <cell r="Q368">
            <v>34.5</v>
          </cell>
          <cell r="R368">
            <v>1000</v>
          </cell>
          <cell r="S368" t="str">
            <v>PCS</v>
          </cell>
          <cell r="T368">
            <v>84</v>
          </cell>
          <cell r="U368" t="str">
            <v>J3</v>
          </cell>
          <cell r="V368" t="str">
            <v>CNY</v>
          </cell>
          <cell r="W368">
            <v>3000</v>
          </cell>
          <cell r="X368">
            <v>3000</v>
          </cell>
        </row>
        <row r="369">
          <cell r="D369">
            <v>10140002743</v>
          </cell>
          <cell r="E369" t="str">
            <v>贴片整流二极管</v>
          </cell>
          <cell r="F369">
            <v>14030601</v>
          </cell>
          <cell r="G369" t="str">
            <v>MCC\Diode Rect SMA 1A 1000V GS1M-L-TP</v>
          </cell>
          <cell r="H369" t="str">
            <v>MCC(美微科)</v>
          </cell>
          <cell r="I369" t="str">
            <v>GS1M-L-TP</v>
          </cell>
          <cell r="J369">
            <v>100629</v>
          </cell>
          <cell r="K369" t="str">
            <v>深圳市驰顺科技有限公司</v>
          </cell>
          <cell r="L369" t="str">
            <v>X</v>
          </cell>
          <cell r="M369" t="str">
            <v/>
          </cell>
          <cell r="N369">
            <v>1</v>
          </cell>
          <cell r="O369">
            <v>0.04</v>
          </cell>
          <cell r="P369">
            <v>40</v>
          </cell>
          <cell r="Q369">
            <v>40</v>
          </cell>
          <cell r="R369">
            <v>1000</v>
          </cell>
          <cell r="S369" t="str">
            <v>PCS</v>
          </cell>
          <cell r="T369">
            <v>84</v>
          </cell>
          <cell r="U369" t="str">
            <v>J3</v>
          </cell>
          <cell r="V369" t="str">
            <v>CNY</v>
          </cell>
          <cell r="W369">
            <v>7500</v>
          </cell>
          <cell r="X369">
            <v>7500</v>
          </cell>
        </row>
        <row r="370">
          <cell r="D370">
            <v>10140003381</v>
          </cell>
          <cell r="E370" t="str">
            <v>贴片整流二极管</v>
          </cell>
          <cell r="F370">
            <v>14030601</v>
          </cell>
          <cell r="G370" t="str">
            <v>LRC\Diode Rect DO-214AC 1A 1000V FM407</v>
          </cell>
          <cell r="H370" t="str">
            <v>LRC(乐山无线电)</v>
          </cell>
          <cell r="I370" t="str">
            <v>FM407</v>
          </cell>
          <cell r="J370">
            <v>101645</v>
          </cell>
          <cell r="K370" t="str">
            <v>深圳南丰电子股份有限公司</v>
          </cell>
          <cell r="L370" t="str">
            <v>X</v>
          </cell>
          <cell r="M370" t="str">
            <v/>
          </cell>
          <cell r="N370">
            <v>1</v>
          </cell>
          <cell r="O370">
            <v>3.3599999999999998E-2</v>
          </cell>
          <cell r="P370">
            <v>33.6</v>
          </cell>
          <cell r="Q370">
            <v>33.6</v>
          </cell>
          <cell r="R370">
            <v>1000</v>
          </cell>
          <cell r="S370" t="str">
            <v>PCS</v>
          </cell>
          <cell r="T370">
            <v>70</v>
          </cell>
          <cell r="U370" t="str">
            <v>J3</v>
          </cell>
          <cell r="V370" t="str">
            <v>CNY</v>
          </cell>
          <cell r="W370">
            <v>7500</v>
          </cell>
          <cell r="X370">
            <v>7500</v>
          </cell>
        </row>
        <row r="371">
          <cell r="D371">
            <v>10140003844</v>
          </cell>
          <cell r="E371" t="str">
            <v>贴片瞬态抑制二极管</v>
          </cell>
          <cell r="F371">
            <v>14030301</v>
          </cell>
          <cell r="G371" t="str">
            <v>JSCJ\Diode TVS SOD-123FL 15V 200W SMF15A</v>
          </cell>
          <cell r="H371" t="str">
            <v>JSCJ(江苏长晶)</v>
          </cell>
          <cell r="I371" t="str">
            <v>SMF15A</v>
          </cell>
          <cell r="J371">
            <v>101845</v>
          </cell>
          <cell r="K371" t="str">
            <v>深圳翰世宇科技有限公司</v>
          </cell>
          <cell r="L371" t="str">
            <v>X</v>
          </cell>
          <cell r="M371" t="str">
            <v/>
          </cell>
          <cell r="N371">
            <v>1</v>
          </cell>
          <cell r="O371">
            <v>0.13347999999999999</v>
          </cell>
          <cell r="P371">
            <v>133.47999999999999</v>
          </cell>
          <cell r="Q371">
            <v>133.47999999999999</v>
          </cell>
          <cell r="R371">
            <v>1000</v>
          </cell>
          <cell r="S371" t="str">
            <v>PCS</v>
          </cell>
          <cell r="T371">
            <v>60</v>
          </cell>
          <cell r="U371" t="str">
            <v>J3</v>
          </cell>
          <cell r="V371" t="str">
            <v>CNY</v>
          </cell>
          <cell r="W371">
            <v>3000</v>
          </cell>
          <cell r="X371">
            <v>3000</v>
          </cell>
        </row>
        <row r="372">
          <cell r="D372">
            <v>10140006310</v>
          </cell>
          <cell r="E372" t="str">
            <v>贴片NPN三极管(内置电阻)</v>
          </cell>
          <cell r="F372">
            <v>14050102</v>
          </cell>
          <cell r="G372" t="str">
            <v>JSCJ\Transistor SOT-23 100mA50V R1=4K7&amp;</v>
          </cell>
          <cell r="H372" t="str">
            <v>JSCJ(江苏长晶)</v>
          </cell>
          <cell r="I372" t="str">
            <v>DTC143ECA</v>
          </cell>
          <cell r="J372">
            <v>101845</v>
          </cell>
          <cell r="K372" t="str">
            <v>深圳翰世宇科技有限公司</v>
          </cell>
          <cell r="L372" t="str">
            <v>X</v>
          </cell>
          <cell r="M372" t="str">
            <v/>
          </cell>
          <cell r="N372">
            <v>1</v>
          </cell>
          <cell r="O372">
            <v>0.05</v>
          </cell>
          <cell r="P372">
            <v>50</v>
          </cell>
          <cell r="Q372">
            <v>50</v>
          </cell>
          <cell r="R372">
            <v>1000</v>
          </cell>
          <cell r="S372" t="str">
            <v>PCS</v>
          </cell>
          <cell r="T372">
            <v>60</v>
          </cell>
          <cell r="U372" t="str">
            <v>J3</v>
          </cell>
          <cell r="V372" t="str">
            <v>CNY</v>
          </cell>
          <cell r="W372">
            <v>3000</v>
          </cell>
          <cell r="X372">
            <v>3000</v>
          </cell>
        </row>
        <row r="373">
          <cell r="D373">
            <v>10140009195</v>
          </cell>
          <cell r="E373" t="str">
            <v>贴片快恢复二极管</v>
          </cell>
          <cell r="F373">
            <v>14030201</v>
          </cell>
          <cell r="G373" t="str">
            <v>PANJ\Diode Fast DO-214AC 1A 600V 35ns E&amp;</v>
          </cell>
          <cell r="H373" t="str">
            <v>PANJ(强茂)</v>
          </cell>
          <cell r="I373" t="str">
            <v>ES1J_R1_00001</v>
          </cell>
          <cell r="J373">
            <v>101480</v>
          </cell>
          <cell r="K373" t="str">
            <v>深圳市铭祥达电子有限公司</v>
          </cell>
          <cell r="L373" t="str">
            <v>X</v>
          </cell>
          <cell r="M373" t="str">
            <v/>
          </cell>
          <cell r="N373">
            <v>1</v>
          </cell>
          <cell r="O373">
            <v>0.1105</v>
          </cell>
          <cell r="P373">
            <v>110.5</v>
          </cell>
          <cell r="Q373">
            <v>110.5</v>
          </cell>
          <cell r="R373">
            <v>1000</v>
          </cell>
          <cell r="S373" t="str">
            <v>PCS</v>
          </cell>
          <cell r="T373">
            <v>98</v>
          </cell>
          <cell r="U373" t="str">
            <v>J3</v>
          </cell>
          <cell r="V373" t="str">
            <v>CNY</v>
          </cell>
          <cell r="W373">
            <v>7200</v>
          </cell>
          <cell r="X373">
            <v>1800</v>
          </cell>
        </row>
        <row r="374">
          <cell r="D374">
            <v>10140012358</v>
          </cell>
          <cell r="E374" t="str">
            <v>贴片整流二极管</v>
          </cell>
          <cell r="F374">
            <v>14030601</v>
          </cell>
          <cell r="G374" t="str">
            <v>JSCJ\Diode Rect SMAG 1A 1000V GS1MA</v>
          </cell>
          <cell r="H374" t="str">
            <v>JSCJ(江苏长晶)</v>
          </cell>
          <cell r="I374" t="str">
            <v>GS1MA</v>
          </cell>
          <cell r="J374">
            <v>100482</v>
          </cell>
          <cell r="K374" t="str">
            <v>东莞市意中半导体有限公司</v>
          </cell>
          <cell r="L374" t="str">
            <v>X</v>
          </cell>
          <cell r="M374" t="str">
            <v/>
          </cell>
          <cell r="N374">
            <v>1</v>
          </cell>
          <cell r="O374">
            <v>3.3000000000000002E-2</v>
          </cell>
          <cell r="P374">
            <v>33</v>
          </cell>
          <cell r="Q374">
            <v>33</v>
          </cell>
          <cell r="R374">
            <v>1000</v>
          </cell>
          <cell r="S374" t="str">
            <v>PCS</v>
          </cell>
          <cell r="T374">
            <v>65</v>
          </cell>
          <cell r="U374" t="str">
            <v>J3</v>
          </cell>
          <cell r="V374" t="str">
            <v>CNY</v>
          </cell>
          <cell r="W374">
            <v>5000</v>
          </cell>
          <cell r="X374">
            <v>5000</v>
          </cell>
        </row>
        <row r="375">
          <cell r="D375">
            <v>10150011020</v>
          </cell>
          <cell r="E375" t="str">
            <v>贴片集成稳压IC</v>
          </cell>
          <cell r="F375">
            <v>15040301</v>
          </cell>
          <cell r="G375" t="str">
            <v>SGMI\Voltage Reg TO-252-2 3.3V 1% 0.8A&amp;</v>
          </cell>
          <cell r="H375" t="str">
            <v>SGMicro(圣邦)</v>
          </cell>
          <cell r="I375" t="str">
            <v>SGM2212-3.3XOB2G/TR</v>
          </cell>
          <cell r="J375">
            <v>101535</v>
          </cell>
          <cell r="K375" t="str">
            <v>深圳市几度创想科技有限公司</v>
          </cell>
          <cell r="L375" t="str">
            <v>X</v>
          </cell>
          <cell r="M375" t="str">
            <v/>
          </cell>
          <cell r="N375">
            <v>1</v>
          </cell>
          <cell r="O375">
            <v>0.56999999999999995</v>
          </cell>
          <cell r="P375">
            <v>570</v>
          </cell>
          <cell r="Q375">
            <v>570</v>
          </cell>
          <cell r="R375">
            <v>1000</v>
          </cell>
          <cell r="S375" t="str">
            <v>PCS</v>
          </cell>
          <cell r="T375">
            <v>56</v>
          </cell>
          <cell r="U375" t="str">
            <v>J3</v>
          </cell>
          <cell r="V375" t="str">
            <v>CNY</v>
          </cell>
          <cell r="W375">
            <v>2500</v>
          </cell>
          <cell r="X375">
            <v>2500</v>
          </cell>
        </row>
        <row r="376">
          <cell r="D376">
            <v>10160006989</v>
          </cell>
          <cell r="E376" t="str">
            <v>贴片方顶可见光LED</v>
          </cell>
          <cell r="F376">
            <v>16020205</v>
          </cell>
          <cell r="G376" t="str">
            <v>REFO\LED 0603 红光 无色 透明 高亮</v>
          </cell>
          <cell r="H376" t="str">
            <v>RF(瑞丰)</v>
          </cell>
          <cell r="I376" t="str">
            <v>RF-OUB191TB-CE-B0-EL</v>
          </cell>
          <cell r="J376">
            <v>101693</v>
          </cell>
          <cell r="K376" t="str">
            <v>浙江瑞丰光电有限公司</v>
          </cell>
          <cell r="L376" t="str">
            <v>X</v>
          </cell>
          <cell r="M376" t="str">
            <v/>
          </cell>
          <cell r="N376">
            <v>1</v>
          </cell>
          <cell r="O376">
            <v>4.8399999999999999E-2</v>
          </cell>
          <cell r="P376">
            <v>48.4</v>
          </cell>
          <cell r="Q376">
            <v>48.4</v>
          </cell>
          <cell r="R376">
            <v>1000</v>
          </cell>
          <cell r="S376" t="str">
            <v>PCS</v>
          </cell>
          <cell r="T376">
            <v>28</v>
          </cell>
          <cell r="U376" t="str">
            <v>J3</v>
          </cell>
          <cell r="V376" t="str">
            <v>CNY</v>
          </cell>
          <cell r="W376">
            <v>12000</v>
          </cell>
          <cell r="X376">
            <v>12000</v>
          </cell>
        </row>
        <row r="377">
          <cell r="D377">
            <v>10160007865</v>
          </cell>
          <cell r="E377" t="str">
            <v>贴片方顶可见光LED</v>
          </cell>
          <cell r="F377">
            <v>16020205</v>
          </cell>
          <cell r="G377" t="str">
            <v>CL\LED 0603 红光 无色 透明 超高亮</v>
          </cell>
          <cell r="H377" t="str">
            <v>CL(长利)</v>
          </cell>
          <cell r="I377" t="str">
            <v>CL-0603R/YY-J8</v>
          </cell>
          <cell r="J377">
            <v>100436</v>
          </cell>
          <cell r="K377" t="str">
            <v>广东长利光电科技有限公司</v>
          </cell>
          <cell r="L377" t="str">
            <v>X</v>
          </cell>
          <cell r="M377" t="str">
            <v/>
          </cell>
          <cell r="N377">
            <v>1</v>
          </cell>
          <cell r="O377">
            <v>2.75E-2</v>
          </cell>
          <cell r="P377">
            <v>27.5</v>
          </cell>
          <cell r="Q377">
            <v>27.5</v>
          </cell>
          <cell r="R377">
            <v>1000</v>
          </cell>
          <cell r="S377" t="str">
            <v>PCS</v>
          </cell>
          <cell r="T377">
            <v>14</v>
          </cell>
          <cell r="U377" t="str">
            <v>J3</v>
          </cell>
          <cell r="V377" t="str">
            <v>CNY</v>
          </cell>
          <cell r="W377">
            <v>4000</v>
          </cell>
          <cell r="X377">
            <v>4000</v>
          </cell>
        </row>
        <row r="378">
          <cell r="D378">
            <v>10190000675</v>
          </cell>
          <cell r="E378" t="str">
            <v>方型塑壳保险丝</v>
          </cell>
          <cell r="F378">
            <v>19010105</v>
          </cell>
          <cell r="G378" t="str">
            <v>HOLLY\FUSE 3.15A 250VAC 慢断 8.5*4*7.2 F=&amp;</v>
          </cell>
          <cell r="H378" t="str">
            <v>HOLLY(好利来)</v>
          </cell>
          <cell r="I378" t="str">
            <v>5ET-032HA</v>
          </cell>
          <cell r="J378">
            <v>101345</v>
          </cell>
          <cell r="K378" t="str">
            <v>好利来（厦门）电路保护科技有限公司</v>
          </cell>
          <cell r="L378" t="str">
            <v>X</v>
          </cell>
          <cell r="M378" t="str">
            <v/>
          </cell>
          <cell r="N378">
            <v>1</v>
          </cell>
          <cell r="O378">
            <v>8.3000000000000004E-2</v>
          </cell>
          <cell r="P378">
            <v>83</v>
          </cell>
          <cell r="Q378">
            <v>83</v>
          </cell>
          <cell r="R378">
            <v>1000</v>
          </cell>
          <cell r="S378" t="str">
            <v>PCS</v>
          </cell>
          <cell r="T378">
            <v>30</v>
          </cell>
          <cell r="U378" t="str">
            <v>J3</v>
          </cell>
          <cell r="V378" t="str">
            <v>CNY</v>
          </cell>
          <cell r="W378">
            <v>1000</v>
          </cell>
          <cell r="X378">
            <v>1000</v>
          </cell>
        </row>
        <row r="379">
          <cell r="D379">
            <v>10190001176</v>
          </cell>
          <cell r="E379" t="str">
            <v>方型塑壳保险丝</v>
          </cell>
          <cell r="F379">
            <v>19010105</v>
          </cell>
          <cell r="G379" t="str">
            <v>BETT\FUSE 3.15A 250VAC 慢断 8.3*4.1*7.6 F&amp;</v>
          </cell>
          <cell r="H379" t="str">
            <v>Better(贝特)</v>
          </cell>
          <cell r="I379">
            <v>9321315278</v>
          </cell>
          <cell r="J379">
            <v>100135</v>
          </cell>
          <cell r="K379" t="str">
            <v>东莞市贝特电子科技股份有限公司</v>
          </cell>
          <cell r="L379" t="str">
            <v>X</v>
          </cell>
          <cell r="M379" t="str">
            <v/>
          </cell>
          <cell r="N379">
            <v>1</v>
          </cell>
          <cell r="O379">
            <v>9.5000000000000001E-2</v>
          </cell>
          <cell r="P379">
            <v>95</v>
          </cell>
          <cell r="Q379">
            <v>95</v>
          </cell>
          <cell r="R379">
            <v>1000</v>
          </cell>
          <cell r="S379" t="str">
            <v>PCS</v>
          </cell>
          <cell r="T379">
            <v>30</v>
          </cell>
          <cell r="U379" t="str">
            <v>J3</v>
          </cell>
          <cell r="V379" t="str">
            <v>CNY</v>
          </cell>
          <cell r="W379">
            <v>10000</v>
          </cell>
          <cell r="X379">
            <v>1000</v>
          </cell>
        </row>
        <row r="380">
          <cell r="D380">
            <v>10190002307</v>
          </cell>
          <cell r="E380" t="str">
            <v>方型塑壳保险丝</v>
          </cell>
          <cell r="F380">
            <v>19010105</v>
          </cell>
          <cell r="G380" t="str">
            <v>LITT\FUSE 3.15A250VAC 8.5*4*8 F=5.08 编带&amp;</v>
          </cell>
          <cell r="H380" t="str">
            <v>LITTELFUSE(力特)</v>
          </cell>
          <cell r="I380">
            <v>39213150000</v>
          </cell>
          <cell r="J380">
            <v>101716</v>
          </cell>
          <cell r="K380" t="str">
            <v>深圳市惠而得实业有限公司</v>
          </cell>
          <cell r="L380" t="str">
            <v>X</v>
          </cell>
          <cell r="M380" t="str">
            <v/>
          </cell>
          <cell r="N380">
            <v>1</v>
          </cell>
          <cell r="O380">
            <v>0.16950000000000001</v>
          </cell>
          <cell r="P380">
            <v>169.5</v>
          </cell>
          <cell r="Q380">
            <v>169.5</v>
          </cell>
          <cell r="R380">
            <v>1000</v>
          </cell>
          <cell r="S380" t="str">
            <v>PCS</v>
          </cell>
          <cell r="T380">
            <v>98</v>
          </cell>
          <cell r="U380" t="str">
            <v>J3</v>
          </cell>
          <cell r="V380" t="str">
            <v>CNY</v>
          </cell>
          <cell r="W380">
            <v>1400</v>
          </cell>
          <cell r="X380">
            <v>1400</v>
          </cell>
        </row>
        <row r="381">
          <cell r="D381">
            <v>10100002122</v>
          </cell>
          <cell r="E381" t="str">
            <v>厚膜贴片电阻器</v>
          </cell>
          <cell r="F381">
            <v>10010302</v>
          </cell>
          <cell r="G381" t="str">
            <v>YAGEO\RES 1K F 1/8W 0805</v>
          </cell>
          <cell r="H381" t="str">
            <v>YAGEO(国巨)</v>
          </cell>
          <cell r="I381" t="str">
            <v>RC0805FR-071KL</v>
          </cell>
          <cell r="J381">
            <v>100632</v>
          </cell>
          <cell r="K381" t="str">
            <v>深圳市欧尔法电子有限公司</v>
          </cell>
          <cell r="L381" t="str">
            <v>X</v>
          </cell>
          <cell r="M381" t="str">
            <v/>
          </cell>
          <cell r="N381">
            <v>1</v>
          </cell>
          <cell r="O381">
            <v>4.7999999999999996E-3</v>
          </cell>
          <cell r="P381">
            <v>4.8</v>
          </cell>
          <cell r="Q381">
            <v>4.8</v>
          </cell>
          <cell r="R381">
            <v>1000</v>
          </cell>
          <cell r="S381" t="str">
            <v>PCS</v>
          </cell>
          <cell r="T381">
            <v>84</v>
          </cell>
          <cell r="U381" t="str">
            <v>J3</v>
          </cell>
          <cell r="V381" t="str">
            <v>CNY</v>
          </cell>
          <cell r="W381">
            <v>5000</v>
          </cell>
          <cell r="X381">
            <v>5000</v>
          </cell>
        </row>
        <row r="382">
          <cell r="D382">
            <v>10100002123</v>
          </cell>
          <cell r="E382" t="str">
            <v>厚膜贴片电阻器</v>
          </cell>
          <cell r="F382">
            <v>10010302</v>
          </cell>
          <cell r="G382" t="str">
            <v>FH\RES 1K F 1/8W 0805</v>
          </cell>
          <cell r="H382" t="str">
            <v>FH(风华)</v>
          </cell>
          <cell r="I382" t="str">
            <v>RS-05K1001FT</v>
          </cell>
          <cell r="J382">
            <v>100654</v>
          </cell>
          <cell r="K382" t="str">
            <v>广东风华高新科技股份有限公司</v>
          </cell>
          <cell r="L382" t="str">
            <v>X</v>
          </cell>
          <cell r="M382" t="str">
            <v/>
          </cell>
          <cell r="N382">
            <v>1</v>
          </cell>
          <cell r="O382">
            <v>3.7200000000000002E-3</v>
          </cell>
          <cell r="P382">
            <v>3.72</v>
          </cell>
          <cell r="Q382">
            <v>3.72</v>
          </cell>
          <cell r="R382">
            <v>1000</v>
          </cell>
          <cell r="S382" t="str">
            <v>PCS</v>
          </cell>
          <cell r="T382">
            <v>56</v>
          </cell>
          <cell r="U382" t="str">
            <v>J3</v>
          </cell>
          <cell r="V382" t="str">
            <v>CNY</v>
          </cell>
          <cell r="W382">
            <v>5000</v>
          </cell>
          <cell r="X382">
            <v>5000</v>
          </cell>
        </row>
        <row r="383">
          <cell r="D383">
            <v>10100002658</v>
          </cell>
          <cell r="E383" t="str">
            <v>厚膜贴片电阻器</v>
          </cell>
          <cell r="F383">
            <v>10010302</v>
          </cell>
          <cell r="G383" t="str">
            <v>FH\RES 470R F 1/4W 1206</v>
          </cell>
          <cell r="H383" t="str">
            <v>FH(风华)</v>
          </cell>
          <cell r="I383" t="str">
            <v>RS-06K4700FT</v>
          </cell>
          <cell r="J383">
            <v>100654</v>
          </cell>
          <cell r="K383" t="str">
            <v>广东风华高新科技股份有限公司</v>
          </cell>
          <cell r="L383" t="str">
            <v>X</v>
          </cell>
          <cell r="M383" t="str">
            <v/>
          </cell>
          <cell r="N383">
            <v>1</v>
          </cell>
          <cell r="O383">
            <v>6.4999999999999997E-3</v>
          </cell>
          <cell r="P383">
            <v>6.5</v>
          </cell>
          <cell r="Q383">
            <v>6.5</v>
          </cell>
          <cell r="R383">
            <v>1000</v>
          </cell>
          <cell r="S383" t="str">
            <v>PCS</v>
          </cell>
          <cell r="T383">
            <v>70</v>
          </cell>
          <cell r="U383" t="str">
            <v>J3</v>
          </cell>
          <cell r="V383" t="str">
            <v>CNY</v>
          </cell>
          <cell r="W383">
            <v>5000</v>
          </cell>
          <cell r="X383">
            <v>5000</v>
          </cell>
        </row>
        <row r="384">
          <cell r="D384">
            <v>10100002659</v>
          </cell>
          <cell r="E384" t="str">
            <v>厚膜贴片电阻器</v>
          </cell>
          <cell r="F384">
            <v>10010302</v>
          </cell>
          <cell r="G384" t="str">
            <v>YAGEO\RES 470R F 1/4W 1206</v>
          </cell>
          <cell r="H384" t="str">
            <v>YAGEO(国巨)</v>
          </cell>
          <cell r="I384" t="str">
            <v>RC1206FR-07470RL</v>
          </cell>
          <cell r="J384">
            <v>100078</v>
          </cell>
          <cell r="K384" t="str">
            <v>深圳市超利维实业有限公司</v>
          </cell>
          <cell r="L384" t="str">
            <v>X</v>
          </cell>
          <cell r="M384" t="str">
            <v/>
          </cell>
          <cell r="N384">
            <v>1</v>
          </cell>
          <cell r="O384">
            <v>8.0000000000000002E-3</v>
          </cell>
          <cell r="P384">
            <v>8</v>
          </cell>
          <cell r="Q384">
            <v>8</v>
          </cell>
          <cell r="R384">
            <v>1000</v>
          </cell>
          <cell r="S384" t="str">
            <v>PCS</v>
          </cell>
          <cell r="T384">
            <v>56</v>
          </cell>
          <cell r="U384" t="str">
            <v>J3</v>
          </cell>
          <cell r="V384" t="str">
            <v>CNY</v>
          </cell>
          <cell r="W384">
            <v>5000</v>
          </cell>
          <cell r="X384">
            <v>5000</v>
          </cell>
        </row>
        <row r="385">
          <cell r="D385">
            <v>10100002715</v>
          </cell>
          <cell r="E385" t="str">
            <v>厚膜贴片电阻器</v>
          </cell>
          <cell r="F385">
            <v>10010302</v>
          </cell>
          <cell r="G385" t="str">
            <v>YAGEO\RES 5.1K F 1/8W 0805</v>
          </cell>
          <cell r="H385" t="str">
            <v>YAGEO(国巨)</v>
          </cell>
          <cell r="I385" t="str">
            <v>RC0805FR-075K1L</v>
          </cell>
          <cell r="J385">
            <v>100632</v>
          </cell>
          <cell r="K385" t="str">
            <v>深圳市欧尔法电子有限公司</v>
          </cell>
          <cell r="L385" t="str">
            <v>X</v>
          </cell>
          <cell r="M385" t="str">
            <v/>
          </cell>
          <cell r="N385">
            <v>1</v>
          </cell>
          <cell r="O385">
            <v>4.7999999999999996E-3</v>
          </cell>
          <cell r="P385">
            <v>4.8</v>
          </cell>
          <cell r="Q385">
            <v>4.8</v>
          </cell>
          <cell r="R385">
            <v>1000</v>
          </cell>
          <cell r="S385" t="str">
            <v>PCS</v>
          </cell>
          <cell r="T385">
            <v>84</v>
          </cell>
          <cell r="U385" t="str">
            <v>J3</v>
          </cell>
          <cell r="V385" t="str">
            <v>CNY</v>
          </cell>
          <cell r="W385">
            <v>5000</v>
          </cell>
          <cell r="X385">
            <v>5000</v>
          </cell>
        </row>
        <row r="386">
          <cell r="D386">
            <v>10100003500</v>
          </cell>
          <cell r="E386" t="str">
            <v>厚膜贴片电阻器</v>
          </cell>
          <cell r="F386">
            <v>10010302</v>
          </cell>
          <cell r="G386" t="str">
            <v>YAGEO\RES 4.7K F 1/10W 0603</v>
          </cell>
          <cell r="H386" t="str">
            <v>YAGEO(国巨)</v>
          </cell>
          <cell r="I386" t="str">
            <v>RC0603FR-074K7L</v>
          </cell>
          <cell r="J386">
            <v>100078</v>
          </cell>
          <cell r="K386" t="str">
            <v>深圳市超利维实业有限公司</v>
          </cell>
          <cell r="L386" t="str">
            <v>X</v>
          </cell>
          <cell r="M386" t="str">
            <v/>
          </cell>
          <cell r="N386">
            <v>1</v>
          </cell>
          <cell r="O386">
            <v>2.5999999999999999E-3</v>
          </cell>
          <cell r="P386">
            <v>2.6</v>
          </cell>
          <cell r="Q386">
            <v>2.6</v>
          </cell>
          <cell r="R386">
            <v>1000</v>
          </cell>
          <cell r="S386" t="str">
            <v>PCS</v>
          </cell>
          <cell r="T386">
            <v>56</v>
          </cell>
          <cell r="U386" t="str">
            <v>J3</v>
          </cell>
          <cell r="V386" t="str">
            <v>CNY</v>
          </cell>
          <cell r="W386">
            <v>5000</v>
          </cell>
          <cell r="X386">
            <v>5000</v>
          </cell>
        </row>
        <row r="387">
          <cell r="D387">
            <v>10100003511</v>
          </cell>
          <cell r="E387" t="str">
            <v>厚膜贴片电阻器</v>
          </cell>
          <cell r="F387">
            <v>10010302</v>
          </cell>
          <cell r="G387" t="str">
            <v>YAGEO\RES 47R F 1/4W 1206</v>
          </cell>
          <cell r="H387" t="str">
            <v>YAGEO(国巨)</v>
          </cell>
          <cell r="I387" t="str">
            <v>RC1206FR-0747RL</v>
          </cell>
          <cell r="J387">
            <v>100078</v>
          </cell>
          <cell r="K387" t="str">
            <v>深圳市超利维实业有限公司</v>
          </cell>
          <cell r="L387" t="str">
            <v>X</v>
          </cell>
          <cell r="M387" t="str">
            <v/>
          </cell>
          <cell r="N387">
            <v>1</v>
          </cell>
          <cell r="O387">
            <v>8.0000000000000002E-3</v>
          </cell>
          <cell r="P387">
            <v>8</v>
          </cell>
          <cell r="Q387">
            <v>8</v>
          </cell>
          <cell r="R387">
            <v>1000</v>
          </cell>
          <cell r="S387" t="str">
            <v>PCS</v>
          </cell>
          <cell r="T387">
            <v>56</v>
          </cell>
          <cell r="U387" t="str">
            <v>J3</v>
          </cell>
          <cell r="V387" t="str">
            <v>CNY</v>
          </cell>
          <cell r="W387">
            <v>5000</v>
          </cell>
          <cell r="X387">
            <v>5000</v>
          </cell>
        </row>
        <row r="388">
          <cell r="D388">
            <v>10100003565</v>
          </cell>
          <cell r="E388" t="str">
            <v>厚膜贴片电阻器</v>
          </cell>
          <cell r="F388">
            <v>10010302</v>
          </cell>
          <cell r="G388" t="str">
            <v>FH\RES 68K F 1/10W 0603</v>
          </cell>
          <cell r="H388" t="str">
            <v>FH(风华)</v>
          </cell>
          <cell r="I388" t="str">
            <v>RS-03K6802FT</v>
          </cell>
          <cell r="J388">
            <v>100654</v>
          </cell>
          <cell r="K388" t="str">
            <v>广东风华高新科技股份有限公司</v>
          </cell>
          <cell r="L388" t="str">
            <v>X</v>
          </cell>
          <cell r="M388" t="str">
            <v/>
          </cell>
          <cell r="N388">
            <v>1</v>
          </cell>
          <cell r="O388">
            <v>2.0799999999999998E-3</v>
          </cell>
          <cell r="P388">
            <v>2.08</v>
          </cell>
          <cell r="Q388">
            <v>2.08</v>
          </cell>
          <cell r="R388">
            <v>1000</v>
          </cell>
          <cell r="S388" t="str">
            <v>PCS</v>
          </cell>
          <cell r="T388">
            <v>56</v>
          </cell>
          <cell r="U388" t="str">
            <v>J3</v>
          </cell>
          <cell r="V388" t="str">
            <v>CNY</v>
          </cell>
          <cell r="W388">
            <v>5000</v>
          </cell>
          <cell r="X388">
            <v>5000</v>
          </cell>
        </row>
        <row r="389">
          <cell r="D389">
            <v>10100003566</v>
          </cell>
          <cell r="E389" t="str">
            <v>厚膜贴片电阻器</v>
          </cell>
          <cell r="F389">
            <v>10010302</v>
          </cell>
          <cell r="G389" t="str">
            <v>YAGEO\RES 68K F 1/10W 0603</v>
          </cell>
          <cell r="H389" t="str">
            <v>YAGEO(国巨)</v>
          </cell>
          <cell r="I389" t="str">
            <v>RC0603FR-0768KL</v>
          </cell>
          <cell r="J389">
            <v>100078</v>
          </cell>
          <cell r="K389" t="str">
            <v>深圳市超利维实业有限公司</v>
          </cell>
          <cell r="L389" t="str">
            <v>X</v>
          </cell>
          <cell r="M389" t="str">
            <v/>
          </cell>
          <cell r="N389">
            <v>1</v>
          </cell>
          <cell r="O389">
            <v>2.5999999999999999E-3</v>
          </cell>
          <cell r="P389">
            <v>2.6</v>
          </cell>
          <cell r="Q389">
            <v>2.6</v>
          </cell>
          <cell r="R389">
            <v>1000</v>
          </cell>
          <cell r="S389" t="str">
            <v>PCS</v>
          </cell>
          <cell r="T389">
            <v>56</v>
          </cell>
          <cell r="U389" t="str">
            <v>J3</v>
          </cell>
          <cell r="V389" t="str">
            <v>CNY</v>
          </cell>
          <cell r="W389">
            <v>5000</v>
          </cell>
          <cell r="X389">
            <v>5000</v>
          </cell>
        </row>
        <row r="390">
          <cell r="D390">
            <v>10100004273</v>
          </cell>
          <cell r="E390" t="str">
            <v>厚膜贴片电阻器</v>
          </cell>
          <cell r="F390">
            <v>10010302</v>
          </cell>
          <cell r="G390" t="str">
            <v>YAGEO\RES 2.2K F 1/10W 0603</v>
          </cell>
          <cell r="H390" t="str">
            <v>YAGEO(国巨)</v>
          </cell>
          <cell r="I390" t="str">
            <v>RC0603FR-072K2L</v>
          </cell>
          <cell r="J390">
            <v>100078</v>
          </cell>
          <cell r="K390" t="str">
            <v>深圳市超利维实业有限公司</v>
          </cell>
          <cell r="L390" t="str">
            <v>X</v>
          </cell>
          <cell r="M390" t="str">
            <v/>
          </cell>
          <cell r="N390">
            <v>1</v>
          </cell>
          <cell r="O390">
            <v>2.5999999999999999E-3</v>
          </cell>
          <cell r="P390">
            <v>2.6</v>
          </cell>
          <cell r="Q390">
            <v>2.6</v>
          </cell>
          <cell r="R390">
            <v>1000</v>
          </cell>
          <cell r="S390" t="str">
            <v>PCS</v>
          </cell>
          <cell r="T390">
            <v>56</v>
          </cell>
          <cell r="U390" t="str">
            <v>J3</v>
          </cell>
          <cell r="V390" t="str">
            <v>CNY</v>
          </cell>
          <cell r="W390">
            <v>5000</v>
          </cell>
          <cell r="X390">
            <v>5000</v>
          </cell>
        </row>
        <row r="391">
          <cell r="D391">
            <v>10100004833</v>
          </cell>
          <cell r="E391" t="str">
            <v>厚膜贴片电阻器</v>
          </cell>
          <cell r="F391">
            <v>10010302</v>
          </cell>
          <cell r="G391" t="str">
            <v>WALS\RES 1K F 1/8W 0805</v>
          </cell>
          <cell r="H391" t="str">
            <v>WALS(华科)</v>
          </cell>
          <cell r="I391" t="str">
            <v>WR08X1001FTL</v>
          </cell>
          <cell r="J391">
            <v>100131</v>
          </cell>
          <cell r="K391" t="str">
            <v>东莞华科电子有限公司</v>
          </cell>
          <cell r="L391" t="str">
            <v>X</v>
          </cell>
          <cell r="M391" t="str">
            <v/>
          </cell>
          <cell r="N391">
            <v>1</v>
          </cell>
          <cell r="O391">
            <v>3.8800000000000002E-3</v>
          </cell>
          <cell r="P391">
            <v>3.88</v>
          </cell>
          <cell r="Q391">
            <v>3.88</v>
          </cell>
          <cell r="R391">
            <v>1000</v>
          </cell>
          <cell r="S391" t="str">
            <v>PCS</v>
          </cell>
          <cell r="T391">
            <v>56</v>
          </cell>
          <cell r="U391" t="str">
            <v>J3</v>
          </cell>
          <cell r="V391" t="str">
            <v>CNY</v>
          </cell>
          <cell r="W391">
            <v>5000</v>
          </cell>
          <cell r="X391">
            <v>5000</v>
          </cell>
        </row>
        <row r="392">
          <cell r="D392">
            <v>10100005487</v>
          </cell>
          <cell r="E392" t="str">
            <v>厚膜贴片电阻器</v>
          </cell>
          <cell r="F392">
            <v>10010302</v>
          </cell>
          <cell r="G392" t="str">
            <v>ROYA\RES 1K F 1/8W 0805</v>
          </cell>
          <cell r="H392" t="str">
            <v>ROYALOHM(厚声)</v>
          </cell>
          <cell r="I392" t="str">
            <v>0805W8F1001T5E</v>
          </cell>
          <cell r="J392">
            <v>100003</v>
          </cell>
          <cell r="K392" t="str">
            <v>厚声国际贸易（昆山）有限公司</v>
          </cell>
          <cell r="L392" t="str">
            <v>X</v>
          </cell>
          <cell r="M392" t="str">
            <v/>
          </cell>
          <cell r="N392">
            <v>1</v>
          </cell>
          <cell r="O392">
            <v>3.8E-3</v>
          </cell>
          <cell r="P392">
            <v>3.8</v>
          </cell>
          <cell r="Q392">
            <v>3.8</v>
          </cell>
          <cell r="R392">
            <v>1000</v>
          </cell>
          <cell r="S392" t="str">
            <v>PCS</v>
          </cell>
          <cell r="T392">
            <v>56</v>
          </cell>
          <cell r="U392" t="str">
            <v>J3</v>
          </cell>
          <cell r="V392" t="str">
            <v>CNY</v>
          </cell>
          <cell r="W392">
            <v>5000</v>
          </cell>
          <cell r="X392">
            <v>5000</v>
          </cell>
        </row>
        <row r="393">
          <cell r="D393">
            <v>10100005503</v>
          </cell>
          <cell r="E393" t="str">
            <v>厚膜贴片电阻器</v>
          </cell>
          <cell r="F393">
            <v>10010302</v>
          </cell>
          <cell r="G393" t="str">
            <v>ROYA\RES 5.1K F 1/8W 0805</v>
          </cell>
          <cell r="H393" t="str">
            <v>ROYALOHM(厚声)</v>
          </cell>
          <cell r="I393" t="str">
            <v>0805W8F5101T5E</v>
          </cell>
          <cell r="J393">
            <v>100003</v>
          </cell>
          <cell r="K393" t="str">
            <v>厚声国际贸易（昆山）有限公司</v>
          </cell>
          <cell r="L393" t="str">
            <v>X</v>
          </cell>
          <cell r="M393" t="str">
            <v/>
          </cell>
          <cell r="N393">
            <v>1</v>
          </cell>
          <cell r="O393">
            <v>3.8E-3</v>
          </cell>
          <cell r="P393">
            <v>3.8</v>
          </cell>
          <cell r="Q393">
            <v>3.8</v>
          </cell>
          <cell r="R393">
            <v>1000</v>
          </cell>
          <cell r="S393" t="str">
            <v>PCS</v>
          </cell>
          <cell r="T393">
            <v>56</v>
          </cell>
          <cell r="U393" t="str">
            <v>J3</v>
          </cell>
          <cell r="V393" t="str">
            <v>CNY</v>
          </cell>
          <cell r="W393">
            <v>5000</v>
          </cell>
          <cell r="X393">
            <v>5000</v>
          </cell>
        </row>
        <row r="394">
          <cell r="D394">
            <v>10100005703</v>
          </cell>
          <cell r="E394" t="str">
            <v>厚膜贴片电阻器</v>
          </cell>
          <cell r="F394">
            <v>10010302</v>
          </cell>
          <cell r="G394" t="str">
            <v>YAGEO\RES 1K F 1/16W 0402</v>
          </cell>
          <cell r="H394" t="str">
            <v>YAGEO(国巨)</v>
          </cell>
          <cell r="I394" t="str">
            <v>RC0402FR-071KL</v>
          </cell>
          <cell r="J394">
            <v>100078</v>
          </cell>
          <cell r="K394" t="str">
            <v>深圳市超利维实业有限公司</v>
          </cell>
          <cell r="L394" t="str">
            <v>X</v>
          </cell>
          <cell r="M394" t="str">
            <v/>
          </cell>
          <cell r="N394">
            <v>1</v>
          </cell>
          <cell r="O394">
            <v>1.4E-3</v>
          </cell>
          <cell r="P394">
            <v>1.4</v>
          </cell>
          <cell r="Q394">
            <v>1.4</v>
          </cell>
          <cell r="R394">
            <v>1000</v>
          </cell>
          <cell r="S394" t="str">
            <v>PCS</v>
          </cell>
          <cell r="T394">
            <v>56</v>
          </cell>
          <cell r="U394" t="str">
            <v>J3</v>
          </cell>
          <cell r="V394" t="str">
            <v>CNY</v>
          </cell>
          <cell r="W394">
            <v>10000</v>
          </cell>
          <cell r="X394">
            <v>10000</v>
          </cell>
        </row>
        <row r="395">
          <cell r="D395">
            <v>10100005718</v>
          </cell>
          <cell r="E395" t="str">
            <v>厚膜贴片电阻器</v>
          </cell>
          <cell r="F395">
            <v>10010302</v>
          </cell>
          <cell r="G395" t="str">
            <v>FH\RES 1K F 1/16W 0402</v>
          </cell>
          <cell r="H395" t="str">
            <v>FH(风华)</v>
          </cell>
          <cell r="I395" t="str">
            <v>RC-02K1001FT</v>
          </cell>
          <cell r="J395">
            <v>100654</v>
          </cell>
          <cell r="K395" t="str">
            <v>广东风华高新科技股份有限公司</v>
          </cell>
          <cell r="L395" t="str">
            <v>X</v>
          </cell>
          <cell r="M395" t="str">
            <v/>
          </cell>
          <cell r="N395">
            <v>1</v>
          </cell>
          <cell r="O395">
            <v>1.1000000000000001E-3</v>
          </cell>
          <cell r="P395">
            <v>1.1000000000000001</v>
          </cell>
          <cell r="Q395">
            <v>1.1000000000000001</v>
          </cell>
          <cell r="R395">
            <v>1000</v>
          </cell>
          <cell r="S395" t="str">
            <v>PCS</v>
          </cell>
          <cell r="T395">
            <v>56</v>
          </cell>
          <cell r="U395" t="str">
            <v>J3</v>
          </cell>
          <cell r="V395" t="str">
            <v>CNY</v>
          </cell>
          <cell r="W395">
            <v>10000</v>
          </cell>
          <cell r="X395">
            <v>10000</v>
          </cell>
        </row>
        <row r="396">
          <cell r="D396">
            <v>10100005795</v>
          </cell>
          <cell r="E396" t="str">
            <v>厚膜贴片电阻器</v>
          </cell>
          <cell r="F396">
            <v>10010302</v>
          </cell>
          <cell r="G396" t="str">
            <v>FH\RES 10K F 1/16W 0402</v>
          </cell>
          <cell r="H396" t="str">
            <v>FH(风华)</v>
          </cell>
          <cell r="I396" t="str">
            <v>RC-02K1002FT</v>
          </cell>
          <cell r="J396">
            <v>100654</v>
          </cell>
          <cell r="K396" t="str">
            <v>广东风华高新科技股份有限公司</v>
          </cell>
          <cell r="L396" t="str">
            <v>X</v>
          </cell>
          <cell r="M396" t="str">
            <v/>
          </cell>
          <cell r="N396">
            <v>1</v>
          </cell>
          <cell r="O396">
            <v>1.1000000000000001E-3</v>
          </cell>
          <cell r="P396">
            <v>1.1000000000000001</v>
          </cell>
          <cell r="Q396">
            <v>1.1000000000000001</v>
          </cell>
          <cell r="R396">
            <v>1000</v>
          </cell>
          <cell r="S396" t="str">
            <v>PCS</v>
          </cell>
          <cell r="T396">
            <v>56</v>
          </cell>
          <cell r="U396" t="str">
            <v>J3</v>
          </cell>
          <cell r="V396" t="str">
            <v>CNY</v>
          </cell>
          <cell r="W396">
            <v>10000</v>
          </cell>
          <cell r="X396">
            <v>10000</v>
          </cell>
        </row>
        <row r="397">
          <cell r="D397">
            <v>10100006398</v>
          </cell>
          <cell r="E397" t="str">
            <v>厚膜贴片电阻器</v>
          </cell>
          <cell r="F397">
            <v>10010302</v>
          </cell>
          <cell r="G397" t="str">
            <v>FH\RES 47R F 1/4W 1206</v>
          </cell>
          <cell r="H397" t="str">
            <v>FH(风华)</v>
          </cell>
          <cell r="I397" t="str">
            <v>RS-06K47R0FT</v>
          </cell>
          <cell r="J397">
            <v>100654</v>
          </cell>
          <cell r="K397" t="str">
            <v>广东风华高新科技股份有限公司</v>
          </cell>
          <cell r="L397" t="str">
            <v>X</v>
          </cell>
          <cell r="M397" t="str">
            <v/>
          </cell>
          <cell r="N397">
            <v>1</v>
          </cell>
          <cell r="O397">
            <v>6.3699999999999998E-3</v>
          </cell>
          <cell r="P397">
            <v>6.37</v>
          </cell>
          <cell r="Q397">
            <v>6.37</v>
          </cell>
          <cell r="R397">
            <v>1000</v>
          </cell>
          <cell r="S397" t="str">
            <v>PCS</v>
          </cell>
          <cell r="T397">
            <v>70</v>
          </cell>
          <cell r="U397" t="str">
            <v>J3</v>
          </cell>
          <cell r="V397" t="str">
            <v>CNY</v>
          </cell>
          <cell r="W397">
            <v>5000</v>
          </cell>
          <cell r="X397">
            <v>5000</v>
          </cell>
        </row>
        <row r="398">
          <cell r="D398">
            <v>10100006494</v>
          </cell>
          <cell r="E398" t="str">
            <v>厚膜贴片电阻器</v>
          </cell>
          <cell r="F398">
            <v>10010302</v>
          </cell>
          <cell r="G398" t="str">
            <v>FH\RES 2.2K F 1/10W 0603</v>
          </cell>
          <cell r="H398" t="str">
            <v>FH(风华)</v>
          </cell>
          <cell r="I398" t="str">
            <v>RS-03K2201FT</v>
          </cell>
          <cell r="J398">
            <v>100654</v>
          </cell>
          <cell r="K398" t="str">
            <v>广东风华高新科技股份有限公司</v>
          </cell>
          <cell r="L398" t="str">
            <v>X</v>
          </cell>
          <cell r="M398" t="str">
            <v/>
          </cell>
          <cell r="N398">
            <v>1</v>
          </cell>
          <cell r="O398">
            <v>2.0799999999999998E-3</v>
          </cell>
          <cell r="P398">
            <v>2.08</v>
          </cell>
          <cell r="Q398">
            <v>2.08</v>
          </cell>
          <cell r="R398">
            <v>1000</v>
          </cell>
          <cell r="S398" t="str">
            <v>PCS</v>
          </cell>
          <cell r="T398">
            <v>56</v>
          </cell>
          <cell r="U398" t="str">
            <v>J3</v>
          </cell>
          <cell r="V398" t="str">
            <v>CNY</v>
          </cell>
          <cell r="W398">
            <v>5000</v>
          </cell>
          <cell r="X398">
            <v>5000</v>
          </cell>
        </row>
        <row r="399">
          <cell r="D399">
            <v>10100006507</v>
          </cell>
          <cell r="E399" t="str">
            <v>厚膜贴片电阻器</v>
          </cell>
          <cell r="F399">
            <v>10010302</v>
          </cell>
          <cell r="G399" t="str">
            <v>FH\RES 4.7K F 1/10W 0603</v>
          </cell>
          <cell r="H399" t="str">
            <v>FH(风华)</v>
          </cell>
          <cell r="I399" t="str">
            <v>RS-03K4701FT</v>
          </cell>
          <cell r="J399">
            <v>100654</v>
          </cell>
          <cell r="K399" t="str">
            <v>广东风华高新科技股份有限公司</v>
          </cell>
          <cell r="L399" t="str">
            <v>X</v>
          </cell>
          <cell r="M399" t="str">
            <v/>
          </cell>
          <cell r="N399">
            <v>1</v>
          </cell>
          <cell r="O399">
            <v>2.0799999999999998E-3</v>
          </cell>
          <cell r="P399">
            <v>2.08</v>
          </cell>
          <cell r="Q399">
            <v>2.08</v>
          </cell>
          <cell r="R399">
            <v>1000</v>
          </cell>
          <cell r="S399" t="str">
            <v>PCS</v>
          </cell>
          <cell r="T399">
            <v>56</v>
          </cell>
          <cell r="U399" t="str">
            <v>J3</v>
          </cell>
          <cell r="V399" t="str">
            <v>CNY</v>
          </cell>
          <cell r="W399">
            <v>5000</v>
          </cell>
          <cell r="X399">
            <v>5000</v>
          </cell>
        </row>
        <row r="400">
          <cell r="D400">
            <v>10100006627</v>
          </cell>
          <cell r="E400" t="str">
            <v>厚膜贴片电阻器</v>
          </cell>
          <cell r="F400">
            <v>10010302</v>
          </cell>
          <cell r="G400" t="str">
            <v>FH\RES 5.1K F 1/8W 0805</v>
          </cell>
          <cell r="H400" t="str">
            <v>FH(风华)</v>
          </cell>
          <cell r="I400" t="str">
            <v>RS-05K5101FT</v>
          </cell>
          <cell r="J400">
            <v>100654</v>
          </cell>
          <cell r="K400" t="str">
            <v>广东风华高新科技股份有限公司</v>
          </cell>
          <cell r="L400" t="str">
            <v>X</v>
          </cell>
          <cell r="M400" t="str">
            <v/>
          </cell>
          <cell r="N400">
            <v>1</v>
          </cell>
          <cell r="O400">
            <v>3.7200000000000002E-3</v>
          </cell>
          <cell r="P400">
            <v>3.72</v>
          </cell>
          <cell r="Q400">
            <v>3.72</v>
          </cell>
          <cell r="R400">
            <v>1000</v>
          </cell>
          <cell r="S400" t="str">
            <v>PCS</v>
          </cell>
          <cell r="T400">
            <v>56</v>
          </cell>
          <cell r="U400" t="str">
            <v>J3</v>
          </cell>
          <cell r="V400" t="str">
            <v>CNY</v>
          </cell>
          <cell r="W400">
            <v>5000</v>
          </cell>
          <cell r="X400">
            <v>5000</v>
          </cell>
        </row>
        <row r="401">
          <cell r="D401">
            <v>10100006711</v>
          </cell>
          <cell r="E401" t="str">
            <v>厚膜贴片电阻器</v>
          </cell>
          <cell r="F401">
            <v>10010302</v>
          </cell>
          <cell r="G401" t="str">
            <v>WALS\RES 1K F 1/16W 0402</v>
          </cell>
          <cell r="H401" t="str">
            <v>WALS(华科)</v>
          </cell>
          <cell r="I401" t="str">
            <v>WR04X1001FTL</v>
          </cell>
          <cell r="J401">
            <v>100131</v>
          </cell>
          <cell r="K401" t="str">
            <v>东莞华科电子有限公司</v>
          </cell>
          <cell r="L401" t="str">
            <v>X</v>
          </cell>
          <cell r="M401" t="str">
            <v/>
          </cell>
          <cell r="N401">
            <v>1</v>
          </cell>
          <cell r="O401">
            <v>1.17E-3</v>
          </cell>
          <cell r="P401">
            <v>1.17</v>
          </cell>
          <cell r="Q401">
            <v>1.17</v>
          </cell>
          <cell r="R401">
            <v>1000</v>
          </cell>
          <cell r="S401" t="str">
            <v>PCS</v>
          </cell>
          <cell r="T401">
            <v>56</v>
          </cell>
          <cell r="U401" t="str">
            <v>J3</v>
          </cell>
          <cell r="V401" t="str">
            <v>CNY</v>
          </cell>
          <cell r="W401">
            <v>10000</v>
          </cell>
          <cell r="X401">
            <v>10000</v>
          </cell>
        </row>
        <row r="402">
          <cell r="D402">
            <v>10100006793</v>
          </cell>
          <cell r="E402" t="str">
            <v>厚膜贴片电阻器</v>
          </cell>
          <cell r="F402">
            <v>10010302</v>
          </cell>
          <cell r="G402" t="str">
            <v>WALS\RES 68K F 1/10W 0603</v>
          </cell>
          <cell r="H402" t="str">
            <v>WALS(华科)</v>
          </cell>
          <cell r="I402" t="str">
            <v>WR06X6802FTL</v>
          </cell>
          <cell r="J402">
            <v>100131</v>
          </cell>
          <cell r="K402" t="str">
            <v>东莞华科电子有限公司</v>
          </cell>
          <cell r="L402" t="str">
            <v>X</v>
          </cell>
          <cell r="M402" t="str">
            <v/>
          </cell>
          <cell r="N402">
            <v>1</v>
          </cell>
          <cell r="O402">
            <v>2.2200000000000002E-3</v>
          </cell>
          <cell r="P402">
            <v>2.2200000000000002</v>
          </cell>
          <cell r="Q402">
            <v>2.2200000000000002</v>
          </cell>
          <cell r="R402">
            <v>1000</v>
          </cell>
          <cell r="S402" t="str">
            <v>PCS</v>
          </cell>
          <cell r="T402">
            <v>56</v>
          </cell>
          <cell r="U402" t="str">
            <v>J3</v>
          </cell>
          <cell r="V402" t="str">
            <v>CNY</v>
          </cell>
          <cell r="W402">
            <v>5000</v>
          </cell>
          <cell r="X402">
            <v>5000</v>
          </cell>
        </row>
        <row r="403">
          <cell r="D403">
            <v>10100006809</v>
          </cell>
          <cell r="E403" t="str">
            <v>厚膜贴片电阻器</v>
          </cell>
          <cell r="F403">
            <v>10010302</v>
          </cell>
          <cell r="G403" t="str">
            <v>WALS\RES 2.2K F 1/10W 0603</v>
          </cell>
          <cell r="H403" t="str">
            <v>WALS(华科)</v>
          </cell>
          <cell r="I403" t="str">
            <v>WR06X2201FTL</v>
          </cell>
          <cell r="J403">
            <v>100131</v>
          </cell>
          <cell r="K403" t="str">
            <v>东莞华科电子有限公司</v>
          </cell>
          <cell r="L403" t="str">
            <v>X</v>
          </cell>
          <cell r="M403" t="str">
            <v/>
          </cell>
          <cell r="N403">
            <v>1</v>
          </cell>
          <cell r="O403">
            <v>2.2200000000000002E-3</v>
          </cell>
          <cell r="P403">
            <v>2.2200000000000002</v>
          </cell>
          <cell r="Q403">
            <v>2.2200000000000002</v>
          </cell>
          <cell r="R403">
            <v>1000</v>
          </cell>
          <cell r="S403" t="str">
            <v>PCS</v>
          </cell>
          <cell r="T403">
            <v>56</v>
          </cell>
          <cell r="U403" t="str">
            <v>J3</v>
          </cell>
          <cell r="V403" t="str">
            <v>CNY</v>
          </cell>
          <cell r="W403">
            <v>5000</v>
          </cell>
          <cell r="X403">
            <v>5000</v>
          </cell>
        </row>
        <row r="404">
          <cell r="D404">
            <v>10100006845</v>
          </cell>
          <cell r="E404" t="str">
            <v>厚膜贴片电阻器</v>
          </cell>
          <cell r="F404">
            <v>10010302</v>
          </cell>
          <cell r="G404" t="str">
            <v>WALS\RES 4.7K F 1/10W 0603</v>
          </cell>
          <cell r="H404" t="str">
            <v>WALS(华科)</v>
          </cell>
          <cell r="I404" t="str">
            <v>WR06X4701FTL</v>
          </cell>
          <cell r="J404">
            <v>100131</v>
          </cell>
          <cell r="K404" t="str">
            <v>东莞华科电子有限公司</v>
          </cell>
          <cell r="L404" t="str">
            <v>X</v>
          </cell>
          <cell r="M404" t="str">
            <v/>
          </cell>
          <cell r="N404">
            <v>1</v>
          </cell>
          <cell r="O404">
            <v>2.2200000000000002E-3</v>
          </cell>
          <cell r="P404">
            <v>2.2200000000000002</v>
          </cell>
          <cell r="Q404">
            <v>2.2200000000000002</v>
          </cell>
          <cell r="R404">
            <v>1000</v>
          </cell>
          <cell r="S404" t="str">
            <v>PCS</v>
          </cell>
          <cell r="T404">
            <v>56</v>
          </cell>
          <cell r="U404" t="str">
            <v>J3</v>
          </cell>
          <cell r="V404" t="str">
            <v>CNY</v>
          </cell>
          <cell r="W404">
            <v>5000</v>
          </cell>
          <cell r="X404">
            <v>5000</v>
          </cell>
        </row>
        <row r="405">
          <cell r="D405">
            <v>10100006984</v>
          </cell>
          <cell r="E405" t="str">
            <v>厚膜贴片电阻器</v>
          </cell>
          <cell r="F405">
            <v>10010302</v>
          </cell>
          <cell r="G405" t="str">
            <v>WALS\RES 470R F 1/4W 1206</v>
          </cell>
          <cell r="H405" t="str">
            <v>WALS(华科)</v>
          </cell>
          <cell r="I405" t="str">
            <v>WR12X4700FTL</v>
          </cell>
          <cell r="J405">
            <v>100131</v>
          </cell>
          <cell r="K405" t="str">
            <v>东莞华科电子有限公司</v>
          </cell>
          <cell r="L405" t="str">
            <v>X</v>
          </cell>
          <cell r="M405" t="str">
            <v/>
          </cell>
          <cell r="N405">
            <v>1</v>
          </cell>
          <cell r="O405">
            <v>6.9499999999999996E-3</v>
          </cell>
          <cell r="P405">
            <v>6.95</v>
          </cell>
          <cell r="Q405">
            <v>6.95</v>
          </cell>
          <cell r="R405">
            <v>1000</v>
          </cell>
          <cell r="S405" t="str">
            <v>PCS</v>
          </cell>
          <cell r="T405">
            <v>70</v>
          </cell>
          <cell r="U405" t="str">
            <v>J3</v>
          </cell>
          <cell r="V405" t="str">
            <v>CNY</v>
          </cell>
          <cell r="W405">
            <v>5000</v>
          </cell>
          <cell r="X405">
            <v>5000</v>
          </cell>
        </row>
        <row r="406">
          <cell r="D406">
            <v>10100007109</v>
          </cell>
          <cell r="E406" t="str">
            <v>厚膜贴片电阻器</v>
          </cell>
          <cell r="F406">
            <v>10010302</v>
          </cell>
          <cell r="G406" t="str">
            <v>WALS\RES 5.1K F 1/8W 0805</v>
          </cell>
          <cell r="H406" t="str">
            <v>WALS(华科)</v>
          </cell>
          <cell r="I406" t="str">
            <v>WR08X5101FTL</v>
          </cell>
          <cell r="J406">
            <v>100131</v>
          </cell>
          <cell r="K406" t="str">
            <v>东莞华科电子有限公司</v>
          </cell>
          <cell r="L406" t="str">
            <v>X</v>
          </cell>
          <cell r="M406" t="str">
            <v/>
          </cell>
          <cell r="N406">
            <v>1</v>
          </cell>
          <cell r="O406">
            <v>4.15E-3</v>
          </cell>
          <cell r="P406">
            <v>4.1500000000000004</v>
          </cell>
          <cell r="Q406">
            <v>4.1500000000000004</v>
          </cell>
          <cell r="R406">
            <v>1000</v>
          </cell>
          <cell r="S406" t="str">
            <v>PCS</v>
          </cell>
          <cell r="T406">
            <v>56</v>
          </cell>
          <cell r="U406" t="str">
            <v>J3</v>
          </cell>
          <cell r="V406" t="str">
            <v>CNY</v>
          </cell>
          <cell r="W406">
            <v>5000</v>
          </cell>
          <cell r="X406">
            <v>5000</v>
          </cell>
        </row>
        <row r="407">
          <cell r="D407">
            <v>10100007109</v>
          </cell>
          <cell r="E407" t="str">
            <v>厚膜贴片电阻器</v>
          </cell>
          <cell r="F407">
            <v>10010302</v>
          </cell>
          <cell r="G407" t="str">
            <v>WALS\RES 5.1K F 1/8W 0805</v>
          </cell>
          <cell r="H407" t="str">
            <v>WALS(华科)</v>
          </cell>
          <cell r="I407" t="str">
            <v>WR08X5101FTL</v>
          </cell>
          <cell r="J407">
            <v>100131</v>
          </cell>
          <cell r="K407" t="str">
            <v>东莞华科电子有限公司</v>
          </cell>
          <cell r="L407" t="str">
            <v>X</v>
          </cell>
          <cell r="M407" t="str">
            <v/>
          </cell>
          <cell r="N407">
            <v>1</v>
          </cell>
          <cell r="O407">
            <v>3.8800000000000002E-3</v>
          </cell>
          <cell r="P407">
            <v>3.88</v>
          </cell>
          <cell r="Q407">
            <v>3.88</v>
          </cell>
          <cell r="R407">
            <v>1000</v>
          </cell>
          <cell r="S407" t="str">
            <v>PCS</v>
          </cell>
          <cell r="T407">
            <v>56</v>
          </cell>
          <cell r="U407" t="str">
            <v>J3</v>
          </cell>
          <cell r="V407" t="str">
            <v>CNY</v>
          </cell>
          <cell r="W407">
            <v>5000</v>
          </cell>
          <cell r="X407">
            <v>5000</v>
          </cell>
        </row>
        <row r="408">
          <cell r="D408">
            <v>10100007174</v>
          </cell>
          <cell r="E408" t="str">
            <v>厚膜贴片电阻器</v>
          </cell>
          <cell r="F408">
            <v>10010302</v>
          </cell>
          <cell r="G408" t="str">
            <v>WALS\RES 47R F 1/4W 1206</v>
          </cell>
          <cell r="H408" t="str">
            <v>WALS(华科)</v>
          </cell>
          <cell r="I408" t="str">
            <v>WR12X47R0FTL</v>
          </cell>
          <cell r="J408">
            <v>100131</v>
          </cell>
          <cell r="K408" t="str">
            <v>东莞华科电子有限公司</v>
          </cell>
          <cell r="L408" t="str">
            <v>X</v>
          </cell>
          <cell r="M408" t="str">
            <v/>
          </cell>
          <cell r="N408">
            <v>1</v>
          </cell>
          <cell r="O408">
            <v>6.9499999999999996E-3</v>
          </cell>
          <cell r="P408">
            <v>6.95</v>
          </cell>
          <cell r="Q408">
            <v>6.95</v>
          </cell>
          <cell r="R408">
            <v>1000</v>
          </cell>
          <cell r="S408" t="str">
            <v>PCS</v>
          </cell>
          <cell r="T408">
            <v>70</v>
          </cell>
          <cell r="U408" t="str">
            <v>J3</v>
          </cell>
          <cell r="V408" t="str">
            <v>CNY</v>
          </cell>
          <cell r="W408">
            <v>5000</v>
          </cell>
          <cell r="X408">
            <v>5000</v>
          </cell>
        </row>
        <row r="409">
          <cell r="D409">
            <v>10100007562</v>
          </cell>
          <cell r="E409" t="str">
            <v>厚膜贴片电阻器</v>
          </cell>
          <cell r="F409">
            <v>10010302</v>
          </cell>
          <cell r="G409" t="str">
            <v>YAGEO\RES 100R F 1/4W 1206</v>
          </cell>
          <cell r="H409" t="str">
            <v>YAGEO(国巨)</v>
          </cell>
          <cell r="I409" t="str">
            <v>RC1206FR-07100RL</v>
          </cell>
          <cell r="J409">
            <v>100078</v>
          </cell>
          <cell r="K409" t="str">
            <v>深圳市超利维实业有限公司</v>
          </cell>
          <cell r="L409" t="str">
            <v>X</v>
          </cell>
          <cell r="M409" t="str">
            <v/>
          </cell>
          <cell r="N409">
            <v>1</v>
          </cell>
          <cell r="O409">
            <v>8.0000000000000002E-3</v>
          </cell>
          <cell r="P409">
            <v>8</v>
          </cell>
          <cell r="Q409">
            <v>8</v>
          </cell>
          <cell r="R409">
            <v>1000</v>
          </cell>
          <cell r="S409" t="str">
            <v>PCS</v>
          </cell>
          <cell r="T409">
            <v>56</v>
          </cell>
          <cell r="U409" t="str">
            <v>J3</v>
          </cell>
          <cell r="V409" t="str">
            <v>CNY</v>
          </cell>
          <cell r="W409">
            <v>5000</v>
          </cell>
          <cell r="X409">
            <v>5000</v>
          </cell>
        </row>
        <row r="410">
          <cell r="D410">
            <v>10100007615</v>
          </cell>
          <cell r="E410" t="str">
            <v>厚膜贴片电阻器</v>
          </cell>
          <cell r="F410">
            <v>10010302</v>
          </cell>
          <cell r="G410" t="str">
            <v>YAGEO\RES 100R F 1/16W 0402</v>
          </cell>
          <cell r="H410" t="str">
            <v>YAGEO(国巨)</v>
          </cell>
          <cell r="I410" t="str">
            <v>RC0402FR-07100RL</v>
          </cell>
          <cell r="J410">
            <v>100078</v>
          </cell>
          <cell r="K410" t="str">
            <v>深圳市超利维实业有限公司</v>
          </cell>
          <cell r="L410" t="str">
            <v>X</v>
          </cell>
          <cell r="M410" t="str">
            <v/>
          </cell>
          <cell r="N410">
            <v>1</v>
          </cell>
          <cell r="O410">
            <v>1.4E-3</v>
          </cell>
          <cell r="P410">
            <v>1.4</v>
          </cell>
          <cell r="Q410">
            <v>1.4</v>
          </cell>
          <cell r="R410">
            <v>1000</v>
          </cell>
          <cell r="S410" t="str">
            <v>PCS</v>
          </cell>
          <cell r="T410">
            <v>56</v>
          </cell>
          <cell r="U410" t="str">
            <v>J3</v>
          </cell>
          <cell r="V410" t="str">
            <v>CNY</v>
          </cell>
          <cell r="W410">
            <v>10000</v>
          </cell>
          <cell r="X410">
            <v>10000</v>
          </cell>
        </row>
        <row r="411">
          <cell r="D411">
            <v>10100007852</v>
          </cell>
          <cell r="E411" t="str">
            <v>厚膜贴片电阻器</v>
          </cell>
          <cell r="F411">
            <v>10010302</v>
          </cell>
          <cell r="G411" t="str">
            <v>YAGEO\RES 300K F 1/4W 1206</v>
          </cell>
          <cell r="H411" t="str">
            <v>YAGEO(国巨)</v>
          </cell>
          <cell r="I411" t="str">
            <v>RC1206FR-07300KL</v>
          </cell>
          <cell r="J411">
            <v>100078</v>
          </cell>
          <cell r="K411" t="str">
            <v>深圳市超利维实业有限公司</v>
          </cell>
          <cell r="L411" t="str">
            <v>X</v>
          </cell>
          <cell r="M411" t="str">
            <v/>
          </cell>
          <cell r="N411">
            <v>1</v>
          </cell>
          <cell r="O411">
            <v>8.0000000000000002E-3</v>
          </cell>
          <cell r="P411">
            <v>8</v>
          </cell>
          <cell r="Q411">
            <v>8</v>
          </cell>
          <cell r="R411">
            <v>1000</v>
          </cell>
          <cell r="S411" t="str">
            <v>PCS</v>
          </cell>
          <cell r="T411">
            <v>56</v>
          </cell>
          <cell r="U411" t="str">
            <v>J3</v>
          </cell>
          <cell r="V411" t="str">
            <v>CNY</v>
          </cell>
          <cell r="W411">
            <v>5000</v>
          </cell>
          <cell r="X411">
            <v>5000</v>
          </cell>
        </row>
        <row r="412">
          <cell r="D412">
            <v>10100008011</v>
          </cell>
          <cell r="E412" t="str">
            <v>厚膜贴片电阻器</v>
          </cell>
          <cell r="F412">
            <v>10010302</v>
          </cell>
          <cell r="G412" t="str">
            <v>WALS\RES 100R F 1/4W 1206</v>
          </cell>
          <cell r="H412" t="str">
            <v>WALS(华科)</v>
          </cell>
          <cell r="I412" t="str">
            <v>WR12X1000FTL</v>
          </cell>
          <cell r="J412">
            <v>100131</v>
          </cell>
          <cell r="K412" t="str">
            <v>东莞华科电子有限公司</v>
          </cell>
          <cell r="L412" t="str">
            <v>X</v>
          </cell>
          <cell r="M412" t="str">
            <v/>
          </cell>
          <cell r="N412">
            <v>1</v>
          </cell>
          <cell r="O412">
            <v>6.9499999999999996E-3</v>
          </cell>
          <cell r="P412">
            <v>6.95</v>
          </cell>
          <cell r="Q412">
            <v>6.95</v>
          </cell>
          <cell r="R412">
            <v>1000</v>
          </cell>
          <cell r="S412" t="str">
            <v>PCS</v>
          </cell>
          <cell r="T412">
            <v>70</v>
          </cell>
          <cell r="U412" t="str">
            <v>J3</v>
          </cell>
          <cell r="V412" t="str">
            <v>CNY</v>
          </cell>
          <cell r="W412">
            <v>5000</v>
          </cell>
          <cell r="X412">
            <v>5000</v>
          </cell>
        </row>
        <row r="413">
          <cell r="D413">
            <v>10100008057</v>
          </cell>
          <cell r="E413" t="str">
            <v>厚膜贴片电阻器</v>
          </cell>
          <cell r="F413">
            <v>10010302</v>
          </cell>
          <cell r="G413" t="str">
            <v>FH\RES 22K F 1/16W 0402</v>
          </cell>
          <cell r="H413" t="str">
            <v>FH(风华)</v>
          </cell>
          <cell r="I413" t="str">
            <v>RC-02K2202FT</v>
          </cell>
          <cell r="J413">
            <v>100654</v>
          </cell>
          <cell r="K413" t="str">
            <v>广东风华高新科技股份有限公司</v>
          </cell>
          <cell r="L413" t="str">
            <v>X</v>
          </cell>
          <cell r="M413" t="str">
            <v/>
          </cell>
          <cell r="N413">
            <v>1</v>
          </cell>
          <cell r="O413">
            <v>1.1000000000000001E-3</v>
          </cell>
          <cell r="P413">
            <v>1.1000000000000001</v>
          </cell>
          <cell r="Q413">
            <v>1.1000000000000001</v>
          </cell>
          <cell r="R413">
            <v>1000</v>
          </cell>
          <cell r="S413" t="str">
            <v>PCS</v>
          </cell>
          <cell r="T413">
            <v>56</v>
          </cell>
          <cell r="U413" t="str">
            <v>J3</v>
          </cell>
          <cell r="V413" t="str">
            <v>CNY</v>
          </cell>
          <cell r="W413">
            <v>10000</v>
          </cell>
          <cell r="X413">
            <v>10000</v>
          </cell>
        </row>
        <row r="414">
          <cell r="D414">
            <v>10100008069</v>
          </cell>
          <cell r="E414" t="str">
            <v>厚膜贴片电阻器</v>
          </cell>
          <cell r="F414">
            <v>10010302</v>
          </cell>
          <cell r="G414" t="str">
            <v>WALS\RES 22K F 1/16W 0402</v>
          </cell>
          <cell r="H414" t="str">
            <v>WALS(华科)</v>
          </cell>
          <cell r="I414" t="str">
            <v>WR04X2202FTL</v>
          </cell>
          <cell r="J414">
            <v>100131</v>
          </cell>
          <cell r="K414" t="str">
            <v>东莞华科电子有限公司</v>
          </cell>
          <cell r="L414" t="str">
            <v>X</v>
          </cell>
          <cell r="M414" t="str">
            <v/>
          </cell>
          <cell r="N414">
            <v>1</v>
          </cell>
          <cell r="O414">
            <v>1.17E-3</v>
          </cell>
          <cell r="P414">
            <v>1.17</v>
          </cell>
          <cell r="Q414">
            <v>1.17</v>
          </cell>
          <cell r="R414">
            <v>1000</v>
          </cell>
          <cell r="S414" t="str">
            <v>PCS</v>
          </cell>
          <cell r="T414">
            <v>56</v>
          </cell>
          <cell r="U414" t="str">
            <v>J3</v>
          </cell>
          <cell r="V414" t="str">
            <v>CNY</v>
          </cell>
          <cell r="W414">
            <v>10000</v>
          </cell>
          <cell r="X414">
            <v>10000</v>
          </cell>
        </row>
        <row r="415">
          <cell r="D415">
            <v>10100008075</v>
          </cell>
          <cell r="E415" t="str">
            <v>厚膜贴片电阻器</v>
          </cell>
          <cell r="F415">
            <v>10010302</v>
          </cell>
          <cell r="G415" t="str">
            <v>YAGEO\RES 22K F 1/16W 0402</v>
          </cell>
          <cell r="H415" t="str">
            <v>YAGEO(国巨)</v>
          </cell>
          <cell r="I415" t="str">
            <v>RC0402FR-0722KL</v>
          </cell>
          <cell r="J415">
            <v>100078</v>
          </cell>
          <cell r="K415" t="str">
            <v>深圳市超利维实业有限公司</v>
          </cell>
          <cell r="L415" t="str">
            <v>X</v>
          </cell>
          <cell r="M415" t="str">
            <v/>
          </cell>
          <cell r="N415">
            <v>1</v>
          </cell>
          <cell r="O415">
            <v>1.4E-3</v>
          </cell>
          <cell r="P415">
            <v>1.4</v>
          </cell>
          <cell r="Q415">
            <v>1.4</v>
          </cell>
          <cell r="R415">
            <v>1000</v>
          </cell>
          <cell r="S415" t="str">
            <v>PCS</v>
          </cell>
          <cell r="T415">
            <v>56</v>
          </cell>
          <cell r="U415" t="str">
            <v>J3</v>
          </cell>
          <cell r="V415" t="str">
            <v>CNY</v>
          </cell>
          <cell r="W415">
            <v>10000</v>
          </cell>
          <cell r="X415">
            <v>10000</v>
          </cell>
        </row>
        <row r="416">
          <cell r="D416">
            <v>10100008302</v>
          </cell>
          <cell r="E416" t="str">
            <v>厚膜贴片电阻器</v>
          </cell>
          <cell r="F416">
            <v>10010302</v>
          </cell>
          <cell r="G416" t="str">
            <v>WALS\RES 100R F 1/16W 0402</v>
          </cell>
          <cell r="H416" t="str">
            <v>WALS(华科)</v>
          </cell>
          <cell r="I416" t="str">
            <v>WR04X1000FTL</v>
          </cell>
          <cell r="J416">
            <v>100131</v>
          </cell>
          <cell r="K416" t="str">
            <v>东莞华科电子有限公司</v>
          </cell>
          <cell r="L416" t="str">
            <v>X</v>
          </cell>
          <cell r="M416" t="str">
            <v/>
          </cell>
          <cell r="N416">
            <v>1</v>
          </cell>
          <cell r="O416">
            <v>1.17E-3</v>
          </cell>
          <cell r="P416">
            <v>1.17</v>
          </cell>
          <cell r="Q416">
            <v>1.17</v>
          </cell>
          <cell r="R416">
            <v>1000</v>
          </cell>
          <cell r="S416" t="str">
            <v>PCS</v>
          </cell>
          <cell r="T416">
            <v>56</v>
          </cell>
          <cell r="U416" t="str">
            <v>J3</v>
          </cell>
          <cell r="V416" t="str">
            <v>CNY</v>
          </cell>
          <cell r="W416">
            <v>10000</v>
          </cell>
          <cell r="X416">
            <v>10000</v>
          </cell>
        </row>
        <row r="417">
          <cell r="D417">
            <v>10100008735</v>
          </cell>
          <cell r="E417" t="str">
            <v>厚膜贴片电阻器</v>
          </cell>
          <cell r="F417">
            <v>10010302</v>
          </cell>
          <cell r="G417" t="str">
            <v>FH\RES 0R R&lt;10mR 1/16W 0402 1A</v>
          </cell>
          <cell r="H417" t="str">
            <v>FH(风华)</v>
          </cell>
          <cell r="I417" t="str">
            <v>RC-02000FT</v>
          </cell>
          <cell r="J417">
            <v>100654</v>
          </cell>
          <cell r="K417" t="str">
            <v>广东风华高新科技股份有限公司</v>
          </cell>
          <cell r="L417" t="str">
            <v>X</v>
          </cell>
          <cell r="M417" t="str">
            <v/>
          </cell>
          <cell r="N417">
            <v>1</v>
          </cell>
          <cell r="O417">
            <v>1.1000000000000001E-3</v>
          </cell>
          <cell r="P417">
            <v>1.1000000000000001</v>
          </cell>
          <cell r="Q417">
            <v>1.1000000000000001</v>
          </cell>
          <cell r="R417">
            <v>1000</v>
          </cell>
          <cell r="S417" t="str">
            <v>PCS</v>
          </cell>
          <cell r="T417">
            <v>56</v>
          </cell>
          <cell r="U417" t="str">
            <v>J3</v>
          </cell>
          <cell r="V417" t="str">
            <v>CNY</v>
          </cell>
          <cell r="W417">
            <v>10000</v>
          </cell>
          <cell r="X417">
            <v>10000</v>
          </cell>
        </row>
        <row r="418">
          <cell r="D418">
            <v>10100008807</v>
          </cell>
          <cell r="E418" t="str">
            <v>厚膜贴片电阻器</v>
          </cell>
          <cell r="F418">
            <v>10010302</v>
          </cell>
          <cell r="G418" t="str">
            <v>WALS\RES 390R F 1/16W 0402</v>
          </cell>
          <cell r="H418" t="str">
            <v>WALS(华科)</v>
          </cell>
          <cell r="I418" t="str">
            <v>WR04X3900FTL</v>
          </cell>
          <cell r="J418">
            <v>100131</v>
          </cell>
          <cell r="K418" t="str">
            <v>东莞华科电子有限公司</v>
          </cell>
          <cell r="L418" t="str">
            <v>X</v>
          </cell>
          <cell r="M418" t="str">
            <v/>
          </cell>
          <cell r="N418">
            <v>1</v>
          </cell>
          <cell r="O418">
            <v>1.17E-3</v>
          </cell>
          <cell r="P418">
            <v>1.17</v>
          </cell>
          <cell r="Q418">
            <v>1.17</v>
          </cell>
          <cell r="R418">
            <v>1000</v>
          </cell>
          <cell r="S418" t="str">
            <v>PCS</v>
          </cell>
          <cell r="T418">
            <v>56</v>
          </cell>
          <cell r="U418" t="str">
            <v>J3</v>
          </cell>
          <cell r="V418" t="str">
            <v>CNY</v>
          </cell>
          <cell r="W418">
            <v>10000</v>
          </cell>
          <cell r="X418">
            <v>10000</v>
          </cell>
        </row>
        <row r="419">
          <cell r="D419">
            <v>10100008809</v>
          </cell>
          <cell r="E419" t="str">
            <v>厚膜贴片电阻器</v>
          </cell>
          <cell r="F419">
            <v>10010302</v>
          </cell>
          <cell r="G419" t="str">
            <v>FH\RES 390R F 1/16W 0402</v>
          </cell>
          <cell r="H419" t="str">
            <v>FH(风华)</v>
          </cell>
          <cell r="I419" t="str">
            <v>RC-02K3900FT</v>
          </cell>
          <cell r="J419">
            <v>100654</v>
          </cell>
          <cell r="K419" t="str">
            <v>广东风华高新科技股份有限公司</v>
          </cell>
          <cell r="L419" t="str">
            <v>X</v>
          </cell>
          <cell r="M419" t="str">
            <v/>
          </cell>
          <cell r="N419">
            <v>1</v>
          </cell>
          <cell r="O419">
            <v>1.1000000000000001E-3</v>
          </cell>
          <cell r="P419">
            <v>1.1000000000000001</v>
          </cell>
          <cell r="Q419">
            <v>1.1000000000000001</v>
          </cell>
          <cell r="R419">
            <v>1000</v>
          </cell>
          <cell r="S419" t="str">
            <v>PCS</v>
          </cell>
          <cell r="T419">
            <v>56</v>
          </cell>
          <cell r="U419" t="str">
            <v>J3</v>
          </cell>
          <cell r="V419" t="str">
            <v>CNY</v>
          </cell>
          <cell r="W419">
            <v>10000</v>
          </cell>
          <cell r="X419">
            <v>10000</v>
          </cell>
        </row>
        <row r="420">
          <cell r="D420">
            <v>10100008827</v>
          </cell>
          <cell r="E420" t="str">
            <v>厚膜贴片电阻器</v>
          </cell>
          <cell r="F420">
            <v>10010302</v>
          </cell>
          <cell r="G420" t="str">
            <v>WALS\RES 9.1K F 1/16W 0402</v>
          </cell>
          <cell r="H420" t="str">
            <v>WALS(华科)</v>
          </cell>
          <cell r="I420" t="str">
            <v>WR04X9101FTL</v>
          </cell>
          <cell r="J420">
            <v>100131</v>
          </cell>
          <cell r="K420" t="str">
            <v>东莞华科电子有限公司</v>
          </cell>
          <cell r="L420" t="str">
            <v>X</v>
          </cell>
          <cell r="M420" t="str">
            <v/>
          </cell>
          <cell r="N420">
            <v>1</v>
          </cell>
          <cell r="O420">
            <v>1.17E-3</v>
          </cell>
          <cell r="P420">
            <v>1.17</v>
          </cell>
          <cell r="Q420">
            <v>1.17</v>
          </cell>
          <cell r="R420">
            <v>1000</v>
          </cell>
          <cell r="S420" t="str">
            <v>PCS</v>
          </cell>
          <cell r="T420">
            <v>56</v>
          </cell>
          <cell r="U420" t="str">
            <v>J3</v>
          </cell>
          <cell r="V420" t="str">
            <v>CNY</v>
          </cell>
          <cell r="W420">
            <v>10000</v>
          </cell>
          <cell r="X420">
            <v>10000</v>
          </cell>
        </row>
        <row r="421">
          <cell r="D421">
            <v>10100008830</v>
          </cell>
          <cell r="E421" t="str">
            <v>厚膜贴片电阻器</v>
          </cell>
          <cell r="F421">
            <v>10010302</v>
          </cell>
          <cell r="G421" t="str">
            <v>YAGEO\RES 9.1K F 1/16W 0402</v>
          </cell>
          <cell r="H421" t="str">
            <v>YAGEO(国巨)</v>
          </cell>
          <cell r="I421" t="str">
            <v>RC0402FR-079K1L</v>
          </cell>
          <cell r="J421">
            <v>100036</v>
          </cell>
          <cell r="K421" t="str">
            <v>厦门信和达电子有限公司</v>
          </cell>
          <cell r="L421" t="str">
            <v>X</v>
          </cell>
          <cell r="M421" t="str">
            <v/>
          </cell>
          <cell r="N421">
            <v>1</v>
          </cell>
          <cell r="O421">
            <v>1.4499999999999999E-3</v>
          </cell>
          <cell r="P421">
            <v>1.45</v>
          </cell>
          <cell r="Q421">
            <v>1.45</v>
          </cell>
          <cell r="R421">
            <v>1000</v>
          </cell>
          <cell r="S421" t="str">
            <v>PCS</v>
          </cell>
          <cell r="T421">
            <v>56</v>
          </cell>
          <cell r="U421" t="str">
            <v>J3</v>
          </cell>
          <cell r="V421" t="str">
            <v>CNY</v>
          </cell>
          <cell r="W421">
            <v>10000</v>
          </cell>
          <cell r="X421">
            <v>10000</v>
          </cell>
        </row>
        <row r="422">
          <cell r="D422">
            <v>10100009092</v>
          </cell>
          <cell r="E422" t="str">
            <v>厚膜贴片电阻器</v>
          </cell>
          <cell r="F422">
            <v>10010302</v>
          </cell>
          <cell r="G422" t="str">
            <v>YAGEO\RES 2K F 1/16W 0402</v>
          </cell>
          <cell r="H422" t="str">
            <v>YAGEO(国巨)</v>
          </cell>
          <cell r="I422" t="str">
            <v>RC0402FR-072KL</v>
          </cell>
          <cell r="J422">
            <v>101553</v>
          </cell>
          <cell r="K422" t="str">
            <v>深圳市奥特高科电子有限公司</v>
          </cell>
          <cell r="L422" t="str">
            <v>X</v>
          </cell>
          <cell r="M422" t="str">
            <v/>
          </cell>
          <cell r="N422">
            <v>1</v>
          </cell>
          <cell r="O422">
            <v>1.2999999999999999E-3</v>
          </cell>
          <cell r="P422">
            <v>1.3</v>
          </cell>
          <cell r="Q422">
            <v>1.3</v>
          </cell>
          <cell r="R422">
            <v>1000</v>
          </cell>
          <cell r="S422" t="str">
            <v>PCS</v>
          </cell>
          <cell r="T422">
            <v>56</v>
          </cell>
          <cell r="U422" t="str">
            <v>J3</v>
          </cell>
          <cell r="V422" t="str">
            <v>CNY</v>
          </cell>
          <cell r="W422">
            <v>10000</v>
          </cell>
          <cell r="X422">
            <v>10000</v>
          </cell>
        </row>
        <row r="423">
          <cell r="D423">
            <v>10100009093</v>
          </cell>
          <cell r="E423" t="str">
            <v>厚膜贴片电阻器</v>
          </cell>
          <cell r="F423">
            <v>10010302</v>
          </cell>
          <cell r="G423" t="str">
            <v>WALS\RES 2K F 1/16W 0402</v>
          </cell>
          <cell r="H423" t="str">
            <v>WALS(华科)</v>
          </cell>
          <cell r="I423" t="str">
            <v>WR04X2001FTL</v>
          </cell>
          <cell r="J423">
            <v>100131</v>
          </cell>
          <cell r="K423" t="str">
            <v>东莞华科电子有限公司</v>
          </cell>
          <cell r="L423" t="str">
            <v>X</v>
          </cell>
          <cell r="M423" t="str">
            <v/>
          </cell>
          <cell r="N423">
            <v>1</v>
          </cell>
          <cell r="O423">
            <v>1.17E-3</v>
          </cell>
          <cell r="P423">
            <v>1.17</v>
          </cell>
          <cell r="Q423">
            <v>1.17</v>
          </cell>
          <cell r="R423">
            <v>1000</v>
          </cell>
          <cell r="S423" t="str">
            <v>PCS</v>
          </cell>
          <cell r="T423">
            <v>56</v>
          </cell>
          <cell r="U423" t="str">
            <v>J3</v>
          </cell>
          <cell r="V423" t="str">
            <v>CNY</v>
          </cell>
          <cell r="W423">
            <v>10000</v>
          </cell>
          <cell r="X423">
            <v>10000</v>
          </cell>
        </row>
        <row r="424">
          <cell r="D424">
            <v>10100009552</v>
          </cell>
          <cell r="E424" t="str">
            <v>厚膜贴片电阻器</v>
          </cell>
          <cell r="F424">
            <v>10010302</v>
          </cell>
          <cell r="G424" t="str">
            <v>ROYA\RES 2.2K F 1/10W 0603</v>
          </cell>
          <cell r="H424" t="str">
            <v>ROYALOHM(厚声)</v>
          </cell>
          <cell r="I424" t="str">
            <v>0603WAF2201T5E</v>
          </cell>
          <cell r="J424">
            <v>100003</v>
          </cell>
          <cell r="K424" t="str">
            <v>厚声国际贸易（昆山）有限公司</v>
          </cell>
          <cell r="L424" t="str">
            <v>X</v>
          </cell>
          <cell r="M424" t="str">
            <v/>
          </cell>
          <cell r="N424">
            <v>1</v>
          </cell>
          <cell r="O424">
            <v>2.0999999999999999E-3</v>
          </cell>
          <cell r="P424">
            <v>2.1</v>
          </cell>
          <cell r="Q424">
            <v>2.1</v>
          </cell>
          <cell r="R424">
            <v>1000</v>
          </cell>
          <cell r="S424" t="str">
            <v>PCS</v>
          </cell>
          <cell r="T424">
            <v>56</v>
          </cell>
          <cell r="U424" t="str">
            <v>J3</v>
          </cell>
          <cell r="V424" t="str">
            <v>CNY</v>
          </cell>
          <cell r="W424">
            <v>5000</v>
          </cell>
          <cell r="X424">
            <v>5000</v>
          </cell>
        </row>
        <row r="425">
          <cell r="D425">
            <v>10100009721</v>
          </cell>
          <cell r="E425" t="str">
            <v>厚膜贴片电阻器</v>
          </cell>
          <cell r="F425">
            <v>10010302</v>
          </cell>
          <cell r="G425" t="str">
            <v>YAGEO\RES 11K F 1/16W 0402</v>
          </cell>
          <cell r="H425" t="str">
            <v>YAGEO(国巨)</v>
          </cell>
          <cell r="I425" t="str">
            <v>RC0402FR-0711KL</v>
          </cell>
          <cell r="J425">
            <v>100078</v>
          </cell>
          <cell r="K425" t="str">
            <v>深圳市超利维实业有限公司</v>
          </cell>
          <cell r="L425" t="str">
            <v>X</v>
          </cell>
          <cell r="M425" t="str">
            <v/>
          </cell>
          <cell r="N425">
            <v>1</v>
          </cell>
          <cell r="O425">
            <v>1.4E-3</v>
          </cell>
          <cell r="P425">
            <v>1.4</v>
          </cell>
          <cell r="Q425">
            <v>1.4</v>
          </cell>
          <cell r="R425">
            <v>1000</v>
          </cell>
          <cell r="S425" t="str">
            <v>PCS</v>
          </cell>
          <cell r="T425">
            <v>56</v>
          </cell>
          <cell r="U425" t="str">
            <v>J3</v>
          </cell>
          <cell r="V425" t="str">
            <v>CNY</v>
          </cell>
          <cell r="W425">
            <v>10000</v>
          </cell>
          <cell r="X425">
            <v>10000</v>
          </cell>
        </row>
        <row r="426">
          <cell r="D426">
            <v>10100009722</v>
          </cell>
          <cell r="E426" t="str">
            <v>厚膜贴片电阻器</v>
          </cell>
          <cell r="F426">
            <v>10010302</v>
          </cell>
          <cell r="G426" t="str">
            <v>WALS\RES 11K F 1/16W 0402</v>
          </cell>
          <cell r="H426" t="str">
            <v>WALS(华科)</v>
          </cell>
          <cell r="I426" t="str">
            <v>WR04X1102FTL</v>
          </cell>
          <cell r="J426">
            <v>100131</v>
          </cell>
          <cell r="K426" t="str">
            <v>东莞华科电子有限公司</v>
          </cell>
          <cell r="L426" t="str">
            <v>X</v>
          </cell>
          <cell r="M426" t="str">
            <v/>
          </cell>
          <cell r="N426">
            <v>1</v>
          </cell>
          <cell r="O426">
            <v>1.17E-3</v>
          </cell>
          <cell r="P426">
            <v>1.17</v>
          </cell>
          <cell r="Q426">
            <v>1.17</v>
          </cell>
          <cell r="R426">
            <v>1000</v>
          </cell>
          <cell r="S426" t="str">
            <v>PCS</v>
          </cell>
          <cell r="T426">
            <v>56</v>
          </cell>
          <cell r="U426" t="str">
            <v>J3</v>
          </cell>
          <cell r="V426" t="str">
            <v>CNY</v>
          </cell>
          <cell r="W426">
            <v>10000</v>
          </cell>
          <cell r="X426">
            <v>10000</v>
          </cell>
        </row>
        <row r="427">
          <cell r="D427">
            <v>10100009838</v>
          </cell>
          <cell r="E427" t="str">
            <v>厚膜贴片电阻器</v>
          </cell>
          <cell r="F427">
            <v>10010302</v>
          </cell>
          <cell r="G427" t="str">
            <v>ROYA\RES 10K F 1/16W 0402</v>
          </cell>
          <cell r="H427" t="str">
            <v>ROYALOHM(厚声)</v>
          </cell>
          <cell r="I427" t="str">
            <v>0402WGF1002TCE</v>
          </cell>
          <cell r="J427">
            <v>100003</v>
          </cell>
          <cell r="K427" t="str">
            <v>厚声国际贸易（昆山）有限公司</v>
          </cell>
          <cell r="L427" t="str">
            <v>X</v>
          </cell>
          <cell r="M427" t="str">
            <v/>
          </cell>
          <cell r="N427">
            <v>1</v>
          </cell>
          <cell r="O427">
            <v>1.09E-3</v>
          </cell>
          <cell r="P427">
            <v>1.0900000000000001</v>
          </cell>
          <cell r="Q427">
            <v>1.0900000000000001</v>
          </cell>
          <cell r="R427">
            <v>1000</v>
          </cell>
          <cell r="S427" t="str">
            <v>PCS</v>
          </cell>
          <cell r="T427">
            <v>56</v>
          </cell>
          <cell r="U427" t="str">
            <v>J3</v>
          </cell>
          <cell r="V427" t="str">
            <v>CNY</v>
          </cell>
          <cell r="W427">
            <v>10000</v>
          </cell>
          <cell r="X427">
            <v>10000</v>
          </cell>
        </row>
        <row r="428">
          <cell r="D428">
            <v>10100009843</v>
          </cell>
          <cell r="E428" t="str">
            <v>厚膜贴片电阻器</v>
          </cell>
          <cell r="F428">
            <v>10010302</v>
          </cell>
          <cell r="G428" t="str">
            <v>YAGEO\RES 5.6K F 1/16W 0402</v>
          </cell>
          <cell r="H428" t="str">
            <v>YAGEO(国巨)</v>
          </cell>
          <cell r="I428" t="str">
            <v>RC0402FR-075K6L</v>
          </cell>
          <cell r="J428">
            <v>100078</v>
          </cell>
          <cell r="K428" t="str">
            <v>深圳市超利维实业有限公司</v>
          </cell>
          <cell r="L428" t="str">
            <v>X</v>
          </cell>
          <cell r="M428" t="str">
            <v/>
          </cell>
          <cell r="N428">
            <v>1</v>
          </cell>
          <cell r="O428">
            <v>1.4E-3</v>
          </cell>
          <cell r="P428">
            <v>1.4</v>
          </cell>
          <cell r="Q428">
            <v>1.4</v>
          </cell>
          <cell r="R428">
            <v>1000</v>
          </cell>
          <cell r="S428" t="str">
            <v>PCS</v>
          </cell>
          <cell r="T428">
            <v>56</v>
          </cell>
          <cell r="U428" t="str">
            <v>J3</v>
          </cell>
          <cell r="V428" t="str">
            <v>CNY</v>
          </cell>
          <cell r="W428">
            <v>10000</v>
          </cell>
          <cell r="X428">
            <v>10000</v>
          </cell>
        </row>
        <row r="429">
          <cell r="D429">
            <v>10100010045</v>
          </cell>
          <cell r="E429" t="str">
            <v>厚膜贴片电阻器</v>
          </cell>
          <cell r="F429">
            <v>10010302</v>
          </cell>
          <cell r="G429" t="str">
            <v>WALS\RES 10K F 1/16W 0402</v>
          </cell>
          <cell r="H429" t="str">
            <v>WALS(华科)</v>
          </cell>
          <cell r="I429" t="str">
            <v>WR04X1002FTL</v>
          </cell>
          <cell r="J429">
            <v>100131</v>
          </cell>
          <cell r="K429" t="str">
            <v>东莞华科电子有限公司</v>
          </cell>
          <cell r="L429" t="str">
            <v>X</v>
          </cell>
          <cell r="M429" t="str">
            <v/>
          </cell>
          <cell r="N429">
            <v>1</v>
          </cell>
          <cell r="O429">
            <v>1.17E-3</v>
          </cell>
          <cell r="P429">
            <v>1.17</v>
          </cell>
          <cell r="Q429">
            <v>1.17</v>
          </cell>
          <cell r="R429">
            <v>1000</v>
          </cell>
          <cell r="S429" t="str">
            <v>PCS</v>
          </cell>
          <cell r="T429">
            <v>56</v>
          </cell>
          <cell r="U429" t="str">
            <v>J3</v>
          </cell>
          <cell r="V429" t="str">
            <v>CNY</v>
          </cell>
          <cell r="W429">
            <v>10000</v>
          </cell>
          <cell r="X429">
            <v>10000</v>
          </cell>
        </row>
        <row r="430">
          <cell r="D430">
            <v>10100011090</v>
          </cell>
          <cell r="E430" t="str">
            <v>厚膜贴片电阻器</v>
          </cell>
          <cell r="F430">
            <v>10010302</v>
          </cell>
          <cell r="G430" t="str">
            <v>ROYA\RES 4.7K F 1/10W 0603</v>
          </cell>
          <cell r="H430" t="str">
            <v>ROYALOHM(厚声)</v>
          </cell>
          <cell r="I430" t="str">
            <v>0603WAF4701T5E</v>
          </cell>
          <cell r="J430">
            <v>100003</v>
          </cell>
          <cell r="K430" t="str">
            <v>厚声国际贸易（昆山）有限公司</v>
          </cell>
          <cell r="L430" t="str">
            <v>X</v>
          </cell>
          <cell r="M430" t="str">
            <v/>
          </cell>
          <cell r="N430">
            <v>1</v>
          </cell>
          <cell r="O430">
            <v>2.0999999999999999E-3</v>
          </cell>
          <cell r="P430">
            <v>2.1</v>
          </cell>
          <cell r="Q430">
            <v>2.1</v>
          </cell>
          <cell r="R430">
            <v>1000</v>
          </cell>
          <cell r="S430" t="str">
            <v>PCS</v>
          </cell>
          <cell r="T430">
            <v>56</v>
          </cell>
          <cell r="U430" t="str">
            <v>J3</v>
          </cell>
          <cell r="V430" t="str">
            <v>CNY</v>
          </cell>
          <cell r="W430">
            <v>5000</v>
          </cell>
          <cell r="X430">
            <v>5000</v>
          </cell>
        </row>
        <row r="431">
          <cell r="D431">
            <v>10100011096</v>
          </cell>
          <cell r="E431" t="str">
            <v>厚膜贴片电阻器</v>
          </cell>
          <cell r="F431">
            <v>10010302</v>
          </cell>
          <cell r="G431" t="str">
            <v>ROYA\RES 47R F 1/4W 1206</v>
          </cell>
          <cell r="H431" t="str">
            <v>ROYALOHM(厚声)</v>
          </cell>
          <cell r="I431" t="str">
            <v>1206W4F470JT5E</v>
          </cell>
          <cell r="J431">
            <v>100003</v>
          </cell>
          <cell r="K431" t="str">
            <v>厚声国际贸易（昆山）有限公司</v>
          </cell>
          <cell r="L431" t="str">
            <v>X</v>
          </cell>
          <cell r="M431" t="str">
            <v/>
          </cell>
          <cell r="N431">
            <v>1</v>
          </cell>
          <cell r="O431">
            <v>6.7799999999999996E-3</v>
          </cell>
          <cell r="P431">
            <v>6.78</v>
          </cell>
          <cell r="Q431">
            <v>6.78</v>
          </cell>
          <cell r="R431">
            <v>1000</v>
          </cell>
          <cell r="S431" t="str">
            <v>PCS</v>
          </cell>
          <cell r="T431">
            <v>56</v>
          </cell>
          <cell r="U431" t="str">
            <v>J3</v>
          </cell>
          <cell r="V431" t="str">
            <v>CNY</v>
          </cell>
          <cell r="W431">
            <v>5000</v>
          </cell>
          <cell r="X431">
            <v>5000</v>
          </cell>
        </row>
        <row r="432">
          <cell r="D432">
            <v>10100011343</v>
          </cell>
          <cell r="E432" t="str">
            <v>厚膜贴片电阻器</v>
          </cell>
          <cell r="F432">
            <v>10010302</v>
          </cell>
          <cell r="G432" t="str">
            <v>WALS\RES 5.6K F 1/16W 0402</v>
          </cell>
          <cell r="H432" t="str">
            <v>WALS(华科)</v>
          </cell>
          <cell r="I432" t="str">
            <v>WR04X5601FTL</v>
          </cell>
          <cell r="J432">
            <v>100131</v>
          </cell>
          <cell r="K432" t="str">
            <v>东莞华科电子有限公司</v>
          </cell>
          <cell r="L432" t="str">
            <v>X</v>
          </cell>
          <cell r="M432" t="str">
            <v/>
          </cell>
          <cell r="N432">
            <v>1</v>
          </cell>
          <cell r="O432">
            <v>1.17E-3</v>
          </cell>
          <cell r="P432">
            <v>1.17</v>
          </cell>
          <cell r="Q432">
            <v>1.17</v>
          </cell>
          <cell r="R432">
            <v>1000</v>
          </cell>
          <cell r="S432" t="str">
            <v>PCS</v>
          </cell>
          <cell r="T432">
            <v>56</v>
          </cell>
          <cell r="U432" t="str">
            <v>J3</v>
          </cell>
          <cell r="V432" t="str">
            <v>CNY</v>
          </cell>
          <cell r="W432">
            <v>10000</v>
          </cell>
          <cell r="X432">
            <v>10000</v>
          </cell>
        </row>
        <row r="433">
          <cell r="D433">
            <v>10100011621</v>
          </cell>
          <cell r="E433" t="str">
            <v>厚膜贴片电阻器</v>
          </cell>
          <cell r="F433">
            <v>10010302</v>
          </cell>
          <cell r="G433" t="str">
            <v>FH\RES 5.6K F 1/16W 0402</v>
          </cell>
          <cell r="H433" t="str">
            <v>FH(风华)</v>
          </cell>
          <cell r="I433" t="str">
            <v>RC-02K5601FT</v>
          </cell>
          <cell r="J433">
            <v>100654</v>
          </cell>
          <cell r="K433" t="str">
            <v>广东风华高新科技股份有限公司</v>
          </cell>
          <cell r="L433" t="str">
            <v>X</v>
          </cell>
          <cell r="M433" t="str">
            <v/>
          </cell>
          <cell r="N433">
            <v>1</v>
          </cell>
          <cell r="O433">
            <v>1.1000000000000001E-3</v>
          </cell>
          <cell r="P433">
            <v>1.1000000000000001</v>
          </cell>
          <cell r="Q433">
            <v>1.1000000000000001</v>
          </cell>
          <cell r="R433">
            <v>1000</v>
          </cell>
          <cell r="S433" t="str">
            <v>PCS</v>
          </cell>
          <cell r="T433">
            <v>56</v>
          </cell>
          <cell r="U433" t="str">
            <v>J3</v>
          </cell>
          <cell r="V433" t="str">
            <v>CNY</v>
          </cell>
          <cell r="W433">
            <v>10000</v>
          </cell>
          <cell r="X433">
            <v>10000</v>
          </cell>
        </row>
        <row r="434">
          <cell r="D434">
            <v>10100011726</v>
          </cell>
          <cell r="E434" t="str">
            <v>厚膜贴片电阻器</v>
          </cell>
          <cell r="F434">
            <v>10010302</v>
          </cell>
          <cell r="G434" t="str">
            <v>YAGEO\RES 5.1K F 1/16W 0402</v>
          </cell>
          <cell r="H434" t="str">
            <v>YAGEO(国巨)</v>
          </cell>
          <cell r="I434" t="str">
            <v>RC0402FR-075K1L</v>
          </cell>
          <cell r="J434">
            <v>100036</v>
          </cell>
          <cell r="K434" t="str">
            <v>厦门信和达电子有限公司</v>
          </cell>
          <cell r="L434" t="str">
            <v>X</v>
          </cell>
          <cell r="M434" t="str">
            <v/>
          </cell>
          <cell r="N434">
            <v>1</v>
          </cell>
          <cell r="O434">
            <v>1.4E-3</v>
          </cell>
          <cell r="P434">
            <v>1.4</v>
          </cell>
          <cell r="Q434">
            <v>1.4</v>
          </cell>
          <cell r="R434">
            <v>1000</v>
          </cell>
          <cell r="S434" t="str">
            <v>PCS</v>
          </cell>
          <cell r="T434">
            <v>56</v>
          </cell>
          <cell r="U434" t="str">
            <v>J3</v>
          </cell>
          <cell r="V434" t="str">
            <v>CNY</v>
          </cell>
          <cell r="W434">
            <v>10000</v>
          </cell>
          <cell r="X434">
            <v>10000</v>
          </cell>
        </row>
        <row r="435">
          <cell r="D435">
            <v>10100011886</v>
          </cell>
          <cell r="E435" t="str">
            <v>厚膜贴片电阻器</v>
          </cell>
          <cell r="F435">
            <v>10010302</v>
          </cell>
          <cell r="G435" t="str">
            <v>ROYA\RES 9.1K F 1/16W 0402</v>
          </cell>
          <cell r="H435" t="str">
            <v>ROYALOHM(厚声)</v>
          </cell>
          <cell r="I435" t="str">
            <v>0402WGF9101TCE</v>
          </cell>
          <cell r="J435">
            <v>100003</v>
          </cell>
          <cell r="K435" t="str">
            <v>厚声国际贸易（昆山）有限公司</v>
          </cell>
          <cell r="L435" t="str">
            <v>X</v>
          </cell>
          <cell r="M435" t="str">
            <v/>
          </cell>
          <cell r="N435">
            <v>1</v>
          </cell>
          <cell r="O435">
            <v>1.09E-3</v>
          </cell>
          <cell r="P435">
            <v>1.0900000000000001</v>
          </cell>
          <cell r="Q435">
            <v>1.0900000000000001</v>
          </cell>
          <cell r="R435">
            <v>1000</v>
          </cell>
          <cell r="S435" t="str">
            <v>PCS</v>
          </cell>
          <cell r="T435">
            <v>56</v>
          </cell>
          <cell r="U435" t="str">
            <v>J3</v>
          </cell>
          <cell r="V435" t="str">
            <v>CNY</v>
          </cell>
          <cell r="W435">
            <v>10000</v>
          </cell>
          <cell r="X435">
            <v>10000</v>
          </cell>
        </row>
        <row r="436">
          <cell r="D436">
            <v>10100011993</v>
          </cell>
          <cell r="E436" t="str">
            <v>厚膜贴片电阻器</v>
          </cell>
          <cell r="F436">
            <v>10010302</v>
          </cell>
          <cell r="G436" t="str">
            <v>FH\RES 5.1K F 1/16W 0402</v>
          </cell>
          <cell r="H436" t="str">
            <v>FH(风华)</v>
          </cell>
          <cell r="I436" t="str">
            <v>RC-02K5101FT</v>
          </cell>
          <cell r="J436">
            <v>100654</v>
          </cell>
          <cell r="K436" t="str">
            <v>广东风华高新科技股份有限公司</v>
          </cell>
          <cell r="L436" t="str">
            <v>X</v>
          </cell>
          <cell r="M436" t="str">
            <v/>
          </cell>
          <cell r="N436">
            <v>1</v>
          </cell>
          <cell r="O436">
            <v>1.1000000000000001E-3</v>
          </cell>
          <cell r="P436">
            <v>1.1000000000000001</v>
          </cell>
          <cell r="Q436">
            <v>1.1000000000000001</v>
          </cell>
          <cell r="R436">
            <v>1000</v>
          </cell>
          <cell r="S436" t="str">
            <v>PCS</v>
          </cell>
          <cell r="T436">
            <v>56</v>
          </cell>
          <cell r="U436" t="str">
            <v>J3</v>
          </cell>
          <cell r="V436" t="str">
            <v>CNY</v>
          </cell>
          <cell r="W436">
            <v>10000</v>
          </cell>
          <cell r="X436">
            <v>10000</v>
          </cell>
        </row>
        <row r="437">
          <cell r="D437">
            <v>10100011996</v>
          </cell>
          <cell r="E437" t="str">
            <v>厚膜贴片电阻器</v>
          </cell>
          <cell r="F437">
            <v>10010302</v>
          </cell>
          <cell r="G437" t="str">
            <v>FH\RES 9.1K F 1/16W 0402</v>
          </cell>
          <cell r="H437" t="str">
            <v>FH(风华)</v>
          </cell>
          <cell r="I437" t="str">
            <v>RC-02K9101FT</v>
          </cell>
          <cell r="J437">
            <v>100654</v>
          </cell>
          <cell r="K437" t="str">
            <v>广东风华高新科技股份有限公司</v>
          </cell>
          <cell r="L437" t="str">
            <v>X</v>
          </cell>
          <cell r="M437" t="str">
            <v/>
          </cell>
          <cell r="N437">
            <v>1</v>
          </cell>
          <cell r="O437">
            <v>1.1000000000000001E-3</v>
          </cell>
          <cell r="P437">
            <v>1.1000000000000001</v>
          </cell>
          <cell r="Q437">
            <v>1.1000000000000001</v>
          </cell>
          <cell r="R437">
            <v>1000</v>
          </cell>
          <cell r="S437" t="str">
            <v>PCS</v>
          </cell>
          <cell r="T437">
            <v>56</v>
          </cell>
          <cell r="U437" t="str">
            <v>J3</v>
          </cell>
          <cell r="V437" t="str">
            <v>CNY</v>
          </cell>
          <cell r="W437">
            <v>10000</v>
          </cell>
          <cell r="X437">
            <v>10000</v>
          </cell>
        </row>
        <row r="438">
          <cell r="D438">
            <v>10100012014</v>
          </cell>
          <cell r="E438" t="str">
            <v>厚膜贴片电阻器</v>
          </cell>
          <cell r="F438">
            <v>10010302</v>
          </cell>
          <cell r="G438" t="str">
            <v>FH\RES 100R F 1/4W 1206</v>
          </cell>
          <cell r="H438" t="str">
            <v>FH(风华)</v>
          </cell>
          <cell r="I438" t="str">
            <v>RS-06K1000FT</v>
          </cell>
          <cell r="J438">
            <v>100654</v>
          </cell>
          <cell r="K438" t="str">
            <v>广东风华高新科技股份有限公司</v>
          </cell>
          <cell r="L438" t="str">
            <v>X</v>
          </cell>
          <cell r="M438" t="str">
            <v/>
          </cell>
          <cell r="N438">
            <v>1</v>
          </cell>
          <cell r="O438">
            <v>6.3699999999999998E-3</v>
          </cell>
          <cell r="P438">
            <v>6.37</v>
          </cell>
          <cell r="Q438">
            <v>6.37</v>
          </cell>
          <cell r="R438">
            <v>1000</v>
          </cell>
          <cell r="S438" t="str">
            <v>PCS</v>
          </cell>
          <cell r="T438">
            <v>56</v>
          </cell>
          <cell r="U438" t="str">
            <v>J3</v>
          </cell>
          <cell r="V438" t="str">
            <v>CNY</v>
          </cell>
          <cell r="W438">
            <v>5000</v>
          </cell>
          <cell r="X438">
            <v>5000</v>
          </cell>
        </row>
        <row r="439">
          <cell r="D439">
            <v>10100012860</v>
          </cell>
          <cell r="E439" t="str">
            <v>厚膜贴片电阻器</v>
          </cell>
          <cell r="F439">
            <v>10010302</v>
          </cell>
          <cell r="G439" t="str">
            <v>ROYA\RES 68K F 1/10W 0603</v>
          </cell>
          <cell r="H439" t="str">
            <v>ROYALOHM(厚声)</v>
          </cell>
          <cell r="I439" t="str">
            <v>0603WAF6802T5E</v>
          </cell>
          <cell r="J439">
            <v>100003</v>
          </cell>
          <cell r="K439" t="str">
            <v>厚声国际贸易（昆山）有限公司</v>
          </cell>
          <cell r="L439" t="str">
            <v>X</v>
          </cell>
          <cell r="M439" t="str">
            <v/>
          </cell>
          <cell r="N439">
            <v>1</v>
          </cell>
          <cell r="O439">
            <v>2.0999999999999999E-3</v>
          </cell>
          <cell r="P439">
            <v>2.1</v>
          </cell>
          <cell r="Q439">
            <v>2.1</v>
          </cell>
          <cell r="R439">
            <v>1000</v>
          </cell>
          <cell r="S439" t="str">
            <v>PCS</v>
          </cell>
          <cell r="T439">
            <v>56</v>
          </cell>
          <cell r="U439" t="str">
            <v>J3</v>
          </cell>
          <cell r="V439" t="str">
            <v>CNY</v>
          </cell>
          <cell r="W439">
            <v>5000</v>
          </cell>
          <cell r="X439">
            <v>5000</v>
          </cell>
        </row>
        <row r="440">
          <cell r="D440">
            <v>10100013040</v>
          </cell>
          <cell r="E440" t="str">
            <v>厚膜贴片电阻器</v>
          </cell>
          <cell r="F440">
            <v>10010302</v>
          </cell>
          <cell r="G440" t="str">
            <v>ROYA\RES 1K F 1/16W 0402</v>
          </cell>
          <cell r="H440" t="str">
            <v>ROYALOHM(厚声)</v>
          </cell>
          <cell r="I440" t="str">
            <v>0402WGF1001TCE</v>
          </cell>
          <cell r="J440">
            <v>100003</v>
          </cell>
          <cell r="K440" t="str">
            <v>厚声国际贸易（昆山）有限公司</v>
          </cell>
          <cell r="L440" t="str">
            <v>X</v>
          </cell>
          <cell r="M440" t="str">
            <v/>
          </cell>
          <cell r="N440">
            <v>1</v>
          </cell>
          <cell r="O440">
            <v>1.09E-3</v>
          </cell>
          <cell r="P440">
            <v>1.0900000000000001</v>
          </cell>
          <cell r="Q440">
            <v>1.0900000000000001</v>
          </cell>
          <cell r="R440">
            <v>1000</v>
          </cell>
          <cell r="S440" t="str">
            <v>PCS</v>
          </cell>
          <cell r="T440">
            <v>56</v>
          </cell>
          <cell r="U440" t="str">
            <v>J3</v>
          </cell>
          <cell r="V440" t="str">
            <v>CNY</v>
          </cell>
          <cell r="W440">
            <v>10000</v>
          </cell>
          <cell r="X440">
            <v>10000</v>
          </cell>
        </row>
        <row r="441">
          <cell r="D441">
            <v>10100013093</v>
          </cell>
          <cell r="E441" t="str">
            <v>厚膜贴片电阻器</v>
          </cell>
          <cell r="F441">
            <v>10010302</v>
          </cell>
          <cell r="G441" t="str">
            <v>ROYA\RES 100R F 1/16W 0402</v>
          </cell>
          <cell r="H441" t="str">
            <v>ROYALOHM(厚声)</v>
          </cell>
          <cell r="I441" t="str">
            <v>0402WGF1000TCE</v>
          </cell>
          <cell r="J441">
            <v>100003</v>
          </cell>
          <cell r="K441" t="str">
            <v>厚声国际贸易（昆山）有限公司</v>
          </cell>
          <cell r="L441" t="str">
            <v>X</v>
          </cell>
          <cell r="M441" t="str">
            <v/>
          </cell>
          <cell r="N441">
            <v>1</v>
          </cell>
          <cell r="O441">
            <v>1.09E-3</v>
          </cell>
          <cell r="P441">
            <v>1.0900000000000001</v>
          </cell>
          <cell r="Q441">
            <v>1.0900000000000001</v>
          </cell>
          <cell r="R441">
            <v>1000</v>
          </cell>
          <cell r="S441" t="str">
            <v>PCS</v>
          </cell>
          <cell r="T441">
            <v>56</v>
          </cell>
          <cell r="U441" t="str">
            <v>J3</v>
          </cell>
          <cell r="V441" t="str">
            <v>CNY</v>
          </cell>
          <cell r="W441">
            <v>10000</v>
          </cell>
          <cell r="X441">
            <v>10000</v>
          </cell>
        </row>
        <row r="442">
          <cell r="D442">
            <v>10100013936</v>
          </cell>
          <cell r="E442" t="str">
            <v>厚膜贴片电阻器</v>
          </cell>
          <cell r="F442">
            <v>10010302</v>
          </cell>
          <cell r="G442" t="str">
            <v>FH\RES 100R F 1/16W 0402</v>
          </cell>
          <cell r="H442" t="str">
            <v>FH(风华)</v>
          </cell>
          <cell r="I442" t="str">
            <v>RC-02K1000FT</v>
          </cell>
          <cell r="J442">
            <v>100654</v>
          </cell>
          <cell r="K442" t="str">
            <v>广东风华高新科技股份有限公司</v>
          </cell>
          <cell r="L442" t="str">
            <v>X</v>
          </cell>
          <cell r="M442" t="str">
            <v/>
          </cell>
          <cell r="N442">
            <v>1</v>
          </cell>
          <cell r="O442">
            <v>1.1000000000000001E-3</v>
          </cell>
          <cell r="P442">
            <v>1.1000000000000001</v>
          </cell>
          <cell r="Q442">
            <v>1.1000000000000001</v>
          </cell>
          <cell r="R442">
            <v>1000</v>
          </cell>
          <cell r="S442" t="str">
            <v>PCS</v>
          </cell>
          <cell r="T442">
            <v>56</v>
          </cell>
          <cell r="U442" t="str">
            <v>J3</v>
          </cell>
          <cell r="V442" t="str">
            <v>CNY</v>
          </cell>
          <cell r="W442">
            <v>10000</v>
          </cell>
          <cell r="X442">
            <v>10000</v>
          </cell>
        </row>
        <row r="443">
          <cell r="D443">
            <v>10100014263</v>
          </cell>
          <cell r="E443" t="str">
            <v>厚膜贴片电阻器</v>
          </cell>
          <cell r="F443">
            <v>10010302</v>
          </cell>
          <cell r="G443" t="str">
            <v>YAGEO\RES 390R F 1/16W 0402</v>
          </cell>
          <cell r="H443" t="str">
            <v>YAGEO(国巨)</v>
          </cell>
          <cell r="I443" t="str">
            <v>RC0402FR-07390RL</v>
          </cell>
          <cell r="J443">
            <v>100078</v>
          </cell>
          <cell r="K443" t="str">
            <v>深圳市超利维实业有限公司</v>
          </cell>
          <cell r="L443" t="str">
            <v>X</v>
          </cell>
          <cell r="M443" t="str">
            <v/>
          </cell>
          <cell r="N443">
            <v>1</v>
          </cell>
          <cell r="O443">
            <v>1.4E-3</v>
          </cell>
          <cell r="P443">
            <v>1.4</v>
          </cell>
          <cell r="Q443">
            <v>1.4</v>
          </cell>
          <cell r="R443">
            <v>1000</v>
          </cell>
          <cell r="S443" t="str">
            <v>PCS</v>
          </cell>
          <cell r="T443">
            <v>56</v>
          </cell>
          <cell r="U443" t="str">
            <v>J3</v>
          </cell>
          <cell r="V443" t="str">
            <v>CNY</v>
          </cell>
          <cell r="W443">
            <v>10000</v>
          </cell>
          <cell r="X443">
            <v>10000</v>
          </cell>
        </row>
        <row r="444">
          <cell r="D444">
            <v>10100014304</v>
          </cell>
          <cell r="E444" t="str">
            <v>厚膜贴片电阻器</v>
          </cell>
          <cell r="F444">
            <v>10010302</v>
          </cell>
          <cell r="G444" t="str">
            <v>WALS\RES 300K F 1/4W 1206</v>
          </cell>
          <cell r="H444" t="str">
            <v>WALS(华科)</v>
          </cell>
          <cell r="I444" t="str">
            <v>WR12X3003FTL</v>
          </cell>
          <cell r="J444">
            <v>100131</v>
          </cell>
          <cell r="K444" t="str">
            <v>东莞华科电子有限公司</v>
          </cell>
          <cell r="L444" t="str">
            <v>X</v>
          </cell>
          <cell r="M444" t="str">
            <v/>
          </cell>
          <cell r="N444">
            <v>1</v>
          </cell>
          <cell r="O444">
            <v>6.9499999999999996E-3</v>
          </cell>
          <cell r="P444">
            <v>6.95</v>
          </cell>
          <cell r="Q444">
            <v>6.95</v>
          </cell>
          <cell r="R444">
            <v>1000</v>
          </cell>
          <cell r="S444" t="str">
            <v>PCS</v>
          </cell>
          <cell r="T444">
            <v>70</v>
          </cell>
          <cell r="U444" t="str">
            <v>J3</v>
          </cell>
          <cell r="V444" t="str">
            <v>CNY</v>
          </cell>
          <cell r="W444">
            <v>5000</v>
          </cell>
          <cell r="X444">
            <v>5000</v>
          </cell>
        </row>
        <row r="445">
          <cell r="D445">
            <v>10100014735</v>
          </cell>
          <cell r="E445" t="str">
            <v>厚膜贴片电阻器</v>
          </cell>
          <cell r="F445">
            <v>10010302</v>
          </cell>
          <cell r="G445" t="str">
            <v>ROYA\RES 2K F 1/16W 0402</v>
          </cell>
          <cell r="H445" t="str">
            <v>ROYALOHM(厚声)</v>
          </cell>
          <cell r="I445" t="str">
            <v>0402WGF2001TCE</v>
          </cell>
          <cell r="J445">
            <v>100003</v>
          </cell>
          <cell r="K445" t="str">
            <v>厚声国际贸易（昆山）有限公司</v>
          </cell>
          <cell r="L445" t="str">
            <v>X</v>
          </cell>
          <cell r="M445" t="str">
            <v/>
          </cell>
          <cell r="N445">
            <v>1</v>
          </cell>
          <cell r="O445">
            <v>1.09E-3</v>
          </cell>
          <cell r="P445">
            <v>1.0900000000000001</v>
          </cell>
          <cell r="Q445">
            <v>1.0900000000000001</v>
          </cell>
          <cell r="R445">
            <v>1000</v>
          </cell>
          <cell r="S445" t="str">
            <v>PCS</v>
          </cell>
          <cell r="T445">
            <v>56</v>
          </cell>
          <cell r="U445" t="str">
            <v>J3</v>
          </cell>
          <cell r="V445" t="str">
            <v>CNY</v>
          </cell>
          <cell r="W445">
            <v>10000</v>
          </cell>
          <cell r="X445">
            <v>10000</v>
          </cell>
        </row>
        <row r="446">
          <cell r="D446">
            <v>10100015127</v>
          </cell>
          <cell r="E446" t="str">
            <v>厚膜贴片电阻器</v>
          </cell>
          <cell r="F446">
            <v>10010302</v>
          </cell>
          <cell r="G446" t="str">
            <v>ROYA\RES 100R F 1/4W 1206</v>
          </cell>
          <cell r="H446" t="str">
            <v>ROYALOHM(厚声)</v>
          </cell>
          <cell r="I446" t="str">
            <v>1206W4F1000T5E</v>
          </cell>
          <cell r="J446">
            <v>100003</v>
          </cell>
          <cell r="K446" t="str">
            <v>厚声国际贸易（昆山）有限公司</v>
          </cell>
          <cell r="L446" t="str">
            <v>X</v>
          </cell>
          <cell r="M446" t="str">
            <v/>
          </cell>
          <cell r="N446">
            <v>1</v>
          </cell>
          <cell r="O446">
            <v>6.7799999999999996E-3</v>
          </cell>
          <cell r="P446">
            <v>6.78</v>
          </cell>
          <cell r="Q446">
            <v>6.78</v>
          </cell>
          <cell r="R446">
            <v>1000</v>
          </cell>
          <cell r="S446" t="str">
            <v>PCS</v>
          </cell>
          <cell r="T446">
            <v>56</v>
          </cell>
          <cell r="U446" t="str">
            <v>J3</v>
          </cell>
          <cell r="V446" t="str">
            <v>CNY</v>
          </cell>
          <cell r="W446">
            <v>5000</v>
          </cell>
          <cell r="X446">
            <v>5000</v>
          </cell>
        </row>
        <row r="447">
          <cell r="D447">
            <v>10100015676</v>
          </cell>
          <cell r="E447" t="str">
            <v>厚膜贴片电阻器</v>
          </cell>
          <cell r="F447">
            <v>10010302</v>
          </cell>
          <cell r="G447" t="str">
            <v>ROYA\RES 5.6K F 1/16W 0402</v>
          </cell>
          <cell r="H447" t="str">
            <v>ROYALOHM(厚声)</v>
          </cell>
          <cell r="I447" t="str">
            <v>0402WGF5601TCE</v>
          </cell>
          <cell r="J447">
            <v>100003</v>
          </cell>
          <cell r="K447" t="str">
            <v>厚声国际贸易（昆山）有限公司</v>
          </cell>
          <cell r="L447" t="str">
            <v>X</v>
          </cell>
          <cell r="M447" t="str">
            <v/>
          </cell>
          <cell r="N447">
            <v>1</v>
          </cell>
          <cell r="O447">
            <v>1.09E-3</v>
          </cell>
          <cell r="P447">
            <v>1.0900000000000001</v>
          </cell>
          <cell r="Q447">
            <v>1.0900000000000001</v>
          </cell>
          <cell r="R447">
            <v>1000</v>
          </cell>
          <cell r="S447" t="str">
            <v>PCS</v>
          </cell>
          <cell r="T447">
            <v>56</v>
          </cell>
          <cell r="U447" t="str">
            <v>J3</v>
          </cell>
          <cell r="V447" t="str">
            <v>CNY</v>
          </cell>
          <cell r="W447">
            <v>10000</v>
          </cell>
          <cell r="X447">
            <v>10000</v>
          </cell>
        </row>
        <row r="448">
          <cell r="D448">
            <v>10100017206</v>
          </cell>
          <cell r="E448" t="str">
            <v>厚膜贴片电阻器</v>
          </cell>
          <cell r="F448">
            <v>10010302</v>
          </cell>
          <cell r="G448" t="str">
            <v>ROYA\RES 300K F 1/4W 1206</v>
          </cell>
          <cell r="H448" t="str">
            <v>ROYALOHM(厚声)</v>
          </cell>
          <cell r="I448" t="str">
            <v>1206W4F3003T5E</v>
          </cell>
          <cell r="J448">
            <v>100003</v>
          </cell>
          <cell r="K448" t="str">
            <v>厚声国际贸易（昆山）有限公司</v>
          </cell>
          <cell r="L448" t="str">
            <v>X</v>
          </cell>
          <cell r="M448" t="str">
            <v/>
          </cell>
          <cell r="N448">
            <v>1</v>
          </cell>
          <cell r="O448">
            <v>6.7799999999999996E-3</v>
          </cell>
          <cell r="P448">
            <v>6.78</v>
          </cell>
          <cell r="Q448">
            <v>6.78</v>
          </cell>
          <cell r="R448">
            <v>1000</v>
          </cell>
          <cell r="S448" t="str">
            <v>PCS</v>
          </cell>
          <cell r="T448">
            <v>56</v>
          </cell>
          <cell r="U448" t="str">
            <v>J3</v>
          </cell>
          <cell r="V448" t="str">
            <v>CNY</v>
          </cell>
          <cell r="W448">
            <v>5000</v>
          </cell>
          <cell r="X448">
            <v>5000</v>
          </cell>
        </row>
        <row r="449">
          <cell r="D449">
            <v>10100017335</v>
          </cell>
          <cell r="E449" t="str">
            <v>厚膜贴片电阻器</v>
          </cell>
          <cell r="F449">
            <v>10010302</v>
          </cell>
          <cell r="G449" t="str">
            <v>ROYA\RES 22K F 1/16W 0402</v>
          </cell>
          <cell r="H449" t="str">
            <v>ROYALOHM(厚声)</v>
          </cell>
          <cell r="I449" t="str">
            <v>0402WGF2202TCE</v>
          </cell>
          <cell r="J449">
            <v>100003</v>
          </cell>
          <cell r="K449" t="str">
            <v>厚声国际贸易（昆山）有限公司</v>
          </cell>
          <cell r="L449" t="str">
            <v>X</v>
          </cell>
          <cell r="M449" t="str">
            <v/>
          </cell>
          <cell r="N449">
            <v>1</v>
          </cell>
          <cell r="O449">
            <v>1.09E-3</v>
          </cell>
          <cell r="P449">
            <v>1.0900000000000001</v>
          </cell>
          <cell r="Q449">
            <v>1.0900000000000001</v>
          </cell>
          <cell r="R449">
            <v>1000</v>
          </cell>
          <cell r="S449" t="str">
            <v>PCS</v>
          </cell>
          <cell r="T449">
            <v>56</v>
          </cell>
          <cell r="U449" t="str">
            <v>J3</v>
          </cell>
          <cell r="V449" t="str">
            <v>CNY</v>
          </cell>
          <cell r="W449">
            <v>10000</v>
          </cell>
          <cell r="X449">
            <v>10000</v>
          </cell>
        </row>
        <row r="450">
          <cell r="D450">
            <v>10100017409</v>
          </cell>
          <cell r="E450" t="str">
            <v>厚膜贴片电阻器</v>
          </cell>
          <cell r="F450">
            <v>10010302</v>
          </cell>
          <cell r="G450" t="str">
            <v>HKR\RES 100R F 1/4W 1206</v>
          </cell>
          <cell r="H450" t="str">
            <v>HKR(香港电阻)</v>
          </cell>
          <cell r="I450" t="str">
            <v>RCT06100RFLF</v>
          </cell>
          <cell r="J450">
            <v>100293</v>
          </cell>
          <cell r="K450" t="str">
            <v>恒辉电阻（益阳）有限公司</v>
          </cell>
          <cell r="L450" t="str">
            <v>X</v>
          </cell>
          <cell r="M450" t="str">
            <v/>
          </cell>
          <cell r="N450">
            <v>1</v>
          </cell>
          <cell r="O450">
            <v>5.5999999999999999E-3</v>
          </cell>
          <cell r="P450">
            <v>5.6</v>
          </cell>
          <cell r="Q450">
            <v>5.6</v>
          </cell>
          <cell r="R450">
            <v>1000</v>
          </cell>
          <cell r="S450" t="str">
            <v>PCS</v>
          </cell>
          <cell r="T450">
            <v>56</v>
          </cell>
          <cell r="U450" t="str">
            <v>J3</v>
          </cell>
          <cell r="V450" t="str">
            <v>CNY</v>
          </cell>
          <cell r="W450">
            <v>5000</v>
          </cell>
          <cell r="X450">
            <v>5000</v>
          </cell>
        </row>
        <row r="451">
          <cell r="D451">
            <v>10100017616</v>
          </cell>
          <cell r="E451" t="str">
            <v>厚膜贴片电阻器</v>
          </cell>
          <cell r="F451">
            <v>10010302</v>
          </cell>
          <cell r="G451" t="str">
            <v>HKR\RES 100R F 1/16W 0402</v>
          </cell>
          <cell r="H451" t="str">
            <v>HKR(香港电阻)</v>
          </cell>
          <cell r="I451" t="str">
            <v>RCT02100RFLF</v>
          </cell>
          <cell r="J451">
            <v>100293</v>
          </cell>
          <cell r="K451" t="str">
            <v>恒辉电阻（益阳）有限公司</v>
          </cell>
          <cell r="L451" t="str">
            <v>X</v>
          </cell>
          <cell r="M451" t="str">
            <v/>
          </cell>
          <cell r="N451">
            <v>1</v>
          </cell>
          <cell r="O451">
            <v>9.7999999999999997E-4</v>
          </cell>
          <cell r="P451">
            <v>0.98</v>
          </cell>
          <cell r="Q451">
            <v>0.98</v>
          </cell>
          <cell r="R451">
            <v>1000</v>
          </cell>
          <cell r="S451" t="str">
            <v>PCS</v>
          </cell>
          <cell r="T451">
            <v>56</v>
          </cell>
          <cell r="U451" t="str">
            <v>J3</v>
          </cell>
          <cell r="V451" t="str">
            <v>CNY</v>
          </cell>
          <cell r="W451">
            <v>10000</v>
          </cell>
          <cell r="X451">
            <v>10000</v>
          </cell>
        </row>
        <row r="452">
          <cell r="D452">
            <v>10100017618</v>
          </cell>
          <cell r="E452" t="str">
            <v>厚膜贴片电阻器</v>
          </cell>
          <cell r="F452">
            <v>10010302</v>
          </cell>
          <cell r="G452" t="str">
            <v>HKR\RES 10K F 1/16W 0402</v>
          </cell>
          <cell r="H452" t="str">
            <v>HKR(香港电阻)</v>
          </cell>
          <cell r="I452" t="str">
            <v>RCT0210KFLF</v>
          </cell>
          <cell r="J452">
            <v>100293</v>
          </cell>
          <cell r="K452" t="str">
            <v>恒辉电阻（益阳）有限公司</v>
          </cell>
          <cell r="L452" t="str">
            <v>X</v>
          </cell>
          <cell r="M452" t="str">
            <v/>
          </cell>
          <cell r="N452">
            <v>1</v>
          </cell>
          <cell r="O452">
            <v>9.7999999999999997E-4</v>
          </cell>
          <cell r="P452">
            <v>0.98</v>
          </cell>
          <cell r="Q452">
            <v>0.98</v>
          </cell>
          <cell r="R452">
            <v>1000</v>
          </cell>
          <cell r="S452" t="str">
            <v>PCS</v>
          </cell>
          <cell r="T452">
            <v>56</v>
          </cell>
          <cell r="U452" t="str">
            <v>J3</v>
          </cell>
          <cell r="V452" t="str">
            <v>CNY</v>
          </cell>
          <cell r="W452">
            <v>10000</v>
          </cell>
          <cell r="X452">
            <v>10000</v>
          </cell>
        </row>
        <row r="453">
          <cell r="D453">
            <v>10100017642</v>
          </cell>
          <cell r="E453" t="str">
            <v>厚膜贴片电阻器</v>
          </cell>
          <cell r="F453">
            <v>10010302</v>
          </cell>
          <cell r="G453" t="str">
            <v>HKR\RES 1K F 1/16W 0402</v>
          </cell>
          <cell r="H453" t="str">
            <v>HKR(香港电阻)</v>
          </cell>
          <cell r="I453" t="str">
            <v>RCT021KFLF</v>
          </cell>
          <cell r="J453">
            <v>100293</v>
          </cell>
          <cell r="K453" t="str">
            <v>恒辉电阻（益阳）有限公司</v>
          </cell>
          <cell r="L453" t="str">
            <v>X</v>
          </cell>
          <cell r="M453" t="str">
            <v/>
          </cell>
          <cell r="N453">
            <v>1</v>
          </cell>
          <cell r="O453">
            <v>9.7999999999999997E-4</v>
          </cell>
          <cell r="P453">
            <v>0.98</v>
          </cell>
          <cell r="Q453">
            <v>0.98</v>
          </cell>
          <cell r="R453">
            <v>1000</v>
          </cell>
          <cell r="S453" t="str">
            <v>PCS</v>
          </cell>
          <cell r="T453">
            <v>56</v>
          </cell>
          <cell r="U453" t="str">
            <v>J3</v>
          </cell>
          <cell r="V453" t="str">
            <v>CNY</v>
          </cell>
          <cell r="W453">
            <v>10000</v>
          </cell>
          <cell r="X453">
            <v>10000</v>
          </cell>
        </row>
        <row r="454">
          <cell r="D454">
            <v>10100017664</v>
          </cell>
          <cell r="E454" t="str">
            <v>厚膜贴片电阻器</v>
          </cell>
          <cell r="F454">
            <v>10010302</v>
          </cell>
          <cell r="G454" t="str">
            <v>HKR\RES 22K F 1/16W 0402</v>
          </cell>
          <cell r="H454" t="str">
            <v>HKR(香港电阻)</v>
          </cell>
          <cell r="I454" t="str">
            <v>RCT0222KFLF</v>
          </cell>
          <cell r="J454">
            <v>100293</v>
          </cell>
          <cell r="K454" t="str">
            <v>恒辉电阻（益阳）有限公司</v>
          </cell>
          <cell r="L454" t="str">
            <v>X</v>
          </cell>
          <cell r="M454" t="str">
            <v/>
          </cell>
          <cell r="N454">
            <v>1</v>
          </cell>
          <cell r="O454">
            <v>9.7999999999999997E-4</v>
          </cell>
          <cell r="P454">
            <v>0.98</v>
          </cell>
          <cell r="Q454">
            <v>0.98</v>
          </cell>
          <cell r="R454">
            <v>1000</v>
          </cell>
          <cell r="S454" t="str">
            <v>PCS</v>
          </cell>
          <cell r="T454">
            <v>56</v>
          </cell>
          <cell r="U454" t="str">
            <v>J3</v>
          </cell>
          <cell r="V454" t="str">
            <v>CNY</v>
          </cell>
          <cell r="W454">
            <v>10000</v>
          </cell>
          <cell r="X454">
            <v>10000</v>
          </cell>
        </row>
        <row r="455">
          <cell r="D455">
            <v>10100017738</v>
          </cell>
          <cell r="E455" t="str">
            <v>厚膜贴片电阻器</v>
          </cell>
          <cell r="F455">
            <v>10010302</v>
          </cell>
          <cell r="G455" t="str">
            <v>HKR\RES 5.1K F 1/16W 0402</v>
          </cell>
          <cell r="H455" t="str">
            <v>HKR(香港电阻)</v>
          </cell>
          <cell r="I455" t="str">
            <v>RCT025K1FLF</v>
          </cell>
          <cell r="J455">
            <v>100293</v>
          </cell>
          <cell r="K455" t="str">
            <v>恒辉电阻（益阳）有限公司</v>
          </cell>
          <cell r="L455" t="str">
            <v>X</v>
          </cell>
          <cell r="M455" t="str">
            <v/>
          </cell>
          <cell r="N455">
            <v>1</v>
          </cell>
          <cell r="O455">
            <v>9.7999999999999997E-4</v>
          </cell>
          <cell r="P455">
            <v>0.98</v>
          </cell>
          <cell r="Q455">
            <v>0.98</v>
          </cell>
          <cell r="R455">
            <v>1000</v>
          </cell>
          <cell r="S455" t="str">
            <v>PCS</v>
          </cell>
          <cell r="T455">
            <v>56</v>
          </cell>
          <cell r="U455" t="str">
            <v>J3</v>
          </cell>
          <cell r="V455" t="str">
            <v>CNY</v>
          </cell>
          <cell r="W455">
            <v>10000</v>
          </cell>
          <cell r="X455">
            <v>10000</v>
          </cell>
        </row>
        <row r="456">
          <cell r="D456">
            <v>10100017881</v>
          </cell>
          <cell r="E456" t="str">
            <v>厚膜贴片电阻器</v>
          </cell>
          <cell r="F456">
            <v>10010302</v>
          </cell>
          <cell r="G456" t="str">
            <v>HKR\RES 2.2K F 1/10W 0603</v>
          </cell>
          <cell r="H456" t="str">
            <v>HKR(香港电阻)</v>
          </cell>
          <cell r="I456" t="str">
            <v>RCT032K2FLF</v>
          </cell>
          <cell r="J456">
            <v>100293</v>
          </cell>
          <cell r="K456" t="str">
            <v>恒辉电阻（益阳）有限公司</v>
          </cell>
          <cell r="L456" t="str">
            <v>X</v>
          </cell>
          <cell r="M456" t="str">
            <v/>
          </cell>
          <cell r="N456">
            <v>1</v>
          </cell>
          <cell r="O456">
            <v>1.8500000000000001E-3</v>
          </cell>
          <cell r="P456">
            <v>1.85</v>
          </cell>
          <cell r="Q456">
            <v>1.85</v>
          </cell>
          <cell r="R456">
            <v>1000</v>
          </cell>
          <cell r="S456" t="str">
            <v>PCS</v>
          </cell>
          <cell r="T456">
            <v>42</v>
          </cell>
          <cell r="U456" t="str">
            <v>J3</v>
          </cell>
          <cell r="V456" t="str">
            <v>CNY</v>
          </cell>
          <cell r="W456">
            <v>5000</v>
          </cell>
          <cell r="X456">
            <v>5000</v>
          </cell>
        </row>
        <row r="457">
          <cell r="D457">
            <v>10100017970</v>
          </cell>
          <cell r="E457" t="str">
            <v>厚膜贴片电阻器</v>
          </cell>
          <cell r="F457">
            <v>10010302</v>
          </cell>
          <cell r="G457" t="str">
            <v>HKR\RES 4.7K F 1/10W 0603</v>
          </cell>
          <cell r="H457" t="str">
            <v>HKR(香港电阻)</v>
          </cell>
          <cell r="I457" t="str">
            <v>RCT034K7FLF</v>
          </cell>
          <cell r="J457">
            <v>100293</v>
          </cell>
          <cell r="K457" t="str">
            <v>恒辉电阻（益阳）有限公司</v>
          </cell>
          <cell r="L457" t="str">
            <v>X</v>
          </cell>
          <cell r="M457" t="str">
            <v/>
          </cell>
          <cell r="N457">
            <v>1</v>
          </cell>
          <cell r="O457">
            <v>1.8500000000000001E-3</v>
          </cell>
          <cell r="P457">
            <v>1.85</v>
          </cell>
          <cell r="Q457">
            <v>1.85</v>
          </cell>
          <cell r="R457">
            <v>1000</v>
          </cell>
          <cell r="S457" t="str">
            <v>PCS</v>
          </cell>
          <cell r="T457">
            <v>42</v>
          </cell>
          <cell r="U457" t="str">
            <v>J3</v>
          </cell>
          <cell r="V457" t="str">
            <v>CNY</v>
          </cell>
          <cell r="W457">
            <v>5000</v>
          </cell>
          <cell r="X457">
            <v>5000</v>
          </cell>
        </row>
        <row r="458">
          <cell r="D458">
            <v>10100018109</v>
          </cell>
          <cell r="E458" t="str">
            <v>厚膜贴片电阻器</v>
          </cell>
          <cell r="F458">
            <v>10010302</v>
          </cell>
          <cell r="G458" t="str">
            <v>HKR\RES 1K F 1/8W 0805</v>
          </cell>
          <cell r="H458" t="str">
            <v>HKR(香港电阻)</v>
          </cell>
          <cell r="I458" t="str">
            <v>RCT051KFLF</v>
          </cell>
          <cell r="J458">
            <v>100293</v>
          </cell>
          <cell r="K458" t="str">
            <v>恒辉电阻（益阳）有限公司</v>
          </cell>
          <cell r="L458" t="str">
            <v>X</v>
          </cell>
          <cell r="M458" t="str">
            <v/>
          </cell>
          <cell r="N458">
            <v>1</v>
          </cell>
          <cell r="O458">
            <v>3.3500000000000001E-3</v>
          </cell>
          <cell r="P458">
            <v>3.35</v>
          </cell>
          <cell r="Q458">
            <v>3.35</v>
          </cell>
          <cell r="R458">
            <v>1000</v>
          </cell>
          <cell r="S458" t="str">
            <v>PCS</v>
          </cell>
          <cell r="T458">
            <v>42</v>
          </cell>
          <cell r="U458" t="str">
            <v>J3</v>
          </cell>
          <cell r="V458" t="str">
            <v>CNY</v>
          </cell>
          <cell r="W458">
            <v>5000</v>
          </cell>
          <cell r="X458">
            <v>5000</v>
          </cell>
        </row>
        <row r="459">
          <cell r="D459">
            <v>10100018253</v>
          </cell>
          <cell r="E459" t="str">
            <v>厚膜贴片电阻器</v>
          </cell>
          <cell r="F459">
            <v>10010302</v>
          </cell>
          <cell r="G459" t="str">
            <v>HKR\RES 5.1K F 1/8W 0805</v>
          </cell>
          <cell r="H459" t="str">
            <v>HKR(香港电阻)</v>
          </cell>
          <cell r="I459" t="str">
            <v>RCT055K1FLF</v>
          </cell>
          <cell r="J459">
            <v>100293</v>
          </cell>
          <cell r="K459" t="str">
            <v>恒辉电阻（益阳）有限公司</v>
          </cell>
          <cell r="L459" t="str">
            <v>X</v>
          </cell>
          <cell r="M459" t="str">
            <v/>
          </cell>
          <cell r="N459">
            <v>1</v>
          </cell>
          <cell r="O459">
            <v>3.3500000000000001E-3</v>
          </cell>
          <cell r="P459">
            <v>3.35</v>
          </cell>
          <cell r="Q459">
            <v>3.35</v>
          </cell>
          <cell r="R459">
            <v>1000</v>
          </cell>
          <cell r="S459" t="str">
            <v>PCS</v>
          </cell>
          <cell r="T459">
            <v>42</v>
          </cell>
          <cell r="U459" t="str">
            <v>J3</v>
          </cell>
          <cell r="V459" t="str">
            <v>CNY</v>
          </cell>
          <cell r="W459">
            <v>5000</v>
          </cell>
          <cell r="X459">
            <v>5000</v>
          </cell>
        </row>
        <row r="460">
          <cell r="D460">
            <v>10100018399</v>
          </cell>
          <cell r="E460" t="str">
            <v>厚膜贴片电阻器</v>
          </cell>
          <cell r="F460">
            <v>10010302</v>
          </cell>
          <cell r="G460" t="str">
            <v>HKR\RES 390R F 1/16W 0402</v>
          </cell>
          <cell r="H460" t="str">
            <v>HKR(香港电阻)</v>
          </cell>
          <cell r="I460" t="str">
            <v>RCT02390RFLF</v>
          </cell>
          <cell r="J460">
            <v>100293</v>
          </cell>
          <cell r="K460" t="str">
            <v>恒辉电阻（益阳）有限公司</v>
          </cell>
          <cell r="L460" t="str">
            <v>X</v>
          </cell>
          <cell r="M460" t="str">
            <v/>
          </cell>
          <cell r="N460">
            <v>1</v>
          </cell>
          <cell r="O460">
            <v>9.7999999999999997E-4</v>
          </cell>
          <cell r="P460">
            <v>0.98</v>
          </cell>
          <cell r="Q460">
            <v>0.98</v>
          </cell>
          <cell r="R460">
            <v>1000</v>
          </cell>
          <cell r="S460" t="str">
            <v>PCS</v>
          </cell>
          <cell r="T460">
            <v>42</v>
          </cell>
          <cell r="U460" t="str">
            <v>J3</v>
          </cell>
          <cell r="V460" t="str">
            <v>CNY</v>
          </cell>
          <cell r="W460">
            <v>10000</v>
          </cell>
          <cell r="X460">
            <v>10000</v>
          </cell>
        </row>
        <row r="461">
          <cell r="D461">
            <v>10100019075</v>
          </cell>
          <cell r="E461" t="str">
            <v>厚膜贴片电阻器</v>
          </cell>
          <cell r="F461">
            <v>10010302</v>
          </cell>
          <cell r="G461" t="str">
            <v>ROYA\RES 390R F 1/16W 0402</v>
          </cell>
          <cell r="H461" t="str">
            <v>ROYALOHM(厚声)</v>
          </cell>
          <cell r="I461" t="str">
            <v>0402WGF3900TCE</v>
          </cell>
          <cell r="J461">
            <v>100003</v>
          </cell>
          <cell r="K461" t="str">
            <v>厚声国际贸易（昆山）有限公司</v>
          </cell>
          <cell r="L461" t="str">
            <v>X</v>
          </cell>
          <cell r="M461" t="str">
            <v/>
          </cell>
          <cell r="N461">
            <v>1</v>
          </cell>
          <cell r="O461">
            <v>1.09E-3</v>
          </cell>
          <cell r="P461">
            <v>1.0900000000000001</v>
          </cell>
          <cell r="Q461">
            <v>1.0900000000000001</v>
          </cell>
          <cell r="R461">
            <v>1000</v>
          </cell>
          <cell r="S461" t="str">
            <v>PCS</v>
          </cell>
          <cell r="T461">
            <v>56</v>
          </cell>
          <cell r="U461" t="str">
            <v>J3</v>
          </cell>
          <cell r="V461" t="str">
            <v>CNY</v>
          </cell>
          <cell r="W461">
            <v>10000</v>
          </cell>
          <cell r="X461">
            <v>10000</v>
          </cell>
        </row>
        <row r="462">
          <cell r="D462">
            <v>10100019134</v>
          </cell>
          <cell r="E462" t="str">
            <v>厚膜贴片电阻器</v>
          </cell>
          <cell r="F462">
            <v>10010302</v>
          </cell>
          <cell r="G462" t="str">
            <v>HKR\RES 11K F 1/16W 0402</v>
          </cell>
          <cell r="H462" t="str">
            <v>HKR(香港电阻)</v>
          </cell>
          <cell r="I462" t="str">
            <v>RCT0211KFLF</v>
          </cell>
          <cell r="J462">
            <v>100293</v>
          </cell>
          <cell r="K462" t="str">
            <v>恒辉电阻（益阳）有限公司</v>
          </cell>
          <cell r="L462" t="str">
            <v>X</v>
          </cell>
          <cell r="M462" t="str">
            <v/>
          </cell>
          <cell r="N462">
            <v>1</v>
          </cell>
          <cell r="O462">
            <v>9.7999999999999997E-4</v>
          </cell>
          <cell r="P462">
            <v>0.98</v>
          </cell>
          <cell r="Q462">
            <v>0.98</v>
          </cell>
          <cell r="R462">
            <v>1000</v>
          </cell>
          <cell r="S462" t="str">
            <v>PCS</v>
          </cell>
          <cell r="T462">
            <v>42</v>
          </cell>
          <cell r="U462" t="str">
            <v>J3</v>
          </cell>
          <cell r="V462" t="str">
            <v>CNY</v>
          </cell>
          <cell r="W462">
            <v>10000</v>
          </cell>
          <cell r="X462">
            <v>10000</v>
          </cell>
        </row>
        <row r="463">
          <cell r="D463">
            <v>10100022516</v>
          </cell>
          <cell r="E463" t="str">
            <v>厚膜贴片电阻器</v>
          </cell>
          <cell r="F463">
            <v>10010302</v>
          </cell>
          <cell r="G463" t="str">
            <v>ROYA\RES 11K F 1/16W 0402</v>
          </cell>
          <cell r="H463" t="str">
            <v>ROYALOHM(厚声)</v>
          </cell>
          <cell r="I463" t="str">
            <v>0402WGF1102TCE</v>
          </cell>
          <cell r="J463">
            <v>100003</v>
          </cell>
          <cell r="K463" t="str">
            <v>厚声国际贸易（昆山）有限公司</v>
          </cell>
          <cell r="L463" t="str">
            <v>X</v>
          </cell>
          <cell r="M463" t="str">
            <v/>
          </cell>
          <cell r="N463">
            <v>1</v>
          </cell>
          <cell r="O463">
            <v>1.09E-3</v>
          </cell>
          <cell r="P463">
            <v>1.0900000000000001</v>
          </cell>
          <cell r="Q463">
            <v>1.0900000000000001</v>
          </cell>
          <cell r="R463">
            <v>1000</v>
          </cell>
          <cell r="S463" t="str">
            <v>PCS</v>
          </cell>
          <cell r="T463">
            <v>56</v>
          </cell>
          <cell r="U463" t="str">
            <v>J3</v>
          </cell>
          <cell r="V463" t="str">
            <v>CNY</v>
          </cell>
          <cell r="W463">
            <v>10000</v>
          </cell>
          <cell r="X463">
            <v>10000</v>
          </cell>
        </row>
        <row r="464">
          <cell r="D464">
            <v>10100024100</v>
          </cell>
          <cell r="E464" t="str">
            <v>厚膜贴片电阻器</v>
          </cell>
          <cell r="F464">
            <v>10010302</v>
          </cell>
          <cell r="G464" t="str">
            <v>FH\RES 0R R&lt;10mR 1/10W 0603 1A</v>
          </cell>
          <cell r="H464" t="str">
            <v>FH(风华)</v>
          </cell>
          <cell r="I464" t="str">
            <v>RS-03000FT</v>
          </cell>
          <cell r="J464">
            <v>100654</v>
          </cell>
          <cell r="K464" t="str">
            <v>广东风华高新科技股份有限公司</v>
          </cell>
          <cell r="L464" t="str">
            <v>X</v>
          </cell>
          <cell r="M464" t="str">
            <v/>
          </cell>
          <cell r="N464">
            <v>1</v>
          </cell>
          <cell r="O464">
            <v>2.0799999999999998E-3</v>
          </cell>
          <cell r="P464">
            <v>2.08</v>
          </cell>
          <cell r="Q464">
            <v>2.08</v>
          </cell>
          <cell r="R464">
            <v>1000</v>
          </cell>
          <cell r="S464" t="str">
            <v>PCS</v>
          </cell>
          <cell r="T464">
            <v>56</v>
          </cell>
          <cell r="U464" t="str">
            <v>J3</v>
          </cell>
          <cell r="V464" t="str">
            <v>CNY</v>
          </cell>
          <cell r="W464">
            <v>5000</v>
          </cell>
          <cell r="X464">
            <v>5000</v>
          </cell>
        </row>
        <row r="465">
          <cell r="D465">
            <v>10100026554</v>
          </cell>
          <cell r="E465" t="str">
            <v>厚膜贴片电阻器</v>
          </cell>
          <cell r="F465">
            <v>10010302</v>
          </cell>
          <cell r="G465" t="str">
            <v>FH\RES 300K F 1/4W 1206</v>
          </cell>
          <cell r="H465" t="str">
            <v>FH(风华)</v>
          </cell>
          <cell r="I465" t="str">
            <v>RS-06K3003FT</v>
          </cell>
          <cell r="J465">
            <v>100654</v>
          </cell>
          <cell r="K465" t="str">
            <v>广东风华高新科技股份有限公司</v>
          </cell>
          <cell r="L465" t="str">
            <v>X</v>
          </cell>
          <cell r="M465" t="str">
            <v/>
          </cell>
          <cell r="N465">
            <v>1</v>
          </cell>
          <cell r="O465">
            <v>6.4999999999999997E-3</v>
          </cell>
          <cell r="P465">
            <v>6.5</v>
          </cell>
          <cell r="Q465">
            <v>6.5</v>
          </cell>
          <cell r="R465">
            <v>1000</v>
          </cell>
          <cell r="S465" t="str">
            <v>PCS</v>
          </cell>
          <cell r="T465">
            <v>56</v>
          </cell>
          <cell r="U465" t="str">
            <v>J3</v>
          </cell>
          <cell r="V465" t="str">
            <v>CNY</v>
          </cell>
          <cell r="W465">
            <v>5000</v>
          </cell>
          <cell r="X465">
            <v>5000</v>
          </cell>
        </row>
        <row r="466">
          <cell r="D466">
            <v>10110003896</v>
          </cell>
          <cell r="E466" t="str">
            <v>贴片陶瓷电容器</v>
          </cell>
          <cell r="F466">
            <v>11060201</v>
          </cell>
          <cell r="G466" t="str">
            <v>YAGEO\CAP Cer 1nF K X7R 50VDC 0402</v>
          </cell>
          <cell r="H466" t="str">
            <v>YAGEO(国巨)</v>
          </cell>
          <cell r="I466" t="str">
            <v>CC0402KRX7R9BB102</v>
          </cell>
          <cell r="J466">
            <v>101566</v>
          </cell>
          <cell r="K466" t="str">
            <v>深圳市兴鸿宇科技有限公司</v>
          </cell>
          <cell r="L466" t="str">
            <v>X</v>
          </cell>
          <cell r="M466" t="str">
            <v/>
          </cell>
          <cell r="N466">
            <v>1</v>
          </cell>
          <cell r="O466">
            <v>2.3E-3</v>
          </cell>
          <cell r="P466">
            <v>2.2999999999999998</v>
          </cell>
          <cell r="Q466">
            <v>2.2999999999999998</v>
          </cell>
          <cell r="R466">
            <v>1000</v>
          </cell>
          <cell r="S466" t="str">
            <v>PCS</v>
          </cell>
          <cell r="T466">
            <v>56</v>
          </cell>
          <cell r="U466" t="str">
            <v>J3</v>
          </cell>
          <cell r="V466" t="str">
            <v>CNY</v>
          </cell>
          <cell r="W466">
            <v>10000</v>
          </cell>
          <cell r="X466">
            <v>10000</v>
          </cell>
        </row>
        <row r="467">
          <cell r="D467">
            <v>10110003897</v>
          </cell>
          <cell r="E467" t="str">
            <v>贴片陶瓷电容器</v>
          </cell>
          <cell r="F467">
            <v>11060201</v>
          </cell>
          <cell r="G467" t="str">
            <v>YAGEO\CAP Cer 10nF K X7R 50VDC 0402</v>
          </cell>
          <cell r="H467" t="str">
            <v>YAGEO(国巨)</v>
          </cell>
          <cell r="I467" t="str">
            <v>CC0402KRX7R9BB103</v>
          </cell>
          <cell r="J467">
            <v>101553</v>
          </cell>
          <cell r="K467" t="str">
            <v>深圳市奥特高科电子有限公司</v>
          </cell>
          <cell r="L467" t="str">
            <v>X</v>
          </cell>
          <cell r="M467" t="str">
            <v/>
          </cell>
          <cell r="N467">
            <v>1</v>
          </cell>
          <cell r="O467">
            <v>2.2000000000000001E-3</v>
          </cell>
          <cell r="P467">
            <v>2.2000000000000002</v>
          </cell>
          <cell r="Q467">
            <v>2.2000000000000002</v>
          </cell>
          <cell r="R467">
            <v>1000</v>
          </cell>
          <cell r="S467" t="str">
            <v>PCS</v>
          </cell>
          <cell r="T467">
            <v>56</v>
          </cell>
          <cell r="U467" t="str">
            <v>J3</v>
          </cell>
          <cell r="V467" t="str">
            <v>CNY</v>
          </cell>
          <cell r="W467">
            <v>10000</v>
          </cell>
          <cell r="X467">
            <v>10000</v>
          </cell>
        </row>
        <row r="468">
          <cell r="D468">
            <v>10110004676</v>
          </cell>
          <cell r="E468" t="str">
            <v>贴片陶瓷电容器</v>
          </cell>
          <cell r="F468">
            <v>11060201</v>
          </cell>
          <cell r="G468" t="str">
            <v>WALS\CAP Cer 10nF K X7R 50VDC 0402</v>
          </cell>
          <cell r="H468" t="str">
            <v>WALS(华科)</v>
          </cell>
          <cell r="I468" t="str">
            <v>0402B103K500CT</v>
          </cell>
          <cell r="J468">
            <v>100131</v>
          </cell>
          <cell r="K468" t="str">
            <v>东莞华科电子有限公司</v>
          </cell>
          <cell r="L468" t="str">
            <v>X</v>
          </cell>
          <cell r="M468" t="str">
            <v/>
          </cell>
          <cell r="N468">
            <v>1</v>
          </cell>
          <cell r="O468">
            <v>1.98E-3</v>
          </cell>
          <cell r="P468">
            <v>1.98</v>
          </cell>
          <cell r="Q468">
            <v>1.98</v>
          </cell>
          <cell r="R468">
            <v>1000</v>
          </cell>
          <cell r="S468" t="str">
            <v>PCS</v>
          </cell>
          <cell r="T468">
            <v>56</v>
          </cell>
          <cell r="U468" t="str">
            <v>J3</v>
          </cell>
          <cell r="V468" t="str">
            <v>CNY</v>
          </cell>
          <cell r="W468">
            <v>10000</v>
          </cell>
          <cell r="X468">
            <v>10000</v>
          </cell>
        </row>
        <row r="469">
          <cell r="D469">
            <v>10110005378</v>
          </cell>
          <cell r="E469" t="str">
            <v>贴片陶瓷电容器</v>
          </cell>
          <cell r="F469">
            <v>11060201</v>
          </cell>
          <cell r="G469" t="str">
            <v>YAGEO\CAP Cer 100pF K X7R 50VDC 0402</v>
          </cell>
          <cell r="H469" t="str">
            <v>YAGEO(国巨)</v>
          </cell>
          <cell r="I469" t="str">
            <v>CC0402KRX7R9BB101</v>
          </cell>
          <cell r="J469">
            <v>100621</v>
          </cell>
          <cell r="K469" t="str">
            <v>深圳市吉利通电子有限公司</v>
          </cell>
          <cell r="L469" t="str">
            <v>X</v>
          </cell>
          <cell r="M469" t="str">
            <v/>
          </cell>
          <cell r="N469">
            <v>1</v>
          </cell>
          <cell r="O469">
            <v>2.3999999999999998E-3</v>
          </cell>
          <cell r="P469">
            <v>2.4</v>
          </cell>
          <cell r="Q469">
            <v>2.4</v>
          </cell>
          <cell r="R469">
            <v>1000</v>
          </cell>
          <cell r="S469" t="str">
            <v>PCS</v>
          </cell>
          <cell r="T469">
            <v>56</v>
          </cell>
          <cell r="U469" t="str">
            <v>J3</v>
          </cell>
          <cell r="V469" t="str">
            <v>CNY</v>
          </cell>
          <cell r="W469">
            <v>10000</v>
          </cell>
          <cell r="X469">
            <v>10000</v>
          </cell>
        </row>
        <row r="470">
          <cell r="D470">
            <v>10110005817</v>
          </cell>
          <cell r="E470" t="str">
            <v>贴片陶瓷电容器</v>
          </cell>
          <cell r="F470">
            <v>11060201</v>
          </cell>
          <cell r="G470" t="str">
            <v>WALS\CAP Cer 1nF K X7R 50VDC 0402</v>
          </cell>
          <cell r="H470" t="str">
            <v>WALS(华科)</v>
          </cell>
          <cell r="I470" t="str">
            <v>0402B102K500CT</v>
          </cell>
          <cell r="J470">
            <v>100131</v>
          </cell>
          <cell r="K470" t="str">
            <v>东莞华科电子有限公司</v>
          </cell>
          <cell r="L470" t="str">
            <v>X</v>
          </cell>
          <cell r="M470" t="str">
            <v/>
          </cell>
          <cell r="N470">
            <v>1</v>
          </cell>
          <cell r="O470">
            <v>1.98E-3</v>
          </cell>
          <cell r="P470">
            <v>1.98</v>
          </cell>
          <cell r="Q470">
            <v>1.98</v>
          </cell>
          <cell r="R470">
            <v>1000</v>
          </cell>
          <cell r="S470" t="str">
            <v>PCS</v>
          </cell>
          <cell r="T470">
            <v>56</v>
          </cell>
          <cell r="U470" t="str">
            <v>J3</v>
          </cell>
          <cell r="V470" t="str">
            <v>CNY</v>
          </cell>
          <cell r="W470">
            <v>10000</v>
          </cell>
          <cell r="X470">
            <v>10000</v>
          </cell>
        </row>
        <row r="471">
          <cell r="D471">
            <v>10110006771</v>
          </cell>
          <cell r="E471" t="str">
            <v>贴片陶瓷电容器</v>
          </cell>
          <cell r="F471">
            <v>11060201</v>
          </cell>
          <cell r="G471" t="str">
            <v>YAGEO\CAP Cer 100nF K X7R 50VDC 0402</v>
          </cell>
          <cell r="H471" t="str">
            <v>YAGEO(国巨)</v>
          </cell>
          <cell r="I471" t="str">
            <v>CC0402KRX7R9BB104</v>
          </cell>
          <cell r="J471">
            <v>101566</v>
          </cell>
          <cell r="K471" t="str">
            <v>深圳市兴鸿宇科技有限公司</v>
          </cell>
          <cell r="L471" t="str">
            <v>X</v>
          </cell>
          <cell r="M471" t="str">
            <v/>
          </cell>
          <cell r="N471">
            <v>1</v>
          </cell>
          <cell r="O471">
            <v>4.9500000000000004E-3</v>
          </cell>
          <cell r="P471">
            <v>4.95</v>
          </cell>
          <cell r="Q471">
            <v>4.95</v>
          </cell>
          <cell r="R471">
            <v>1000</v>
          </cell>
          <cell r="S471" t="str">
            <v>PCS</v>
          </cell>
          <cell r="T471">
            <v>56</v>
          </cell>
          <cell r="U471" t="str">
            <v>J3</v>
          </cell>
          <cell r="V471" t="str">
            <v>CNY</v>
          </cell>
          <cell r="W471">
            <v>10000</v>
          </cell>
          <cell r="X471">
            <v>10000</v>
          </cell>
        </row>
        <row r="472">
          <cell r="D472">
            <v>10110007139</v>
          </cell>
          <cell r="E472" t="str">
            <v>贴片陶瓷电容器</v>
          </cell>
          <cell r="F472">
            <v>11060201</v>
          </cell>
          <cell r="G472" t="str">
            <v>SAMS\CAP Cer 10nF K X7R 50VDC 0402</v>
          </cell>
          <cell r="H472" t="str">
            <v>SAMSUNG(三星)</v>
          </cell>
          <cell r="I472" t="str">
            <v>CL05B103KB5NNNC</v>
          </cell>
          <cell r="J472">
            <v>101239</v>
          </cell>
          <cell r="K472" t="str">
            <v>苏州荣采电子有限公司</v>
          </cell>
          <cell r="L472" t="str">
            <v>X</v>
          </cell>
          <cell r="M472" t="str">
            <v/>
          </cell>
          <cell r="N472">
            <v>1</v>
          </cell>
          <cell r="O472">
            <v>2.9399999999999999E-3</v>
          </cell>
          <cell r="P472">
            <v>2.94</v>
          </cell>
          <cell r="Q472">
            <v>2.94</v>
          </cell>
          <cell r="R472">
            <v>1000</v>
          </cell>
          <cell r="S472" t="str">
            <v>PCS</v>
          </cell>
          <cell r="T472">
            <v>84</v>
          </cell>
          <cell r="U472" t="str">
            <v>J3</v>
          </cell>
          <cell r="V472" t="str">
            <v>CNY</v>
          </cell>
          <cell r="W472">
            <v>10000</v>
          </cell>
          <cell r="X472">
            <v>10000</v>
          </cell>
        </row>
        <row r="473">
          <cell r="D473">
            <v>10110007822</v>
          </cell>
          <cell r="E473" t="str">
            <v>贴片陶瓷电容器</v>
          </cell>
          <cell r="F473">
            <v>11060201</v>
          </cell>
          <cell r="G473" t="str">
            <v>SAMS\CAP Cer 1nF K X7R 50VDC 0402</v>
          </cell>
          <cell r="H473" t="str">
            <v>SAMSUNG(三星)</v>
          </cell>
          <cell r="I473" t="str">
            <v>CL05B102KB5NNNC</v>
          </cell>
          <cell r="J473">
            <v>101239</v>
          </cell>
          <cell r="K473" t="str">
            <v>苏州荣采电子有限公司</v>
          </cell>
          <cell r="L473" t="str">
            <v>X</v>
          </cell>
          <cell r="M473" t="str">
            <v/>
          </cell>
          <cell r="N473">
            <v>1</v>
          </cell>
          <cell r="O473">
            <v>2.8E-3</v>
          </cell>
          <cell r="P473">
            <v>2.8</v>
          </cell>
          <cell r="Q473">
            <v>2.8</v>
          </cell>
          <cell r="R473">
            <v>1000</v>
          </cell>
          <cell r="S473" t="str">
            <v>PCS</v>
          </cell>
          <cell r="T473">
            <v>56</v>
          </cell>
          <cell r="U473" t="str">
            <v>J3</v>
          </cell>
          <cell r="V473" t="str">
            <v>CNY</v>
          </cell>
          <cell r="W473">
            <v>10000</v>
          </cell>
          <cell r="X473">
            <v>10000</v>
          </cell>
        </row>
        <row r="474">
          <cell r="D474">
            <v>10110008257</v>
          </cell>
          <cell r="E474" t="str">
            <v>贴片陶瓷电容器</v>
          </cell>
          <cell r="F474">
            <v>11060201</v>
          </cell>
          <cell r="G474" t="str">
            <v>WALS\CAP Cer 100nF K X7R 50VDC 0402</v>
          </cell>
          <cell r="H474" t="str">
            <v>WALS(华科)</v>
          </cell>
          <cell r="I474" t="str">
            <v>0402B104K500CT</v>
          </cell>
          <cell r="J474">
            <v>101566</v>
          </cell>
          <cell r="K474" t="str">
            <v>深圳市兴鸿宇科技有限公司</v>
          </cell>
          <cell r="L474" t="str">
            <v>X</v>
          </cell>
          <cell r="M474" t="str">
            <v/>
          </cell>
          <cell r="N474">
            <v>1</v>
          </cell>
          <cell r="O474">
            <v>4.5999999999999999E-3</v>
          </cell>
          <cell r="P474">
            <v>4.5999999999999996</v>
          </cell>
          <cell r="Q474">
            <v>4.5999999999999996</v>
          </cell>
          <cell r="R474">
            <v>1000</v>
          </cell>
          <cell r="S474" t="str">
            <v>PCS</v>
          </cell>
          <cell r="T474">
            <v>56</v>
          </cell>
          <cell r="U474" t="str">
            <v>J3</v>
          </cell>
          <cell r="V474" t="str">
            <v>CNY</v>
          </cell>
          <cell r="W474">
            <v>10000</v>
          </cell>
          <cell r="X474">
            <v>10000</v>
          </cell>
        </row>
        <row r="475">
          <cell r="D475">
            <v>10110008724</v>
          </cell>
          <cell r="E475" t="str">
            <v>贴片陶瓷电容器</v>
          </cell>
          <cell r="F475">
            <v>11060201</v>
          </cell>
          <cell r="G475" t="str">
            <v>FH\CAP Cer 100nF K X7R 50VDC 0402</v>
          </cell>
          <cell r="H475" t="str">
            <v>FH(风华)</v>
          </cell>
          <cell r="I475" t="str">
            <v>0402B104K500NT</v>
          </cell>
          <cell r="J475">
            <v>101566</v>
          </cell>
          <cell r="K475" t="str">
            <v>深圳市兴鸿宇科技有限公司</v>
          </cell>
          <cell r="L475" t="str">
            <v>X</v>
          </cell>
          <cell r="M475" t="str">
            <v/>
          </cell>
          <cell r="N475">
            <v>1</v>
          </cell>
          <cell r="O475">
            <v>4.1000000000000003E-3</v>
          </cell>
          <cell r="P475">
            <v>4.0999999999999996</v>
          </cell>
          <cell r="Q475">
            <v>4.0999999999999996</v>
          </cell>
          <cell r="R475">
            <v>1000</v>
          </cell>
          <cell r="S475" t="str">
            <v>PCS</v>
          </cell>
          <cell r="T475">
            <v>56</v>
          </cell>
          <cell r="U475" t="str">
            <v>J3</v>
          </cell>
          <cell r="V475" t="str">
            <v>CNY</v>
          </cell>
          <cell r="W475">
            <v>10000</v>
          </cell>
          <cell r="X475">
            <v>10000</v>
          </cell>
        </row>
        <row r="476">
          <cell r="D476">
            <v>10110008726</v>
          </cell>
          <cell r="E476" t="str">
            <v>贴片陶瓷电容器</v>
          </cell>
          <cell r="F476">
            <v>11060201</v>
          </cell>
          <cell r="G476" t="str">
            <v>FH\CAP Cer 100pF K X7R 50VDC 0402</v>
          </cell>
          <cell r="H476" t="str">
            <v>FH(风华)</v>
          </cell>
          <cell r="I476" t="str">
            <v>0402B101K500NT</v>
          </cell>
          <cell r="J476">
            <v>100599</v>
          </cell>
          <cell r="K476" t="str">
            <v>深圳市天河星供应链有限公司</v>
          </cell>
          <cell r="L476" t="str">
            <v>X</v>
          </cell>
          <cell r="M476" t="str">
            <v/>
          </cell>
          <cell r="N476">
            <v>1</v>
          </cell>
          <cell r="O476">
            <v>2.2000000000000001E-3</v>
          </cell>
          <cell r="P476">
            <v>2.2000000000000002</v>
          </cell>
          <cell r="Q476">
            <v>2.2000000000000002</v>
          </cell>
          <cell r="R476">
            <v>1000</v>
          </cell>
          <cell r="S476" t="str">
            <v>PCS</v>
          </cell>
          <cell r="T476">
            <v>56</v>
          </cell>
          <cell r="U476" t="str">
            <v>J3</v>
          </cell>
          <cell r="V476" t="str">
            <v>CNY</v>
          </cell>
          <cell r="W476">
            <v>10000</v>
          </cell>
          <cell r="X476">
            <v>10000</v>
          </cell>
        </row>
        <row r="477">
          <cell r="D477">
            <v>10110008729</v>
          </cell>
          <cell r="E477" t="str">
            <v>贴片陶瓷电容器</v>
          </cell>
          <cell r="F477">
            <v>11060201</v>
          </cell>
          <cell r="G477" t="str">
            <v>FH\CAP Cer 10nF K X7R 50VDC 0402</v>
          </cell>
          <cell r="H477" t="str">
            <v>FH(风华)</v>
          </cell>
          <cell r="I477" t="str">
            <v>0402B103K500NT</v>
          </cell>
          <cell r="J477">
            <v>100654</v>
          </cell>
          <cell r="K477" t="str">
            <v>广东风华高新科技股份有限公司</v>
          </cell>
          <cell r="L477" t="str">
            <v>X</v>
          </cell>
          <cell r="M477" t="str">
            <v/>
          </cell>
          <cell r="N477">
            <v>1</v>
          </cell>
          <cell r="O477">
            <v>2.0999999999999999E-3</v>
          </cell>
          <cell r="P477">
            <v>2.1</v>
          </cell>
          <cell r="Q477">
            <v>2.1</v>
          </cell>
          <cell r="R477">
            <v>1000</v>
          </cell>
          <cell r="S477" t="str">
            <v>PCS</v>
          </cell>
          <cell r="T477">
            <v>56</v>
          </cell>
          <cell r="U477" t="str">
            <v>J3</v>
          </cell>
          <cell r="V477" t="str">
            <v>CNY</v>
          </cell>
          <cell r="W477">
            <v>10000</v>
          </cell>
          <cell r="X477">
            <v>10000</v>
          </cell>
        </row>
        <row r="478">
          <cell r="D478">
            <v>10110008734</v>
          </cell>
          <cell r="E478" t="str">
            <v>贴片陶瓷电容器</v>
          </cell>
          <cell r="F478">
            <v>11060201</v>
          </cell>
          <cell r="G478" t="str">
            <v>FH\CAP Cer 1nF K X7R 50VDC 0402</v>
          </cell>
          <cell r="H478" t="str">
            <v>FH(风华)</v>
          </cell>
          <cell r="I478" t="str">
            <v>0402B102K500NT</v>
          </cell>
          <cell r="J478">
            <v>100654</v>
          </cell>
          <cell r="K478" t="str">
            <v>广东风华高新科技股份有限公司</v>
          </cell>
          <cell r="L478" t="str">
            <v>X</v>
          </cell>
          <cell r="M478" t="str">
            <v/>
          </cell>
          <cell r="N478">
            <v>1</v>
          </cell>
          <cell r="O478">
            <v>2.0999999999999999E-3</v>
          </cell>
          <cell r="P478">
            <v>2.1</v>
          </cell>
          <cell r="Q478">
            <v>2.1</v>
          </cell>
          <cell r="R478">
            <v>1000</v>
          </cell>
          <cell r="S478" t="str">
            <v>PCS</v>
          </cell>
          <cell r="T478">
            <v>56</v>
          </cell>
          <cell r="U478" t="str">
            <v>J3</v>
          </cell>
          <cell r="V478" t="str">
            <v>CNY</v>
          </cell>
          <cell r="W478">
            <v>10000</v>
          </cell>
          <cell r="X478">
            <v>10000</v>
          </cell>
        </row>
        <row r="479">
          <cell r="D479">
            <v>10110008742</v>
          </cell>
          <cell r="E479" t="str">
            <v>贴片陶瓷电容器</v>
          </cell>
          <cell r="F479">
            <v>11060201</v>
          </cell>
          <cell r="G479" t="str">
            <v>FH\CAP Cer 2.2nF K X7R 50VDC 0402</v>
          </cell>
          <cell r="H479" t="str">
            <v>FH(风华)</v>
          </cell>
          <cell r="I479" t="str">
            <v>0402B222K500NT</v>
          </cell>
          <cell r="J479">
            <v>100654</v>
          </cell>
          <cell r="K479" t="str">
            <v>广东风华高新科技股份有限公司</v>
          </cell>
          <cell r="L479" t="str">
            <v>X</v>
          </cell>
          <cell r="M479" t="str">
            <v/>
          </cell>
          <cell r="N479">
            <v>1</v>
          </cell>
          <cell r="O479">
            <v>2.1900000000000001E-3</v>
          </cell>
          <cell r="P479">
            <v>2.19</v>
          </cell>
          <cell r="Q479">
            <v>2.19</v>
          </cell>
          <cell r="R479">
            <v>1000</v>
          </cell>
          <cell r="S479" t="str">
            <v>PCS</v>
          </cell>
          <cell r="T479">
            <v>56</v>
          </cell>
          <cell r="U479" t="str">
            <v>J3</v>
          </cell>
          <cell r="V479" t="str">
            <v>CNY</v>
          </cell>
          <cell r="W479">
            <v>10000</v>
          </cell>
          <cell r="X479">
            <v>10000</v>
          </cell>
        </row>
        <row r="480">
          <cell r="D480">
            <v>10110008993</v>
          </cell>
          <cell r="E480" t="str">
            <v>贴片陶瓷电容器</v>
          </cell>
          <cell r="F480">
            <v>11060201</v>
          </cell>
          <cell r="G480" t="str">
            <v>WALS\CAP Cer 2.2nF K X7R 50VDC 0402</v>
          </cell>
          <cell r="H480" t="str">
            <v>WALS(华科)</v>
          </cell>
          <cell r="I480" t="str">
            <v>0402B222K500CT</v>
          </cell>
          <cell r="J480">
            <v>100131</v>
          </cell>
          <cell r="K480" t="str">
            <v>东莞华科电子有限公司</v>
          </cell>
          <cell r="L480" t="str">
            <v>X</v>
          </cell>
          <cell r="M480" t="str">
            <v/>
          </cell>
          <cell r="N480">
            <v>1</v>
          </cell>
          <cell r="O480">
            <v>3.0500000000000002E-3</v>
          </cell>
          <cell r="P480">
            <v>3.05</v>
          </cell>
          <cell r="Q480">
            <v>3.05</v>
          </cell>
          <cell r="R480">
            <v>1000</v>
          </cell>
          <cell r="S480" t="str">
            <v>PCS</v>
          </cell>
          <cell r="T480">
            <v>56</v>
          </cell>
          <cell r="U480" t="str">
            <v>J3</v>
          </cell>
          <cell r="V480" t="str">
            <v>CNY</v>
          </cell>
          <cell r="W480">
            <v>10000</v>
          </cell>
          <cell r="X480">
            <v>10000</v>
          </cell>
        </row>
        <row r="481">
          <cell r="D481">
            <v>10110009749</v>
          </cell>
          <cell r="E481" t="str">
            <v>贴片陶瓷电容器</v>
          </cell>
          <cell r="F481">
            <v>11060201</v>
          </cell>
          <cell r="G481" t="str">
            <v>SAMS\CAP Cer 100pF K X7R 50VDC 0402</v>
          </cell>
          <cell r="H481" t="str">
            <v>SAMSUNG(三星)</v>
          </cell>
          <cell r="I481" t="str">
            <v>CL05B101KB5NNNC</v>
          </cell>
          <cell r="J481">
            <v>101783</v>
          </cell>
          <cell r="K481" t="str">
            <v>深圳市欧亚达电子有限公司</v>
          </cell>
          <cell r="L481" t="str">
            <v>X</v>
          </cell>
          <cell r="M481" t="str">
            <v/>
          </cell>
          <cell r="N481">
            <v>1</v>
          </cell>
          <cell r="O481">
            <v>9.5499999999999995E-3</v>
          </cell>
          <cell r="P481">
            <v>9.5500000000000007</v>
          </cell>
          <cell r="Q481">
            <v>9.5500000000000007</v>
          </cell>
          <cell r="R481">
            <v>1000</v>
          </cell>
          <cell r="S481" t="str">
            <v>PCS</v>
          </cell>
          <cell r="T481">
            <v>84</v>
          </cell>
          <cell r="U481" t="str">
            <v>J3</v>
          </cell>
          <cell r="V481" t="str">
            <v>CNY</v>
          </cell>
          <cell r="W481">
            <v>10000</v>
          </cell>
          <cell r="X481">
            <v>10000</v>
          </cell>
        </row>
        <row r="482">
          <cell r="D482">
            <v>10110011269</v>
          </cell>
          <cell r="E482" t="str">
            <v>贴片陶瓷电容器</v>
          </cell>
          <cell r="F482">
            <v>11060201</v>
          </cell>
          <cell r="G482" t="str">
            <v>SH3\CAP Cer 10nF K X7R 50VDC 0402</v>
          </cell>
          <cell r="H482" t="str">
            <v>CCTC(三环)</v>
          </cell>
          <cell r="I482" t="str">
            <v>TCC0402X7R103K500AT</v>
          </cell>
          <cell r="J482">
            <v>102178</v>
          </cell>
          <cell r="K482" t="str">
            <v>潮州三环（集团）股份有限公司</v>
          </cell>
          <cell r="L482" t="str">
            <v>X</v>
          </cell>
          <cell r="M482" t="str">
            <v/>
          </cell>
          <cell r="N482">
            <v>1</v>
          </cell>
          <cell r="O482">
            <v>1.8600000000000001E-3</v>
          </cell>
          <cell r="P482">
            <v>1.86</v>
          </cell>
          <cell r="Q482">
            <v>1.86</v>
          </cell>
          <cell r="R482">
            <v>1000</v>
          </cell>
          <cell r="S482" t="str">
            <v>PCS</v>
          </cell>
          <cell r="T482">
            <v>70</v>
          </cell>
          <cell r="U482" t="str">
            <v>J3</v>
          </cell>
          <cell r="V482" t="str">
            <v>CNY</v>
          </cell>
          <cell r="W482">
            <v>10000</v>
          </cell>
          <cell r="X482">
            <v>10000</v>
          </cell>
        </row>
        <row r="483">
          <cell r="D483">
            <v>10110012147</v>
          </cell>
          <cell r="E483" t="str">
            <v>贴片陶瓷电容器</v>
          </cell>
          <cell r="F483">
            <v>11060201</v>
          </cell>
          <cell r="G483" t="str">
            <v>SH3\CAP Cer 100pF K X7R 50VDC 0402</v>
          </cell>
          <cell r="H483" t="str">
            <v>CCTC(三环)</v>
          </cell>
          <cell r="I483" t="str">
            <v>TCC0402X7R101K500AT</v>
          </cell>
          <cell r="J483">
            <v>102178</v>
          </cell>
          <cell r="K483" t="str">
            <v>潮州三环（集团）股份有限公司</v>
          </cell>
          <cell r="L483" t="str">
            <v>X</v>
          </cell>
          <cell r="M483" t="str">
            <v/>
          </cell>
          <cell r="N483">
            <v>1</v>
          </cell>
          <cell r="O483">
            <v>1.9499999999999999E-3</v>
          </cell>
          <cell r="P483">
            <v>1.95</v>
          </cell>
          <cell r="Q483">
            <v>1.95</v>
          </cell>
          <cell r="R483">
            <v>1000</v>
          </cell>
          <cell r="S483" t="str">
            <v>PCS</v>
          </cell>
          <cell r="T483">
            <v>70</v>
          </cell>
          <cell r="U483" t="str">
            <v>J3</v>
          </cell>
          <cell r="V483" t="str">
            <v>CNY</v>
          </cell>
          <cell r="W483">
            <v>10000</v>
          </cell>
          <cell r="X483">
            <v>10000</v>
          </cell>
        </row>
        <row r="484">
          <cell r="D484">
            <v>10110012149</v>
          </cell>
          <cell r="E484" t="str">
            <v>贴片陶瓷电容器</v>
          </cell>
          <cell r="F484">
            <v>11060201</v>
          </cell>
          <cell r="G484" t="str">
            <v>SH3\CAP Cer 1nF K X7R 50VDC 0402</v>
          </cell>
          <cell r="H484" t="str">
            <v>CCTC(三环)</v>
          </cell>
          <cell r="I484" t="str">
            <v>TCC0402X7R102K500AT</v>
          </cell>
          <cell r="J484">
            <v>102178</v>
          </cell>
          <cell r="K484" t="str">
            <v>潮州三环（集团）股份有限公司</v>
          </cell>
          <cell r="L484" t="str">
            <v>X</v>
          </cell>
          <cell r="M484" t="str">
            <v/>
          </cell>
          <cell r="N484">
            <v>1</v>
          </cell>
          <cell r="O484">
            <v>1.8600000000000001E-3</v>
          </cell>
          <cell r="P484">
            <v>1.86</v>
          </cell>
          <cell r="Q484">
            <v>1.86</v>
          </cell>
          <cell r="R484">
            <v>1000</v>
          </cell>
          <cell r="S484" t="str">
            <v>PCS</v>
          </cell>
          <cell r="T484">
            <v>70</v>
          </cell>
          <cell r="U484" t="str">
            <v>J3</v>
          </cell>
          <cell r="V484" t="str">
            <v>CNY</v>
          </cell>
          <cell r="W484">
            <v>10000</v>
          </cell>
          <cell r="X484">
            <v>10000</v>
          </cell>
        </row>
        <row r="485">
          <cell r="D485">
            <v>10110015893</v>
          </cell>
          <cell r="E485" t="str">
            <v>贴片陶瓷电容器</v>
          </cell>
          <cell r="F485">
            <v>11060201</v>
          </cell>
          <cell r="G485" t="str">
            <v>SH3\CAP Cer 2.2nF K X7R 50VDC 0402</v>
          </cell>
          <cell r="H485" t="str">
            <v>CCTC(三环)</v>
          </cell>
          <cell r="I485" t="str">
            <v>TCC0402X7R222K500AT</v>
          </cell>
          <cell r="J485">
            <v>102178</v>
          </cell>
          <cell r="K485" t="str">
            <v>潮州三环（集团）股份有限公司</v>
          </cell>
          <cell r="L485" t="str">
            <v>X</v>
          </cell>
          <cell r="M485" t="str">
            <v/>
          </cell>
          <cell r="N485">
            <v>1</v>
          </cell>
          <cell r="O485">
            <v>1.8600000000000001E-3</v>
          </cell>
          <cell r="P485">
            <v>1.86</v>
          </cell>
          <cell r="Q485">
            <v>1.86</v>
          </cell>
          <cell r="R485">
            <v>1000</v>
          </cell>
          <cell r="S485" t="str">
            <v>PCS</v>
          </cell>
          <cell r="T485">
            <v>70</v>
          </cell>
          <cell r="U485" t="str">
            <v>J3</v>
          </cell>
          <cell r="V485" t="str">
            <v>CNY</v>
          </cell>
          <cell r="W485">
            <v>10000</v>
          </cell>
          <cell r="X485">
            <v>10000</v>
          </cell>
        </row>
        <row r="486">
          <cell r="D486">
            <v>10110016349</v>
          </cell>
          <cell r="E486" t="str">
            <v>贴片陶瓷电容器</v>
          </cell>
          <cell r="F486">
            <v>11060201</v>
          </cell>
          <cell r="G486" t="str">
            <v>SH3\CAP Cer 100nF K X7R 50VDC 0402</v>
          </cell>
          <cell r="H486" t="str">
            <v>CCTC(三环)</v>
          </cell>
          <cell r="I486" t="str">
            <v>TCC0402X7R104K500AT</v>
          </cell>
          <cell r="J486">
            <v>102178</v>
          </cell>
          <cell r="K486" t="str">
            <v>潮州三环（集团）股份有限公司</v>
          </cell>
          <cell r="L486" t="str">
            <v>X</v>
          </cell>
          <cell r="M486" t="str">
            <v/>
          </cell>
          <cell r="N486">
            <v>1</v>
          </cell>
          <cell r="O486">
            <v>4.15E-3</v>
          </cell>
          <cell r="P486">
            <v>4.1500000000000004</v>
          </cell>
          <cell r="Q486">
            <v>4.1500000000000004</v>
          </cell>
          <cell r="R486">
            <v>1000</v>
          </cell>
          <cell r="S486" t="str">
            <v>PCS</v>
          </cell>
          <cell r="T486">
            <v>56</v>
          </cell>
          <cell r="U486" t="str">
            <v>J3</v>
          </cell>
          <cell r="V486" t="str">
            <v>CNY</v>
          </cell>
          <cell r="W486">
            <v>10000</v>
          </cell>
          <cell r="X486">
            <v>10000</v>
          </cell>
        </row>
        <row r="487">
          <cell r="D487">
            <v>10110017023</v>
          </cell>
          <cell r="E487" t="str">
            <v>贴片陶瓷电容器</v>
          </cell>
          <cell r="F487">
            <v>11060201</v>
          </cell>
          <cell r="G487" t="str">
            <v>YAGEO\CAP Cer 1nF K X7R 100VDC 0402</v>
          </cell>
          <cell r="H487" t="str">
            <v>YAGEO(国巨)</v>
          </cell>
          <cell r="I487" t="str">
            <v>CC0402KRX7R0BB102</v>
          </cell>
          <cell r="J487">
            <v>100632</v>
          </cell>
          <cell r="K487" t="str">
            <v>深圳市欧尔法电子有限公司</v>
          </cell>
          <cell r="L487" t="str">
            <v>X</v>
          </cell>
          <cell r="M487" t="str">
            <v/>
          </cell>
          <cell r="N487">
            <v>1</v>
          </cell>
          <cell r="O487">
            <v>6.8999999999999999E-3</v>
          </cell>
          <cell r="P487">
            <v>6.9</v>
          </cell>
          <cell r="Q487">
            <v>6.9</v>
          </cell>
          <cell r="R487">
            <v>1000</v>
          </cell>
          <cell r="S487" t="str">
            <v>PCS</v>
          </cell>
          <cell r="T487">
            <v>63</v>
          </cell>
          <cell r="U487" t="str">
            <v>J3</v>
          </cell>
          <cell r="V487" t="str">
            <v>CNY</v>
          </cell>
          <cell r="W487">
            <v>10000</v>
          </cell>
          <cell r="X487">
            <v>10000</v>
          </cell>
        </row>
        <row r="488">
          <cell r="D488">
            <v>10140000397</v>
          </cell>
          <cell r="E488" t="str">
            <v>贴片整流二极管</v>
          </cell>
          <cell r="F488">
            <v>14030601</v>
          </cell>
          <cell r="G488" t="str">
            <v>PANJ\Diode Rect SMA 1A 1000V GS1M</v>
          </cell>
          <cell r="H488" t="str">
            <v>PANJ(强茂)</v>
          </cell>
          <cell r="I488" t="str">
            <v>GS1M</v>
          </cell>
          <cell r="J488">
            <v>101672</v>
          </cell>
          <cell r="K488" t="str">
            <v>深圳市合信昌科技有限公司</v>
          </cell>
          <cell r="L488" t="str">
            <v>X</v>
          </cell>
          <cell r="M488" t="str">
            <v/>
          </cell>
          <cell r="N488">
            <v>1</v>
          </cell>
          <cell r="O488">
            <v>7.4999999999999997E-2</v>
          </cell>
          <cell r="P488">
            <v>75</v>
          </cell>
          <cell r="Q488">
            <v>75</v>
          </cell>
          <cell r="R488">
            <v>1000</v>
          </cell>
          <cell r="S488" t="str">
            <v>PCS</v>
          </cell>
          <cell r="T488">
            <v>84</v>
          </cell>
          <cell r="U488" t="str">
            <v>J3</v>
          </cell>
          <cell r="V488" t="str">
            <v>CNY</v>
          </cell>
          <cell r="W488">
            <v>1800</v>
          </cell>
          <cell r="X488">
            <v>1800</v>
          </cell>
        </row>
        <row r="489">
          <cell r="D489">
            <v>10140002123</v>
          </cell>
          <cell r="E489" t="str">
            <v>贴片NPN三极管(内置电阻)</v>
          </cell>
          <cell r="F489">
            <v>14050102</v>
          </cell>
          <cell r="G489" t="str">
            <v>LRC\Transistor SOT-23 0.1A 50V R1=4K7 R&amp;</v>
          </cell>
          <cell r="H489" t="str">
            <v>LRC(乐山无线电)</v>
          </cell>
          <cell r="I489" t="str">
            <v>LMUN2232LT1G</v>
          </cell>
          <cell r="J489">
            <v>101275</v>
          </cell>
          <cell r="K489" t="str">
            <v>利尔达科技集团股份有限公司</v>
          </cell>
          <cell r="L489" t="str">
            <v>X</v>
          </cell>
          <cell r="M489" t="str">
            <v/>
          </cell>
          <cell r="N489">
            <v>1</v>
          </cell>
          <cell r="O489">
            <v>3.4500000000000003E-2</v>
          </cell>
          <cell r="P489">
            <v>34.5</v>
          </cell>
          <cell r="Q489">
            <v>34.5</v>
          </cell>
          <cell r="R489">
            <v>1000</v>
          </cell>
          <cell r="S489" t="str">
            <v>PCS</v>
          </cell>
          <cell r="T489">
            <v>84</v>
          </cell>
          <cell r="U489" t="str">
            <v>J3</v>
          </cell>
          <cell r="V489" t="str">
            <v>CNY</v>
          </cell>
          <cell r="W489">
            <v>3000</v>
          </cell>
          <cell r="X489">
            <v>3000</v>
          </cell>
        </row>
        <row r="490">
          <cell r="D490">
            <v>10140006310</v>
          </cell>
          <cell r="E490" t="str">
            <v>贴片NPN三极管(内置电阻)</v>
          </cell>
          <cell r="F490">
            <v>14050102</v>
          </cell>
          <cell r="G490" t="str">
            <v>JSCJ\Transistor SOT-23 100mA50V R1=4K7&amp;</v>
          </cell>
          <cell r="H490" t="str">
            <v>JSCJ(江苏长晶)</v>
          </cell>
          <cell r="I490" t="str">
            <v>DTC143ECA</v>
          </cell>
          <cell r="J490">
            <v>101845</v>
          </cell>
          <cell r="K490" t="str">
            <v>深圳翰世宇科技有限公司</v>
          </cell>
          <cell r="L490" t="str">
            <v>X</v>
          </cell>
          <cell r="M490" t="str">
            <v/>
          </cell>
          <cell r="N490">
            <v>1</v>
          </cell>
          <cell r="O490">
            <v>4.8000000000000001E-2</v>
          </cell>
          <cell r="P490">
            <v>48</v>
          </cell>
          <cell r="Q490">
            <v>48</v>
          </cell>
          <cell r="R490">
            <v>1000</v>
          </cell>
          <cell r="S490" t="str">
            <v>PCS</v>
          </cell>
          <cell r="T490">
            <v>56</v>
          </cell>
          <cell r="U490" t="str">
            <v>J3</v>
          </cell>
          <cell r="V490" t="str">
            <v>CNY</v>
          </cell>
          <cell r="W490">
            <v>3000</v>
          </cell>
          <cell r="X490">
            <v>3000</v>
          </cell>
        </row>
        <row r="491">
          <cell r="D491">
            <v>10190001176</v>
          </cell>
          <cell r="E491" t="str">
            <v>方型塑壳保险丝</v>
          </cell>
          <cell r="F491">
            <v>19010105</v>
          </cell>
          <cell r="G491" t="str">
            <v>BETT\FUSE 3.15A 250VAC 慢断 8.3*4.1*7.6 F&amp;</v>
          </cell>
          <cell r="H491" t="str">
            <v>Better(贝特)</v>
          </cell>
          <cell r="I491">
            <v>9321315278</v>
          </cell>
          <cell r="J491">
            <v>100135</v>
          </cell>
          <cell r="K491" t="str">
            <v>东莞市贝特电子科技股份有限公司</v>
          </cell>
          <cell r="L491" t="str">
            <v>X</v>
          </cell>
          <cell r="M491" t="str">
            <v/>
          </cell>
          <cell r="N491">
            <v>1</v>
          </cell>
          <cell r="O491">
            <v>9.5000000000000001E-2</v>
          </cell>
          <cell r="P491">
            <v>95</v>
          </cell>
          <cell r="Q491">
            <v>95</v>
          </cell>
          <cell r="R491">
            <v>1000</v>
          </cell>
          <cell r="S491" t="str">
            <v>PCS</v>
          </cell>
          <cell r="T491">
            <v>25</v>
          </cell>
          <cell r="U491" t="str">
            <v>J3</v>
          </cell>
          <cell r="V491" t="str">
            <v>CNY</v>
          </cell>
          <cell r="W491">
            <v>1000</v>
          </cell>
          <cell r="X491">
            <v>1000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1">
          <cell r="D1" t="str">
            <v>物料号</v>
          </cell>
          <cell r="E1" t="str">
            <v>供应商名称</v>
          </cell>
          <cell r="F1"/>
          <cell r="G1" t="str">
            <v>货币单位</v>
          </cell>
          <cell r="H1" t="str">
            <v>信息记录L/T</v>
          </cell>
          <cell r="I1" t="str">
            <v>MOQ</v>
          </cell>
          <cell r="J1" t="str">
            <v>MPQ</v>
          </cell>
        </row>
        <row r="2">
          <cell r="D2">
            <v>10100002122</v>
          </cell>
          <cell r="E2" t="str">
            <v>深圳市欧尔法电子有限公司</v>
          </cell>
          <cell r="F2">
            <v>4.7999999999999996E-3</v>
          </cell>
          <cell r="G2" t="str">
            <v>CNY</v>
          </cell>
          <cell r="H2" t="str">
            <v>56</v>
          </cell>
          <cell r="I2" t="str">
            <v>5,000.000</v>
          </cell>
          <cell r="J2" t="str">
            <v>5,000.000</v>
          </cell>
        </row>
        <row r="3">
          <cell r="D3">
            <v>10100002123</v>
          </cell>
          <cell r="E3" t="str">
            <v>广东风华高新科技股份有限公司</v>
          </cell>
          <cell r="F3">
            <v>3.7200000000000002E-3</v>
          </cell>
          <cell r="G3" t="str">
            <v>CNY</v>
          </cell>
          <cell r="H3" t="str">
            <v>42</v>
          </cell>
          <cell r="I3" t="str">
            <v>5,000.000</v>
          </cell>
          <cell r="J3" t="str">
            <v>5,000.000</v>
          </cell>
        </row>
        <row r="4">
          <cell r="D4">
            <v>10100002133</v>
          </cell>
          <cell r="E4" t="str">
            <v>广东风华高新科技股份有限公司</v>
          </cell>
          <cell r="F4">
            <v>3.2699999999999999E-3</v>
          </cell>
          <cell r="G4" t="str">
            <v>CNY</v>
          </cell>
          <cell r="H4" t="str">
            <v>42</v>
          </cell>
          <cell r="I4" t="str">
            <v>5,000.000</v>
          </cell>
          <cell r="J4" t="str">
            <v>5,000.000</v>
          </cell>
        </row>
        <row r="5">
          <cell r="D5">
            <v>10100002715</v>
          </cell>
          <cell r="E5" t="str">
            <v>深圳市欧尔法电子有限公司</v>
          </cell>
          <cell r="F5">
            <v>4.7999999999999996E-3</v>
          </cell>
          <cell r="G5" t="str">
            <v>CNY</v>
          </cell>
          <cell r="H5" t="str">
            <v>70</v>
          </cell>
          <cell r="I5" t="str">
            <v>5,000.000</v>
          </cell>
          <cell r="J5" t="str">
            <v>5,000.000</v>
          </cell>
        </row>
        <row r="6">
          <cell r="D6">
            <v>10100002752</v>
          </cell>
          <cell r="E6" t="str">
            <v>深圳市欧尔法电子有限公司</v>
          </cell>
          <cell r="F6">
            <v>4.7999999999999996E-3</v>
          </cell>
          <cell r="G6" t="str">
            <v>CNY</v>
          </cell>
          <cell r="H6" t="str">
            <v>70</v>
          </cell>
          <cell r="I6" t="str">
            <v>5,000.000</v>
          </cell>
          <cell r="J6" t="str">
            <v>5,000.000</v>
          </cell>
        </row>
        <row r="7">
          <cell r="D7">
            <v>10100003500</v>
          </cell>
          <cell r="E7" t="str">
            <v>深圳市超利维实业有限公司</v>
          </cell>
          <cell r="F7">
            <v>2.5999999999999999E-3</v>
          </cell>
          <cell r="G7" t="str">
            <v>CNY</v>
          </cell>
          <cell r="H7" t="str">
            <v>56</v>
          </cell>
          <cell r="I7" t="str">
            <v>5,000.000</v>
          </cell>
          <cell r="J7" t="str">
            <v>5,000.000</v>
          </cell>
        </row>
        <row r="8">
          <cell r="D8">
            <v>10100004833</v>
          </cell>
          <cell r="E8" t="str">
            <v>东莞华科电子有限公司</v>
          </cell>
          <cell r="F8">
            <v>3.8800000000000002E-3</v>
          </cell>
          <cell r="G8" t="str">
            <v>CNY</v>
          </cell>
          <cell r="H8" t="str">
            <v>56</v>
          </cell>
          <cell r="I8" t="str">
            <v>5,000.000</v>
          </cell>
          <cell r="J8" t="str">
            <v>5,000.000</v>
          </cell>
        </row>
        <row r="9">
          <cell r="D9">
            <v>10100005487</v>
          </cell>
          <cell r="E9" t="str">
            <v>厚声国际贸易（昆山）有限公司深圳分公司</v>
          </cell>
          <cell r="F9">
            <v>3.8E-3</v>
          </cell>
          <cell r="G9" t="str">
            <v>CNY</v>
          </cell>
          <cell r="H9" t="str">
            <v>56</v>
          </cell>
          <cell r="I9" t="str">
            <v>5,000.000</v>
          </cell>
          <cell r="J9" t="str">
            <v>5,000.000</v>
          </cell>
        </row>
        <row r="10">
          <cell r="D10">
            <v>10100005703</v>
          </cell>
          <cell r="E10" t="str">
            <v>深圳市超利维实业有限公司</v>
          </cell>
          <cell r="F10">
            <v>1.4E-3</v>
          </cell>
          <cell r="G10" t="str">
            <v>CNY</v>
          </cell>
          <cell r="H10" t="str">
            <v>84</v>
          </cell>
          <cell r="I10" t="str">
            <v>10,000.000</v>
          </cell>
          <cell r="J10" t="str">
            <v>10,000.000</v>
          </cell>
        </row>
        <row r="11">
          <cell r="D11">
            <v>10100005718</v>
          </cell>
          <cell r="E11" t="str">
            <v>广东风华高新科技股份有限公司</v>
          </cell>
          <cell r="F11">
            <v>1.1000000000000001E-3</v>
          </cell>
          <cell r="G11" t="str">
            <v>CNY</v>
          </cell>
          <cell r="H11" t="str">
            <v>42</v>
          </cell>
          <cell r="I11" t="str">
            <v>10,000.000</v>
          </cell>
          <cell r="J11" t="str">
            <v>10,000.000</v>
          </cell>
        </row>
        <row r="12">
          <cell r="D12">
            <v>10100005795</v>
          </cell>
          <cell r="E12" t="str">
            <v>广东风华高新科技股份有限公司</v>
          </cell>
          <cell r="F12">
            <v>1.1000000000000001E-3</v>
          </cell>
          <cell r="G12" t="str">
            <v>CNY</v>
          </cell>
          <cell r="H12" t="str">
            <v>42</v>
          </cell>
          <cell r="I12" t="str">
            <v>10,000.000</v>
          </cell>
          <cell r="J12" t="str">
            <v>10,000.000</v>
          </cell>
        </row>
        <row r="13">
          <cell r="D13">
            <v>10100006507</v>
          </cell>
          <cell r="E13" t="str">
            <v>广东风华高新科技股份有限公司</v>
          </cell>
          <cell r="F13">
            <v>2.0799999999999998E-3</v>
          </cell>
          <cell r="G13" t="str">
            <v>CNY</v>
          </cell>
          <cell r="H13" t="str">
            <v>42</v>
          </cell>
          <cell r="I13" t="str">
            <v>5,000.000</v>
          </cell>
          <cell r="J13" t="str">
            <v>5,000.000</v>
          </cell>
        </row>
        <row r="14">
          <cell r="D14">
            <v>10100006625</v>
          </cell>
          <cell r="E14" t="str">
            <v>广东风华高新科技股份有限公司</v>
          </cell>
          <cell r="F14">
            <v>3.7599999999999999E-3</v>
          </cell>
          <cell r="G14" t="str">
            <v>CNY</v>
          </cell>
          <cell r="H14" t="str">
            <v>42</v>
          </cell>
          <cell r="I14" t="str">
            <v>5,000.000</v>
          </cell>
          <cell r="J14" t="str">
            <v>5,000.000</v>
          </cell>
        </row>
        <row r="15">
          <cell r="D15">
            <v>10100006627</v>
          </cell>
          <cell r="E15" t="str">
            <v>广东风华高新科技股份有限公司</v>
          </cell>
          <cell r="F15">
            <v>3.7200000000000002E-3</v>
          </cell>
          <cell r="G15" t="str">
            <v>CNY</v>
          </cell>
          <cell r="H15" t="str">
            <v>42</v>
          </cell>
          <cell r="I15" t="str">
            <v>5,000.000</v>
          </cell>
          <cell r="J15" t="str">
            <v>5,000.000</v>
          </cell>
        </row>
        <row r="16">
          <cell r="D16">
            <v>10100006711</v>
          </cell>
          <cell r="E16" t="str">
            <v>东莞华科电子有限公司</v>
          </cell>
          <cell r="F16">
            <v>1.17E-3</v>
          </cell>
          <cell r="G16" t="str">
            <v>CNY</v>
          </cell>
          <cell r="H16" t="str">
            <v>56</v>
          </cell>
          <cell r="I16" t="str">
            <v>10,000.000</v>
          </cell>
          <cell r="J16" t="str">
            <v>10,000.000</v>
          </cell>
        </row>
        <row r="17">
          <cell r="D17">
            <v>10100006845</v>
          </cell>
          <cell r="E17" t="str">
            <v>东莞华科电子有限公司</v>
          </cell>
          <cell r="F17">
            <v>2.2200000000000002E-3</v>
          </cell>
          <cell r="G17" t="str">
            <v>CNY</v>
          </cell>
          <cell r="H17" t="str">
            <v>56</v>
          </cell>
          <cell r="I17" t="str">
            <v>5,000.000</v>
          </cell>
          <cell r="J17" t="str">
            <v>5,000.000</v>
          </cell>
        </row>
        <row r="18">
          <cell r="D18">
            <v>10100007109</v>
          </cell>
          <cell r="E18" t="str">
            <v>东莞华科电子有限公司</v>
          </cell>
          <cell r="F18">
            <v>3.8800000000000002E-3</v>
          </cell>
          <cell r="G18" t="str">
            <v>CNY</v>
          </cell>
          <cell r="H18" t="str">
            <v>56</v>
          </cell>
          <cell r="I18" t="str">
            <v>5,000.000</v>
          </cell>
          <cell r="J18" t="str">
            <v>5,000.000</v>
          </cell>
        </row>
        <row r="19">
          <cell r="D19">
            <v>10100007120</v>
          </cell>
          <cell r="E19" t="str">
            <v>东莞华科电子有限公司</v>
          </cell>
          <cell r="F19">
            <v>3.8800000000000002E-3</v>
          </cell>
          <cell r="G19" t="str">
            <v>CNY</v>
          </cell>
          <cell r="H19" t="str">
            <v>56</v>
          </cell>
          <cell r="I19" t="str">
            <v>5,000.000</v>
          </cell>
          <cell r="J19" t="str">
            <v>5,000.000</v>
          </cell>
        </row>
        <row r="20">
          <cell r="D20">
            <v>10100007615</v>
          </cell>
          <cell r="E20" t="str">
            <v>深圳市超利维实业有限公司</v>
          </cell>
          <cell r="F20">
            <v>1.4E-3</v>
          </cell>
          <cell r="G20" t="str">
            <v>CNY</v>
          </cell>
          <cell r="H20" t="str">
            <v>84</v>
          </cell>
          <cell r="I20" t="str">
            <v>10,000.000</v>
          </cell>
          <cell r="J20" t="str">
            <v>10,000.000</v>
          </cell>
        </row>
        <row r="21">
          <cell r="D21">
            <v>10100008057</v>
          </cell>
          <cell r="E21" t="str">
            <v>广东风华高新科技股份有限公司</v>
          </cell>
          <cell r="F21">
            <v>1.1000000000000001E-3</v>
          </cell>
          <cell r="G21" t="str">
            <v>CNY</v>
          </cell>
          <cell r="H21" t="str">
            <v>42</v>
          </cell>
          <cell r="I21" t="str">
            <v>10,000.000</v>
          </cell>
          <cell r="J21" t="str">
            <v>10,000.000</v>
          </cell>
        </row>
        <row r="22">
          <cell r="D22">
            <v>10100008069</v>
          </cell>
          <cell r="E22" t="str">
            <v>东莞华科电子有限公司</v>
          </cell>
          <cell r="F22">
            <v>1.17E-3</v>
          </cell>
          <cell r="G22" t="str">
            <v>CNY</v>
          </cell>
          <cell r="H22" t="str">
            <v>56</v>
          </cell>
          <cell r="I22" t="str">
            <v>10,000.000</v>
          </cell>
          <cell r="J22" t="str">
            <v>10,000.000</v>
          </cell>
        </row>
        <row r="23">
          <cell r="D23">
            <v>10100008075</v>
          </cell>
          <cell r="E23" t="str">
            <v>深圳市超利维实业有限公司</v>
          </cell>
          <cell r="F23">
            <v>1.4E-3</v>
          </cell>
          <cell r="G23" t="str">
            <v>CNY</v>
          </cell>
          <cell r="H23" t="str">
            <v>56</v>
          </cell>
          <cell r="I23" t="str">
            <v>10,000.000</v>
          </cell>
          <cell r="J23" t="str">
            <v>10,000.000</v>
          </cell>
        </row>
        <row r="24">
          <cell r="D24">
            <v>10100008302</v>
          </cell>
          <cell r="E24" t="str">
            <v>东莞华科电子有限公司</v>
          </cell>
          <cell r="F24">
            <v>1.17E-3</v>
          </cell>
          <cell r="G24" t="str">
            <v>CNY</v>
          </cell>
          <cell r="H24" t="str">
            <v>56</v>
          </cell>
          <cell r="I24" t="str">
            <v>10,000.000</v>
          </cell>
          <cell r="J24" t="str">
            <v>10,000.000</v>
          </cell>
        </row>
        <row r="25">
          <cell r="D25">
            <v>10100008735</v>
          </cell>
          <cell r="E25" t="str">
            <v>广东风华高新科技股份有限公司</v>
          </cell>
          <cell r="F25">
            <v>1.1000000000000001E-3</v>
          </cell>
          <cell r="G25" t="str">
            <v>CNY</v>
          </cell>
          <cell r="H25" t="str">
            <v>42</v>
          </cell>
          <cell r="I25" t="str">
            <v>10,000.000</v>
          </cell>
          <cell r="J25" t="str">
            <v>10,000.000</v>
          </cell>
        </row>
        <row r="26">
          <cell r="D26">
            <v>10100008776</v>
          </cell>
          <cell r="E26" t="str">
            <v>广东风华高新科技股份有限公司</v>
          </cell>
          <cell r="F26">
            <v>2.0799999999999998E-3</v>
          </cell>
          <cell r="G26" t="str">
            <v>CNY</v>
          </cell>
          <cell r="H26" t="str">
            <v>42</v>
          </cell>
          <cell r="I26" t="str">
            <v>5,000.000</v>
          </cell>
          <cell r="J26" t="str">
            <v>5,000.000</v>
          </cell>
        </row>
        <row r="27">
          <cell r="D27">
            <v>10100008807</v>
          </cell>
          <cell r="E27" t="str">
            <v>东莞华科电子有限公司</v>
          </cell>
          <cell r="F27">
            <v>1.17E-3</v>
          </cell>
          <cell r="G27" t="str">
            <v>CNY</v>
          </cell>
          <cell r="H27" t="str">
            <v>56</v>
          </cell>
          <cell r="I27" t="str">
            <v>10,000.000</v>
          </cell>
          <cell r="J27" t="str">
            <v>10,000.000</v>
          </cell>
        </row>
        <row r="28">
          <cell r="D28">
            <v>10100008809</v>
          </cell>
          <cell r="E28" t="str">
            <v>广东风华高新科技股份有限公司</v>
          </cell>
          <cell r="F28">
            <v>1.1000000000000001E-3</v>
          </cell>
          <cell r="G28" t="str">
            <v>CNY</v>
          </cell>
          <cell r="H28" t="str">
            <v>42</v>
          </cell>
          <cell r="I28" t="str">
            <v>10,000.000</v>
          </cell>
          <cell r="J28" t="str">
            <v>10,000.000</v>
          </cell>
        </row>
        <row r="29">
          <cell r="D29">
            <v>10100008827</v>
          </cell>
          <cell r="E29" t="str">
            <v>东莞华科电子有限公司</v>
          </cell>
          <cell r="F29">
            <v>1.17E-3</v>
          </cell>
          <cell r="G29" t="str">
            <v>CNY</v>
          </cell>
          <cell r="H29" t="str">
            <v>56</v>
          </cell>
          <cell r="I29" t="str">
            <v>10,000.000</v>
          </cell>
          <cell r="J29" t="str">
            <v>10,000.000</v>
          </cell>
        </row>
        <row r="30">
          <cell r="D30">
            <v>10100008830</v>
          </cell>
          <cell r="E30" t="str">
            <v>深圳市欧尔法电子有限公司</v>
          </cell>
          <cell r="F30">
            <v>1.39E-3</v>
          </cell>
          <cell r="G30" t="str">
            <v>CNY</v>
          </cell>
          <cell r="H30" t="str">
            <v>56</v>
          </cell>
          <cell r="I30" t="str">
            <v>10,000.000</v>
          </cell>
          <cell r="J30" t="str">
            <v>10,000.000</v>
          </cell>
        </row>
        <row r="31">
          <cell r="D31">
            <v>10100009092</v>
          </cell>
          <cell r="E31" t="str">
            <v>深圳市奥特高科电子有限公司</v>
          </cell>
          <cell r="F31">
            <v>1.2999999999999999E-3</v>
          </cell>
          <cell r="G31" t="str">
            <v>CNY</v>
          </cell>
          <cell r="H31" t="str">
            <v>84</v>
          </cell>
          <cell r="I31" t="str">
            <v>10,000.000</v>
          </cell>
          <cell r="J31" t="str">
            <v>10,000.000</v>
          </cell>
        </row>
        <row r="32">
          <cell r="D32">
            <v>10100009093</v>
          </cell>
          <cell r="E32" t="str">
            <v>东莞华科电子有限公司</v>
          </cell>
          <cell r="F32">
            <v>1.17E-3</v>
          </cell>
          <cell r="G32" t="str">
            <v>CNY</v>
          </cell>
          <cell r="H32" t="str">
            <v>56</v>
          </cell>
          <cell r="I32" t="str">
            <v>10,000.000</v>
          </cell>
          <cell r="J32" t="str">
            <v>10,000.000</v>
          </cell>
        </row>
        <row r="33">
          <cell r="D33">
            <v>10100009721</v>
          </cell>
          <cell r="E33" t="str">
            <v>深圳市超利维实业有限公司</v>
          </cell>
          <cell r="F33">
            <v>1.4E-3</v>
          </cell>
          <cell r="G33" t="str">
            <v>CNY</v>
          </cell>
          <cell r="H33" t="str">
            <v>84</v>
          </cell>
          <cell r="I33" t="str">
            <v>10,000.000</v>
          </cell>
          <cell r="J33" t="str">
            <v>10,000.000</v>
          </cell>
        </row>
        <row r="34">
          <cell r="D34">
            <v>10100009722</v>
          </cell>
          <cell r="E34" t="str">
            <v>东莞华科电子有限公司</v>
          </cell>
          <cell r="F34">
            <v>1.17E-3</v>
          </cell>
          <cell r="G34" t="str">
            <v>CNY</v>
          </cell>
          <cell r="H34" t="str">
            <v>56</v>
          </cell>
          <cell r="I34" t="str">
            <v>10,000.000</v>
          </cell>
          <cell r="J34" t="str">
            <v>10,000.000</v>
          </cell>
        </row>
        <row r="35">
          <cell r="D35">
            <v>10100009838</v>
          </cell>
          <cell r="E35" t="str">
            <v>厚声国际贸易（昆山）有限公司深圳分公司</v>
          </cell>
          <cell r="F35">
            <v>1.09E-3</v>
          </cell>
          <cell r="G35" t="str">
            <v>CNY</v>
          </cell>
          <cell r="H35" t="str">
            <v>56</v>
          </cell>
          <cell r="I35" t="str">
            <v>10,000.000</v>
          </cell>
          <cell r="J35" t="str">
            <v>10,000.000</v>
          </cell>
        </row>
        <row r="36">
          <cell r="D36">
            <v>10100010045</v>
          </cell>
          <cell r="E36" t="str">
            <v>东莞华科电子有限公司</v>
          </cell>
          <cell r="F36">
            <v>1.17E-3</v>
          </cell>
          <cell r="G36" t="str">
            <v>CNY</v>
          </cell>
          <cell r="H36" t="str">
            <v>56</v>
          </cell>
          <cell r="I36" t="str">
            <v>10,000.000</v>
          </cell>
          <cell r="J36" t="str">
            <v>10,000.000</v>
          </cell>
        </row>
        <row r="37">
          <cell r="D37">
            <v>10100010325</v>
          </cell>
          <cell r="E37" t="str">
            <v>厚声国际贸易（昆山）有限公司深圳分公司</v>
          </cell>
          <cell r="F37">
            <v>3.8E-3</v>
          </cell>
          <cell r="G37" t="str">
            <v>CNY</v>
          </cell>
          <cell r="H37" t="str">
            <v>56</v>
          </cell>
          <cell r="I37" t="str">
            <v>5,000.000</v>
          </cell>
          <cell r="J37" t="str">
            <v>5,000.000</v>
          </cell>
        </row>
        <row r="38">
          <cell r="D38">
            <v>10100011090</v>
          </cell>
          <cell r="E38" t="str">
            <v>厚声国际贸易（昆山）有限公司深圳分公司</v>
          </cell>
          <cell r="F38">
            <v>2.0999999999999999E-3</v>
          </cell>
          <cell r="G38" t="str">
            <v>CNY</v>
          </cell>
          <cell r="H38" t="str">
            <v>56</v>
          </cell>
          <cell r="I38" t="str">
            <v>5,000.000</v>
          </cell>
          <cell r="J38" t="str">
            <v>5,000.000</v>
          </cell>
        </row>
        <row r="39">
          <cell r="D39">
            <v>10100011343</v>
          </cell>
          <cell r="E39" t="str">
            <v>东莞华科电子有限公司</v>
          </cell>
          <cell r="F39">
            <v>1.17E-3</v>
          </cell>
          <cell r="G39" t="str">
            <v>CNY</v>
          </cell>
          <cell r="H39" t="str">
            <v>56</v>
          </cell>
          <cell r="I39" t="str">
            <v>10,000.000</v>
          </cell>
          <cell r="J39" t="str">
            <v>10,000.000</v>
          </cell>
        </row>
        <row r="40">
          <cell r="D40">
            <v>10100011621</v>
          </cell>
          <cell r="E40" t="str">
            <v>广东风华高新科技股份有限公司</v>
          </cell>
          <cell r="F40">
            <v>1.1000000000000001E-3</v>
          </cell>
          <cell r="G40" t="str">
            <v>CNY</v>
          </cell>
          <cell r="H40" t="str">
            <v>45</v>
          </cell>
          <cell r="I40" t="str">
            <v>10,000.000</v>
          </cell>
          <cell r="J40" t="str">
            <v>10,000.000</v>
          </cell>
        </row>
        <row r="41">
          <cell r="D41">
            <v>10100011726</v>
          </cell>
          <cell r="E41" t="str">
            <v>深圳市欧尔法电子有限公司</v>
          </cell>
          <cell r="F41">
            <v>1.39E-3</v>
          </cell>
          <cell r="G41" t="str">
            <v>CNY</v>
          </cell>
          <cell r="H41" t="str">
            <v>56</v>
          </cell>
          <cell r="I41" t="str">
            <v>10,000.000</v>
          </cell>
          <cell r="J41" t="str">
            <v>10,000.000</v>
          </cell>
        </row>
        <row r="42">
          <cell r="D42">
            <v>10100011886</v>
          </cell>
          <cell r="E42" t="str">
            <v>厚声国际贸易（昆山）有限公司深圳分公司</v>
          </cell>
          <cell r="F42">
            <v>1.09E-3</v>
          </cell>
          <cell r="G42" t="str">
            <v>CNY</v>
          </cell>
          <cell r="H42" t="str">
            <v>56</v>
          </cell>
          <cell r="I42" t="str">
            <v>10,000.000</v>
          </cell>
          <cell r="J42" t="str">
            <v>10,000.000</v>
          </cell>
        </row>
        <row r="43">
          <cell r="D43">
            <v>10100011993</v>
          </cell>
          <cell r="E43" t="str">
            <v>广东风华高新科技股份有限公司</v>
          </cell>
          <cell r="F43">
            <v>1.1000000000000001E-3</v>
          </cell>
          <cell r="G43" t="str">
            <v>CNY</v>
          </cell>
          <cell r="H43" t="str">
            <v>42</v>
          </cell>
          <cell r="I43" t="str">
            <v>10,000.000</v>
          </cell>
          <cell r="J43" t="str">
            <v>10,000.000</v>
          </cell>
        </row>
        <row r="44">
          <cell r="D44">
            <v>10100011996</v>
          </cell>
          <cell r="E44" t="str">
            <v>广东风华高新科技股份有限公司</v>
          </cell>
          <cell r="F44">
            <v>1.1000000000000001E-3</v>
          </cell>
          <cell r="G44" t="str">
            <v>CNY</v>
          </cell>
          <cell r="H44" t="str">
            <v>42</v>
          </cell>
          <cell r="I44" t="str">
            <v>10,000.000</v>
          </cell>
          <cell r="J44" t="str">
            <v>10,000.000</v>
          </cell>
        </row>
        <row r="45">
          <cell r="D45">
            <v>10100013040</v>
          </cell>
          <cell r="E45" t="str">
            <v>厚声国际贸易（昆山）有限公司深圳分公司</v>
          </cell>
          <cell r="F45">
            <v>1.09E-3</v>
          </cell>
          <cell r="G45" t="str">
            <v>CNY</v>
          </cell>
          <cell r="H45" t="str">
            <v>56</v>
          </cell>
          <cell r="I45" t="str">
            <v>10,000.000</v>
          </cell>
          <cell r="J45" t="str">
            <v>10,000.000</v>
          </cell>
        </row>
        <row r="46">
          <cell r="D46">
            <v>10100013093</v>
          </cell>
          <cell r="E46" t="str">
            <v>厚声国际贸易（昆山）有限公司深圳分公司</v>
          </cell>
          <cell r="F46">
            <v>1.09E-3</v>
          </cell>
          <cell r="G46" t="str">
            <v>CNY</v>
          </cell>
          <cell r="H46" t="str">
            <v>42</v>
          </cell>
          <cell r="I46" t="str">
            <v>10,000.000</v>
          </cell>
          <cell r="J46" t="str">
            <v>10,000.000</v>
          </cell>
        </row>
        <row r="47">
          <cell r="D47">
            <v>10100013936</v>
          </cell>
          <cell r="E47" t="str">
            <v>广东风华高新科技股份有限公司</v>
          </cell>
          <cell r="F47">
            <v>1.1000000000000001E-3</v>
          </cell>
          <cell r="G47" t="str">
            <v>CNY</v>
          </cell>
          <cell r="H47" t="str">
            <v>42</v>
          </cell>
          <cell r="I47" t="str">
            <v>10,000.000</v>
          </cell>
          <cell r="J47" t="str">
            <v>10,000.000</v>
          </cell>
        </row>
        <row r="48">
          <cell r="D48">
            <v>10100014263</v>
          </cell>
          <cell r="E48" t="str">
            <v>深圳市超利维实业有限公司</v>
          </cell>
          <cell r="F48">
            <v>1.4E-3</v>
          </cell>
          <cell r="G48" t="str">
            <v>CNY</v>
          </cell>
          <cell r="H48" t="str">
            <v>56</v>
          </cell>
          <cell r="I48" t="str">
            <v>10,000.000</v>
          </cell>
          <cell r="J48" t="str">
            <v>10,000.000</v>
          </cell>
        </row>
        <row r="49">
          <cell r="D49">
            <v>10100014304</v>
          </cell>
          <cell r="E49" t="str">
            <v>东莞华科电子有限公司</v>
          </cell>
          <cell r="F49">
            <v>6.9499999999999996E-3</v>
          </cell>
          <cell r="G49" t="str">
            <v>CNY</v>
          </cell>
          <cell r="H49" t="str">
            <v>70</v>
          </cell>
          <cell r="I49" t="str">
            <v>5,000.000</v>
          </cell>
          <cell r="J49" t="str">
            <v>5,000.000</v>
          </cell>
        </row>
        <row r="50">
          <cell r="D50">
            <v>10100014735</v>
          </cell>
          <cell r="E50" t="str">
            <v>厚声国际贸易（昆山）有限公司深圳分公司</v>
          </cell>
          <cell r="F50">
            <v>1.09E-3</v>
          </cell>
          <cell r="G50" t="str">
            <v>CNY</v>
          </cell>
          <cell r="H50" t="str">
            <v>56</v>
          </cell>
          <cell r="I50" t="str">
            <v>10,000.000</v>
          </cell>
          <cell r="J50" t="str">
            <v>10,000.000</v>
          </cell>
        </row>
        <row r="51">
          <cell r="D51">
            <v>10100016358</v>
          </cell>
          <cell r="E51" t="str">
            <v>深圳市超利维实业有限公司</v>
          </cell>
          <cell r="F51">
            <v>1.4E-3</v>
          </cell>
          <cell r="G51" t="str">
            <v>CNY</v>
          </cell>
          <cell r="H51" t="str">
            <v>56</v>
          </cell>
          <cell r="I51" t="str">
            <v>10,000.000</v>
          </cell>
          <cell r="J51" t="str">
            <v>10,000.000</v>
          </cell>
        </row>
        <row r="52">
          <cell r="D52">
            <v>10100016798</v>
          </cell>
          <cell r="E52" t="str">
            <v>东莞华科电子有限公司</v>
          </cell>
          <cell r="F52">
            <v>1E-3</v>
          </cell>
          <cell r="G52" t="str">
            <v>CNY</v>
          </cell>
          <cell r="H52" t="str">
            <v>56</v>
          </cell>
          <cell r="I52" t="str">
            <v>10,000.000</v>
          </cell>
          <cell r="J52" t="str">
            <v>10,000.000</v>
          </cell>
        </row>
        <row r="53">
          <cell r="D53">
            <v>10100017206</v>
          </cell>
          <cell r="E53" t="str">
            <v>厚声国际贸易（昆山）有限公司深圳分公司</v>
          </cell>
          <cell r="F53">
            <v>6.7799999999999996E-3</v>
          </cell>
          <cell r="G53" t="str">
            <v>CNY</v>
          </cell>
          <cell r="H53" t="str">
            <v>42</v>
          </cell>
          <cell r="I53" t="str">
            <v>5,000.000</v>
          </cell>
          <cell r="J53" t="str">
            <v>5,000.000</v>
          </cell>
        </row>
        <row r="54">
          <cell r="D54">
            <v>10100017335</v>
          </cell>
          <cell r="E54" t="str">
            <v>厚声国际贸易（昆山）有限公司深圳分公司</v>
          </cell>
          <cell r="F54">
            <v>1.09E-3</v>
          </cell>
          <cell r="G54" t="str">
            <v>CNY</v>
          </cell>
          <cell r="H54" t="str">
            <v>42</v>
          </cell>
          <cell r="I54" t="str">
            <v>10,000.000</v>
          </cell>
          <cell r="J54" t="str">
            <v>10,000.000</v>
          </cell>
        </row>
        <row r="55">
          <cell r="D55">
            <v>10100017511</v>
          </cell>
          <cell r="E55" t="str">
            <v>恒辉电阻（益阳）有限公司</v>
          </cell>
          <cell r="F55">
            <v>5.5999999999999999E-3</v>
          </cell>
          <cell r="G55" t="str">
            <v>CNY</v>
          </cell>
          <cell r="H55" t="str">
            <v>42</v>
          </cell>
          <cell r="I55" t="str">
            <v>5,000.000</v>
          </cell>
          <cell r="J55" t="str">
            <v>5,000.000</v>
          </cell>
        </row>
        <row r="56">
          <cell r="D56">
            <v>10100017616</v>
          </cell>
          <cell r="E56" t="str">
            <v>恒辉电阻（益阳）有限公司</v>
          </cell>
          <cell r="F56">
            <v>9.7999999999999997E-4</v>
          </cell>
          <cell r="G56" t="str">
            <v>CNY</v>
          </cell>
          <cell r="H56" t="str">
            <v>42</v>
          </cell>
          <cell r="I56" t="str">
            <v>10,000.000</v>
          </cell>
          <cell r="J56" t="str">
            <v>10,000.000</v>
          </cell>
        </row>
        <row r="57">
          <cell r="D57">
            <v>10100017618</v>
          </cell>
          <cell r="E57" t="str">
            <v>恒辉电阻（益阳）有限公司</v>
          </cell>
          <cell r="F57">
            <v>9.7999999999999997E-4</v>
          </cell>
          <cell r="G57" t="str">
            <v>CNY</v>
          </cell>
          <cell r="H57" t="str">
            <v>42</v>
          </cell>
          <cell r="I57" t="str">
            <v>10,000.000</v>
          </cell>
          <cell r="J57" t="str">
            <v>10,000.000</v>
          </cell>
        </row>
        <row r="58">
          <cell r="D58">
            <v>10100017642</v>
          </cell>
          <cell r="E58" t="str">
            <v>恒辉电阻（益阳）有限公司</v>
          </cell>
          <cell r="F58">
            <v>9.7999999999999997E-4</v>
          </cell>
          <cell r="G58" t="str">
            <v>CNY</v>
          </cell>
          <cell r="H58" t="str">
            <v>42</v>
          </cell>
          <cell r="I58" t="str">
            <v>10,000.000</v>
          </cell>
          <cell r="J58" t="str">
            <v>10,000.000</v>
          </cell>
        </row>
        <row r="59">
          <cell r="D59">
            <v>10100017664</v>
          </cell>
          <cell r="E59" t="str">
            <v>恒辉电阻（益阳）有限公司</v>
          </cell>
          <cell r="F59">
            <v>9.7999999999999997E-4</v>
          </cell>
          <cell r="G59" t="str">
            <v>CNY</v>
          </cell>
          <cell r="H59" t="str">
            <v>42</v>
          </cell>
          <cell r="I59" t="str">
            <v>10,000.000</v>
          </cell>
          <cell r="J59" t="str">
            <v>10,000.000</v>
          </cell>
        </row>
        <row r="60">
          <cell r="D60">
            <v>10100017679</v>
          </cell>
          <cell r="E60" t="str">
            <v>恒辉电阻（益阳）有限公司</v>
          </cell>
          <cell r="F60">
            <v>9.7999999999999997E-4</v>
          </cell>
          <cell r="G60" t="str">
            <v>CNY</v>
          </cell>
          <cell r="H60" t="str">
            <v>42</v>
          </cell>
          <cell r="I60" t="str">
            <v>10,000.000</v>
          </cell>
          <cell r="J60" t="str">
            <v>10,000.000</v>
          </cell>
        </row>
        <row r="61">
          <cell r="D61">
            <v>10100017738</v>
          </cell>
          <cell r="E61" t="str">
            <v>恒辉电阻（益阳）有限公司</v>
          </cell>
          <cell r="F61">
            <v>9.7999999999999997E-4</v>
          </cell>
          <cell r="G61" t="str">
            <v>CNY</v>
          </cell>
          <cell r="H61" t="str">
            <v>42</v>
          </cell>
          <cell r="I61" t="str">
            <v>10,000.000</v>
          </cell>
          <cell r="J61" t="str">
            <v>10,000.000</v>
          </cell>
        </row>
        <row r="62">
          <cell r="D62">
            <v>10100017741</v>
          </cell>
          <cell r="E62" t="str">
            <v>恒辉电阻（益阳）有限公司</v>
          </cell>
          <cell r="F62">
            <v>9.7999999999999997E-4</v>
          </cell>
          <cell r="G62" t="str">
            <v>CNY</v>
          </cell>
          <cell r="H62" t="str">
            <v>42</v>
          </cell>
          <cell r="I62" t="str">
            <v>10,000.000</v>
          </cell>
          <cell r="J62" t="str">
            <v>10,000.000</v>
          </cell>
        </row>
        <row r="63">
          <cell r="D63">
            <v>10100017764</v>
          </cell>
          <cell r="E63" t="str">
            <v>恒辉电阻（益阳）有限公司</v>
          </cell>
          <cell r="F63">
            <v>9.7999999999999997E-4</v>
          </cell>
          <cell r="G63" t="str">
            <v>CNY</v>
          </cell>
          <cell r="H63" t="str">
            <v>42</v>
          </cell>
          <cell r="I63" t="str">
            <v>10,000.000</v>
          </cell>
          <cell r="J63" t="str">
            <v>10,000.000</v>
          </cell>
        </row>
        <row r="64">
          <cell r="D64">
            <v>10100017970</v>
          </cell>
          <cell r="E64" t="str">
            <v>恒辉电阻（益阳）有限公司</v>
          </cell>
          <cell r="F64">
            <v>1.8500000000000001E-3</v>
          </cell>
          <cell r="G64" t="str">
            <v>CNY</v>
          </cell>
          <cell r="H64" t="str">
            <v>42</v>
          </cell>
          <cell r="I64" t="str">
            <v>5,000.000</v>
          </cell>
          <cell r="J64" t="str">
            <v>5,000.000</v>
          </cell>
        </row>
        <row r="65">
          <cell r="D65">
            <v>10100018109</v>
          </cell>
          <cell r="E65" t="str">
            <v>恒辉电阻（益阳）有限公司</v>
          </cell>
          <cell r="F65">
            <v>3.3500000000000001E-3</v>
          </cell>
          <cell r="G65" t="str">
            <v>CNY</v>
          </cell>
          <cell r="H65" t="str">
            <v>42</v>
          </cell>
          <cell r="I65" t="str">
            <v>5,000.000</v>
          </cell>
          <cell r="J65" t="str">
            <v>5,000.000</v>
          </cell>
        </row>
        <row r="66">
          <cell r="D66">
            <v>10100018253</v>
          </cell>
          <cell r="E66" t="str">
            <v>恒辉电阻（益阳）有限公司</v>
          </cell>
          <cell r="F66">
            <v>3.3500000000000001E-3</v>
          </cell>
          <cell r="G66" t="str">
            <v>CNY</v>
          </cell>
          <cell r="H66" t="str">
            <v>42</v>
          </cell>
          <cell r="I66" t="str">
            <v>5,000.000</v>
          </cell>
          <cell r="J66" t="str">
            <v>5,000.000</v>
          </cell>
        </row>
        <row r="67">
          <cell r="D67">
            <v>10100018256</v>
          </cell>
          <cell r="E67" t="str">
            <v>恒辉电阻（益阳）有限公司</v>
          </cell>
          <cell r="F67">
            <v>3.3500000000000001E-3</v>
          </cell>
          <cell r="G67" t="str">
            <v>CNY</v>
          </cell>
          <cell r="H67" t="str">
            <v>42</v>
          </cell>
          <cell r="I67" t="str">
            <v>5,000.000</v>
          </cell>
          <cell r="J67" t="str">
            <v>5,000.000</v>
          </cell>
        </row>
        <row r="68">
          <cell r="D68">
            <v>10100018399</v>
          </cell>
          <cell r="E68" t="str">
            <v>恒辉电阻（益阳）有限公司</v>
          </cell>
          <cell r="F68">
            <v>9.7999999999999997E-4</v>
          </cell>
          <cell r="G68" t="str">
            <v>CNY</v>
          </cell>
          <cell r="H68" t="str">
            <v>42</v>
          </cell>
          <cell r="I68" t="str">
            <v>10,000.000</v>
          </cell>
          <cell r="J68" t="str">
            <v>10,000.000</v>
          </cell>
        </row>
        <row r="69">
          <cell r="D69">
            <v>10100019075</v>
          </cell>
          <cell r="E69" t="str">
            <v>厚声国际贸易（昆山）有限公司深圳分公司</v>
          </cell>
          <cell r="F69">
            <v>1.09E-3</v>
          </cell>
          <cell r="G69" t="str">
            <v>CNY</v>
          </cell>
          <cell r="H69" t="str">
            <v>42</v>
          </cell>
          <cell r="I69" t="str">
            <v>10,000.000</v>
          </cell>
          <cell r="J69" t="str">
            <v>10,000.000</v>
          </cell>
        </row>
        <row r="70">
          <cell r="D70">
            <v>10100019134</v>
          </cell>
          <cell r="E70" t="str">
            <v>恒辉电阻（益阳）有限公司</v>
          </cell>
          <cell r="F70">
            <v>9.7999999999999997E-4</v>
          </cell>
          <cell r="G70" t="str">
            <v>CNY</v>
          </cell>
          <cell r="H70" t="str">
            <v>42</v>
          </cell>
          <cell r="I70" t="str">
            <v>10,000.000</v>
          </cell>
          <cell r="J70" t="str">
            <v>10,000.000</v>
          </cell>
        </row>
        <row r="71">
          <cell r="D71">
            <v>10100020950</v>
          </cell>
          <cell r="E71" t="str">
            <v>厚声国际贸易（昆山）有限公司深圳分公司</v>
          </cell>
          <cell r="F71">
            <v>1.09E-3</v>
          </cell>
          <cell r="G71" t="str">
            <v>CNY</v>
          </cell>
          <cell r="H71" t="str">
            <v>42</v>
          </cell>
          <cell r="I71" t="str">
            <v>10,000.000</v>
          </cell>
          <cell r="J71" t="str">
            <v>10,000.000</v>
          </cell>
        </row>
        <row r="72">
          <cell r="D72">
            <v>10100022516</v>
          </cell>
          <cell r="E72" t="str">
            <v>厚声国际贸易（昆山）有限公司深圳分公司</v>
          </cell>
          <cell r="F72">
            <v>1.09E-3</v>
          </cell>
          <cell r="G72" t="str">
            <v>CNY</v>
          </cell>
          <cell r="H72" t="str">
            <v>42</v>
          </cell>
          <cell r="I72" t="str">
            <v>10,000.000</v>
          </cell>
          <cell r="J72" t="str">
            <v>10,000.000</v>
          </cell>
        </row>
        <row r="73">
          <cell r="D73">
            <v>10100026554</v>
          </cell>
          <cell r="E73" t="str">
            <v>广东风华高新科技股份有限公司</v>
          </cell>
          <cell r="F73">
            <v>6.4999999999999997E-3</v>
          </cell>
          <cell r="G73" t="str">
            <v>CNY</v>
          </cell>
          <cell r="H73" t="str">
            <v>42</v>
          </cell>
          <cell r="I73" t="str">
            <v>5,000.000</v>
          </cell>
          <cell r="J73" t="str">
            <v>5,000.000</v>
          </cell>
        </row>
        <row r="74">
          <cell r="D74">
            <v>10110001388</v>
          </cell>
          <cell r="E74" t="str">
            <v>深圳市天河星供应链有限公司</v>
          </cell>
          <cell r="F74">
            <v>5.4999999999999997E-3</v>
          </cell>
          <cell r="G74" t="str">
            <v>CNY</v>
          </cell>
          <cell r="H74" t="str">
            <v>56</v>
          </cell>
          <cell r="I74" t="str">
            <v>4,000.000</v>
          </cell>
          <cell r="J74" t="str">
            <v>4,000.000</v>
          </cell>
        </row>
        <row r="75">
          <cell r="D75">
            <v>10110001391</v>
          </cell>
          <cell r="E75" t="str">
            <v>广东顺德集财电子有限公司</v>
          </cell>
          <cell r="F75">
            <v>6.1000000000000004E-3</v>
          </cell>
          <cell r="G75" t="str">
            <v>CNY</v>
          </cell>
          <cell r="H75" t="str">
            <v>56</v>
          </cell>
          <cell r="I75" t="str">
            <v>4,000.000</v>
          </cell>
          <cell r="J75" t="str">
            <v>4,000.000</v>
          </cell>
        </row>
        <row r="76">
          <cell r="D76">
            <v>10110003896</v>
          </cell>
          <cell r="E76" t="str">
            <v>深圳市奥特高科电子有限公司</v>
          </cell>
          <cell r="F76">
            <v>2.3E-3</v>
          </cell>
          <cell r="G76" t="str">
            <v>CNY</v>
          </cell>
          <cell r="H76" t="str">
            <v>56</v>
          </cell>
          <cell r="I76" t="str">
            <v>10,000.000</v>
          </cell>
          <cell r="J76" t="str">
            <v>10,000.000</v>
          </cell>
        </row>
        <row r="77">
          <cell r="D77">
            <v>10110003897</v>
          </cell>
          <cell r="E77" t="str">
            <v>深圳市奥特高科电子有限公司</v>
          </cell>
          <cell r="F77">
            <v>2.2000000000000001E-3</v>
          </cell>
          <cell r="G77" t="str">
            <v>CNY</v>
          </cell>
          <cell r="H77" t="str">
            <v>56</v>
          </cell>
          <cell r="I77" t="str">
            <v>10,000.000</v>
          </cell>
          <cell r="J77" t="str">
            <v>10,000.000</v>
          </cell>
        </row>
        <row r="78">
          <cell r="D78">
            <v>10110003944</v>
          </cell>
          <cell r="E78" t="str">
            <v>东莞华科电子有限公司</v>
          </cell>
          <cell r="F78">
            <v>5.4299999999999999E-3</v>
          </cell>
          <cell r="G78" t="str">
            <v>CNY</v>
          </cell>
          <cell r="H78" t="str">
            <v>56</v>
          </cell>
          <cell r="I78" t="str">
            <v>4,000.000</v>
          </cell>
          <cell r="J78" t="str">
            <v>4,000.000</v>
          </cell>
        </row>
        <row r="79">
          <cell r="D79">
            <v>10110004676</v>
          </cell>
          <cell r="E79" t="str">
            <v>东莞华科电子有限公司</v>
          </cell>
          <cell r="F79">
            <v>1.98E-3</v>
          </cell>
          <cell r="G79" t="str">
            <v>CNY</v>
          </cell>
          <cell r="H79" t="str">
            <v>56</v>
          </cell>
          <cell r="I79" t="str">
            <v>10,000.000</v>
          </cell>
          <cell r="J79" t="str">
            <v>10,000.000</v>
          </cell>
        </row>
        <row r="80">
          <cell r="D80">
            <v>10110005377</v>
          </cell>
          <cell r="E80" t="str">
            <v>深圳市巨新科电子有限公司</v>
          </cell>
          <cell r="F80">
            <v>2.98E-3</v>
          </cell>
          <cell r="G80" t="str">
            <v>CNY</v>
          </cell>
          <cell r="H80" t="str">
            <v>90</v>
          </cell>
          <cell r="I80" t="str">
            <v>10,000.000</v>
          </cell>
          <cell r="J80" t="str">
            <v>10,000.000</v>
          </cell>
        </row>
        <row r="81">
          <cell r="D81">
            <v>10110005378</v>
          </cell>
          <cell r="E81" t="str">
            <v>深圳市吉利通电子有限公司</v>
          </cell>
          <cell r="F81">
            <v>2.3999999999999998E-3</v>
          </cell>
          <cell r="G81" t="str">
            <v>CNY</v>
          </cell>
          <cell r="H81" t="str">
            <v>168</v>
          </cell>
          <cell r="I81" t="str">
            <v>10,000.000</v>
          </cell>
          <cell r="J81" t="str">
            <v>10,000.000</v>
          </cell>
        </row>
        <row r="82">
          <cell r="D82">
            <v>10110005723</v>
          </cell>
          <cell r="E82" t="str">
            <v>深圳市奥特高科电子有限公司</v>
          </cell>
          <cell r="F82">
            <v>6.4999999999999997E-3</v>
          </cell>
          <cell r="G82" t="str">
            <v>CNY</v>
          </cell>
          <cell r="H82" t="str">
            <v>56</v>
          </cell>
          <cell r="I82" t="str">
            <v>4,000.000</v>
          </cell>
          <cell r="J82" t="str">
            <v>4,000.000</v>
          </cell>
        </row>
        <row r="83">
          <cell r="D83">
            <v>10110005817</v>
          </cell>
          <cell r="E83" t="str">
            <v>东莞华科电子有限公司</v>
          </cell>
          <cell r="F83">
            <v>1.98E-3</v>
          </cell>
          <cell r="G83" t="str">
            <v>CNY</v>
          </cell>
          <cell r="H83" t="str">
            <v>56</v>
          </cell>
          <cell r="I83" t="str">
            <v>10,000.000</v>
          </cell>
          <cell r="J83" t="str">
            <v>10,000.000</v>
          </cell>
        </row>
        <row r="84">
          <cell r="D84">
            <v>10110006771</v>
          </cell>
          <cell r="E84" t="str">
            <v>深圳市奥特高科电子有限公司</v>
          </cell>
          <cell r="F84">
            <v>4.9500000000000004E-3</v>
          </cell>
          <cell r="G84" t="str">
            <v>CNY</v>
          </cell>
          <cell r="H84" t="str">
            <v>56</v>
          </cell>
          <cell r="I84" t="str">
            <v>10,000.000</v>
          </cell>
          <cell r="J84" t="str">
            <v>10,000.000</v>
          </cell>
        </row>
        <row r="85">
          <cell r="D85">
            <v>10110007139</v>
          </cell>
          <cell r="E85" t="str">
            <v>深圳市天河星供应链有限公司</v>
          </cell>
          <cell r="F85">
            <v>2.2000000000000001E-3</v>
          </cell>
          <cell r="G85" t="str">
            <v>CNY</v>
          </cell>
          <cell r="H85" t="str">
            <v>56</v>
          </cell>
          <cell r="I85" t="str">
            <v>10,000.000</v>
          </cell>
          <cell r="J85" t="str">
            <v>1,000.000</v>
          </cell>
        </row>
        <row r="86">
          <cell r="D86">
            <v>10110007822</v>
          </cell>
          <cell r="E86" t="str">
            <v>广东顺德集财电子有限公司</v>
          </cell>
          <cell r="F86">
            <v>2.3999999999999998E-3</v>
          </cell>
          <cell r="G86" t="str">
            <v>CNY</v>
          </cell>
          <cell r="H86" t="str">
            <v>56</v>
          </cell>
          <cell r="I86" t="str">
            <v>10,000.000</v>
          </cell>
          <cell r="J86" t="str">
            <v>10,000.000</v>
          </cell>
        </row>
        <row r="87">
          <cell r="D87">
            <v>10110008257</v>
          </cell>
          <cell r="E87" t="str">
            <v>深圳市兴鸿宇科技有限公司</v>
          </cell>
          <cell r="F87">
            <v>4.5999999999999999E-3</v>
          </cell>
          <cell r="G87" t="str">
            <v>CNY</v>
          </cell>
          <cell r="H87" t="str">
            <v>56</v>
          </cell>
          <cell r="I87" t="str">
            <v>10,000.000</v>
          </cell>
          <cell r="J87" t="str">
            <v>10,000.000</v>
          </cell>
        </row>
        <row r="88">
          <cell r="D88">
            <v>10110008724</v>
          </cell>
          <cell r="E88" t="str">
            <v>广东顺德集财电子有限公司</v>
          </cell>
          <cell r="F88">
            <v>4.1000000000000003E-3</v>
          </cell>
          <cell r="G88" t="str">
            <v>CNY</v>
          </cell>
          <cell r="H88" t="str">
            <v>56</v>
          </cell>
          <cell r="I88" t="str">
            <v>10,000.000</v>
          </cell>
          <cell r="J88" t="str">
            <v>10,000.000</v>
          </cell>
        </row>
        <row r="89">
          <cell r="D89">
            <v>10110008726</v>
          </cell>
          <cell r="E89" t="str">
            <v>深圳市天河星供应链有限公司</v>
          </cell>
          <cell r="F89">
            <v>2.2000000000000001E-3</v>
          </cell>
          <cell r="G89" t="str">
            <v>CNY</v>
          </cell>
          <cell r="H89" t="str">
            <v>56</v>
          </cell>
          <cell r="I89" t="str">
            <v>10,000.000</v>
          </cell>
          <cell r="J89" t="str">
            <v>10,000.000</v>
          </cell>
        </row>
        <row r="90">
          <cell r="D90">
            <v>10110008729</v>
          </cell>
          <cell r="E90" t="str">
            <v>广东风华高新科技股份有限公司</v>
          </cell>
          <cell r="F90">
            <v>2.0999999999999999E-3</v>
          </cell>
          <cell r="G90" t="str">
            <v>CNY</v>
          </cell>
          <cell r="H90" t="str">
            <v>56</v>
          </cell>
          <cell r="I90" t="str">
            <v>10,000.000</v>
          </cell>
          <cell r="J90" t="str">
            <v>10,000.000</v>
          </cell>
        </row>
        <row r="91">
          <cell r="D91">
            <v>10110008734</v>
          </cell>
          <cell r="E91" t="str">
            <v>广东风华高新科技股份有限公司</v>
          </cell>
          <cell r="F91">
            <v>2.0999999999999999E-3</v>
          </cell>
          <cell r="G91" t="str">
            <v>CNY</v>
          </cell>
          <cell r="H91" t="str">
            <v>56</v>
          </cell>
          <cell r="I91" t="str">
            <v>10,000.000</v>
          </cell>
          <cell r="J91" t="str">
            <v>10,000.000</v>
          </cell>
        </row>
        <row r="92">
          <cell r="D92">
            <v>10110008742</v>
          </cell>
          <cell r="E92" t="str">
            <v>广东风华高新科技股份有限公司</v>
          </cell>
          <cell r="F92">
            <v>2.1900000000000001E-3</v>
          </cell>
          <cell r="G92" t="str">
            <v>CNY</v>
          </cell>
          <cell r="H92" t="str">
            <v>42</v>
          </cell>
          <cell r="I92" t="str">
            <v>10,000.000</v>
          </cell>
          <cell r="J92" t="str">
            <v>10,000.000</v>
          </cell>
        </row>
        <row r="93">
          <cell r="D93">
            <v>10110008934</v>
          </cell>
          <cell r="E93" t="str">
            <v>广东顺德集财电子有限公司</v>
          </cell>
          <cell r="F93">
            <v>9.8000000000000004E-2</v>
          </cell>
          <cell r="G93" t="str">
            <v>CNY</v>
          </cell>
          <cell r="H93" t="str">
            <v>56</v>
          </cell>
          <cell r="I93" t="str">
            <v>2,000.000</v>
          </cell>
          <cell r="J93" t="str">
            <v>2,000.000</v>
          </cell>
        </row>
        <row r="94">
          <cell r="D94">
            <v>10110008993</v>
          </cell>
          <cell r="E94" t="str">
            <v>东莞华科电子有限公司</v>
          </cell>
          <cell r="F94">
            <v>3.0500000000000002E-3</v>
          </cell>
          <cell r="G94" t="str">
            <v>CNY</v>
          </cell>
          <cell r="H94" t="str">
            <v>70</v>
          </cell>
          <cell r="I94" t="str">
            <v>10,000.000</v>
          </cell>
          <cell r="J94" t="str">
            <v>1,000.000</v>
          </cell>
        </row>
        <row r="95">
          <cell r="D95">
            <v>10110009071</v>
          </cell>
          <cell r="E95" t="str">
            <v>东莞华科电子有限公司</v>
          </cell>
          <cell r="F95">
            <v>0.16964000000000001</v>
          </cell>
          <cell r="G95" t="str">
            <v>CNY</v>
          </cell>
          <cell r="H95" t="str">
            <v>84</v>
          </cell>
          <cell r="I95" t="str">
            <v>3,000.000</v>
          </cell>
          <cell r="J95" t="str">
            <v>3,000.000</v>
          </cell>
        </row>
        <row r="96">
          <cell r="D96">
            <v>10110009749</v>
          </cell>
          <cell r="E96" t="str">
            <v>深圳市欧亚达电子有限公司</v>
          </cell>
          <cell r="F96">
            <v>9.5499999999999995E-3</v>
          </cell>
          <cell r="G96" t="str">
            <v>CNY</v>
          </cell>
          <cell r="H96" t="str">
            <v>84</v>
          </cell>
          <cell r="I96" t="str">
            <v>10,000.000</v>
          </cell>
          <cell r="J96" t="str">
            <v>10,000.000</v>
          </cell>
        </row>
        <row r="97">
          <cell r="D97">
            <v>10110010638</v>
          </cell>
          <cell r="E97" t="str">
            <v>深圳市宏昌鑫科技有限责任公司</v>
          </cell>
          <cell r="F97">
            <v>7.3699999999999998E-3</v>
          </cell>
          <cell r="G97" t="str">
            <v>CNY</v>
          </cell>
          <cell r="H97" t="str">
            <v>140</v>
          </cell>
          <cell r="I97" t="str">
            <v>10,000.000</v>
          </cell>
          <cell r="J97" t="str">
            <v>10,000.000</v>
          </cell>
        </row>
        <row r="98">
          <cell r="D98">
            <v>10110011269</v>
          </cell>
          <cell r="E98" t="str">
            <v>潮州三环（集团）股份有限公司</v>
          </cell>
          <cell r="F98">
            <v>1.8500000000000001E-3</v>
          </cell>
          <cell r="G98" t="str">
            <v>CNY</v>
          </cell>
          <cell r="H98" t="str">
            <v>56</v>
          </cell>
          <cell r="I98" t="str">
            <v>10,000.000</v>
          </cell>
          <cell r="J98" t="str">
            <v>10,000.000</v>
          </cell>
        </row>
        <row r="99">
          <cell r="D99">
            <v>10110011283</v>
          </cell>
          <cell r="E99" t="str">
            <v>潮州三环（集团）股份有限公司</v>
          </cell>
          <cell r="F99">
            <v>5.1500000000000001E-3</v>
          </cell>
          <cell r="G99" t="str">
            <v>CNY</v>
          </cell>
          <cell r="H99" t="str">
            <v>56</v>
          </cell>
          <cell r="I99" t="str">
            <v>4,000.000</v>
          </cell>
          <cell r="J99" t="str">
            <v>4,000.000</v>
          </cell>
        </row>
        <row r="100">
          <cell r="D100">
            <v>10110012147</v>
          </cell>
          <cell r="E100" t="str">
            <v>潮州三环（集团）股份有限公司</v>
          </cell>
          <cell r="F100">
            <v>1.9499999999999999E-3</v>
          </cell>
          <cell r="G100" t="str">
            <v>CNY</v>
          </cell>
          <cell r="H100" t="str">
            <v>56</v>
          </cell>
          <cell r="I100" t="str">
            <v>10,000.000</v>
          </cell>
          <cell r="J100" t="str">
            <v>10,000.000</v>
          </cell>
        </row>
        <row r="101">
          <cell r="D101">
            <v>10110012149</v>
          </cell>
          <cell r="E101" t="str">
            <v>潮州三环（集团）股份有限公司</v>
          </cell>
          <cell r="F101">
            <v>1.8500000000000001E-3</v>
          </cell>
          <cell r="G101" t="str">
            <v>CNY</v>
          </cell>
          <cell r="H101" t="str">
            <v>56</v>
          </cell>
          <cell r="I101" t="str">
            <v>10,000.000</v>
          </cell>
          <cell r="J101" t="str">
            <v>10,000.000</v>
          </cell>
        </row>
        <row r="102">
          <cell r="D102">
            <v>10110014746</v>
          </cell>
          <cell r="E102" t="str">
            <v>汕头保税区松田电子科技有限公司</v>
          </cell>
          <cell r="F102">
            <v>0.23311999999999999</v>
          </cell>
          <cell r="G102" t="str">
            <v>CNY</v>
          </cell>
          <cell r="H102" t="str">
            <v>28</v>
          </cell>
          <cell r="I102" t="str">
            <v>1,000.000</v>
          </cell>
          <cell r="J102" t="str">
            <v>1,000.000</v>
          </cell>
        </row>
        <row r="103">
          <cell r="D103">
            <v>10110015893</v>
          </cell>
          <cell r="E103" t="str">
            <v>潮州三环（集团）股份有限公司</v>
          </cell>
          <cell r="F103">
            <v>1.8600000000000001E-3</v>
          </cell>
          <cell r="G103" t="str">
            <v>CNY</v>
          </cell>
          <cell r="H103" t="str">
            <v>56</v>
          </cell>
          <cell r="I103" t="str">
            <v>10,000.000</v>
          </cell>
          <cell r="J103" t="str">
            <v>10,000.000</v>
          </cell>
        </row>
        <row r="104">
          <cell r="D104">
            <v>10110016198</v>
          </cell>
          <cell r="E104" t="str">
            <v>深圳市奥特高科电子有限公司</v>
          </cell>
          <cell r="F104">
            <v>2.3E-3</v>
          </cell>
          <cell r="G104" t="str">
            <v>CNY</v>
          </cell>
          <cell r="H104" t="str">
            <v>56</v>
          </cell>
          <cell r="I104" t="str">
            <v>10,000.000</v>
          </cell>
          <cell r="J104" t="str">
            <v>10,000.000</v>
          </cell>
        </row>
        <row r="105">
          <cell r="D105">
            <v>10110016349</v>
          </cell>
          <cell r="E105" t="str">
            <v>广东顺德集财电子有限公司</v>
          </cell>
          <cell r="F105">
            <v>4.0899999999999999E-3</v>
          </cell>
          <cell r="G105" t="str">
            <v>CNY</v>
          </cell>
          <cell r="H105" t="str">
            <v>56</v>
          </cell>
          <cell r="I105" t="str">
            <v>10,000.000</v>
          </cell>
          <cell r="J105" t="str">
            <v>10,000.000</v>
          </cell>
        </row>
        <row r="106">
          <cell r="D106">
            <v>10110016965</v>
          </cell>
          <cell r="E106" t="str">
            <v>深圳市巨新科电子有限公司</v>
          </cell>
          <cell r="F106">
            <v>1.695E-2</v>
          </cell>
          <cell r="G106" t="str">
            <v>CNY</v>
          </cell>
          <cell r="H106" t="str">
            <v>90</v>
          </cell>
          <cell r="I106" t="str">
            <v>4,000.000</v>
          </cell>
          <cell r="J106" t="str">
            <v>4,000.000</v>
          </cell>
        </row>
        <row r="107">
          <cell r="D107">
            <v>10110016977</v>
          </cell>
          <cell r="E107" t="str">
            <v>广东顺德集财电子有限公司</v>
          </cell>
          <cell r="F107">
            <v>1.0200000000000001E-2</v>
          </cell>
          <cell r="G107" t="str">
            <v>CNY</v>
          </cell>
          <cell r="H107" t="str">
            <v>56</v>
          </cell>
          <cell r="I107" t="str">
            <v>4,000.000</v>
          </cell>
          <cell r="J107" t="str">
            <v>4,000.000</v>
          </cell>
        </row>
        <row r="108">
          <cell r="D108">
            <v>10110016988</v>
          </cell>
          <cell r="E108" t="str">
            <v>广东风华高新科技股份有限公司</v>
          </cell>
          <cell r="F108">
            <v>9.2999999999999992E-3</v>
          </cell>
          <cell r="G108" t="str">
            <v>CNY</v>
          </cell>
          <cell r="H108" t="str">
            <v>56</v>
          </cell>
          <cell r="I108" t="str">
            <v>4,000.000</v>
          </cell>
          <cell r="J108" t="str">
            <v>4,000.000</v>
          </cell>
        </row>
        <row r="109">
          <cell r="D109">
            <v>10110018933</v>
          </cell>
          <cell r="E109" t="str">
            <v>东莞华科电子有限公司</v>
          </cell>
          <cell r="F109">
            <v>7.9100000000000004E-3</v>
          </cell>
          <cell r="G109" t="str">
            <v>CNY</v>
          </cell>
          <cell r="H109" t="str">
            <v>84</v>
          </cell>
          <cell r="I109" t="str">
            <v>10,000.000</v>
          </cell>
          <cell r="J109" t="str">
            <v>10,000.000</v>
          </cell>
        </row>
        <row r="110">
          <cell r="D110">
            <v>10110019073</v>
          </cell>
          <cell r="E110" t="str">
            <v>广东风华高新科技股份有限公司</v>
          </cell>
          <cell r="F110">
            <v>0.17799999999999999</v>
          </cell>
          <cell r="G110" t="str">
            <v>CNY</v>
          </cell>
          <cell r="H110" t="str">
            <v>56</v>
          </cell>
          <cell r="I110" t="str">
            <v>1,000.000</v>
          </cell>
          <cell r="J110" t="str">
            <v>1,000.000</v>
          </cell>
        </row>
        <row r="111">
          <cell r="D111">
            <v>10110020767</v>
          </cell>
          <cell r="E111" t="str">
            <v>广东顺德集财电子有限公司</v>
          </cell>
          <cell r="F111">
            <v>5.5399999999999998E-2</v>
          </cell>
          <cell r="G111" t="str">
            <v>CNY</v>
          </cell>
          <cell r="H111" t="str">
            <v>84</v>
          </cell>
          <cell r="I111" t="str">
            <v>10,000.000</v>
          </cell>
          <cell r="J111" t="str">
            <v>10,000.000</v>
          </cell>
        </row>
        <row r="112">
          <cell r="D112">
            <v>10110022271</v>
          </cell>
          <cell r="E112" t="str">
            <v>六和电子（江西）有限公司</v>
          </cell>
          <cell r="F112">
            <v>0.26300000000000001</v>
          </cell>
          <cell r="G112" t="str">
            <v>CNY</v>
          </cell>
          <cell r="H112" t="str">
            <v>35</v>
          </cell>
          <cell r="I112" t="str">
            <v>4,000.000</v>
          </cell>
          <cell r="J112" t="str">
            <v>4,000.000</v>
          </cell>
        </row>
        <row r="113">
          <cell r="D113">
            <v>10110024693</v>
          </cell>
          <cell r="E113" t="str">
            <v>东莞昱新电子有限公司</v>
          </cell>
          <cell r="F113">
            <v>0.14535000000000001</v>
          </cell>
          <cell r="G113" t="str">
            <v>CNY</v>
          </cell>
          <cell r="H113" t="str">
            <v>20</v>
          </cell>
          <cell r="I113" t="str">
            <v>6,000.000</v>
          </cell>
          <cell r="J113" t="str">
            <v>600.000</v>
          </cell>
        </row>
        <row r="114">
          <cell r="D114">
            <v>10140000397</v>
          </cell>
          <cell r="E114" t="str">
            <v>深圳市合信昌科技有限公司</v>
          </cell>
          <cell r="F114">
            <v>7.4999999999999997E-2</v>
          </cell>
          <cell r="G114" t="str">
            <v>CNY</v>
          </cell>
          <cell r="H114" t="str">
            <v>70</v>
          </cell>
          <cell r="I114" t="str">
            <v>1,800.000</v>
          </cell>
          <cell r="J114" t="str">
            <v>1,800.000</v>
          </cell>
        </row>
        <row r="115">
          <cell r="D115">
            <v>10140002123</v>
          </cell>
          <cell r="E115" t="str">
            <v>利尔达科技集团股份有限公司</v>
          </cell>
          <cell r="F115">
            <v>3.4500000000000003E-2</v>
          </cell>
          <cell r="G115" t="str">
            <v>CNY</v>
          </cell>
          <cell r="H115" t="str">
            <v>56</v>
          </cell>
          <cell r="I115" t="str">
            <v>3,000.000</v>
          </cell>
          <cell r="J115" t="str">
            <v>3,000.000</v>
          </cell>
        </row>
        <row r="116">
          <cell r="D116">
            <v>10140002743</v>
          </cell>
          <cell r="E116" t="str">
            <v>深圳市驰顺科技有限公司</v>
          </cell>
          <cell r="F116">
            <v>0.04</v>
          </cell>
          <cell r="G116" t="str">
            <v>CNY</v>
          </cell>
          <cell r="H116" t="str">
            <v>90</v>
          </cell>
          <cell r="I116" t="str">
            <v>7,500.000</v>
          </cell>
          <cell r="J116" t="str">
            <v>7,500.000</v>
          </cell>
        </row>
        <row r="117">
          <cell r="D117">
            <v>10140003381</v>
          </cell>
          <cell r="E117" t="str">
            <v>深圳南丰电子股份有限公司</v>
          </cell>
          <cell r="F117">
            <v>3.3599999999999998E-2</v>
          </cell>
          <cell r="G117" t="str">
            <v>CNY</v>
          </cell>
          <cell r="H117" t="str">
            <v>70</v>
          </cell>
          <cell r="I117" t="str">
            <v>7,500.000</v>
          </cell>
          <cell r="J117" t="str">
            <v>7,500.000</v>
          </cell>
        </row>
        <row r="118">
          <cell r="D118">
            <v>10140006310</v>
          </cell>
          <cell r="E118" t="str">
            <v>深圳翰世宇科技有限公司</v>
          </cell>
          <cell r="F118">
            <v>4.8000000000000001E-2</v>
          </cell>
          <cell r="G118" t="str">
            <v>CNY</v>
          </cell>
          <cell r="H118" t="str">
            <v>56</v>
          </cell>
          <cell r="I118" t="str">
            <v>3,000.000</v>
          </cell>
          <cell r="J118" t="str">
            <v>3,000.000</v>
          </cell>
        </row>
        <row r="119">
          <cell r="D119">
            <v>10140012358</v>
          </cell>
          <cell r="E119" t="str">
            <v>东莞市意中半导体有限公司</v>
          </cell>
          <cell r="F119">
            <v>3.3000000000000002E-2</v>
          </cell>
          <cell r="G119" t="str">
            <v>CNY</v>
          </cell>
          <cell r="H119" t="str">
            <v>60</v>
          </cell>
          <cell r="I119" t="str">
            <v>5,000.000</v>
          </cell>
          <cell r="J119" t="str">
            <v>5,000.000</v>
          </cell>
        </row>
        <row r="120">
          <cell r="D120">
            <v>10140013896</v>
          </cell>
          <cell r="E120" t="str">
            <v>深圳翰世宇科技有限公司</v>
          </cell>
          <cell r="F120">
            <v>5.8000000000000003E-2</v>
          </cell>
          <cell r="G120" t="str">
            <v>CNY</v>
          </cell>
          <cell r="H120" t="str">
            <v>56</v>
          </cell>
          <cell r="I120" t="str">
            <v>5,000.000</v>
          </cell>
          <cell r="J120" t="str">
            <v>5,000.000</v>
          </cell>
        </row>
        <row r="121">
          <cell r="D121">
            <v>10140014223</v>
          </cell>
          <cell r="E121" t="str">
            <v>深圳翰世宇科技有限公司</v>
          </cell>
          <cell r="F121">
            <v>0.19500000000000001</v>
          </cell>
          <cell r="G121" t="str">
            <v>CNY</v>
          </cell>
          <cell r="H121" t="str">
            <v>56</v>
          </cell>
          <cell r="I121" t="str">
            <v>5,000.000</v>
          </cell>
          <cell r="J121" t="str">
            <v>5,000.000</v>
          </cell>
        </row>
        <row r="122">
          <cell r="D122">
            <v>10160006989</v>
          </cell>
          <cell r="E122" t="str">
            <v>浙江瑞丰光电有限公司</v>
          </cell>
          <cell r="F122">
            <v>4.8399999999999999E-2</v>
          </cell>
          <cell r="G122" t="str">
            <v>CNY</v>
          </cell>
          <cell r="H122" t="str">
            <v>28</v>
          </cell>
          <cell r="I122" t="str">
            <v>60,000.000</v>
          </cell>
          <cell r="J122" t="str">
            <v>4,000.000</v>
          </cell>
        </row>
        <row r="123">
          <cell r="D123">
            <v>10160007699</v>
          </cell>
          <cell r="E123" t="str">
            <v>肇庆市立得电子有限公司</v>
          </cell>
          <cell r="F123">
            <v>4.2999999999999997E-2</v>
          </cell>
          <cell r="G123" t="str">
            <v>CNY</v>
          </cell>
          <cell r="H123" t="str">
            <v>30</v>
          </cell>
          <cell r="I123" t="str">
            <v>20,000.000</v>
          </cell>
          <cell r="J123" t="str">
            <v>4,000.000</v>
          </cell>
        </row>
        <row r="124">
          <cell r="D124">
            <v>10160007809</v>
          </cell>
          <cell r="E124" t="str">
            <v>广东长利光电科技有限公司</v>
          </cell>
          <cell r="F124">
            <v>2.5999999999999999E-2</v>
          </cell>
          <cell r="G124" t="str">
            <v>CNY</v>
          </cell>
          <cell r="H124" t="str">
            <v>28</v>
          </cell>
          <cell r="I124" t="str">
            <v>4,000.000</v>
          </cell>
          <cell r="J124" t="str">
            <v>4,000.000</v>
          </cell>
        </row>
        <row r="125">
          <cell r="D125">
            <v>10160007865</v>
          </cell>
          <cell r="E125" t="str">
            <v>广东长利光电科技有限公司</v>
          </cell>
          <cell r="F125">
            <v>2.75E-2</v>
          </cell>
          <cell r="G125" t="str">
            <v>CNY</v>
          </cell>
          <cell r="H125" t="str">
            <v>10</v>
          </cell>
          <cell r="I125" t="str">
            <v>4,000.000</v>
          </cell>
          <cell r="J125" t="str">
            <v>4,000.000</v>
          </cell>
        </row>
        <row r="126">
          <cell r="D126">
            <v>10190000675</v>
          </cell>
          <cell r="E126" t="str">
            <v>好利来（厦门）电路保护科技有限公司</v>
          </cell>
          <cell r="F126">
            <v>8.3000000000000004E-2</v>
          </cell>
          <cell r="G126" t="str">
            <v>CNY</v>
          </cell>
          <cell r="H126" t="str">
            <v>45</v>
          </cell>
          <cell r="I126" t="str">
            <v>1,000.000</v>
          </cell>
          <cell r="J126" t="str">
            <v>1,000.000</v>
          </cell>
        </row>
        <row r="127">
          <cell r="D127">
            <v>10190001176</v>
          </cell>
          <cell r="E127" t="str">
            <v>东莞市贝特电子科技股份有限公司</v>
          </cell>
          <cell r="F127">
            <v>9.5000000000000001E-2</v>
          </cell>
          <cell r="G127" t="str">
            <v>CNY</v>
          </cell>
          <cell r="H127" t="str">
            <v>21</v>
          </cell>
          <cell r="I127" t="str">
            <v>1,000.000</v>
          </cell>
          <cell r="J127" t="str">
            <v>1,000.000</v>
          </cell>
        </row>
        <row r="128">
          <cell r="D128">
            <v>10190002307</v>
          </cell>
          <cell r="E128" t="str">
            <v>青岛宝融电子有限公司</v>
          </cell>
          <cell r="F128">
            <v>0.155</v>
          </cell>
          <cell r="G128" t="str">
            <v>CNY</v>
          </cell>
          <cell r="H128" t="str">
            <v>112</v>
          </cell>
          <cell r="I128" t="str">
            <v>1,400.000</v>
          </cell>
          <cell r="J128" t="str">
            <v>1,400.000</v>
          </cell>
        </row>
        <row r="129">
          <cell r="D129">
            <v>10100002122</v>
          </cell>
          <cell r="E129" t="str">
            <v>深圳市欧尔法电子有限公司</v>
          </cell>
          <cell r="F129">
            <v>4.7999999999999996E-3</v>
          </cell>
          <cell r="G129" t="str">
            <v>CNY</v>
          </cell>
          <cell r="H129" t="str">
            <v>56</v>
          </cell>
          <cell r="I129" t="str">
            <v>5,000.000</v>
          </cell>
          <cell r="J129" t="str">
            <v>5,000.000</v>
          </cell>
        </row>
        <row r="130">
          <cell r="D130">
            <v>10100002123</v>
          </cell>
          <cell r="E130" t="str">
            <v>广东风华高新科技股份有限公司</v>
          </cell>
          <cell r="F130">
            <v>3.7200000000000002E-3</v>
          </cell>
          <cell r="G130" t="str">
            <v>CNY</v>
          </cell>
          <cell r="H130" t="str">
            <v>42</v>
          </cell>
          <cell r="I130" t="str">
            <v>5,000.000</v>
          </cell>
          <cell r="J130" t="str">
            <v>5,000.000</v>
          </cell>
        </row>
        <row r="131">
          <cell r="D131">
            <v>10100002715</v>
          </cell>
          <cell r="E131" t="str">
            <v>深圳市欧尔法电子有限公司</v>
          </cell>
          <cell r="F131">
            <v>4.7999999999999996E-3</v>
          </cell>
          <cell r="G131" t="str">
            <v>CNY</v>
          </cell>
          <cell r="H131" t="str">
            <v>70</v>
          </cell>
          <cell r="I131" t="str">
            <v>5,000.000</v>
          </cell>
          <cell r="J131" t="str">
            <v>5,000.000</v>
          </cell>
        </row>
        <row r="132">
          <cell r="D132">
            <v>10100003500</v>
          </cell>
          <cell r="E132" t="str">
            <v>深圳市超利维实业有限公司</v>
          </cell>
          <cell r="F132">
            <v>2.5999999999999999E-3</v>
          </cell>
          <cell r="G132" t="str">
            <v>CNY</v>
          </cell>
          <cell r="H132" t="str">
            <v>56</v>
          </cell>
          <cell r="I132" t="str">
            <v>5,000.000</v>
          </cell>
          <cell r="J132" t="str">
            <v>5,000.000</v>
          </cell>
        </row>
        <row r="133">
          <cell r="D133">
            <v>10100003511</v>
          </cell>
          <cell r="E133" t="str">
            <v>深圳市欧尔法电子有限公司</v>
          </cell>
          <cell r="F133">
            <v>8.0000000000000002E-3</v>
          </cell>
          <cell r="G133" t="str">
            <v>CNY</v>
          </cell>
          <cell r="H133" t="str">
            <v>56</v>
          </cell>
          <cell r="I133" t="str">
            <v>5,000.000</v>
          </cell>
          <cell r="J133" t="str">
            <v>5,000.000</v>
          </cell>
        </row>
        <row r="134">
          <cell r="D134">
            <v>10100004833</v>
          </cell>
          <cell r="E134" t="str">
            <v>东莞华科电子有限公司</v>
          </cell>
          <cell r="F134">
            <v>3.8800000000000002E-3</v>
          </cell>
          <cell r="G134" t="str">
            <v>CNY</v>
          </cell>
          <cell r="H134" t="str">
            <v>56</v>
          </cell>
          <cell r="I134" t="str">
            <v>5,000.000</v>
          </cell>
          <cell r="J134" t="str">
            <v>5,000.000</v>
          </cell>
        </row>
        <row r="135">
          <cell r="D135">
            <v>10100005487</v>
          </cell>
          <cell r="E135" t="str">
            <v>厚声国际贸易（昆山）有限公司深圳分公司</v>
          </cell>
          <cell r="F135">
            <v>3.8E-3</v>
          </cell>
          <cell r="G135" t="str">
            <v>CNY</v>
          </cell>
          <cell r="H135" t="str">
            <v>56</v>
          </cell>
          <cell r="I135" t="str">
            <v>5,000.000</v>
          </cell>
          <cell r="J135" t="str">
            <v>5,000.000</v>
          </cell>
        </row>
        <row r="136">
          <cell r="D136">
            <v>10100005503</v>
          </cell>
          <cell r="E136" t="str">
            <v>厚声国际贸易（昆山）有限公司深圳分公司</v>
          </cell>
          <cell r="F136">
            <v>3.8E-3</v>
          </cell>
          <cell r="G136" t="str">
            <v>CNY</v>
          </cell>
          <cell r="H136" t="str">
            <v>56</v>
          </cell>
          <cell r="I136" t="str">
            <v>5,000.000</v>
          </cell>
          <cell r="J136" t="str">
            <v>5,000.000</v>
          </cell>
        </row>
        <row r="137">
          <cell r="D137">
            <v>10100005703</v>
          </cell>
          <cell r="E137" t="str">
            <v>深圳市超利维实业有限公司</v>
          </cell>
          <cell r="F137">
            <v>1.4E-3</v>
          </cell>
          <cell r="G137" t="str">
            <v>CNY</v>
          </cell>
          <cell r="H137" t="str">
            <v>84</v>
          </cell>
          <cell r="I137" t="str">
            <v>10,000.000</v>
          </cell>
          <cell r="J137" t="str">
            <v>10,000.000</v>
          </cell>
        </row>
        <row r="138">
          <cell r="D138">
            <v>10100005718</v>
          </cell>
          <cell r="E138" t="str">
            <v>广东风华高新科技股份有限公司</v>
          </cell>
          <cell r="F138">
            <v>1.1000000000000001E-3</v>
          </cell>
          <cell r="G138" t="str">
            <v>CNY</v>
          </cell>
          <cell r="H138" t="str">
            <v>42</v>
          </cell>
          <cell r="I138" t="str">
            <v>10,000.000</v>
          </cell>
          <cell r="J138" t="str">
            <v>10,000.000</v>
          </cell>
        </row>
        <row r="139">
          <cell r="D139">
            <v>10100005795</v>
          </cell>
          <cell r="E139" t="str">
            <v>广东风华高新科技股份有限公司</v>
          </cell>
          <cell r="F139">
            <v>1.1000000000000001E-3</v>
          </cell>
          <cell r="G139" t="str">
            <v>CNY</v>
          </cell>
          <cell r="H139" t="str">
            <v>42</v>
          </cell>
          <cell r="I139" t="str">
            <v>10,000.000</v>
          </cell>
          <cell r="J139" t="str">
            <v>10,000.000</v>
          </cell>
        </row>
        <row r="140">
          <cell r="D140">
            <v>10100006398</v>
          </cell>
          <cell r="E140" t="str">
            <v>广东风华高新科技股份有限公司</v>
          </cell>
          <cell r="F140">
            <v>6.3699999999999998E-3</v>
          </cell>
          <cell r="G140" t="str">
            <v>CNY</v>
          </cell>
          <cell r="H140" t="str">
            <v>42</v>
          </cell>
          <cell r="I140" t="str">
            <v>4,000.000</v>
          </cell>
          <cell r="J140" t="str">
            <v>4,000.000</v>
          </cell>
        </row>
        <row r="141">
          <cell r="D141">
            <v>10100006507</v>
          </cell>
          <cell r="E141" t="str">
            <v>广东风华高新科技股份有限公司</v>
          </cell>
          <cell r="F141">
            <v>2.0799999999999998E-3</v>
          </cell>
          <cell r="G141" t="str">
            <v>CNY</v>
          </cell>
          <cell r="H141" t="str">
            <v>42</v>
          </cell>
          <cell r="I141" t="str">
            <v>5,000.000</v>
          </cell>
          <cell r="J141" t="str">
            <v>5,000.000</v>
          </cell>
        </row>
        <row r="142">
          <cell r="D142">
            <v>10100006627</v>
          </cell>
          <cell r="E142" t="str">
            <v>广东风华高新科技股份有限公司</v>
          </cell>
          <cell r="F142">
            <v>3.7200000000000002E-3</v>
          </cell>
          <cell r="G142" t="str">
            <v>CNY</v>
          </cell>
          <cell r="H142" t="str">
            <v>42</v>
          </cell>
          <cell r="I142" t="str">
            <v>5,000.000</v>
          </cell>
          <cell r="J142" t="str">
            <v>5,000.000</v>
          </cell>
        </row>
        <row r="143">
          <cell r="D143">
            <v>10100006711</v>
          </cell>
          <cell r="E143" t="str">
            <v>东莞华科电子有限公司</v>
          </cell>
          <cell r="F143">
            <v>1.17E-3</v>
          </cell>
          <cell r="G143" t="str">
            <v>CNY</v>
          </cell>
          <cell r="H143" t="str">
            <v>56</v>
          </cell>
          <cell r="I143" t="str">
            <v>10,000.000</v>
          </cell>
          <cell r="J143" t="str">
            <v>10,000.000</v>
          </cell>
        </row>
        <row r="144">
          <cell r="D144">
            <v>10100006845</v>
          </cell>
          <cell r="E144" t="str">
            <v>东莞华科电子有限公司</v>
          </cell>
          <cell r="F144">
            <v>2.2200000000000002E-3</v>
          </cell>
          <cell r="G144" t="str">
            <v>CNY</v>
          </cell>
          <cell r="H144" t="str">
            <v>56</v>
          </cell>
          <cell r="I144" t="str">
            <v>5,000.000</v>
          </cell>
          <cell r="J144" t="str">
            <v>5,000.000</v>
          </cell>
        </row>
        <row r="145">
          <cell r="D145">
            <v>10100007109</v>
          </cell>
          <cell r="E145" t="str">
            <v>东莞华科电子有限公司</v>
          </cell>
          <cell r="F145">
            <v>3.8800000000000002E-3</v>
          </cell>
          <cell r="G145" t="str">
            <v>CNY</v>
          </cell>
          <cell r="H145" t="str">
            <v>56</v>
          </cell>
          <cell r="I145" t="str">
            <v>5,000.000</v>
          </cell>
          <cell r="J145" t="str">
            <v>5,000.000</v>
          </cell>
        </row>
        <row r="146">
          <cell r="D146">
            <v>10100007174</v>
          </cell>
          <cell r="E146" t="str">
            <v>东莞华科电子有限公司</v>
          </cell>
          <cell r="F146">
            <v>6.9499999999999996E-3</v>
          </cell>
          <cell r="G146" t="str">
            <v>CNY</v>
          </cell>
          <cell r="H146" t="str">
            <v>56</v>
          </cell>
          <cell r="I146" t="str">
            <v>5,000.000</v>
          </cell>
          <cell r="J146" t="str">
            <v>5,000.000</v>
          </cell>
        </row>
        <row r="147">
          <cell r="D147">
            <v>10100007615</v>
          </cell>
          <cell r="E147" t="str">
            <v>深圳市超利维实业有限公司</v>
          </cell>
          <cell r="F147">
            <v>1.4E-3</v>
          </cell>
          <cell r="G147" t="str">
            <v>CNY</v>
          </cell>
          <cell r="H147" t="str">
            <v>84</v>
          </cell>
          <cell r="I147" t="str">
            <v>10,000.000</v>
          </cell>
          <cell r="J147" t="str">
            <v>10,000.000</v>
          </cell>
        </row>
        <row r="148">
          <cell r="D148">
            <v>10100007852</v>
          </cell>
          <cell r="E148" t="str">
            <v>深圳市欧尔法电子有限公司</v>
          </cell>
          <cell r="F148">
            <v>8.0000000000000002E-3</v>
          </cell>
          <cell r="G148" t="str">
            <v>CNY</v>
          </cell>
          <cell r="H148" t="str">
            <v>70</v>
          </cell>
          <cell r="I148" t="str">
            <v>5,000.000</v>
          </cell>
          <cell r="J148" t="str">
            <v>5,000.000</v>
          </cell>
        </row>
        <row r="149">
          <cell r="D149">
            <v>10100008057</v>
          </cell>
          <cell r="E149" t="str">
            <v>广东风华高新科技股份有限公司</v>
          </cell>
          <cell r="F149">
            <v>1.1000000000000001E-3</v>
          </cell>
          <cell r="G149" t="str">
            <v>CNY</v>
          </cell>
          <cell r="H149" t="str">
            <v>42</v>
          </cell>
          <cell r="I149" t="str">
            <v>10,000.000</v>
          </cell>
          <cell r="J149" t="str">
            <v>10,000.000</v>
          </cell>
        </row>
        <row r="150">
          <cell r="D150">
            <v>10100008069</v>
          </cell>
          <cell r="E150" t="str">
            <v>东莞华科电子有限公司</v>
          </cell>
          <cell r="F150">
            <v>1.17E-3</v>
          </cell>
          <cell r="G150" t="str">
            <v>CNY</v>
          </cell>
          <cell r="H150" t="str">
            <v>56</v>
          </cell>
          <cell r="I150" t="str">
            <v>10,000.000</v>
          </cell>
          <cell r="J150" t="str">
            <v>10,000.000</v>
          </cell>
        </row>
        <row r="151">
          <cell r="D151">
            <v>10100008075</v>
          </cell>
          <cell r="E151" t="str">
            <v>深圳市超利维实业有限公司</v>
          </cell>
          <cell r="F151">
            <v>1.4E-3</v>
          </cell>
          <cell r="G151" t="str">
            <v>CNY</v>
          </cell>
          <cell r="H151" t="str">
            <v>84</v>
          </cell>
          <cell r="I151" t="str">
            <v>10,000.000</v>
          </cell>
          <cell r="J151" t="str">
            <v>10,000.000</v>
          </cell>
        </row>
        <row r="152">
          <cell r="D152">
            <v>10100008302</v>
          </cell>
          <cell r="E152" t="str">
            <v>东莞华科电子有限公司</v>
          </cell>
          <cell r="F152">
            <v>1.17E-3</v>
          </cell>
          <cell r="G152" t="str">
            <v>CNY</v>
          </cell>
          <cell r="H152" t="str">
            <v>56</v>
          </cell>
          <cell r="I152" t="str">
            <v>10,000.000</v>
          </cell>
          <cell r="J152" t="str">
            <v>10,000.000</v>
          </cell>
        </row>
        <row r="153">
          <cell r="D153">
            <v>10100008776</v>
          </cell>
          <cell r="E153" t="str">
            <v>广东风华高新科技股份有限公司</v>
          </cell>
          <cell r="F153">
            <v>2.0799999999999998E-3</v>
          </cell>
          <cell r="G153" t="str">
            <v>CNY</v>
          </cell>
          <cell r="H153" t="str">
            <v>42</v>
          </cell>
          <cell r="I153" t="str">
            <v>5,000.000</v>
          </cell>
          <cell r="J153" t="str">
            <v>5,000.000</v>
          </cell>
        </row>
        <row r="154">
          <cell r="D154">
            <v>10100008827</v>
          </cell>
          <cell r="E154" t="str">
            <v>东莞华科电子有限公司</v>
          </cell>
          <cell r="F154">
            <v>1.17E-3</v>
          </cell>
          <cell r="G154" t="str">
            <v>CNY</v>
          </cell>
          <cell r="H154" t="str">
            <v>56</v>
          </cell>
          <cell r="I154" t="str">
            <v>10,000.000</v>
          </cell>
          <cell r="J154" t="str">
            <v>10,000.000</v>
          </cell>
        </row>
        <row r="155">
          <cell r="D155">
            <v>10100008830</v>
          </cell>
          <cell r="E155" t="str">
            <v>深圳市欧尔法电子有限公司</v>
          </cell>
          <cell r="F155">
            <v>1.39E-3</v>
          </cell>
          <cell r="G155" t="str">
            <v>CNY</v>
          </cell>
          <cell r="H155" t="str">
            <v>56</v>
          </cell>
          <cell r="I155" t="str">
            <v>10,000.000</v>
          </cell>
          <cell r="J155" t="str">
            <v>10,000.000</v>
          </cell>
        </row>
        <row r="156">
          <cell r="D156">
            <v>10100009093</v>
          </cell>
          <cell r="E156" t="str">
            <v>东莞华科电子有限公司</v>
          </cell>
          <cell r="F156">
            <v>1.17E-3</v>
          </cell>
          <cell r="G156" t="str">
            <v>CNY</v>
          </cell>
          <cell r="H156" t="str">
            <v>56</v>
          </cell>
          <cell r="I156" t="str">
            <v>10,000.000</v>
          </cell>
          <cell r="J156" t="str">
            <v>10,000.000</v>
          </cell>
        </row>
        <row r="157">
          <cell r="D157">
            <v>10100009838</v>
          </cell>
          <cell r="E157" t="str">
            <v>厚声国际贸易（昆山）有限公司深圳分公司</v>
          </cell>
          <cell r="F157">
            <v>1.09E-3</v>
          </cell>
          <cell r="G157" t="str">
            <v>CNY</v>
          </cell>
          <cell r="H157" t="str">
            <v>42</v>
          </cell>
          <cell r="I157" t="str">
            <v>10,000.000</v>
          </cell>
          <cell r="J157" t="str">
            <v>10,000.000</v>
          </cell>
        </row>
        <row r="158">
          <cell r="D158">
            <v>10100010045</v>
          </cell>
          <cell r="E158" t="str">
            <v>东莞华科电子有限公司</v>
          </cell>
          <cell r="F158">
            <v>1.17E-3</v>
          </cell>
          <cell r="G158" t="str">
            <v>CNY</v>
          </cell>
          <cell r="H158" t="str">
            <v>56</v>
          </cell>
          <cell r="I158" t="str">
            <v>10,000.000</v>
          </cell>
          <cell r="J158" t="str">
            <v>10,000.000</v>
          </cell>
        </row>
        <row r="159">
          <cell r="D159">
            <v>10100011090</v>
          </cell>
          <cell r="E159" t="str">
            <v>厚声国际贸易（昆山）有限公司深圳分公司</v>
          </cell>
          <cell r="F159">
            <v>2.0999999999999999E-3</v>
          </cell>
          <cell r="G159" t="str">
            <v>CNY</v>
          </cell>
          <cell r="H159" t="str">
            <v>56</v>
          </cell>
          <cell r="I159" t="str">
            <v>5,000.000</v>
          </cell>
          <cell r="J159" t="str">
            <v>5,000.000</v>
          </cell>
        </row>
        <row r="160">
          <cell r="D160">
            <v>10100011726</v>
          </cell>
          <cell r="E160" t="str">
            <v>深圳市欧尔法电子有限公司</v>
          </cell>
          <cell r="F160">
            <v>1.39E-3</v>
          </cell>
          <cell r="G160" t="str">
            <v>CNY</v>
          </cell>
          <cell r="H160" t="str">
            <v>56</v>
          </cell>
          <cell r="I160" t="str">
            <v>10,000.000</v>
          </cell>
          <cell r="J160" t="str">
            <v>10,000.000</v>
          </cell>
        </row>
        <row r="161">
          <cell r="D161">
            <v>10100011886</v>
          </cell>
          <cell r="E161" t="str">
            <v>厚声国际贸易（昆山）有限公司深圳分公司</v>
          </cell>
          <cell r="F161">
            <v>1.09E-3</v>
          </cell>
          <cell r="G161" t="str">
            <v>CNY</v>
          </cell>
          <cell r="H161" t="str">
            <v>56</v>
          </cell>
          <cell r="I161" t="str">
            <v>10,000.000</v>
          </cell>
          <cell r="J161" t="str">
            <v>10,000.000</v>
          </cell>
        </row>
        <row r="162">
          <cell r="D162">
            <v>10100011993</v>
          </cell>
          <cell r="E162" t="str">
            <v>广东风华高新科技股份有限公司</v>
          </cell>
          <cell r="F162">
            <v>1.1000000000000001E-3</v>
          </cell>
          <cell r="G162" t="str">
            <v>CNY</v>
          </cell>
          <cell r="H162" t="str">
            <v>42</v>
          </cell>
          <cell r="I162" t="str">
            <v>10,000.000</v>
          </cell>
          <cell r="J162" t="str">
            <v>10,000.000</v>
          </cell>
        </row>
        <row r="163">
          <cell r="D163">
            <v>10100013040</v>
          </cell>
          <cell r="E163" t="str">
            <v>厚声国际贸易（昆山）有限公司深圳分公司</v>
          </cell>
          <cell r="F163">
            <v>1.09E-3</v>
          </cell>
          <cell r="G163" t="str">
            <v>CNY</v>
          </cell>
          <cell r="H163" t="str">
            <v>42</v>
          </cell>
          <cell r="I163" t="str">
            <v>10,000.000</v>
          </cell>
          <cell r="J163" t="str">
            <v>10,000.000</v>
          </cell>
        </row>
        <row r="164">
          <cell r="D164">
            <v>10100013093</v>
          </cell>
          <cell r="E164" t="str">
            <v>厚声国际贸易（昆山）有限公司深圳分公司</v>
          </cell>
          <cell r="F164">
            <v>1.09E-3</v>
          </cell>
          <cell r="G164" t="str">
            <v>CNY</v>
          </cell>
          <cell r="H164" t="str">
            <v>42</v>
          </cell>
          <cell r="I164" t="str">
            <v>10,000.000</v>
          </cell>
          <cell r="J164" t="str">
            <v>10,000.000</v>
          </cell>
        </row>
        <row r="165">
          <cell r="D165">
            <v>10100013936</v>
          </cell>
          <cell r="E165" t="str">
            <v>广东风华高新科技股份有限公司</v>
          </cell>
          <cell r="F165">
            <v>1.1000000000000001E-3</v>
          </cell>
          <cell r="G165" t="str">
            <v>CNY</v>
          </cell>
          <cell r="H165" t="str">
            <v>42</v>
          </cell>
          <cell r="I165" t="str">
            <v>10,000.000</v>
          </cell>
          <cell r="J165" t="str">
            <v>10,000.000</v>
          </cell>
        </row>
        <row r="166">
          <cell r="D166">
            <v>10100014304</v>
          </cell>
          <cell r="E166" t="str">
            <v>东莞华科电子有限公司</v>
          </cell>
          <cell r="F166">
            <v>6.9499999999999996E-3</v>
          </cell>
          <cell r="G166" t="str">
            <v>CNY</v>
          </cell>
          <cell r="H166" t="str">
            <v>56</v>
          </cell>
          <cell r="I166" t="str">
            <v>5,000.000</v>
          </cell>
          <cell r="J166" t="str">
            <v>5,000.000</v>
          </cell>
        </row>
        <row r="167">
          <cell r="D167">
            <v>10100014735</v>
          </cell>
          <cell r="E167" t="str">
            <v>厚声国际贸易（昆山）有限公司深圳分公司</v>
          </cell>
          <cell r="F167">
            <v>1.09E-3</v>
          </cell>
          <cell r="G167" t="str">
            <v>CNY</v>
          </cell>
          <cell r="H167" t="str">
            <v>42</v>
          </cell>
          <cell r="I167" t="str">
            <v>10,000.000</v>
          </cell>
          <cell r="J167" t="str">
            <v>10,000.000</v>
          </cell>
        </row>
        <row r="168">
          <cell r="D168">
            <v>10100017206</v>
          </cell>
          <cell r="E168" t="str">
            <v>厚声国际贸易（昆山）有限公司深圳分公司</v>
          </cell>
          <cell r="F168">
            <v>6.7799999999999996E-3</v>
          </cell>
          <cell r="G168" t="str">
            <v>CNY</v>
          </cell>
          <cell r="H168" t="str">
            <v>70</v>
          </cell>
          <cell r="I168" t="str">
            <v>5,000.000</v>
          </cell>
          <cell r="J168" t="str">
            <v>5,000.000</v>
          </cell>
        </row>
        <row r="169">
          <cell r="D169">
            <v>10100017511</v>
          </cell>
          <cell r="E169" t="str">
            <v>南充溢辉电子科技有限公司</v>
          </cell>
          <cell r="F169">
            <v>5.5999999999999999E-3</v>
          </cell>
          <cell r="G169" t="str">
            <v>CNY</v>
          </cell>
          <cell r="H169" t="str">
            <v>42</v>
          </cell>
          <cell r="I169" t="str">
            <v>5,000.000</v>
          </cell>
          <cell r="J169" t="str">
            <v>5,000.000</v>
          </cell>
        </row>
        <row r="170">
          <cell r="D170">
            <v>10100017551</v>
          </cell>
          <cell r="E170" t="str">
            <v>南充溢辉电子科技有限公司</v>
          </cell>
          <cell r="F170">
            <v>5.5999999999999999E-3</v>
          </cell>
          <cell r="G170" t="str">
            <v>CNY</v>
          </cell>
          <cell r="H170" t="str">
            <v>35</v>
          </cell>
          <cell r="I170" t="str">
            <v>5,000.000</v>
          </cell>
          <cell r="J170" t="str">
            <v>5,000.000</v>
          </cell>
        </row>
        <row r="171">
          <cell r="D171">
            <v>10100017616</v>
          </cell>
          <cell r="E171" t="str">
            <v>南充溢辉电子科技有限公司</v>
          </cell>
          <cell r="F171">
            <v>9.7999999999999997E-4</v>
          </cell>
          <cell r="G171" t="str">
            <v>CNY</v>
          </cell>
          <cell r="H171" t="str">
            <v>42</v>
          </cell>
          <cell r="I171" t="str">
            <v>10,000.000</v>
          </cell>
          <cell r="J171" t="str">
            <v>10,000.000</v>
          </cell>
        </row>
        <row r="172">
          <cell r="D172">
            <v>10100017618</v>
          </cell>
          <cell r="E172" t="str">
            <v>南充溢辉电子科技有限公司</v>
          </cell>
          <cell r="F172">
            <v>9.7999999999999997E-4</v>
          </cell>
          <cell r="G172" t="str">
            <v>CNY</v>
          </cell>
          <cell r="H172" t="str">
            <v>42</v>
          </cell>
          <cell r="I172" t="str">
            <v>10,000.000</v>
          </cell>
          <cell r="J172" t="str">
            <v>10,000.000</v>
          </cell>
        </row>
        <row r="173">
          <cell r="D173">
            <v>10100017642</v>
          </cell>
          <cell r="E173" t="str">
            <v>南充溢辉电子科技有限公司</v>
          </cell>
          <cell r="F173">
            <v>9.7999999999999997E-4</v>
          </cell>
          <cell r="G173" t="str">
            <v>CNY</v>
          </cell>
          <cell r="H173" t="str">
            <v>42</v>
          </cell>
          <cell r="I173" t="str">
            <v>10,000.000</v>
          </cell>
          <cell r="J173" t="str">
            <v>10,000.000</v>
          </cell>
        </row>
        <row r="174">
          <cell r="D174">
            <v>10100017664</v>
          </cell>
          <cell r="E174" t="str">
            <v>南充溢辉电子科技有限公司</v>
          </cell>
          <cell r="F174">
            <v>9.7999999999999997E-4</v>
          </cell>
          <cell r="G174" t="str">
            <v>CNY</v>
          </cell>
          <cell r="H174" t="str">
            <v>42</v>
          </cell>
          <cell r="I174" t="str">
            <v>10,000.000</v>
          </cell>
          <cell r="J174" t="str">
            <v>10,000.000</v>
          </cell>
        </row>
        <row r="175">
          <cell r="D175">
            <v>10100017679</v>
          </cell>
          <cell r="E175" t="str">
            <v>南充溢辉电子科技有限公司</v>
          </cell>
          <cell r="F175">
            <v>9.7999999999999997E-4</v>
          </cell>
          <cell r="G175" t="str">
            <v>CNY</v>
          </cell>
          <cell r="H175" t="str">
            <v>42</v>
          </cell>
          <cell r="I175" t="str">
            <v>10,000.000</v>
          </cell>
          <cell r="J175" t="str">
            <v>10,000.000</v>
          </cell>
        </row>
        <row r="176">
          <cell r="D176">
            <v>10100017738</v>
          </cell>
          <cell r="E176" t="str">
            <v>南充溢辉电子科技有限公司</v>
          </cell>
          <cell r="F176">
            <v>9.7999999999999997E-4</v>
          </cell>
          <cell r="G176" t="str">
            <v>CNY</v>
          </cell>
          <cell r="H176" t="str">
            <v>42</v>
          </cell>
          <cell r="I176" t="str">
            <v>10,000.000</v>
          </cell>
          <cell r="J176" t="str">
            <v>10,000.000</v>
          </cell>
        </row>
        <row r="177">
          <cell r="D177">
            <v>10100017764</v>
          </cell>
          <cell r="E177" t="str">
            <v>南充溢辉电子科技有限公司</v>
          </cell>
          <cell r="F177">
            <v>9.7999999999999997E-4</v>
          </cell>
          <cell r="G177" t="str">
            <v>CNY</v>
          </cell>
          <cell r="H177" t="str">
            <v>42</v>
          </cell>
          <cell r="I177" t="str">
            <v>10,000.000</v>
          </cell>
          <cell r="J177" t="str">
            <v>10,000.000</v>
          </cell>
        </row>
        <row r="178">
          <cell r="D178">
            <v>10100017970</v>
          </cell>
          <cell r="E178" t="str">
            <v>南充溢辉电子科技有限公司</v>
          </cell>
          <cell r="F178">
            <v>1.8500000000000001E-3</v>
          </cell>
          <cell r="G178" t="str">
            <v>CNY</v>
          </cell>
          <cell r="H178" t="str">
            <v>42</v>
          </cell>
          <cell r="I178" t="str">
            <v>5,000.000</v>
          </cell>
          <cell r="J178" t="str">
            <v>5,000.000</v>
          </cell>
        </row>
        <row r="179">
          <cell r="D179">
            <v>10100018109</v>
          </cell>
          <cell r="E179" t="str">
            <v>南充溢辉电子科技有限公司</v>
          </cell>
          <cell r="F179">
            <v>3.3500000000000001E-3</v>
          </cell>
          <cell r="G179" t="str">
            <v>CNY</v>
          </cell>
          <cell r="H179" t="str">
            <v>42</v>
          </cell>
          <cell r="I179" t="str">
            <v>5,000.000</v>
          </cell>
          <cell r="J179" t="str">
            <v>5,000.000</v>
          </cell>
        </row>
        <row r="180">
          <cell r="D180">
            <v>10100018253</v>
          </cell>
          <cell r="E180" t="str">
            <v>南充溢辉电子科技有限公司</v>
          </cell>
          <cell r="F180">
            <v>3.3500000000000001E-3</v>
          </cell>
          <cell r="G180" t="str">
            <v>CNY</v>
          </cell>
          <cell r="H180" t="str">
            <v>42</v>
          </cell>
          <cell r="I180" t="str">
            <v>5,000.000</v>
          </cell>
          <cell r="J180" t="str">
            <v>5,000.000</v>
          </cell>
        </row>
        <row r="181">
          <cell r="D181">
            <v>10100026554</v>
          </cell>
          <cell r="E181" t="str">
            <v>广东风华高新科技股份有限公司</v>
          </cell>
          <cell r="F181">
            <v>6.3699999999999998E-3</v>
          </cell>
          <cell r="G181" t="str">
            <v>CNY</v>
          </cell>
          <cell r="H181" t="str">
            <v>42</v>
          </cell>
          <cell r="I181" t="str">
            <v>5,000.000</v>
          </cell>
          <cell r="J181" t="str">
            <v>5,000.000</v>
          </cell>
        </row>
        <row r="182">
          <cell r="D182">
            <v>10110001388</v>
          </cell>
          <cell r="E182" t="str">
            <v>广东风华高新科技股份有限公司</v>
          </cell>
          <cell r="F182">
            <v>5.4999999999999997E-3</v>
          </cell>
          <cell r="G182" t="str">
            <v>CNY</v>
          </cell>
          <cell r="H182" t="str">
            <v>56</v>
          </cell>
          <cell r="I182" t="str">
            <v>4,000.000</v>
          </cell>
          <cell r="J182" t="str">
            <v>4,000.000</v>
          </cell>
        </row>
        <row r="183">
          <cell r="D183">
            <v>10110001391</v>
          </cell>
          <cell r="E183" t="str">
            <v>广东顺德集财电子有限公司</v>
          </cell>
          <cell r="F183">
            <v>6.1000000000000004E-3</v>
          </cell>
          <cell r="G183" t="str">
            <v>CNY</v>
          </cell>
          <cell r="H183" t="str">
            <v>56</v>
          </cell>
          <cell r="I183" t="str">
            <v>4,000.000</v>
          </cell>
          <cell r="J183" t="str">
            <v>4,000.000</v>
          </cell>
        </row>
        <row r="184">
          <cell r="D184">
            <v>10110003080</v>
          </cell>
          <cell r="E184" t="str">
            <v>深圳市兴鸿宇科技有限公司</v>
          </cell>
          <cell r="F184">
            <v>0.19800000000000001</v>
          </cell>
          <cell r="G184" t="str">
            <v>CNY</v>
          </cell>
          <cell r="H184" t="str">
            <v>84</v>
          </cell>
          <cell r="I184" t="str">
            <v>1,000.000</v>
          </cell>
          <cell r="J184" t="str">
            <v>1,000.000</v>
          </cell>
        </row>
        <row r="185">
          <cell r="D185">
            <v>10110003896</v>
          </cell>
          <cell r="E185" t="str">
            <v>深圳市奥特高科电子有限公司</v>
          </cell>
          <cell r="F185">
            <v>2.3E-3</v>
          </cell>
          <cell r="G185" t="str">
            <v>CNY</v>
          </cell>
          <cell r="H185" t="str">
            <v>56</v>
          </cell>
          <cell r="I185" t="str">
            <v>10,000.000</v>
          </cell>
          <cell r="J185" t="str">
            <v>10,000.000</v>
          </cell>
        </row>
        <row r="186">
          <cell r="D186">
            <v>10110003897</v>
          </cell>
          <cell r="E186" t="str">
            <v>深圳市奥特高科电子有限公司</v>
          </cell>
          <cell r="F186">
            <v>2.2000000000000001E-3</v>
          </cell>
          <cell r="G186" t="str">
            <v>CNY</v>
          </cell>
          <cell r="H186" t="str">
            <v>56</v>
          </cell>
          <cell r="I186" t="str">
            <v>10,000.000</v>
          </cell>
          <cell r="J186" t="str">
            <v>10,000.000</v>
          </cell>
        </row>
        <row r="187">
          <cell r="D187">
            <v>10110003944</v>
          </cell>
          <cell r="E187" t="str">
            <v>东莞华科电子有限公司</v>
          </cell>
          <cell r="F187">
            <v>5.4299999999999999E-3</v>
          </cell>
          <cell r="G187" t="str">
            <v>CNY</v>
          </cell>
          <cell r="H187" t="str">
            <v>56</v>
          </cell>
          <cell r="I187" t="str">
            <v>4,000.000</v>
          </cell>
          <cell r="J187" t="str">
            <v>4,000.000</v>
          </cell>
        </row>
        <row r="188">
          <cell r="D188">
            <v>10110004676</v>
          </cell>
          <cell r="E188" t="str">
            <v>东莞华科电子有限公司</v>
          </cell>
          <cell r="F188">
            <v>1.98E-3</v>
          </cell>
          <cell r="G188" t="str">
            <v>CNY</v>
          </cell>
          <cell r="H188" t="str">
            <v>56</v>
          </cell>
          <cell r="I188" t="str">
            <v>10,000.000</v>
          </cell>
          <cell r="J188" t="str">
            <v>10,000.000</v>
          </cell>
        </row>
        <row r="189">
          <cell r="D189">
            <v>10110005377</v>
          </cell>
          <cell r="E189" t="str">
            <v>深圳市巨新科电子有限公司</v>
          </cell>
          <cell r="F189">
            <v>2.98E-3</v>
          </cell>
          <cell r="G189" t="str">
            <v>CNY</v>
          </cell>
          <cell r="H189" t="str">
            <v>90</v>
          </cell>
          <cell r="I189" t="str">
            <v>10,000.000</v>
          </cell>
          <cell r="J189" t="str">
            <v>10,000.000</v>
          </cell>
        </row>
        <row r="190">
          <cell r="D190">
            <v>10110005378</v>
          </cell>
          <cell r="E190" t="str">
            <v>深圳市吉利通电子有限公司</v>
          </cell>
          <cell r="F190">
            <v>2.3999999999999998E-3</v>
          </cell>
          <cell r="G190" t="str">
            <v>CNY</v>
          </cell>
          <cell r="H190" t="str">
            <v>56</v>
          </cell>
          <cell r="I190" t="str">
            <v>10,000.000</v>
          </cell>
          <cell r="J190" t="str">
            <v>10,000.000</v>
          </cell>
        </row>
        <row r="191">
          <cell r="D191">
            <v>10110005723</v>
          </cell>
          <cell r="E191" t="str">
            <v>深圳市奥特高科电子有限公司</v>
          </cell>
          <cell r="F191">
            <v>6.4999999999999997E-3</v>
          </cell>
          <cell r="G191" t="str">
            <v>CNY</v>
          </cell>
          <cell r="H191" t="str">
            <v>56</v>
          </cell>
          <cell r="I191" t="str">
            <v>4,000.000</v>
          </cell>
          <cell r="J191" t="str">
            <v>4,000.000</v>
          </cell>
        </row>
        <row r="192">
          <cell r="D192">
            <v>10110005817</v>
          </cell>
          <cell r="E192" t="str">
            <v>东莞华科电子有限公司</v>
          </cell>
          <cell r="F192">
            <v>1.98E-3</v>
          </cell>
          <cell r="G192" t="str">
            <v>CNY</v>
          </cell>
          <cell r="H192" t="str">
            <v>56</v>
          </cell>
          <cell r="I192" t="str">
            <v>10,000.000</v>
          </cell>
          <cell r="J192" t="str">
            <v>10,000.000</v>
          </cell>
        </row>
        <row r="193">
          <cell r="D193">
            <v>10110006771</v>
          </cell>
          <cell r="E193" t="str">
            <v>深圳市奥特高科电子有限公司</v>
          </cell>
          <cell r="F193">
            <v>4.9500000000000004E-3</v>
          </cell>
          <cell r="G193" t="str">
            <v>CNY</v>
          </cell>
          <cell r="H193" t="str">
            <v>56</v>
          </cell>
          <cell r="I193" t="str">
            <v>10,000.000</v>
          </cell>
          <cell r="J193" t="str">
            <v>10,000.000</v>
          </cell>
        </row>
        <row r="194">
          <cell r="D194">
            <v>10110007139</v>
          </cell>
          <cell r="E194" t="str">
            <v>深圳市天河星供应链有限公司</v>
          </cell>
          <cell r="F194">
            <v>2.2000000000000001E-3</v>
          </cell>
          <cell r="G194" t="str">
            <v>CNY</v>
          </cell>
          <cell r="H194" t="str">
            <v>56</v>
          </cell>
          <cell r="I194" t="str">
            <v>10,000.000</v>
          </cell>
          <cell r="J194" t="str">
            <v>10,000.000</v>
          </cell>
        </row>
        <row r="195">
          <cell r="D195">
            <v>10110007822</v>
          </cell>
          <cell r="E195" t="str">
            <v>广东顺德集财电子有限公司</v>
          </cell>
          <cell r="F195">
            <v>2.3999999999999998E-3</v>
          </cell>
          <cell r="G195" t="str">
            <v>CNY</v>
          </cell>
          <cell r="H195" t="str">
            <v>56</v>
          </cell>
          <cell r="I195" t="str">
            <v>10,000.000</v>
          </cell>
          <cell r="J195" t="str">
            <v>10,000.000</v>
          </cell>
        </row>
        <row r="196">
          <cell r="D196">
            <v>10110008257</v>
          </cell>
          <cell r="E196" t="str">
            <v>广东顺德集财电子有限公司</v>
          </cell>
          <cell r="F196">
            <v>4.62E-3</v>
          </cell>
          <cell r="G196" t="str">
            <v>CNY</v>
          </cell>
          <cell r="H196" t="str">
            <v>56</v>
          </cell>
          <cell r="I196" t="str">
            <v>10,000.000</v>
          </cell>
          <cell r="J196" t="str">
            <v>10,000.000</v>
          </cell>
        </row>
        <row r="197">
          <cell r="D197">
            <v>10110008724</v>
          </cell>
          <cell r="E197" t="str">
            <v>广东顺德集财电子有限公司</v>
          </cell>
          <cell r="F197">
            <v>4.1000000000000003E-3</v>
          </cell>
          <cell r="G197" t="str">
            <v>CNY</v>
          </cell>
          <cell r="H197" t="str">
            <v>56</v>
          </cell>
          <cell r="I197" t="str">
            <v>10,000.000</v>
          </cell>
          <cell r="J197" t="str">
            <v>10,000.000</v>
          </cell>
        </row>
        <row r="198">
          <cell r="D198">
            <v>10110008726</v>
          </cell>
          <cell r="E198" t="str">
            <v>深圳市天河星供应链有限公司</v>
          </cell>
          <cell r="F198">
            <v>2.2000000000000001E-3</v>
          </cell>
          <cell r="G198" t="str">
            <v>CNY</v>
          </cell>
          <cell r="H198" t="str">
            <v>84</v>
          </cell>
          <cell r="I198" t="str">
            <v>10,000.000</v>
          </cell>
          <cell r="J198" t="str">
            <v>10,000.000</v>
          </cell>
        </row>
        <row r="199">
          <cell r="D199">
            <v>10110008729</v>
          </cell>
          <cell r="E199" t="str">
            <v>广东风华高新科技股份有限公司</v>
          </cell>
          <cell r="F199">
            <v>2.0999999999999999E-3</v>
          </cell>
          <cell r="G199" t="str">
            <v>CNY</v>
          </cell>
          <cell r="H199" t="str">
            <v>56</v>
          </cell>
          <cell r="I199" t="str">
            <v>10,000.000</v>
          </cell>
          <cell r="J199" t="str">
            <v>10,000.000</v>
          </cell>
        </row>
        <row r="200">
          <cell r="D200">
            <v>10110008734</v>
          </cell>
          <cell r="E200" t="str">
            <v>广东风华高新科技股份有限公司</v>
          </cell>
          <cell r="F200">
            <v>2.0999999999999999E-3</v>
          </cell>
          <cell r="G200" t="str">
            <v>CNY</v>
          </cell>
          <cell r="H200" t="str">
            <v>56</v>
          </cell>
          <cell r="I200" t="str">
            <v>10,000.000</v>
          </cell>
          <cell r="J200" t="str">
            <v>10,000.000</v>
          </cell>
        </row>
        <row r="201">
          <cell r="D201">
            <v>10110008934</v>
          </cell>
          <cell r="E201" t="str">
            <v>广东顺德集财电子有限公司</v>
          </cell>
          <cell r="F201">
            <v>9.8000000000000004E-2</v>
          </cell>
          <cell r="G201" t="str">
            <v>CNY</v>
          </cell>
          <cell r="H201" t="str">
            <v>56</v>
          </cell>
          <cell r="I201" t="str">
            <v>2,000.000</v>
          </cell>
          <cell r="J201" t="str">
            <v>2,000.000</v>
          </cell>
        </row>
        <row r="202">
          <cell r="D202">
            <v>10110009749</v>
          </cell>
          <cell r="E202" t="str">
            <v>深圳市欧亚达电子有限公司</v>
          </cell>
          <cell r="F202">
            <v>9.5499999999999995E-3</v>
          </cell>
          <cell r="G202" t="str">
            <v>CNY</v>
          </cell>
          <cell r="H202" t="str">
            <v>84</v>
          </cell>
          <cell r="I202" t="str">
            <v>10,000.000</v>
          </cell>
          <cell r="J202" t="str">
            <v>10,000.000</v>
          </cell>
        </row>
        <row r="203">
          <cell r="D203">
            <v>10110011269</v>
          </cell>
          <cell r="E203" t="str">
            <v>潮州三环（集团）股份有限公司</v>
          </cell>
          <cell r="F203">
            <v>1.8500000000000001E-3</v>
          </cell>
          <cell r="G203" t="str">
            <v>CNY</v>
          </cell>
          <cell r="H203" t="str">
            <v>56</v>
          </cell>
          <cell r="I203" t="str">
            <v>10,000.000</v>
          </cell>
          <cell r="J203" t="str">
            <v>10,000.000</v>
          </cell>
        </row>
        <row r="204">
          <cell r="D204">
            <v>10110011283</v>
          </cell>
          <cell r="E204" t="str">
            <v>潮州三环（集团）股份有限公司</v>
          </cell>
          <cell r="F204">
            <v>5.1500000000000001E-3</v>
          </cell>
          <cell r="G204" t="str">
            <v>CNY</v>
          </cell>
          <cell r="H204" t="str">
            <v>56</v>
          </cell>
          <cell r="I204" t="str">
            <v>4,000.000</v>
          </cell>
          <cell r="J204" t="str">
            <v>4,000.000</v>
          </cell>
        </row>
        <row r="205">
          <cell r="D205">
            <v>10110012147</v>
          </cell>
          <cell r="E205" t="str">
            <v>潮州三环（集团）股份有限公司</v>
          </cell>
          <cell r="F205">
            <v>1.9499999999999999E-3</v>
          </cell>
          <cell r="G205" t="str">
            <v>CNY</v>
          </cell>
          <cell r="H205" t="str">
            <v>56</v>
          </cell>
          <cell r="I205" t="str">
            <v>10,000.000</v>
          </cell>
          <cell r="J205" t="str">
            <v>10,000.000</v>
          </cell>
        </row>
        <row r="206">
          <cell r="D206">
            <v>10110012149</v>
          </cell>
          <cell r="E206" t="str">
            <v>潮州三环（集团）股份有限公司</v>
          </cell>
          <cell r="F206">
            <v>1.8500000000000001E-3</v>
          </cell>
          <cell r="G206" t="str">
            <v>CNY</v>
          </cell>
          <cell r="H206" t="str">
            <v>56</v>
          </cell>
          <cell r="I206" t="str">
            <v>10,000.000</v>
          </cell>
          <cell r="J206" t="str">
            <v>10,000.000</v>
          </cell>
        </row>
        <row r="207">
          <cell r="D207">
            <v>10110012398</v>
          </cell>
          <cell r="E207" t="str">
            <v>深圳市奥特高科电子有限公司</v>
          </cell>
          <cell r="F207">
            <v>7.0000000000000001E-3</v>
          </cell>
          <cell r="G207" t="str">
            <v>CNY</v>
          </cell>
          <cell r="H207" t="str">
            <v>56</v>
          </cell>
          <cell r="I207" t="str">
            <v>4,000.000</v>
          </cell>
          <cell r="J207" t="str">
            <v>4,000.000</v>
          </cell>
        </row>
        <row r="208">
          <cell r="D208">
            <v>10110012402</v>
          </cell>
          <cell r="E208" t="str">
            <v>深圳市巨新科电子有限公司</v>
          </cell>
          <cell r="F208">
            <v>6.96E-3</v>
          </cell>
          <cell r="G208" t="str">
            <v>CNY</v>
          </cell>
          <cell r="H208" t="str">
            <v>90</v>
          </cell>
          <cell r="I208" t="str">
            <v>4,000.000</v>
          </cell>
          <cell r="J208" t="str">
            <v>4,000.000</v>
          </cell>
        </row>
        <row r="209">
          <cell r="D209">
            <v>10110012403</v>
          </cell>
          <cell r="E209" t="str">
            <v>广东风华高新科技股份有限公司</v>
          </cell>
          <cell r="F209">
            <v>7.0000000000000001E-3</v>
          </cell>
          <cell r="G209" t="str">
            <v>CNY</v>
          </cell>
          <cell r="H209" t="str">
            <v>42</v>
          </cell>
          <cell r="I209" t="str">
            <v>4,000.000</v>
          </cell>
          <cell r="J209" t="str">
            <v>4,000.000</v>
          </cell>
        </row>
        <row r="210">
          <cell r="D210">
            <v>10110013851</v>
          </cell>
          <cell r="E210" t="str">
            <v>潮州三环（集团）股份有限公司</v>
          </cell>
          <cell r="F210">
            <v>7.0899999999999999E-3</v>
          </cell>
          <cell r="G210" t="str">
            <v>CNY</v>
          </cell>
          <cell r="H210" t="str">
            <v>40</v>
          </cell>
          <cell r="I210" t="str">
            <v>4,000.000</v>
          </cell>
          <cell r="J210" t="str">
            <v>4,000.000</v>
          </cell>
        </row>
        <row r="211">
          <cell r="D211">
            <v>10110016349</v>
          </cell>
          <cell r="E211" t="str">
            <v>广东顺德集财电子有限公司</v>
          </cell>
          <cell r="F211">
            <v>3.9500000000000004E-3</v>
          </cell>
          <cell r="G211" t="str">
            <v>CNY</v>
          </cell>
          <cell r="H211" t="str">
            <v>56</v>
          </cell>
          <cell r="I211" t="str">
            <v>10,000.000</v>
          </cell>
          <cell r="J211" t="str">
            <v>10,000.000</v>
          </cell>
        </row>
        <row r="212">
          <cell r="D212">
            <v>10110019208</v>
          </cell>
          <cell r="E212" t="str">
            <v>东莞华科电子有限公司</v>
          </cell>
          <cell r="F212">
            <v>0.12429999999999999</v>
          </cell>
          <cell r="G212" t="str">
            <v>CNY</v>
          </cell>
          <cell r="H212" t="str">
            <v>56</v>
          </cell>
          <cell r="I212" t="str">
            <v>10,000.000</v>
          </cell>
          <cell r="J212" t="str">
            <v>1,000.000</v>
          </cell>
        </row>
        <row r="213">
          <cell r="D213">
            <v>10140000397</v>
          </cell>
          <cell r="E213" t="str">
            <v>深圳市合信昌科技有限公司</v>
          </cell>
          <cell r="F213">
            <v>7.4999999999999997E-2</v>
          </cell>
          <cell r="G213" t="str">
            <v>CNY</v>
          </cell>
          <cell r="H213" t="str">
            <v>70</v>
          </cell>
          <cell r="I213" t="str">
            <v>1,800.000</v>
          </cell>
          <cell r="J213" t="str">
            <v>1,800.000</v>
          </cell>
        </row>
        <row r="214">
          <cell r="D214">
            <v>10140002123</v>
          </cell>
          <cell r="E214" t="str">
            <v>利尔达科技集团股份有限公司</v>
          </cell>
          <cell r="F214">
            <v>3.4500000000000003E-2</v>
          </cell>
          <cell r="G214" t="str">
            <v>CNY</v>
          </cell>
          <cell r="H214" t="str">
            <v>84</v>
          </cell>
          <cell r="I214" t="str">
            <v>3,000.000</v>
          </cell>
          <cell r="J214" t="str">
            <v>3,000.000</v>
          </cell>
        </row>
        <row r="215">
          <cell r="D215">
            <v>10140002743</v>
          </cell>
          <cell r="E215" t="str">
            <v>深圳市驰顺科技有限公司</v>
          </cell>
          <cell r="F215">
            <v>0.04</v>
          </cell>
          <cell r="G215" t="str">
            <v>CNY</v>
          </cell>
          <cell r="H215" t="str">
            <v>84</v>
          </cell>
          <cell r="I215" t="str">
            <v>7,500.000</v>
          </cell>
          <cell r="J215" t="str">
            <v>7,500.000</v>
          </cell>
        </row>
        <row r="216">
          <cell r="D216">
            <v>10140003381</v>
          </cell>
          <cell r="E216" t="str">
            <v>深圳南丰电子股份有限公司</v>
          </cell>
          <cell r="F216">
            <v>3.3599999999999998E-2</v>
          </cell>
          <cell r="G216" t="str">
            <v>CNY</v>
          </cell>
          <cell r="H216" t="str">
            <v>70</v>
          </cell>
          <cell r="I216" t="str">
            <v>7,500.000</v>
          </cell>
          <cell r="J216" t="str">
            <v>7,500.000</v>
          </cell>
        </row>
        <row r="217">
          <cell r="D217">
            <v>10140006310</v>
          </cell>
          <cell r="E217" t="str">
            <v>深圳翰世宇科技有限公司</v>
          </cell>
          <cell r="F217">
            <v>4.8000000000000001E-2</v>
          </cell>
          <cell r="G217" t="str">
            <v>CNY</v>
          </cell>
          <cell r="H217" t="str">
            <v>56</v>
          </cell>
          <cell r="I217" t="str">
            <v>3,000.000</v>
          </cell>
          <cell r="J217" t="str">
            <v>3,000.000</v>
          </cell>
        </row>
        <row r="218">
          <cell r="D218">
            <v>10140012358</v>
          </cell>
          <cell r="E218" t="str">
            <v>东莞市意中半导体有限公司</v>
          </cell>
          <cell r="F218">
            <v>3.3000000000000002E-2</v>
          </cell>
          <cell r="G218" t="str">
            <v>CNY</v>
          </cell>
          <cell r="H218" t="str">
            <v>60</v>
          </cell>
          <cell r="I218" t="str">
            <v>5,000.000</v>
          </cell>
          <cell r="J218" t="str">
            <v>5,000.000</v>
          </cell>
        </row>
        <row r="219">
          <cell r="D219">
            <v>10160006989</v>
          </cell>
          <cell r="E219" t="str">
            <v>浙江瑞丰光电有限公司</v>
          </cell>
          <cell r="F219">
            <v>4.8399999999999999E-2</v>
          </cell>
          <cell r="G219" t="str">
            <v>CNY</v>
          </cell>
          <cell r="H219" t="str">
            <v>28</v>
          </cell>
          <cell r="I219" t="str">
            <v>60,000.000</v>
          </cell>
          <cell r="J219" t="str">
            <v>4,000.000</v>
          </cell>
        </row>
        <row r="220">
          <cell r="D220">
            <v>10160007699</v>
          </cell>
          <cell r="E220" t="str">
            <v>肇庆市立得电子有限公司</v>
          </cell>
          <cell r="F220">
            <v>4.2999999999999997E-2</v>
          </cell>
          <cell r="G220" t="str">
            <v>CNY</v>
          </cell>
          <cell r="H220" t="str">
            <v>30</v>
          </cell>
          <cell r="I220" t="str">
            <v>20,000.000</v>
          </cell>
          <cell r="J220" t="str">
            <v>4,000.000</v>
          </cell>
        </row>
        <row r="221">
          <cell r="D221">
            <v>10160007809</v>
          </cell>
          <cell r="E221" t="str">
            <v>广东长利光电科技有限公司</v>
          </cell>
          <cell r="F221">
            <v>2.5999999999999999E-2</v>
          </cell>
          <cell r="G221" t="str">
            <v>CNY</v>
          </cell>
          <cell r="H221" t="str">
            <v>28</v>
          </cell>
          <cell r="I221" t="str">
            <v>4,000.000</v>
          </cell>
          <cell r="J221" t="str">
            <v>4,000.000</v>
          </cell>
        </row>
        <row r="222">
          <cell r="D222">
            <v>10160007865</v>
          </cell>
          <cell r="E222" t="str">
            <v>广东长利光电科技有限公司</v>
          </cell>
          <cell r="F222">
            <v>2.75E-2</v>
          </cell>
          <cell r="G222" t="str">
            <v>CNY</v>
          </cell>
          <cell r="H222" t="str">
            <v>10</v>
          </cell>
          <cell r="I222" t="str">
            <v>4,000.000</v>
          </cell>
          <cell r="J222" t="str">
            <v>4,000.000</v>
          </cell>
        </row>
        <row r="223">
          <cell r="D223">
            <v>10190000675</v>
          </cell>
          <cell r="E223" t="str">
            <v>好利来（厦门）电路保护科技有限公司</v>
          </cell>
          <cell r="F223">
            <v>8.3000000000000004E-2</v>
          </cell>
          <cell r="G223" t="str">
            <v>CNY</v>
          </cell>
          <cell r="H223" t="str">
            <v>28</v>
          </cell>
          <cell r="I223" t="str">
            <v>1,000.000</v>
          </cell>
          <cell r="J223" t="str">
            <v>1,000.000</v>
          </cell>
        </row>
        <row r="224">
          <cell r="D224">
            <v>10190001176</v>
          </cell>
          <cell r="E224" t="str">
            <v>东莞市贝特电子科技股份有限公司</v>
          </cell>
          <cell r="F224">
            <v>9.5000000000000001E-2</v>
          </cell>
          <cell r="G224" t="str">
            <v>CNY</v>
          </cell>
          <cell r="H224" t="str">
            <v>21</v>
          </cell>
          <cell r="I224" t="str">
            <v>1,000.000</v>
          </cell>
          <cell r="J224" t="str">
            <v>1,000.000</v>
          </cell>
        </row>
        <row r="225">
          <cell r="D225">
            <v>10100005703</v>
          </cell>
          <cell r="E225" t="str">
            <v>越南超利维科技有限公司</v>
          </cell>
          <cell r="F225">
            <v>1.8000000000000001E-4</v>
          </cell>
          <cell r="G225" t="str">
            <v>USD</v>
          </cell>
          <cell r="H225" t="str">
            <v>70</v>
          </cell>
          <cell r="I225" t="str">
            <v>10,000.000</v>
          </cell>
          <cell r="J225" t="str">
            <v>10,000.000</v>
          </cell>
        </row>
        <row r="226">
          <cell r="D226">
            <v>10110001388</v>
          </cell>
          <cell r="E226" t="str">
            <v>GALAXY HOLDING INTERNATIONAL CO., L</v>
          </cell>
          <cell r="F226">
            <v>7.1000000000000002E-4</v>
          </cell>
          <cell r="G226" t="str">
            <v>USD</v>
          </cell>
          <cell r="H226" t="str">
            <v>56</v>
          </cell>
          <cell r="I226" t="str">
            <v>4,000.000</v>
          </cell>
          <cell r="J226" t="str">
            <v>4,000.000</v>
          </cell>
        </row>
        <row r="227">
          <cell r="D227">
            <v>10110007139</v>
          </cell>
          <cell r="E227" t="str">
            <v>GALAXY HOLDING INTERNATIONAL CO., L</v>
          </cell>
          <cell r="F227">
            <v>2.7999999999999998E-4</v>
          </cell>
          <cell r="G227" t="str">
            <v>USD</v>
          </cell>
          <cell r="H227" t="str">
            <v>84</v>
          </cell>
          <cell r="I227" t="str">
            <v>10,000.000</v>
          </cell>
          <cell r="J227" t="str">
            <v>10,000.000</v>
          </cell>
        </row>
        <row r="228">
          <cell r="D228">
            <v>10110008726</v>
          </cell>
          <cell r="E228" t="str">
            <v>GALAXY HOLDING INTERNATIONAL CO., L</v>
          </cell>
          <cell r="F228">
            <v>2.7999999999999998E-4</v>
          </cell>
          <cell r="G228" t="str">
            <v>USD</v>
          </cell>
          <cell r="H228" t="str">
            <v>56</v>
          </cell>
          <cell r="I228" t="str">
            <v>10,000.000</v>
          </cell>
          <cell r="J228" t="str">
            <v>10,000.000</v>
          </cell>
        </row>
        <row r="229">
          <cell r="D229">
            <v>10110008729</v>
          </cell>
          <cell r="E229" t="str">
            <v>GALAXY HOLDING INTERNATIONAL CO., L</v>
          </cell>
          <cell r="F229">
            <v>2.7E-4</v>
          </cell>
          <cell r="G229" t="str">
            <v>USD</v>
          </cell>
          <cell r="H229" t="str">
            <v>56</v>
          </cell>
          <cell r="I229" t="str">
            <v>10,000.000</v>
          </cell>
          <cell r="J229" t="str">
            <v>10,000.000</v>
          </cell>
        </row>
        <row r="230">
          <cell r="D230">
            <v>10110008734</v>
          </cell>
          <cell r="E230" t="str">
            <v>GALAXY HOLDING INTERNATIONAL CO., L</v>
          </cell>
          <cell r="F230">
            <v>2.7E-4</v>
          </cell>
          <cell r="G230" t="str">
            <v>USD</v>
          </cell>
          <cell r="H230" t="str">
            <v>56</v>
          </cell>
          <cell r="I230" t="str">
            <v>10,000.000</v>
          </cell>
          <cell r="J230" t="str">
            <v>10,000.000</v>
          </cell>
        </row>
        <row r="231">
          <cell r="D231">
            <v>10110008742</v>
          </cell>
          <cell r="E231" t="str">
            <v>GALAXY HOLDING INTERNATIONAL CO., L</v>
          </cell>
          <cell r="F231">
            <v>2.7999999999999998E-4</v>
          </cell>
          <cell r="G231" t="str">
            <v>USD</v>
          </cell>
          <cell r="H231" t="str">
            <v>56</v>
          </cell>
          <cell r="I231" t="str">
            <v>10,000.000</v>
          </cell>
          <cell r="J231" t="str">
            <v>10,000.000</v>
          </cell>
        </row>
        <row r="232">
          <cell r="D232">
            <v>10110012402</v>
          </cell>
          <cell r="E232" t="str">
            <v>AMG COMPONENTS PTE. LTD</v>
          </cell>
          <cell r="F232">
            <v>1.01E-3</v>
          </cell>
          <cell r="G232" t="str">
            <v>USD</v>
          </cell>
          <cell r="H232" t="str">
            <v>56</v>
          </cell>
          <cell r="I232" t="str">
            <v>4,000.000</v>
          </cell>
          <cell r="J232" t="str">
            <v>4,000.000</v>
          </cell>
        </row>
        <row r="233">
          <cell r="D233">
            <v>10140002123</v>
          </cell>
          <cell r="E233" t="str">
            <v>新加坡商络有限公司</v>
          </cell>
          <cell r="F233">
            <v>4.4799999999999996E-3</v>
          </cell>
          <cell r="G233" t="str">
            <v>USD</v>
          </cell>
          <cell r="H233" t="str">
            <v>90</v>
          </cell>
          <cell r="I233" t="str">
            <v>3,000.000</v>
          </cell>
          <cell r="J233" t="str">
            <v>3,000.000</v>
          </cell>
        </row>
        <row r="234">
          <cell r="D234">
            <v>10100002122</v>
          </cell>
          <cell r="E234" t="str">
            <v>深圳市欧尔法电子有限公司</v>
          </cell>
          <cell r="F234">
            <v>4.7999999999999996E-3</v>
          </cell>
          <cell r="G234" t="str">
            <v>CNY</v>
          </cell>
          <cell r="H234" t="str">
            <v>56</v>
          </cell>
          <cell r="I234" t="str">
            <v>5,000.000</v>
          </cell>
          <cell r="J234" t="str">
            <v>5,000.000</v>
          </cell>
        </row>
        <row r="235">
          <cell r="D235">
            <v>10100002123</v>
          </cell>
          <cell r="E235" t="str">
            <v>广东风华高新科技股份有限公司</v>
          </cell>
          <cell r="F235">
            <v>3.7200000000000002E-3</v>
          </cell>
          <cell r="G235" t="str">
            <v>CNY</v>
          </cell>
          <cell r="H235" t="str">
            <v>42</v>
          </cell>
          <cell r="I235" t="str">
            <v>5,000.000</v>
          </cell>
          <cell r="J235" t="str">
            <v>5,000.000</v>
          </cell>
        </row>
        <row r="236">
          <cell r="D236">
            <v>10100002133</v>
          </cell>
          <cell r="E236" t="str">
            <v>广东风华高新科技股份有限公司</v>
          </cell>
          <cell r="F236">
            <v>3.2699999999999999E-3</v>
          </cell>
          <cell r="G236" t="str">
            <v>CNY</v>
          </cell>
          <cell r="H236" t="str">
            <v>42</v>
          </cell>
          <cell r="I236" t="str">
            <v>5,000.000</v>
          </cell>
          <cell r="J236" t="str">
            <v>5,000.000</v>
          </cell>
        </row>
        <row r="237">
          <cell r="D237">
            <v>10100002715</v>
          </cell>
          <cell r="E237" t="str">
            <v>深圳市欧尔法电子有限公司</v>
          </cell>
          <cell r="F237">
            <v>4.7999999999999996E-3</v>
          </cell>
          <cell r="G237" t="str">
            <v>CNY</v>
          </cell>
          <cell r="H237" t="str">
            <v>56</v>
          </cell>
          <cell r="I237" t="str">
            <v>5,000.000</v>
          </cell>
          <cell r="J237" t="str">
            <v>5,000.000</v>
          </cell>
        </row>
        <row r="238">
          <cell r="D238">
            <v>10100002752</v>
          </cell>
          <cell r="E238" t="str">
            <v>深圳市欧尔法电子有限公司</v>
          </cell>
          <cell r="F238">
            <v>4.7999999999999996E-3</v>
          </cell>
          <cell r="G238" t="str">
            <v>CNY</v>
          </cell>
          <cell r="H238" t="str">
            <v>56</v>
          </cell>
          <cell r="I238" t="str">
            <v>5,000.000</v>
          </cell>
          <cell r="J238" t="str">
            <v>5,000.000</v>
          </cell>
        </row>
        <row r="239">
          <cell r="D239">
            <v>10100003500</v>
          </cell>
          <cell r="E239" t="str">
            <v>深圳市超利维实业有限公司</v>
          </cell>
          <cell r="F239">
            <v>2.5999999999999999E-3</v>
          </cell>
          <cell r="G239" t="str">
            <v>CNY</v>
          </cell>
          <cell r="H239" t="str">
            <v>70</v>
          </cell>
          <cell r="I239" t="str">
            <v>5,000.000</v>
          </cell>
          <cell r="J239" t="str">
            <v>5,000.000</v>
          </cell>
        </row>
        <row r="240">
          <cell r="D240">
            <v>10100003511</v>
          </cell>
          <cell r="E240" t="str">
            <v>深圳市超利维实业有限公司</v>
          </cell>
          <cell r="F240">
            <v>8.0000000000000002E-3</v>
          </cell>
          <cell r="G240" t="str">
            <v>CNY</v>
          </cell>
          <cell r="H240" t="str">
            <v>84</v>
          </cell>
          <cell r="I240" t="str">
            <v>5,000.000</v>
          </cell>
          <cell r="J240" t="str">
            <v>5,000.000</v>
          </cell>
        </row>
        <row r="241">
          <cell r="D241">
            <v>10100004833</v>
          </cell>
          <cell r="E241" t="str">
            <v>东莞华科电子有限公司</v>
          </cell>
          <cell r="F241">
            <v>3.8800000000000002E-3</v>
          </cell>
          <cell r="G241" t="str">
            <v>CNY</v>
          </cell>
          <cell r="H241" t="str">
            <v>56</v>
          </cell>
          <cell r="I241" t="str">
            <v>5,000.000</v>
          </cell>
          <cell r="J241" t="str">
            <v>5,000.000</v>
          </cell>
        </row>
        <row r="242">
          <cell r="D242">
            <v>10100005487</v>
          </cell>
          <cell r="E242" t="str">
            <v>厚声国际贸易（昆山）有限公司深圳分公司</v>
          </cell>
          <cell r="F242">
            <v>3.8E-3</v>
          </cell>
          <cell r="G242" t="str">
            <v>CNY</v>
          </cell>
          <cell r="H242" t="str">
            <v>42</v>
          </cell>
          <cell r="I242" t="str">
            <v>5,000.000</v>
          </cell>
          <cell r="J242" t="str">
            <v>5,000.000</v>
          </cell>
        </row>
        <row r="243">
          <cell r="D243">
            <v>10100005503</v>
          </cell>
          <cell r="E243" t="str">
            <v>厚声国际贸易（昆山）有限公司深圳分公司</v>
          </cell>
          <cell r="F243">
            <v>3.8E-3</v>
          </cell>
          <cell r="G243" t="str">
            <v>CNY</v>
          </cell>
          <cell r="H243" t="str">
            <v>42</v>
          </cell>
          <cell r="I243" t="str">
            <v>5,000.000</v>
          </cell>
          <cell r="J243" t="str">
            <v>5,000.000</v>
          </cell>
        </row>
        <row r="244">
          <cell r="D244">
            <v>10100005703</v>
          </cell>
          <cell r="E244" t="str">
            <v>深圳市超利维实业有限公司</v>
          </cell>
          <cell r="F244">
            <v>1.4E-3</v>
          </cell>
          <cell r="G244" t="str">
            <v>CNY</v>
          </cell>
          <cell r="H244" t="str">
            <v>56</v>
          </cell>
          <cell r="I244" t="str">
            <v>10,000.000</v>
          </cell>
          <cell r="J244" t="str">
            <v>10,000.000</v>
          </cell>
        </row>
        <row r="245">
          <cell r="D245">
            <v>10100005718</v>
          </cell>
          <cell r="E245" t="str">
            <v>广东风华高新科技股份有限公司</v>
          </cell>
          <cell r="F245">
            <v>1.1000000000000001E-3</v>
          </cell>
          <cell r="G245" t="str">
            <v>CNY</v>
          </cell>
          <cell r="H245" t="str">
            <v>42</v>
          </cell>
          <cell r="I245" t="str">
            <v>10,000.000</v>
          </cell>
          <cell r="J245" t="str">
            <v>10,000.000</v>
          </cell>
        </row>
        <row r="246">
          <cell r="D246">
            <v>10100005795</v>
          </cell>
          <cell r="E246" t="str">
            <v>广东风华高新科技股份有限公司</v>
          </cell>
          <cell r="F246">
            <v>1.1000000000000001E-3</v>
          </cell>
          <cell r="G246" t="str">
            <v>CNY</v>
          </cell>
          <cell r="H246" t="str">
            <v>42</v>
          </cell>
          <cell r="I246" t="str">
            <v>10,000.000</v>
          </cell>
          <cell r="J246" t="str">
            <v>10,000.000</v>
          </cell>
        </row>
        <row r="247">
          <cell r="D247">
            <v>10100006398</v>
          </cell>
          <cell r="E247" t="str">
            <v>广东风华高新科技股份有限公司</v>
          </cell>
          <cell r="F247">
            <v>6.3699999999999998E-3</v>
          </cell>
          <cell r="G247" t="str">
            <v>CNY</v>
          </cell>
          <cell r="H247" t="str">
            <v>42</v>
          </cell>
          <cell r="I247" t="str">
            <v>5,000.000</v>
          </cell>
          <cell r="J247" t="str">
            <v>5,000.000</v>
          </cell>
        </row>
        <row r="248">
          <cell r="D248">
            <v>10100006507</v>
          </cell>
          <cell r="E248" t="str">
            <v>广东风华高新科技股份有限公司</v>
          </cell>
          <cell r="F248">
            <v>2.0799999999999998E-3</v>
          </cell>
          <cell r="G248" t="str">
            <v>CNY</v>
          </cell>
          <cell r="H248" t="str">
            <v>42</v>
          </cell>
          <cell r="I248" t="str">
            <v>5,000.000</v>
          </cell>
          <cell r="J248" t="str">
            <v>5,000.000</v>
          </cell>
        </row>
        <row r="249">
          <cell r="D249">
            <v>10100006625</v>
          </cell>
          <cell r="E249" t="str">
            <v>广东风华高新科技股份有限公司</v>
          </cell>
          <cell r="F249">
            <v>3.7200000000000002E-3</v>
          </cell>
          <cell r="G249" t="str">
            <v>CNY</v>
          </cell>
          <cell r="H249" t="str">
            <v>42</v>
          </cell>
          <cell r="I249" t="str">
            <v>5,000.000</v>
          </cell>
          <cell r="J249" t="str">
            <v>5,000.000</v>
          </cell>
        </row>
        <row r="250">
          <cell r="D250">
            <v>10100006627</v>
          </cell>
          <cell r="E250" t="str">
            <v>广东风华高新科技股份有限公司</v>
          </cell>
          <cell r="F250">
            <v>3.7200000000000002E-3</v>
          </cell>
          <cell r="G250" t="str">
            <v>CNY</v>
          </cell>
          <cell r="H250" t="str">
            <v>42</v>
          </cell>
          <cell r="I250" t="str">
            <v>5,000.000</v>
          </cell>
          <cell r="J250" t="str">
            <v>5,000.000</v>
          </cell>
        </row>
        <row r="251">
          <cell r="D251">
            <v>10100006711</v>
          </cell>
          <cell r="E251" t="str">
            <v>东莞华科电子有限公司</v>
          </cell>
          <cell r="F251">
            <v>1.17E-3</v>
          </cell>
          <cell r="G251" t="str">
            <v>CNY</v>
          </cell>
          <cell r="H251" t="str">
            <v>56</v>
          </cell>
          <cell r="I251" t="str">
            <v>10,000.000</v>
          </cell>
          <cell r="J251" t="str">
            <v>10,000.000</v>
          </cell>
        </row>
        <row r="252">
          <cell r="D252">
            <v>10100006845</v>
          </cell>
          <cell r="E252" t="str">
            <v>东莞华科电子有限公司</v>
          </cell>
          <cell r="F252">
            <v>2.2200000000000002E-3</v>
          </cell>
          <cell r="G252" t="str">
            <v>CNY</v>
          </cell>
          <cell r="H252" t="str">
            <v>56</v>
          </cell>
          <cell r="I252" t="str">
            <v>5,000.000</v>
          </cell>
          <cell r="J252" t="str">
            <v>5,000.000</v>
          </cell>
        </row>
        <row r="253">
          <cell r="D253">
            <v>10100007109</v>
          </cell>
          <cell r="E253" t="str">
            <v>东莞华科电子有限公司</v>
          </cell>
          <cell r="F253">
            <v>3.8800000000000002E-3</v>
          </cell>
          <cell r="G253" t="str">
            <v>CNY</v>
          </cell>
          <cell r="H253" t="str">
            <v>56</v>
          </cell>
          <cell r="I253" t="str">
            <v>5,000.000</v>
          </cell>
          <cell r="J253" t="str">
            <v>5,000.000</v>
          </cell>
        </row>
        <row r="254">
          <cell r="D254">
            <v>10100007120</v>
          </cell>
          <cell r="E254" t="str">
            <v>东莞华科电子有限公司</v>
          </cell>
          <cell r="F254">
            <v>3.8800000000000002E-3</v>
          </cell>
          <cell r="G254" t="str">
            <v>CNY</v>
          </cell>
          <cell r="H254" t="str">
            <v>56</v>
          </cell>
          <cell r="I254" t="str">
            <v>5,000.000</v>
          </cell>
          <cell r="J254" t="str">
            <v>5,000.000</v>
          </cell>
        </row>
        <row r="255">
          <cell r="D255">
            <v>10100007174</v>
          </cell>
          <cell r="E255" t="str">
            <v>东莞华科电子有限公司</v>
          </cell>
          <cell r="F255">
            <v>6.9499999999999996E-3</v>
          </cell>
          <cell r="G255" t="str">
            <v>CNY</v>
          </cell>
          <cell r="H255" t="str">
            <v>70</v>
          </cell>
          <cell r="I255" t="str">
            <v>5,000.000</v>
          </cell>
          <cell r="J255" t="str">
            <v>5,000.000</v>
          </cell>
        </row>
        <row r="256">
          <cell r="D256">
            <v>10100007615</v>
          </cell>
          <cell r="E256" t="str">
            <v>深圳市超利维实业有限公司</v>
          </cell>
          <cell r="F256">
            <v>1.4E-3</v>
          </cell>
          <cell r="G256" t="str">
            <v>CNY</v>
          </cell>
          <cell r="H256" t="str">
            <v>56</v>
          </cell>
          <cell r="I256" t="str">
            <v>10,000.000</v>
          </cell>
          <cell r="J256" t="str">
            <v>10,000.000</v>
          </cell>
        </row>
        <row r="257">
          <cell r="D257">
            <v>10100007852</v>
          </cell>
          <cell r="E257" t="str">
            <v>深圳市超利维实业有限公司</v>
          </cell>
          <cell r="F257">
            <v>8.0000000000000002E-3</v>
          </cell>
          <cell r="G257" t="str">
            <v>CNY</v>
          </cell>
          <cell r="H257" t="str">
            <v>56</v>
          </cell>
          <cell r="I257" t="str">
            <v>5,000.000</v>
          </cell>
          <cell r="J257" t="str">
            <v>5,000.000</v>
          </cell>
        </row>
        <row r="258">
          <cell r="D258">
            <v>10100008057</v>
          </cell>
          <cell r="E258" t="str">
            <v>广东风华高新科技股份有限公司</v>
          </cell>
          <cell r="F258">
            <v>1.1000000000000001E-3</v>
          </cell>
          <cell r="G258" t="str">
            <v>CNY</v>
          </cell>
          <cell r="H258" t="str">
            <v>42</v>
          </cell>
          <cell r="I258" t="str">
            <v>10,000.000</v>
          </cell>
          <cell r="J258" t="str">
            <v>10,000.000</v>
          </cell>
        </row>
        <row r="259">
          <cell r="D259">
            <v>10100008069</v>
          </cell>
          <cell r="E259" t="str">
            <v>东莞华科电子有限公司</v>
          </cell>
          <cell r="F259">
            <v>1.17E-3</v>
          </cell>
          <cell r="G259" t="str">
            <v>CNY</v>
          </cell>
          <cell r="H259" t="str">
            <v>56</v>
          </cell>
          <cell r="I259" t="str">
            <v>10,000.000</v>
          </cell>
          <cell r="J259" t="str">
            <v>10,000.000</v>
          </cell>
        </row>
        <row r="260">
          <cell r="D260">
            <v>10100008075</v>
          </cell>
          <cell r="E260" t="str">
            <v>深圳市超利维实业有限公司</v>
          </cell>
          <cell r="F260">
            <v>1.4E-3</v>
          </cell>
          <cell r="G260" t="str">
            <v>CNY</v>
          </cell>
          <cell r="H260" t="str">
            <v>56</v>
          </cell>
          <cell r="I260" t="str">
            <v>10,000.000</v>
          </cell>
          <cell r="J260" t="str">
            <v>10,000.000</v>
          </cell>
        </row>
        <row r="261">
          <cell r="D261">
            <v>10100008302</v>
          </cell>
          <cell r="E261" t="str">
            <v>东莞华科电子有限公司</v>
          </cell>
          <cell r="F261">
            <v>1.17E-3</v>
          </cell>
          <cell r="G261" t="str">
            <v>CNY</v>
          </cell>
          <cell r="H261" t="str">
            <v>56</v>
          </cell>
          <cell r="I261" t="str">
            <v>10,000.000</v>
          </cell>
          <cell r="J261" t="str">
            <v>10,000.000</v>
          </cell>
        </row>
        <row r="262">
          <cell r="D262">
            <v>10100008735</v>
          </cell>
          <cell r="E262" t="str">
            <v>广东风华高新科技股份有限公司</v>
          </cell>
          <cell r="F262">
            <v>1.1000000000000001E-3</v>
          </cell>
          <cell r="G262" t="str">
            <v>CNY</v>
          </cell>
          <cell r="H262" t="str">
            <v>42</v>
          </cell>
          <cell r="I262" t="str">
            <v>10,000.000</v>
          </cell>
          <cell r="J262" t="str">
            <v>10,000.000</v>
          </cell>
        </row>
        <row r="263">
          <cell r="D263">
            <v>10100008776</v>
          </cell>
          <cell r="E263" t="str">
            <v>广东风华高新科技股份有限公司</v>
          </cell>
          <cell r="F263">
            <v>2.0799999999999998E-3</v>
          </cell>
          <cell r="G263" t="str">
            <v>CNY</v>
          </cell>
          <cell r="H263" t="str">
            <v>42</v>
          </cell>
          <cell r="I263" t="str">
            <v>5,000.000</v>
          </cell>
          <cell r="J263" t="str">
            <v>5,000.000</v>
          </cell>
        </row>
        <row r="264">
          <cell r="D264">
            <v>10100008807</v>
          </cell>
          <cell r="E264" t="str">
            <v>东莞华科电子有限公司</v>
          </cell>
          <cell r="F264">
            <v>1.17E-3</v>
          </cell>
          <cell r="G264" t="str">
            <v>CNY</v>
          </cell>
          <cell r="H264" t="str">
            <v>56</v>
          </cell>
          <cell r="I264" t="str">
            <v>10,000.000</v>
          </cell>
          <cell r="J264" t="str">
            <v>10,000.000</v>
          </cell>
        </row>
        <row r="265">
          <cell r="D265">
            <v>10100008809</v>
          </cell>
          <cell r="E265" t="str">
            <v>广东风华高新科技股份有限公司</v>
          </cell>
          <cell r="F265">
            <v>1.1000000000000001E-3</v>
          </cell>
          <cell r="G265" t="str">
            <v>CNY</v>
          </cell>
          <cell r="H265" t="str">
            <v>42</v>
          </cell>
          <cell r="I265" t="str">
            <v>10,000.000</v>
          </cell>
          <cell r="J265" t="str">
            <v>10,000.000</v>
          </cell>
        </row>
        <row r="266">
          <cell r="D266">
            <v>10100008827</v>
          </cell>
          <cell r="E266" t="str">
            <v>东莞华科电子有限公司</v>
          </cell>
          <cell r="F266">
            <v>1.17E-3</v>
          </cell>
          <cell r="G266" t="str">
            <v>CNY</v>
          </cell>
          <cell r="H266" t="str">
            <v>56</v>
          </cell>
          <cell r="I266" t="str">
            <v>10,000.000</v>
          </cell>
          <cell r="J266" t="str">
            <v>10,000.000</v>
          </cell>
        </row>
        <row r="267">
          <cell r="D267">
            <v>10100008830</v>
          </cell>
          <cell r="E267" t="str">
            <v>深圳市超利维实业有限公司</v>
          </cell>
          <cell r="F267">
            <v>1.4E-3</v>
          </cell>
          <cell r="G267" t="str">
            <v>CNY</v>
          </cell>
          <cell r="H267" t="str">
            <v>84</v>
          </cell>
          <cell r="I267" t="str">
            <v>10,000.000</v>
          </cell>
          <cell r="J267" t="str">
            <v>10,000.000</v>
          </cell>
        </row>
        <row r="268">
          <cell r="D268">
            <v>10100009092</v>
          </cell>
          <cell r="E268" t="str">
            <v>深圳市奥特高科电子有限公司</v>
          </cell>
          <cell r="F268">
            <v>1.2999999999999999E-3</v>
          </cell>
          <cell r="G268" t="str">
            <v>CNY</v>
          </cell>
          <cell r="H268" t="str">
            <v>84</v>
          </cell>
          <cell r="I268" t="str">
            <v>10,000.000</v>
          </cell>
          <cell r="J268" t="str">
            <v>10,000.000</v>
          </cell>
        </row>
        <row r="269">
          <cell r="D269">
            <v>10100009093</v>
          </cell>
          <cell r="E269" t="str">
            <v>东莞华科电子有限公司</v>
          </cell>
          <cell r="F269">
            <v>1.17E-3</v>
          </cell>
          <cell r="G269" t="str">
            <v>CNY</v>
          </cell>
          <cell r="H269" t="str">
            <v>56</v>
          </cell>
          <cell r="I269" t="str">
            <v>10,000.000</v>
          </cell>
          <cell r="J269" t="str">
            <v>10,000.000</v>
          </cell>
        </row>
        <row r="270">
          <cell r="D270">
            <v>10100009721</v>
          </cell>
          <cell r="E270" t="str">
            <v>深圳市超利维实业有限公司</v>
          </cell>
          <cell r="F270">
            <v>1.4E-3</v>
          </cell>
          <cell r="G270" t="str">
            <v>CNY</v>
          </cell>
          <cell r="H270" t="str">
            <v>84</v>
          </cell>
          <cell r="I270" t="str">
            <v>10,000.000</v>
          </cell>
          <cell r="J270" t="str">
            <v>10,000.000</v>
          </cell>
        </row>
        <row r="271">
          <cell r="D271">
            <v>10100009722</v>
          </cell>
          <cell r="E271" t="str">
            <v>东莞华科电子有限公司</v>
          </cell>
          <cell r="F271">
            <v>1.17E-3</v>
          </cell>
          <cell r="G271" t="str">
            <v>CNY</v>
          </cell>
          <cell r="H271" t="str">
            <v>56</v>
          </cell>
          <cell r="I271" t="str">
            <v>10,000.000</v>
          </cell>
          <cell r="J271" t="str">
            <v>10,000.000</v>
          </cell>
        </row>
        <row r="272">
          <cell r="D272">
            <v>10100009838</v>
          </cell>
          <cell r="E272" t="str">
            <v>厚声国际贸易（昆山）有限公司深圳分公司</v>
          </cell>
          <cell r="F272">
            <v>1.09E-3</v>
          </cell>
          <cell r="G272" t="str">
            <v>CNY</v>
          </cell>
          <cell r="H272" t="str">
            <v>42</v>
          </cell>
          <cell r="I272" t="str">
            <v>10,000.000</v>
          </cell>
          <cell r="J272" t="str">
            <v>10,000.000</v>
          </cell>
        </row>
        <row r="273">
          <cell r="D273">
            <v>10100009843</v>
          </cell>
          <cell r="E273" t="str">
            <v>深圳市超利维实业有限公司</v>
          </cell>
          <cell r="F273">
            <v>1.4E-3</v>
          </cell>
          <cell r="G273" t="str">
            <v>CNY</v>
          </cell>
          <cell r="H273" t="str">
            <v>84</v>
          </cell>
          <cell r="I273" t="str">
            <v>10,000.000</v>
          </cell>
          <cell r="J273" t="str">
            <v>10,000.000</v>
          </cell>
        </row>
        <row r="274">
          <cell r="D274">
            <v>10100010045</v>
          </cell>
          <cell r="E274" t="str">
            <v>东莞华科电子有限公司</v>
          </cell>
          <cell r="F274">
            <v>1.17E-3</v>
          </cell>
          <cell r="G274" t="str">
            <v>CNY</v>
          </cell>
          <cell r="H274" t="str">
            <v>56</v>
          </cell>
          <cell r="I274" t="str">
            <v>10,000.000</v>
          </cell>
          <cell r="J274" t="str">
            <v>10,000.000</v>
          </cell>
        </row>
        <row r="275">
          <cell r="D275">
            <v>10100010325</v>
          </cell>
          <cell r="E275" t="str">
            <v>厚声国际贸易（昆山）有限公司深圳分公司</v>
          </cell>
          <cell r="F275">
            <v>3.8E-3</v>
          </cell>
          <cell r="G275" t="str">
            <v>CNY</v>
          </cell>
          <cell r="H275" t="str">
            <v>42</v>
          </cell>
          <cell r="I275" t="str">
            <v>5,000.000</v>
          </cell>
          <cell r="J275" t="str">
            <v>5,000.000</v>
          </cell>
        </row>
        <row r="276">
          <cell r="D276">
            <v>10100011090</v>
          </cell>
          <cell r="E276" t="str">
            <v>厚声国际贸易（昆山）有限公司深圳分公司</v>
          </cell>
          <cell r="F276">
            <v>2.0999999999999999E-3</v>
          </cell>
          <cell r="G276" t="str">
            <v>CNY</v>
          </cell>
          <cell r="H276" t="str">
            <v>42</v>
          </cell>
          <cell r="I276" t="str">
            <v>5,000.000</v>
          </cell>
          <cell r="J276" t="str">
            <v>5,000.000</v>
          </cell>
        </row>
        <row r="277">
          <cell r="D277">
            <v>10100011096</v>
          </cell>
          <cell r="E277" t="str">
            <v>厚声国际贸易（昆山）有限公司深圳分公司</v>
          </cell>
          <cell r="F277">
            <v>6.7799999999999996E-3</v>
          </cell>
          <cell r="G277" t="str">
            <v>CNY</v>
          </cell>
          <cell r="H277" t="str">
            <v>42</v>
          </cell>
          <cell r="I277" t="str">
            <v>5,000.000</v>
          </cell>
          <cell r="J277" t="str">
            <v>5,000.000</v>
          </cell>
        </row>
        <row r="278">
          <cell r="D278">
            <v>10100011343</v>
          </cell>
          <cell r="E278" t="str">
            <v>东莞华科电子有限公司</v>
          </cell>
          <cell r="F278">
            <v>1.17E-3</v>
          </cell>
          <cell r="G278" t="str">
            <v>CNY</v>
          </cell>
          <cell r="H278" t="str">
            <v>56</v>
          </cell>
          <cell r="I278" t="str">
            <v>10,000.000</v>
          </cell>
          <cell r="J278" t="str">
            <v>10,000.000</v>
          </cell>
        </row>
        <row r="279">
          <cell r="D279">
            <v>10100011621</v>
          </cell>
          <cell r="E279" t="str">
            <v>广东风华高新科技股份有限公司</v>
          </cell>
          <cell r="F279">
            <v>1.1000000000000001E-3</v>
          </cell>
          <cell r="G279" t="str">
            <v>CNY</v>
          </cell>
          <cell r="H279" t="str">
            <v>42</v>
          </cell>
          <cell r="I279" t="str">
            <v>10,000.000</v>
          </cell>
          <cell r="J279" t="str">
            <v>10,000.000</v>
          </cell>
        </row>
        <row r="280">
          <cell r="D280">
            <v>10100011726</v>
          </cell>
          <cell r="E280" t="str">
            <v>深圳市超利维实业有限公司</v>
          </cell>
          <cell r="F280">
            <v>1.4E-3</v>
          </cell>
          <cell r="G280" t="str">
            <v>CNY</v>
          </cell>
          <cell r="H280" t="str">
            <v>56</v>
          </cell>
          <cell r="I280" t="str">
            <v>10,000.000</v>
          </cell>
          <cell r="J280" t="str">
            <v>10,000.000</v>
          </cell>
        </row>
        <row r="281">
          <cell r="D281">
            <v>10100011886</v>
          </cell>
          <cell r="E281" t="str">
            <v>厚声国际贸易（昆山）有限公司深圳分公司</v>
          </cell>
          <cell r="F281">
            <v>1.09E-3</v>
          </cell>
          <cell r="G281" t="str">
            <v>CNY</v>
          </cell>
          <cell r="H281" t="str">
            <v>42</v>
          </cell>
          <cell r="I281" t="str">
            <v>10,000.000</v>
          </cell>
          <cell r="J281" t="str">
            <v>10,000.000</v>
          </cell>
        </row>
        <row r="282">
          <cell r="D282">
            <v>10100011993</v>
          </cell>
          <cell r="E282" t="str">
            <v>广东风华高新科技股份有限公司</v>
          </cell>
          <cell r="F282">
            <v>1.1000000000000001E-3</v>
          </cell>
          <cell r="G282" t="str">
            <v>CNY</v>
          </cell>
          <cell r="H282" t="str">
            <v>42</v>
          </cell>
          <cell r="I282" t="str">
            <v>10,000.000</v>
          </cell>
          <cell r="J282" t="str">
            <v>10,000.000</v>
          </cell>
        </row>
        <row r="283">
          <cell r="D283">
            <v>10100011996</v>
          </cell>
          <cell r="E283" t="str">
            <v>广东风华高新科技股份有限公司</v>
          </cell>
          <cell r="F283">
            <v>1.1000000000000001E-3</v>
          </cell>
          <cell r="G283" t="str">
            <v>CNY</v>
          </cell>
          <cell r="H283" t="str">
            <v>42</v>
          </cell>
          <cell r="I283" t="str">
            <v>10,000.000</v>
          </cell>
          <cell r="J283" t="str">
            <v>10,000.000</v>
          </cell>
        </row>
        <row r="284">
          <cell r="D284">
            <v>10100013040</v>
          </cell>
          <cell r="E284" t="str">
            <v>厚声国际贸易（昆山）有限公司深圳分公司</v>
          </cell>
          <cell r="F284">
            <v>1.09E-3</v>
          </cell>
          <cell r="G284" t="str">
            <v>CNY</v>
          </cell>
          <cell r="H284" t="str">
            <v>42</v>
          </cell>
          <cell r="I284" t="str">
            <v>10,000.000</v>
          </cell>
          <cell r="J284" t="str">
            <v>10,000.000</v>
          </cell>
        </row>
        <row r="285">
          <cell r="D285">
            <v>10100013093</v>
          </cell>
          <cell r="E285" t="str">
            <v>厚声国际贸易（昆山）有限公司深圳分公司</v>
          </cell>
          <cell r="F285">
            <v>1.09E-3</v>
          </cell>
          <cell r="G285" t="str">
            <v>CNY</v>
          </cell>
          <cell r="H285" t="str">
            <v>42</v>
          </cell>
          <cell r="I285" t="str">
            <v>10,000.000</v>
          </cell>
          <cell r="J285" t="str">
            <v>10,000.000</v>
          </cell>
        </row>
        <row r="286">
          <cell r="D286">
            <v>10100013936</v>
          </cell>
          <cell r="E286" t="str">
            <v>广东风华高新科技股份有限公司</v>
          </cell>
          <cell r="F286">
            <v>1.1000000000000001E-3</v>
          </cell>
          <cell r="G286" t="str">
            <v>CNY</v>
          </cell>
          <cell r="H286" t="str">
            <v>42</v>
          </cell>
          <cell r="I286" t="str">
            <v>10,000.000</v>
          </cell>
          <cell r="J286" t="str">
            <v>10,000.000</v>
          </cell>
        </row>
        <row r="287">
          <cell r="D287">
            <v>10100014263</v>
          </cell>
          <cell r="E287" t="str">
            <v>深圳市超利维实业有限公司</v>
          </cell>
          <cell r="F287">
            <v>1.4E-3</v>
          </cell>
          <cell r="G287" t="str">
            <v>CNY</v>
          </cell>
          <cell r="H287" t="str">
            <v>84</v>
          </cell>
          <cell r="I287" t="str">
            <v>10,000.000</v>
          </cell>
          <cell r="J287" t="str">
            <v>10,000.000</v>
          </cell>
        </row>
        <row r="288">
          <cell r="D288">
            <v>10100014304</v>
          </cell>
          <cell r="E288" t="str">
            <v>东莞华科电子有限公司</v>
          </cell>
          <cell r="F288">
            <v>6.9499999999999996E-3</v>
          </cell>
          <cell r="G288" t="str">
            <v>CNY</v>
          </cell>
          <cell r="H288" t="str">
            <v>70</v>
          </cell>
          <cell r="I288" t="str">
            <v>5,000.000</v>
          </cell>
          <cell r="J288" t="str">
            <v>5,000.000</v>
          </cell>
        </row>
        <row r="289">
          <cell r="D289">
            <v>10100014735</v>
          </cell>
          <cell r="E289" t="str">
            <v>厚声国际贸易（昆山）有限公司深圳分公司</v>
          </cell>
          <cell r="F289">
            <v>1.09E-3</v>
          </cell>
          <cell r="G289" t="str">
            <v>CNY</v>
          </cell>
          <cell r="H289" t="str">
            <v>42</v>
          </cell>
          <cell r="I289" t="str">
            <v>10,000.000</v>
          </cell>
          <cell r="J289" t="str">
            <v>10,000.000</v>
          </cell>
        </row>
        <row r="290">
          <cell r="D290">
            <v>10100015676</v>
          </cell>
          <cell r="E290" t="str">
            <v>厚声国际贸易（昆山）有限公司深圳分公司</v>
          </cell>
          <cell r="F290">
            <v>1.09E-3</v>
          </cell>
          <cell r="G290" t="str">
            <v>CNY</v>
          </cell>
          <cell r="H290" t="str">
            <v>42</v>
          </cell>
          <cell r="I290" t="str">
            <v>10,000.000</v>
          </cell>
          <cell r="J290" t="str">
            <v>10,000.000</v>
          </cell>
        </row>
        <row r="291">
          <cell r="D291">
            <v>10100016358</v>
          </cell>
          <cell r="E291" t="str">
            <v>深圳市超利维实业有限公司</v>
          </cell>
          <cell r="F291">
            <v>1.4E-3</v>
          </cell>
          <cell r="G291" t="str">
            <v>CNY</v>
          </cell>
          <cell r="H291" t="str">
            <v>84</v>
          </cell>
          <cell r="I291" t="str">
            <v>10,000.000</v>
          </cell>
          <cell r="J291" t="str">
            <v>10,000.000</v>
          </cell>
        </row>
        <row r="292">
          <cell r="D292">
            <v>10100016798</v>
          </cell>
          <cell r="E292" t="str">
            <v>东莞华科电子有限公司</v>
          </cell>
          <cell r="F292">
            <v>1E-3</v>
          </cell>
          <cell r="G292" t="str">
            <v>CNY</v>
          </cell>
          <cell r="H292" t="str">
            <v>56</v>
          </cell>
          <cell r="I292" t="str">
            <v>10,000.000</v>
          </cell>
          <cell r="J292" t="str">
            <v>10,000.000</v>
          </cell>
        </row>
        <row r="293">
          <cell r="D293">
            <v>10100017076</v>
          </cell>
          <cell r="E293" t="str">
            <v>东莞华科电子有限公司</v>
          </cell>
          <cell r="F293">
            <v>6.9499999999999996E-3</v>
          </cell>
          <cell r="G293" t="str">
            <v>CNY</v>
          </cell>
          <cell r="H293" t="str">
            <v>70</v>
          </cell>
          <cell r="I293" t="str">
            <v>5,000.000</v>
          </cell>
          <cell r="J293" t="str">
            <v>5,000.000</v>
          </cell>
        </row>
        <row r="294">
          <cell r="D294">
            <v>10100017206</v>
          </cell>
          <cell r="E294" t="str">
            <v>厚声国际贸易（昆山）有限公司深圳分公司</v>
          </cell>
          <cell r="F294">
            <v>6.7799999999999996E-3</v>
          </cell>
          <cell r="G294" t="str">
            <v>CNY</v>
          </cell>
          <cell r="H294" t="str">
            <v>42</v>
          </cell>
          <cell r="I294" t="str">
            <v>5,000.000</v>
          </cell>
          <cell r="J294" t="str">
            <v>5,000.000</v>
          </cell>
        </row>
        <row r="295">
          <cell r="D295">
            <v>10100017335</v>
          </cell>
          <cell r="E295" t="str">
            <v>厚声国际贸易（昆山）有限公司深圳分公司</v>
          </cell>
          <cell r="F295">
            <v>1.09E-3</v>
          </cell>
          <cell r="G295" t="str">
            <v>CNY</v>
          </cell>
          <cell r="H295" t="str">
            <v>42</v>
          </cell>
          <cell r="I295" t="str">
            <v>10,000.000</v>
          </cell>
          <cell r="J295" t="str">
            <v>10,000.000</v>
          </cell>
        </row>
        <row r="296">
          <cell r="D296">
            <v>10100017511</v>
          </cell>
          <cell r="E296" t="str">
            <v>南充溢辉电子科技有限公司</v>
          </cell>
          <cell r="F296">
            <v>5.5999999999999999E-3</v>
          </cell>
          <cell r="G296" t="str">
            <v>CNY</v>
          </cell>
          <cell r="H296" t="str">
            <v>35</v>
          </cell>
          <cell r="I296" t="str">
            <v>5,000.000</v>
          </cell>
          <cell r="J296" t="str">
            <v>5,000.000</v>
          </cell>
        </row>
        <row r="297">
          <cell r="D297">
            <v>10100017551</v>
          </cell>
          <cell r="E297" t="str">
            <v>南充溢辉电子科技有限公司</v>
          </cell>
          <cell r="F297">
            <v>5.5999999999999999E-3</v>
          </cell>
          <cell r="G297" t="str">
            <v>CNY</v>
          </cell>
          <cell r="H297" t="str">
            <v>35</v>
          </cell>
          <cell r="I297" t="str">
            <v>5,000.000</v>
          </cell>
          <cell r="J297" t="str">
            <v>5,000.000</v>
          </cell>
        </row>
        <row r="298">
          <cell r="D298">
            <v>10100017616</v>
          </cell>
          <cell r="E298" t="str">
            <v>南充溢辉电子科技有限公司</v>
          </cell>
          <cell r="F298">
            <v>9.7999999999999997E-4</v>
          </cell>
          <cell r="G298" t="str">
            <v>CNY</v>
          </cell>
          <cell r="H298" t="str">
            <v>35</v>
          </cell>
          <cell r="I298" t="str">
            <v>10,000.000</v>
          </cell>
          <cell r="J298" t="str">
            <v>10,000.000</v>
          </cell>
        </row>
        <row r="299">
          <cell r="D299">
            <v>10100017618</v>
          </cell>
          <cell r="E299" t="str">
            <v>南充溢辉电子科技有限公司</v>
          </cell>
          <cell r="F299">
            <v>9.7999999999999997E-4</v>
          </cell>
          <cell r="G299" t="str">
            <v>CNY</v>
          </cell>
          <cell r="H299" t="str">
            <v>35</v>
          </cell>
          <cell r="I299" t="str">
            <v>10,000.000</v>
          </cell>
          <cell r="J299" t="str">
            <v>10,000.000</v>
          </cell>
        </row>
        <row r="300">
          <cell r="D300">
            <v>10100017642</v>
          </cell>
          <cell r="E300" t="str">
            <v>南充溢辉电子科技有限公司</v>
          </cell>
          <cell r="F300">
            <v>9.7999999999999997E-4</v>
          </cell>
          <cell r="G300" t="str">
            <v>CNY</v>
          </cell>
          <cell r="H300" t="str">
            <v>35</v>
          </cell>
          <cell r="I300" t="str">
            <v>10,000.000</v>
          </cell>
          <cell r="J300" t="str">
            <v>10,000.000</v>
          </cell>
        </row>
        <row r="301">
          <cell r="D301">
            <v>10100017664</v>
          </cell>
          <cell r="E301" t="str">
            <v>南充溢辉电子科技有限公司</v>
          </cell>
          <cell r="F301">
            <v>9.7999999999999997E-4</v>
          </cell>
          <cell r="G301" t="str">
            <v>CNY</v>
          </cell>
          <cell r="H301" t="str">
            <v>35</v>
          </cell>
          <cell r="I301" t="str">
            <v>10,000.000</v>
          </cell>
          <cell r="J301" t="str">
            <v>10,000.000</v>
          </cell>
        </row>
        <row r="302">
          <cell r="D302">
            <v>10100017679</v>
          </cell>
          <cell r="E302" t="str">
            <v>南充溢辉电子科技有限公司</v>
          </cell>
          <cell r="F302">
            <v>9.7999999999999997E-4</v>
          </cell>
          <cell r="G302" t="str">
            <v>CNY</v>
          </cell>
          <cell r="H302" t="str">
            <v>35</v>
          </cell>
          <cell r="I302" t="str">
            <v>10,000.000</v>
          </cell>
          <cell r="J302" t="str">
            <v>10,000.000</v>
          </cell>
        </row>
        <row r="303">
          <cell r="D303">
            <v>10100017738</v>
          </cell>
          <cell r="E303" t="str">
            <v>南充溢辉电子科技有限公司</v>
          </cell>
          <cell r="F303">
            <v>9.7999999999999997E-4</v>
          </cell>
          <cell r="G303" t="str">
            <v>CNY</v>
          </cell>
          <cell r="H303" t="str">
            <v>35</v>
          </cell>
          <cell r="I303" t="str">
            <v>10,000.000</v>
          </cell>
          <cell r="J303" t="str">
            <v>10,000.000</v>
          </cell>
        </row>
        <row r="304">
          <cell r="D304">
            <v>10100017741</v>
          </cell>
          <cell r="E304" t="str">
            <v>南充溢辉电子科技有限公司</v>
          </cell>
          <cell r="F304">
            <v>9.7999999999999997E-4</v>
          </cell>
          <cell r="G304" t="str">
            <v>CNY</v>
          </cell>
          <cell r="H304" t="str">
            <v>35</v>
          </cell>
          <cell r="I304" t="str">
            <v>10,000.000</v>
          </cell>
          <cell r="J304" t="str">
            <v>10,000.000</v>
          </cell>
        </row>
        <row r="305">
          <cell r="D305">
            <v>10100017764</v>
          </cell>
          <cell r="E305" t="str">
            <v>南充溢辉电子科技有限公司</v>
          </cell>
          <cell r="F305">
            <v>9.7999999999999997E-4</v>
          </cell>
          <cell r="G305" t="str">
            <v>CNY</v>
          </cell>
          <cell r="H305" t="str">
            <v>35</v>
          </cell>
          <cell r="I305" t="str">
            <v>10,000.000</v>
          </cell>
          <cell r="J305" t="str">
            <v>10,000.000</v>
          </cell>
        </row>
        <row r="306">
          <cell r="D306">
            <v>10100017970</v>
          </cell>
          <cell r="E306" t="str">
            <v>南充溢辉电子科技有限公司</v>
          </cell>
          <cell r="F306">
            <v>1.8500000000000001E-3</v>
          </cell>
          <cell r="G306" t="str">
            <v>CNY</v>
          </cell>
          <cell r="H306" t="str">
            <v>35</v>
          </cell>
          <cell r="I306" t="str">
            <v>5,000.000</v>
          </cell>
          <cell r="J306" t="str">
            <v>5,000.000</v>
          </cell>
        </row>
        <row r="307">
          <cell r="D307">
            <v>10100018109</v>
          </cell>
          <cell r="E307" t="str">
            <v>南充溢辉电子科技有限公司</v>
          </cell>
          <cell r="F307">
            <v>3.3500000000000001E-3</v>
          </cell>
          <cell r="G307" t="str">
            <v>CNY</v>
          </cell>
          <cell r="H307" t="str">
            <v>35</v>
          </cell>
          <cell r="I307" t="str">
            <v>5,000.000</v>
          </cell>
          <cell r="J307" t="str">
            <v>5,000.000</v>
          </cell>
        </row>
        <row r="308">
          <cell r="D308">
            <v>10100018253</v>
          </cell>
          <cell r="E308" t="str">
            <v>南充溢辉电子科技有限公司</v>
          </cell>
          <cell r="F308">
            <v>3.3500000000000001E-3</v>
          </cell>
          <cell r="G308" t="str">
            <v>CNY</v>
          </cell>
          <cell r="H308" t="str">
            <v>35</v>
          </cell>
          <cell r="I308" t="str">
            <v>5,000.000</v>
          </cell>
          <cell r="J308" t="str">
            <v>5,000.000</v>
          </cell>
        </row>
        <row r="309">
          <cell r="D309">
            <v>10100018256</v>
          </cell>
          <cell r="E309" t="str">
            <v>南充溢辉电子科技有限公司</v>
          </cell>
          <cell r="F309">
            <v>3.3500000000000001E-3</v>
          </cell>
          <cell r="G309" t="str">
            <v>CNY</v>
          </cell>
          <cell r="H309" t="str">
            <v>35</v>
          </cell>
          <cell r="I309" t="str">
            <v>5,000.000</v>
          </cell>
          <cell r="J309" t="str">
            <v>5,000.000</v>
          </cell>
        </row>
        <row r="310">
          <cell r="D310">
            <v>10100018399</v>
          </cell>
          <cell r="E310" t="str">
            <v>南充溢辉电子科技有限公司</v>
          </cell>
          <cell r="F310">
            <v>9.7999999999999997E-4</v>
          </cell>
          <cell r="G310" t="str">
            <v>CNY</v>
          </cell>
          <cell r="H310" t="str">
            <v>35</v>
          </cell>
          <cell r="I310" t="str">
            <v>10,000.000</v>
          </cell>
          <cell r="J310" t="str">
            <v>10,000.000</v>
          </cell>
        </row>
        <row r="311">
          <cell r="D311">
            <v>10100019075</v>
          </cell>
          <cell r="E311" t="str">
            <v>厚声国际贸易（昆山）有限公司深圳分公司</v>
          </cell>
          <cell r="F311">
            <v>1.09E-3</v>
          </cell>
          <cell r="G311" t="str">
            <v>CNY</v>
          </cell>
          <cell r="H311" t="str">
            <v>42</v>
          </cell>
          <cell r="I311" t="str">
            <v>10,000.000</v>
          </cell>
          <cell r="J311" t="str">
            <v>10,000.000</v>
          </cell>
        </row>
        <row r="312">
          <cell r="D312">
            <v>10100019134</v>
          </cell>
          <cell r="E312" t="str">
            <v>南充溢辉电子科技有限公司</v>
          </cell>
          <cell r="F312">
            <v>9.7999999999999997E-4</v>
          </cell>
          <cell r="G312" t="str">
            <v>CNY</v>
          </cell>
          <cell r="H312" t="str">
            <v>35</v>
          </cell>
          <cell r="I312" t="str">
            <v>10,000.000</v>
          </cell>
          <cell r="J312" t="str">
            <v>10,000.000</v>
          </cell>
        </row>
        <row r="313">
          <cell r="D313">
            <v>10100020950</v>
          </cell>
          <cell r="E313" t="str">
            <v>厚声国际贸易（昆山）有限公司深圳分公司</v>
          </cell>
          <cell r="F313">
            <v>1.09E-3</v>
          </cell>
          <cell r="G313" t="str">
            <v>CNY</v>
          </cell>
          <cell r="H313" t="str">
            <v>42</v>
          </cell>
          <cell r="I313" t="str">
            <v>10,000.000</v>
          </cell>
          <cell r="J313" t="str">
            <v>10,000.000</v>
          </cell>
        </row>
        <row r="314">
          <cell r="D314">
            <v>10100022516</v>
          </cell>
          <cell r="E314" t="str">
            <v>厚声国际贸易（昆山）有限公司深圳分公司</v>
          </cell>
          <cell r="F314">
            <v>1.09E-3</v>
          </cell>
          <cell r="G314" t="str">
            <v>CNY</v>
          </cell>
          <cell r="H314" t="str">
            <v>42</v>
          </cell>
          <cell r="I314" t="str">
            <v>10,000.000</v>
          </cell>
          <cell r="J314" t="str">
            <v>10,000.000</v>
          </cell>
        </row>
        <row r="315">
          <cell r="D315">
            <v>10100022846</v>
          </cell>
          <cell r="E315" t="str">
            <v>深圳市超利维实业有限公司</v>
          </cell>
          <cell r="F315">
            <v>1.4E-3</v>
          </cell>
          <cell r="G315" t="str">
            <v>CNY</v>
          </cell>
          <cell r="H315" t="str">
            <v>84</v>
          </cell>
          <cell r="I315" t="str">
            <v>10,000.000</v>
          </cell>
          <cell r="J315" t="str">
            <v>10,000.000</v>
          </cell>
        </row>
        <row r="316">
          <cell r="D316">
            <v>10100022852</v>
          </cell>
          <cell r="E316" t="str">
            <v>东莞华科电子有限公司</v>
          </cell>
          <cell r="F316">
            <v>1.17E-3</v>
          </cell>
          <cell r="G316" t="str">
            <v>CNY</v>
          </cell>
          <cell r="H316" t="str">
            <v>56</v>
          </cell>
          <cell r="I316" t="str">
            <v>10,000.000</v>
          </cell>
          <cell r="J316" t="str">
            <v>10,000.000</v>
          </cell>
        </row>
        <row r="317">
          <cell r="D317">
            <v>10100022856</v>
          </cell>
          <cell r="E317" t="str">
            <v>厚声国际贸易（昆山）有限公司深圳分公司</v>
          </cell>
          <cell r="F317">
            <v>1.09E-3</v>
          </cell>
          <cell r="G317" t="str">
            <v>CNY</v>
          </cell>
          <cell r="H317" t="str">
            <v>42</v>
          </cell>
          <cell r="I317" t="str">
            <v>10,000.000</v>
          </cell>
          <cell r="J317" t="str">
            <v>10,000.000</v>
          </cell>
        </row>
        <row r="318">
          <cell r="D318">
            <v>10100022860</v>
          </cell>
          <cell r="E318" t="str">
            <v>广东风华高新科技股份有限公司</v>
          </cell>
          <cell r="F318">
            <v>1.1000000000000001E-3</v>
          </cell>
          <cell r="G318" t="str">
            <v>CNY</v>
          </cell>
          <cell r="H318" t="str">
            <v>42</v>
          </cell>
          <cell r="I318" t="str">
            <v>10,000.000</v>
          </cell>
          <cell r="J318" t="str">
            <v>10,000.000</v>
          </cell>
        </row>
        <row r="319">
          <cell r="D319">
            <v>10100023928</v>
          </cell>
          <cell r="E319" t="str">
            <v>厚声国际贸易（昆山）有限公司深圳分公司</v>
          </cell>
          <cell r="F319">
            <v>6.7799999999999996E-3</v>
          </cell>
          <cell r="G319" t="str">
            <v>CNY</v>
          </cell>
          <cell r="H319" t="str">
            <v>42</v>
          </cell>
          <cell r="I319" t="str">
            <v>5,000.000</v>
          </cell>
          <cell r="J319" t="str">
            <v>5,000.000</v>
          </cell>
        </row>
        <row r="320">
          <cell r="D320">
            <v>10100023933</v>
          </cell>
          <cell r="E320" t="str">
            <v>广东风华高新科技股份有限公司</v>
          </cell>
          <cell r="F320">
            <v>6.3699999999999998E-3</v>
          </cell>
          <cell r="G320" t="str">
            <v>CNY</v>
          </cell>
          <cell r="H320" t="str">
            <v>56</v>
          </cell>
          <cell r="I320" t="str">
            <v>5,000.000</v>
          </cell>
          <cell r="J320" t="str">
            <v>5,000.000</v>
          </cell>
        </row>
        <row r="321">
          <cell r="D321">
            <v>10100023938</v>
          </cell>
          <cell r="E321" t="str">
            <v>深圳市超利维实业有限公司</v>
          </cell>
          <cell r="F321">
            <v>8.0000000000000002E-3</v>
          </cell>
          <cell r="G321" t="str">
            <v>CNY</v>
          </cell>
          <cell r="H321" t="str">
            <v>84</v>
          </cell>
          <cell r="I321" t="str">
            <v>5,000.000</v>
          </cell>
          <cell r="J321" t="str">
            <v>5,000.000</v>
          </cell>
        </row>
        <row r="322">
          <cell r="D322">
            <v>10100024044</v>
          </cell>
          <cell r="E322" t="str">
            <v>南充溢辉电子科技有限公司</v>
          </cell>
          <cell r="F322">
            <v>5.5999999999999999E-3</v>
          </cell>
          <cell r="G322" t="str">
            <v>CNY</v>
          </cell>
          <cell r="H322" t="str">
            <v>35</v>
          </cell>
          <cell r="I322" t="str">
            <v>5,000.000</v>
          </cell>
          <cell r="J322" t="str">
            <v>5,000.000</v>
          </cell>
        </row>
        <row r="323">
          <cell r="D323">
            <v>10100024100</v>
          </cell>
          <cell r="E323" t="str">
            <v>广东风华高新科技股份有限公司</v>
          </cell>
          <cell r="F323">
            <v>2.0799999999999998E-3</v>
          </cell>
          <cell r="G323" t="str">
            <v>CNY</v>
          </cell>
          <cell r="H323" t="str">
            <v>42</v>
          </cell>
          <cell r="I323" t="str">
            <v>5,000.000</v>
          </cell>
          <cell r="J323" t="str">
            <v>5,000.000</v>
          </cell>
        </row>
        <row r="324">
          <cell r="D324">
            <v>10100025239</v>
          </cell>
          <cell r="E324" t="str">
            <v>广州盛中电子有限公司</v>
          </cell>
          <cell r="F324">
            <v>0.19</v>
          </cell>
          <cell r="G324" t="str">
            <v>CNY</v>
          </cell>
          <cell r="H324" t="str">
            <v>112</v>
          </cell>
          <cell r="I324" t="str">
            <v>4,000.000</v>
          </cell>
          <cell r="J324" t="str">
            <v>4,000.000</v>
          </cell>
        </row>
        <row r="325">
          <cell r="D325">
            <v>10100026554</v>
          </cell>
          <cell r="E325" t="str">
            <v>广东风华高新科技股份有限公司</v>
          </cell>
          <cell r="F325">
            <v>6.3699999999999998E-3</v>
          </cell>
          <cell r="G325" t="str">
            <v>CNY</v>
          </cell>
          <cell r="H325" t="str">
            <v>42</v>
          </cell>
          <cell r="I325" t="str">
            <v>5,000.000</v>
          </cell>
          <cell r="J325" t="str">
            <v>5,000.000</v>
          </cell>
        </row>
        <row r="326">
          <cell r="D326">
            <v>10100026860</v>
          </cell>
          <cell r="E326" t="str">
            <v>深圳安培龙科技股份有限公司</v>
          </cell>
          <cell r="F326">
            <v>0.25</v>
          </cell>
          <cell r="G326" t="str">
            <v>CNY</v>
          </cell>
          <cell r="H326" t="str">
            <v>28</v>
          </cell>
          <cell r="I326" t="str">
            <v>5,000.000</v>
          </cell>
          <cell r="J326" t="str">
            <v>500.000</v>
          </cell>
        </row>
        <row r="327">
          <cell r="D327">
            <v>10100030065</v>
          </cell>
          <cell r="E327" t="str">
            <v>成都铁达电子股份有限公司</v>
          </cell>
          <cell r="F327">
            <v>0.47</v>
          </cell>
          <cell r="G327" t="str">
            <v>CNY</v>
          </cell>
          <cell r="H327" t="str">
            <v>15</v>
          </cell>
          <cell r="I327" t="str">
            <v>1,600.000</v>
          </cell>
          <cell r="J327" t="str">
            <v>400.000</v>
          </cell>
        </row>
        <row r="328">
          <cell r="D328">
            <v>10100033903</v>
          </cell>
          <cell r="E328" t="str">
            <v>恒辉电阻（益阳）有限公司</v>
          </cell>
          <cell r="F328">
            <v>9.7999999999999997E-4</v>
          </cell>
          <cell r="G328" t="str">
            <v>CNY</v>
          </cell>
          <cell r="H328" t="str">
            <v>42</v>
          </cell>
          <cell r="I328" t="str">
            <v>10,000.000</v>
          </cell>
          <cell r="J328" t="str">
            <v>10,000.000</v>
          </cell>
        </row>
        <row r="329">
          <cell r="D329">
            <v>10100034109</v>
          </cell>
          <cell r="E329" t="str">
            <v>广东风华高新科技股份有限公司</v>
          </cell>
          <cell r="F329">
            <v>1.1000000000000001E-3</v>
          </cell>
          <cell r="G329" t="str">
            <v>CNY</v>
          </cell>
          <cell r="H329" t="str">
            <v>42</v>
          </cell>
          <cell r="I329" t="str">
            <v>10,000.000</v>
          </cell>
          <cell r="J329" t="str">
            <v>10,000.000</v>
          </cell>
        </row>
        <row r="330">
          <cell r="D330">
            <v>10110001388</v>
          </cell>
          <cell r="E330" t="str">
            <v>广东风华高新科技股份有限公司</v>
          </cell>
          <cell r="F330">
            <v>5.4999999999999997E-3</v>
          </cell>
          <cell r="G330" t="str">
            <v>CNY</v>
          </cell>
          <cell r="H330" t="str">
            <v>42</v>
          </cell>
          <cell r="I330" t="str">
            <v>4,000.000</v>
          </cell>
          <cell r="J330" t="str">
            <v>4,000.000</v>
          </cell>
        </row>
        <row r="331">
          <cell r="D331">
            <v>10110001391</v>
          </cell>
          <cell r="E331" t="str">
            <v>广东顺德集财电子有限公司</v>
          </cell>
          <cell r="F331">
            <v>6.1000000000000004E-3</v>
          </cell>
          <cell r="G331" t="str">
            <v>CNY</v>
          </cell>
          <cell r="H331" t="str">
            <v>56</v>
          </cell>
          <cell r="I331" t="str">
            <v>4,000.000</v>
          </cell>
          <cell r="J331" t="str">
            <v>4,000.000</v>
          </cell>
        </row>
        <row r="332">
          <cell r="D332">
            <v>10110003080</v>
          </cell>
          <cell r="E332" t="str">
            <v>深圳市兴鸿宇科技有限公司</v>
          </cell>
          <cell r="F332">
            <v>0.19800000000000001</v>
          </cell>
          <cell r="G332" t="str">
            <v>CNY</v>
          </cell>
          <cell r="H332" t="str">
            <v>84</v>
          </cell>
          <cell r="I332" t="str">
            <v>1,000.000</v>
          </cell>
          <cell r="J332" t="str">
            <v>1,000.000</v>
          </cell>
        </row>
        <row r="333">
          <cell r="D333">
            <v>10110003896</v>
          </cell>
          <cell r="E333" t="str">
            <v>深圳市奥特高科电子有限公司</v>
          </cell>
          <cell r="F333">
            <v>2.3E-3</v>
          </cell>
          <cell r="G333" t="str">
            <v>CNY</v>
          </cell>
          <cell r="H333" t="str">
            <v>56</v>
          </cell>
          <cell r="I333" t="str">
            <v>10,000.000</v>
          </cell>
          <cell r="J333" t="str">
            <v>10,000.000</v>
          </cell>
        </row>
        <row r="334">
          <cell r="D334">
            <v>10110003897</v>
          </cell>
          <cell r="E334" t="str">
            <v>深圳市奥特高科电子有限公司</v>
          </cell>
          <cell r="F334">
            <v>2.2000000000000001E-3</v>
          </cell>
          <cell r="G334" t="str">
            <v>CNY</v>
          </cell>
          <cell r="H334" t="str">
            <v>56</v>
          </cell>
          <cell r="I334" t="str">
            <v>10,000.000</v>
          </cell>
          <cell r="J334" t="str">
            <v>10,000.000</v>
          </cell>
        </row>
        <row r="335">
          <cell r="D335">
            <v>10110003944</v>
          </cell>
          <cell r="E335" t="str">
            <v>东莞华科电子有限公司</v>
          </cell>
          <cell r="F335">
            <v>5.4299999999999999E-3</v>
          </cell>
          <cell r="G335" t="str">
            <v>CNY</v>
          </cell>
          <cell r="H335" t="str">
            <v>56</v>
          </cell>
          <cell r="I335" t="str">
            <v>4,000.000</v>
          </cell>
          <cell r="J335" t="str">
            <v>4,000.000</v>
          </cell>
        </row>
        <row r="336">
          <cell r="D336">
            <v>10110004676</v>
          </cell>
          <cell r="E336" t="str">
            <v>东莞华科电子有限公司</v>
          </cell>
          <cell r="F336">
            <v>1.98E-3</v>
          </cell>
          <cell r="G336" t="str">
            <v>CNY</v>
          </cell>
          <cell r="H336" t="str">
            <v>56</v>
          </cell>
          <cell r="I336" t="str">
            <v>10,000.000</v>
          </cell>
          <cell r="J336" t="str">
            <v>10,000.000</v>
          </cell>
        </row>
        <row r="337">
          <cell r="D337">
            <v>10110005377</v>
          </cell>
          <cell r="E337" t="str">
            <v>深圳市巨新科电子有限公司</v>
          </cell>
          <cell r="F337">
            <v>2.98E-3</v>
          </cell>
          <cell r="G337" t="str">
            <v>CNY</v>
          </cell>
          <cell r="H337" t="str">
            <v>56</v>
          </cell>
          <cell r="I337" t="str">
            <v>10,000.000</v>
          </cell>
          <cell r="J337" t="str">
            <v>10,000.000</v>
          </cell>
        </row>
        <row r="338">
          <cell r="D338">
            <v>10110005378</v>
          </cell>
          <cell r="E338" t="str">
            <v>深圳市吉利通电子有限公司</v>
          </cell>
          <cell r="F338">
            <v>2.3999999999999998E-3</v>
          </cell>
          <cell r="G338" t="str">
            <v>CNY</v>
          </cell>
          <cell r="H338" t="str">
            <v>56</v>
          </cell>
          <cell r="I338" t="str">
            <v>10,000.000</v>
          </cell>
          <cell r="J338" t="str">
            <v>10,000.000</v>
          </cell>
        </row>
        <row r="339">
          <cell r="D339">
            <v>10110005723</v>
          </cell>
          <cell r="E339" t="str">
            <v>深圳市奥特高科电子有限公司</v>
          </cell>
          <cell r="F339">
            <v>6.4999999999999997E-3</v>
          </cell>
          <cell r="G339" t="str">
            <v>CNY</v>
          </cell>
          <cell r="H339" t="str">
            <v>56</v>
          </cell>
          <cell r="I339" t="str">
            <v>4,000.000</v>
          </cell>
          <cell r="J339" t="str">
            <v>4,000.000</v>
          </cell>
        </row>
        <row r="340">
          <cell r="D340">
            <v>10110005817</v>
          </cell>
          <cell r="E340" t="str">
            <v>东莞华科电子有限公司</v>
          </cell>
          <cell r="F340">
            <v>1.98E-3</v>
          </cell>
          <cell r="G340" t="str">
            <v>CNY</v>
          </cell>
          <cell r="H340" t="str">
            <v>56</v>
          </cell>
          <cell r="I340" t="str">
            <v>10,000.000</v>
          </cell>
          <cell r="J340" t="str">
            <v>10,000.000</v>
          </cell>
        </row>
        <row r="341">
          <cell r="D341">
            <v>10110006771</v>
          </cell>
          <cell r="E341" t="str">
            <v>深圳市奥特高科电子有限公司</v>
          </cell>
          <cell r="F341">
            <v>4.9500000000000004E-3</v>
          </cell>
          <cell r="G341" t="str">
            <v>CNY</v>
          </cell>
          <cell r="H341" t="str">
            <v>56</v>
          </cell>
          <cell r="I341" t="str">
            <v>10,000.000</v>
          </cell>
          <cell r="J341" t="str">
            <v>10,000.000</v>
          </cell>
        </row>
        <row r="342">
          <cell r="D342">
            <v>10110007139</v>
          </cell>
          <cell r="E342" t="str">
            <v>深圳市天河星供应链有限公司</v>
          </cell>
          <cell r="F342">
            <v>2.2000000000000001E-3</v>
          </cell>
          <cell r="G342" t="str">
            <v>CNY</v>
          </cell>
          <cell r="H342" t="str">
            <v>56</v>
          </cell>
          <cell r="I342" t="str">
            <v>10,000.000</v>
          </cell>
          <cell r="J342" t="str">
            <v>10,000.000</v>
          </cell>
        </row>
        <row r="343">
          <cell r="D343">
            <v>10110007822</v>
          </cell>
          <cell r="E343" t="str">
            <v>广东顺德集财电子有限公司</v>
          </cell>
          <cell r="F343">
            <v>2.3999999999999998E-3</v>
          </cell>
          <cell r="G343" t="str">
            <v>CNY</v>
          </cell>
          <cell r="H343" t="str">
            <v>56</v>
          </cell>
          <cell r="I343" t="str">
            <v>10,000.000</v>
          </cell>
          <cell r="J343" t="str">
            <v>10,000.000</v>
          </cell>
        </row>
        <row r="344">
          <cell r="D344">
            <v>10110008257</v>
          </cell>
          <cell r="E344" t="str">
            <v>深圳市兴鸿宇科技有限公司</v>
          </cell>
          <cell r="F344">
            <v>4.5999999999999999E-3</v>
          </cell>
          <cell r="G344" t="str">
            <v>CNY</v>
          </cell>
          <cell r="H344" t="str">
            <v>56</v>
          </cell>
          <cell r="I344" t="str">
            <v>10,000.000</v>
          </cell>
          <cell r="J344" t="str">
            <v>10,000.000</v>
          </cell>
        </row>
        <row r="345">
          <cell r="D345">
            <v>10110008724</v>
          </cell>
          <cell r="E345" t="str">
            <v>广东顺德集财电子有限公司</v>
          </cell>
          <cell r="F345">
            <v>4.1000000000000003E-3</v>
          </cell>
          <cell r="G345" t="str">
            <v>CNY</v>
          </cell>
          <cell r="H345" t="str">
            <v>56</v>
          </cell>
          <cell r="I345" t="str">
            <v>10,000.000</v>
          </cell>
          <cell r="J345" t="str">
            <v>10,000.000</v>
          </cell>
        </row>
        <row r="346">
          <cell r="D346">
            <v>10110008726</v>
          </cell>
          <cell r="E346" t="str">
            <v>深圳市天河星供应链有限公司</v>
          </cell>
          <cell r="F346">
            <v>2.2000000000000001E-3</v>
          </cell>
          <cell r="G346" t="str">
            <v>CNY</v>
          </cell>
          <cell r="H346" t="str">
            <v>56</v>
          </cell>
          <cell r="I346" t="str">
            <v>10,000.000</v>
          </cell>
          <cell r="J346" t="str">
            <v>10,000.000</v>
          </cell>
        </row>
        <row r="347">
          <cell r="D347">
            <v>10110008729</v>
          </cell>
          <cell r="E347" t="str">
            <v>深圳市天河星供应链有限公司</v>
          </cell>
          <cell r="F347">
            <v>2.0999999999999999E-3</v>
          </cell>
          <cell r="G347" t="str">
            <v>CNY</v>
          </cell>
          <cell r="H347" t="str">
            <v>56</v>
          </cell>
          <cell r="I347" t="str">
            <v>10,000.000</v>
          </cell>
          <cell r="J347" t="str">
            <v>10,000.000</v>
          </cell>
        </row>
        <row r="348">
          <cell r="D348">
            <v>10110008734</v>
          </cell>
          <cell r="E348" t="str">
            <v>深圳市天河星供应链有限公司</v>
          </cell>
          <cell r="F348">
            <v>2.0999999999999999E-3</v>
          </cell>
          <cell r="G348" t="str">
            <v>CNY</v>
          </cell>
          <cell r="H348" t="str">
            <v>56</v>
          </cell>
          <cell r="I348" t="str">
            <v>10,000.000</v>
          </cell>
          <cell r="J348" t="str">
            <v>10,000.000</v>
          </cell>
        </row>
        <row r="349">
          <cell r="D349">
            <v>10110008742</v>
          </cell>
          <cell r="E349" t="str">
            <v>广东风华高新科技股份有限公司</v>
          </cell>
          <cell r="F349">
            <v>2.1900000000000001E-3</v>
          </cell>
          <cell r="G349" t="str">
            <v>CNY</v>
          </cell>
          <cell r="H349" t="str">
            <v>56</v>
          </cell>
          <cell r="I349" t="str">
            <v>10,000.000</v>
          </cell>
          <cell r="J349" t="str">
            <v>10,000.000</v>
          </cell>
        </row>
        <row r="350">
          <cell r="D350">
            <v>10110008934</v>
          </cell>
          <cell r="E350" t="str">
            <v>广东顺德集财电子有限公司</v>
          </cell>
          <cell r="F350">
            <v>9.8000000000000004E-2</v>
          </cell>
          <cell r="G350" t="str">
            <v>CNY</v>
          </cell>
          <cell r="H350" t="str">
            <v>56</v>
          </cell>
          <cell r="I350" t="str">
            <v>2,000.000</v>
          </cell>
          <cell r="J350" t="str">
            <v>2,000.000</v>
          </cell>
        </row>
        <row r="351">
          <cell r="D351">
            <v>10110008993</v>
          </cell>
          <cell r="E351" t="str">
            <v>东莞华科电子有限公司</v>
          </cell>
          <cell r="F351">
            <v>3.0500000000000002E-3</v>
          </cell>
          <cell r="G351" t="str">
            <v>CNY</v>
          </cell>
          <cell r="H351" t="str">
            <v>56</v>
          </cell>
          <cell r="I351" t="str">
            <v>10,000.000</v>
          </cell>
          <cell r="J351" t="str">
            <v>10,000.000</v>
          </cell>
        </row>
        <row r="352">
          <cell r="D352">
            <v>10110009071</v>
          </cell>
          <cell r="E352" t="str">
            <v>东莞华科电子有限公司</v>
          </cell>
          <cell r="F352">
            <v>0.16964000000000001</v>
          </cell>
          <cell r="G352" t="str">
            <v>CNY</v>
          </cell>
          <cell r="H352" t="str">
            <v>84</v>
          </cell>
          <cell r="I352" t="str">
            <v>3,000.000</v>
          </cell>
          <cell r="J352" t="str">
            <v>3,000.000</v>
          </cell>
        </row>
        <row r="353">
          <cell r="D353">
            <v>10110009749</v>
          </cell>
          <cell r="E353" t="str">
            <v>深圳市欧亚达电子有限公司</v>
          </cell>
          <cell r="F353">
            <v>9.5499999999999995E-3</v>
          </cell>
          <cell r="G353" t="str">
            <v>CNY</v>
          </cell>
          <cell r="H353" t="str">
            <v>84</v>
          </cell>
          <cell r="I353" t="str">
            <v>10,000.000</v>
          </cell>
          <cell r="J353" t="str">
            <v>10,000.000</v>
          </cell>
        </row>
        <row r="354">
          <cell r="D354">
            <v>10110010638</v>
          </cell>
          <cell r="E354" t="str">
            <v>深圳市宏昌鑫科技有限责任公司</v>
          </cell>
          <cell r="F354">
            <v>7.3699999999999998E-3</v>
          </cell>
          <cell r="G354" t="str">
            <v>CNY</v>
          </cell>
          <cell r="H354" t="str">
            <v>140</v>
          </cell>
          <cell r="I354" t="str">
            <v>10,000.000</v>
          </cell>
          <cell r="J354" t="str">
            <v>10,000.000</v>
          </cell>
        </row>
        <row r="355">
          <cell r="D355">
            <v>10110011269</v>
          </cell>
          <cell r="E355" t="str">
            <v>潮州三环（集团）股份有限公司</v>
          </cell>
          <cell r="F355">
            <v>1.8500000000000001E-3</v>
          </cell>
          <cell r="G355" t="str">
            <v>CNY</v>
          </cell>
          <cell r="H355" t="str">
            <v>56</v>
          </cell>
          <cell r="I355" t="str">
            <v>10,000.000</v>
          </cell>
          <cell r="J355" t="str">
            <v>10,000.000</v>
          </cell>
        </row>
        <row r="356">
          <cell r="D356">
            <v>10110011283</v>
          </cell>
          <cell r="E356" t="str">
            <v>潮州三环（集团）股份有限公司</v>
          </cell>
          <cell r="F356">
            <v>5.1500000000000001E-3</v>
          </cell>
          <cell r="G356" t="str">
            <v>CNY</v>
          </cell>
          <cell r="H356" t="str">
            <v>56</v>
          </cell>
          <cell r="I356" t="str">
            <v>4,000.000</v>
          </cell>
          <cell r="J356" t="str">
            <v>4,000.000</v>
          </cell>
        </row>
        <row r="357">
          <cell r="D357">
            <v>10110012147</v>
          </cell>
          <cell r="E357" t="str">
            <v>潮州三环（集团）股份有限公司</v>
          </cell>
          <cell r="F357">
            <v>1.9499999999999999E-3</v>
          </cell>
          <cell r="G357" t="str">
            <v>CNY</v>
          </cell>
          <cell r="H357" t="str">
            <v>56</v>
          </cell>
          <cell r="I357" t="str">
            <v>10,000.000</v>
          </cell>
          <cell r="J357" t="str">
            <v>10,000.000</v>
          </cell>
        </row>
        <row r="358">
          <cell r="D358">
            <v>10110012149</v>
          </cell>
          <cell r="E358" t="str">
            <v>潮州三环（集团）股份有限公司</v>
          </cell>
          <cell r="F358">
            <v>1.8500000000000001E-3</v>
          </cell>
          <cell r="G358" t="str">
            <v>CNY</v>
          </cell>
          <cell r="H358" t="str">
            <v>56</v>
          </cell>
          <cell r="I358" t="str">
            <v>10,000.000</v>
          </cell>
          <cell r="J358" t="str">
            <v>10,000.000</v>
          </cell>
        </row>
        <row r="359">
          <cell r="D359">
            <v>10110012398</v>
          </cell>
          <cell r="E359" t="str">
            <v>深圳市奥特高科电子有限公司</v>
          </cell>
          <cell r="F359">
            <v>7.0000000000000001E-3</v>
          </cell>
          <cell r="G359" t="str">
            <v>CNY</v>
          </cell>
          <cell r="H359" t="str">
            <v>56</v>
          </cell>
          <cell r="I359" t="str">
            <v>4,000.000</v>
          </cell>
          <cell r="J359" t="str">
            <v>4,000.000</v>
          </cell>
        </row>
        <row r="360">
          <cell r="D360">
            <v>10110012402</v>
          </cell>
          <cell r="E360" t="str">
            <v>深圳市兴鸿宇科技有限公司</v>
          </cell>
          <cell r="F360">
            <v>6.8999999999999999E-3</v>
          </cell>
          <cell r="G360" t="str">
            <v>CNY</v>
          </cell>
          <cell r="H360" t="str">
            <v>70</v>
          </cell>
          <cell r="I360" t="str">
            <v>4,000.000</v>
          </cell>
          <cell r="J360" t="str">
            <v>4,000.000</v>
          </cell>
        </row>
        <row r="361">
          <cell r="D361">
            <v>10110012403</v>
          </cell>
          <cell r="E361" t="str">
            <v>广东风华高新科技股份有限公司</v>
          </cell>
          <cell r="F361">
            <v>7.0000000000000001E-3</v>
          </cell>
          <cell r="G361" t="str">
            <v>CNY</v>
          </cell>
          <cell r="H361" t="str">
            <v>56</v>
          </cell>
          <cell r="I361" t="str">
            <v>4,000.000</v>
          </cell>
          <cell r="J361" t="str">
            <v>4,000.000</v>
          </cell>
        </row>
        <row r="362">
          <cell r="D362">
            <v>10110013851</v>
          </cell>
          <cell r="E362" t="str">
            <v>潮州三环（集团）股份有限公司</v>
          </cell>
          <cell r="F362">
            <v>7.0899999999999999E-3</v>
          </cell>
          <cell r="G362" t="str">
            <v>CNY</v>
          </cell>
          <cell r="H362" t="str">
            <v>56</v>
          </cell>
          <cell r="I362" t="str">
            <v>4,000.000</v>
          </cell>
          <cell r="J362" t="str">
            <v>4,000.000</v>
          </cell>
        </row>
        <row r="363">
          <cell r="D363">
            <v>10110014746</v>
          </cell>
          <cell r="E363" t="str">
            <v>汕头保税区松田电子科技有限公司</v>
          </cell>
          <cell r="F363">
            <v>0.23311999999999999</v>
          </cell>
          <cell r="G363" t="str">
            <v>CNY</v>
          </cell>
          <cell r="H363" t="str">
            <v>28</v>
          </cell>
          <cell r="I363" t="str">
            <v>1,000.000</v>
          </cell>
          <cell r="J363" t="str">
            <v>1,000.000</v>
          </cell>
        </row>
        <row r="364">
          <cell r="D364">
            <v>10110015893</v>
          </cell>
          <cell r="E364" t="str">
            <v>潮州三环（集团）股份有限公司</v>
          </cell>
          <cell r="F364">
            <v>1.8600000000000001E-3</v>
          </cell>
          <cell r="G364" t="str">
            <v>CNY</v>
          </cell>
          <cell r="H364" t="str">
            <v>56</v>
          </cell>
          <cell r="I364" t="str">
            <v>10,000.000</v>
          </cell>
          <cell r="J364" t="str">
            <v>10,000.000</v>
          </cell>
        </row>
        <row r="365">
          <cell r="D365">
            <v>10110016198</v>
          </cell>
          <cell r="E365" t="str">
            <v>深圳市奥特高科电子有限公司</v>
          </cell>
          <cell r="F365">
            <v>2.3E-3</v>
          </cell>
          <cell r="G365" t="str">
            <v>CNY</v>
          </cell>
          <cell r="H365" t="str">
            <v>56</v>
          </cell>
          <cell r="I365" t="str">
            <v>10,000.000</v>
          </cell>
          <cell r="J365" t="str">
            <v>10,000.000</v>
          </cell>
        </row>
        <row r="366">
          <cell r="D366">
            <v>10110016349</v>
          </cell>
          <cell r="E366" t="str">
            <v>潮州三环（集团）股份有限公司</v>
          </cell>
          <cell r="F366">
            <v>3.9500000000000004E-3</v>
          </cell>
          <cell r="G366" t="str">
            <v>CNY</v>
          </cell>
          <cell r="H366" t="str">
            <v>56</v>
          </cell>
          <cell r="I366" t="str">
            <v>10,000.000</v>
          </cell>
          <cell r="J366" t="str">
            <v>10,000.000</v>
          </cell>
        </row>
        <row r="367">
          <cell r="D367">
            <v>10110016965</v>
          </cell>
          <cell r="E367" t="str">
            <v>深圳市巨新科电子有限公司</v>
          </cell>
          <cell r="F367">
            <v>1.695E-2</v>
          </cell>
          <cell r="G367" t="str">
            <v>CNY</v>
          </cell>
          <cell r="H367" t="str">
            <v>84</v>
          </cell>
          <cell r="I367" t="str">
            <v>4,000.000</v>
          </cell>
          <cell r="J367" t="str">
            <v>4,000.000</v>
          </cell>
        </row>
        <row r="368">
          <cell r="D368">
            <v>10110016977</v>
          </cell>
          <cell r="E368" t="str">
            <v>广东顺德集财电子有限公司</v>
          </cell>
          <cell r="F368">
            <v>1.0200000000000001E-2</v>
          </cell>
          <cell r="G368" t="str">
            <v>CNY</v>
          </cell>
          <cell r="H368" t="str">
            <v>56</v>
          </cell>
          <cell r="I368" t="str">
            <v>4,000.000</v>
          </cell>
          <cell r="J368" t="str">
            <v>4,000.000</v>
          </cell>
        </row>
        <row r="369">
          <cell r="D369">
            <v>10110016988</v>
          </cell>
          <cell r="E369" t="str">
            <v>广东风华高新科技股份有限公司</v>
          </cell>
          <cell r="F369">
            <v>9.2999999999999992E-3</v>
          </cell>
          <cell r="G369" t="str">
            <v>CNY</v>
          </cell>
          <cell r="H369" t="str">
            <v>42</v>
          </cell>
          <cell r="I369" t="str">
            <v>4,000.000</v>
          </cell>
          <cell r="J369" t="str">
            <v>4,000.000</v>
          </cell>
        </row>
        <row r="370">
          <cell r="D370">
            <v>10110018933</v>
          </cell>
          <cell r="E370" t="str">
            <v>东莞华科电子有限公司</v>
          </cell>
          <cell r="F370">
            <v>7.9100000000000004E-3</v>
          </cell>
          <cell r="G370" t="str">
            <v>CNY</v>
          </cell>
          <cell r="H370" t="str">
            <v>84</v>
          </cell>
          <cell r="I370" t="str">
            <v>10,000.000</v>
          </cell>
          <cell r="J370" t="str">
            <v>10,000.000</v>
          </cell>
        </row>
        <row r="371">
          <cell r="D371">
            <v>10110018934</v>
          </cell>
          <cell r="E371" t="str">
            <v>深圳市超利维实业有限公司</v>
          </cell>
          <cell r="F371">
            <v>1.2999999999999999E-2</v>
          </cell>
          <cell r="G371" t="str">
            <v>CNY</v>
          </cell>
          <cell r="H371" t="str">
            <v>112</v>
          </cell>
          <cell r="I371" t="str">
            <v>10,000.000</v>
          </cell>
          <cell r="J371" t="str">
            <v>10,000.000</v>
          </cell>
        </row>
        <row r="372">
          <cell r="D372">
            <v>10110019073</v>
          </cell>
          <cell r="E372" t="str">
            <v>广东风华高新科技股份有限公司</v>
          </cell>
          <cell r="F372">
            <v>0.17799999999999999</v>
          </cell>
          <cell r="G372" t="str">
            <v>CNY</v>
          </cell>
          <cell r="H372" t="str">
            <v>56</v>
          </cell>
          <cell r="I372" t="str">
            <v>1,000.000</v>
          </cell>
          <cell r="J372" t="str">
            <v>1,000.000</v>
          </cell>
        </row>
        <row r="373">
          <cell r="D373">
            <v>10110019130</v>
          </cell>
          <cell r="E373" t="str">
            <v>潮州三环（集团）股份有限公司</v>
          </cell>
          <cell r="F373">
            <v>0.18</v>
          </cell>
          <cell r="G373" t="str">
            <v>CNY</v>
          </cell>
          <cell r="H373" t="str">
            <v>56</v>
          </cell>
          <cell r="I373" t="str">
            <v>1,000.000</v>
          </cell>
          <cell r="J373" t="str">
            <v>1,000.000</v>
          </cell>
        </row>
        <row r="374">
          <cell r="D374">
            <v>10110019208</v>
          </cell>
          <cell r="E374" t="str">
            <v>东莞华科电子有限公司</v>
          </cell>
          <cell r="F374">
            <v>0.12429999999999999</v>
          </cell>
          <cell r="G374" t="str">
            <v>CNY</v>
          </cell>
          <cell r="H374" t="str">
            <v>56</v>
          </cell>
          <cell r="I374" t="str">
            <v>10,000.000</v>
          </cell>
          <cell r="J374" t="str">
            <v>10,000.000</v>
          </cell>
        </row>
        <row r="375">
          <cell r="D375">
            <v>10110020767</v>
          </cell>
          <cell r="E375" t="str">
            <v>广东顺德集财电子有限公司</v>
          </cell>
          <cell r="F375">
            <v>5.5399999999999998E-2</v>
          </cell>
          <cell r="G375" t="str">
            <v>CNY</v>
          </cell>
          <cell r="H375" t="str">
            <v>84</v>
          </cell>
          <cell r="I375" t="str">
            <v>10,000.000</v>
          </cell>
          <cell r="J375" t="str">
            <v>10,000.000</v>
          </cell>
        </row>
        <row r="376">
          <cell r="D376">
            <v>10110022271</v>
          </cell>
          <cell r="E376" t="str">
            <v>六和电子（江西）有限公司</v>
          </cell>
          <cell r="F376">
            <v>0.26300000000000001</v>
          </cell>
          <cell r="G376" t="str">
            <v>CNY</v>
          </cell>
          <cell r="H376" t="str">
            <v>35</v>
          </cell>
          <cell r="I376" t="str">
            <v>4,000.000</v>
          </cell>
          <cell r="J376" t="str">
            <v>4,000.000</v>
          </cell>
        </row>
        <row r="377">
          <cell r="D377">
            <v>10110024666</v>
          </cell>
          <cell r="E377" t="str">
            <v>深圳市阳和通电子有限公司</v>
          </cell>
          <cell r="F377">
            <v>6.7000000000000004E-2</v>
          </cell>
          <cell r="G377" t="str">
            <v>CNY</v>
          </cell>
          <cell r="H377" t="str">
            <v>56</v>
          </cell>
          <cell r="I377" t="str">
            <v>2,000.000</v>
          </cell>
          <cell r="J377" t="str">
            <v>2,000.000</v>
          </cell>
        </row>
        <row r="378">
          <cell r="D378">
            <v>10110024693</v>
          </cell>
          <cell r="E378" t="str">
            <v>东莞昱新电子有限公司</v>
          </cell>
          <cell r="F378">
            <v>0.14535000000000001</v>
          </cell>
          <cell r="G378" t="str">
            <v>CNY</v>
          </cell>
          <cell r="H378" t="str">
            <v>20</v>
          </cell>
          <cell r="I378" t="str">
            <v>6,000.000</v>
          </cell>
          <cell r="J378" t="str">
            <v>600.000</v>
          </cell>
        </row>
        <row r="379">
          <cell r="D379">
            <v>10110027056</v>
          </cell>
          <cell r="E379" t="str">
            <v>安升电子（深圳）有限公司</v>
          </cell>
          <cell r="F379">
            <v>0.58199999999999996</v>
          </cell>
          <cell r="G379" t="str">
            <v>CNY</v>
          </cell>
          <cell r="H379" t="str">
            <v>112</v>
          </cell>
          <cell r="I379" t="str">
            <v>1,000.000</v>
          </cell>
          <cell r="J379" t="str">
            <v>1,000.000</v>
          </cell>
        </row>
        <row r="380">
          <cell r="D380">
            <v>10110027253</v>
          </cell>
          <cell r="E380" t="str">
            <v>广东风华高新科技股份有限公司</v>
          </cell>
          <cell r="F380">
            <v>1.6E-2</v>
          </cell>
          <cell r="G380" t="str">
            <v>CNY</v>
          </cell>
          <cell r="H380" t="str">
            <v>42</v>
          </cell>
          <cell r="I380" t="str">
            <v>10,000.000</v>
          </cell>
          <cell r="J380" t="str">
            <v>10,000.000</v>
          </cell>
        </row>
        <row r="381">
          <cell r="D381">
            <v>10120003513</v>
          </cell>
          <cell r="E381" t="str">
            <v>伍尔特(天津)电子有限公司</v>
          </cell>
          <cell r="F381">
            <v>1.52</v>
          </cell>
          <cell r="G381" t="str">
            <v>CNY</v>
          </cell>
          <cell r="H381" t="str">
            <v>70</v>
          </cell>
          <cell r="I381" t="str">
            <v>2,800.000</v>
          </cell>
          <cell r="J381" t="str">
            <v>700.000</v>
          </cell>
        </row>
        <row r="382">
          <cell r="D382">
            <v>10120003563</v>
          </cell>
          <cell r="E382" t="str">
            <v>武汉三乐益电子有限公司</v>
          </cell>
          <cell r="F382">
            <v>0.61760000000000004</v>
          </cell>
          <cell r="G382" t="str">
            <v>CNY</v>
          </cell>
          <cell r="H382" t="str">
            <v>50</v>
          </cell>
          <cell r="I382" t="str">
            <v>700.000</v>
          </cell>
          <cell r="J382" t="str">
            <v>700.000</v>
          </cell>
        </row>
        <row r="383">
          <cell r="D383">
            <v>10140000397</v>
          </cell>
          <cell r="E383" t="str">
            <v>深圳市合信昌科技有限公司</v>
          </cell>
          <cell r="F383">
            <v>7.4999999999999997E-2</v>
          </cell>
          <cell r="G383" t="str">
            <v>CNY</v>
          </cell>
          <cell r="H383" t="str">
            <v>60</v>
          </cell>
          <cell r="I383" t="str">
            <v>1,800.000</v>
          </cell>
          <cell r="J383" t="str">
            <v>1,800.000</v>
          </cell>
        </row>
        <row r="384">
          <cell r="D384">
            <v>10140002123</v>
          </cell>
          <cell r="E384" t="str">
            <v>利尔达科技集团股份有限公司</v>
          </cell>
          <cell r="F384">
            <v>3.4500000000000003E-2</v>
          </cell>
          <cell r="G384" t="str">
            <v>CNY</v>
          </cell>
          <cell r="H384" t="str">
            <v>84</v>
          </cell>
          <cell r="I384" t="str">
            <v>3,000.000</v>
          </cell>
          <cell r="J384" t="str">
            <v>3,000.000</v>
          </cell>
        </row>
        <row r="385">
          <cell r="D385">
            <v>10140002743</v>
          </cell>
          <cell r="E385" t="str">
            <v>深圳市驰顺科技有限公司</v>
          </cell>
          <cell r="F385">
            <v>0.04</v>
          </cell>
          <cell r="G385" t="str">
            <v>CNY</v>
          </cell>
          <cell r="H385" t="str">
            <v>84</v>
          </cell>
          <cell r="I385" t="str">
            <v>7,500.000</v>
          </cell>
          <cell r="J385" t="str">
            <v>7,500.000</v>
          </cell>
        </row>
        <row r="386">
          <cell r="D386">
            <v>10140003381</v>
          </cell>
          <cell r="E386" t="str">
            <v>深圳南丰电子股份有限公司</v>
          </cell>
          <cell r="F386">
            <v>3.3599999999999998E-2</v>
          </cell>
          <cell r="G386" t="str">
            <v>CNY</v>
          </cell>
          <cell r="H386" t="str">
            <v>70</v>
          </cell>
          <cell r="I386" t="str">
            <v>7,500.000</v>
          </cell>
          <cell r="J386" t="str">
            <v>7,500.000</v>
          </cell>
        </row>
        <row r="387">
          <cell r="D387">
            <v>10140006310</v>
          </cell>
          <cell r="E387" t="str">
            <v>深圳翰世宇科技有限公司</v>
          </cell>
          <cell r="F387">
            <v>0.05</v>
          </cell>
          <cell r="G387" t="str">
            <v>CNY</v>
          </cell>
          <cell r="H387" t="str">
            <v>60</v>
          </cell>
          <cell r="I387" t="str">
            <v>3,000.000</v>
          </cell>
          <cell r="J387" t="str">
            <v>3,000.000</v>
          </cell>
        </row>
        <row r="388">
          <cell r="D388">
            <v>10140009195</v>
          </cell>
          <cell r="E388" t="str">
            <v>深圳市铭祥达电子有限公司</v>
          </cell>
          <cell r="F388">
            <v>0.1105</v>
          </cell>
          <cell r="G388" t="str">
            <v>CNY</v>
          </cell>
          <cell r="H388" t="str">
            <v>98</v>
          </cell>
          <cell r="I388" t="str">
            <v>7,200.000</v>
          </cell>
          <cell r="J388" t="str">
            <v>1,800.000</v>
          </cell>
        </row>
        <row r="389">
          <cell r="D389">
            <v>10140012358</v>
          </cell>
          <cell r="E389" t="str">
            <v>东莞市意中半导体有限公司</v>
          </cell>
          <cell r="F389">
            <v>3.3000000000000002E-2</v>
          </cell>
          <cell r="G389" t="str">
            <v>CNY</v>
          </cell>
          <cell r="H389" t="str">
            <v>65</v>
          </cell>
          <cell r="I389" t="str">
            <v>5,000.000</v>
          </cell>
          <cell r="J389" t="str">
            <v>5,000.000</v>
          </cell>
        </row>
        <row r="390">
          <cell r="D390">
            <v>10150011020</v>
          </cell>
          <cell r="E390" t="str">
            <v>深圳市几度创想科技有限公司</v>
          </cell>
          <cell r="F390">
            <v>0.56999999999999995</v>
          </cell>
          <cell r="G390" t="str">
            <v>CNY</v>
          </cell>
          <cell r="H390" t="str">
            <v>56</v>
          </cell>
          <cell r="I390" t="str">
            <v>2,500.000</v>
          </cell>
          <cell r="J390" t="str">
            <v>2,500.000</v>
          </cell>
        </row>
        <row r="391">
          <cell r="D391">
            <v>10160006989</v>
          </cell>
          <cell r="E391" t="str">
            <v>浙江瑞丰光电有限公司</v>
          </cell>
          <cell r="F391">
            <v>4.8399999999999999E-2</v>
          </cell>
          <cell r="G391" t="str">
            <v>CNY</v>
          </cell>
          <cell r="H391" t="str">
            <v>28</v>
          </cell>
          <cell r="I391" t="str">
            <v>12,000.000</v>
          </cell>
          <cell r="J391" t="str">
            <v>12,000.000</v>
          </cell>
        </row>
        <row r="392">
          <cell r="D392">
            <v>10160007809</v>
          </cell>
          <cell r="E392" t="str">
            <v>广东长利光电科技有限公司</v>
          </cell>
          <cell r="F392">
            <v>2.5999999999999999E-2</v>
          </cell>
          <cell r="G392" t="str">
            <v>CNY</v>
          </cell>
          <cell r="H392" t="str">
            <v>17</v>
          </cell>
          <cell r="I392" t="str">
            <v>4,000.000</v>
          </cell>
          <cell r="J392" t="str">
            <v>4,000.000</v>
          </cell>
        </row>
        <row r="393">
          <cell r="D393">
            <v>10160007865</v>
          </cell>
          <cell r="E393" t="str">
            <v>广东长利光电科技有限公司</v>
          </cell>
          <cell r="F393">
            <v>2.75E-2</v>
          </cell>
          <cell r="G393" t="str">
            <v>CNY</v>
          </cell>
          <cell r="H393" t="str">
            <v>14</v>
          </cell>
          <cell r="I393" t="str">
            <v>4,000.000</v>
          </cell>
          <cell r="J393" t="str">
            <v>4,000.000</v>
          </cell>
        </row>
        <row r="394">
          <cell r="D394">
            <v>10190000675</v>
          </cell>
          <cell r="E394" t="str">
            <v>好利来（厦门）电路保护科技有限公司</v>
          </cell>
          <cell r="F394">
            <v>8.3000000000000004E-2</v>
          </cell>
          <cell r="G394" t="str">
            <v>CNY</v>
          </cell>
          <cell r="H394" t="str">
            <v>30</v>
          </cell>
          <cell r="I394" t="str">
            <v>1,000.000</v>
          </cell>
          <cell r="J394" t="str">
            <v>1,000.000</v>
          </cell>
        </row>
        <row r="395">
          <cell r="D395">
            <v>10190001176</v>
          </cell>
          <cell r="E395" t="str">
            <v>东莞市贝特电子科技股份有限公司</v>
          </cell>
          <cell r="F395">
            <v>9.5000000000000001E-2</v>
          </cell>
          <cell r="G395" t="str">
            <v>CNY</v>
          </cell>
          <cell r="H395" t="str">
            <v>30</v>
          </cell>
          <cell r="I395" t="str">
            <v>10,000.000</v>
          </cell>
          <cell r="J395" t="str">
            <v>1,000.000</v>
          </cell>
        </row>
        <row r="396">
          <cell r="D396">
            <v>10190002307</v>
          </cell>
          <cell r="E396" t="str">
            <v>深圳市惠而得实业有限公司</v>
          </cell>
          <cell r="F396">
            <v>0.16950000000000001</v>
          </cell>
          <cell r="G396" t="str">
            <v>CNY</v>
          </cell>
          <cell r="H396" t="str">
            <v>98</v>
          </cell>
          <cell r="I396" t="str">
            <v>1,400.000</v>
          </cell>
          <cell r="J396" t="str">
            <v>1,400.000</v>
          </cell>
        </row>
        <row r="397">
          <cell r="D397">
            <v>10100002122</v>
          </cell>
          <cell r="E397" t="str">
            <v>深圳市欧尔法电子有限公司</v>
          </cell>
          <cell r="F397">
            <v>4.7999999999999996E-3</v>
          </cell>
          <cell r="G397" t="str">
            <v>CNY</v>
          </cell>
          <cell r="H397" t="str">
            <v>84</v>
          </cell>
          <cell r="I397" t="str">
            <v>5,000.000</v>
          </cell>
          <cell r="J397" t="str">
            <v>5,000.000</v>
          </cell>
        </row>
        <row r="398">
          <cell r="D398">
            <v>10100002123</v>
          </cell>
          <cell r="E398" t="str">
            <v>广东风华高新科技股份有限公司</v>
          </cell>
          <cell r="F398">
            <v>3.7200000000000002E-3</v>
          </cell>
          <cell r="G398" t="str">
            <v>CNY</v>
          </cell>
          <cell r="H398" t="str">
            <v>56</v>
          </cell>
          <cell r="I398" t="str">
            <v>5,000.000</v>
          </cell>
          <cell r="J398" t="str">
            <v>5,000.000</v>
          </cell>
        </row>
        <row r="399">
          <cell r="D399">
            <v>10100002133</v>
          </cell>
          <cell r="E399" t="str">
            <v>广东风华高新科技股份有限公司</v>
          </cell>
          <cell r="F399">
            <v>3.7200000000000002E-3</v>
          </cell>
          <cell r="G399" t="str">
            <v>CNY</v>
          </cell>
          <cell r="H399" t="str">
            <v>56</v>
          </cell>
          <cell r="I399" t="str">
            <v>5,000.000</v>
          </cell>
          <cell r="J399" t="str">
            <v>5,000.000</v>
          </cell>
        </row>
        <row r="400">
          <cell r="D400">
            <v>10100002715</v>
          </cell>
          <cell r="E400" t="str">
            <v>深圳市欧尔法电子有限公司</v>
          </cell>
          <cell r="F400">
            <v>4.7999999999999996E-3</v>
          </cell>
          <cell r="G400" t="str">
            <v>CNY</v>
          </cell>
          <cell r="H400" t="str">
            <v>84</v>
          </cell>
          <cell r="I400" t="str">
            <v>5,000.000</v>
          </cell>
          <cell r="J400" t="str">
            <v>5,000.000</v>
          </cell>
        </row>
        <row r="401">
          <cell r="D401">
            <v>10100002752</v>
          </cell>
          <cell r="E401" t="str">
            <v>深圳市欧尔法电子有限公司</v>
          </cell>
          <cell r="F401">
            <v>4.7999999999999996E-3</v>
          </cell>
          <cell r="G401" t="str">
            <v>CNY</v>
          </cell>
          <cell r="H401" t="str">
            <v>84</v>
          </cell>
          <cell r="I401" t="str">
            <v>5,000.000</v>
          </cell>
          <cell r="J401" t="str">
            <v>5,000.000</v>
          </cell>
        </row>
        <row r="402">
          <cell r="D402">
            <v>10100003500</v>
          </cell>
          <cell r="E402" t="str">
            <v>深圳市超利维实业有限公司</v>
          </cell>
          <cell r="F402">
            <v>2.5999999999999999E-3</v>
          </cell>
          <cell r="G402" t="str">
            <v>CNY</v>
          </cell>
          <cell r="H402" t="str">
            <v>56</v>
          </cell>
          <cell r="I402" t="str">
            <v>5,000.000</v>
          </cell>
          <cell r="J402" t="str">
            <v>5,000.000</v>
          </cell>
        </row>
        <row r="403">
          <cell r="D403">
            <v>10100003511</v>
          </cell>
          <cell r="E403" t="str">
            <v>深圳市超利维实业有限公司</v>
          </cell>
          <cell r="F403">
            <v>8.0000000000000002E-3</v>
          </cell>
          <cell r="G403" t="str">
            <v>CNY</v>
          </cell>
          <cell r="H403" t="str">
            <v>56</v>
          </cell>
          <cell r="I403" t="str">
            <v>5,000.000</v>
          </cell>
          <cell r="J403" t="str">
            <v>5,000.000</v>
          </cell>
        </row>
        <row r="404">
          <cell r="D404">
            <v>10100004833</v>
          </cell>
          <cell r="E404" t="str">
            <v>东莞华科电子有限公司</v>
          </cell>
          <cell r="F404">
            <v>3.8800000000000002E-3</v>
          </cell>
          <cell r="G404" t="str">
            <v>CNY</v>
          </cell>
          <cell r="H404" t="str">
            <v>56</v>
          </cell>
          <cell r="I404" t="str">
            <v>5,000.000</v>
          </cell>
          <cell r="J404" t="str">
            <v>5,000.000</v>
          </cell>
        </row>
        <row r="405">
          <cell r="D405">
            <v>10100005487</v>
          </cell>
          <cell r="E405" t="str">
            <v>厚声国际贸易（昆山）有限公司</v>
          </cell>
          <cell r="F405">
            <v>3.8E-3</v>
          </cell>
          <cell r="G405" t="str">
            <v>CNY</v>
          </cell>
          <cell r="H405" t="str">
            <v>56</v>
          </cell>
          <cell r="I405" t="str">
            <v>5,000.000</v>
          </cell>
          <cell r="J405" t="str">
            <v>5,000.000</v>
          </cell>
        </row>
        <row r="406">
          <cell r="D406">
            <v>10100005503</v>
          </cell>
          <cell r="E406" t="str">
            <v>厚声国际贸易（昆山）有限公司</v>
          </cell>
          <cell r="F406">
            <v>3.8E-3</v>
          </cell>
          <cell r="G406" t="str">
            <v>CNY</v>
          </cell>
          <cell r="H406" t="str">
            <v>56</v>
          </cell>
          <cell r="I406" t="str">
            <v>5,000.000</v>
          </cell>
          <cell r="J406" t="str">
            <v>5,000.000</v>
          </cell>
        </row>
        <row r="407">
          <cell r="D407">
            <v>10100005703</v>
          </cell>
          <cell r="E407" t="str">
            <v>深圳市超利维实业有限公司</v>
          </cell>
          <cell r="F407">
            <v>1.4E-3</v>
          </cell>
          <cell r="G407" t="str">
            <v>CNY</v>
          </cell>
          <cell r="H407" t="str">
            <v>56</v>
          </cell>
          <cell r="I407" t="str">
            <v>10,000.000</v>
          </cell>
          <cell r="J407" t="str">
            <v>10,000.000</v>
          </cell>
        </row>
        <row r="408">
          <cell r="D408">
            <v>10100005718</v>
          </cell>
          <cell r="E408" t="str">
            <v>广东风华高新科技股份有限公司</v>
          </cell>
          <cell r="F408">
            <v>1.1000000000000001E-3</v>
          </cell>
          <cell r="G408" t="str">
            <v>CNY</v>
          </cell>
          <cell r="H408" t="str">
            <v>56</v>
          </cell>
          <cell r="I408" t="str">
            <v>10,000.000</v>
          </cell>
          <cell r="J408" t="str">
            <v>10,000.000</v>
          </cell>
        </row>
        <row r="409">
          <cell r="D409">
            <v>10100005795</v>
          </cell>
          <cell r="E409" t="str">
            <v>广东风华高新科技股份有限公司</v>
          </cell>
          <cell r="F409">
            <v>1.1000000000000001E-3</v>
          </cell>
          <cell r="G409" t="str">
            <v>CNY</v>
          </cell>
          <cell r="H409" t="str">
            <v>56</v>
          </cell>
          <cell r="I409" t="str">
            <v>10,000.000</v>
          </cell>
          <cell r="J409" t="str">
            <v>10,000.000</v>
          </cell>
        </row>
        <row r="410">
          <cell r="D410">
            <v>10100006398</v>
          </cell>
          <cell r="E410" t="str">
            <v>广东风华高新科技股份有限公司</v>
          </cell>
          <cell r="F410">
            <v>6.3699999999999998E-3</v>
          </cell>
          <cell r="G410" t="str">
            <v>CNY</v>
          </cell>
          <cell r="H410" t="str">
            <v>70</v>
          </cell>
          <cell r="I410" t="str">
            <v>5,000.000</v>
          </cell>
          <cell r="J410" t="str">
            <v>5,000.000</v>
          </cell>
        </row>
        <row r="411">
          <cell r="D411">
            <v>10100006507</v>
          </cell>
          <cell r="E411" t="str">
            <v>广东风华高新科技股份有限公司</v>
          </cell>
          <cell r="F411">
            <v>2.0799999999999998E-3</v>
          </cell>
          <cell r="G411" t="str">
            <v>CNY</v>
          </cell>
          <cell r="H411" t="str">
            <v>56</v>
          </cell>
          <cell r="I411" t="str">
            <v>5,000.000</v>
          </cell>
          <cell r="J411" t="str">
            <v>5,000.000</v>
          </cell>
        </row>
        <row r="412">
          <cell r="D412">
            <v>10100006625</v>
          </cell>
          <cell r="E412" t="str">
            <v>广东风华高新科技股份有限公司</v>
          </cell>
          <cell r="F412">
            <v>3.7599999999999999E-3</v>
          </cell>
          <cell r="G412" t="str">
            <v>CNY</v>
          </cell>
          <cell r="H412" t="str">
            <v>56</v>
          </cell>
          <cell r="I412" t="str">
            <v>5,000.000</v>
          </cell>
          <cell r="J412" t="str">
            <v>5,000.000</v>
          </cell>
        </row>
        <row r="413">
          <cell r="D413">
            <v>10100006627</v>
          </cell>
          <cell r="E413" t="str">
            <v>广东风华高新科技股份有限公司</v>
          </cell>
          <cell r="F413">
            <v>3.7200000000000002E-3</v>
          </cell>
          <cell r="G413" t="str">
            <v>CNY</v>
          </cell>
          <cell r="H413" t="str">
            <v>56</v>
          </cell>
          <cell r="I413" t="str">
            <v>5,000.000</v>
          </cell>
          <cell r="J413" t="str">
            <v>5,000.000</v>
          </cell>
        </row>
        <row r="414">
          <cell r="D414">
            <v>10100006711</v>
          </cell>
          <cell r="E414" t="str">
            <v>东莞华科电子有限公司</v>
          </cell>
          <cell r="F414">
            <v>1.17E-3</v>
          </cell>
          <cell r="G414" t="str">
            <v>CNY</v>
          </cell>
          <cell r="H414" t="str">
            <v>56</v>
          </cell>
          <cell r="I414" t="str">
            <v>10,000.000</v>
          </cell>
          <cell r="J414" t="str">
            <v>10,000.000</v>
          </cell>
        </row>
        <row r="415">
          <cell r="D415">
            <v>10100006845</v>
          </cell>
          <cell r="E415" t="str">
            <v>东莞华科电子有限公司</v>
          </cell>
          <cell r="F415">
            <v>2.2200000000000002E-3</v>
          </cell>
          <cell r="G415" t="str">
            <v>CNY</v>
          </cell>
          <cell r="H415" t="str">
            <v>56</v>
          </cell>
          <cell r="I415" t="str">
            <v>5,000.000</v>
          </cell>
          <cell r="J415" t="str">
            <v>5,000.000</v>
          </cell>
        </row>
        <row r="416">
          <cell r="D416">
            <v>10100007109</v>
          </cell>
          <cell r="E416" t="str">
            <v>东莞华科电子有限公司</v>
          </cell>
          <cell r="F416">
            <v>4.15E-3</v>
          </cell>
          <cell r="G416" t="str">
            <v>CNY</v>
          </cell>
          <cell r="H416" t="str">
            <v>56</v>
          </cell>
          <cell r="I416" t="str">
            <v>5,000.000</v>
          </cell>
          <cell r="J416" t="str">
            <v>5,000.000</v>
          </cell>
        </row>
        <row r="417">
          <cell r="D417">
            <v>10100007109</v>
          </cell>
          <cell r="E417" t="str">
            <v>东莞华科电子有限公司</v>
          </cell>
          <cell r="F417">
            <v>3.8800000000000002E-3</v>
          </cell>
          <cell r="G417" t="str">
            <v>CNY</v>
          </cell>
          <cell r="H417" t="str">
            <v>56</v>
          </cell>
          <cell r="I417" t="str">
            <v>5,000.000</v>
          </cell>
          <cell r="J417" t="str">
            <v>5,000.000</v>
          </cell>
        </row>
        <row r="418">
          <cell r="D418">
            <v>10100007120</v>
          </cell>
          <cell r="E418" t="str">
            <v>东莞华科电子有限公司</v>
          </cell>
          <cell r="F418">
            <v>3.8800000000000002E-3</v>
          </cell>
          <cell r="G418" t="str">
            <v>CNY</v>
          </cell>
          <cell r="H418" t="str">
            <v>84</v>
          </cell>
          <cell r="I418" t="str">
            <v>5,000.000</v>
          </cell>
          <cell r="J418" t="str">
            <v>5,000.000</v>
          </cell>
        </row>
        <row r="419">
          <cell r="D419">
            <v>10100007174</v>
          </cell>
          <cell r="E419" t="str">
            <v>东莞华科电子有限公司</v>
          </cell>
          <cell r="F419">
            <v>6.9499999999999996E-3</v>
          </cell>
          <cell r="G419" t="str">
            <v>CNY</v>
          </cell>
          <cell r="H419" t="str">
            <v>70</v>
          </cell>
          <cell r="I419" t="str">
            <v>5,000.000</v>
          </cell>
          <cell r="J419" t="str">
            <v>5,000.000</v>
          </cell>
        </row>
        <row r="420">
          <cell r="D420">
            <v>10100007615</v>
          </cell>
          <cell r="E420" t="str">
            <v>深圳市超利维实业有限公司</v>
          </cell>
          <cell r="F420">
            <v>1.4E-3</v>
          </cell>
          <cell r="G420" t="str">
            <v>CNY</v>
          </cell>
          <cell r="H420" t="str">
            <v>56</v>
          </cell>
          <cell r="I420" t="str">
            <v>10,000.000</v>
          </cell>
          <cell r="J420" t="str">
            <v>10,000.000</v>
          </cell>
        </row>
        <row r="421">
          <cell r="D421">
            <v>10100007852</v>
          </cell>
          <cell r="E421" t="str">
            <v>深圳市超利维实业有限公司</v>
          </cell>
          <cell r="F421">
            <v>8.0000000000000002E-3</v>
          </cell>
          <cell r="G421" t="str">
            <v>CNY</v>
          </cell>
          <cell r="H421" t="str">
            <v>56</v>
          </cell>
          <cell r="I421" t="str">
            <v>5,000.000</v>
          </cell>
          <cell r="J421" t="str">
            <v>5,000.000</v>
          </cell>
        </row>
        <row r="422">
          <cell r="D422">
            <v>10100008057</v>
          </cell>
          <cell r="E422" t="str">
            <v>广东风华高新科技股份有限公司</v>
          </cell>
          <cell r="F422">
            <v>1.1000000000000001E-3</v>
          </cell>
          <cell r="G422" t="str">
            <v>CNY</v>
          </cell>
          <cell r="H422" t="str">
            <v>56</v>
          </cell>
          <cell r="I422" t="str">
            <v>10,000.000</v>
          </cell>
          <cell r="J422" t="str">
            <v>10,000.000</v>
          </cell>
        </row>
        <row r="423">
          <cell r="D423">
            <v>10100008069</v>
          </cell>
          <cell r="E423" t="str">
            <v>东莞华科电子有限公司</v>
          </cell>
          <cell r="F423">
            <v>1.17E-3</v>
          </cell>
          <cell r="G423" t="str">
            <v>CNY</v>
          </cell>
          <cell r="H423" t="str">
            <v>56</v>
          </cell>
          <cell r="I423" t="str">
            <v>10,000.000</v>
          </cell>
          <cell r="J423" t="str">
            <v>10,000.000</v>
          </cell>
        </row>
        <row r="424">
          <cell r="D424">
            <v>10100008075</v>
          </cell>
          <cell r="E424" t="str">
            <v>深圳市超利维实业有限公司</v>
          </cell>
          <cell r="F424">
            <v>1.4E-3</v>
          </cell>
          <cell r="G424" t="str">
            <v>CNY</v>
          </cell>
          <cell r="H424" t="str">
            <v>56</v>
          </cell>
          <cell r="I424" t="str">
            <v>10,000.000</v>
          </cell>
          <cell r="J424" t="str">
            <v>10,000.000</v>
          </cell>
        </row>
        <row r="425">
          <cell r="D425">
            <v>10100008302</v>
          </cell>
          <cell r="E425" t="str">
            <v>东莞华科电子有限公司</v>
          </cell>
          <cell r="F425">
            <v>1.17E-3</v>
          </cell>
          <cell r="G425" t="str">
            <v>CNY</v>
          </cell>
          <cell r="H425" t="str">
            <v>56</v>
          </cell>
          <cell r="I425" t="str">
            <v>10,000.000</v>
          </cell>
          <cell r="J425" t="str">
            <v>10,000.000</v>
          </cell>
        </row>
        <row r="426">
          <cell r="D426">
            <v>10100008735</v>
          </cell>
          <cell r="E426" t="str">
            <v>广东风华高新科技股份有限公司</v>
          </cell>
          <cell r="F426">
            <v>1.1000000000000001E-3</v>
          </cell>
          <cell r="G426" t="str">
            <v>CNY</v>
          </cell>
          <cell r="H426" t="str">
            <v>56</v>
          </cell>
          <cell r="I426" t="str">
            <v>10,000.000</v>
          </cell>
          <cell r="J426" t="str">
            <v>10,000.000</v>
          </cell>
        </row>
        <row r="427">
          <cell r="D427">
            <v>10100008807</v>
          </cell>
          <cell r="E427" t="str">
            <v>东莞华科电子有限公司</v>
          </cell>
          <cell r="F427">
            <v>1.17E-3</v>
          </cell>
          <cell r="G427" t="str">
            <v>CNY</v>
          </cell>
          <cell r="H427" t="str">
            <v>56</v>
          </cell>
          <cell r="I427" t="str">
            <v>10,000.000</v>
          </cell>
          <cell r="J427" t="str">
            <v>10,000.000</v>
          </cell>
        </row>
        <row r="428">
          <cell r="D428">
            <v>10100008809</v>
          </cell>
          <cell r="E428" t="str">
            <v>广东风华高新科技股份有限公司</v>
          </cell>
          <cell r="F428">
            <v>1.1000000000000001E-3</v>
          </cell>
          <cell r="G428" t="str">
            <v>CNY</v>
          </cell>
          <cell r="H428" t="str">
            <v>56</v>
          </cell>
          <cell r="I428" t="str">
            <v>10,000.000</v>
          </cell>
          <cell r="J428" t="str">
            <v>10,000.000</v>
          </cell>
        </row>
        <row r="429">
          <cell r="D429">
            <v>10100008827</v>
          </cell>
          <cell r="E429" t="str">
            <v>东莞华科电子有限公司</v>
          </cell>
          <cell r="F429">
            <v>1.17E-3</v>
          </cell>
          <cell r="G429" t="str">
            <v>CNY</v>
          </cell>
          <cell r="H429" t="str">
            <v>56</v>
          </cell>
          <cell r="I429" t="str">
            <v>10,000.000</v>
          </cell>
          <cell r="J429" t="str">
            <v>10,000.000</v>
          </cell>
        </row>
        <row r="430">
          <cell r="D430">
            <v>10100008830</v>
          </cell>
          <cell r="E430" t="str">
            <v>厦门信和达电子有限公司</v>
          </cell>
          <cell r="F430">
            <v>1.4499999999999999E-3</v>
          </cell>
          <cell r="G430" t="str">
            <v>CNY</v>
          </cell>
          <cell r="H430" t="str">
            <v>56</v>
          </cell>
          <cell r="I430" t="str">
            <v>10,000.000</v>
          </cell>
          <cell r="J430" t="str">
            <v>10,000.000</v>
          </cell>
        </row>
        <row r="431">
          <cell r="D431">
            <v>10100009092</v>
          </cell>
          <cell r="E431" t="str">
            <v>深圳市奥特高科电子有限公司</v>
          </cell>
          <cell r="F431">
            <v>1.2999999999999999E-3</v>
          </cell>
          <cell r="G431" t="str">
            <v>CNY</v>
          </cell>
          <cell r="H431" t="str">
            <v>56</v>
          </cell>
          <cell r="I431" t="str">
            <v>10,000.000</v>
          </cell>
          <cell r="J431" t="str">
            <v>10,000.000</v>
          </cell>
        </row>
        <row r="432">
          <cell r="D432">
            <v>10100009093</v>
          </cell>
          <cell r="E432" t="str">
            <v>东莞华科电子有限公司</v>
          </cell>
          <cell r="F432">
            <v>1.17E-3</v>
          </cell>
          <cell r="G432" t="str">
            <v>CNY</v>
          </cell>
          <cell r="H432" t="str">
            <v>56</v>
          </cell>
          <cell r="I432" t="str">
            <v>10,000.000</v>
          </cell>
          <cell r="J432" t="str">
            <v>10,000.000</v>
          </cell>
        </row>
        <row r="433">
          <cell r="D433">
            <v>10100009721</v>
          </cell>
          <cell r="E433" t="str">
            <v>深圳市超利维实业有限公司</v>
          </cell>
          <cell r="F433">
            <v>1.4E-3</v>
          </cell>
          <cell r="G433" t="str">
            <v>CNY</v>
          </cell>
          <cell r="H433" t="str">
            <v>56</v>
          </cell>
          <cell r="I433" t="str">
            <v>10,000.000</v>
          </cell>
          <cell r="J433" t="str">
            <v>10,000.000</v>
          </cell>
        </row>
        <row r="434">
          <cell r="D434">
            <v>10100009722</v>
          </cell>
          <cell r="E434" t="str">
            <v>东莞华科电子有限公司</v>
          </cell>
          <cell r="F434">
            <v>1.17E-3</v>
          </cell>
          <cell r="G434" t="str">
            <v>CNY</v>
          </cell>
          <cell r="H434" t="str">
            <v>56</v>
          </cell>
          <cell r="I434" t="str">
            <v>10,000.000</v>
          </cell>
          <cell r="J434" t="str">
            <v>10,000.000</v>
          </cell>
        </row>
        <row r="435">
          <cell r="D435">
            <v>10100009838</v>
          </cell>
          <cell r="E435" t="str">
            <v>厚声国际贸易（昆山）有限公司</v>
          </cell>
          <cell r="F435">
            <v>1.09E-3</v>
          </cell>
          <cell r="G435" t="str">
            <v>CNY</v>
          </cell>
          <cell r="H435" t="str">
            <v>56</v>
          </cell>
          <cell r="I435" t="str">
            <v>10,000.000</v>
          </cell>
          <cell r="J435" t="str">
            <v>10,000.000</v>
          </cell>
        </row>
        <row r="436">
          <cell r="D436">
            <v>10100009843</v>
          </cell>
          <cell r="E436" t="str">
            <v>深圳市超利维实业有限公司</v>
          </cell>
          <cell r="F436">
            <v>1.4E-3</v>
          </cell>
          <cell r="G436" t="str">
            <v>CNY</v>
          </cell>
          <cell r="H436" t="str">
            <v>56</v>
          </cell>
          <cell r="I436" t="str">
            <v>10,000.000</v>
          </cell>
          <cell r="J436" t="str">
            <v>10,000.000</v>
          </cell>
        </row>
        <row r="437">
          <cell r="D437">
            <v>10100010045</v>
          </cell>
          <cell r="E437" t="str">
            <v>东莞华科电子有限公司</v>
          </cell>
          <cell r="F437">
            <v>1.17E-3</v>
          </cell>
          <cell r="G437" t="str">
            <v>CNY</v>
          </cell>
          <cell r="H437" t="str">
            <v>56</v>
          </cell>
          <cell r="I437" t="str">
            <v>10,000.000</v>
          </cell>
          <cell r="J437" t="str">
            <v>10,000.000</v>
          </cell>
        </row>
        <row r="438">
          <cell r="D438">
            <v>10100010325</v>
          </cell>
          <cell r="E438" t="str">
            <v>厚声国际贸易（昆山）有限公司</v>
          </cell>
          <cell r="F438">
            <v>3.8E-3</v>
          </cell>
          <cell r="G438" t="str">
            <v>CNY</v>
          </cell>
          <cell r="H438" t="str">
            <v>56</v>
          </cell>
          <cell r="I438" t="str">
            <v>5,000.000</v>
          </cell>
          <cell r="J438" t="str">
            <v>5,000.000</v>
          </cell>
        </row>
        <row r="439">
          <cell r="D439">
            <v>10100011090</v>
          </cell>
          <cell r="E439" t="str">
            <v>厚声国际贸易（昆山）有限公司</v>
          </cell>
          <cell r="F439">
            <v>2.0999999999999999E-3</v>
          </cell>
          <cell r="G439" t="str">
            <v>CNY</v>
          </cell>
          <cell r="H439" t="str">
            <v>56</v>
          </cell>
          <cell r="I439" t="str">
            <v>5,000.000</v>
          </cell>
          <cell r="J439" t="str">
            <v>5,000.000</v>
          </cell>
        </row>
        <row r="440">
          <cell r="D440">
            <v>10100011096</v>
          </cell>
          <cell r="E440" t="str">
            <v>厚声国际贸易（昆山）有限公司</v>
          </cell>
          <cell r="F440">
            <v>6.7799999999999996E-3</v>
          </cell>
          <cell r="G440" t="str">
            <v>CNY</v>
          </cell>
          <cell r="H440" t="str">
            <v>56</v>
          </cell>
          <cell r="I440" t="str">
            <v>5,000.000</v>
          </cell>
          <cell r="J440" t="str">
            <v>5,000.000</v>
          </cell>
        </row>
        <row r="441">
          <cell r="D441">
            <v>10100011343</v>
          </cell>
          <cell r="E441" t="str">
            <v>东莞华科电子有限公司</v>
          </cell>
          <cell r="F441">
            <v>1.17E-3</v>
          </cell>
          <cell r="G441" t="str">
            <v>CNY</v>
          </cell>
          <cell r="H441" t="str">
            <v>56</v>
          </cell>
          <cell r="I441" t="str">
            <v>10,000.000</v>
          </cell>
          <cell r="J441" t="str">
            <v>10,000.000</v>
          </cell>
        </row>
        <row r="442">
          <cell r="D442">
            <v>10100011621</v>
          </cell>
          <cell r="E442" t="str">
            <v>广东风华高新科技股份有限公司</v>
          </cell>
          <cell r="F442">
            <v>1.1000000000000001E-3</v>
          </cell>
          <cell r="G442" t="str">
            <v>CNY</v>
          </cell>
          <cell r="H442" t="str">
            <v>56</v>
          </cell>
          <cell r="I442" t="str">
            <v>10,000.000</v>
          </cell>
          <cell r="J442" t="str">
            <v>10,000.000</v>
          </cell>
        </row>
        <row r="443">
          <cell r="D443">
            <v>10100011726</v>
          </cell>
          <cell r="E443" t="str">
            <v>厦门信和达电子有限公司</v>
          </cell>
          <cell r="F443">
            <v>1.4E-3</v>
          </cell>
          <cell r="G443" t="str">
            <v>CNY</v>
          </cell>
          <cell r="H443" t="str">
            <v>56</v>
          </cell>
          <cell r="I443" t="str">
            <v>10,000.000</v>
          </cell>
          <cell r="J443" t="str">
            <v>10,000.000</v>
          </cell>
        </row>
        <row r="444">
          <cell r="D444">
            <v>10100011886</v>
          </cell>
          <cell r="E444" t="str">
            <v>厚声国际贸易（昆山）有限公司</v>
          </cell>
          <cell r="F444">
            <v>1.09E-3</v>
          </cell>
          <cell r="G444" t="str">
            <v>CNY</v>
          </cell>
          <cell r="H444" t="str">
            <v>56</v>
          </cell>
          <cell r="I444" t="str">
            <v>10,000.000</v>
          </cell>
          <cell r="J444" t="str">
            <v>10,000.000</v>
          </cell>
        </row>
        <row r="445">
          <cell r="D445">
            <v>10100011993</v>
          </cell>
          <cell r="E445" t="str">
            <v>广东风华高新科技股份有限公司</v>
          </cell>
          <cell r="F445">
            <v>1.1000000000000001E-3</v>
          </cell>
          <cell r="G445" t="str">
            <v>CNY</v>
          </cell>
          <cell r="H445" t="str">
            <v>56</v>
          </cell>
          <cell r="I445" t="str">
            <v>10,000.000</v>
          </cell>
          <cell r="J445" t="str">
            <v>10,000.000</v>
          </cell>
        </row>
        <row r="446">
          <cell r="D446">
            <v>10100011996</v>
          </cell>
          <cell r="E446" t="str">
            <v>广东风华高新科技股份有限公司</v>
          </cell>
          <cell r="F446">
            <v>1.1000000000000001E-3</v>
          </cell>
          <cell r="G446" t="str">
            <v>CNY</v>
          </cell>
          <cell r="H446" t="str">
            <v>56</v>
          </cell>
          <cell r="I446" t="str">
            <v>10,000.000</v>
          </cell>
          <cell r="J446" t="str">
            <v>10,000.000</v>
          </cell>
        </row>
        <row r="447">
          <cell r="D447">
            <v>10100013040</v>
          </cell>
          <cell r="E447" t="str">
            <v>厚声国际贸易（昆山）有限公司</v>
          </cell>
          <cell r="F447">
            <v>1.09E-3</v>
          </cell>
          <cell r="G447" t="str">
            <v>CNY</v>
          </cell>
          <cell r="H447" t="str">
            <v>56</v>
          </cell>
          <cell r="I447" t="str">
            <v>10,000.000</v>
          </cell>
          <cell r="J447" t="str">
            <v>10,000.000</v>
          </cell>
        </row>
        <row r="448">
          <cell r="D448">
            <v>10100013093</v>
          </cell>
          <cell r="E448" t="str">
            <v>厚声国际贸易（昆山）有限公司</v>
          </cell>
          <cell r="F448">
            <v>1.09E-3</v>
          </cell>
          <cell r="G448" t="str">
            <v>CNY</v>
          </cell>
          <cell r="H448" t="str">
            <v>56</v>
          </cell>
          <cell r="I448" t="str">
            <v>10,000.000</v>
          </cell>
          <cell r="J448" t="str">
            <v>10,000.000</v>
          </cell>
        </row>
        <row r="449">
          <cell r="D449">
            <v>10100013936</v>
          </cell>
          <cell r="E449" t="str">
            <v>广东风华高新科技股份有限公司</v>
          </cell>
          <cell r="F449">
            <v>1.1000000000000001E-3</v>
          </cell>
          <cell r="G449" t="str">
            <v>CNY</v>
          </cell>
          <cell r="H449" t="str">
            <v>56</v>
          </cell>
          <cell r="I449" t="str">
            <v>10,000.000</v>
          </cell>
          <cell r="J449" t="str">
            <v>10,000.000</v>
          </cell>
        </row>
        <row r="450">
          <cell r="D450">
            <v>10100014263</v>
          </cell>
          <cell r="E450" t="str">
            <v>深圳市超利维实业有限公司</v>
          </cell>
          <cell r="F450">
            <v>1.4E-3</v>
          </cell>
          <cell r="G450" t="str">
            <v>CNY</v>
          </cell>
          <cell r="H450" t="str">
            <v>56</v>
          </cell>
          <cell r="I450" t="str">
            <v>10,000.000</v>
          </cell>
          <cell r="J450" t="str">
            <v>10,000.000</v>
          </cell>
        </row>
        <row r="451">
          <cell r="D451">
            <v>10100014304</v>
          </cell>
          <cell r="E451" t="str">
            <v>东莞华科电子有限公司</v>
          </cell>
          <cell r="F451">
            <v>6.9499999999999996E-3</v>
          </cell>
          <cell r="G451" t="str">
            <v>CNY</v>
          </cell>
          <cell r="H451" t="str">
            <v>70</v>
          </cell>
          <cell r="I451" t="str">
            <v>5,000.000</v>
          </cell>
          <cell r="J451" t="str">
            <v>5,000.000</v>
          </cell>
        </row>
        <row r="452">
          <cell r="D452">
            <v>10100014735</v>
          </cell>
          <cell r="E452" t="str">
            <v>厚声国际贸易（昆山）有限公司</v>
          </cell>
          <cell r="F452">
            <v>1.09E-3</v>
          </cell>
          <cell r="G452" t="str">
            <v>CNY</v>
          </cell>
          <cell r="H452" t="str">
            <v>56</v>
          </cell>
          <cell r="I452" t="str">
            <v>10,000.000</v>
          </cell>
          <cell r="J452" t="str">
            <v>10,000.000</v>
          </cell>
        </row>
        <row r="453">
          <cell r="D453">
            <v>10100015676</v>
          </cell>
          <cell r="E453" t="str">
            <v>厚声国际贸易（昆山）有限公司</v>
          </cell>
          <cell r="F453">
            <v>1.09E-3</v>
          </cell>
          <cell r="G453" t="str">
            <v>CNY</v>
          </cell>
          <cell r="H453" t="str">
            <v>56</v>
          </cell>
          <cell r="I453" t="str">
            <v>10,000.000</v>
          </cell>
          <cell r="J453" t="str">
            <v>10,000.000</v>
          </cell>
        </row>
        <row r="454">
          <cell r="D454">
            <v>10100016358</v>
          </cell>
          <cell r="E454" t="str">
            <v>深圳市超利维实业有限公司</v>
          </cell>
          <cell r="F454">
            <v>1.4E-3</v>
          </cell>
          <cell r="G454" t="str">
            <v>CNY</v>
          </cell>
          <cell r="H454" t="str">
            <v>56</v>
          </cell>
          <cell r="I454" t="str">
            <v>10,000.000</v>
          </cell>
          <cell r="J454" t="str">
            <v>10,000.000</v>
          </cell>
        </row>
        <row r="455">
          <cell r="D455">
            <v>10100017206</v>
          </cell>
          <cell r="E455" t="str">
            <v>厚声国际贸易（昆山）有限公司</v>
          </cell>
          <cell r="F455">
            <v>6.7799999999999996E-3</v>
          </cell>
          <cell r="G455" t="str">
            <v>CNY</v>
          </cell>
          <cell r="H455" t="str">
            <v>56</v>
          </cell>
          <cell r="I455" t="str">
            <v>5,000.000</v>
          </cell>
          <cell r="J455" t="str">
            <v>5,000.000</v>
          </cell>
        </row>
        <row r="456">
          <cell r="D456">
            <v>10100017335</v>
          </cell>
          <cell r="E456" t="str">
            <v>厚声国际贸易（昆山）有限公司</v>
          </cell>
          <cell r="F456">
            <v>1.09E-3</v>
          </cell>
          <cell r="G456" t="str">
            <v>CNY</v>
          </cell>
          <cell r="H456" t="str">
            <v>56</v>
          </cell>
          <cell r="I456" t="str">
            <v>10,000.000</v>
          </cell>
          <cell r="J456" t="str">
            <v>10,000.000</v>
          </cell>
        </row>
        <row r="457">
          <cell r="D457">
            <v>10100017616</v>
          </cell>
          <cell r="E457" t="str">
            <v>恒辉电阻（益阳）有限公司</v>
          </cell>
          <cell r="F457">
            <v>9.7999999999999997E-4</v>
          </cell>
          <cell r="G457" t="str">
            <v>CNY</v>
          </cell>
          <cell r="H457" t="str">
            <v>56</v>
          </cell>
          <cell r="I457" t="str">
            <v>10,000.000</v>
          </cell>
          <cell r="J457" t="str">
            <v>10,000.000</v>
          </cell>
        </row>
        <row r="458">
          <cell r="D458">
            <v>10100017618</v>
          </cell>
          <cell r="E458" t="str">
            <v>恒辉电阻（益阳）有限公司</v>
          </cell>
          <cell r="F458">
            <v>9.7999999999999997E-4</v>
          </cell>
          <cell r="G458" t="str">
            <v>CNY</v>
          </cell>
          <cell r="H458" t="str">
            <v>56</v>
          </cell>
          <cell r="I458" t="str">
            <v>10,000.000</v>
          </cell>
          <cell r="J458" t="str">
            <v>10,000.000</v>
          </cell>
        </row>
        <row r="459">
          <cell r="D459">
            <v>10100017642</v>
          </cell>
          <cell r="E459" t="str">
            <v>恒辉电阻（益阳）有限公司</v>
          </cell>
          <cell r="F459">
            <v>9.7999999999999997E-4</v>
          </cell>
          <cell r="G459" t="str">
            <v>CNY</v>
          </cell>
          <cell r="H459" t="str">
            <v>56</v>
          </cell>
          <cell r="I459" t="str">
            <v>10,000.000</v>
          </cell>
          <cell r="J459" t="str">
            <v>10,000.000</v>
          </cell>
        </row>
        <row r="460">
          <cell r="D460">
            <v>10100017664</v>
          </cell>
          <cell r="E460" t="str">
            <v>恒辉电阻（益阳）有限公司</v>
          </cell>
          <cell r="F460">
            <v>9.7999999999999997E-4</v>
          </cell>
          <cell r="G460" t="str">
            <v>CNY</v>
          </cell>
          <cell r="H460" t="str">
            <v>56</v>
          </cell>
          <cell r="I460" t="str">
            <v>10,000.000</v>
          </cell>
          <cell r="J460" t="str">
            <v>10,000.000</v>
          </cell>
        </row>
        <row r="461">
          <cell r="D461">
            <v>10100017738</v>
          </cell>
          <cell r="E461" t="str">
            <v>恒辉电阻（益阳）有限公司</v>
          </cell>
          <cell r="F461">
            <v>9.7999999999999997E-4</v>
          </cell>
          <cell r="G461" t="str">
            <v>CNY</v>
          </cell>
          <cell r="H461" t="str">
            <v>56</v>
          </cell>
          <cell r="I461" t="str">
            <v>10,000.000</v>
          </cell>
          <cell r="J461" t="str">
            <v>10,000.000</v>
          </cell>
        </row>
        <row r="462">
          <cell r="D462">
            <v>10100017970</v>
          </cell>
          <cell r="E462" t="str">
            <v>恒辉电阻（益阳）有限公司</v>
          </cell>
          <cell r="F462">
            <v>1.8500000000000001E-3</v>
          </cell>
          <cell r="G462" t="str">
            <v>CNY</v>
          </cell>
          <cell r="H462" t="str">
            <v>42</v>
          </cell>
          <cell r="I462" t="str">
            <v>5,000.000</v>
          </cell>
          <cell r="J462" t="str">
            <v>5,000.000</v>
          </cell>
        </row>
        <row r="463">
          <cell r="D463">
            <v>10100018109</v>
          </cell>
          <cell r="E463" t="str">
            <v>恒辉电阻（益阳）有限公司</v>
          </cell>
          <cell r="F463">
            <v>3.3500000000000001E-3</v>
          </cell>
          <cell r="G463" t="str">
            <v>CNY</v>
          </cell>
          <cell r="H463" t="str">
            <v>42</v>
          </cell>
          <cell r="I463" t="str">
            <v>5,000.000</v>
          </cell>
          <cell r="J463" t="str">
            <v>5,000.000</v>
          </cell>
        </row>
        <row r="464">
          <cell r="D464">
            <v>10100018253</v>
          </cell>
          <cell r="E464" t="str">
            <v>恒辉电阻（益阳）有限公司</v>
          </cell>
          <cell r="F464">
            <v>3.3500000000000001E-3</v>
          </cell>
          <cell r="G464" t="str">
            <v>CNY</v>
          </cell>
          <cell r="H464" t="str">
            <v>42</v>
          </cell>
          <cell r="I464" t="str">
            <v>5,000.000</v>
          </cell>
          <cell r="J464" t="str">
            <v>5,000.000</v>
          </cell>
        </row>
        <row r="465">
          <cell r="D465">
            <v>10100018399</v>
          </cell>
          <cell r="E465" t="str">
            <v>恒辉电阻（益阳）有限公司</v>
          </cell>
          <cell r="F465">
            <v>9.7999999999999997E-4</v>
          </cell>
          <cell r="G465" t="str">
            <v>CNY</v>
          </cell>
          <cell r="H465" t="str">
            <v>42</v>
          </cell>
          <cell r="I465" t="str">
            <v>10,000.000</v>
          </cell>
          <cell r="J465" t="str">
            <v>10,000.000</v>
          </cell>
        </row>
        <row r="466">
          <cell r="D466">
            <v>10100019075</v>
          </cell>
          <cell r="E466" t="str">
            <v>厚声国际贸易（昆山）有限公司</v>
          </cell>
          <cell r="F466">
            <v>1.09E-3</v>
          </cell>
          <cell r="G466" t="str">
            <v>CNY</v>
          </cell>
          <cell r="H466" t="str">
            <v>56</v>
          </cell>
          <cell r="I466" t="str">
            <v>10,000.000</v>
          </cell>
          <cell r="J466" t="str">
            <v>10,000.000</v>
          </cell>
        </row>
        <row r="467">
          <cell r="D467">
            <v>10100019134</v>
          </cell>
          <cell r="E467" t="str">
            <v>恒辉电阻（益阳）有限公司</v>
          </cell>
          <cell r="F467">
            <v>9.7999999999999997E-4</v>
          </cell>
          <cell r="G467" t="str">
            <v>CNY</v>
          </cell>
          <cell r="H467" t="str">
            <v>42</v>
          </cell>
          <cell r="I467" t="str">
            <v>10,000.000</v>
          </cell>
          <cell r="J467" t="str">
            <v>10,000.000</v>
          </cell>
        </row>
        <row r="468">
          <cell r="D468">
            <v>10100020950</v>
          </cell>
          <cell r="E468" t="str">
            <v>厚声国际贸易（昆山）有限公司</v>
          </cell>
          <cell r="F468">
            <v>1.09E-3</v>
          </cell>
          <cell r="G468" t="str">
            <v>CNY</v>
          </cell>
          <cell r="H468" t="str">
            <v>56</v>
          </cell>
          <cell r="I468" t="str">
            <v>10,000.000</v>
          </cell>
          <cell r="J468" t="str">
            <v>10,000.000</v>
          </cell>
        </row>
        <row r="469">
          <cell r="D469">
            <v>10100022516</v>
          </cell>
          <cell r="E469" t="str">
            <v>厚声国际贸易（昆山）有限公司</v>
          </cell>
          <cell r="F469">
            <v>1.09E-3</v>
          </cell>
          <cell r="G469" t="str">
            <v>CNY</v>
          </cell>
          <cell r="H469" t="str">
            <v>56</v>
          </cell>
          <cell r="I469" t="str">
            <v>10,000.000</v>
          </cell>
          <cell r="J469" t="str">
            <v>10,000.000</v>
          </cell>
        </row>
        <row r="470">
          <cell r="D470">
            <v>10100024100</v>
          </cell>
          <cell r="E470" t="str">
            <v>广东风华高新科技股份有限公司</v>
          </cell>
          <cell r="F470">
            <v>2.0799999999999998E-3</v>
          </cell>
          <cell r="G470" t="str">
            <v>CNY</v>
          </cell>
          <cell r="H470" t="str">
            <v>56</v>
          </cell>
          <cell r="I470" t="str">
            <v>5,000.000</v>
          </cell>
          <cell r="J470" t="str">
            <v>5,000.000</v>
          </cell>
        </row>
        <row r="471">
          <cell r="D471">
            <v>10100026554</v>
          </cell>
          <cell r="E471" t="str">
            <v>广东风华高新科技股份有限公司</v>
          </cell>
          <cell r="F471">
            <v>6.4999999999999997E-3</v>
          </cell>
          <cell r="G471" t="str">
            <v>CNY</v>
          </cell>
          <cell r="H471" t="str">
            <v>56</v>
          </cell>
          <cell r="I471" t="str">
            <v>5,000.000</v>
          </cell>
          <cell r="J471" t="str">
            <v>5,000.000</v>
          </cell>
        </row>
        <row r="472">
          <cell r="D472">
            <v>10110001388</v>
          </cell>
          <cell r="E472" t="str">
            <v>深圳市兴鸿宇科技有限公司</v>
          </cell>
          <cell r="F472">
            <v>5.4999999999999997E-3</v>
          </cell>
          <cell r="G472" t="str">
            <v>CNY</v>
          </cell>
          <cell r="H472" t="str">
            <v>56</v>
          </cell>
          <cell r="I472" t="str">
            <v>4,000.000</v>
          </cell>
          <cell r="J472" t="str">
            <v>4,000.000</v>
          </cell>
        </row>
        <row r="473">
          <cell r="D473">
            <v>10110001391</v>
          </cell>
          <cell r="E473" t="str">
            <v>深圳市兴鸿宇科技有限公司</v>
          </cell>
          <cell r="F473">
            <v>6.3E-3</v>
          </cell>
          <cell r="G473" t="str">
            <v>CNY</v>
          </cell>
          <cell r="H473" t="str">
            <v>56</v>
          </cell>
          <cell r="I473" t="str">
            <v>4,000.000</v>
          </cell>
          <cell r="J473" t="str">
            <v>4,000.000</v>
          </cell>
        </row>
        <row r="474">
          <cell r="D474">
            <v>10110003896</v>
          </cell>
          <cell r="E474" t="str">
            <v>深圳市兴鸿宇科技有限公司</v>
          </cell>
          <cell r="F474">
            <v>2.3E-3</v>
          </cell>
          <cell r="G474" t="str">
            <v>CNY</v>
          </cell>
          <cell r="H474" t="str">
            <v>56</v>
          </cell>
          <cell r="I474" t="str">
            <v>10,000.000</v>
          </cell>
          <cell r="J474" t="str">
            <v>10,000.000</v>
          </cell>
        </row>
        <row r="475">
          <cell r="D475">
            <v>10110003897</v>
          </cell>
          <cell r="E475" t="str">
            <v>深圳市奥特高科电子有限公司</v>
          </cell>
          <cell r="F475">
            <v>2.2000000000000001E-3</v>
          </cell>
          <cell r="G475" t="str">
            <v>CNY</v>
          </cell>
          <cell r="H475" t="str">
            <v>56</v>
          </cell>
          <cell r="I475" t="str">
            <v>10,000.000</v>
          </cell>
          <cell r="J475" t="str">
            <v>10,000.000</v>
          </cell>
        </row>
        <row r="476">
          <cell r="D476">
            <v>10110003944</v>
          </cell>
          <cell r="E476" t="str">
            <v>东莞华科电子有限公司</v>
          </cell>
          <cell r="F476">
            <v>5.4299999999999999E-3</v>
          </cell>
          <cell r="G476" t="str">
            <v>CNY</v>
          </cell>
          <cell r="H476" t="str">
            <v>56</v>
          </cell>
          <cell r="I476" t="str">
            <v>4,000.000</v>
          </cell>
          <cell r="J476" t="str">
            <v>4,000.000</v>
          </cell>
        </row>
        <row r="477">
          <cell r="D477">
            <v>10110004676</v>
          </cell>
          <cell r="E477" t="str">
            <v>东莞华科电子有限公司</v>
          </cell>
          <cell r="F477">
            <v>1.98E-3</v>
          </cell>
          <cell r="G477" t="str">
            <v>CNY</v>
          </cell>
          <cell r="H477" t="str">
            <v>56</v>
          </cell>
          <cell r="I477" t="str">
            <v>10,000.000</v>
          </cell>
          <cell r="J477" t="str">
            <v>10,000.000</v>
          </cell>
        </row>
        <row r="478">
          <cell r="D478">
            <v>10110005378</v>
          </cell>
          <cell r="E478" t="str">
            <v>深圳市吉利通电子有限公司</v>
          </cell>
          <cell r="F478">
            <v>2.3999999999999998E-3</v>
          </cell>
          <cell r="G478" t="str">
            <v>CNY</v>
          </cell>
          <cell r="H478" t="str">
            <v>56</v>
          </cell>
          <cell r="I478" t="str">
            <v>10,000.000</v>
          </cell>
          <cell r="J478" t="str">
            <v>10,000.000</v>
          </cell>
        </row>
        <row r="479">
          <cell r="D479">
            <v>10110005723</v>
          </cell>
          <cell r="E479" t="str">
            <v>深圳市奥特高科电子有限公司</v>
          </cell>
          <cell r="F479">
            <v>6.4999999999999997E-3</v>
          </cell>
          <cell r="G479" t="str">
            <v>CNY</v>
          </cell>
          <cell r="H479" t="str">
            <v>84</v>
          </cell>
          <cell r="I479" t="str">
            <v>4,000.000</v>
          </cell>
          <cell r="J479" t="str">
            <v>4,000.000</v>
          </cell>
        </row>
        <row r="480">
          <cell r="D480">
            <v>10110005817</v>
          </cell>
          <cell r="E480" t="str">
            <v>东莞华科电子有限公司</v>
          </cell>
          <cell r="F480">
            <v>1.98E-3</v>
          </cell>
          <cell r="G480" t="str">
            <v>CNY</v>
          </cell>
          <cell r="H480" t="str">
            <v>56</v>
          </cell>
          <cell r="I480" t="str">
            <v>10,000.000</v>
          </cell>
          <cell r="J480" t="str">
            <v>10,000.000</v>
          </cell>
        </row>
        <row r="481">
          <cell r="D481">
            <v>10110006771</v>
          </cell>
          <cell r="E481" t="str">
            <v>深圳市兴鸿宇科技有限公司</v>
          </cell>
          <cell r="F481">
            <v>4.9500000000000004E-3</v>
          </cell>
          <cell r="G481" t="str">
            <v>CNY</v>
          </cell>
          <cell r="H481" t="str">
            <v>56</v>
          </cell>
          <cell r="I481" t="str">
            <v>10,000.000</v>
          </cell>
          <cell r="J481" t="str">
            <v>10,000.000</v>
          </cell>
        </row>
        <row r="482">
          <cell r="D482">
            <v>10110007139</v>
          </cell>
          <cell r="E482" t="str">
            <v>苏州荣采电子有限公司</v>
          </cell>
          <cell r="F482">
            <v>2.9399999999999999E-3</v>
          </cell>
          <cell r="G482" t="str">
            <v>CNY</v>
          </cell>
          <cell r="H482" t="str">
            <v>84</v>
          </cell>
          <cell r="I482" t="str">
            <v>10,000.000</v>
          </cell>
          <cell r="J482" t="str">
            <v>10,000.000</v>
          </cell>
        </row>
        <row r="483">
          <cell r="D483">
            <v>10110007822</v>
          </cell>
          <cell r="E483" t="str">
            <v>苏州荣采电子有限公司</v>
          </cell>
          <cell r="F483">
            <v>2.8E-3</v>
          </cell>
          <cell r="G483" t="str">
            <v>CNY</v>
          </cell>
          <cell r="H483" t="str">
            <v>56</v>
          </cell>
          <cell r="I483" t="str">
            <v>10,000.000</v>
          </cell>
          <cell r="J483" t="str">
            <v>10,000.000</v>
          </cell>
        </row>
        <row r="484">
          <cell r="D484">
            <v>10110008257</v>
          </cell>
          <cell r="E484" t="str">
            <v>深圳市兴鸿宇科技有限公司</v>
          </cell>
          <cell r="F484">
            <v>4.5999999999999999E-3</v>
          </cell>
          <cell r="G484" t="str">
            <v>CNY</v>
          </cell>
          <cell r="H484" t="str">
            <v>56</v>
          </cell>
          <cell r="I484" t="str">
            <v>10,000.000</v>
          </cell>
          <cell r="J484" t="str">
            <v>10,000.000</v>
          </cell>
        </row>
        <row r="485">
          <cell r="D485">
            <v>10110008724</v>
          </cell>
          <cell r="E485" t="str">
            <v>深圳市兴鸿宇科技有限公司</v>
          </cell>
          <cell r="F485">
            <v>4.1000000000000003E-3</v>
          </cell>
          <cell r="G485" t="str">
            <v>CNY</v>
          </cell>
          <cell r="H485" t="str">
            <v>56</v>
          </cell>
          <cell r="I485" t="str">
            <v>10,000.000</v>
          </cell>
          <cell r="J485" t="str">
            <v>10,000.000</v>
          </cell>
        </row>
        <row r="486">
          <cell r="D486">
            <v>10110008726</v>
          </cell>
          <cell r="E486" t="str">
            <v>深圳市天河星供应链有限公司</v>
          </cell>
          <cell r="F486">
            <v>2.2000000000000001E-3</v>
          </cell>
          <cell r="G486" t="str">
            <v>CNY</v>
          </cell>
          <cell r="H486" t="str">
            <v>56</v>
          </cell>
          <cell r="I486" t="str">
            <v>10,000.000</v>
          </cell>
          <cell r="J486" t="str">
            <v>10,000.000</v>
          </cell>
        </row>
        <row r="487">
          <cell r="D487">
            <v>10110008729</v>
          </cell>
          <cell r="E487" t="str">
            <v>广东风华高新科技股份有限公司</v>
          </cell>
          <cell r="F487">
            <v>2.0999999999999999E-3</v>
          </cell>
          <cell r="G487" t="str">
            <v>CNY</v>
          </cell>
          <cell r="H487" t="str">
            <v>56</v>
          </cell>
          <cell r="I487" t="str">
            <v>10,000.000</v>
          </cell>
          <cell r="J487" t="str">
            <v>10,000.000</v>
          </cell>
        </row>
        <row r="488">
          <cell r="D488">
            <v>10110008734</v>
          </cell>
          <cell r="E488" t="str">
            <v>广东风华高新科技股份有限公司</v>
          </cell>
          <cell r="F488">
            <v>2.0999999999999999E-3</v>
          </cell>
          <cell r="G488" t="str">
            <v>CNY</v>
          </cell>
          <cell r="H488" t="str">
            <v>56</v>
          </cell>
          <cell r="I488" t="str">
            <v>10,000.000</v>
          </cell>
          <cell r="J488" t="str">
            <v>10,000.000</v>
          </cell>
        </row>
        <row r="489">
          <cell r="D489">
            <v>10110008742</v>
          </cell>
          <cell r="E489" t="str">
            <v>广东风华高新科技股份有限公司</v>
          </cell>
          <cell r="F489">
            <v>2.1900000000000001E-3</v>
          </cell>
          <cell r="G489" t="str">
            <v>CNY</v>
          </cell>
          <cell r="H489" t="str">
            <v>56</v>
          </cell>
          <cell r="I489" t="str">
            <v>10,000.000</v>
          </cell>
          <cell r="J489" t="str">
            <v>10,000.000</v>
          </cell>
        </row>
        <row r="490">
          <cell r="D490">
            <v>10110008993</v>
          </cell>
          <cell r="E490" t="str">
            <v>东莞华科电子有限公司</v>
          </cell>
          <cell r="F490">
            <v>3.0500000000000002E-3</v>
          </cell>
          <cell r="G490" t="str">
            <v>CNY</v>
          </cell>
          <cell r="H490" t="str">
            <v>56</v>
          </cell>
          <cell r="I490" t="str">
            <v>10,000.000</v>
          </cell>
          <cell r="J490" t="str">
            <v>10,000.000</v>
          </cell>
        </row>
        <row r="491">
          <cell r="D491">
            <v>10110009749</v>
          </cell>
          <cell r="E491" t="str">
            <v>深圳市欧亚达电子有限公司</v>
          </cell>
          <cell r="F491">
            <v>9.5499999999999995E-3</v>
          </cell>
          <cell r="G491" t="str">
            <v>CNY</v>
          </cell>
          <cell r="H491" t="str">
            <v>84</v>
          </cell>
          <cell r="I491" t="str">
            <v>10,000.000</v>
          </cell>
          <cell r="J491" t="str">
            <v>10,000.000</v>
          </cell>
        </row>
        <row r="492">
          <cell r="D492">
            <v>10110011269</v>
          </cell>
          <cell r="E492" t="str">
            <v>潮州三环（集团）股份有限公司</v>
          </cell>
          <cell r="F492">
            <v>1.8600000000000001E-3</v>
          </cell>
          <cell r="G492" t="str">
            <v>CNY</v>
          </cell>
          <cell r="H492" t="str">
            <v>70</v>
          </cell>
          <cell r="I492" t="str">
            <v>10,000.000</v>
          </cell>
          <cell r="J492" t="str">
            <v>10,000.000</v>
          </cell>
        </row>
        <row r="493">
          <cell r="D493">
            <v>10110011283</v>
          </cell>
          <cell r="E493" t="str">
            <v>潮州三环（集团）股份有限公司</v>
          </cell>
          <cell r="F493">
            <v>5.1500000000000001E-3</v>
          </cell>
          <cell r="G493" t="str">
            <v>CNY</v>
          </cell>
          <cell r="H493" t="str">
            <v>56</v>
          </cell>
          <cell r="I493" t="str">
            <v>4,000.000</v>
          </cell>
          <cell r="J493" t="str">
            <v>4,000.000</v>
          </cell>
        </row>
        <row r="494">
          <cell r="D494">
            <v>10110012147</v>
          </cell>
          <cell r="E494" t="str">
            <v>潮州三环（集团）股份有限公司</v>
          </cell>
          <cell r="F494">
            <v>1.9499999999999999E-3</v>
          </cell>
          <cell r="G494" t="str">
            <v>CNY</v>
          </cell>
          <cell r="H494" t="str">
            <v>70</v>
          </cell>
          <cell r="I494" t="str">
            <v>10,000.000</v>
          </cell>
          <cell r="J494" t="str">
            <v>10,000.000</v>
          </cell>
        </row>
        <row r="495">
          <cell r="D495">
            <v>10110012149</v>
          </cell>
          <cell r="E495" t="str">
            <v>潮州三环（集团）股份有限公司</v>
          </cell>
          <cell r="F495">
            <v>1.8600000000000001E-3</v>
          </cell>
          <cell r="G495" t="str">
            <v>CNY</v>
          </cell>
          <cell r="H495" t="str">
            <v>70</v>
          </cell>
          <cell r="I495" t="str">
            <v>10,000.000</v>
          </cell>
          <cell r="J495" t="str">
            <v>10,000.000</v>
          </cell>
        </row>
        <row r="496">
          <cell r="D496">
            <v>10110012398</v>
          </cell>
          <cell r="E496" t="str">
            <v>深圳市奥特高科电子有限公司</v>
          </cell>
          <cell r="F496">
            <v>7.0000000000000001E-3</v>
          </cell>
          <cell r="G496" t="str">
            <v>CNY</v>
          </cell>
          <cell r="H496" t="str">
            <v>56</v>
          </cell>
          <cell r="I496" t="str">
            <v>4,000.000</v>
          </cell>
          <cell r="J496" t="str">
            <v>4,000.000</v>
          </cell>
        </row>
        <row r="497">
          <cell r="D497">
            <v>10110012402</v>
          </cell>
          <cell r="E497" t="str">
            <v>深圳市兴鸿宇科技有限公司</v>
          </cell>
          <cell r="F497">
            <v>6.8999999999999999E-3</v>
          </cell>
          <cell r="G497" t="str">
            <v>CNY</v>
          </cell>
          <cell r="H497" t="str">
            <v>56</v>
          </cell>
          <cell r="I497" t="str">
            <v>4,000.000</v>
          </cell>
          <cell r="J497" t="str">
            <v>4,000.000</v>
          </cell>
        </row>
        <row r="498">
          <cell r="D498">
            <v>10110012403</v>
          </cell>
          <cell r="E498" t="str">
            <v>广东风华高新科技股份有限公司</v>
          </cell>
          <cell r="F498">
            <v>7.0000000000000001E-3</v>
          </cell>
          <cell r="G498" t="str">
            <v>CNY</v>
          </cell>
          <cell r="H498" t="str">
            <v>56</v>
          </cell>
          <cell r="I498" t="str">
            <v>4,000.000</v>
          </cell>
          <cell r="J498" t="str">
            <v>4,000.000</v>
          </cell>
        </row>
        <row r="499">
          <cell r="D499">
            <v>10110013851</v>
          </cell>
          <cell r="E499" t="str">
            <v>潮州三环（集团）股份有限公司</v>
          </cell>
          <cell r="F499">
            <v>7.0899999999999999E-3</v>
          </cell>
          <cell r="G499" t="str">
            <v>CNY</v>
          </cell>
          <cell r="H499" t="str">
            <v>56</v>
          </cell>
          <cell r="I499" t="str">
            <v>4,000.000</v>
          </cell>
          <cell r="J499" t="str">
            <v>4,000.000</v>
          </cell>
        </row>
        <row r="500">
          <cell r="D500">
            <v>10110015893</v>
          </cell>
          <cell r="E500" t="str">
            <v>潮州三环（集团）股份有限公司</v>
          </cell>
          <cell r="F500">
            <v>1.8600000000000001E-3</v>
          </cell>
          <cell r="G500" t="str">
            <v>CNY</v>
          </cell>
          <cell r="H500" t="str">
            <v>70</v>
          </cell>
          <cell r="I500" t="str">
            <v>10,000.000</v>
          </cell>
          <cell r="J500" t="str">
            <v>10,000.000</v>
          </cell>
        </row>
        <row r="501">
          <cell r="D501">
            <v>10110016349</v>
          </cell>
          <cell r="E501" t="str">
            <v>潮州三环（集团）股份有限公司</v>
          </cell>
          <cell r="F501">
            <v>4.15E-3</v>
          </cell>
          <cell r="G501" t="str">
            <v>CNY</v>
          </cell>
          <cell r="H501" t="str">
            <v>56</v>
          </cell>
          <cell r="I501" t="str">
            <v>10,000.000</v>
          </cell>
          <cell r="J501" t="str">
            <v>10,000.000</v>
          </cell>
        </row>
        <row r="502">
          <cell r="D502">
            <v>10110016965</v>
          </cell>
          <cell r="E502" t="str">
            <v>深圳市泽天电子有限公司</v>
          </cell>
          <cell r="F502">
            <v>1.695E-2</v>
          </cell>
          <cell r="G502" t="str">
            <v>CNY</v>
          </cell>
          <cell r="H502" t="str">
            <v>56</v>
          </cell>
          <cell r="I502" t="str">
            <v>4,000.000</v>
          </cell>
          <cell r="J502" t="str">
            <v>4,000.000</v>
          </cell>
        </row>
        <row r="503">
          <cell r="D503">
            <v>10110016977</v>
          </cell>
          <cell r="E503" t="str">
            <v>深圳市奥特高科电子有限公司</v>
          </cell>
          <cell r="F503">
            <v>1.0500000000000001E-2</v>
          </cell>
          <cell r="G503" t="str">
            <v>CNY</v>
          </cell>
          <cell r="H503" t="str">
            <v>56</v>
          </cell>
          <cell r="I503" t="str">
            <v>4,000.000</v>
          </cell>
          <cell r="J503" t="str">
            <v>4,000.000</v>
          </cell>
        </row>
        <row r="504">
          <cell r="D504">
            <v>10110016988</v>
          </cell>
          <cell r="E504" t="str">
            <v>广东风华高新科技股份有限公司</v>
          </cell>
          <cell r="F504">
            <v>9.2999999999999992E-3</v>
          </cell>
          <cell r="G504" t="str">
            <v>CNY</v>
          </cell>
          <cell r="H504" t="str">
            <v>56</v>
          </cell>
          <cell r="I504" t="str">
            <v>4,000.000</v>
          </cell>
          <cell r="J504" t="str">
            <v>4,000.000</v>
          </cell>
        </row>
        <row r="505">
          <cell r="D505">
            <v>10140000397</v>
          </cell>
          <cell r="E505" t="str">
            <v>深圳市合信昌科技有限公司</v>
          </cell>
          <cell r="F505">
            <v>7.4999999999999997E-2</v>
          </cell>
          <cell r="G505" t="str">
            <v>CNY</v>
          </cell>
          <cell r="H505" t="str">
            <v>84</v>
          </cell>
          <cell r="I505" t="str">
            <v>1,800.000</v>
          </cell>
          <cell r="J505" t="str">
            <v>1,800.000</v>
          </cell>
        </row>
        <row r="506">
          <cell r="D506">
            <v>10140002123</v>
          </cell>
          <cell r="E506" t="str">
            <v>利尔达科技集团股份有限公司</v>
          </cell>
          <cell r="F506">
            <v>3.4500000000000003E-2</v>
          </cell>
          <cell r="G506" t="str">
            <v>CNY</v>
          </cell>
          <cell r="H506" t="str">
            <v>84</v>
          </cell>
          <cell r="I506" t="str">
            <v>3,000.000</v>
          </cell>
          <cell r="J506" t="str">
            <v>3,000.000</v>
          </cell>
        </row>
        <row r="507">
          <cell r="D507">
            <v>10140006310</v>
          </cell>
          <cell r="E507" t="str">
            <v>深圳翰世宇科技有限公司</v>
          </cell>
          <cell r="F507">
            <v>4.8000000000000001E-2</v>
          </cell>
          <cell r="G507" t="str">
            <v>CNY</v>
          </cell>
          <cell r="H507" t="str">
            <v>56</v>
          </cell>
          <cell r="I507" t="str">
            <v>3,000.000</v>
          </cell>
          <cell r="J507" t="str">
            <v>3,000.000</v>
          </cell>
        </row>
        <row r="508">
          <cell r="D508">
            <v>10190001176</v>
          </cell>
          <cell r="E508" t="str">
            <v>东莞市贝特电子科技股份有限公司</v>
          </cell>
          <cell r="F508">
            <v>9.5000000000000001E-2</v>
          </cell>
          <cell r="G508" t="str">
            <v>CNY</v>
          </cell>
          <cell r="H508" t="str">
            <v>25</v>
          </cell>
          <cell r="I508" t="str">
            <v>1,000.000</v>
          </cell>
          <cell r="J508" t="str">
            <v>1,000.000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AP"/>
      <sheetName val="Sheet3"/>
    </sheetNames>
    <sheetDataSet>
      <sheetData sheetId="0"/>
      <sheetData sheetId="1">
        <row r="1">
          <cell r="D1" t="str">
            <v>物料号</v>
          </cell>
          <cell r="E1" t="str">
            <v>物料名称</v>
          </cell>
          <cell r="F1" t="str">
            <v>物料组</v>
          </cell>
          <cell r="G1" t="str">
            <v>物料描述</v>
          </cell>
          <cell r="H1" t="str">
            <v>制造商</v>
          </cell>
          <cell r="I1" t="str">
            <v>制造商零件编号</v>
          </cell>
          <cell r="J1" t="str">
            <v>供应商</v>
          </cell>
          <cell r="K1" t="str">
            <v>供应商名称</v>
          </cell>
          <cell r="L1" t="str">
            <v>固定货源</v>
          </cell>
          <cell r="M1" t="str">
            <v>删除标记</v>
          </cell>
          <cell r="N1" t="str">
            <v>每基本单位</v>
          </cell>
          <cell r="O1"/>
          <cell r="P1" t="str">
            <v>基本单位净价</v>
          </cell>
          <cell r="Q1" t="str">
            <v>信息记录净价</v>
          </cell>
          <cell r="R1" t="str">
            <v>价格单位</v>
          </cell>
          <cell r="S1" t="str">
            <v>基本计量单位</v>
          </cell>
          <cell r="T1" t="str">
            <v>信息记录L/T</v>
          </cell>
          <cell r="U1" t="str">
            <v>税码</v>
          </cell>
          <cell r="V1" t="str">
            <v>货币单位</v>
          </cell>
          <cell r="W1" t="str">
            <v>MOQ</v>
          </cell>
          <cell r="X1" t="str">
            <v>MPQ</v>
          </cell>
        </row>
        <row r="2">
          <cell r="D2">
            <v>10100002122</v>
          </cell>
          <cell r="E2" t="str">
            <v>厚膜贴片电阻器</v>
          </cell>
          <cell r="F2">
            <v>10010302</v>
          </cell>
          <cell r="G2" t="str">
            <v>YAGEO\RES 1K F 1/8W 0805</v>
          </cell>
          <cell r="H2" t="str">
            <v>YAGEO(国巨)</v>
          </cell>
          <cell r="I2" t="str">
            <v>RC0805FR-071KL</v>
          </cell>
          <cell r="J2">
            <v>100632</v>
          </cell>
          <cell r="K2" t="str">
            <v>深圳市欧尔法电子有限公司</v>
          </cell>
          <cell r="L2" t="str">
            <v>X</v>
          </cell>
          <cell r="M2" t="str">
            <v/>
          </cell>
          <cell r="N2">
            <v>1</v>
          </cell>
          <cell r="O2">
            <v>4.7999999999999996E-3</v>
          </cell>
          <cell r="P2">
            <v>4.8</v>
          </cell>
          <cell r="Q2">
            <v>4.8</v>
          </cell>
          <cell r="R2">
            <v>1000</v>
          </cell>
          <cell r="S2" t="str">
            <v>PCS</v>
          </cell>
          <cell r="T2">
            <v>56</v>
          </cell>
          <cell r="U2" t="str">
            <v>J3</v>
          </cell>
          <cell r="V2" t="str">
            <v>CNY</v>
          </cell>
          <cell r="W2">
            <v>5000</v>
          </cell>
          <cell r="X2">
            <v>5000</v>
          </cell>
        </row>
        <row r="3">
          <cell r="D3">
            <v>10100002123</v>
          </cell>
          <cell r="E3" t="str">
            <v>厚膜贴片电阻器</v>
          </cell>
          <cell r="F3">
            <v>10010302</v>
          </cell>
          <cell r="G3" t="str">
            <v>FH\RES 1K F 1/8W 0805</v>
          </cell>
          <cell r="H3" t="str">
            <v>FH(风华)</v>
          </cell>
          <cell r="I3" t="str">
            <v>RS-05K1001FT</v>
          </cell>
          <cell r="J3">
            <v>100654</v>
          </cell>
          <cell r="K3" t="str">
            <v>广东风华高新科技股份有限公司</v>
          </cell>
          <cell r="L3" t="str">
            <v>X</v>
          </cell>
          <cell r="M3" t="str">
            <v/>
          </cell>
          <cell r="N3">
            <v>1</v>
          </cell>
          <cell r="O3">
            <v>3.7200000000000002E-3</v>
          </cell>
          <cell r="P3">
            <v>3.72</v>
          </cell>
          <cell r="Q3">
            <v>3.72</v>
          </cell>
          <cell r="R3">
            <v>1000</v>
          </cell>
          <cell r="S3" t="str">
            <v>PCS</v>
          </cell>
          <cell r="T3">
            <v>42</v>
          </cell>
          <cell r="U3" t="str">
            <v>J3</v>
          </cell>
          <cell r="V3" t="str">
            <v>CNY</v>
          </cell>
          <cell r="W3">
            <v>5000</v>
          </cell>
          <cell r="X3">
            <v>5000</v>
          </cell>
        </row>
        <row r="4">
          <cell r="D4">
            <v>10100002658</v>
          </cell>
          <cell r="E4" t="str">
            <v>厚膜贴片电阻器</v>
          </cell>
          <cell r="F4">
            <v>10010302</v>
          </cell>
          <cell r="G4" t="str">
            <v>FH\RES 470R F 1/4W 1206</v>
          </cell>
          <cell r="H4" t="str">
            <v>FH(风华)</v>
          </cell>
          <cell r="I4" t="str">
            <v>RS-06K4700FT</v>
          </cell>
          <cell r="J4">
            <v>100654</v>
          </cell>
          <cell r="K4" t="str">
            <v>广东风华高新科技股份有限公司</v>
          </cell>
          <cell r="L4" t="str">
            <v>X</v>
          </cell>
          <cell r="M4" t="str">
            <v/>
          </cell>
          <cell r="N4">
            <v>1</v>
          </cell>
          <cell r="O4">
            <v>6.4999999999999997E-3</v>
          </cell>
          <cell r="P4">
            <v>6.5</v>
          </cell>
          <cell r="Q4">
            <v>6.5</v>
          </cell>
          <cell r="R4">
            <v>1000</v>
          </cell>
          <cell r="S4" t="str">
            <v>PCS</v>
          </cell>
          <cell r="T4">
            <v>42</v>
          </cell>
          <cell r="U4" t="str">
            <v>J3</v>
          </cell>
          <cell r="V4" t="str">
            <v>CNY</v>
          </cell>
          <cell r="W4">
            <v>5000</v>
          </cell>
          <cell r="X4">
            <v>5000</v>
          </cell>
        </row>
        <row r="5">
          <cell r="D5">
            <v>10100002659</v>
          </cell>
          <cell r="E5" t="str">
            <v>厚膜贴片电阻器</v>
          </cell>
          <cell r="F5">
            <v>10010302</v>
          </cell>
          <cell r="G5" t="str">
            <v>YAGEO\RES 470R F 1/4W 1206</v>
          </cell>
          <cell r="H5" t="str">
            <v>YAGEO(国巨)</v>
          </cell>
          <cell r="I5" t="str">
            <v>RC1206FR-07470RL</v>
          </cell>
          <cell r="J5">
            <v>100078</v>
          </cell>
          <cell r="K5" t="str">
            <v>深圳市超利维实业有限公司</v>
          </cell>
          <cell r="L5" t="str">
            <v>X</v>
          </cell>
          <cell r="M5" t="str">
            <v/>
          </cell>
          <cell r="N5">
            <v>1</v>
          </cell>
          <cell r="O5">
            <v>8.0000000000000002E-3</v>
          </cell>
          <cell r="P5">
            <v>8</v>
          </cell>
          <cell r="Q5">
            <v>8</v>
          </cell>
          <cell r="R5">
            <v>1000</v>
          </cell>
          <cell r="S5" t="str">
            <v>PCS</v>
          </cell>
          <cell r="T5">
            <v>56</v>
          </cell>
          <cell r="U5" t="str">
            <v>J3</v>
          </cell>
          <cell r="V5" t="str">
            <v>CNY</v>
          </cell>
          <cell r="W5">
            <v>5000</v>
          </cell>
          <cell r="X5">
            <v>5000</v>
          </cell>
        </row>
        <row r="6">
          <cell r="D6">
            <v>10100002715</v>
          </cell>
          <cell r="E6" t="str">
            <v>厚膜贴片电阻器</v>
          </cell>
          <cell r="F6">
            <v>10010302</v>
          </cell>
          <cell r="G6" t="str">
            <v>YAGEO\RES 5.1K F 1/8W 0805</v>
          </cell>
          <cell r="H6" t="str">
            <v>YAGEO(国巨)</v>
          </cell>
          <cell r="I6" t="str">
            <v>RC0805FR-075K1L</v>
          </cell>
          <cell r="J6">
            <v>100632</v>
          </cell>
          <cell r="K6" t="str">
            <v>深圳市欧尔法电子有限公司</v>
          </cell>
          <cell r="L6" t="str">
            <v>X</v>
          </cell>
          <cell r="M6" t="str">
            <v/>
          </cell>
          <cell r="N6">
            <v>1</v>
          </cell>
          <cell r="O6">
            <v>4.7999999999999996E-3</v>
          </cell>
          <cell r="P6">
            <v>4.8</v>
          </cell>
          <cell r="Q6">
            <v>4.8</v>
          </cell>
          <cell r="R6">
            <v>1000</v>
          </cell>
          <cell r="S6" t="str">
            <v>PCS</v>
          </cell>
          <cell r="T6">
            <v>70</v>
          </cell>
          <cell r="U6" t="str">
            <v>J3</v>
          </cell>
          <cell r="V6" t="str">
            <v>CNY</v>
          </cell>
          <cell r="W6">
            <v>5000</v>
          </cell>
          <cell r="X6">
            <v>5000</v>
          </cell>
        </row>
        <row r="7">
          <cell r="D7">
            <v>10100003500</v>
          </cell>
          <cell r="E7" t="str">
            <v>厚膜贴片电阻器</v>
          </cell>
          <cell r="F7">
            <v>10010302</v>
          </cell>
          <cell r="G7" t="str">
            <v>YAGEO\RES 4.7K F 1/10W 0603</v>
          </cell>
          <cell r="H7" t="str">
            <v>YAGEO(国巨)</v>
          </cell>
          <cell r="I7" t="str">
            <v>RC0603FR-074K7L</v>
          </cell>
          <cell r="J7">
            <v>100078</v>
          </cell>
          <cell r="K7" t="str">
            <v>深圳市超利维实业有限公司</v>
          </cell>
          <cell r="L7" t="str">
            <v>X</v>
          </cell>
          <cell r="M7" t="str">
            <v/>
          </cell>
          <cell r="N7">
            <v>1</v>
          </cell>
          <cell r="O7">
            <v>2.5999999999999999E-3</v>
          </cell>
          <cell r="P7">
            <v>2.6</v>
          </cell>
          <cell r="Q7">
            <v>2.6</v>
          </cell>
          <cell r="R7">
            <v>1000</v>
          </cell>
          <cell r="S7" t="str">
            <v>PCS</v>
          </cell>
          <cell r="T7">
            <v>56</v>
          </cell>
          <cell r="U7" t="str">
            <v>J3</v>
          </cell>
          <cell r="V7" t="str">
            <v>CNY</v>
          </cell>
          <cell r="W7">
            <v>5000</v>
          </cell>
          <cell r="X7">
            <v>5000</v>
          </cell>
        </row>
        <row r="8">
          <cell r="D8">
            <v>10100003565</v>
          </cell>
          <cell r="E8" t="str">
            <v>厚膜贴片电阻器</v>
          </cell>
          <cell r="F8">
            <v>10010302</v>
          </cell>
          <cell r="G8" t="str">
            <v>FH\RES 68K F 1/10W 0603</v>
          </cell>
          <cell r="H8" t="str">
            <v>FH(风华)</v>
          </cell>
          <cell r="I8" t="str">
            <v>RS-03K6802FT</v>
          </cell>
          <cell r="J8">
            <v>100654</v>
          </cell>
          <cell r="K8" t="str">
            <v>广东风华高新科技股份有限公司</v>
          </cell>
          <cell r="L8" t="str">
            <v>X</v>
          </cell>
          <cell r="M8" t="str">
            <v/>
          </cell>
          <cell r="N8">
            <v>1</v>
          </cell>
          <cell r="O8">
            <v>2.0799999999999998E-3</v>
          </cell>
          <cell r="P8">
            <v>2.08</v>
          </cell>
          <cell r="Q8">
            <v>2.08</v>
          </cell>
          <cell r="R8">
            <v>1000</v>
          </cell>
          <cell r="S8" t="str">
            <v>PCS</v>
          </cell>
          <cell r="T8">
            <v>42</v>
          </cell>
          <cell r="U8" t="str">
            <v>J3</v>
          </cell>
          <cell r="V8" t="str">
            <v>CNY</v>
          </cell>
          <cell r="W8">
            <v>5000</v>
          </cell>
          <cell r="X8">
            <v>5000</v>
          </cell>
        </row>
        <row r="9">
          <cell r="D9">
            <v>10100004273</v>
          </cell>
          <cell r="E9" t="str">
            <v>厚膜贴片电阻器</v>
          </cell>
          <cell r="F9">
            <v>10010302</v>
          </cell>
          <cell r="G9" t="str">
            <v>YAGEO\RES 2.2K F 1/10W 0603</v>
          </cell>
          <cell r="H9" t="str">
            <v>YAGEO(国巨)</v>
          </cell>
          <cell r="I9" t="str">
            <v>RC0603FR-072K2L</v>
          </cell>
          <cell r="J9">
            <v>100078</v>
          </cell>
          <cell r="K9" t="str">
            <v>深圳市超利维实业有限公司</v>
          </cell>
          <cell r="L9" t="str">
            <v>X</v>
          </cell>
          <cell r="M9" t="str">
            <v/>
          </cell>
          <cell r="N9">
            <v>1</v>
          </cell>
          <cell r="O9">
            <v>2.5999999999999999E-3</v>
          </cell>
          <cell r="P9">
            <v>2.6</v>
          </cell>
          <cell r="Q9">
            <v>2.6</v>
          </cell>
          <cell r="R9">
            <v>1000</v>
          </cell>
          <cell r="S9" t="str">
            <v>PCS</v>
          </cell>
          <cell r="T9">
            <v>56</v>
          </cell>
          <cell r="U9" t="str">
            <v>J3</v>
          </cell>
          <cell r="V9" t="str">
            <v>CNY</v>
          </cell>
          <cell r="W9">
            <v>5000</v>
          </cell>
          <cell r="X9">
            <v>5000</v>
          </cell>
        </row>
        <row r="10">
          <cell r="D10">
            <v>10100004833</v>
          </cell>
          <cell r="E10" t="str">
            <v>厚膜贴片电阻器</v>
          </cell>
          <cell r="F10">
            <v>10010302</v>
          </cell>
          <cell r="G10" t="str">
            <v>WALS\RES 1K F 1/8W 0805</v>
          </cell>
          <cell r="H10" t="str">
            <v>WALS(华科)</v>
          </cell>
          <cell r="I10" t="str">
            <v>WR08X1001FTL</v>
          </cell>
          <cell r="J10">
            <v>100131</v>
          </cell>
          <cell r="K10" t="str">
            <v>东莞华科电子有限公司</v>
          </cell>
          <cell r="L10" t="str">
            <v>X</v>
          </cell>
          <cell r="M10" t="str">
            <v/>
          </cell>
          <cell r="N10">
            <v>1</v>
          </cell>
          <cell r="O10">
            <v>3.8800000000000002E-3</v>
          </cell>
          <cell r="P10">
            <v>3.88</v>
          </cell>
          <cell r="Q10">
            <v>3.88</v>
          </cell>
          <cell r="R10">
            <v>1000</v>
          </cell>
          <cell r="S10" t="str">
            <v>PCS</v>
          </cell>
          <cell r="T10">
            <v>56</v>
          </cell>
          <cell r="U10" t="str">
            <v>J3</v>
          </cell>
          <cell r="V10" t="str">
            <v>CNY</v>
          </cell>
          <cell r="W10">
            <v>5000</v>
          </cell>
          <cell r="X10">
            <v>5000</v>
          </cell>
        </row>
        <row r="11">
          <cell r="D11">
            <v>10100005487</v>
          </cell>
          <cell r="E11" t="str">
            <v>厚膜贴片电阻器</v>
          </cell>
          <cell r="F11">
            <v>10010302</v>
          </cell>
          <cell r="G11" t="str">
            <v>ROYA\RES 1K F 1/8W 0805</v>
          </cell>
          <cell r="H11" t="str">
            <v>ROYALOHM(厚声)</v>
          </cell>
          <cell r="I11" t="str">
            <v>0805W8F1001T5E</v>
          </cell>
          <cell r="J11">
            <v>100096</v>
          </cell>
          <cell r="K11" t="str">
            <v>厚声国际贸易（昆山）有限公司深圳分公司</v>
          </cell>
          <cell r="L11" t="str">
            <v>X</v>
          </cell>
          <cell r="M11" t="str">
            <v/>
          </cell>
          <cell r="N11">
            <v>1</v>
          </cell>
          <cell r="O11">
            <v>3.8E-3</v>
          </cell>
          <cell r="P11">
            <v>3.8</v>
          </cell>
          <cell r="Q11">
            <v>3.8</v>
          </cell>
          <cell r="R11">
            <v>1000</v>
          </cell>
          <cell r="S11" t="str">
            <v>PCS</v>
          </cell>
          <cell r="T11">
            <v>56</v>
          </cell>
          <cell r="U11" t="str">
            <v>J3</v>
          </cell>
          <cell r="V11" t="str">
            <v>CNY</v>
          </cell>
          <cell r="W11">
            <v>5000</v>
          </cell>
          <cell r="X11">
            <v>5000</v>
          </cell>
        </row>
        <row r="12">
          <cell r="D12">
            <v>10100005703</v>
          </cell>
          <cell r="E12" t="str">
            <v>厚膜贴片电阻器</v>
          </cell>
          <cell r="F12">
            <v>10010302</v>
          </cell>
          <cell r="G12" t="str">
            <v>YAGEO\RES 1K F 1/16W 0402</v>
          </cell>
          <cell r="H12" t="str">
            <v>YAGEO(国巨)</v>
          </cell>
          <cell r="I12" t="str">
            <v>RC0402FR-071KL</v>
          </cell>
          <cell r="J12">
            <v>100078</v>
          </cell>
          <cell r="K12" t="str">
            <v>深圳市超利维实业有限公司</v>
          </cell>
          <cell r="L12" t="str">
            <v>X</v>
          </cell>
          <cell r="M12" t="str">
            <v/>
          </cell>
          <cell r="N12">
            <v>1</v>
          </cell>
          <cell r="O12">
            <v>1.4E-3</v>
          </cell>
          <cell r="P12">
            <v>1.4</v>
          </cell>
          <cell r="Q12">
            <v>1.4</v>
          </cell>
          <cell r="R12">
            <v>1000</v>
          </cell>
          <cell r="S12" t="str">
            <v>PCS</v>
          </cell>
          <cell r="T12">
            <v>84</v>
          </cell>
          <cell r="U12" t="str">
            <v>J3</v>
          </cell>
          <cell r="V12" t="str">
            <v>CNY</v>
          </cell>
          <cell r="W12">
            <v>10000</v>
          </cell>
          <cell r="X12">
            <v>10000</v>
          </cell>
        </row>
        <row r="13">
          <cell r="D13">
            <v>10100005718</v>
          </cell>
          <cell r="E13" t="str">
            <v>厚膜贴片电阻器</v>
          </cell>
          <cell r="F13">
            <v>10010302</v>
          </cell>
          <cell r="G13" t="str">
            <v>FH\RES 1K F 1/16W 0402</v>
          </cell>
          <cell r="H13" t="str">
            <v>FH(风华)</v>
          </cell>
          <cell r="I13" t="str">
            <v>RC-02K1001FT</v>
          </cell>
          <cell r="J13">
            <v>100654</v>
          </cell>
          <cell r="K13" t="str">
            <v>广东风华高新科技股份有限公司</v>
          </cell>
          <cell r="L13" t="str">
            <v>X</v>
          </cell>
          <cell r="M13" t="str">
            <v/>
          </cell>
          <cell r="N13">
            <v>1</v>
          </cell>
          <cell r="O13">
            <v>1.1000000000000001E-3</v>
          </cell>
          <cell r="P13">
            <v>1.1000000000000001</v>
          </cell>
          <cell r="Q13">
            <v>1.1000000000000001</v>
          </cell>
          <cell r="R13">
            <v>1000</v>
          </cell>
          <cell r="S13" t="str">
            <v>PCS</v>
          </cell>
          <cell r="T13">
            <v>42</v>
          </cell>
          <cell r="U13" t="str">
            <v>J3</v>
          </cell>
          <cell r="V13" t="str">
            <v>CNY</v>
          </cell>
          <cell r="W13">
            <v>10000</v>
          </cell>
          <cell r="X13">
            <v>10000</v>
          </cell>
        </row>
        <row r="14">
          <cell r="D14">
            <v>10100005795</v>
          </cell>
          <cell r="E14" t="str">
            <v>厚膜贴片电阻器</v>
          </cell>
          <cell r="F14">
            <v>10010302</v>
          </cell>
          <cell r="G14" t="str">
            <v>FH\RES 10K F 1/16W 0402</v>
          </cell>
          <cell r="H14" t="str">
            <v>FH(风华)</v>
          </cell>
          <cell r="I14" t="str">
            <v>RC-02K1002FT</v>
          </cell>
          <cell r="J14">
            <v>100654</v>
          </cell>
          <cell r="K14" t="str">
            <v>广东风华高新科技股份有限公司</v>
          </cell>
          <cell r="L14" t="str">
            <v>X</v>
          </cell>
          <cell r="M14" t="str">
            <v/>
          </cell>
          <cell r="N14">
            <v>1</v>
          </cell>
          <cell r="O14">
            <v>1.1000000000000001E-3</v>
          </cell>
          <cell r="P14">
            <v>1.1000000000000001</v>
          </cell>
          <cell r="Q14">
            <v>1.1000000000000001</v>
          </cell>
          <cell r="R14">
            <v>1000</v>
          </cell>
          <cell r="S14" t="str">
            <v>PCS</v>
          </cell>
          <cell r="T14">
            <v>42</v>
          </cell>
          <cell r="U14" t="str">
            <v>J3</v>
          </cell>
          <cell r="V14" t="str">
            <v>CNY</v>
          </cell>
          <cell r="W14">
            <v>10000</v>
          </cell>
          <cell r="X14">
            <v>10000</v>
          </cell>
        </row>
        <row r="15">
          <cell r="D15">
            <v>10100006494</v>
          </cell>
          <cell r="E15" t="str">
            <v>厚膜贴片电阻器</v>
          </cell>
          <cell r="F15">
            <v>10010302</v>
          </cell>
          <cell r="G15" t="str">
            <v>FH\RES 2.2K F 1/10W 0603</v>
          </cell>
          <cell r="H15" t="str">
            <v>FH(风华)</v>
          </cell>
          <cell r="I15" t="str">
            <v>RS-03K2201FT</v>
          </cell>
          <cell r="J15">
            <v>100654</v>
          </cell>
          <cell r="K15" t="str">
            <v>广东风华高新科技股份有限公司</v>
          </cell>
          <cell r="L15" t="str">
            <v>X</v>
          </cell>
          <cell r="M15" t="str">
            <v/>
          </cell>
          <cell r="N15">
            <v>1</v>
          </cell>
          <cell r="O15">
            <v>2.0799999999999998E-3</v>
          </cell>
          <cell r="P15">
            <v>2.08</v>
          </cell>
          <cell r="Q15">
            <v>2.08</v>
          </cell>
          <cell r="R15">
            <v>1000</v>
          </cell>
          <cell r="S15" t="str">
            <v>PCS</v>
          </cell>
          <cell r="T15">
            <v>42</v>
          </cell>
          <cell r="U15" t="str">
            <v>J3</v>
          </cell>
          <cell r="V15" t="str">
            <v>CNY</v>
          </cell>
          <cell r="W15">
            <v>5000</v>
          </cell>
          <cell r="X15">
            <v>5000</v>
          </cell>
        </row>
        <row r="16">
          <cell r="D16">
            <v>10100006507</v>
          </cell>
          <cell r="E16" t="str">
            <v>厚膜贴片电阻器</v>
          </cell>
          <cell r="F16">
            <v>10010302</v>
          </cell>
          <cell r="G16" t="str">
            <v>FH\RES 4.7K F 1/10W 0603</v>
          </cell>
          <cell r="H16" t="str">
            <v>FH(风华)</v>
          </cell>
          <cell r="I16" t="str">
            <v>RS-03K4701FT</v>
          </cell>
          <cell r="J16">
            <v>100654</v>
          </cell>
          <cell r="K16" t="str">
            <v>广东风华高新科技股份有限公司</v>
          </cell>
          <cell r="L16" t="str">
            <v>X</v>
          </cell>
          <cell r="M16" t="str">
            <v/>
          </cell>
          <cell r="N16">
            <v>1</v>
          </cell>
          <cell r="O16">
            <v>2.0799999999999998E-3</v>
          </cell>
          <cell r="P16">
            <v>2.08</v>
          </cell>
          <cell r="Q16">
            <v>2.08</v>
          </cell>
          <cell r="R16">
            <v>1000</v>
          </cell>
          <cell r="S16" t="str">
            <v>PCS</v>
          </cell>
          <cell r="T16">
            <v>42</v>
          </cell>
          <cell r="U16" t="str">
            <v>J3</v>
          </cell>
          <cell r="V16" t="str">
            <v>CNY</v>
          </cell>
          <cell r="W16">
            <v>5000</v>
          </cell>
          <cell r="X16">
            <v>5000</v>
          </cell>
        </row>
        <row r="17">
          <cell r="D17">
            <v>10100006627</v>
          </cell>
          <cell r="E17" t="str">
            <v>厚膜贴片电阻器</v>
          </cell>
          <cell r="F17">
            <v>10010302</v>
          </cell>
          <cell r="G17" t="str">
            <v>FH\RES 5.1K F 1/8W 0805</v>
          </cell>
          <cell r="H17" t="str">
            <v>FH(风华)</v>
          </cell>
          <cell r="I17" t="str">
            <v>RS-05K5101FT</v>
          </cell>
          <cell r="J17">
            <v>100654</v>
          </cell>
          <cell r="K17" t="str">
            <v>广东风华高新科技股份有限公司</v>
          </cell>
          <cell r="L17" t="str">
            <v>X</v>
          </cell>
          <cell r="M17" t="str">
            <v/>
          </cell>
          <cell r="N17">
            <v>1</v>
          </cell>
          <cell r="O17">
            <v>3.7200000000000002E-3</v>
          </cell>
          <cell r="P17">
            <v>3.72</v>
          </cell>
          <cell r="Q17">
            <v>3.72</v>
          </cell>
          <cell r="R17">
            <v>1000</v>
          </cell>
          <cell r="S17" t="str">
            <v>PCS</v>
          </cell>
          <cell r="T17">
            <v>42</v>
          </cell>
          <cell r="U17" t="str">
            <v>J3</v>
          </cell>
          <cell r="V17" t="str">
            <v>CNY</v>
          </cell>
          <cell r="W17">
            <v>5000</v>
          </cell>
          <cell r="X17">
            <v>5000</v>
          </cell>
        </row>
        <row r="18">
          <cell r="D18">
            <v>10100006711</v>
          </cell>
          <cell r="E18" t="str">
            <v>厚膜贴片电阻器</v>
          </cell>
          <cell r="F18">
            <v>10010302</v>
          </cell>
          <cell r="G18" t="str">
            <v>WALS\RES 1K F 1/16W 0402</v>
          </cell>
          <cell r="H18" t="str">
            <v>WALS(华科)</v>
          </cell>
          <cell r="I18" t="str">
            <v>WR04X1001FTL</v>
          </cell>
          <cell r="J18">
            <v>100131</v>
          </cell>
          <cell r="K18" t="str">
            <v>东莞华科电子有限公司</v>
          </cell>
          <cell r="L18" t="str">
            <v>X</v>
          </cell>
          <cell r="M18" t="str">
            <v/>
          </cell>
          <cell r="N18">
            <v>1</v>
          </cell>
          <cell r="O18">
            <v>1.17E-3</v>
          </cell>
          <cell r="P18">
            <v>1.17</v>
          </cell>
          <cell r="Q18">
            <v>1.17</v>
          </cell>
          <cell r="R18">
            <v>1000</v>
          </cell>
          <cell r="S18" t="str">
            <v>PCS</v>
          </cell>
          <cell r="T18">
            <v>56</v>
          </cell>
          <cell r="U18" t="str">
            <v>J3</v>
          </cell>
          <cell r="V18" t="str">
            <v>CNY</v>
          </cell>
          <cell r="W18">
            <v>10000</v>
          </cell>
          <cell r="X18">
            <v>10000</v>
          </cell>
        </row>
        <row r="19">
          <cell r="D19">
            <v>10100006793</v>
          </cell>
          <cell r="E19" t="str">
            <v>厚膜贴片电阻器</v>
          </cell>
          <cell r="F19">
            <v>10010302</v>
          </cell>
          <cell r="G19" t="str">
            <v>WALS\RES 68K F 1/10W 0603</v>
          </cell>
          <cell r="H19" t="str">
            <v>WALS(华科)</v>
          </cell>
          <cell r="I19" t="str">
            <v>WR06X6802FTL</v>
          </cell>
          <cell r="J19">
            <v>100131</v>
          </cell>
          <cell r="K19" t="str">
            <v>东莞华科电子有限公司</v>
          </cell>
          <cell r="L19" t="str">
            <v>X</v>
          </cell>
          <cell r="M19" t="str">
            <v/>
          </cell>
          <cell r="N19">
            <v>1</v>
          </cell>
          <cell r="O19">
            <v>2.2200000000000002E-3</v>
          </cell>
          <cell r="P19">
            <v>2.2200000000000002</v>
          </cell>
          <cell r="Q19">
            <v>2.2200000000000002</v>
          </cell>
          <cell r="R19">
            <v>1000</v>
          </cell>
          <cell r="S19" t="str">
            <v>PCS</v>
          </cell>
          <cell r="T19">
            <v>56</v>
          </cell>
          <cell r="U19" t="str">
            <v>J3</v>
          </cell>
          <cell r="V19" t="str">
            <v>CNY</v>
          </cell>
          <cell r="W19">
            <v>5000</v>
          </cell>
          <cell r="X19">
            <v>5000</v>
          </cell>
        </row>
        <row r="20">
          <cell r="D20">
            <v>10100006809</v>
          </cell>
          <cell r="E20" t="str">
            <v>厚膜贴片电阻器</v>
          </cell>
          <cell r="F20">
            <v>10010302</v>
          </cell>
          <cell r="G20" t="str">
            <v>WALS\RES 2.2K F 1/10W 0603</v>
          </cell>
          <cell r="H20" t="str">
            <v>WALS(华科)</v>
          </cell>
          <cell r="I20" t="str">
            <v>WR06X2201FTL</v>
          </cell>
          <cell r="J20">
            <v>100131</v>
          </cell>
          <cell r="K20" t="str">
            <v>东莞华科电子有限公司</v>
          </cell>
          <cell r="L20" t="str">
            <v>X</v>
          </cell>
          <cell r="M20" t="str">
            <v/>
          </cell>
          <cell r="N20">
            <v>1</v>
          </cell>
          <cell r="O20">
            <v>2.2200000000000002E-3</v>
          </cell>
          <cell r="P20">
            <v>2.2200000000000002</v>
          </cell>
          <cell r="Q20">
            <v>2.2200000000000002</v>
          </cell>
          <cell r="R20">
            <v>1000</v>
          </cell>
          <cell r="S20" t="str">
            <v>PCS</v>
          </cell>
          <cell r="T20">
            <v>56</v>
          </cell>
          <cell r="U20" t="str">
            <v>J3</v>
          </cell>
          <cell r="V20" t="str">
            <v>CNY</v>
          </cell>
          <cell r="W20">
            <v>5000</v>
          </cell>
          <cell r="X20">
            <v>5000</v>
          </cell>
        </row>
        <row r="21">
          <cell r="D21">
            <v>10100006845</v>
          </cell>
          <cell r="E21" t="str">
            <v>厚膜贴片电阻器</v>
          </cell>
          <cell r="F21">
            <v>10010302</v>
          </cell>
          <cell r="G21" t="str">
            <v>WALS\RES 4.7K F 1/10W 0603</v>
          </cell>
          <cell r="H21" t="str">
            <v>WALS(华科)</v>
          </cell>
          <cell r="I21" t="str">
            <v>WR06X4701FTL</v>
          </cell>
          <cell r="J21">
            <v>100131</v>
          </cell>
          <cell r="K21" t="str">
            <v>东莞华科电子有限公司</v>
          </cell>
          <cell r="L21" t="str">
            <v>X</v>
          </cell>
          <cell r="M21" t="str">
            <v/>
          </cell>
          <cell r="N21">
            <v>1</v>
          </cell>
          <cell r="O21">
            <v>2.2200000000000002E-3</v>
          </cell>
          <cell r="P21">
            <v>2.2200000000000002</v>
          </cell>
          <cell r="Q21">
            <v>2.2200000000000002</v>
          </cell>
          <cell r="R21">
            <v>1000</v>
          </cell>
          <cell r="S21" t="str">
            <v>PCS</v>
          </cell>
          <cell r="T21">
            <v>56</v>
          </cell>
          <cell r="U21" t="str">
            <v>J3</v>
          </cell>
          <cell r="V21" t="str">
            <v>CNY</v>
          </cell>
          <cell r="W21">
            <v>5000</v>
          </cell>
          <cell r="X21">
            <v>5000</v>
          </cell>
        </row>
        <row r="22">
          <cell r="D22">
            <v>10100006984</v>
          </cell>
          <cell r="E22" t="str">
            <v>厚膜贴片电阻器</v>
          </cell>
          <cell r="F22">
            <v>10010302</v>
          </cell>
          <cell r="G22" t="str">
            <v>WALS\RES 470R F 1/4W 1206</v>
          </cell>
          <cell r="H22" t="str">
            <v>WALS(华科)</v>
          </cell>
          <cell r="I22" t="str">
            <v>WR12X4700FTL</v>
          </cell>
          <cell r="J22">
            <v>100131</v>
          </cell>
          <cell r="K22" t="str">
            <v>东莞华科电子有限公司</v>
          </cell>
          <cell r="L22" t="str">
            <v>X</v>
          </cell>
          <cell r="M22" t="str">
            <v/>
          </cell>
          <cell r="N22">
            <v>1</v>
          </cell>
          <cell r="O22">
            <v>6.9499999999999996E-3</v>
          </cell>
          <cell r="P22">
            <v>6.95</v>
          </cell>
          <cell r="Q22">
            <v>6.95</v>
          </cell>
          <cell r="R22">
            <v>1000</v>
          </cell>
          <cell r="S22" t="str">
            <v>PCS</v>
          </cell>
          <cell r="T22">
            <v>70</v>
          </cell>
          <cell r="U22" t="str">
            <v>J3</v>
          </cell>
          <cell r="V22" t="str">
            <v>CNY</v>
          </cell>
          <cell r="W22">
            <v>5000</v>
          </cell>
          <cell r="X22">
            <v>5000</v>
          </cell>
        </row>
        <row r="23">
          <cell r="D23">
            <v>10100007109</v>
          </cell>
          <cell r="E23" t="str">
            <v>厚膜贴片电阻器</v>
          </cell>
          <cell r="F23">
            <v>10010302</v>
          </cell>
          <cell r="G23" t="str">
            <v>WALS\RES 5.1K F 1/8W 0805</v>
          </cell>
          <cell r="H23" t="str">
            <v>WALS(华科)</v>
          </cell>
          <cell r="I23" t="str">
            <v>WR08X5101FTL</v>
          </cell>
          <cell r="J23">
            <v>100131</v>
          </cell>
          <cell r="K23" t="str">
            <v>东莞华科电子有限公司</v>
          </cell>
          <cell r="L23" t="str">
            <v>X</v>
          </cell>
          <cell r="M23" t="str">
            <v/>
          </cell>
          <cell r="N23">
            <v>1</v>
          </cell>
          <cell r="O23">
            <v>3.8800000000000002E-3</v>
          </cell>
          <cell r="P23">
            <v>3.88</v>
          </cell>
          <cell r="Q23">
            <v>3.88</v>
          </cell>
          <cell r="R23">
            <v>1000</v>
          </cell>
          <cell r="S23" t="str">
            <v>PCS</v>
          </cell>
          <cell r="T23">
            <v>56</v>
          </cell>
          <cell r="U23" t="str">
            <v>J3</v>
          </cell>
          <cell r="V23" t="str">
            <v>CNY</v>
          </cell>
          <cell r="W23">
            <v>5000</v>
          </cell>
          <cell r="X23">
            <v>5000</v>
          </cell>
        </row>
        <row r="24">
          <cell r="D24">
            <v>10100007615</v>
          </cell>
          <cell r="E24" t="str">
            <v>厚膜贴片电阻器</v>
          </cell>
          <cell r="F24">
            <v>10010302</v>
          </cell>
          <cell r="G24" t="str">
            <v>YAGEO\RES 100R F 1/16W 0402</v>
          </cell>
          <cell r="H24" t="str">
            <v>YAGEO(国巨)</v>
          </cell>
          <cell r="I24" t="str">
            <v>RC0402FR-07100RL</v>
          </cell>
          <cell r="J24">
            <v>100078</v>
          </cell>
          <cell r="K24" t="str">
            <v>深圳市超利维实业有限公司</v>
          </cell>
          <cell r="L24" t="str">
            <v>X</v>
          </cell>
          <cell r="M24" t="str">
            <v/>
          </cell>
          <cell r="N24">
            <v>1</v>
          </cell>
          <cell r="O24">
            <v>1.4E-3</v>
          </cell>
          <cell r="P24">
            <v>1.4</v>
          </cell>
          <cell r="Q24">
            <v>1.4</v>
          </cell>
          <cell r="R24">
            <v>1000</v>
          </cell>
          <cell r="S24" t="str">
            <v>PCS</v>
          </cell>
          <cell r="T24">
            <v>84</v>
          </cell>
          <cell r="U24" t="str">
            <v>J3</v>
          </cell>
          <cell r="V24" t="str">
            <v>CNY</v>
          </cell>
          <cell r="W24">
            <v>10000</v>
          </cell>
          <cell r="X24">
            <v>10000</v>
          </cell>
        </row>
        <row r="25">
          <cell r="D25">
            <v>10100008011</v>
          </cell>
          <cell r="E25" t="str">
            <v>厚膜贴片电阻器</v>
          </cell>
          <cell r="F25">
            <v>10010302</v>
          </cell>
          <cell r="G25" t="str">
            <v>WALS\RES 100R F 1/4W 1206</v>
          </cell>
          <cell r="H25" t="str">
            <v>WALS(华科)</v>
          </cell>
          <cell r="I25" t="str">
            <v>WR12X1000FTL</v>
          </cell>
          <cell r="J25">
            <v>100131</v>
          </cell>
          <cell r="K25" t="str">
            <v>东莞华科电子有限公司</v>
          </cell>
          <cell r="L25" t="str">
            <v>X</v>
          </cell>
          <cell r="M25" t="str">
            <v/>
          </cell>
          <cell r="N25">
            <v>1</v>
          </cell>
          <cell r="O25">
            <v>6.9499999999999996E-3</v>
          </cell>
          <cell r="P25">
            <v>6.95</v>
          </cell>
          <cell r="Q25">
            <v>6.95</v>
          </cell>
          <cell r="R25">
            <v>1000</v>
          </cell>
          <cell r="S25" t="str">
            <v>PCS</v>
          </cell>
          <cell r="T25">
            <v>70</v>
          </cell>
          <cell r="U25" t="str">
            <v>J3</v>
          </cell>
          <cell r="V25" t="str">
            <v>CNY</v>
          </cell>
          <cell r="W25">
            <v>5000</v>
          </cell>
          <cell r="X25">
            <v>5000</v>
          </cell>
        </row>
        <row r="26">
          <cell r="D26">
            <v>10100008057</v>
          </cell>
          <cell r="E26" t="str">
            <v>厚膜贴片电阻器</v>
          </cell>
          <cell r="F26">
            <v>10010302</v>
          </cell>
          <cell r="G26" t="str">
            <v>FH\RES 22K F 1/16W 0402</v>
          </cell>
          <cell r="H26" t="str">
            <v>FH(风华)</v>
          </cell>
          <cell r="I26" t="str">
            <v>RC-02K2202FT</v>
          </cell>
          <cell r="J26">
            <v>100654</v>
          </cell>
          <cell r="K26" t="str">
            <v>广东风华高新科技股份有限公司</v>
          </cell>
          <cell r="L26" t="str">
            <v>X</v>
          </cell>
          <cell r="M26" t="str">
            <v/>
          </cell>
          <cell r="N26">
            <v>1</v>
          </cell>
          <cell r="O26">
            <v>1.1000000000000001E-3</v>
          </cell>
          <cell r="P26">
            <v>1.1000000000000001</v>
          </cell>
          <cell r="Q26">
            <v>1.1000000000000001</v>
          </cell>
          <cell r="R26">
            <v>1000</v>
          </cell>
          <cell r="S26" t="str">
            <v>PCS</v>
          </cell>
          <cell r="T26">
            <v>42</v>
          </cell>
          <cell r="U26" t="str">
            <v>J3</v>
          </cell>
          <cell r="V26" t="str">
            <v>CNY</v>
          </cell>
          <cell r="W26">
            <v>10000</v>
          </cell>
          <cell r="X26">
            <v>10000</v>
          </cell>
        </row>
        <row r="27">
          <cell r="D27">
            <v>10100008069</v>
          </cell>
          <cell r="E27" t="str">
            <v>厚膜贴片电阻器</v>
          </cell>
          <cell r="F27">
            <v>10010302</v>
          </cell>
          <cell r="G27" t="str">
            <v>WALS\RES 22K F 1/16W 0402</v>
          </cell>
          <cell r="H27" t="str">
            <v>WALS(华科)</v>
          </cell>
          <cell r="I27" t="str">
            <v>WR04X2202FTL</v>
          </cell>
          <cell r="J27">
            <v>100131</v>
          </cell>
          <cell r="K27" t="str">
            <v>东莞华科电子有限公司</v>
          </cell>
          <cell r="L27" t="str">
            <v>X</v>
          </cell>
          <cell r="M27" t="str">
            <v/>
          </cell>
          <cell r="N27">
            <v>1</v>
          </cell>
          <cell r="O27">
            <v>1.17E-3</v>
          </cell>
          <cell r="P27">
            <v>1.17</v>
          </cell>
          <cell r="Q27">
            <v>1.17</v>
          </cell>
          <cell r="R27">
            <v>1000</v>
          </cell>
          <cell r="S27" t="str">
            <v>PCS</v>
          </cell>
          <cell r="T27">
            <v>56</v>
          </cell>
          <cell r="U27" t="str">
            <v>J3</v>
          </cell>
          <cell r="V27" t="str">
            <v>CNY</v>
          </cell>
          <cell r="W27">
            <v>10000</v>
          </cell>
          <cell r="X27">
            <v>10000</v>
          </cell>
        </row>
        <row r="28">
          <cell r="D28">
            <v>10100008075</v>
          </cell>
          <cell r="E28" t="str">
            <v>厚膜贴片电阻器</v>
          </cell>
          <cell r="F28">
            <v>10010302</v>
          </cell>
          <cell r="G28" t="str">
            <v>YAGEO\RES 22K F 1/16W 0402</v>
          </cell>
          <cell r="H28" t="str">
            <v>YAGEO(国巨)</v>
          </cell>
          <cell r="I28" t="str">
            <v>RC0402FR-0722KL</v>
          </cell>
          <cell r="J28">
            <v>100078</v>
          </cell>
          <cell r="K28" t="str">
            <v>深圳市超利维实业有限公司</v>
          </cell>
          <cell r="L28" t="str">
            <v>X</v>
          </cell>
          <cell r="M28" t="str">
            <v/>
          </cell>
          <cell r="N28">
            <v>1</v>
          </cell>
          <cell r="O28">
            <v>1.4E-3</v>
          </cell>
          <cell r="P28">
            <v>1.4</v>
          </cell>
          <cell r="Q28">
            <v>1.4</v>
          </cell>
          <cell r="R28">
            <v>1000</v>
          </cell>
          <cell r="S28" t="str">
            <v>PCS</v>
          </cell>
          <cell r="T28">
            <v>56</v>
          </cell>
          <cell r="U28" t="str">
            <v>J3</v>
          </cell>
          <cell r="V28" t="str">
            <v>CNY</v>
          </cell>
          <cell r="W28">
            <v>10000</v>
          </cell>
          <cell r="X28">
            <v>10000</v>
          </cell>
        </row>
        <row r="29">
          <cell r="D29">
            <v>10100008302</v>
          </cell>
          <cell r="E29" t="str">
            <v>厚膜贴片电阻器</v>
          </cell>
          <cell r="F29">
            <v>10010302</v>
          </cell>
          <cell r="G29" t="str">
            <v>WALS\RES 100R F 1/16W 0402</v>
          </cell>
          <cell r="H29" t="str">
            <v>WALS(华科)</v>
          </cell>
          <cell r="I29" t="str">
            <v>WR04X1000FTL</v>
          </cell>
          <cell r="J29">
            <v>100131</v>
          </cell>
          <cell r="K29" t="str">
            <v>东莞华科电子有限公司</v>
          </cell>
          <cell r="L29" t="str">
            <v>X</v>
          </cell>
          <cell r="M29" t="str">
            <v/>
          </cell>
          <cell r="N29">
            <v>1</v>
          </cell>
          <cell r="O29">
            <v>1.17E-3</v>
          </cell>
          <cell r="P29">
            <v>1.17</v>
          </cell>
          <cell r="Q29">
            <v>1.17</v>
          </cell>
          <cell r="R29">
            <v>1000</v>
          </cell>
          <cell r="S29" t="str">
            <v>PCS</v>
          </cell>
          <cell r="T29">
            <v>56</v>
          </cell>
          <cell r="U29" t="str">
            <v>J3</v>
          </cell>
          <cell r="V29" t="str">
            <v>CNY</v>
          </cell>
          <cell r="W29">
            <v>10000</v>
          </cell>
          <cell r="X29">
            <v>10000</v>
          </cell>
        </row>
        <row r="30">
          <cell r="D30">
            <v>10100008735</v>
          </cell>
          <cell r="E30" t="str">
            <v>厚膜贴片电阻器</v>
          </cell>
          <cell r="F30">
            <v>10010302</v>
          </cell>
          <cell r="G30" t="str">
            <v>FH\RES 0R R&lt;10mR 1/16W 0402 1A</v>
          </cell>
          <cell r="H30" t="str">
            <v>FH(风华)</v>
          </cell>
          <cell r="I30" t="str">
            <v>RC-02000FT</v>
          </cell>
          <cell r="J30">
            <v>100654</v>
          </cell>
          <cell r="K30" t="str">
            <v>广东风华高新科技股份有限公司</v>
          </cell>
          <cell r="L30" t="str">
            <v>X</v>
          </cell>
          <cell r="M30" t="str">
            <v/>
          </cell>
          <cell r="N30">
            <v>1</v>
          </cell>
          <cell r="O30">
            <v>1.1000000000000001E-3</v>
          </cell>
          <cell r="P30">
            <v>1.1000000000000001</v>
          </cell>
          <cell r="Q30">
            <v>1.1000000000000001</v>
          </cell>
          <cell r="R30">
            <v>1000</v>
          </cell>
          <cell r="S30" t="str">
            <v>PCS</v>
          </cell>
          <cell r="T30">
            <v>42</v>
          </cell>
          <cell r="U30" t="str">
            <v>J3</v>
          </cell>
          <cell r="V30" t="str">
            <v>CNY</v>
          </cell>
          <cell r="W30">
            <v>10000</v>
          </cell>
          <cell r="X30">
            <v>10000</v>
          </cell>
        </row>
        <row r="31">
          <cell r="D31">
            <v>10100008776</v>
          </cell>
          <cell r="E31" t="str">
            <v>厚膜贴片电阻器</v>
          </cell>
          <cell r="F31">
            <v>10010302</v>
          </cell>
          <cell r="G31" t="str">
            <v>FH\RES 0R R&lt;10mR 1/10W 0603 1A</v>
          </cell>
          <cell r="H31" t="str">
            <v>FH(风华)</v>
          </cell>
          <cell r="I31" t="str">
            <v>RS-03000FT</v>
          </cell>
          <cell r="J31">
            <v>100654</v>
          </cell>
          <cell r="K31" t="str">
            <v>广东风华高新科技股份有限公司</v>
          </cell>
          <cell r="L31" t="str">
            <v>X</v>
          </cell>
          <cell r="M31" t="str">
            <v/>
          </cell>
          <cell r="N31">
            <v>1</v>
          </cell>
          <cell r="O31">
            <v>2.0799999999999998E-3</v>
          </cell>
          <cell r="P31">
            <v>2.08</v>
          </cell>
          <cell r="Q31">
            <v>2.08</v>
          </cell>
          <cell r="R31">
            <v>1000</v>
          </cell>
          <cell r="S31" t="str">
            <v>PCS</v>
          </cell>
          <cell r="T31">
            <v>42</v>
          </cell>
          <cell r="U31" t="str">
            <v>J3</v>
          </cell>
          <cell r="V31" t="str">
            <v>CNY</v>
          </cell>
          <cell r="W31">
            <v>5000</v>
          </cell>
          <cell r="X31">
            <v>5000</v>
          </cell>
        </row>
        <row r="32">
          <cell r="D32">
            <v>10100008807</v>
          </cell>
          <cell r="E32" t="str">
            <v>厚膜贴片电阻器</v>
          </cell>
          <cell r="F32">
            <v>10010302</v>
          </cell>
          <cell r="G32" t="str">
            <v>WALS\RES 390R F 1/16W 0402</v>
          </cell>
          <cell r="H32" t="str">
            <v>WALS(华科)</v>
          </cell>
          <cell r="I32" t="str">
            <v>WR04X3900FTL</v>
          </cell>
          <cell r="J32">
            <v>100131</v>
          </cell>
          <cell r="K32" t="str">
            <v>东莞华科电子有限公司</v>
          </cell>
          <cell r="L32" t="str">
            <v>X</v>
          </cell>
          <cell r="M32" t="str">
            <v/>
          </cell>
          <cell r="N32">
            <v>1</v>
          </cell>
          <cell r="O32">
            <v>1.17E-3</v>
          </cell>
          <cell r="P32">
            <v>1.17</v>
          </cell>
          <cell r="Q32">
            <v>1.17</v>
          </cell>
          <cell r="R32">
            <v>1000</v>
          </cell>
          <cell r="S32" t="str">
            <v>PCS</v>
          </cell>
          <cell r="T32">
            <v>56</v>
          </cell>
          <cell r="U32" t="str">
            <v>J3</v>
          </cell>
          <cell r="V32" t="str">
            <v>CNY</v>
          </cell>
          <cell r="W32">
            <v>10000</v>
          </cell>
          <cell r="X32">
            <v>10000</v>
          </cell>
        </row>
        <row r="33">
          <cell r="D33">
            <v>10100008809</v>
          </cell>
          <cell r="E33" t="str">
            <v>厚膜贴片电阻器</v>
          </cell>
          <cell r="F33">
            <v>10010302</v>
          </cell>
          <cell r="G33" t="str">
            <v>FH\RES 390R F 1/16W 0402</v>
          </cell>
          <cell r="H33" t="str">
            <v>FH(风华)</v>
          </cell>
          <cell r="I33" t="str">
            <v>RC-02K3900FT</v>
          </cell>
          <cell r="J33">
            <v>100654</v>
          </cell>
          <cell r="K33" t="str">
            <v>广东风华高新科技股份有限公司</v>
          </cell>
          <cell r="L33" t="str">
            <v>X</v>
          </cell>
          <cell r="M33" t="str">
            <v/>
          </cell>
          <cell r="N33">
            <v>1</v>
          </cell>
          <cell r="O33">
            <v>1.1000000000000001E-3</v>
          </cell>
          <cell r="P33">
            <v>1.1000000000000001</v>
          </cell>
          <cell r="Q33">
            <v>1.1000000000000001</v>
          </cell>
          <cell r="R33">
            <v>1000</v>
          </cell>
          <cell r="S33" t="str">
            <v>PCS</v>
          </cell>
          <cell r="T33">
            <v>42</v>
          </cell>
          <cell r="U33" t="str">
            <v>J3</v>
          </cell>
          <cell r="V33" t="str">
            <v>CNY</v>
          </cell>
          <cell r="W33">
            <v>10000</v>
          </cell>
          <cell r="X33">
            <v>10000</v>
          </cell>
        </row>
        <row r="34">
          <cell r="D34">
            <v>10100008827</v>
          </cell>
          <cell r="E34" t="str">
            <v>厚膜贴片电阻器</v>
          </cell>
          <cell r="F34">
            <v>10010302</v>
          </cell>
          <cell r="G34" t="str">
            <v>WALS\RES 9.1K F 1/16W 0402</v>
          </cell>
          <cell r="H34" t="str">
            <v>WALS(华科)</v>
          </cell>
          <cell r="I34" t="str">
            <v>WR04X9101FTL</v>
          </cell>
          <cell r="J34">
            <v>100131</v>
          </cell>
          <cell r="K34" t="str">
            <v>东莞华科电子有限公司</v>
          </cell>
          <cell r="L34" t="str">
            <v>X</v>
          </cell>
          <cell r="M34" t="str">
            <v/>
          </cell>
          <cell r="N34">
            <v>1</v>
          </cell>
          <cell r="O34">
            <v>1.17E-3</v>
          </cell>
          <cell r="P34">
            <v>1.17</v>
          </cell>
          <cell r="Q34">
            <v>1.17</v>
          </cell>
          <cell r="R34">
            <v>1000</v>
          </cell>
          <cell r="S34" t="str">
            <v>PCS</v>
          </cell>
          <cell r="T34">
            <v>56</v>
          </cell>
          <cell r="U34" t="str">
            <v>J3</v>
          </cell>
          <cell r="V34" t="str">
            <v>CNY</v>
          </cell>
          <cell r="W34">
            <v>10000</v>
          </cell>
          <cell r="X34">
            <v>10000</v>
          </cell>
        </row>
        <row r="35">
          <cell r="D35">
            <v>10100008830</v>
          </cell>
          <cell r="E35" t="str">
            <v>厚膜贴片电阻器</v>
          </cell>
          <cell r="F35">
            <v>10010302</v>
          </cell>
          <cell r="G35" t="str">
            <v>YAGEO\RES 9.1K F 1/16W 0402</v>
          </cell>
          <cell r="H35" t="str">
            <v>YAGEO(国巨)</v>
          </cell>
          <cell r="I35" t="str">
            <v>RC0402FR-079K1L</v>
          </cell>
          <cell r="J35">
            <v>100632</v>
          </cell>
          <cell r="K35" t="str">
            <v>深圳市欧尔法电子有限公司</v>
          </cell>
          <cell r="L35" t="str">
            <v>X</v>
          </cell>
          <cell r="M35" t="str">
            <v/>
          </cell>
          <cell r="N35">
            <v>1</v>
          </cell>
          <cell r="O35">
            <v>1.39E-3</v>
          </cell>
          <cell r="P35">
            <v>1.39</v>
          </cell>
          <cell r="Q35">
            <v>1.39</v>
          </cell>
          <cell r="R35">
            <v>1000</v>
          </cell>
          <cell r="S35" t="str">
            <v>PCS</v>
          </cell>
          <cell r="T35">
            <v>56</v>
          </cell>
          <cell r="U35" t="str">
            <v>J3</v>
          </cell>
          <cell r="V35" t="str">
            <v>CNY</v>
          </cell>
          <cell r="W35">
            <v>10000</v>
          </cell>
          <cell r="X35">
            <v>10000</v>
          </cell>
        </row>
        <row r="36">
          <cell r="D36">
            <v>10100009092</v>
          </cell>
          <cell r="E36" t="str">
            <v>厚膜贴片电阻器</v>
          </cell>
          <cell r="F36">
            <v>10010302</v>
          </cell>
          <cell r="G36" t="str">
            <v>YAGEO\RES 2K F 1/16W 0402</v>
          </cell>
          <cell r="H36" t="str">
            <v>YAGEO(国巨)</v>
          </cell>
          <cell r="I36" t="str">
            <v>RC0402FR-072KL</v>
          </cell>
          <cell r="J36">
            <v>101553</v>
          </cell>
          <cell r="K36" t="str">
            <v>深圳市奥特高科电子有限公司</v>
          </cell>
          <cell r="L36" t="str">
            <v>X</v>
          </cell>
          <cell r="M36" t="str">
            <v/>
          </cell>
          <cell r="N36">
            <v>1</v>
          </cell>
          <cell r="O36">
            <v>1.2999999999999999E-3</v>
          </cell>
          <cell r="P36">
            <v>1.3</v>
          </cell>
          <cell r="Q36">
            <v>1.3</v>
          </cell>
          <cell r="R36">
            <v>1000</v>
          </cell>
          <cell r="S36" t="str">
            <v>PCS</v>
          </cell>
          <cell r="T36">
            <v>84</v>
          </cell>
          <cell r="U36" t="str">
            <v>J3</v>
          </cell>
          <cell r="V36" t="str">
            <v>CNY</v>
          </cell>
          <cell r="W36">
            <v>10000</v>
          </cell>
          <cell r="X36">
            <v>10000</v>
          </cell>
        </row>
        <row r="37">
          <cell r="D37">
            <v>10100009093</v>
          </cell>
          <cell r="E37" t="str">
            <v>厚膜贴片电阻器</v>
          </cell>
          <cell r="F37">
            <v>10010302</v>
          </cell>
          <cell r="G37" t="str">
            <v>WALS\RES 2K F 1/16W 0402</v>
          </cell>
          <cell r="H37" t="str">
            <v>WALS(华科)</v>
          </cell>
          <cell r="I37" t="str">
            <v>WR04X2001FTL</v>
          </cell>
          <cell r="J37">
            <v>100131</v>
          </cell>
          <cell r="K37" t="str">
            <v>东莞华科电子有限公司</v>
          </cell>
          <cell r="L37" t="str">
            <v>X</v>
          </cell>
          <cell r="M37" t="str">
            <v/>
          </cell>
          <cell r="N37">
            <v>1</v>
          </cell>
          <cell r="O37">
            <v>1.17E-3</v>
          </cell>
          <cell r="P37">
            <v>1.17</v>
          </cell>
          <cell r="Q37">
            <v>1.17</v>
          </cell>
          <cell r="R37">
            <v>1000</v>
          </cell>
          <cell r="S37" t="str">
            <v>PCS</v>
          </cell>
          <cell r="T37">
            <v>56</v>
          </cell>
          <cell r="U37" t="str">
            <v>J3</v>
          </cell>
          <cell r="V37" t="str">
            <v>CNY</v>
          </cell>
          <cell r="W37">
            <v>10000</v>
          </cell>
          <cell r="X37">
            <v>10000</v>
          </cell>
        </row>
        <row r="38">
          <cell r="D38">
            <v>10100009552</v>
          </cell>
          <cell r="E38" t="str">
            <v>厚膜贴片电阻器</v>
          </cell>
          <cell r="F38">
            <v>10010302</v>
          </cell>
          <cell r="G38" t="str">
            <v>ROYA\RES 2.2K F 1/10W 0603</v>
          </cell>
          <cell r="H38" t="str">
            <v>ROYALOHM(厚声)</v>
          </cell>
          <cell r="I38" t="str">
            <v>0603WAF2201T5E</v>
          </cell>
          <cell r="J38">
            <v>100096</v>
          </cell>
          <cell r="K38" t="str">
            <v>厚声国际贸易（昆山）有限公司深圳分公司</v>
          </cell>
          <cell r="L38" t="str">
            <v>X</v>
          </cell>
          <cell r="M38" t="str">
            <v/>
          </cell>
          <cell r="N38">
            <v>1</v>
          </cell>
          <cell r="O38">
            <v>2.0999999999999999E-3</v>
          </cell>
          <cell r="P38">
            <v>2.1</v>
          </cell>
          <cell r="Q38">
            <v>2.1</v>
          </cell>
          <cell r="R38">
            <v>1000</v>
          </cell>
          <cell r="S38" t="str">
            <v>PCS</v>
          </cell>
          <cell r="T38">
            <v>56</v>
          </cell>
          <cell r="U38" t="str">
            <v>J3</v>
          </cell>
          <cell r="V38" t="str">
            <v>CNY</v>
          </cell>
          <cell r="W38">
            <v>5000</v>
          </cell>
          <cell r="X38">
            <v>5000</v>
          </cell>
        </row>
        <row r="39">
          <cell r="D39">
            <v>10100009721</v>
          </cell>
          <cell r="E39" t="str">
            <v>厚膜贴片电阻器</v>
          </cell>
          <cell r="F39">
            <v>10010302</v>
          </cell>
          <cell r="G39" t="str">
            <v>YAGEO\RES 11K F 1/16W 0402</v>
          </cell>
          <cell r="H39" t="str">
            <v>YAGEO(国巨)</v>
          </cell>
          <cell r="I39" t="str">
            <v>RC0402FR-0711KL</v>
          </cell>
          <cell r="J39">
            <v>100078</v>
          </cell>
          <cell r="K39" t="str">
            <v>深圳市超利维实业有限公司</v>
          </cell>
          <cell r="L39" t="str">
            <v>X</v>
          </cell>
          <cell r="M39" t="str">
            <v/>
          </cell>
          <cell r="N39">
            <v>1</v>
          </cell>
          <cell r="O39">
            <v>1.4E-3</v>
          </cell>
          <cell r="P39">
            <v>1.4</v>
          </cell>
          <cell r="Q39">
            <v>1.4</v>
          </cell>
          <cell r="R39">
            <v>1000</v>
          </cell>
          <cell r="S39" t="str">
            <v>PCS</v>
          </cell>
          <cell r="T39">
            <v>84</v>
          </cell>
          <cell r="U39" t="str">
            <v>J3</v>
          </cell>
          <cell r="V39" t="str">
            <v>CNY</v>
          </cell>
          <cell r="W39">
            <v>10000</v>
          </cell>
          <cell r="X39">
            <v>10000</v>
          </cell>
        </row>
        <row r="40">
          <cell r="D40">
            <v>10100009722</v>
          </cell>
          <cell r="E40" t="str">
            <v>厚膜贴片电阻器</v>
          </cell>
          <cell r="F40">
            <v>10010302</v>
          </cell>
          <cell r="G40" t="str">
            <v>WALS\RES 11K F 1/16W 0402</v>
          </cell>
          <cell r="H40" t="str">
            <v>WALS(华科)</v>
          </cell>
          <cell r="I40" t="str">
            <v>WR04X1102FTL</v>
          </cell>
          <cell r="J40">
            <v>100131</v>
          </cell>
          <cell r="K40" t="str">
            <v>东莞华科电子有限公司</v>
          </cell>
          <cell r="L40" t="str">
            <v>X</v>
          </cell>
          <cell r="M40" t="str">
            <v/>
          </cell>
          <cell r="N40">
            <v>1</v>
          </cell>
          <cell r="O40">
            <v>1.17E-3</v>
          </cell>
          <cell r="P40">
            <v>1.17</v>
          </cell>
          <cell r="Q40">
            <v>1.17</v>
          </cell>
          <cell r="R40">
            <v>1000</v>
          </cell>
          <cell r="S40" t="str">
            <v>PCS</v>
          </cell>
          <cell r="T40">
            <v>56</v>
          </cell>
          <cell r="U40" t="str">
            <v>J3</v>
          </cell>
          <cell r="V40" t="str">
            <v>CNY</v>
          </cell>
          <cell r="W40">
            <v>10000</v>
          </cell>
          <cell r="X40">
            <v>10000</v>
          </cell>
        </row>
        <row r="41">
          <cell r="D41">
            <v>10100009838</v>
          </cell>
          <cell r="E41" t="str">
            <v>厚膜贴片电阻器</v>
          </cell>
          <cell r="F41">
            <v>10010302</v>
          </cell>
          <cell r="G41" t="str">
            <v>ROYA\RES 10K F 1/16W 0402</v>
          </cell>
          <cell r="H41" t="str">
            <v>ROYALOHM(厚声)</v>
          </cell>
          <cell r="I41" t="str">
            <v>0402WGF1002TCE</v>
          </cell>
          <cell r="J41">
            <v>100096</v>
          </cell>
          <cell r="K41" t="str">
            <v>厚声国际贸易（昆山）有限公司深圳分公司</v>
          </cell>
          <cell r="L41" t="str">
            <v>X</v>
          </cell>
          <cell r="M41" t="str">
            <v/>
          </cell>
          <cell r="N41">
            <v>1</v>
          </cell>
          <cell r="O41">
            <v>1.09E-3</v>
          </cell>
          <cell r="P41">
            <v>1.0900000000000001</v>
          </cell>
          <cell r="Q41">
            <v>1.0900000000000001</v>
          </cell>
          <cell r="R41">
            <v>1000</v>
          </cell>
          <cell r="S41" t="str">
            <v>PCS</v>
          </cell>
          <cell r="T41">
            <v>56</v>
          </cell>
          <cell r="U41" t="str">
            <v>J3</v>
          </cell>
          <cell r="V41" t="str">
            <v>CNY</v>
          </cell>
          <cell r="W41">
            <v>10000</v>
          </cell>
          <cell r="X41">
            <v>10000</v>
          </cell>
        </row>
        <row r="42">
          <cell r="D42">
            <v>10100010045</v>
          </cell>
          <cell r="E42" t="str">
            <v>厚膜贴片电阻器</v>
          </cell>
          <cell r="F42">
            <v>10010302</v>
          </cell>
          <cell r="G42" t="str">
            <v>WALS\RES 10K F 1/16W 0402</v>
          </cell>
          <cell r="H42" t="str">
            <v>WALS(华科)</v>
          </cell>
          <cell r="I42" t="str">
            <v>WR04X1002FTL</v>
          </cell>
          <cell r="J42">
            <v>100131</v>
          </cell>
          <cell r="K42" t="str">
            <v>东莞华科电子有限公司</v>
          </cell>
          <cell r="L42" t="str">
            <v>X</v>
          </cell>
          <cell r="M42" t="str">
            <v/>
          </cell>
          <cell r="N42">
            <v>1</v>
          </cell>
          <cell r="O42">
            <v>1.17E-3</v>
          </cell>
          <cell r="P42">
            <v>1.17</v>
          </cell>
          <cell r="Q42">
            <v>1.17</v>
          </cell>
          <cell r="R42">
            <v>1000</v>
          </cell>
          <cell r="S42" t="str">
            <v>PCS</v>
          </cell>
          <cell r="T42">
            <v>56</v>
          </cell>
          <cell r="U42" t="str">
            <v>J3</v>
          </cell>
          <cell r="V42" t="str">
            <v>CNY</v>
          </cell>
          <cell r="W42">
            <v>10000</v>
          </cell>
          <cell r="X42">
            <v>10000</v>
          </cell>
        </row>
        <row r="43">
          <cell r="D43">
            <v>10100011090</v>
          </cell>
          <cell r="E43" t="str">
            <v>厚膜贴片电阻器</v>
          </cell>
          <cell r="F43">
            <v>10010302</v>
          </cell>
          <cell r="G43" t="str">
            <v>ROYA\RES 4.7K F 1/10W 0603</v>
          </cell>
          <cell r="H43" t="str">
            <v>ROYALOHM(厚声)</v>
          </cell>
          <cell r="I43" t="str">
            <v>0603WAF4701T5E</v>
          </cell>
          <cell r="J43">
            <v>100096</v>
          </cell>
          <cell r="K43" t="str">
            <v>厚声国际贸易（昆山）有限公司深圳分公司</v>
          </cell>
          <cell r="L43" t="str">
            <v>X</v>
          </cell>
          <cell r="M43" t="str">
            <v/>
          </cell>
          <cell r="N43">
            <v>1</v>
          </cell>
          <cell r="O43">
            <v>2.0999999999999999E-3</v>
          </cell>
          <cell r="P43">
            <v>2.1</v>
          </cell>
          <cell r="Q43">
            <v>2.1</v>
          </cell>
          <cell r="R43">
            <v>1000</v>
          </cell>
          <cell r="S43" t="str">
            <v>PCS</v>
          </cell>
          <cell r="T43">
            <v>56</v>
          </cell>
          <cell r="U43" t="str">
            <v>J3</v>
          </cell>
          <cell r="V43" t="str">
            <v>CNY</v>
          </cell>
          <cell r="W43">
            <v>5000</v>
          </cell>
          <cell r="X43">
            <v>5000</v>
          </cell>
        </row>
        <row r="44">
          <cell r="D44">
            <v>10100011343</v>
          </cell>
          <cell r="E44" t="str">
            <v>厚膜贴片电阻器</v>
          </cell>
          <cell r="F44">
            <v>10010302</v>
          </cell>
          <cell r="G44" t="str">
            <v>WALS\RES 5.6K F 1/16W 0402</v>
          </cell>
          <cell r="H44" t="str">
            <v>WALS(华科)</v>
          </cell>
          <cell r="I44" t="str">
            <v>WR04X5601FTL</v>
          </cell>
          <cell r="J44">
            <v>100131</v>
          </cell>
          <cell r="K44" t="str">
            <v>东莞华科电子有限公司</v>
          </cell>
          <cell r="L44" t="str">
            <v>X</v>
          </cell>
          <cell r="M44" t="str">
            <v/>
          </cell>
          <cell r="N44">
            <v>1</v>
          </cell>
          <cell r="O44">
            <v>1.17E-3</v>
          </cell>
          <cell r="P44">
            <v>1.17</v>
          </cell>
          <cell r="Q44">
            <v>1.17</v>
          </cell>
          <cell r="R44">
            <v>1000</v>
          </cell>
          <cell r="S44" t="str">
            <v>PCS</v>
          </cell>
          <cell r="T44">
            <v>56</v>
          </cell>
          <cell r="U44" t="str">
            <v>J3</v>
          </cell>
          <cell r="V44" t="str">
            <v>CNY</v>
          </cell>
          <cell r="W44">
            <v>10000</v>
          </cell>
          <cell r="X44">
            <v>10000</v>
          </cell>
        </row>
        <row r="45">
          <cell r="D45">
            <v>10100011621</v>
          </cell>
          <cell r="E45" t="str">
            <v>厚膜贴片电阻器</v>
          </cell>
          <cell r="F45">
            <v>10010302</v>
          </cell>
          <cell r="G45" t="str">
            <v>FH\RES 5.6K F 1/16W 0402</v>
          </cell>
          <cell r="H45" t="str">
            <v>FH(风华)</v>
          </cell>
          <cell r="I45" t="str">
            <v>RC-02K5601FT</v>
          </cell>
          <cell r="J45">
            <v>100654</v>
          </cell>
          <cell r="K45" t="str">
            <v>广东风华高新科技股份有限公司</v>
          </cell>
          <cell r="L45" t="str">
            <v>X</v>
          </cell>
          <cell r="M45" t="str">
            <v/>
          </cell>
          <cell r="N45">
            <v>1</v>
          </cell>
          <cell r="O45">
            <v>1.1000000000000001E-3</v>
          </cell>
          <cell r="P45">
            <v>1.1000000000000001</v>
          </cell>
          <cell r="Q45">
            <v>1.1000000000000001</v>
          </cell>
          <cell r="R45">
            <v>1000</v>
          </cell>
          <cell r="S45" t="str">
            <v>PCS</v>
          </cell>
          <cell r="T45">
            <v>45</v>
          </cell>
          <cell r="U45" t="str">
            <v>J3</v>
          </cell>
          <cell r="V45" t="str">
            <v>CNY</v>
          </cell>
          <cell r="W45">
            <v>10000</v>
          </cell>
          <cell r="X45">
            <v>10000</v>
          </cell>
        </row>
        <row r="46">
          <cell r="D46">
            <v>10100011726</v>
          </cell>
          <cell r="E46" t="str">
            <v>厚膜贴片电阻器</v>
          </cell>
          <cell r="F46">
            <v>10010302</v>
          </cell>
          <cell r="G46" t="str">
            <v>YAGEO\RES 5.1K F 1/16W 0402</v>
          </cell>
          <cell r="H46" t="str">
            <v>YAGEO(国巨)</v>
          </cell>
          <cell r="I46" t="str">
            <v>RC0402FR-075K1L</v>
          </cell>
          <cell r="J46">
            <v>100632</v>
          </cell>
          <cell r="K46" t="str">
            <v>深圳市欧尔法电子有限公司</v>
          </cell>
          <cell r="L46" t="str">
            <v>X</v>
          </cell>
          <cell r="M46" t="str">
            <v/>
          </cell>
          <cell r="N46">
            <v>1</v>
          </cell>
          <cell r="O46">
            <v>1.39E-3</v>
          </cell>
          <cell r="P46">
            <v>1.39</v>
          </cell>
          <cell r="Q46">
            <v>1.39</v>
          </cell>
          <cell r="R46">
            <v>1000</v>
          </cell>
          <cell r="S46" t="str">
            <v>PCS</v>
          </cell>
          <cell r="T46">
            <v>56</v>
          </cell>
          <cell r="U46" t="str">
            <v>J3</v>
          </cell>
          <cell r="V46" t="str">
            <v>CNY</v>
          </cell>
          <cell r="W46">
            <v>10000</v>
          </cell>
          <cell r="X46">
            <v>10000</v>
          </cell>
        </row>
        <row r="47">
          <cell r="D47">
            <v>10100011886</v>
          </cell>
          <cell r="E47" t="str">
            <v>厚膜贴片电阻器</v>
          </cell>
          <cell r="F47">
            <v>10010302</v>
          </cell>
          <cell r="G47" t="str">
            <v>ROYA\RES 9.1K F 1/16W 0402</v>
          </cell>
          <cell r="H47" t="str">
            <v>ROYALOHM(厚声)</v>
          </cell>
          <cell r="I47" t="str">
            <v>0402WGF9101TCE</v>
          </cell>
          <cell r="J47">
            <v>100096</v>
          </cell>
          <cell r="K47" t="str">
            <v>厚声国际贸易（昆山）有限公司深圳分公司</v>
          </cell>
          <cell r="L47" t="str">
            <v>X</v>
          </cell>
          <cell r="M47" t="str">
            <v/>
          </cell>
          <cell r="N47">
            <v>1</v>
          </cell>
          <cell r="O47">
            <v>1.09E-3</v>
          </cell>
          <cell r="P47">
            <v>1.0900000000000001</v>
          </cell>
          <cell r="Q47">
            <v>1.0900000000000001</v>
          </cell>
          <cell r="R47">
            <v>1000</v>
          </cell>
          <cell r="S47" t="str">
            <v>PCS</v>
          </cell>
          <cell r="T47">
            <v>56</v>
          </cell>
          <cell r="U47" t="str">
            <v>J3</v>
          </cell>
          <cell r="V47" t="str">
            <v>CNY</v>
          </cell>
          <cell r="W47">
            <v>10000</v>
          </cell>
          <cell r="X47">
            <v>10000</v>
          </cell>
        </row>
        <row r="48">
          <cell r="D48">
            <v>10100011993</v>
          </cell>
          <cell r="E48" t="str">
            <v>厚膜贴片电阻器</v>
          </cell>
          <cell r="F48">
            <v>10010302</v>
          </cell>
          <cell r="G48" t="str">
            <v>FH\RES 5.1K F 1/16W 0402</v>
          </cell>
          <cell r="H48" t="str">
            <v>FH(风华)</v>
          </cell>
          <cell r="I48" t="str">
            <v>RC-02K5101FT</v>
          </cell>
          <cell r="J48">
            <v>100654</v>
          </cell>
          <cell r="K48" t="str">
            <v>广东风华高新科技股份有限公司</v>
          </cell>
          <cell r="L48" t="str">
            <v>X</v>
          </cell>
          <cell r="M48" t="str">
            <v/>
          </cell>
          <cell r="N48">
            <v>1</v>
          </cell>
          <cell r="O48">
            <v>1.1000000000000001E-3</v>
          </cell>
          <cell r="P48">
            <v>1.1000000000000001</v>
          </cell>
          <cell r="Q48">
            <v>1.1000000000000001</v>
          </cell>
          <cell r="R48">
            <v>1000</v>
          </cell>
          <cell r="S48" t="str">
            <v>PCS</v>
          </cell>
          <cell r="T48">
            <v>42</v>
          </cell>
          <cell r="U48" t="str">
            <v>J3</v>
          </cell>
          <cell r="V48" t="str">
            <v>CNY</v>
          </cell>
          <cell r="W48">
            <v>10000</v>
          </cell>
          <cell r="X48">
            <v>10000</v>
          </cell>
        </row>
        <row r="49">
          <cell r="D49">
            <v>10100011996</v>
          </cell>
          <cell r="E49" t="str">
            <v>厚膜贴片电阻器</v>
          </cell>
          <cell r="F49">
            <v>10010302</v>
          </cell>
          <cell r="G49" t="str">
            <v>FH\RES 9.1K F 1/16W 0402</v>
          </cell>
          <cell r="H49" t="str">
            <v>FH(风华)</v>
          </cell>
          <cell r="I49" t="str">
            <v>RC-02K9101FT</v>
          </cell>
          <cell r="J49">
            <v>100654</v>
          </cell>
          <cell r="K49" t="str">
            <v>广东风华高新科技股份有限公司</v>
          </cell>
          <cell r="L49" t="str">
            <v>X</v>
          </cell>
          <cell r="M49" t="str">
            <v/>
          </cell>
          <cell r="N49">
            <v>1</v>
          </cell>
          <cell r="O49">
            <v>1.1000000000000001E-3</v>
          </cell>
          <cell r="P49">
            <v>1.1000000000000001</v>
          </cell>
          <cell r="Q49">
            <v>1.1000000000000001</v>
          </cell>
          <cell r="R49">
            <v>1000</v>
          </cell>
          <cell r="S49" t="str">
            <v>PCS</v>
          </cell>
          <cell r="T49">
            <v>42</v>
          </cell>
          <cell r="U49" t="str">
            <v>J3</v>
          </cell>
          <cell r="V49" t="str">
            <v>CNY</v>
          </cell>
          <cell r="W49">
            <v>10000</v>
          </cell>
          <cell r="X49">
            <v>10000</v>
          </cell>
        </row>
        <row r="50">
          <cell r="D50">
            <v>10100012014</v>
          </cell>
          <cell r="E50" t="str">
            <v>厚膜贴片电阻器</v>
          </cell>
          <cell r="F50">
            <v>10010302</v>
          </cell>
          <cell r="G50" t="str">
            <v>FH\RES 100R F 1/4W 1206</v>
          </cell>
          <cell r="H50" t="str">
            <v>FH(风华)</v>
          </cell>
          <cell r="I50" t="str">
            <v>RS-06K1000FT</v>
          </cell>
          <cell r="J50">
            <v>100654</v>
          </cell>
          <cell r="K50" t="str">
            <v>广东风华高新科技股份有限公司</v>
          </cell>
          <cell r="L50" t="str">
            <v>X</v>
          </cell>
          <cell r="M50" t="str">
            <v/>
          </cell>
          <cell r="N50">
            <v>1</v>
          </cell>
          <cell r="O50">
            <v>6.3699999999999998E-3</v>
          </cell>
          <cell r="P50">
            <v>6.37</v>
          </cell>
          <cell r="Q50">
            <v>6.37</v>
          </cell>
          <cell r="R50">
            <v>1000</v>
          </cell>
          <cell r="S50" t="str">
            <v>PCS</v>
          </cell>
          <cell r="T50">
            <v>42</v>
          </cell>
          <cell r="U50" t="str">
            <v>J3</v>
          </cell>
          <cell r="V50" t="str">
            <v>CNY</v>
          </cell>
          <cell r="W50">
            <v>5000</v>
          </cell>
          <cell r="X50">
            <v>5000</v>
          </cell>
        </row>
        <row r="51">
          <cell r="D51">
            <v>10100012860</v>
          </cell>
          <cell r="E51" t="str">
            <v>厚膜贴片电阻器</v>
          </cell>
          <cell r="F51">
            <v>10010302</v>
          </cell>
          <cell r="G51" t="str">
            <v>ROYA\RES 68K F 1/10W 0603</v>
          </cell>
          <cell r="H51" t="str">
            <v>ROYALOHM(厚声)</v>
          </cell>
          <cell r="I51" t="str">
            <v>0603WAF6802T5E</v>
          </cell>
          <cell r="J51">
            <v>100096</v>
          </cell>
          <cell r="K51" t="str">
            <v>厚声国际贸易（昆山）有限公司深圳分公司</v>
          </cell>
          <cell r="L51" t="str">
            <v>X</v>
          </cell>
          <cell r="M51" t="str">
            <v/>
          </cell>
          <cell r="N51">
            <v>1</v>
          </cell>
          <cell r="O51">
            <v>2.0999999999999999E-3</v>
          </cell>
          <cell r="P51">
            <v>2.1</v>
          </cell>
          <cell r="Q51">
            <v>2.1</v>
          </cell>
          <cell r="R51">
            <v>1000</v>
          </cell>
          <cell r="S51" t="str">
            <v>PCS</v>
          </cell>
          <cell r="T51">
            <v>42</v>
          </cell>
          <cell r="U51" t="str">
            <v>J3</v>
          </cell>
          <cell r="V51" t="str">
            <v>CNY</v>
          </cell>
          <cell r="W51">
            <v>5000</v>
          </cell>
          <cell r="X51">
            <v>5000</v>
          </cell>
        </row>
        <row r="52">
          <cell r="D52">
            <v>10100013040</v>
          </cell>
          <cell r="E52" t="str">
            <v>厚膜贴片电阻器</v>
          </cell>
          <cell r="F52">
            <v>10010302</v>
          </cell>
          <cell r="G52" t="str">
            <v>ROYA\RES 1K F 1/16W 0402</v>
          </cell>
          <cell r="H52" t="str">
            <v>ROYALOHM(厚声)</v>
          </cell>
          <cell r="I52" t="str">
            <v>0402WGF1001TCE</v>
          </cell>
          <cell r="J52">
            <v>100096</v>
          </cell>
          <cell r="K52" t="str">
            <v>厚声国际贸易（昆山）有限公司深圳分公司</v>
          </cell>
          <cell r="L52" t="str">
            <v>X</v>
          </cell>
          <cell r="M52" t="str">
            <v/>
          </cell>
          <cell r="N52">
            <v>1</v>
          </cell>
          <cell r="O52">
            <v>1.09E-3</v>
          </cell>
          <cell r="P52">
            <v>1.0900000000000001</v>
          </cell>
          <cell r="Q52">
            <v>1.0900000000000001</v>
          </cell>
          <cell r="R52">
            <v>1000</v>
          </cell>
          <cell r="S52" t="str">
            <v>PCS</v>
          </cell>
          <cell r="T52">
            <v>56</v>
          </cell>
          <cell r="U52" t="str">
            <v>J3</v>
          </cell>
          <cell r="V52" t="str">
            <v>CNY</v>
          </cell>
          <cell r="W52">
            <v>10000</v>
          </cell>
          <cell r="X52">
            <v>10000</v>
          </cell>
        </row>
        <row r="53">
          <cell r="D53">
            <v>10100013093</v>
          </cell>
          <cell r="E53" t="str">
            <v>厚膜贴片电阻器</v>
          </cell>
          <cell r="F53">
            <v>10010302</v>
          </cell>
          <cell r="G53" t="str">
            <v>ROYA\RES 100R F 1/16W 0402</v>
          </cell>
          <cell r="H53" t="str">
            <v>ROYALOHM(厚声)</v>
          </cell>
          <cell r="I53" t="str">
            <v>0402WGF1000TCE</v>
          </cell>
          <cell r="J53">
            <v>100096</v>
          </cell>
          <cell r="K53" t="str">
            <v>厚声国际贸易（昆山）有限公司深圳分公司</v>
          </cell>
          <cell r="L53" t="str">
            <v>X</v>
          </cell>
          <cell r="M53" t="str">
            <v/>
          </cell>
          <cell r="N53">
            <v>1</v>
          </cell>
          <cell r="O53">
            <v>1.09E-3</v>
          </cell>
          <cell r="P53">
            <v>1.0900000000000001</v>
          </cell>
          <cell r="Q53">
            <v>1.0900000000000001</v>
          </cell>
          <cell r="R53">
            <v>1000</v>
          </cell>
          <cell r="S53" t="str">
            <v>PCS</v>
          </cell>
          <cell r="T53">
            <v>42</v>
          </cell>
          <cell r="U53" t="str">
            <v>J3</v>
          </cell>
          <cell r="V53" t="str">
            <v>CNY</v>
          </cell>
          <cell r="W53">
            <v>10000</v>
          </cell>
          <cell r="X53">
            <v>10000</v>
          </cell>
        </row>
        <row r="54">
          <cell r="D54">
            <v>10100013936</v>
          </cell>
          <cell r="E54" t="str">
            <v>厚膜贴片电阻器</v>
          </cell>
          <cell r="F54">
            <v>10010302</v>
          </cell>
          <cell r="G54" t="str">
            <v>FH\RES 100R F 1/16W 0402</v>
          </cell>
          <cell r="H54" t="str">
            <v>FH(风华)</v>
          </cell>
          <cell r="I54" t="str">
            <v>RC-02K1000FT</v>
          </cell>
          <cell r="J54">
            <v>100654</v>
          </cell>
          <cell r="K54" t="str">
            <v>广东风华高新科技股份有限公司</v>
          </cell>
          <cell r="L54" t="str">
            <v>X</v>
          </cell>
          <cell r="M54" t="str">
            <v/>
          </cell>
          <cell r="N54">
            <v>1</v>
          </cell>
          <cell r="O54">
            <v>1.1000000000000001E-3</v>
          </cell>
          <cell r="P54">
            <v>1.1000000000000001</v>
          </cell>
          <cell r="Q54">
            <v>1.1000000000000001</v>
          </cell>
          <cell r="R54">
            <v>1000</v>
          </cell>
          <cell r="S54" t="str">
            <v>PCS</v>
          </cell>
          <cell r="T54">
            <v>42</v>
          </cell>
          <cell r="U54" t="str">
            <v>J3</v>
          </cell>
          <cell r="V54" t="str">
            <v>CNY</v>
          </cell>
          <cell r="W54">
            <v>10000</v>
          </cell>
          <cell r="X54">
            <v>10000</v>
          </cell>
        </row>
        <row r="55">
          <cell r="D55">
            <v>10100014263</v>
          </cell>
          <cell r="E55" t="str">
            <v>厚膜贴片电阻器</v>
          </cell>
          <cell r="F55">
            <v>10010302</v>
          </cell>
          <cell r="G55" t="str">
            <v>YAGEO\RES 390R F 1/16W 0402</v>
          </cell>
          <cell r="H55" t="str">
            <v>YAGEO(国巨)</v>
          </cell>
          <cell r="I55" t="str">
            <v>RC0402FR-07390RL</v>
          </cell>
          <cell r="J55">
            <v>100078</v>
          </cell>
          <cell r="K55" t="str">
            <v>深圳市超利维实业有限公司</v>
          </cell>
          <cell r="L55" t="str">
            <v>X</v>
          </cell>
          <cell r="M55" t="str">
            <v/>
          </cell>
          <cell r="N55">
            <v>1</v>
          </cell>
          <cell r="O55">
            <v>1.4E-3</v>
          </cell>
          <cell r="P55">
            <v>1.4</v>
          </cell>
          <cell r="Q55">
            <v>1.4</v>
          </cell>
          <cell r="R55">
            <v>1000</v>
          </cell>
          <cell r="S55" t="str">
            <v>PCS</v>
          </cell>
          <cell r="T55">
            <v>56</v>
          </cell>
          <cell r="U55" t="str">
            <v>J3</v>
          </cell>
          <cell r="V55" t="str">
            <v>CNY</v>
          </cell>
          <cell r="W55">
            <v>10000</v>
          </cell>
          <cell r="X55">
            <v>10000</v>
          </cell>
        </row>
        <row r="56">
          <cell r="D56">
            <v>10100014304</v>
          </cell>
          <cell r="E56" t="str">
            <v>厚膜贴片电阻器</v>
          </cell>
          <cell r="F56">
            <v>10010302</v>
          </cell>
          <cell r="G56" t="str">
            <v>WALS\RES 300K F 1/4W 1206</v>
          </cell>
          <cell r="H56" t="str">
            <v>WALS(华科)</v>
          </cell>
          <cell r="I56" t="str">
            <v>WR12X3003FTL</v>
          </cell>
          <cell r="J56">
            <v>100131</v>
          </cell>
          <cell r="K56" t="str">
            <v>东莞华科电子有限公司</v>
          </cell>
          <cell r="L56" t="str">
            <v>X</v>
          </cell>
          <cell r="M56" t="str">
            <v/>
          </cell>
          <cell r="N56">
            <v>1</v>
          </cell>
          <cell r="O56">
            <v>6.9499999999999996E-3</v>
          </cell>
          <cell r="P56">
            <v>6.95</v>
          </cell>
          <cell r="Q56">
            <v>6.95</v>
          </cell>
          <cell r="R56">
            <v>1000</v>
          </cell>
          <cell r="S56" t="str">
            <v>PCS</v>
          </cell>
          <cell r="T56">
            <v>70</v>
          </cell>
          <cell r="U56" t="str">
            <v>J3</v>
          </cell>
          <cell r="V56" t="str">
            <v>CNY</v>
          </cell>
          <cell r="W56">
            <v>5000</v>
          </cell>
          <cell r="X56">
            <v>5000</v>
          </cell>
        </row>
        <row r="57">
          <cell r="D57">
            <v>10100014735</v>
          </cell>
          <cell r="E57" t="str">
            <v>厚膜贴片电阻器</v>
          </cell>
          <cell r="F57">
            <v>10010302</v>
          </cell>
          <cell r="G57" t="str">
            <v>ROYA\RES 2K F 1/16W 0402</v>
          </cell>
          <cell r="H57" t="str">
            <v>ROYALOHM(厚声)</v>
          </cell>
          <cell r="I57" t="str">
            <v>0402WGF2001TCE</v>
          </cell>
          <cell r="J57">
            <v>100096</v>
          </cell>
          <cell r="K57" t="str">
            <v>厚声国际贸易（昆山）有限公司深圳分公司</v>
          </cell>
          <cell r="L57" t="str">
            <v>X</v>
          </cell>
          <cell r="M57" t="str">
            <v/>
          </cell>
          <cell r="N57">
            <v>1</v>
          </cell>
          <cell r="O57">
            <v>1.09E-3</v>
          </cell>
          <cell r="P57">
            <v>1.0900000000000001</v>
          </cell>
          <cell r="Q57">
            <v>1.0900000000000001</v>
          </cell>
          <cell r="R57">
            <v>1000</v>
          </cell>
          <cell r="S57" t="str">
            <v>PCS</v>
          </cell>
          <cell r="T57">
            <v>56</v>
          </cell>
          <cell r="U57" t="str">
            <v>J3</v>
          </cell>
          <cell r="V57" t="str">
            <v>CNY</v>
          </cell>
          <cell r="W57">
            <v>10000</v>
          </cell>
          <cell r="X57">
            <v>10000</v>
          </cell>
        </row>
        <row r="58">
          <cell r="D58">
            <v>10100015127</v>
          </cell>
          <cell r="E58" t="str">
            <v>厚膜贴片电阻器</v>
          </cell>
          <cell r="F58">
            <v>10010302</v>
          </cell>
          <cell r="G58" t="str">
            <v>ROYA\RES 100R F 1/4W 1206</v>
          </cell>
          <cell r="H58" t="str">
            <v>ROYALOHM(厚声)</v>
          </cell>
          <cell r="I58" t="str">
            <v>1206W4F1000T5E</v>
          </cell>
          <cell r="J58">
            <v>100096</v>
          </cell>
          <cell r="K58" t="str">
            <v>厚声国际贸易（昆山）有限公司深圳分公司</v>
          </cell>
          <cell r="L58" t="str">
            <v>X</v>
          </cell>
          <cell r="M58" t="str">
            <v/>
          </cell>
          <cell r="N58">
            <v>1</v>
          </cell>
          <cell r="O58">
            <v>6.7799999999999996E-3</v>
          </cell>
          <cell r="P58">
            <v>6.78</v>
          </cell>
          <cell r="Q58">
            <v>6.78</v>
          </cell>
          <cell r="R58">
            <v>1000</v>
          </cell>
          <cell r="S58" t="str">
            <v>PCS</v>
          </cell>
          <cell r="T58">
            <v>42</v>
          </cell>
          <cell r="U58" t="str">
            <v>J3</v>
          </cell>
          <cell r="V58" t="str">
            <v>CNY</v>
          </cell>
          <cell r="W58">
            <v>5000</v>
          </cell>
          <cell r="X58">
            <v>5000</v>
          </cell>
        </row>
        <row r="59">
          <cell r="D59">
            <v>10100017206</v>
          </cell>
          <cell r="E59" t="str">
            <v>厚膜贴片电阻器</v>
          </cell>
          <cell r="F59">
            <v>10010302</v>
          </cell>
          <cell r="G59" t="str">
            <v>ROYA\RES 300K F 1/4W 1206</v>
          </cell>
          <cell r="H59" t="str">
            <v>ROYALOHM(厚声)</v>
          </cell>
          <cell r="I59" t="str">
            <v>1206W4F3003T5E</v>
          </cell>
          <cell r="J59">
            <v>100096</v>
          </cell>
          <cell r="K59" t="str">
            <v>厚声国际贸易（昆山）有限公司深圳分公司</v>
          </cell>
          <cell r="L59" t="str">
            <v>X</v>
          </cell>
          <cell r="M59" t="str">
            <v/>
          </cell>
          <cell r="N59">
            <v>1</v>
          </cell>
          <cell r="O59">
            <v>6.7799999999999996E-3</v>
          </cell>
          <cell r="P59">
            <v>6.78</v>
          </cell>
          <cell r="Q59">
            <v>6.78</v>
          </cell>
          <cell r="R59">
            <v>1000</v>
          </cell>
          <cell r="S59" t="str">
            <v>PCS</v>
          </cell>
          <cell r="T59">
            <v>42</v>
          </cell>
          <cell r="U59" t="str">
            <v>J3</v>
          </cell>
          <cell r="V59" t="str">
            <v>CNY</v>
          </cell>
          <cell r="W59">
            <v>5000</v>
          </cell>
          <cell r="X59">
            <v>5000</v>
          </cell>
        </row>
        <row r="60">
          <cell r="D60">
            <v>10100017335</v>
          </cell>
          <cell r="E60" t="str">
            <v>厚膜贴片电阻器</v>
          </cell>
          <cell r="F60">
            <v>10010302</v>
          </cell>
          <cell r="G60" t="str">
            <v>ROYA\RES 22K F 1/16W 0402</v>
          </cell>
          <cell r="H60" t="str">
            <v>ROYALOHM(厚声)</v>
          </cell>
          <cell r="I60" t="str">
            <v>0402WGF2202TCE</v>
          </cell>
          <cell r="J60">
            <v>100096</v>
          </cell>
          <cell r="K60" t="str">
            <v>厚声国际贸易（昆山）有限公司深圳分公司</v>
          </cell>
          <cell r="L60" t="str">
            <v>X</v>
          </cell>
          <cell r="M60" t="str">
            <v/>
          </cell>
          <cell r="N60">
            <v>1</v>
          </cell>
          <cell r="O60">
            <v>1.09E-3</v>
          </cell>
          <cell r="P60">
            <v>1.0900000000000001</v>
          </cell>
          <cell r="Q60">
            <v>1.0900000000000001</v>
          </cell>
          <cell r="R60">
            <v>1000</v>
          </cell>
          <cell r="S60" t="str">
            <v>PCS</v>
          </cell>
          <cell r="T60">
            <v>42</v>
          </cell>
          <cell r="U60" t="str">
            <v>J3</v>
          </cell>
          <cell r="V60" t="str">
            <v>CNY</v>
          </cell>
          <cell r="W60">
            <v>10000</v>
          </cell>
          <cell r="X60">
            <v>10000</v>
          </cell>
        </row>
        <row r="61">
          <cell r="D61">
            <v>10100017409</v>
          </cell>
          <cell r="E61" t="str">
            <v>厚膜贴片电阻器</v>
          </cell>
          <cell r="F61">
            <v>10010302</v>
          </cell>
          <cell r="G61" t="str">
            <v>HKR\RES 100R F 1/4W 1206</v>
          </cell>
          <cell r="H61" t="str">
            <v>HKR(香港电阻)</v>
          </cell>
          <cell r="I61" t="str">
            <v>RCT06100RFLF</v>
          </cell>
          <cell r="J61">
            <v>100293</v>
          </cell>
          <cell r="K61" t="str">
            <v>恒辉电阻（益阳）有限公司</v>
          </cell>
          <cell r="L61" t="str">
            <v>X</v>
          </cell>
          <cell r="M61" t="str">
            <v/>
          </cell>
          <cell r="N61">
            <v>1</v>
          </cell>
          <cell r="O61">
            <v>5.5999999999999999E-3</v>
          </cell>
          <cell r="P61">
            <v>5.6</v>
          </cell>
          <cell r="Q61">
            <v>5.6</v>
          </cell>
          <cell r="R61">
            <v>1000</v>
          </cell>
          <cell r="S61" t="str">
            <v>PCS</v>
          </cell>
          <cell r="T61">
            <v>28</v>
          </cell>
          <cell r="U61" t="str">
            <v>J3</v>
          </cell>
          <cell r="V61" t="str">
            <v>CNY</v>
          </cell>
          <cell r="W61">
            <v>5000</v>
          </cell>
          <cell r="X61">
            <v>5000</v>
          </cell>
        </row>
        <row r="62">
          <cell r="D62">
            <v>10100017511</v>
          </cell>
          <cell r="E62" t="str">
            <v>厚膜贴片电阻器</v>
          </cell>
          <cell r="F62">
            <v>10010302</v>
          </cell>
          <cell r="G62" t="str">
            <v>HKR\RES 300K F 1/4W 1206</v>
          </cell>
          <cell r="H62" t="str">
            <v>HKR(香港电阻)</v>
          </cell>
          <cell r="I62" t="str">
            <v>RCT06300KFLF</v>
          </cell>
          <cell r="J62">
            <v>100293</v>
          </cell>
          <cell r="K62" t="str">
            <v>恒辉电阻（益阳）有限公司</v>
          </cell>
          <cell r="L62" t="str">
            <v>X</v>
          </cell>
          <cell r="M62" t="str">
            <v/>
          </cell>
          <cell r="N62">
            <v>1</v>
          </cell>
          <cell r="O62">
            <v>5.5999999999999999E-3</v>
          </cell>
          <cell r="P62">
            <v>5.6</v>
          </cell>
          <cell r="Q62">
            <v>5.6</v>
          </cell>
          <cell r="R62">
            <v>1000</v>
          </cell>
          <cell r="S62" t="str">
            <v>PCS</v>
          </cell>
          <cell r="T62">
            <v>42</v>
          </cell>
          <cell r="U62" t="str">
            <v>J3</v>
          </cell>
          <cell r="V62" t="str">
            <v>CNY</v>
          </cell>
          <cell r="W62">
            <v>5000</v>
          </cell>
          <cell r="X62">
            <v>5000</v>
          </cell>
        </row>
        <row r="63">
          <cell r="D63">
            <v>10100017548</v>
          </cell>
          <cell r="E63" t="str">
            <v>厚膜贴片电阻器</v>
          </cell>
          <cell r="F63">
            <v>10010302</v>
          </cell>
          <cell r="G63" t="str">
            <v>HKR\RES 470R F 1/4W 1206</v>
          </cell>
          <cell r="H63" t="str">
            <v>HKR(香港电阻)</v>
          </cell>
          <cell r="I63" t="str">
            <v>RCT06470RFLF</v>
          </cell>
          <cell r="J63">
            <v>100293</v>
          </cell>
          <cell r="K63" t="str">
            <v>恒辉电阻（益阳）有限公司</v>
          </cell>
          <cell r="L63" t="str">
            <v>X</v>
          </cell>
          <cell r="M63" t="str">
            <v/>
          </cell>
          <cell r="N63">
            <v>1</v>
          </cell>
          <cell r="O63">
            <v>5.5999999999999999E-3</v>
          </cell>
          <cell r="P63">
            <v>5.6</v>
          </cell>
          <cell r="Q63">
            <v>5.6</v>
          </cell>
          <cell r="R63">
            <v>1000</v>
          </cell>
          <cell r="S63" t="str">
            <v>PCS</v>
          </cell>
          <cell r="T63">
            <v>42</v>
          </cell>
          <cell r="U63" t="str">
            <v>J3</v>
          </cell>
          <cell r="V63" t="str">
            <v>CNY</v>
          </cell>
          <cell r="W63">
            <v>5000</v>
          </cell>
          <cell r="X63">
            <v>5000</v>
          </cell>
        </row>
        <row r="64">
          <cell r="D64">
            <v>10100017616</v>
          </cell>
          <cell r="E64" t="str">
            <v>厚膜贴片电阻器</v>
          </cell>
          <cell r="F64">
            <v>10010302</v>
          </cell>
          <cell r="G64" t="str">
            <v>HKR\RES 100R F 1/16W 0402</v>
          </cell>
          <cell r="H64" t="str">
            <v>HKR(香港电阻)</v>
          </cell>
          <cell r="I64" t="str">
            <v>RCT02100RFLF</v>
          </cell>
          <cell r="J64">
            <v>100293</v>
          </cell>
          <cell r="K64" t="str">
            <v>恒辉电阻（益阳）有限公司</v>
          </cell>
          <cell r="L64" t="str">
            <v>X</v>
          </cell>
          <cell r="M64" t="str">
            <v/>
          </cell>
          <cell r="N64">
            <v>1</v>
          </cell>
          <cell r="O64">
            <v>9.7999999999999997E-4</v>
          </cell>
          <cell r="P64">
            <v>0.98</v>
          </cell>
          <cell r="Q64">
            <v>0.98</v>
          </cell>
          <cell r="R64">
            <v>1000</v>
          </cell>
          <cell r="S64" t="str">
            <v>PCS</v>
          </cell>
          <cell r="T64">
            <v>42</v>
          </cell>
          <cell r="U64" t="str">
            <v>J3</v>
          </cell>
          <cell r="V64" t="str">
            <v>CNY</v>
          </cell>
          <cell r="W64">
            <v>10000</v>
          </cell>
          <cell r="X64">
            <v>10000</v>
          </cell>
        </row>
        <row r="65">
          <cell r="D65">
            <v>10100017618</v>
          </cell>
          <cell r="E65" t="str">
            <v>厚膜贴片电阻器</v>
          </cell>
          <cell r="F65">
            <v>10010302</v>
          </cell>
          <cell r="G65" t="str">
            <v>HKR\RES 10K F 1/16W 0402</v>
          </cell>
          <cell r="H65" t="str">
            <v>HKR(香港电阻)</v>
          </cell>
          <cell r="I65" t="str">
            <v>RCT0210KFLF</v>
          </cell>
          <cell r="J65">
            <v>100293</v>
          </cell>
          <cell r="K65" t="str">
            <v>恒辉电阻（益阳）有限公司</v>
          </cell>
          <cell r="L65" t="str">
            <v>X</v>
          </cell>
          <cell r="M65" t="str">
            <v/>
          </cell>
          <cell r="N65">
            <v>1</v>
          </cell>
          <cell r="O65">
            <v>9.7999999999999997E-4</v>
          </cell>
          <cell r="P65">
            <v>0.98</v>
          </cell>
          <cell r="Q65">
            <v>0.98</v>
          </cell>
          <cell r="R65">
            <v>1000</v>
          </cell>
          <cell r="S65" t="str">
            <v>PCS</v>
          </cell>
          <cell r="T65">
            <v>42</v>
          </cell>
          <cell r="U65" t="str">
            <v>J3</v>
          </cell>
          <cell r="V65" t="str">
            <v>CNY</v>
          </cell>
          <cell r="W65">
            <v>10000</v>
          </cell>
          <cell r="X65">
            <v>10000</v>
          </cell>
        </row>
        <row r="66">
          <cell r="D66">
            <v>10100017642</v>
          </cell>
          <cell r="E66" t="str">
            <v>厚膜贴片电阻器</v>
          </cell>
          <cell r="F66">
            <v>10010302</v>
          </cell>
          <cell r="G66" t="str">
            <v>HKR\RES 1K F 1/16W 0402</v>
          </cell>
          <cell r="H66" t="str">
            <v>HKR(香港电阻)</v>
          </cell>
          <cell r="I66" t="str">
            <v>RCT021KFLF</v>
          </cell>
          <cell r="J66">
            <v>100293</v>
          </cell>
          <cell r="K66" t="str">
            <v>恒辉电阻（益阳）有限公司</v>
          </cell>
          <cell r="L66" t="str">
            <v>X</v>
          </cell>
          <cell r="M66" t="str">
            <v/>
          </cell>
          <cell r="N66">
            <v>1</v>
          </cell>
          <cell r="O66">
            <v>9.7999999999999997E-4</v>
          </cell>
          <cell r="P66">
            <v>0.98</v>
          </cell>
          <cell r="Q66">
            <v>0.98</v>
          </cell>
          <cell r="R66">
            <v>1000</v>
          </cell>
          <cell r="S66" t="str">
            <v>PCS</v>
          </cell>
          <cell r="T66">
            <v>42</v>
          </cell>
          <cell r="U66" t="str">
            <v>J3</v>
          </cell>
          <cell r="V66" t="str">
            <v>CNY</v>
          </cell>
          <cell r="W66">
            <v>10000</v>
          </cell>
          <cell r="X66">
            <v>10000</v>
          </cell>
        </row>
        <row r="67">
          <cell r="D67">
            <v>10100017664</v>
          </cell>
          <cell r="E67" t="str">
            <v>厚膜贴片电阻器</v>
          </cell>
          <cell r="F67">
            <v>10010302</v>
          </cell>
          <cell r="G67" t="str">
            <v>HKR\RES 22K F 1/16W 0402</v>
          </cell>
          <cell r="H67" t="str">
            <v>HKR(香港电阻)</v>
          </cell>
          <cell r="I67" t="str">
            <v>RCT0222KFLF</v>
          </cell>
          <cell r="J67">
            <v>100293</v>
          </cell>
          <cell r="K67" t="str">
            <v>恒辉电阻（益阳）有限公司</v>
          </cell>
          <cell r="L67" t="str">
            <v>X</v>
          </cell>
          <cell r="M67" t="str">
            <v/>
          </cell>
          <cell r="N67">
            <v>1</v>
          </cell>
          <cell r="O67">
            <v>9.7999999999999997E-4</v>
          </cell>
          <cell r="P67">
            <v>0.98</v>
          </cell>
          <cell r="Q67">
            <v>0.98</v>
          </cell>
          <cell r="R67">
            <v>1000</v>
          </cell>
          <cell r="S67" t="str">
            <v>PCS</v>
          </cell>
          <cell r="T67">
            <v>42</v>
          </cell>
          <cell r="U67" t="str">
            <v>J3</v>
          </cell>
          <cell r="V67" t="str">
            <v>CNY</v>
          </cell>
          <cell r="W67">
            <v>10000</v>
          </cell>
          <cell r="X67">
            <v>10000</v>
          </cell>
        </row>
        <row r="68">
          <cell r="D68">
            <v>10100017679</v>
          </cell>
          <cell r="E68" t="str">
            <v>厚膜贴片电阻器</v>
          </cell>
          <cell r="F68">
            <v>10010302</v>
          </cell>
          <cell r="G68" t="str">
            <v>HKR\RES 2K F 1/16W 0402</v>
          </cell>
          <cell r="H68" t="str">
            <v>HKR(香港电阻)</v>
          </cell>
          <cell r="I68" t="str">
            <v>RCT022KFLF</v>
          </cell>
          <cell r="J68">
            <v>100293</v>
          </cell>
          <cell r="K68" t="str">
            <v>恒辉电阻（益阳）有限公司</v>
          </cell>
          <cell r="L68" t="str">
            <v>X</v>
          </cell>
          <cell r="M68" t="str">
            <v/>
          </cell>
          <cell r="N68">
            <v>1</v>
          </cell>
          <cell r="O68">
            <v>9.7999999999999997E-4</v>
          </cell>
          <cell r="P68">
            <v>0.98</v>
          </cell>
          <cell r="Q68">
            <v>0.98</v>
          </cell>
          <cell r="R68">
            <v>1000</v>
          </cell>
          <cell r="S68" t="str">
            <v>PCS</v>
          </cell>
          <cell r="T68">
            <v>42</v>
          </cell>
          <cell r="U68" t="str">
            <v>J3</v>
          </cell>
          <cell r="V68" t="str">
            <v>CNY</v>
          </cell>
          <cell r="W68">
            <v>10000</v>
          </cell>
          <cell r="X68">
            <v>10000</v>
          </cell>
        </row>
        <row r="69">
          <cell r="D69">
            <v>10100017738</v>
          </cell>
          <cell r="E69" t="str">
            <v>厚膜贴片电阻器</v>
          </cell>
          <cell r="F69">
            <v>10010302</v>
          </cell>
          <cell r="G69" t="str">
            <v>HKR\RES 5.1K F 1/16W 0402</v>
          </cell>
          <cell r="H69" t="str">
            <v>HKR(香港电阻)</v>
          </cell>
          <cell r="I69" t="str">
            <v>RCT025K1FLF</v>
          </cell>
          <cell r="J69">
            <v>100293</v>
          </cell>
          <cell r="K69" t="str">
            <v>恒辉电阻（益阳）有限公司</v>
          </cell>
          <cell r="L69" t="str">
            <v>X</v>
          </cell>
          <cell r="M69" t="str">
            <v/>
          </cell>
          <cell r="N69">
            <v>1</v>
          </cell>
          <cell r="O69">
            <v>9.7999999999999997E-4</v>
          </cell>
          <cell r="P69">
            <v>0.98</v>
          </cell>
          <cell r="Q69">
            <v>0.98</v>
          </cell>
          <cell r="R69">
            <v>1000</v>
          </cell>
          <cell r="S69" t="str">
            <v>PCS</v>
          </cell>
          <cell r="T69">
            <v>42</v>
          </cell>
          <cell r="U69" t="str">
            <v>J3</v>
          </cell>
          <cell r="V69" t="str">
            <v>CNY</v>
          </cell>
          <cell r="W69">
            <v>10000</v>
          </cell>
          <cell r="X69">
            <v>10000</v>
          </cell>
        </row>
        <row r="70">
          <cell r="D70">
            <v>10100017741</v>
          </cell>
          <cell r="E70" t="str">
            <v>厚膜贴片电阻器</v>
          </cell>
          <cell r="F70">
            <v>10010302</v>
          </cell>
          <cell r="G70" t="str">
            <v>HKR\RES 5.6K F 1/16W 0402</v>
          </cell>
          <cell r="H70" t="str">
            <v>HKR(香港电阻)</v>
          </cell>
          <cell r="I70" t="str">
            <v>RCT025K6FLF</v>
          </cell>
          <cell r="J70">
            <v>100293</v>
          </cell>
          <cell r="K70" t="str">
            <v>恒辉电阻（益阳）有限公司</v>
          </cell>
          <cell r="L70" t="str">
            <v>X</v>
          </cell>
          <cell r="M70" t="str">
            <v/>
          </cell>
          <cell r="N70">
            <v>1</v>
          </cell>
          <cell r="O70">
            <v>9.7999999999999997E-4</v>
          </cell>
          <cell r="P70">
            <v>0.98</v>
          </cell>
          <cell r="Q70">
            <v>0.98</v>
          </cell>
          <cell r="R70">
            <v>1000</v>
          </cell>
          <cell r="S70" t="str">
            <v>PCS</v>
          </cell>
          <cell r="T70">
            <v>42</v>
          </cell>
          <cell r="U70" t="str">
            <v>J3</v>
          </cell>
          <cell r="V70" t="str">
            <v>CNY</v>
          </cell>
          <cell r="W70">
            <v>10000</v>
          </cell>
          <cell r="X70">
            <v>10000</v>
          </cell>
        </row>
        <row r="71">
          <cell r="D71">
            <v>10100017764</v>
          </cell>
          <cell r="E71" t="str">
            <v>厚膜贴片电阻器</v>
          </cell>
          <cell r="F71">
            <v>10010302</v>
          </cell>
          <cell r="G71" t="str">
            <v>HKR\RES 9.1K F 1/16W 0402</v>
          </cell>
          <cell r="H71" t="str">
            <v>HKR(香港电阻)</v>
          </cell>
          <cell r="I71" t="str">
            <v>RCT029K1FLF</v>
          </cell>
          <cell r="J71">
            <v>100293</v>
          </cell>
          <cell r="K71" t="str">
            <v>恒辉电阻（益阳）有限公司</v>
          </cell>
          <cell r="L71" t="str">
            <v>X</v>
          </cell>
          <cell r="M71" t="str">
            <v/>
          </cell>
          <cell r="N71">
            <v>1</v>
          </cell>
          <cell r="O71">
            <v>9.7999999999999997E-4</v>
          </cell>
          <cell r="P71">
            <v>0.98</v>
          </cell>
          <cell r="Q71">
            <v>0.98</v>
          </cell>
          <cell r="R71">
            <v>1000</v>
          </cell>
          <cell r="S71" t="str">
            <v>PCS</v>
          </cell>
          <cell r="T71">
            <v>42</v>
          </cell>
          <cell r="U71" t="str">
            <v>J3</v>
          </cell>
          <cell r="V71" t="str">
            <v>CNY</v>
          </cell>
          <cell r="W71">
            <v>10000</v>
          </cell>
          <cell r="X71">
            <v>10000</v>
          </cell>
        </row>
        <row r="72">
          <cell r="D72">
            <v>10100017881</v>
          </cell>
          <cell r="E72" t="str">
            <v>厚膜贴片电阻器</v>
          </cell>
          <cell r="F72">
            <v>10010302</v>
          </cell>
          <cell r="G72" t="str">
            <v>HKR\RES 2.2K F 1/10W 0603</v>
          </cell>
          <cell r="H72" t="str">
            <v>HKR(香港电阻)</v>
          </cell>
          <cell r="I72" t="str">
            <v>RCT032K2FLF</v>
          </cell>
          <cell r="J72">
            <v>100293</v>
          </cell>
          <cell r="K72" t="str">
            <v>恒辉电阻（益阳）有限公司</v>
          </cell>
          <cell r="L72" t="str">
            <v>X</v>
          </cell>
          <cell r="M72" t="str">
            <v/>
          </cell>
          <cell r="N72">
            <v>1</v>
          </cell>
          <cell r="O72">
            <v>1.8500000000000001E-3</v>
          </cell>
          <cell r="P72">
            <v>1.85</v>
          </cell>
          <cell r="Q72">
            <v>1.85</v>
          </cell>
          <cell r="R72">
            <v>1000</v>
          </cell>
          <cell r="S72" t="str">
            <v>PCS</v>
          </cell>
          <cell r="T72">
            <v>42</v>
          </cell>
          <cell r="U72" t="str">
            <v>J3</v>
          </cell>
          <cell r="V72" t="str">
            <v>CNY</v>
          </cell>
          <cell r="W72">
            <v>5000</v>
          </cell>
          <cell r="X72">
            <v>5000</v>
          </cell>
        </row>
        <row r="73">
          <cell r="D73">
            <v>10100017970</v>
          </cell>
          <cell r="E73" t="str">
            <v>厚膜贴片电阻器</v>
          </cell>
          <cell r="F73">
            <v>10010302</v>
          </cell>
          <cell r="G73" t="str">
            <v>HKR\RES 4.7K F 1/10W 0603</v>
          </cell>
          <cell r="H73" t="str">
            <v>HKR(香港电阻)</v>
          </cell>
          <cell r="I73" t="str">
            <v>RCT034K7FLF</v>
          </cell>
          <cell r="J73">
            <v>100293</v>
          </cell>
          <cell r="K73" t="str">
            <v>恒辉电阻（益阳）有限公司</v>
          </cell>
          <cell r="L73" t="str">
            <v>X</v>
          </cell>
          <cell r="M73" t="str">
            <v/>
          </cell>
          <cell r="N73">
            <v>1</v>
          </cell>
          <cell r="O73">
            <v>1.8500000000000001E-3</v>
          </cell>
          <cell r="P73">
            <v>1.85</v>
          </cell>
          <cell r="Q73">
            <v>1.85</v>
          </cell>
          <cell r="R73">
            <v>1000</v>
          </cell>
          <cell r="S73" t="str">
            <v>PCS</v>
          </cell>
          <cell r="T73">
            <v>42</v>
          </cell>
          <cell r="U73" t="str">
            <v>J3</v>
          </cell>
          <cell r="V73" t="str">
            <v>CNY</v>
          </cell>
          <cell r="W73">
            <v>5000</v>
          </cell>
          <cell r="X73">
            <v>5000</v>
          </cell>
        </row>
        <row r="74">
          <cell r="D74">
            <v>10100018011</v>
          </cell>
          <cell r="E74" t="str">
            <v>厚膜贴片电阻器</v>
          </cell>
          <cell r="F74">
            <v>10010302</v>
          </cell>
          <cell r="G74" t="str">
            <v>HKR\RES 68K F 1/10W 0603</v>
          </cell>
          <cell r="H74" t="str">
            <v>HKR(香港电阻)</v>
          </cell>
          <cell r="I74" t="str">
            <v>RCT0368KFLF</v>
          </cell>
          <cell r="J74">
            <v>100293</v>
          </cell>
          <cell r="K74" t="str">
            <v>恒辉电阻（益阳）有限公司</v>
          </cell>
          <cell r="L74" t="str">
            <v>X</v>
          </cell>
          <cell r="M74" t="str">
            <v/>
          </cell>
          <cell r="N74">
            <v>1</v>
          </cell>
          <cell r="O74">
            <v>1.8500000000000001E-3</v>
          </cell>
          <cell r="P74">
            <v>1.85</v>
          </cell>
          <cell r="Q74">
            <v>1.85</v>
          </cell>
          <cell r="R74">
            <v>1000</v>
          </cell>
          <cell r="S74" t="str">
            <v>PCS</v>
          </cell>
          <cell r="T74">
            <v>42</v>
          </cell>
          <cell r="U74" t="str">
            <v>J3</v>
          </cell>
          <cell r="V74" t="str">
            <v>CNY</v>
          </cell>
          <cell r="W74">
            <v>5000</v>
          </cell>
          <cell r="X74">
            <v>5000</v>
          </cell>
        </row>
        <row r="75">
          <cell r="D75">
            <v>10100018109</v>
          </cell>
          <cell r="E75" t="str">
            <v>厚膜贴片电阻器</v>
          </cell>
          <cell r="F75">
            <v>10010302</v>
          </cell>
          <cell r="G75" t="str">
            <v>HKR\RES 1K F 1/8W 0805</v>
          </cell>
          <cell r="H75" t="str">
            <v>HKR(香港电阻)</v>
          </cell>
          <cell r="I75" t="str">
            <v>RCT051KFLF</v>
          </cell>
          <cell r="J75">
            <v>100293</v>
          </cell>
          <cell r="K75" t="str">
            <v>恒辉电阻（益阳）有限公司</v>
          </cell>
          <cell r="L75" t="str">
            <v>X</v>
          </cell>
          <cell r="M75" t="str">
            <v/>
          </cell>
          <cell r="N75">
            <v>1</v>
          </cell>
          <cell r="O75">
            <v>3.3500000000000001E-3</v>
          </cell>
          <cell r="P75">
            <v>3.35</v>
          </cell>
          <cell r="Q75">
            <v>3.35</v>
          </cell>
          <cell r="R75">
            <v>1000</v>
          </cell>
          <cell r="S75" t="str">
            <v>PCS</v>
          </cell>
          <cell r="T75">
            <v>42</v>
          </cell>
          <cell r="U75" t="str">
            <v>J3</v>
          </cell>
          <cell r="V75" t="str">
            <v>CNY</v>
          </cell>
          <cell r="W75">
            <v>5000</v>
          </cell>
          <cell r="X75">
            <v>5000</v>
          </cell>
        </row>
        <row r="76">
          <cell r="D76">
            <v>10100018253</v>
          </cell>
          <cell r="E76" t="str">
            <v>厚膜贴片电阻器</v>
          </cell>
          <cell r="F76">
            <v>10010302</v>
          </cell>
          <cell r="G76" t="str">
            <v>HKR\RES 5.1K F 1/8W 0805</v>
          </cell>
          <cell r="H76" t="str">
            <v>HKR(香港电阻)</v>
          </cell>
          <cell r="I76" t="str">
            <v>RCT055K1FLF</v>
          </cell>
          <cell r="J76">
            <v>100293</v>
          </cell>
          <cell r="K76" t="str">
            <v>恒辉电阻（益阳）有限公司</v>
          </cell>
          <cell r="L76" t="str">
            <v>X</v>
          </cell>
          <cell r="M76" t="str">
            <v/>
          </cell>
          <cell r="N76">
            <v>1</v>
          </cell>
          <cell r="O76">
            <v>3.3500000000000001E-3</v>
          </cell>
          <cell r="P76">
            <v>3.35</v>
          </cell>
          <cell r="Q76">
            <v>3.35</v>
          </cell>
          <cell r="R76">
            <v>1000</v>
          </cell>
          <cell r="S76" t="str">
            <v>PCS</v>
          </cell>
          <cell r="T76">
            <v>42</v>
          </cell>
          <cell r="U76" t="str">
            <v>J3</v>
          </cell>
          <cell r="V76" t="str">
            <v>CNY</v>
          </cell>
          <cell r="W76">
            <v>5000</v>
          </cell>
          <cell r="X76">
            <v>5000</v>
          </cell>
        </row>
        <row r="77">
          <cell r="D77">
            <v>10100018399</v>
          </cell>
          <cell r="E77" t="str">
            <v>厚膜贴片电阻器</v>
          </cell>
          <cell r="F77">
            <v>10010302</v>
          </cell>
          <cell r="G77" t="str">
            <v>HKR\RES 390R F 1/16W 0402</v>
          </cell>
          <cell r="H77" t="str">
            <v>HKR(香港电阻)</v>
          </cell>
          <cell r="I77" t="str">
            <v>RCT02390RFLF</v>
          </cell>
          <cell r="J77">
            <v>100293</v>
          </cell>
          <cell r="K77" t="str">
            <v>恒辉电阻（益阳）有限公司</v>
          </cell>
          <cell r="L77" t="str">
            <v>X</v>
          </cell>
          <cell r="M77" t="str">
            <v/>
          </cell>
          <cell r="N77">
            <v>1</v>
          </cell>
          <cell r="O77">
            <v>9.7999999999999997E-4</v>
          </cell>
          <cell r="P77">
            <v>0.98</v>
          </cell>
          <cell r="Q77">
            <v>0.98</v>
          </cell>
          <cell r="R77">
            <v>1000</v>
          </cell>
          <cell r="S77" t="str">
            <v>PCS</v>
          </cell>
          <cell r="T77">
            <v>42</v>
          </cell>
          <cell r="U77" t="str">
            <v>J3</v>
          </cell>
          <cell r="V77" t="str">
            <v>CNY</v>
          </cell>
          <cell r="W77">
            <v>10000</v>
          </cell>
          <cell r="X77">
            <v>10000</v>
          </cell>
        </row>
        <row r="78">
          <cell r="D78">
            <v>10100019075</v>
          </cell>
          <cell r="E78" t="str">
            <v>厚膜贴片电阻器</v>
          </cell>
          <cell r="F78">
            <v>10010302</v>
          </cell>
          <cell r="G78" t="str">
            <v>ROYA\RES 390R F 1/16W 0402</v>
          </cell>
          <cell r="H78" t="str">
            <v>ROYALOHM(厚声)</v>
          </cell>
          <cell r="I78" t="str">
            <v>0402WGF3900TCE</v>
          </cell>
          <cell r="J78">
            <v>100096</v>
          </cell>
          <cell r="K78" t="str">
            <v>厚声国际贸易（昆山）有限公司深圳分公司</v>
          </cell>
          <cell r="L78" t="str">
            <v>X</v>
          </cell>
          <cell r="M78" t="str">
            <v/>
          </cell>
          <cell r="N78">
            <v>1</v>
          </cell>
          <cell r="O78">
            <v>1.09E-3</v>
          </cell>
          <cell r="P78">
            <v>1.0900000000000001</v>
          </cell>
          <cell r="Q78">
            <v>1.0900000000000001</v>
          </cell>
          <cell r="R78">
            <v>1000</v>
          </cell>
          <cell r="S78" t="str">
            <v>PCS</v>
          </cell>
          <cell r="T78">
            <v>42</v>
          </cell>
          <cell r="U78" t="str">
            <v>J3</v>
          </cell>
          <cell r="V78" t="str">
            <v>CNY</v>
          </cell>
          <cell r="W78">
            <v>10000</v>
          </cell>
          <cell r="X78">
            <v>10000</v>
          </cell>
        </row>
        <row r="79">
          <cell r="D79">
            <v>10100019134</v>
          </cell>
          <cell r="E79" t="str">
            <v>厚膜贴片电阻器</v>
          </cell>
          <cell r="F79">
            <v>10010302</v>
          </cell>
          <cell r="G79" t="str">
            <v>HKR\RES 11K F 1/16W 0402</v>
          </cell>
          <cell r="H79" t="str">
            <v>HKR(香港电阻)</v>
          </cell>
          <cell r="I79" t="str">
            <v>RCT0211KFLF</v>
          </cell>
          <cell r="J79">
            <v>100293</v>
          </cell>
          <cell r="K79" t="str">
            <v>恒辉电阻（益阳）有限公司</v>
          </cell>
          <cell r="L79" t="str">
            <v>X</v>
          </cell>
          <cell r="M79" t="str">
            <v/>
          </cell>
          <cell r="N79">
            <v>1</v>
          </cell>
          <cell r="O79">
            <v>9.7999999999999997E-4</v>
          </cell>
          <cell r="P79">
            <v>0.98</v>
          </cell>
          <cell r="Q79">
            <v>0.98</v>
          </cell>
          <cell r="R79">
            <v>1000</v>
          </cell>
          <cell r="S79" t="str">
            <v>PCS</v>
          </cell>
          <cell r="T79">
            <v>42</v>
          </cell>
          <cell r="U79" t="str">
            <v>J3</v>
          </cell>
          <cell r="V79" t="str">
            <v>CNY</v>
          </cell>
          <cell r="W79">
            <v>10000</v>
          </cell>
          <cell r="X79">
            <v>10000</v>
          </cell>
        </row>
        <row r="80">
          <cell r="D80">
            <v>10100022516</v>
          </cell>
          <cell r="E80" t="str">
            <v>厚膜贴片电阻器</v>
          </cell>
          <cell r="F80">
            <v>10010302</v>
          </cell>
          <cell r="G80" t="str">
            <v>ROYA\RES 11K F 1/16W 0402</v>
          </cell>
          <cell r="H80" t="str">
            <v>ROYALOHM(厚声)</v>
          </cell>
          <cell r="I80" t="str">
            <v>0402WGF1102TCE</v>
          </cell>
          <cell r="J80">
            <v>100096</v>
          </cell>
          <cell r="K80" t="str">
            <v>厚声国际贸易（昆山）有限公司深圳分公司</v>
          </cell>
          <cell r="L80" t="str">
            <v>X</v>
          </cell>
          <cell r="M80" t="str">
            <v/>
          </cell>
          <cell r="N80">
            <v>1</v>
          </cell>
          <cell r="O80">
            <v>1.09E-3</v>
          </cell>
          <cell r="P80">
            <v>1.0900000000000001</v>
          </cell>
          <cell r="Q80">
            <v>1.0900000000000001</v>
          </cell>
          <cell r="R80">
            <v>1000</v>
          </cell>
          <cell r="S80" t="str">
            <v>PCS</v>
          </cell>
          <cell r="T80">
            <v>42</v>
          </cell>
          <cell r="U80" t="str">
            <v>J3</v>
          </cell>
          <cell r="V80" t="str">
            <v>CNY</v>
          </cell>
          <cell r="W80">
            <v>10000</v>
          </cell>
          <cell r="X80">
            <v>10000</v>
          </cell>
        </row>
        <row r="81">
          <cell r="D81">
            <v>10100024187</v>
          </cell>
          <cell r="E81" t="str">
            <v>厚膜贴片电阻器</v>
          </cell>
          <cell r="F81">
            <v>10010302</v>
          </cell>
          <cell r="G81" t="str">
            <v>ROYA\RES 470R F 1/4W 1206</v>
          </cell>
          <cell r="H81" t="str">
            <v>ROYALOHM(厚声)</v>
          </cell>
          <cell r="I81" t="str">
            <v>1206W4F4700T5E</v>
          </cell>
          <cell r="J81">
            <v>100096</v>
          </cell>
          <cell r="K81" t="str">
            <v>厚声国际贸易（昆山）有限公司深圳分公司</v>
          </cell>
          <cell r="L81" t="str">
            <v>X</v>
          </cell>
          <cell r="M81" t="str">
            <v/>
          </cell>
          <cell r="N81">
            <v>1</v>
          </cell>
          <cell r="O81">
            <v>6.7799999999999996E-3</v>
          </cell>
          <cell r="P81">
            <v>6.78</v>
          </cell>
          <cell r="Q81">
            <v>6.78</v>
          </cell>
          <cell r="R81">
            <v>1000</v>
          </cell>
          <cell r="S81" t="str">
            <v>PCS</v>
          </cell>
          <cell r="T81">
            <v>42</v>
          </cell>
          <cell r="U81" t="str">
            <v>J3</v>
          </cell>
          <cell r="V81" t="str">
            <v>CNY</v>
          </cell>
          <cell r="W81">
            <v>5000</v>
          </cell>
          <cell r="X81">
            <v>5000</v>
          </cell>
        </row>
        <row r="82">
          <cell r="D82">
            <v>10100026554</v>
          </cell>
          <cell r="E82" t="str">
            <v>厚膜贴片电阻器</v>
          </cell>
          <cell r="F82">
            <v>10010302</v>
          </cell>
          <cell r="G82" t="str">
            <v>FH\RES 300K F 1/4W 1206</v>
          </cell>
          <cell r="H82" t="str">
            <v>FH(风华)</v>
          </cell>
          <cell r="I82" t="str">
            <v>RS-06K3003FT</v>
          </cell>
          <cell r="J82">
            <v>100654</v>
          </cell>
          <cell r="K82" t="str">
            <v>广东风华高新科技股份有限公司</v>
          </cell>
          <cell r="L82" t="str">
            <v>X</v>
          </cell>
          <cell r="M82" t="str">
            <v/>
          </cell>
          <cell r="N82">
            <v>1</v>
          </cell>
          <cell r="O82">
            <v>6.4999999999999997E-3</v>
          </cell>
          <cell r="P82">
            <v>6.5</v>
          </cell>
          <cell r="Q82">
            <v>6.5</v>
          </cell>
          <cell r="R82">
            <v>1000</v>
          </cell>
          <cell r="S82" t="str">
            <v>PCS</v>
          </cell>
          <cell r="T82">
            <v>42</v>
          </cell>
          <cell r="U82" t="str">
            <v>J3</v>
          </cell>
          <cell r="V82" t="str">
            <v>CNY</v>
          </cell>
          <cell r="W82">
            <v>5000</v>
          </cell>
          <cell r="X82">
            <v>5000</v>
          </cell>
        </row>
        <row r="83">
          <cell r="D83">
            <v>10110003896</v>
          </cell>
          <cell r="E83" t="str">
            <v>贴片陶瓷电容器</v>
          </cell>
          <cell r="F83">
            <v>11060201</v>
          </cell>
          <cell r="G83" t="str">
            <v>YAGEO\CAP Cer 1nF K X7R 50VDC 0402</v>
          </cell>
          <cell r="H83" t="str">
            <v>YAGEO(国巨)</v>
          </cell>
          <cell r="I83" t="str">
            <v>CC0402KRX7R9BB102</v>
          </cell>
          <cell r="J83">
            <v>101553</v>
          </cell>
          <cell r="K83" t="str">
            <v>深圳市奥特高科电子有限公司</v>
          </cell>
          <cell r="L83" t="str">
            <v>X</v>
          </cell>
          <cell r="M83" t="str">
            <v/>
          </cell>
          <cell r="N83">
            <v>1</v>
          </cell>
          <cell r="O83">
            <v>2.3E-3</v>
          </cell>
          <cell r="P83">
            <v>2.2999999999999998</v>
          </cell>
          <cell r="Q83">
            <v>2.2999999999999998</v>
          </cell>
          <cell r="R83">
            <v>1000</v>
          </cell>
          <cell r="S83" t="str">
            <v>PCS</v>
          </cell>
          <cell r="T83">
            <v>56</v>
          </cell>
          <cell r="U83" t="str">
            <v>J3</v>
          </cell>
          <cell r="V83" t="str">
            <v>CNY</v>
          </cell>
          <cell r="W83">
            <v>10000</v>
          </cell>
          <cell r="X83">
            <v>10000</v>
          </cell>
        </row>
        <row r="84">
          <cell r="D84">
            <v>10110003897</v>
          </cell>
          <cell r="E84" t="str">
            <v>贴片陶瓷电容器</v>
          </cell>
          <cell r="F84">
            <v>11060201</v>
          </cell>
          <cell r="G84" t="str">
            <v>YAGEO\CAP Cer 10nF K X7R 50VDC 0402</v>
          </cell>
          <cell r="H84" t="str">
            <v>YAGEO(国巨)</v>
          </cell>
          <cell r="I84" t="str">
            <v>CC0402KRX7R9BB103</v>
          </cell>
          <cell r="J84">
            <v>101553</v>
          </cell>
          <cell r="K84" t="str">
            <v>深圳市奥特高科电子有限公司</v>
          </cell>
          <cell r="L84" t="str">
            <v>X</v>
          </cell>
          <cell r="M84" t="str">
            <v/>
          </cell>
          <cell r="N84">
            <v>1</v>
          </cell>
          <cell r="O84">
            <v>2.2000000000000001E-3</v>
          </cell>
          <cell r="P84">
            <v>2.2000000000000002</v>
          </cell>
          <cell r="Q84">
            <v>2.2000000000000002</v>
          </cell>
          <cell r="R84">
            <v>1000</v>
          </cell>
          <cell r="S84" t="str">
            <v>PCS</v>
          </cell>
          <cell r="T84">
            <v>56</v>
          </cell>
          <cell r="U84" t="str">
            <v>J3</v>
          </cell>
          <cell r="V84" t="str">
            <v>CNY</v>
          </cell>
          <cell r="W84">
            <v>10000</v>
          </cell>
          <cell r="X84">
            <v>10000</v>
          </cell>
        </row>
        <row r="85">
          <cell r="D85">
            <v>10110004676</v>
          </cell>
          <cell r="E85" t="str">
            <v>贴片陶瓷电容器</v>
          </cell>
          <cell r="F85">
            <v>11060201</v>
          </cell>
          <cell r="G85" t="str">
            <v>WALS\CAP Cer 10nF K X7R 50VDC 0402</v>
          </cell>
          <cell r="H85" t="str">
            <v>WALS(华科)</v>
          </cell>
          <cell r="I85" t="str">
            <v>0402B103K500CT</v>
          </cell>
          <cell r="J85">
            <v>100131</v>
          </cell>
          <cell r="K85" t="str">
            <v>东莞华科电子有限公司</v>
          </cell>
          <cell r="L85" t="str">
            <v>X</v>
          </cell>
          <cell r="M85" t="str">
            <v/>
          </cell>
          <cell r="N85">
            <v>1</v>
          </cell>
          <cell r="O85">
            <v>1.98E-3</v>
          </cell>
          <cell r="P85">
            <v>1.98</v>
          </cell>
          <cell r="Q85">
            <v>1.98</v>
          </cell>
          <cell r="R85">
            <v>1000</v>
          </cell>
          <cell r="S85" t="str">
            <v>PCS</v>
          </cell>
          <cell r="T85">
            <v>56</v>
          </cell>
          <cell r="U85" t="str">
            <v>J3</v>
          </cell>
          <cell r="V85" t="str">
            <v>CNY</v>
          </cell>
          <cell r="W85">
            <v>10000</v>
          </cell>
          <cell r="X85">
            <v>10000</v>
          </cell>
        </row>
        <row r="86">
          <cell r="D86">
            <v>10110005377</v>
          </cell>
          <cell r="E86" t="str">
            <v>贴片陶瓷电容器</v>
          </cell>
          <cell r="F86">
            <v>11060201</v>
          </cell>
          <cell r="G86" t="str">
            <v>WALS\CAP Cer 100pF K X7R 50VDC 0402</v>
          </cell>
          <cell r="H86" t="str">
            <v>WALS(华科)</v>
          </cell>
          <cell r="I86" t="str">
            <v>0402B101K500CT</v>
          </cell>
          <cell r="J86">
            <v>101751</v>
          </cell>
          <cell r="K86" t="str">
            <v>深圳市巨新科电子有限公司</v>
          </cell>
          <cell r="L86" t="str">
            <v>X</v>
          </cell>
          <cell r="M86" t="str">
            <v/>
          </cell>
          <cell r="N86">
            <v>1</v>
          </cell>
          <cell r="O86">
            <v>2.98E-3</v>
          </cell>
          <cell r="P86">
            <v>2.98</v>
          </cell>
          <cell r="Q86">
            <v>2.98</v>
          </cell>
          <cell r="R86">
            <v>1000</v>
          </cell>
          <cell r="S86" t="str">
            <v>PCS</v>
          </cell>
          <cell r="T86">
            <v>90</v>
          </cell>
          <cell r="U86" t="str">
            <v>J3</v>
          </cell>
          <cell r="V86" t="str">
            <v>CNY</v>
          </cell>
          <cell r="W86">
            <v>10000</v>
          </cell>
          <cell r="X86">
            <v>10000</v>
          </cell>
        </row>
        <row r="87">
          <cell r="D87">
            <v>10110005378</v>
          </cell>
          <cell r="E87" t="str">
            <v>贴片陶瓷电容器</v>
          </cell>
          <cell r="F87">
            <v>11060201</v>
          </cell>
          <cell r="G87" t="str">
            <v>YAGEO\CAP Cer 100pF K X7R 50VDC 0402</v>
          </cell>
          <cell r="H87" t="str">
            <v>YAGEO(国巨)</v>
          </cell>
          <cell r="I87" t="str">
            <v>CC0402KRX7R9BB101</v>
          </cell>
          <cell r="J87">
            <v>100621</v>
          </cell>
          <cell r="K87" t="str">
            <v>深圳市吉利通电子有限公司</v>
          </cell>
          <cell r="L87" t="str">
            <v>X</v>
          </cell>
          <cell r="M87" t="str">
            <v/>
          </cell>
          <cell r="N87">
            <v>1</v>
          </cell>
          <cell r="O87">
            <v>2.3999999999999998E-3</v>
          </cell>
          <cell r="P87">
            <v>2.4</v>
          </cell>
          <cell r="Q87">
            <v>2.4</v>
          </cell>
          <cell r="R87">
            <v>1000</v>
          </cell>
          <cell r="S87" t="str">
            <v>PCS</v>
          </cell>
          <cell r="T87">
            <v>168</v>
          </cell>
          <cell r="U87" t="str">
            <v>J3</v>
          </cell>
          <cell r="V87" t="str">
            <v>CNY</v>
          </cell>
          <cell r="W87">
            <v>10000</v>
          </cell>
          <cell r="X87">
            <v>10000</v>
          </cell>
        </row>
        <row r="88">
          <cell r="D88">
            <v>10110005817</v>
          </cell>
          <cell r="E88" t="str">
            <v>贴片陶瓷电容器</v>
          </cell>
          <cell r="F88">
            <v>11060201</v>
          </cell>
          <cell r="G88" t="str">
            <v>WALS\CAP Cer 1nF K X7R 50VDC 0402</v>
          </cell>
          <cell r="H88" t="str">
            <v>WALS(华科)</v>
          </cell>
          <cell r="I88" t="str">
            <v>0402B102K500CT</v>
          </cell>
          <cell r="J88">
            <v>100131</v>
          </cell>
          <cell r="K88" t="str">
            <v>东莞华科电子有限公司</v>
          </cell>
          <cell r="L88" t="str">
            <v>X</v>
          </cell>
          <cell r="M88" t="str">
            <v/>
          </cell>
          <cell r="N88">
            <v>1</v>
          </cell>
          <cell r="O88">
            <v>1.98E-3</v>
          </cell>
          <cell r="P88">
            <v>1.98</v>
          </cell>
          <cell r="Q88">
            <v>1.98</v>
          </cell>
          <cell r="R88">
            <v>1000</v>
          </cell>
          <cell r="S88" t="str">
            <v>PCS</v>
          </cell>
          <cell r="T88">
            <v>56</v>
          </cell>
          <cell r="U88" t="str">
            <v>J3</v>
          </cell>
          <cell r="V88" t="str">
            <v>CNY</v>
          </cell>
          <cell r="W88">
            <v>10000</v>
          </cell>
          <cell r="X88">
            <v>10000</v>
          </cell>
        </row>
        <row r="89">
          <cell r="D89">
            <v>10110006771</v>
          </cell>
          <cell r="E89" t="str">
            <v>贴片陶瓷电容器</v>
          </cell>
          <cell r="F89">
            <v>11060201</v>
          </cell>
          <cell r="G89" t="str">
            <v>YAGEO\CAP Cer 100nF K X7R 50VDC 0402</v>
          </cell>
          <cell r="H89" t="str">
            <v>YAGEO(国巨)</v>
          </cell>
          <cell r="I89" t="str">
            <v>CC0402KRX7R9BB104</v>
          </cell>
          <cell r="J89">
            <v>101553</v>
          </cell>
          <cell r="K89" t="str">
            <v>深圳市奥特高科电子有限公司</v>
          </cell>
          <cell r="L89" t="str">
            <v>X</v>
          </cell>
          <cell r="M89" t="str">
            <v/>
          </cell>
          <cell r="N89">
            <v>1</v>
          </cell>
          <cell r="O89">
            <v>4.9500000000000004E-3</v>
          </cell>
          <cell r="P89">
            <v>4.95</v>
          </cell>
          <cell r="Q89">
            <v>4.95</v>
          </cell>
          <cell r="R89">
            <v>1000</v>
          </cell>
          <cell r="S89" t="str">
            <v>PCS</v>
          </cell>
          <cell r="T89">
            <v>56</v>
          </cell>
          <cell r="U89" t="str">
            <v>J3</v>
          </cell>
          <cell r="V89" t="str">
            <v>CNY</v>
          </cell>
          <cell r="W89">
            <v>10000</v>
          </cell>
          <cell r="X89">
            <v>10000</v>
          </cell>
        </row>
        <row r="90">
          <cell r="D90">
            <v>10110007139</v>
          </cell>
          <cell r="E90" t="str">
            <v>贴片陶瓷电容器</v>
          </cell>
          <cell r="F90">
            <v>11060201</v>
          </cell>
          <cell r="G90" t="str">
            <v>SAMS\CAP Cer 10nF K X7R 50VDC 0402</v>
          </cell>
          <cell r="H90" t="str">
            <v>SAMSUNG(三星)</v>
          </cell>
          <cell r="I90" t="str">
            <v>CL05B103KB5NNNC</v>
          </cell>
          <cell r="J90">
            <v>100599</v>
          </cell>
          <cell r="K90" t="str">
            <v>深圳市天河星供应链有限公司</v>
          </cell>
          <cell r="L90" t="str">
            <v>X</v>
          </cell>
          <cell r="M90" t="str">
            <v/>
          </cell>
          <cell r="N90">
            <v>1</v>
          </cell>
          <cell r="O90">
            <v>2.2000000000000001E-3</v>
          </cell>
          <cell r="P90">
            <v>2.2000000000000002</v>
          </cell>
          <cell r="Q90">
            <v>2.2000000000000002</v>
          </cell>
          <cell r="R90">
            <v>1000</v>
          </cell>
          <cell r="S90" t="str">
            <v>PCS</v>
          </cell>
          <cell r="T90">
            <v>56</v>
          </cell>
          <cell r="U90" t="str">
            <v>J3</v>
          </cell>
          <cell r="V90" t="str">
            <v>CNY</v>
          </cell>
          <cell r="W90">
            <v>10000</v>
          </cell>
          <cell r="X90">
            <v>1000</v>
          </cell>
        </row>
        <row r="91">
          <cell r="D91">
            <v>10110007822</v>
          </cell>
          <cell r="E91" t="str">
            <v>贴片陶瓷电容器</v>
          </cell>
          <cell r="F91">
            <v>11060201</v>
          </cell>
          <cell r="G91" t="str">
            <v>SAMS\CAP Cer 1nF K X7R 50VDC 0402</v>
          </cell>
          <cell r="H91" t="str">
            <v>SAMSUNG(三星)</v>
          </cell>
          <cell r="I91" t="str">
            <v>CL05B102KB5NNNC</v>
          </cell>
          <cell r="J91">
            <v>101957</v>
          </cell>
          <cell r="K91" t="str">
            <v>广东顺德集财电子有限公司</v>
          </cell>
          <cell r="L91" t="str">
            <v>X</v>
          </cell>
          <cell r="M91" t="str">
            <v/>
          </cell>
          <cell r="N91">
            <v>1</v>
          </cell>
          <cell r="O91">
            <v>2.3999999999999998E-3</v>
          </cell>
          <cell r="P91">
            <v>2.4</v>
          </cell>
          <cell r="Q91">
            <v>2.4</v>
          </cell>
          <cell r="R91">
            <v>1000</v>
          </cell>
          <cell r="S91" t="str">
            <v>PCS</v>
          </cell>
          <cell r="T91">
            <v>56</v>
          </cell>
          <cell r="U91" t="str">
            <v>J3</v>
          </cell>
          <cell r="V91" t="str">
            <v>CNY</v>
          </cell>
          <cell r="W91">
            <v>10000</v>
          </cell>
          <cell r="X91">
            <v>10000</v>
          </cell>
        </row>
        <row r="92">
          <cell r="D92">
            <v>10110008257</v>
          </cell>
          <cell r="E92" t="str">
            <v>贴片陶瓷电容器</v>
          </cell>
          <cell r="F92">
            <v>11060201</v>
          </cell>
          <cell r="G92" t="str">
            <v>WALS\CAP Cer 100nF K X7R 50VDC 0402</v>
          </cell>
          <cell r="H92" t="str">
            <v>WALS(华科)</v>
          </cell>
          <cell r="I92" t="str">
            <v>0402B104K500CT</v>
          </cell>
          <cell r="J92">
            <v>101566</v>
          </cell>
          <cell r="K92" t="str">
            <v>深圳市兴鸿宇科技有限公司</v>
          </cell>
          <cell r="L92" t="str">
            <v>X</v>
          </cell>
          <cell r="M92" t="str">
            <v/>
          </cell>
          <cell r="N92">
            <v>1</v>
          </cell>
          <cell r="O92">
            <v>4.5999999999999999E-3</v>
          </cell>
          <cell r="P92">
            <v>4.5999999999999996</v>
          </cell>
          <cell r="Q92">
            <v>4.5999999999999996</v>
          </cell>
          <cell r="R92">
            <v>1000</v>
          </cell>
          <cell r="S92" t="str">
            <v>PCS</v>
          </cell>
          <cell r="T92">
            <v>56</v>
          </cell>
          <cell r="U92" t="str">
            <v>J3</v>
          </cell>
          <cell r="V92" t="str">
            <v>CNY</v>
          </cell>
          <cell r="W92">
            <v>10000</v>
          </cell>
          <cell r="X92">
            <v>10000</v>
          </cell>
        </row>
        <row r="93">
          <cell r="D93">
            <v>10110008724</v>
          </cell>
          <cell r="E93" t="str">
            <v>贴片陶瓷电容器</v>
          </cell>
          <cell r="F93">
            <v>11060201</v>
          </cell>
          <cell r="G93" t="str">
            <v>FH\CAP Cer 100nF K X7R 50VDC 0402</v>
          </cell>
          <cell r="H93" t="str">
            <v>FH(风华)</v>
          </cell>
          <cell r="I93" t="str">
            <v>0402B104K500NT</v>
          </cell>
          <cell r="J93">
            <v>101957</v>
          </cell>
          <cell r="K93" t="str">
            <v>广东顺德集财电子有限公司</v>
          </cell>
          <cell r="L93" t="str">
            <v>X</v>
          </cell>
          <cell r="M93" t="str">
            <v/>
          </cell>
          <cell r="N93">
            <v>1</v>
          </cell>
          <cell r="O93">
            <v>4.1000000000000003E-3</v>
          </cell>
          <cell r="P93">
            <v>4.0999999999999996</v>
          </cell>
          <cell r="Q93">
            <v>4.0999999999999996</v>
          </cell>
          <cell r="R93">
            <v>1000</v>
          </cell>
          <cell r="S93" t="str">
            <v>PCS</v>
          </cell>
          <cell r="T93">
            <v>56</v>
          </cell>
          <cell r="U93" t="str">
            <v>J3</v>
          </cell>
          <cell r="V93" t="str">
            <v>CNY</v>
          </cell>
          <cell r="W93">
            <v>10000</v>
          </cell>
          <cell r="X93">
            <v>10000</v>
          </cell>
        </row>
        <row r="94">
          <cell r="D94">
            <v>10110008726</v>
          </cell>
          <cell r="E94" t="str">
            <v>贴片陶瓷电容器</v>
          </cell>
          <cell r="F94">
            <v>11060201</v>
          </cell>
          <cell r="G94" t="str">
            <v>FH\CAP Cer 100pF K X7R 50VDC 0402</v>
          </cell>
          <cell r="H94" t="str">
            <v>FH(风华)</v>
          </cell>
          <cell r="I94" t="str">
            <v>0402B101K500NT</v>
          </cell>
          <cell r="J94">
            <v>100599</v>
          </cell>
          <cell r="K94" t="str">
            <v>深圳市天河星供应链有限公司</v>
          </cell>
          <cell r="L94" t="str">
            <v>X</v>
          </cell>
          <cell r="M94" t="str">
            <v/>
          </cell>
          <cell r="N94">
            <v>1</v>
          </cell>
          <cell r="O94">
            <v>2.2000000000000001E-3</v>
          </cell>
          <cell r="P94">
            <v>2.2000000000000002</v>
          </cell>
          <cell r="Q94">
            <v>2.2000000000000002</v>
          </cell>
          <cell r="R94">
            <v>1000</v>
          </cell>
          <cell r="S94" t="str">
            <v>PCS</v>
          </cell>
          <cell r="T94">
            <v>56</v>
          </cell>
          <cell r="U94" t="str">
            <v>J3</v>
          </cell>
          <cell r="V94" t="str">
            <v>CNY</v>
          </cell>
          <cell r="W94">
            <v>10000</v>
          </cell>
          <cell r="X94">
            <v>10000</v>
          </cell>
        </row>
        <row r="95">
          <cell r="D95">
            <v>10110008729</v>
          </cell>
          <cell r="E95" t="str">
            <v>贴片陶瓷电容器</v>
          </cell>
          <cell r="F95">
            <v>11060201</v>
          </cell>
          <cell r="G95" t="str">
            <v>FH\CAP Cer 10nF K X7R 50VDC 0402</v>
          </cell>
          <cell r="H95" t="str">
            <v>FH(风华)</v>
          </cell>
          <cell r="I95" t="str">
            <v>0402B103K500NT</v>
          </cell>
          <cell r="J95">
            <v>100654</v>
          </cell>
          <cell r="K95" t="str">
            <v>广东风华高新科技股份有限公司</v>
          </cell>
          <cell r="L95" t="str">
            <v>X</v>
          </cell>
          <cell r="M95" t="str">
            <v/>
          </cell>
          <cell r="N95">
            <v>1</v>
          </cell>
          <cell r="O95">
            <v>2.0999999999999999E-3</v>
          </cell>
          <cell r="P95">
            <v>2.1</v>
          </cell>
          <cell r="Q95">
            <v>2.1</v>
          </cell>
          <cell r="R95">
            <v>1000</v>
          </cell>
          <cell r="S95" t="str">
            <v>PCS</v>
          </cell>
          <cell r="T95">
            <v>56</v>
          </cell>
          <cell r="U95" t="str">
            <v>J3</v>
          </cell>
          <cell r="V95" t="str">
            <v>CNY</v>
          </cell>
          <cell r="W95">
            <v>10000</v>
          </cell>
          <cell r="X95">
            <v>10000</v>
          </cell>
        </row>
        <row r="96">
          <cell r="D96">
            <v>10110008734</v>
          </cell>
          <cell r="E96" t="str">
            <v>贴片陶瓷电容器</v>
          </cell>
          <cell r="F96">
            <v>11060201</v>
          </cell>
          <cell r="G96" t="str">
            <v>FH\CAP Cer 1nF K X7R 50VDC 0402</v>
          </cell>
          <cell r="H96" t="str">
            <v>FH(风华)</v>
          </cell>
          <cell r="I96" t="str">
            <v>0402B102K500NT</v>
          </cell>
          <cell r="J96">
            <v>100654</v>
          </cell>
          <cell r="K96" t="str">
            <v>广东风华高新科技股份有限公司</v>
          </cell>
          <cell r="L96" t="str">
            <v>X</v>
          </cell>
          <cell r="M96" t="str">
            <v/>
          </cell>
          <cell r="N96">
            <v>1</v>
          </cell>
          <cell r="O96">
            <v>2.0999999999999999E-3</v>
          </cell>
          <cell r="P96">
            <v>2.1</v>
          </cell>
          <cell r="Q96">
            <v>2.1</v>
          </cell>
          <cell r="R96">
            <v>1000</v>
          </cell>
          <cell r="S96" t="str">
            <v>PCS</v>
          </cell>
          <cell r="T96">
            <v>56</v>
          </cell>
          <cell r="U96" t="str">
            <v>J3</v>
          </cell>
          <cell r="V96" t="str">
            <v>CNY</v>
          </cell>
          <cell r="W96">
            <v>10000</v>
          </cell>
          <cell r="X96">
            <v>10000</v>
          </cell>
        </row>
        <row r="97">
          <cell r="D97">
            <v>10110008742</v>
          </cell>
          <cell r="E97" t="str">
            <v>贴片陶瓷电容器</v>
          </cell>
          <cell r="F97">
            <v>11060201</v>
          </cell>
          <cell r="G97" t="str">
            <v>FH\CAP Cer 2.2nF K X7R 50VDC 0402</v>
          </cell>
          <cell r="H97" t="str">
            <v>FH(风华)</v>
          </cell>
          <cell r="I97" t="str">
            <v>0402B222K500NT</v>
          </cell>
          <cell r="J97">
            <v>100654</v>
          </cell>
          <cell r="K97" t="str">
            <v>广东风华高新科技股份有限公司</v>
          </cell>
          <cell r="L97" t="str">
            <v>X</v>
          </cell>
          <cell r="M97" t="str">
            <v/>
          </cell>
          <cell r="N97">
            <v>1</v>
          </cell>
          <cell r="O97">
            <v>2.1900000000000001E-3</v>
          </cell>
          <cell r="P97">
            <v>2.19</v>
          </cell>
          <cell r="Q97">
            <v>2.19</v>
          </cell>
          <cell r="R97">
            <v>1000</v>
          </cell>
          <cell r="S97" t="str">
            <v>PCS</v>
          </cell>
          <cell r="T97">
            <v>42</v>
          </cell>
          <cell r="U97" t="str">
            <v>J3</v>
          </cell>
          <cell r="V97" t="str">
            <v>CNY</v>
          </cell>
          <cell r="W97">
            <v>10000</v>
          </cell>
          <cell r="X97">
            <v>10000</v>
          </cell>
        </row>
        <row r="98">
          <cell r="D98">
            <v>10110008934</v>
          </cell>
          <cell r="E98" t="str">
            <v>贴片陶瓷电容器</v>
          </cell>
          <cell r="F98">
            <v>11060201</v>
          </cell>
          <cell r="G98" t="str">
            <v>FH\CAP Cer 4.7uF K X7R 50VDC 0805</v>
          </cell>
          <cell r="H98" t="str">
            <v>FH(风华)</v>
          </cell>
          <cell r="I98" t="str">
            <v>0805B475K500NT</v>
          </cell>
          <cell r="J98">
            <v>101957</v>
          </cell>
          <cell r="K98" t="str">
            <v>广东顺德集财电子有限公司</v>
          </cell>
          <cell r="L98" t="str">
            <v>X</v>
          </cell>
          <cell r="M98" t="str">
            <v/>
          </cell>
          <cell r="N98">
            <v>1</v>
          </cell>
          <cell r="O98">
            <v>9.8000000000000004E-2</v>
          </cell>
          <cell r="P98">
            <v>98</v>
          </cell>
          <cell r="Q98">
            <v>98</v>
          </cell>
          <cell r="R98">
            <v>1000</v>
          </cell>
          <cell r="S98" t="str">
            <v>PCS</v>
          </cell>
          <cell r="T98">
            <v>56</v>
          </cell>
          <cell r="U98" t="str">
            <v>J3</v>
          </cell>
          <cell r="V98" t="str">
            <v>CNY</v>
          </cell>
          <cell r="W98">
            <v>2000</v>
          </cell>
          <cell r="X98">
            <v>2000</v>
          </cell>
        </row>
        <row r="99">
          <cell r="D99">
            <v>10110008993</v>
          </cell>
          <cell r="E99" t="str">
            <v>贴片陶瓷电容器</v>
          </cell>
          <cell r="F99">
            <v>11060201</v>
          </cell>
          <cell r="G99" t="str">
            <v>WALS\CAP Cer 2.2nF K X7R 50VDC 0402</v>
          </cell>
          <cell r="H99" t="str">
            <v>WALS(华科)</v>
          </cell>
          <cell r="I99" t="str">
            <v>0402B222K500CT</v>
          </cell>
          <cell r="J99">
            <v>100131</v>
          </cell>
          <cell r="K99" t="str">
            <v>东莞华科电子有限公司</v>
          </cell>
          <cell r="L99" t="str">
            <v>X</v>
          </cell>
          <cell r="M99" t="str">
            <v/>
          </cell>
          <cell r="N99">
            <v>1</v>
          </cell>
          <cell r="O99">
            <v>3.0500000000000002E-3</v>
          </cell>
          <cell r="P99">
            <v>3.05</v>
          </cell>
          <cell r="Q99">
            <v>3.05</v>
          </cell>
          <cell r="R99">
            <v>1000</v>
          </cell>
          <cell r="S99" t="str">
            <v>PCS</v>
          </cell>
          <cell r="T99">
            <v>70</v>
          </cell>
          <cell r="U99" t="str">
            <v>J3</v>
          </cell>
          <cell r="V99" t="str">
            <v>CNY</v>
          </cell>
          <cell r="W99">
            <v>10000</v>
          </cell>
          <cell r="X99">
            <v>1000</v>
          </cell>
        </row>
        <row r="100">
          <cell r="D100">
            <v>10110009071</v>
          </cell>
          <cell r="E100" t="str">
            <v>贴片陶瓷电容器</v>
          </cell>
          <cell r="F100">
            <v>11060201</v>
          </cell>
          <cell r="G100" t="str">
            <v>WALS\CAP Cer 4.7uF K X7R 50VDC 0805</v>
          </cell>
          <cell r="H100" t="str">
            <v>WALS(华科)</v>
          </cell>
          <cell r="I100" t="str">
            <v>0805B475K500CT</v>
          </cell>
          <cell r="J100">
            <v>100131</v>
          </cell>
          <cell r="K100" t="str">
            <v>东莞华科电子有限公司</v>
          </cell>
          <cell r="L100" t="str">
            <v>X</v>
          </cell>
          <cell r="M100" t="str">
            <v/>
          </cell>
          <cell r="N100">
            <v>1</v>
          </cell>
          <cell r="O100">
            <v>0.16964000000000001</v>
          </cell>
          <cell r="P100">
            <v>169.64</v>
          </cell>
          <cell r="Q100">
            <v>169.64</v>
          </cell>
          <cell r="R100">
            <v>1000</v>
          </cell>
          <cell r="S100" t="str">
            <v>PCS</v>
          </cell>
          <cell r="T100">
            <v>84</v>
          </cell>
          <cell r="U100" t="str">
            <v>J3</v>
          </cell>
          <cell r="V100" t="str">
            <v>CNY</v>
          </cell>
          <cell r="W100">
            <v>3000</v>
          </cell>
          <cell r="X100">
            <v>3000</v>
          </cell>
        </row>
        <row r="101">
          <cell r="D101">
            <v>10110009749</v>
          </cell>
          <cell r="E101" t="str">
            <v>贴片陶瓷电容器</v>
          </cell>
          <cell r="F101">
            <v>11060201</v>
          </cell>
          <cell r="G101" t="str">
            <v>SAMS\CAP Cer 100pF K X7R 50VDC 0402</v>
          </cell>
          <cell r="H101" t="str">
            <v>SAMSUNG(三星)</v>
          </cell>
          <cell r="I101" t="str">
            <v>CL05B101KB5NNNC</v>
          </cell>
          <cell r="J101">
            <v>101783</v>
          </cell>
          <cell r="K101" t="str">
            <v>深圳市欧亚达电子有限公司</v>
          </cell>
          <cell r="L101" t="str">
            <v>X</v>
          </cell>
          <cell r="M101" t="str">
            <v/>
          </cell>
          <cell r="N101">
            <v>1</v>
          </cell>
          <cell r="O101">
            <v>9.5499999999999995E-3</v>
          </cell>
          <cell r="P101">
            <v>9.5500000000000007</v>
          </cell>
          <cell r="Q101">
            <v>9.5500000000000007</v>
          </cell>
          <cell r="R101">
            <v>1000</v>
          </cell>
          <cell r="S101" t="str">
            <v>PCS</v>
          </cell>
          <cell r="T101">
            <v>84</v>
          </cell>
          <cell r="U101" t="str">
            <v>J3</v>
          </cell>
          <cell r="V101" t="str">
            <v>CNY</v>
          </cell>
          <cell r="W101">
            <v>10000</v>
          </cell>
          <cell r="X101">
            <v>10000</v>
          </cell>
        </row>
        <row r="102">
          <cell r="D102">
            <v>10110010638</v>
          </cell>
          <cell r="E102" t="str">
            <v>贴片陶瓷电容器</v>
          </cell>
          <cell r="F102">
            <v>11060201</v>
          </cell>
          <cell r="G102" t="str">
            <v>SAMS\CAP Cer 2.2nF K X7R 50VDC 0402</v>
          </cell>
          <cell r="H102" t="str">
            <v>SAMSUNG(三星)</v>
          </cell>
          <cell r="I102" t="str">
            <v>CL05B222KB5NNNC</v>
          </cell>
          <cell r="J102">
            <v>102940</v>
          </cell>
          <cell r="K102" t="str">
            <v>深圳市宏昌鑫科技有限责任公司</v>
          </cell>
          <cell r="L102" t="str">
            <v>X</v>
          </cell>
          <cell r="M102" t="str">
            <v/>
          </cell>
          <cell r="N102">
            <v>1</v>
          </cell>
          <cell r="O102">
            <v>7.3699999999999998E-3</v>
          </cell>
          <cell r="P102">
            <v>7.37</v>
          </cell>
          <cell r="Q102">
            <v>7.37</v>
          </cell>
          <cell r="R102">
            <v>1000</v>
          </cell>
          <cell r="S102" t="str">
            <v>PCS</v>
          </cell>
          <cell r="T102">
            <v>140</v>
          </cell>
          <cell r="U102" t="str">
            <v>J3</v>
          </cell>
          <cell r="V102" t="str">
            <v>CNY</v>
          </cell>
          <cell r="W102">
            <v>10000</v>
          </cell>
          <cell r="X102">
            <v>10000</v>
          </cell>
        </row>
        <row r="103">
          <cell r="D103">
            <v>10110011269</v>
          </cell>
          <cell r="E103" t="str">
            <v>贴片陶瓷电容器</v>
          </cell>
          <cell r="F103">
            <v>11060201</v>
          </cell>
          <cell r="G103" t="str">
            <v>SH3\CAP Cer 10nF K X7R 50VDC 0402</v>
          </cell>
          <cell r="H103" t="str">
            <v>CCTC(三环)</v>
          </cell>
          <cell r="I103" t="str">
            <v>TCC0402X7R103K500AT</v>
          </cell>
          <cell r="J103">
            <v>102178</v>
          </cell>
          <cell r="K103" t="str">
            <v>潮州三环（集团）股份有限公司</v>
          </cell>
          <cell r="L103" t="str">
            <v>X</v>
          </cell>
          <cell r="M103" t="str">
            <v/>
          </cell>
          <cell r="N103">
            <v>1</v>
          </cell>
          <cell r="O103">
            <v>1.8500000000000001E-3</v>
          </cell>
          <cell r="P103">
            <v>1.85</v>
          </cell>
          <cell r="Q103">
            <v>1.85</v>
          </cell>
          <cell r="R103">
            <v>1000</v>
          </cell>
          <cell r="S103" t="str">
            <v>PCS</v>
          </cell>
          <cell r="T103">
            <v>56</v>
          </cell>
          <cell r="U103" t="str">
            <v>J3</v>
          </cell>
          <cell r="V103" t="str">
            <v>CNY</v>
          </cell>
          <cell r="W103">
            <v>10000</v>
          </cell>
          <cell r="X103">
            <v>10000</v>
          </cell>
        </row>
        <row r="104">
          <cell r="D104">
            <v>10110012147</v>
          </cell>
          <cell r="E104" t="str">
            <v>贴片陶瓷电容器</v>
          </cell>
          <cell r="F104">
            <v>11060201</v>
          </cell>
          <cell r="G104" t="str">
            <v>SH3\CAP Cer 100pF K X7R 50VDC 0402</v>
          </cell>
          <cell r="H104" t="str">
            <v>CCTC(三环)</v>
          </cell>
          <cell r="I104" t="str">
            <v>TCC0402X7R101K500AT</v>
          </cell>
          <cell r="J104">
            <v>102178</v>
          </cell>
          <cell r="K104" t="str">
            <v>潮州三环（集团）股份有限公司</v>
          </cell>
          <cell r="L104" t="str">
            <v>X</v>
          </cell>
          <cell r="M104" t="str">
            <v/>
          </cell>
          <cell r="N104">
            <v>1</v>
          </cell>
          <cell r="O104">
            <v>1.9499999999999999E-3</v>
          </cell>
          <cell r="P104">
            <v>1.95</v>
          </cell>
          <cell r="Q104">
            <v>1.95</v>
          </cell>
          <cell r="R104">
            <v>1000</v>
          </cell>
          <cell r="S104" t="str">
            <v>PCS</v>
          </cell>
          <cell r="T104">
            <v>56</v>
          </cell>
          <cell r="U104" t="str">
            <v>J3</v>
          </cell>
          <cell r="V104" t="str">
            <v>CNY</v>
          </cell>
          <cell r="W104">
            <v>10000</v>
          </cell>
          <cell r="X104">
            <v>10000</v>
          </cell>
        </row>
        <row r="105">
          <cell r="D105">
            <v>10110012149</v>
          </cell>
          <cell r="E105" t="str">
            <v>贴片陶瓷电容器</v>
          </cell>
          <cell r="F105">
            <v>11060201</v>
          </cell>
          <cell r="G105" t="str">
            <v>SH3\CAP Cer 1nF K X7R 50VDC 0402</v>
          </cell>
          <cell r="H105" t="str">
            <v>CCTC(三环)</v>
          </cell>
          <cell r="I105" t="str">
            <v>TCC0402X7R102K500AT</v>
          </cell>
          <cell r="J105">
            <v>102178</v>
          </cell>
          <cell r="K105" t="str">
            <v>潮州三环（集团）股份有限公司</v>
          </cell>
          <cell r="L105" t="str">
            <v>X</v>
          </cell>
          <cell r="M105" t="str">
            <v/>
          </cell>
          <cell r="N105">
            <v>1</v>
          </cell>
          <cell r="O105">
            <v>1.8500000000000001E-3</v>
          </cell>
          <cell r="P105">
            <v>1.85</v>
          </cell>
          <cell r="Q105">
            <v>1.85</v>
          </cell>
          <cell r="R105">
            <v>1000</v>
          </cell>
          <cell r="S105" t="str">
            <v>PCS</v>
          </cell>
          <cell r="T105">
            <v>56</v>
          </cell>
          <cell r="U105" t="str">
            <v>J3</v>
          </cell>
          <cell r="V105" t="str">
            <v>CNY</v>
          </cell>
          <cell r="W105">
            <v>10000</v>
          </cell>
          <cell r="X105">
            <v>10000</v>
          </cell>
        </row>
        <row r="106">
          <cell r="D106">
            <v>10110014746</v>
          </cell>
          <cell r="E106" t="str">
            <v>X2安规薄膜电容器</v>
          </cell>
          <cell r="F106">
            <v>11010102</v>
          </cell>
          <cell r="G106" t="str">
            <v>STE\CAP X2 220nF K 275VAC 13*6*12 F=10&amp;</v>
          </cell>
          <cell r="H106" t="str">
            <v>STE(松田)</v>
          </cell>
          <cell r="I106" t="str">
            <v>X2P2224KN5B0130120060ES0</v>
          </cell>
          <cell r="J106">
            <v>101946</v>
          </cell>
          <cell r="K106" t="str">
            <v>汕头保税区松田电子科技有限公司</v>
          </cell>
          <cell r="L106" t="str">
            <v>X</v>
          </cell>
          <cell r="M106" t="str">
            <v/>
          </cell>
          <cell r="N106">
            <v>1</v>
          </cell>
          <cell r="O106">
            <v>0.23311999999999999</v>
          </cell>
          <cell r="P106">
            <v>233.12</v>
          </cell>
          <cell r="Q106">
            <v>233.12</v>
          </cell>
          <cell r="R106">
            <v>1000</v>
          </cell>
          <cell r="S106" t="str">
            <v>PCS</v>
          </cell>
          <cell r="T106">
            <v>28</v>
          </cell>
          <cell r="U106" t="str">
            <v>J3</v>
          </cell>
          <cell r="V106" t="str">
            <v>CNY</v>
          </cell>
          <cell r="W106">
            <v>1000</v>
          </cell>
          <cell r="X106">
            <v>1000</v>
          </cell>
        </row>
        <row r="107">
          <cell r="D107">
            <v>10110015893</v>
          </cell>
          <cell r="E107" t="str">
            <v>贴片陶瓷电容器</v>
          </cell>
          <cell r="F107">
            <v>11060201</v>
          </cell>
          <cell r="G107" t="str">
            <v>SH3\CAP Cer 2.2nF K X7R 50VDC 0402</v>
          </cell>
          <cell r="H107" t="str">
            <v>CCTC(三环)</v>
          </cell>
          <cell r="I107" t="str">
            <v>TCC0402X7R222K500AT</v>
          </cell>
          <cell r="J107">
            <v>102178</v>
          </cell>
          <cell r="K107" t="str">
            <v>潮州三环（集团）股份有限公司</v>
          </cell>
          <cell r="L107" t="str">
            <v>X</v>
          </cell>
          <cell r="M107" t="str">
            <v/>
          </cell>
          <cell r="N107">
            <v>1</v>
          </cell>
          <cell r="O107">
            <v>1.8600000000000001E-3</v>
          </cell>
          <cell r="P107">
            <v>1.86</v>
          </cell>
          <cell r="Q107">
            <v>1.86</v>
          </cell>
          <cell r="R107">
            <v>1000</v>
          </cell>
          <cell r="S107" t="str">
            <v>PCS</v>
          </cell>
          <cell r="T107">
            <v>56</v>
          </cell>
          <cell r="U107" t="str">
            <v>J3</v>
          </cell>
          <cell r="V107" t="str">
            <v>CNY</v>
          </cell>
          <cell r="W107">
            <v>10000</v>
          </cell>
          <cell r="X107">
            <v>10000</v>
          </cell>
        </row>
        <row r="108">
          <cell r="D108">
            <v>10110016198</v>
          </cell>
          <cell r="E108" t="str">
            <v>贴片陶瓷电容器</v>
          </cell>
          <cell r="F108">
            <v>11060201</v>
          </cell>
          <cell r="G108" t="str">
            <v>YAGEO\CAP Cer 2.2nF K X7R 50VDC 0402</v>
          </cell>
          <cell r="H108" t="str">
            <v>YAGEO(国巨)</v>
          </cell>
          <cell r="I108" t="str">
            <v>CC0402KRX7R9BB222</v>
          </cell>
          <cell r="J108">
            <v>101553</v>
          </cell>
          <cell r="K108" t="str">
            <v>深圳市奥特高科电子有限公司</v>
          </cell>
          <cell r="L108" t="str">
            <v>X</v>
          </cell>
          <cell r="M108" t="str">
            <v/>
          </cell>
          <cell r="N108">
            <v>1</v>
          </cell>
          <cell r="O108">
            <v>2.3E-3</v>
          </cell>
          <cell r="P108">
            <v>2.2999999999999998</v>
          </cell>
          <cell r="Q108">
            <v>2.2999999999999998</v>
          </cell>
          <cell r="R108">
            <v>1000</v>
          </cell>
          <cell r="S108" t="str">
            <v>PCS</v>
          </cell>
          <cell r="T108">
            <v>56</v>
          </cell>
          <cell r="U108" t="str">
            <v>J3</v>
          </cell>
          <cell r="V108" t="str">
            <v>CNY</v>
          </cell>
          <cell r="W108">
            <v>10000</v>
          </cell>
          <cell r="X108">
            <v>10000</v>
          </cell>
        </row>
        <row r="109">
          <cell r="D109">
            <v>10110016349</v>
          </cell>
          <cell r="E109" t="str">
            <v>贴片陶瓷电容器</v>
          </cell>
          <cell r="F109">
            <v>11060201</v>
          </cell>
          <cell r="G109" t="str">
            <v>SH3\CAP Cer 100nF K X7R 50VDC 0402</v>
          </cell>
          <cell r="H109" t="str">
            <v>CCTC(三环)</v>
          </cell>
          <cell r="I109" t="str">
            <v>TCC0402X7R104K500AT</v>
          </cell>
          <cell r="J109">
            <v>101957</v>
          </cell>
          <cell r="K109" t="str">
            <v>广东顺德集财电子有限公司</v>
          </cell>
          <cell r="L109" t="str">
            <v>X</v>
          </cell>
          <cell r="M109" t="str">
            <v/>
          </cell>
          <cell r="N109">
            <v>1</v>
          </cell>
          <cell r="O109">
            <v>4.0899999999999999E-3</v>
          </cell>
          <cell r="P109">
            <v>4.09</v>
          </cell>
          <cell r="Q109">
            <v>4.09</v>
          </cell>
          <cell r="R109">
            <v>1000</v>
          </cell>
          <cell r="S109" t="str">
            <v>PCS</v>
          </cell>
          <cell r="T109">
            <v>56</v>
          </cell>
          <cell r="U109" t="str">
            <v>J3</v>
          </cell>
          <cell r="V109" t="str">
            <v>CNY</v>
          </cell>
          <cell r="W109">
            <v>10000</v>
          </cell>
          <cell r="X109">
            <v>10000</v>
          </cell>
        </row>
        <row r="110">
          <cell r="D110">
            <v>10110020767</v>
          </cell>
          <cell r="E110" t="str">
            <v>贴片陶瓷电容器</v>
          </cell>
          <cell r="F110">
            <v>11060201</v>
          </cell>
          <cell r="G110" t="str">
            <v>YAGEO\CAP Cer 1uF K X7R 10VDC 0402</v>
          </cell>
          <cell r="H110" t="str">
            <v>YAGEO(国巨)</v>
          </cell>
          <cell r="I110" t="str">
            <v>CC0402KRX7R6BB105</v>
          </cell>
          <cell r="J110">
            <v>101957</v>
          </cell>
          <cell r="K110" t="str">
            <v>广东顺德集财电子有限公司</v>
          </cell>
          <cell r="L110" t="str">
            <v>X</v>
          </cell>
          <cell r="M110" t="str">
            <v/>
          </cell>
          <cell r="N110">
            <v>1</v>
          </cell>
          <cell r="O110">
            <v>5.5399999999999998E-2</v>
          </cell>
          <cell r="P110">
            <v>55.4</v>
          </cell>
          <cell r="Q110">
            <v>55.4</v>
          </cell>
          <cell r="R110">
            <v>1000</v>
          </cell>
          <cell r="S110" t="str">
            <v>PCS</v>
          </cell>
          <cell r="T110">
            <v>84</v>
          </cell>
          <cell r="U110" t="str">
            <v>J3</v>
          </cell>
          <cell r="V110" t="str">
            <v>CNY</v>
          </cell>
          <cell r="W110">
            <v>10000</v>
          </cell>
          <cell r="X110">
            <v>10000</v>
          </cell>
        </row>
        <row r="111">
          <cell r="D111">
            <v>10140000397</v>
          </cell>
          <cell r="E111" t="str">
            <v>贴片整流二极管</v>
          </cell>
          <cell r="F111">
            <v>14030601</v>
          </cell>
          <cell r="G111" t="str">
            <v>PANJ\Diode Rect SMA 1A 1000V GS1M</v>
          </cell>
          <cell r="H111" t="str">
            <v>PANJ(强茂)</v>
          </cell>
          <cell r="I111" t="str">
            <v>GS1M</v>
          </cell>
          <cell r="J111">
            <v>101672</v>
          </cell>
          <cell r="K111" t="str">
            <v>深圳市合信昌科技有限公司</v>
          </cell>
          <cell r="L111" t="str">
            <v>X</v>
          </cell>
          <cell r="M111" t="str">
            <v/>
          </cell>
          <cell r="N111">
            <v>1</v>
          </cell>
          <cell r="O111">
            <v>7.4999999999999997E-2</v>
          </cell>
          <cell r="P111">
            <v>75</v>
          </cell>
          <cell r="Q111">
            <v>75</v>
          </cell>
          <cell r="R111">
            <v>1000</v>
          </cell>
          <cell r="S111" t="str">
            <v>PCS</v>
          </cell>
          <cell r="T111">
            <v>70</v>
          </cell>
          <cell r="U111" t="str">
            <v>J3</v>
          </cell>
          <cell r="V111" t="str">
            <v>CNY</v>
          </cell>
          <cell r="W111">
            <v>1800</v>
          </cell>
          <cell r="X111">
            <v>1800</v>
          </cell>
        </row>
        <row r="112">
          <cell r="D112">
            <v>10140002123</v>
          </cell>
          <cell r="E112" t="str">
            <v>贴片NPN三极管(内置电阻)</v>
          </cell>
          <cell r="F112">
            <v>14050102</v>
          </cell>
          <cell r="G112" t="str">
            <v>LRC\Transistor SOT-23 0.1A 50V R1=4K7 R&amp;</v>
          </cell>
          <cell r="H112" t="str">
            <v>LRC(乐山无线电)</v>
          </cell>
          <cell r="I112" t="str">
            <v>LMUN2232LT1G</v>
          </cell>
          <cell r="J112">
            <v>101275</v>
          </cell>
          <cell r="K112" t="str">
            <v>利尔达科技集团股份有限公司</v>
          </cell>
          <cell r="L112" t="str">
            <v>X</v>
          </cell>
          <cell r="M112" t="str">
            <v/>
          </cell>
          <cell r="N112">
            <v>1</v>
          </cell>
          <cell r="O112">
            <v>3.4500000000000003E-2</v>
          </cell>
          <cell r="P112">
            <v>34.5</v>
          </cell>
          <cell r="Q112">
            <v>34.5</v>
          </cell>
          <cell r="R112">
            <v>1000</v>
          </cell>
          <cell r="S112" t="str">
            <v>PCS</v>
          </cell>
          <cell r="T112">
            <v>56</v>
          </cell>
          <cell r="U112" t="str">
            <v>J3</v>
          </cell>
          <cell r="V112" t="str">
            <v>CNY</v>
          </cell>
          <cell r="W112">
            <v>3000</v>
          </cell>
          <cell r="X112">
            <v>3000</v>
          </cell>
        </row>
        <row r="113">
          <cell r="D113">
            <v>10140002743</v>
          </cell>
          <cell r="E113" t="str">
            <v>贴片整流二极管</v>
          </cell>
          <cell r="F113">
            <v>14030601</v>
          </cell>
          <cell r="G113" t="str">
            <v>MCC\Diode Rect SMA 1A 1000V GS1M-L-TP</v>
          </cell>
          <cell r="H113" t="str">
            <v>MCC(美微科)</v>
          </cell>
          <cell r="I113" t="str">
            <v>GS1M-L-TP</v>
          </cell>
          <cell r="J113">
            <v>100629</v>
          </cell>
          <cell r="K113" t="str">
            <v>深圳市驰顺科技有限公司</v>
          </cell>
          <cell r="L113" t="str">
            <v>X</v>
          </cell>
          <cell r="M113" t="str">
            <v/>
          </cell>
          <cell r="N113">
            <v>1</v>
          </cell>
          <cell r="O113">
            <v>0.04</v>
          </cell>
          <cell r="P113">
            <v>40</v>
          </cell>
          <cell r="Q113">
            <v>40</v>
          </cell>
          <cell r="R113">
            <v>1000</v>
          </cell>
          <cell r="S113" t="str">
            <v>PCS</v>
          </cell>
          <cell r="T113">
            <v>90</v>
          </cell>
          <cell r="U113" t="str">
            <v>J3</v>
          </cell>
          <cell r="V113" t="str">
            <v>CNY</v>
          </cell>
          <cell r="W113">
            <v>7500</v>
          </cell>
          <cell r="X113">
            <v>7500</v>
          </cell>
        </row>
        <row r="114">
          <cell r="D114">
            <v>10140003381</v>
          </cell>
          <cell r="E114" t="str">
            <v>贴片整流二极管</v>
          </cell>
          <cell r="F114">
            <v>14030601</v>
          </cell>
          <cell r="G114" t="str">
            <v>LRC\Diode Rect DO-214AC 1A 1000V FM407</v>
          </cell>
          <cell r="H114" t="str">
            <v>LRC(乐山无线电)</v>
          </cell>
          <cell r="I114" t="str">
            <v>FM407</v>
          </cell>
          <cell r="J114">
            <v>101645</v>
          </cell>
          <cell r="K114" t="str">
            <v>深圳南丰电子股份有限公司</v>
          </cell>
          <cell r="L114" t="str">
            <v>X</v>
          </cell>
          <cell r="M114" t="str">
            <v/>
          </cell>
          <cell r="N114">
            <v>1</v>
          </cell>
          <cell r="O114">
            <v>3.3599999999999998E-2</v>
          </cell>
          <cell r="P114">
            <v>33.6</v>
          </cell>
          <cell r="Q114">
            <v>33.6</v>
          </cell>
          <cell r="R114">
            <v>1000</v>
          </cell>
          <cell r="S114" t="str">
            <v>PCS</v>
          </cell>
          <cell r="T114">
            <v>70</v>
          </cell>
          <cell r="U114" t="str">
            <v>J3</v>
          </cell>
          <cell r="V114" t="str">
            <v>CNY</v>
          </cell>
          <cell r="W114">
            <v>7500</v>
          </cell>
          <cell r="X114">
            <v>7500</v>
          </cell>
        </row>
        <row r="115">
          <cell r="D115">
            <v>10140003844</v>
          </cell>
          <cell r="E115" t="str">
            <v>贴片瞬态抑制二极管</v>
          </cell>
          <cell r="F115">
            <v>14030301</v>
          </cell>
          <cell r="G115" t="str">
            <v>JSCJ\Diode TVS SOD-123FL 15V 200W SMF15A</v>
          </cell>
          <cell r="H115" t="str">
            <v>JSCJ(江苏长晶)</v>
          </cell>
          <cell r="I115" t="str">
            <v>SMF15A</v>
          </cell>
          <cell r="J115">
            <v>101845</v>
          </cell>
          <cell r="K115" t="str">
            <v>深圳翰世宇科技有限公司</v>
          </cell>
          <cell r="L115" t="str">
            <v>X</v>
          </cell>
          <cell r="M115" t="str">
            <v/>
          </cell>
          <cell r="N115">
            <v>1</v>
          </cell>
          <cell r="O115">
            <v>0.12</v>
          </cell>
          <cell r="P115">
            <v>120</v>
          </cell>
          <cell r="Q115">
            <v>120</v>
          </cell>
          <cell r="R115">
            <v>1000</v>
          </cell>
          <cell r="S115" t="str">
            <v>PCS</v>
          </cell>
          <cell r="T115">
            <v>56</v>
          </cell>
          <cell r="U115" t="str">
            <v>J3</v>
          </cell>
          <cell r="V115" t="str">
            <v>CNY</v>
          </cell>
          <cell r="W115">
            <v>3000</v>
          </cell>
          <cell r="X115">
            <v>3000</v>
          </cell>
        </row>
        <row r="116">
          <cell r="D116">
            <v>10140006310</v>
          </cell>
          <cell r="E116" t="str">
            <v>贴片NPN三极管(内置电阻)</v>
          </cell>
          <cell r="F116">
            <v>14050102</v>
          </cell>
          <cell r="G116" t="str">
            <v>JSCJ\Transistor SOT-23 100mA50V R1=4K7&amp;</v>
          </cell>
          <cell r="H116" t="str">
            <v>JSCJ(江苏长晶)</v>
          </cell>
          <cell r="I116" t="str">
            <v>DTC143ECA</v>
          </cell>
          <cell r="J116">
            <v>101845</v>
          </cell>
          <cell r="K116" t="str">
            <v>深圳翰世宇科技有限公司</v>
          </cell>
          <cell r="L116" t="str">
            <v>X</v>
          </cell>
          <cell r="M116" t="str">
            <v/>
          </cell>
          <cell r="N116">
            <v>1</v>
          </cell>
          <cell r="O116">
            <v>4.8000000000000001E-2</v>
          </cell>
          <cell r="P116">
            <v>48</v>
          </cell>
          <cell r="Q116">
            <v>48</v>
          </cell>
          <cell r="R116">
            <v>1000</v>
          </cell>
          <cell r="S116" t="str">
            <v>PCS</v>
          </cell>
          <cell r="T116">
            <v>56</v>
          </cell>
          <cell r="U116" t="str">
            <v>J3</v>
          </cell>
          <cell r="V116" t="str">
            <v>CNY</v>
          </cell>
          <cell r="W116">
            <v>3000</v>
          </cell>
          <cell r="X116">
            <v>3000</v>
          </cell>
        </row>
        <row r="117">
          <cell r="D117">
            <v>10140012358</v>
          </cell>
          <cell r="E117" t="str">
            <v>贴片整流二极管</v>
          </cell>
          <cell r="F117">
            <v>14030601</v>
          </cell>
          <cell r="G117" t="str">
            <v>JSCJ\Diode Rect SMAG 1A 1000V GS1MA</v>
          </cell>
          <cell r="H117" t="str">
            <v>JSCJ(江苏长晶)</v>
          </cell>
          <cell r="I117" t="str">
            <v>GS1MA</v>
          </cell>
          <cell r="J117">
            <v>100482</v>
          </cell>
          <cell r="K117" t="str">
            <v>东莞市意中半导体有限公司</v>
          </cell>
          <cell r="L117" t="str">
            <v>X</v>
          </cell>
          <cell r="M117" t="str">
            <v/>
          </cell>
          <cell r="N117">
            <v>1</v>
          </cell>
          <cell r="O117">
            <v>3.3000000000000002E-2</v>
          </cell>
          <cell r="P117">
            <v>33</v>
          </cell>
          <cell r="Q117">
            <v>33</v>
          </cell>
          <cell r="R117">
            <v>1000</v>
          </cell>
          <cell r="S117" t="str">
            <v>PCS</v>
          </cell>
          <cell r="T117">
            <v>60</v>
          </cell>
          <cell r="U117" t="str">
            <v>J3</v>
          </cell>
          <cell r="V117" t="str">
            <v>CNY</v>
          </cell>
          <cell r="W117">
            <v>5000</v>
          </cell>
          <cell r="X117">
            <v>5000</v>
          </cell>
        </row>
        <row r="118">
          <cell r="D118">
            <v>10140013896</v>
          </cell>
          <cell r="E118" t="str">
            <v>贴片快恢复二极管</v>
          </cell>
          <cell r="F118">
            <v>14030201</v>
          </cell>
          <cell r="G118" t="str">
            <v>JSCJ\Diode Fast DO-214AC(SMAG) 1A 600V&amp;</v>
          </cell>
          <cell r="H118" t="str">
            <v>JSCJ(江苏长晶)</v>
          </cell>
          <cell r="I118" t="str">
            <v>ES1J</v>
          </cell>
          <cell r="J118">
            <v>101845</v>
          </cell>
          <cell r="K118" t="str">
            <v>深圳翰世宇科技有限公司</v>
          </cell>
          <cell r="L118" t="str">
            <v>X</v>
          </cell>
          <cell r="M118" t="str">
            <v/>
          </cell>
          <cell r="N118">
            <v>1</v>
          </cell>
          <cell r="O118">
            <v>5.8000000000000003E-2</v>
          </cell>
          <cell r="P118">
            <v>58</v>
          </cell>
          <cell r="Q118">
            <v>58</v>
          </cell>
          <cell r="R118">
            <v>1000</v>
          </cell>
          <cell r="S118" t="str">
            <v>PCS</v>
          </cell>
          <cell r="T118">
            <v>56</v>
          </cell>
          <cell r="U118" t="str">
            <v>J3</v>
          </cell>
          <cell r="V118" t="str">
            <v>CNY</v>
          </cell>
          <cell r="W118">
            <v>5000</v>
          </cell>
          <cell r="X118">
            <v>5000</v>
          </cell>
        </row>
        <row r="119">
          <cell r="D119">
            <v>10140014223</v>
          </cell>
          <cell r="E119" t="str">
            <v>贴片稳压二极管</v>
          </cell>
          <cell r="F119">
            <v>14030401</v>
          </cell>
          <cell r="G119" t="str">
            <v>JSCJ\Diode ZEN SMAG 20V 5% 1W 1SMA4747A</v>
          </cell>
          <cell r="H119" t="str">
            <v>JSCJ(江苏长晶)</v>
          </cell>
          <cell r="I119" t="str">
            <v>1SMA4747A</v>
          </cell>
          <cell r="J119">
            <v>101845</v>
          </cell>
          <cell r="K119" t="str">
            <v>深圳翰世宇科技有限公司</v>
          </cell>
          <cell r="L119" t="str">
            <v>X</v>
          </cell>
          <cell r="M119" t="str">
            <v/>
          </cell>
          <cell r="N119">
            <v>1</v>
          </cell>
          <cell r="O119">
            <v>0.19500000000000001</v>
          </cell>
          <cell r="P119">
            <v>195</v>
          </cell>
          <cell r="Q119">
            <v>195</v>
          </cell>
          <cell r="R119">
            <v>1000</v>
          </cell>
          <cell r="S119" t="str">
            <v>PCS</v>
          </cell>
          <cell r="T119">
            <v>56</v>
          </cell>
          <cell r="U119" t="str">
            <v>J3</v>
          </cell>
          <cell r="V119" t="str">
            <v>CNY</v>
          </cell>
          <cell r="W119">
            <v>5000</v>
          </cell>
          <cell r="X119">
            <v>5000</v>
          </cell>
        </row>
        <row r="120">
          <cell r="D120">
            <v>10160006989</v>
          </cell>
          <cell r="E120" t="str">
            <v>贴片方顶可见光LED</v>
          </cell>
          <cell r="F120">
            <v>16020205</v>
          </cell>
          <cell r="G120" t="str">
            <v>REFO\LED 0603 红光 无色 透明 高亮</v>
          </cell>
          <cell r="H120" t="str">
            <v>RF(瑞丰)</v>
          </cell>
          <cell r="I120" t="str">
            <v>RF-OUB191TB-CE-B0-EL</v>
          </cell>
          <cell r="J120">
            <v>101693</v>
          </cell>
          <cell r="K120" t="str">
            <v>浙江瑞丰光电有限公司</v>
          </cell>
          <cell r="L120" t="str">
            <v>X</v>
          </cell>
          <cell r="M120" t="str">
            <v/>
          </cell>
          <cell r="N120">
            <v>1</v>
          </cell>
          <cell r="O120">
            <v>4.8399999999999999E-2</v>
          </cell>
          <cell r="P120">
            <v>48.4</v>
          </cell>
          <cell r="Q120">
            <v>48.4</v>
          </cell>
          <cell r="R120">
            <v>1000</v>
          </cell>
          <cell r="S120" t="str">
            <v>PCS</v>
          </cell>
          <cell r="T120">
            <v>28</v>
          </cell>
          <cell r="U120" t="str">
            <v>J3</v>
          </cell>
          <cell r="V120" t="str">
            <v>CNY</v>
          </cell>
          <cell r="W120">
            <v>60000</v>
          </cell>
          <cell r="X120">
            <v>4000</v>
          </cell>
        </row>
        <row r="121">
          <cell r="D121">
            <v>10160007865</v>
          </cell>
          <cell r="E121" t="str">
            <v>贴片方顶可见光LED</v>
          </cell>
          <cell r="F121">
            <v>16020205</v>
          </cell>
          <cell r="G121" t="str">
            <v>CL\LED 0603 红光 无色 透明 超高亮</v>
          </cell>
          <cell r="H121" t="str">
            <v>CL(长利)</v>
          </cell>
          <cell r="I121" t="str">
            <v>CL-0603R/YY-J8</v>
          </cell>
          <cell r="J121">
            <v>100436</v>
          </cell>
          <cell r="K121" t="str">
            <v>广东长利光电科技有限公司</v>
          </cell>
          <cell r="L121" t="str">
            <v>X</v>
          </cell>
          <cell r="M121" t="str">
            <v/>
          </cell>
          <cell r="N121">
            <v>1</v>
          </cell>
          <cell r="O121">
            <v>2.75E-2</v>
          </cell>
          <cell r="P121">
            <v>27.5</v>
          </cell>
          <cell r="Q121">
            <v>27.5</v>
          </cell>
          <cell r="R121">
            <v>1000</v>
          </cell>
          <cell r="S121" t="str">
            <v>PCS</v>
          </cell>
          <cell r="T121">
            <v>10</v>
          </cell>
          <cell r="U121" t="str">
            <v>J3</v>
          </cell>
          <cell r="V121" t="str">
            <v>CNY</v>
          </cell>
          <cell r="W121">
            <v>4000</v>
          </cell>
          <cell r="X121">
            <v>4000</v>
          </cell>
        </row>
        <row r="122">
          <cell r="D122">
            <v>10190000675</v>
          </cell>
          <cell r="E122" t="str">
            <v>方型塑壳保险丝</v>
          </cell>
          <cell r="F122">
            <v>19010105</v>
          </cell>
          <cell r="G122" t="str">
            <v>HOLLY\FUSE 3.15A 250VAC 慢断 8.5*4*7.2 F=&amp;</v>
          </cell>
          <cell r="H122" t="str">
            <v>HOLLY(好利来)</v>
          </cell>
          <cell r="I122" t="str">
            <v>5ET-032HA</v>
          </cell>
          <cell r="J122">
            <v>101345</v>
          </cell>
          <cell r="K122" t="str">
            <v>好利来（厦门）电路保护科技有限公司</v>
          </cell>
          <cell r="L122" t="str">
            <v>X</v>
          </cell>
          <cell r="M122" t="str">
            <v/>
          </cell>
          <cell r="N122">
            <v>1</v>
          </cell>
          <cell r="O122">
            <v>8.3000000000000004E-2</v>
          </cell>
          <cell r="P122">
            <v>83</v>
          </cell>
          <cell r="Q122">
            <v>83</v>
          </cell>
          <cell r="R122">
            <v>1000</v>
          </cell>
          <cell r="S122" t="str">
            <v>PCS</v>
          </cell>
          <cell r="T122">
            <v>45</v>
          </cell>
          <cell r="U122" t="str">
            <v>J3</v>
          </cell>
          <cell r="V122" t="str">
            <v>CNY</v>
          </cell>
          <cell r="W122">
            <v>1000</v>
          </cell>
          <cell r="X122">
            <v>1000</v>
          </cell>
        </row>
        <row r="123">
          <cell r="D123">
            <v>10190001176</v>
          </cell>
          <cell r="E123" t="str">
            <v>方型塑壳保险丝</v>
          </cell>
          <cell r="F123">
            <v>19010105</v>
          </cell>
          <cell r="G123" t="str">
            <v>BETT\FUSE 3.15A 250VAC 慢断 8.3*4.1*7.6 F&amp;</v>
          </cell>
          <cell r="H123" t="str">
            <v>Better(贝特)</v>
          </cell>
          <cell r="I123">
            <v>9321315278</v>
          </cell>
          <cell r="J123">
            <v>100135</v>
          </cell>
          <cell r="K123" t="str">
            <v>东莞市贝特电子科技股份有限公司</v>
          </cell>
          <cell r="L123" t="str">
            <v>X</v>
          </cell>
          <cell r="M123" t="str">
            <v/>
          </cell>
          <cell r="N123">
            <v>1</v>
          </cell>
          <cell r="O123">
            <v>9.5000000000000001E-2</v>
          </cell>
          <cell r="P123">
            <v>95</v>
          </cell>
          <cell r="Q123">
            <v>95</v>
          </cell>
          <cell r="R123">
            <v>1000</v>
          </cell>
          <cell r="S123" t="str">
            <v>PCS</v>
          </cell>
          <cell r="T123">
            <v>21</v>
          </cell>
          <cell r="U123" t="str">
            <v>J3</v>
          </cell>
          <cell r="V123" t="str">
            <v>CNY</v>
          </cell>
          <cell r="W123">
            <v>1000</v>
          </cell>
          <cell r="X123">
            <v>1000</v>
          </cell>
        </row>
        <row r="124">
          <cell r="D124">
            <v>10190002307</v>
          </cell>
          <cell r="E124" t="str">
            <v>方型塑壳保险丝</v>
          </cell>
          <cell r="F124">
            <v>19010105</v>
          </cell>
          <cell r="G124" t="str">
            <v>LITT\FUSE 3.15A250VAC 8.5*4*8 F=5.08 编带&amp;</v>
          </cell>
          <cell r="H124" t="str">
            <v>LITTELFUSE(力特)</v>
          </cell>
          <cell r="I124">
            <v>39213150000</v>
          </cell>
          <cell r="J124">
            <v>100276</v>
          </cell>
          <cell r="K124" t="str">
            <v>青岛宝融电子有限公司</v>
          </cell>
          <cell r="L124" t="str">
            <v>X</v>
          </cell>
          <cell r="M124" t="str">
            <v/>
          </cell>
          <cell r="N124">
            <v>1</v>
          </cell>
          <cell r="O124">
            <v>0.155</v>
          </cell>
          <cell r="P124">
            <v>155</v>
          </cell>
          <cell r="Q124">
            <v>155</v>
          </cell>
          <cell r="R124">
            <v>1000</v>
          </cell>
          <cell r="S124" t="str">
            <v>PCS</v>
          </cell>
          <cell r="T124">
            <v>112</v>
          </cell>
          <cell r="U124" t="str">
            <v>J3</v>
          </cell>
          <cell r="V124" t="str">
            <v>CNY</v>
          </cell>
          <cell r="W124">
            <v>1400</v>
          </cell>
          <cell r="X124">
            <v>1400</v>
          </cell>
        </row>
        <row r="125">
          <cell r="D125">
            <v>10100002122</v>
          </cell>
          <cell r="E125" t="str">
            <v>厚膜贴片电阻器</v>
          </cell>
          <cell r="F125">
            <v>10010302</v>
          </cell>
          <cell r="G125" t="str">
            <v>YAGEO\RES 1K F 1/8W 0805</v>
          </cell>
          <cell r="H125" t="str">
            <v>YAGEO(国巨)</v>
          </cell>
          <cell r="I125" t="str">
            <v>RC0805FR-071KL</v>
          </cell>
          <cell r="J125">
            <v>100632</v>
          </cell>
          <cell r="K125" t="str">
            <v>深圳市欧尔法电子有限公司</v>
          </cell>
          <cell r="L125" t="str">
            <v>X</v>
          </cell>
          <cell r="M125" t="str">
            <v/>
          </cell>
          <cell r="N125">
            <v>1</v>
          </cell>
          <cell r="O125">
            <v>4.7999999999999996E-3</v>
          </cell>
          <cell r="P125">
            <v>4.8</v>
          </cell>
          <cell r="Q125">
            <v>4.8</v>
          </cell>
          <cell r="R125">
            <v>1000</v>
          </cell>
          <cell r="S125" t="str">
            <v>PCS</v>
          </cell>
          <cell r="T125">
            <v>56</v>
          </cell>
          <cell r="U125" t="str">
            <v>J3</v>
          </cell>
          <cell r="V125" t="str">
            <v>CNY</v>
          </cell>
          <cell r="W125">
            <v>5000</v>
          </cell>
          <cell r="X125">
            <v>5000</v>
          </cell>
        </row>
        <row r="126">
          <cell r="D126">
            <v>10100002123</v>
          </cell>
          <cell r="E126" t="str">
            <v>厚膜贴片电阻器</v>
          </cell>
          <cell r="F126">
            <v>10010302</v>
          </cell>
          <cell r="G126" t="str">
            <v>FH\RES 1K F 1/8W 0805</v>
          </cell>
          <cell r="H126" t="str">
            <v>FH(风华)</v>
          </cell>
          <cell r="I126" t="str">
            <v>RS-05K1001FT</v>
          </cell>
          <cell r="J126">
            <v>100654</v>
          </cell>
          <cell r="K126" t="str">
            <v>广东风华高新科技股份有限公司</v>
          </cell>
          <cell r="L126" t="str">
            <v>X</v>
          </cell>
          <cell r="M126" t="str">
            <v/>
          </cell>
          <cell r="N126">
            <v>1</v>
          </cell>
          <cell r="O126">
            <v>3.7200000000000002E-3</v>
          </cell>
          <cell r="P126">
            <v>3.72</v>
          </cell>
          <cell r="Q126">
            <v>3.72</v>
          </cell>
          <cell r="R126">
            <v>1000</v>
          </cell>
          <cell r="S126" t="str">
            <v>PCS</v>
          </cell>
          <cell r="T126">
            <v>42</v>
          </cell>
          <cell r="U126" t="str">
            <v>J3</v>
          </cell>
          <cell r="V126" t="str">
            <v>CNY</v>
          </cell>
          <cell r="W126">
            <v>5000</v>
          </cell>
          <cell r="X126">
            <v>5000</v>
          </cell>
        </row>
        <row r="127">
          <cell r="D127">
            <v>10100002658</v>
          </cell>
          <cell r="E127" t="str">
            <v>厚膜贴片电阻器</v>
          </cell>
          <cell r="F127">
            <v>10010302</v>
          </cell>
          <cell r="G127" t="str">
            <v>FH\RES 470R F 1/4W 1206</v>
          </cell>
          <cell r="H127" t="str">
            <v>FH(风华)</v>
          </cell>
          <cell r="I127" t="str">
            <v>RS-06K4700FT</v>
          </cell>
          <cell r="J127">
            <v>100654</v>
          </cell>
          <cell r="K127" t="str">
            <v>广东风华高新科技股份有限公司</v>
          </cell>
          <cell r="L127" t="str">
            <v>X</v>
          </cell>
          <cell r="M127" t="str">
            <v/>
          </cell>
          <cell r="N127">
            <v>1</v>
          </cell>
          <cell r="O127">
            <v>6.4999999999999997E-3</v>
          </cell>
          <cell r="P127">
            <v>6.5</v>
          </cell>
          <cell r="Q127">
            <v>6.5</v>
          </cell>
          <cell r="R127">
            <v>1000</v>
          </cell>
          <cell r="S127" t="str">
            <v>PCS</v>
          </cell>
          <cell r="T127">
            <v>42</v>
          </cell>
          <cell r="U127" t="str">
            <v>J3</v>
          </cell>
          <cell r="V127" t="str">
            <v>CNY</v>
          </cell>
          <cell r="W127">
            <v>5000</v>
          </cell>
          <cell r="X127">
            <v>5000</v>
          </cell>
        </row>
        <row r="128">
          <cell r="D128">
            <v>10100002659</v>
          </cell>
          <cell r="E128" t="str">
            <v>厚膜贴片电阻器</v>
          </cell>
          <cell r="F128">
            <v>10010302</v>
          </cell>
          <cell r="G128" t="str">
            <v>YAGEO\RES 470R F 1/4W 1206</v>
          </cell>
          <cell r="H128" t="str">
            <v>YAGEO(国巨)</v>
          </cell>
          <cell r="I128" t="str">
            <v>RC1206FR-07470RL</v>
          </cell>
          <cell r="J128">
            <v>100632</v>
          </cell>
          <cell r="K128" t="str">
            <v>深圳市欧尔法电子有限公司</v>
          </cell>
          <cell r="L128" t="str">
            <v>X</v>
          </cell>
          <cell r="M128" t="str">
            <v/>
          </cell>
          <cell r="N128">
            <v>1</v>
          </cell>
          <cell r="O128">
            <v>8.0000000000000002E-3</v>
          </cell>
          <cell r="P128">
            <v>8</v>
          </cell>
          <cell r="Q128">
            <v>8</v>
          </cell>
          <cell r="R128">
            <v>1000</v>
          </cell>
          <cell r="S128" t="str">
            <v>PCS</v>
          </cell>
          <cell r="T128">
            <v>70</v>
          </cell>
          <cell r="U128" t="str">
            <v>J3</v>
          </cell>
          <cell r="V128" t="str">
            <v>CNY</v>
          </cell>
          <cell r="W128">
            <v>5000</v>
          </cell>
          <cell r="X128">
            <v>5000</v>
          </cell>
        </row>
        <row r="129">
          <cell r="D129">
            <v>10100002715</v>
          </cell>
          <cell r="E129" t="str">
            <v>厚膜贴片电阻器</v>
          </cell>
          <cell r="F129">
            <v>10010302</v>
          </cell>
          <cell r="G129" t="str">
            <v>YAGEO\RES 5.1K F 1/8W 0805</v>
          </cell>
          <cell r="H129" t="str">
            <v>YAGEO(国巨)</v>
          </cell>
          <cell r="I129" t="str">
            <v>RC0805FR-075K1L</v>
          </cell>
          <cell r="J129">
            <v>100632</v>
          </cell>
          <cell r="K129" t="str">
            <v>深圳市欧尔法电子有限公司</v>
          </cell>
          <cell r="L129" t="str">
            <v>X</v>
          </cell>
          <cell r="M129" t="str">
            <v/>
          </cell>
          <cell r="N129">
            <v>1</v>
          </cell>
          <cell r="O129">
            <v>4.7999999999999996E-3</v>
          </cell>
          <cell r="P129">
            <v>4.8</v>
          </cell>
          <cell r="Q129">
            <v>4.8</v>
          </cell>
          <cell r="R129">
            <v>1000</v>
          </cell>
          <cell r="S129" t="str">
            <v>PCS</v>
          </cell>
          <cell r="T129">
            <v>70</v>
          </cell>
          <cell r="U129" t="str">
            <v>J3</v>
          </cell>
          <cell r="V129" t="str">
            <v>CNY</v>
          </cell>
          <cell r="W129">
            <v>5000</v>
          </cell>
          <cell r="X129">
            <v>5000</v>
          </cell>
        </row>
        <row r="130">
          <cell r="D130">
            <v>10100003500</v>
          </cell>
          <cell r="E130" t="str">
            <v>厚膜贴片电阻器</v>
          </cell>
          <cell r="F130">
            <v>10010302</v>
          </cell>
          <cell r="G130" t="str">
            <v>YAGEO\RES 4.7K F 1/10W 0603</v>
          </cell>
          <cell r="H130" t="str">
            <v>YAGEO(国巨)</v>
          </cell>
          <cell r="I130" t="str">
            <v>RC0603FR-074K7L</v>
          </cell>
          <cell r="J130">
            <v>100078</v>
          </cell>
          <cell r="K130" t="str">
            <v>深圳市超利维实业有限公司</v>
          </cell>
          <cell r="L130" t="str">
            <v>X</v>
          </cell>
          <cell r="M130" t="str">
            <v/>
          </cell>
          <cell r="N130">
            <v>1</v>
          </cell>
          <cell r="O130">
            <v>2.5999999999999999E-3</v>
          </cell>
          <cell r="P130">
            <v>2.6</v>
          </cell>
          <cell r="Q130">
            <v>2.6</v>
          </cell>
          <cell r="R130">
            <v>1000</v>
          </cell>
          <cell r="S130" t="str">
            <v>PCS</v>
          </cell>
          <cell r="T130">
            <v>56</v>
          </cell>
          <cell r="U130" t="str">
            <v>J3</v>
          </cell>
          <cell r="V130" t="str">
            <v>CNY</v>
          </cell>
          <cell r="W130">
            <v>5000</v>
          </cell>
          <cell r="X130">
            <v>5000</v>
          </cell>
        </row>
        <row r="131">
          <cell r="D131">
            <v>10100003511</v>
          </cell>
          <cell r="E131" t="str">
            <v>厚膜贴片电阻器</v>
          </cell>
          <cell r="F131">
            <v>10010302</v>
          </cell>
          <cell r="G131" t="str">
            <v>YAGEO\RES 47R F 1/4W 1206</v>
          </cell>
          <cell r="H131" t="str">
            <v>YAGEO(国巨)</v>
          </cell>
          <cell r="I131" t="str">
            <v>RC1206FR-0747RL</v>
          </cell>
          <cell r="J131">
            <v>100632</v>
          </cell>
          <cell r="K131" t="str">
            <v>深圳市欧尔法电子有限公司</v>
          </cell>
          <cell r="L131" t="str">
            <v>X</v>
          </cell>
          <cell r="M131" t="str">
            <v/>
          </cell>
          <cell r="N131">
            <v>1</v>
          </cell>
          <cell r="O131">
            <v>8.0000000000000002E-3</v>
          </cell>
          <cell r="P131">
            <v>8</v>
          </cell>
          <cell r="Q131">
            <v>8</v>
          </cell>
          <cell r="R131">
            <v>1000</v>
          </cell>
          <cell r="S131" t="str">
            <v>PCS</v>
          </cell>
          <cell r="T131">
            <v>56</v>
          </cell>
          <cell r="U131" t="str">
            <v>J3</v>
          </cell>
          <cell r="V131" t="str">
            <v>CNY</v>
          </cell>
          <cell r="W131">
            <v>5000</v>
          </cell>
          <cell r="X131">
            <v>5000</v>
          </cell>
        </row>
        <row r="132">
          <cell r="D132">
            <v>10100003565</v>
          </cell>
          <cell r="E132" t="str">
            <v>厚膜贴片电阻器</v>
          </cell>
          <cell r="F132">
            <v>10010302</v>
          </cell>
          <cell r="G132" t="str">
            <v>FH\RES 68K F 1/10W 0603</v>
          </cell>
          <cell r="H132" t="str">
            <v>FH(风华)</v>
          </cell>
          <cell r="I132" t="str">
            <v>RS-03K6802FT</v>
          </cell>
          <cell r="J132">
            <v>100654</v>
          </cell>
          <cell r="K132" t="str">
            <v>广东风华高新科技股份有限公司</v>
          </cell>
          <cell r="L132" t="str">
            <v>X</v>
          </cell>
          <cell r="M132" t="str">
            <v/>
          </cell>
          <cell r="N132">
            <v>1</v>
          </cell>
          <cell r="O132">
            <v>2.0799999999999998E-3</v>
          </cell>
          <cell r="P132">
            <v>2.08</v>
          </cell>
          <cell r="Q132">
            <v>2.08</v>
          </cell>
          <cell r="R132">
            <v>1000</v>
          </cell>
          <cell r="S132" t="str">
            <v>PCS</v>
          </cell>
          <cell r="T132">
            <v>42</v>
          </cell>
          <cell r="U132" t="str">
            <v>J3</v>
          </cell>
          <cell r="V132" t="str">
            <v>CNY</v>
          </cell>
          <cell r="W132">
            <v>5000</v>
          </cell>
          <cell r="X132">
            <v>5000</v>
          </cell>
        </row>
        <row r="133">
          <cell r="D133">
            <v>10100003566</v>
          </cell>
          <cell r="E133" t="str">
            <v>厚膜贴片电阻器</v>
          </cell>
          <cell r="F133">
            <v>10010302</v>
          </cell>
          <cell r="G133" t="str">
            <v>YAGEO\RES 68K F 1/10W 0603</v>
          </cell>
          <cell r="H133" t="str">
            <v>YAGEO(国巨)</v>
          </cell>
          <cell r="I133" t="str">
            <v>RC0603FR-0768KL</v>
          </cell>
          <cell r="J133">
            <v>100078</v>
          </cell>
          <cell r="K133" t="str">
            <v>深圳市超利维实业有限公司</v>
          </cell>
          <cell r="L133" t="str">
            <v>X</v>
          </cell>
          <cell r="M133" t="str">
            <v/>
          </cell>
          <cell r="N133">
            <v>1</v>
          </cell>
          <cell r="O133">
            <v>2.5999999999999999E-3</v>
          </cell>
          <cell r="P133">
            <v>2.6</v>
          </cell>
          <cell r="Q133">
            <v>2.6</v>
          </cell>
          <cell r="R133">
            <v>1000</v>
          </cell>
          <cell r="S133" t="str">
            <v>PCS</v>
          </cell>
          <cell r="T133">
            <v>56</v>
          </cell>
          <cell r="U133" t="str">
            <v>J3</v>
          </cell>
          <cell r="V133" t="str">
            <v>CNY</v>
          </cell>
          <cell r="W133">
            <v>5000</v>
          </cell>
          <cell r="X133">
            <v>5000</v>
          </cell>
        </row>
        <row r="134">
          <cell r="D134">
            <v>10100004273</v>
          </cell>
          <cell r="E134" t="str">
            <v>厚膜贴片电阻器</v>
          </cell>
          <cell r="F134">
            <v>10010302</v>
          </cell>
          <cell r="G134" t="str">
            <v>YAGEO\RES 2.2K F 1/10W 0603</v>
          </cell>
          <cell r="H134" t="str">
            <v>YAGEO(国巨)</v>
          </cell>
          <cell r="I134" t="str">
            <v>RC0603FR-072K2L</v>
          </cell>
          <cell r="J134">
            <v>100078</v>
          </cell>
          <cell r="K134" t="str">
            <v>深圳市超利维实业有限公司</v>
          </cell>
          <cell r="L134" t="str">
            <v>X</v>
          </cell>
          <cell r="M134" t="str">
            <v/>
          </cell>
          <cell r="N134">
            <v>1</v>
          </cell>
          <cell r="O134">
            <v>2.5999999999999999E-3</v>
          </cell>
          <cell r="P134">
            <v>2.6</v>
          </cell>
          <cell r="Q134">
            <v>2.6</v>
          </cell>
          <cell r="R134">
            <v>1000</v>
          </cell>
          <cell r="S134" t="str">
            <v>PCS</v>
          </cell>
          <cell r="T134">
            <v>56</v>
          </cell>
          <cell r="U134" t="str">
            <v>J3</v>
          </cell>
          <cell r="V134" t="str">
            <v>CNY</v>
          </cell>
          <cell r="W134">
            <v>5000</v>
          </cell>
          <cell r="X134">
            <v>5000</v>
          </cell>
        </row>
        <row r="135">
          <cell r="D135">
            <v>10100004833</v>
          </cell>
          <cell r="E135" t="str">
            <v>厚膜贴片电阻器</v>
          </cell>
          <cell r="F135">
            <v>10010302</v>
          </cell>
          <cell r="G135" t="str">
            <v>WALS\RES 1K F 1/8W 0805</v>
          </cell>
          <cell r="H135" t="str">
            <v>WALS(华科)</v>
          </cell>
          <cell r="I135" t="str">
            <v>WR08X1001FTL</v>
          </cell>
          <cell r="J135">
            <v>100131</v>
          </cell>
          <cell r="K135" t="str">
            <v>东莞华科电子有限公司</v>
          </cell>
          <cell r="L135" t="str">
            <v>X</v>
          </cell>
          <cell r="M135" t="str">
            <v/>
          </cell>
          <cell r="N135">
            <v>1</v>
          </cell>
          <cell r="O135">
            <v>3.8800000000000002E-3</v>
          </cell>
          <cell r="P135">
            <v>3.88</v>
          </cell>
          <cell r="Q135">
            <v>3.88</v>
          </cell>
          <cell r="R135">
            <v>1000</v>
          </cell>
          <cell r="S135" t="str">
            <v>PCS</v>
          </cell>
          <cell r="T135">
            <v>56</v>
          </cell>
          <cell r="U135" t="str">
            <v>J3</v>
          </cell>
          <cell r="V135" t="str">
            <v>CNY</v>
          </cell>
          <cell r="W135">
            <v>5000</v>
          </cell>
          <cell r="X135">
            <v>5000</v>
          </cell>
        </row>
        <row r="136">
          <cell r="D136">
            <v>10100005487</v>
          </cell>
          <cell r="E136" t="str">
            <v>厚膜贴片电阻器</v>
          </cell>
          <cell r="F136">
            <v>10010302</v>
          </cell>
          <cell r="G136" t="str">
            <v>ROYA\RES 1K F 1/8W 0805</v>
          </cell>
          <cell r="H136" t="str">
            <v>ROYALOHM(厚声)</v>
          </cell>
          <cell r="I136" t="str">
            <v>0805W8F1001T5E</v>
          </cell>
          <cell r="J136">
            <v>100096</v>
          </cell>
          <cell r="K136" t="str">
            <v>厚声国际贸易（昆山）有限公司深圳分公司</v>
          </cell>
          <cell r="L136" t="str">
            <v>X</v>
          </cell>
          <cell r="M136" t="str">
            <v/>
          </cell>
          <cell r="N136">
            <v>1</v>
          </cell>
          <cell r="O136">
            <v>3.8E-3</v>
          </cell>
          <cell r="P136">
            <v>3.8</v>
          </cell>
          <cell r="Q136">
            <v>3.8</v>
          </cell>
          <cell r="R136">
            <v>1000</v>
          </cell>
          <cell r="S136" t="str">
            <v>PCS</v>
          </cell>
          <cell r="T136">
            <v>56</v>
          </cell>
          <cell r="U136" t="str">
            <v>J3</v>
          </cell>
          <cell r="V136" t="str">
            <v>CNY</v>
          </cell>
          <cell r="W136">
            <v>5000</v>
          </cell>
          <cell r="X136">
            <v>5000</v>
          </cell>
        </row>
        <row r="137">
          <cell r="D137">
            <v>10100005503</v>
          </cell>
          <cell r="E137" t="str">
            <v>厚膜贴片电阻器</v>
          </cell>
          <cell r="F137">
            <v>10010302</v>
          </cell>
          <cell r="G137" t="str">
            <v>ROYA\RES 5.1K F 1/8W 0805</v>
          </cell>
          <cell r="H137" t="str">
            <v>ROYALOHM(厚声)</v>
          </cell>
          <cell r="I137" t="str">
            <v>0805W8F5101T5E</v>
          </cell>
          <cell r="J137">
            <v>100096</v>
          </cell>
          <cell r="K137" t="str">
            <v>厚声国际贸易（昆山）有限公司深圳分公司</v>
          </cell>
          <cell r="L137" t="str">
            <v>X</v>
          </cell>
          <cell r="M137" t="str">
            <v/>
          </cell>
          <cell r="N137">
            <v>1</v>
          </cell>
          <cell r="O137">
            <v>3.8E-3</v>
          </cell>
          <cell r="P137">
            <v>3.8</v>
          </cell>
          <cell r="Q137">
            <v>3.8</v>
          </cell>
          <cell r="R137">
            <v>1000</v>
          </cell>
          <cell r="S137" t="str">
            <v>PCS</v>
          </cell>
          <cell r="T137">
            <v>56</v>
          </cell>
          <cell r="U137" t="str">
            <v>J3</v>
          </cell>
          <cell r="V137" t="str">
            <v>CNY</v>
          </cell>
          <cell r="W137">
            <v>5000</v>
          </cell>
          <cell r="X137">
            <v>5000</v>
          </cell>
        </row>
        <row r="138">
          <cell r="D138">
            <v>10100005703</v>
          </cell>
          <cell r="E138" t="str">
            <v>厚膜贴片电阻器</v>
          </cell>
          <cell r="F138">
            <v>10010302</v>
          </cell>
          <cell r="G138" t="str">
            <v>YAGEO\RES 1K F 1/16W 0402</v>
          </cell>
          <cell r="H138" t="str">
            <v>YAGEO(国巨)</v>
          </cell>
          <cell r="I138" t="str">
            <v>RC0402FR-071KL</v>
          </cell>
          <cell r="J138">
            <v>100078</v>
          </cell>
          <cell r="K138" t="str">
            <v>深圳市超利维实业有限公司</v>
          </cell>
          <cell r="L138" t="str">
            <v>X</v>
          </cell>
          <cell r="M138" t="str">
            <v/>
          </cell>
          <cell r="N138">
            <v>1</v>
          </cell>
          <cell r="O138">
            <v>1.4E-3</v>
          </cell>
          <cell r="P138">
            <v>1.4</v>
          </cell>
          <cell r="Q138">
            <v>1.4</v>
          </cell>
          <cell r="R138">
            <v>1000</v>
          </cell>
          <cell r="S138" t="str">
            <v>PCS</v>
          </cell>
          <cell r="T138">
            <v>84</v>
          </cell>
          <cell r="U138" t="str">
            <v>J3</v>
          </cell>
          <cell r="V138" t="str">
            <v>CNY</v>
          </cell>
          <cell r="W138">
            <v>10000</v>
          </cell>
          <cell r="X138">
            <v>10000</v>
          </cell>
        </row>
        <row r="139">
          <cell r="D139">
            <v>10100005718</v>
          </cell>
          <cell r="E139" t="str">
            <v>厚膜贴片电阻器</v>
          </cell>
          <cell r="F139">
            <v>10010302</v>
          </cell>
          <cell r="G139" t="str">
            <v>FH\RES 1K F 1/16W 0402</v>
          </cell>
          <cell r="H139" t="str">
            <v>FH(风华)</v>
          </cell>
          <cell r="I139" t="str">
            <v>RC-02K1001FT</v>
          </cell>
          <cell r="J139">
            <v>100654</v>
          </cell>
          <cell r="K139" t="str">
            <v>广东风华高新科技股份有限公司</v>
          </cell>
          <cell r="L139" t="str">
            <v>X</v>
          </cell>
          <cell r="M139" t="str">
            <v/>
          </cell>
          <cell r="N139">
            <v>1</v>
          </cell>
          <cell r="O139">
            <v>1.1000000000000001E-3</v>
          </cell>
          <cell r="P139">
            <v>1.1000000000000001</v>
          </cell>
          <cell r="Q139">
            <v>1.1000000000000001</v>
          </cell>
          <cell r="R139">
            <v>1000</v>
          </cell>
          <cell r="S139" t="str">
            <v>PCS</v>
          </cell>
          <cell r="T139">
            <v>42</v>
          </cell>
          <cell r="U139" t="str">
            <v>J3</v>
          </cell>
          <cell r="V139" t="str">
            <v>CNY</v>
          </cell>
          <cell r="W139">
            <v>10000</v>
          </cell>
          <cell r="X139">
            <v>10000</v>
          </cell>
        </row>
        <row r="140">
          <cell r="D140">
            <v>10100005795</v>
          </cell>
          <cell r="E140" t="str">
            <v>厚膜贴片电阻器</v>
          </cell>
          <cell r="F140">
            <v>10010302</v>
          </cell>
          <cell r="G140" t="str">
            <v>FH\RES 10K F 1/16W 0402</v>
          </cell>
          <cell r="H140" t="str">
            <v>FH(风华)</v>
          </cell>
          <cell r="I140" t="str">
            <v>RC-02K1002FT</v>
          </cell>
          <cell r="J140">
            <v>100654</v>
          </cell>
          <cell r="K140" t="str">
            <v>广东风华高新科技股份有限公司</v>
          </cell>
          <cell r="L140" t="str">
            <v>X</v>
          </cell>
          <cell r="M140" t="str">
            <v/>
          </cell>
          <cell r="N140">
            <v>1</v>
          </cell>
          <cell r="O140">
            <v>1.1000000000000001E-3</v>
          </cell>
          <cell r="P140">
            <v>1.1000000000000001</v>
          </cell>
          <cell r="Q140">
            <v>1.1000000000000001</v>
          </cell>
          <cell r="R140">
            <v>1000</v>
          </cell>
          <cell r="S140" t="str">
            <v>PCS</v>
          </cell>
          <cell r="T140">
            <v>42</v>
          </cell>
          <cell r="U140" t="str">
            <v>J3</v>
          </cell>
          <cell r="V140" t="str">
            <v>CNY</v>
          </cell>
          <cell r="W140">
            <v>10000</v>
          </cell>
          <cell r="X140">
            <v>10000</v>
          </cell>
        </row>
        <row r="141">
          <cell r="D141">
            <v>10100006398</v>
          </cell>
          <cell r="E141" t="str">
            <v>厚膜贴片电阻器</v>
          </cell>
          <cell r="F141">
            <v>10010302</v>
          </cell>
          <cell r="G141" t="str">
            <v>FH\RES 47R F 1/4W 1206</v>
          </cell>
          <cell r="H141" t="str">
            <v>FH(风华)</v>
          </cell>
          <cell r="I141" t="str">
            <v>RS-06K47R0FT</v>
          </cell>
          <cell r="J141">
            <v>100654</v>
          </cell>
          <cell r="K141" t="str">
            <v>广东风华高新科技股份有限公司</v>
          </cell>
          <cell r="L141" t="str">
            <v>X</v>
          </cell>
          <cell r="M141" t="str">
            <v/>
          </cell>
          <cell r="N141">
            <v>1</v>
          </cell>
          <cell r="O141">
            <v>6.3699999999999998E-3</v>
          </cell>
          <cell r="P141">
            <v>6.37</v>
          </cell>
          <cell r="Q141">
            <v>6.37</v>
          </cell>
          <cell r="R141">
            <v>1000</v>
          </cell>
          <cell r="S141" t="str">
            <v>PCS</v>
          </cell>
          <cell r="T141">
            <v>42</v>
          </cell>
          <cell r="U141" t="str">
            <v>J3</v>
          </cell>
          <cell r="V141" t="str">
            <v>CNY</v>
          </cell>
          <cell r="W141">
            <v>4000</v>
          </cell>
          <cell r="X141">
            <v>4000</v>
          </cell>
        </row>
        <row r="142">
          <cell r="D142">
            <v>10100006494</v>
          </cell>
          <cell r="E142" t="str">
            <v>厚膜贴片电阻器</v>
          </cell>
          <cell r="F142">
            <v>10010302</v>
          </cell>
          <cell r="G142" t="str">
            <v>FH\RES 2.2K F 1/10W 0603</v>
          </cell>
          <cell r="H142" t="str">
            <v>FH(风华)</v>
          </cell>
          <cell r="I142" t="str">
            <v>RS-03K2201FT</v>
          </cell>
          <cell r="J142">
            <v>100654</v>
          </cell>
          <cell r="K142" t="str">
            <v>广东风华高新科技股份有限公司</v>
          </cell>
          <cell r="L142" t="str">
            <v>X</v>
          </cell>
          <cell r="M142" t="str">
            <v/>
          </cell>
          <cell r="N142">
            <v>1</v>
          </cell>
          <cell r="O142">
            <v>2.0799999999999998E-3</v>
          </cell>
          <cell r="P142">
            <v>2.08</v>
          </cell>
          <cell r="Q142">
            <v>2.08</v>
          </cell>
          <cell r="R142">
            <v>1000</v>
          </cell>
          <cell r="S142" t="str">
            <v>PCS</v>
          </cell>
          <cell r="T142">
            <v>42</v>
          </cell>
          <cell r="U142" t="str">
            <v>J3</v>
          </cell>
          <cell r="V142" t="str">
            <v>CNY</v>
          </cell>
          <cell r="W142">
            <v>5000</v>
          </cell>
          <cell r="X142">
            <v>5000</v>
          </cell>
        </row>
        <row r="143">
          <cell r="D143">
            <v>10100006507</v>
          </cell>
          <cell r="E143" t="str">
            <v>厚膜贴片电阻器</v>
          </cell>
          <cell r="F143">
            <v>10010302</v>
          </cell>
          <cell r="G143" t="str">
            <v>FH\RES 4.7K F 1/10W 0603</v>
          </cell>
          <cell r="H143" t="str">
            <v>FH(风华)</v>
          </cell>
          <cell r="I143" t="str">
            <v>RS-03K4701FT</v>
          </cell>
          <cell r="J143">
            <v>100654</v>
          </cell>
          <cell r="K143" t="str">
            <v>广东风华高新科技股份有限公司</v>
          </cell>
          <cell r="L143" t="str">
            <v>X</v>
          </cell>
          <cell r="M143" t="str">
            <v/>
          </cell>
          <cell r="N143">
            <v>1</v>
          </cell>
          <cell r="O143">
            <v>2.0799999999999998E-3</v>
          </cell>
          <cell r="P143">
            <v>2.08</v>
          </cell>
          <cell r="Q143">
            <v>2.08</v>
          </cell>
          <cell r="R143">
            <v>1000</v>
          </cell>
          <cell r="S143" t="str">
            <v>PCS</v>
          </cell>
          <cell r="T143">
            <v>42</v>
          </cell>
          <cell r="U143" t="str">
            <v>J3</v>
          </cell>
          <cell r="V143" t="str">
            <v>CNY</v>
          </cell>
          <cell r="W143">
            <v>5000</v>
          </cell>
          <cell r="X143">
            <v>5000</v>
          </cell>
        </row>
        <row r="144">
          <cell r="D144">
            <v>10100006627</v>
          </cell>
          <cell r="E144" t="str">
            <v>厚膜贴片电阻器</v>
          </cell>
          <cell r="F144">
            <v>10010302</v>
          </cell>
          <cell r="G144" t="str">
            <v>FH\RES 5.1K F 1/8W 0805</v>
          </cell>
          <cell r="H144" t="str">
            <v>FH(风华)</v>
          </cell>
          <cell r="I144" t="str">
            <v>RS-05K5101FT</v>
          </cell>
          <cell r="J144">
            <v>100654</v>
          </cell>
          <cell r="K144" t="str">
            <v>广东风华高新科技股份有限公司</v>
          </cell>
          <cell r="L144" t="str">
            <v>X</v>
          </cell>
          <cell r="M144" t="str">
            <v/>
          </cell>
          <cell r="N144">
            <v>1</v>
          </cell>
          <cell r="O144">
            <v>3.7200000000000002E-3</v>
          </cell>
          <cell r="P144">
            <v>3.72</v>
          </cell>
          <cell r="Q144">
            <v>3.72</v>
          </cell>
          <cell r="R144">
            <v>1000</v>
          </cell>
          <cell r="S144" t="str">
            <v>PCS</v>
          </cell>
          <cell r="T144">
            <v>42</v>
          </cell>
          <cell r="U144" t="str">
            <v>J3</v>
          </cell>
          <cell r="V144" t="str">
            <v>CNY</v>
          </cell>
          <cell r="W144">
            <v>5000</v>
          </cell>
          <cell r="X144">
            <v>5000</v>
          </cell>
        </row>
        <row r="145">
          <cell r="D145">
            <v>10100006711</v>
          </cell>
          <cell r="E145" t="str">
            <v>厚膜贴片电阻器</v>
          </cell>
          <cell r="F145">
            <v>10010302</v>
          </cell>
          <cell r="G145" t="str">
            <v>WALS\RES 1K F 1/16W 0402</v>
          </cell>
          <cell r="H145" t="str">
            <v>WALS(华科)</v>
          </cell>
          <cell r="I145" t="str">
            <v>WR04X1001FTL</v>
          </cell>
          <cell r="J145">
            <v>100131</v>
          </cell>
          <cell r="K145" t="str">
            <v>东莞华科电子有限公司</v>
          </cell>
          <cell r="L145" t="str">
            <v>X</v>
          </cell>
          <cell r="M145" t="str">
            <v/>
          </cell>
          <cell r="N145">
            <v>1</v>
          </cell>
          <cell r="O145">
            <v>1.17E-3</v>
          </cell>
          <cell r="P145">
            <v>1.17</v>
          </cell>
          <cell r="Q145">
            <v>1.17</v>
          </cell>
          <cell r="R145">
            <v>1000</v>
          </cell>
          <cell r="S145" t="str">
            <v>PCS</v>
          </cell>
          <cell r="T145">
            <v>56</v>
          </cell>
          <cell r="U145" t="str">
            <v>J3</v>
          </cell>
          <cell r="V145" t="str">
            <v>CNY</v>
          </cell>
          <cell r="W145">
            <v>10000</v>
          </cell>
          <cell r="X145">
            <v>10000</v>
          </cell>
        </row>
        <row r="146">
          <cell r="D146">
            <v>10100006809</v>
          </cell>
          <cell r="E146" t="str">
            <v>厚膜贴片电阻器</v>
          </cell>
          <cell r="F146">
            <v>10010302</v>
          </cell>
          <cell r="G146" t="str">
            <v>WALS\RES 2.2K F 1/10W 0603</v>
          </cell>
          <cell r="H146" t="str">
            <v>WALS(华科)</v>
          </cell>
          <cell r="I146" t="str">
            <v>WR06X2201FTL</v>
          </cell>
          <cell r="J146">
            <v>100131</v>
          </cell>
          <cell r="K146" t="str">
            <v>东莞华科电子有限公司</v>
          </cell>
          <cell r="L146" t="str">
            <v>X</v>
          </cell>
          <cell r="M146" t="str">
            <v/>
          </cell>
          <cell r="N146">
            <v>1</v>
          </cell>
          <cell r="O146">
            <v>2.2200000000000002E-3</v>
          </cell>
          <cell r="P146">
            <v>2.2200000000000002</v>
          </cell>
          <cell r="Q146">
            <v>2.2200000000000002</v>
          </cell>
          <cell r="R146">
            <v>1000</v>
          </cell>
          <cell r="S146" t="str">
            <v>PCS</v>
          </cell>
          <cell r="T146">
            <v>56</v>
          </cell>
          <cell r="U146" t="str">
            <v>J3</v>
          </cell>
          <cell r="V146" t="str">
            <v>CNY</v>
          </cell>
          <cell r="W146">
            <v>5000</v>
          </cell>
          <cell r="X146">
            <v>5000</v>
          </cell>
        </row>
        <row r="147">
          <cell r="D147">
            <v>10100006845</v>
          </cell>
          <cell r="E147" t="str">
            <v>厚膜贴片电阻器</v>
          </cell>
          <cell r="F147">
            <v>10010302</v>
          </cell>
          <cell r="G147" t="str">
            <v>WALS\RES 4.7K F 1/10W 0603</v>
          </cell>
          <cell r="H147" t="str">
            <v>WALS(华科)</v>
          </cell>
          <cell r="I147" t="str">
            <v>WR06X4701FTL</v>
          </cell>
          <cell r="J147">
            <v>100131</v>
          </cell>
          <cell r="K147" t="str">
            <v>东莞华科电子有限公司</v>
          </cell>
          <cell r="L147" t="str">
            <v>X</v>
          </cell>
          <cell r="M147" t="str">
            <v/>
          </cell>
          <cell r="N147">
            <v>1</v>
          </cell>
          <cell r="O147">
            <v>2.2200000000000002E-3</v>
          </cell>
          <cell r="P147">
            <v>2.2200000000000002</v>
          </cell>
          <cell r="Q147">
            <v>2.2200000000000002</v>
          </cell>
          <cell r="R147">
            <v>1000</v>
          </cell>
          <cell r="S147" t="str">
            <v>PCS</v>
          </cell>
          <cell r="T147">
            <v>56</v>
          </cell>
          <cell r="U147" t="str">
            <v>J3</v>
          </cell>
          <cell r="V147" t="str">
            <v>CNY</v>
          </cell>
          <cell r="W147">
            <v>5000</v>
          </cell>
          <cell r="X147">
            <v>5000</v>
          </cell>
        </row>
        <row r="148">
          <cell r="D148">
            <v>10100006984</v>
          </cell>
          <cell r="E148" t="str">
            <v>厚膜贴片电阻器</v>
          </cell>
          <cell r="F148">
            <v>10010302</v>
          </cell>
          <cell r="G148" t="str">
            <v>WALS\RES 470R F 1/4W 1206</v>
          </cell>
          <cell r="H148" t="str">
            <v>WALS(华科)</v>
          </cell>
          <cell r="I148" t="str">
            <v>WR12X4700FTL</v>
          </cell>
          <cell r="J148">
            <v>100131</v>
          </cell>
          <cell r="K148" t="str">
            <v>东莞华科电子有限公司</v>
          </cell>
          <cell r="L148" t="str">
            <v>X</v>
          </cell>
          <cell r="M148" t="str">
            <v/>
          </cell>
          <cell r="N148">
            <v>1</v>
          </cell>
          <cell r="O148">
            <v>6.9499999999999996E-3</v>
          </cell>
          <cell r="P148">
            <v>6.95</v>
          </cell>
          <cell r="Q148">
            <v>6.95</v>
          </cell>
          <cell r="R148">
            <v>1000</v>
          </cell>
          <cell r="S148" t="str">
            <v>PCS</v>
          </cell>
          <cell r="T148">
            <v>56</v>
          </cell>
          <cell r="U148" t="str">
            <v>J3</v>
          </cell>
          <cell r="V148" t="str">
            <v>CNY</v>
          </cell>
          <cell r="W148">
            <v>5000</v>
          </cell>
          <cell r="X148">
            <v>5000</v>
          </cell>
        </row>
        <row r="149">
          <cell r="D149">
            <v>10100007109</v>
          </cell>
          <cell r="E149" t="str">
            <v>厚膜贴片电阻器</v>
          </cell>
          <cell r="F149">
            <v>10010302</v>
          </cell>
          <cell r="G149" t="str">
            <v>WALS\RES 5.1K F 1/8W 0805</v>
          </cell>
          <cell r="H149" t="str">
            <v>WALS(华科)</v>
          </cell>
          <cell r="I149" t="str">
            <v>WR08X5101FTL</v>
          </cell>
          <cell r="J149">
            <v>100131</v>
          </cell>
          <cell r="K149" t="str">
            <v>东莞华科电子有限公司</v>
          </cell>
          <cell r="L149" t="str">
            <v>X</v>
          </cell>
          <cell r="M149" t="str">
            <v/>
          </cell>
          <cell r="N149">
            <v>1</v>
          </cell>
          <cell r="O149">
            <v>3.8800000000000002E-3</v>
          </cell>
          <cell r="P149">
            <v>3.88</v>
          </cell>
          <cell r="Q149">
            <v>3.88</v>
          </cell>
          <cell r="R149">
            <v>1000</v>
          </cell>
          <cell r="S149" t="str">
            <v>PCS</v>
          </cell>
          <cell r="T149">
            <v>56</v>
          </cell>
          <cell r="U149" t="str">
            <v>J3</v>
          </cell>
          <cell r="V149" t="str">
            <v>CNY</v>
          </cell>
          <cell r="W149">
            <v>5000</v>
          </cell>
          <cell r="X149">
            <v>5000</v>
          </cell>
        </row>
        <row r="150">
          <cell r="D150">
            <v>10100007174</v>
          </cell>
          <cell r="E150" t="str">
            <v>厚膜贴片电阻器</v>
          </cell>
          <cell r="F150">
            <v>10010302</v>
          </cell>
          <cell r="G150" t="str">
            <v>WALS\RES 47R F 1/4W 1206</v>
          </cell>
          <cell r="H150" t="str">
            <v>WALS(华科)</v>
          </cell>
          <cell r="I150" t="str">
            <v>WR12X47R0FTL</v>
          </cell>
          <cell r="J150">
            <v>100131</v>
          </cell>
          <cell r="K150" t="str">
            <v>东莞华科电子有限公司</v>
          </cell>
          <cell r="L150" t="str">
            <v>X</v>
          </cell>
          <cell r="M150" t="str">
            <v/>
          </cell>
          <cell r="N150">
            <v>1</v>
          </cell>
          <cell r="O150">
            <v>6.9499999999999996E-3</v>
          </cell>
          <cell r="P150">
            <v>6.95</v>
          </cell>
          <cell r="Q150">
            <v>6.95</v>
          </cell>
          <cell r="R150">
            <v>1000</v>
          </cell>
          <cell r="S150" t="str">
            <v>PCS</v>
          </cell>
          <cell r="T150">
            <v>56</v>
          </cell>
          <cell r="U150" t="str">
            <v>J3</v>
          </cell>
          <cell r="V150" t="str">
            <v>CNY</v>
          </cell>
          <cell r="W150">
            <v>5000</v>
          </cell>
          <cell r="X150">
            <v>5000</v>
          </cell>
        </row>
        <row r="151">
          <cell r="D151">
            <v>10100007562</v>
          </cell>
          <cell r="E151" t="str">
            <v>厚膜贴片电阻器</v>
          </cell>
          <cell r="F151">
            <v>10010302</v>
          </cell>
          <cell r="G151" t="str">
            <v>YAGEO\RES 100R F 1/4W 1206</v>
          </cell>
          <cell r="H151" t="str">
            <v>YAGEO(国巨)</v>
          </cell>
          <cell r="I151" t="str">
            <v>RC1206FR-07100RL</v>
          </cell>
          <cell r="J151">
            <v>100632</v>
          </cell>
          <cell r="K151" t="str">
            <v>深圳市欧尔法电子有限公司</v>
          </cell>
          <cell r="L151" t="str">
            <v>X</v>
          </cell>
          <cell r="M151" t="str">
            <v/>
          </cell>
          <cell r="N151">
            <v>1</v>
          </cell>
          <cell r="O151">
            <v>8.0000000000000002E-3</v>
          </cell>
          <cell r="P151">
            <v>8</v>
          </cell>
          <cell r="Q151">
            <v>8</v>
          </cell>
          <cell r="R151">
            <v>1000</v>
          </cell>
          <cell r="S151" t="str">
            <v>PCS</v>
          </cell>
          <cell r="T151">
            <v>56</v>
          </cell>
          <cell r="U151" t="str">
            <v>J3</v>
          </cell>
          <cell r="V151" t="str">
            <v>CNY</v>
          </cell>
          <cell r="W151">
            <v>5000</v>
          </cell>
          <cell r="X151">
            <v>5000</v>
          </cell>
        </row>
        <row r="152">
          <cell r="D152">
            <v>10100007615</v>
          </cell>
          <cell r="E152" t="str">
            <v>厚膜贴片电阻器</v>
          </cell>
          <cell r="F152">
            <v>10010302</v>
          </cell>
          <cell r="G152" t="str">
            <v>YAGEO\RES 100R F 1/16W 0402</v>
          </cell>
          <cell r="H152" t="str">
            <v>YAGEO(国巨)</v>
          </cell>
          <cell r="I152" t="str">
            <v>RC0402FR-07100RL</v>
          </cell>
          <cell r="J152">
            <v>100078</v>
          </cell>
          <cell r="K152" t="str">
            <v>深圳市超利维实业有限公司</v>
          </cell>
          <cell r="L152" t="str">
            <v>X</v>
          </cell>
          <cell r="M152" t="str">
            <v/>
          </cell>
          <cell r="N152">
            <v>1</v>
          </cell>
          <cell r="O152">
            <v>1.4E-3</v>
          </cell>
          <cell r="P152">
            <v>1.4</v>
          </cell>
          <cell r="Q152">
            <v>1.4</v>
          </cell>
          <cell r="R152">
            <v>1000</v>
          </cell>
          <cell r="S152" t="str">
            <v>PCS</v>
          </cell>
          <cell r="T152">
            <v>84</v>
          </cell>
          <cell r="U152" t="str">
            <v>J3</v>
          </cell>
          <cell r="V152" t="str">
            <v>CNY</v>
          </cell>
          <cell r="W152">
            <v>10000</v>
          </cell>
          <cell r="X152">
            <v>10000</v>
          </cell>
        </row>
        <row r="153">
          <cell r="D153">
            <v>10100007852</v>
          </cell>
          <cell r="E153" t="str">
            <v>厚膜贴片电阻器</v>
          </cell>
          <cell r="F153">
            <v>10010302</v>
          </cell>
          <cell r="G153" t="str">
            <v>YAGEO\RES 300K F 1/4W 1206</v>
          </cell>
          <cell r="H153" t="str">
            <v>YAGEO(国巨)</v>
          </cell>
          <cell r="I153" t="str">
            <v>RC1206FR-07300KL</v>
          </cell>
          <cell r="J153">
            <v>100632</v>
          </cell>
          <cell r="K153" t="str">
            <v>深圳市欧尔法电子有限公司</v>
          </cell>
          <cell r="L153" t="str">
            <v>X</v>
          </cell>
          <cell r="M153" t="str">
            <v/>
          </cell>
          <cell r="N153">
            <v>1</v>
          </cell>
          <cell r="O153">
            <v>8.0000000000000002E-3</v>
          </cell>
          <cell r="P153">
            <v>8</v>
          </cell>
          <cell r="Q153">
            <v>8</v>
          </cell>
          <cell r="R153">
            <v>1000</v>
          </cell>
          <cell r="S153" t="str">
            <v>PCS</v>
          </cell>
          <cell r="T153">
            <v>70</v>
          </cell>
          <cell r="U153" t="str">
            <v>J3</v>
          </cell>
          <cell r="V153" t="str">
            <v>CNY</v>
          </cell>
          <cell r="W153">
            <v>5000</v>
          </cell>
          <cell r="X153">
            <v>5000</v>
          </cell>
        </row>
        <row r="154">
          <cell r="D154">
            <v>10100008011</v>
          </cell>
          <cell r="E154" t="str">
            <v>厚膜贴片电阻器</v>
          </cell>
          <cell r="F154">
            <v>10010302</v>
          </cell>
          <cell r="G154" t="str">
            <v>WALS\RES 100R F 1/4W 1206</v>
          </cell>
          <cell r="H154" t="str">
            <v>WALS(华科)</v>
          </cell>
          <cell r="I154" t="str">
            <v>WR12X1000FTL</v>
          </cell>
          <cell r="J154">
            <v>100131</v>
          </cell>
          <cell r="K154" t="str">
            <v>东莞华科电子有限公司</v>
          </cell>
          <cell r="L154" t="str">
            <v>X</v>
          </cell>
          <cell r="M154" t="str">
            <v/>
          </cell>
          <cell r="N154">
            <v>1</v>
          </cell>
          <cell r="O154">
            <v>6.9499999999999996E-3</v>
          </cell>
          <cell r="P154">
            <v>6.95</v>
          </cell>
          <cell r="Q154">
            <v>6.95</v>
          </cell>
          <cell r="R154">
            <v>1000</v>
          </cell>
          <cell r="S154" t="str">
            <v>PCS</v>
          </cell>
          <cell r="T154">
            <v>56</v>
          </cell>
          <cell r="U154" t="str">
            <v>J3</v>
          </cell>
          <cell r="V154" t="str">
            <v>CNY</v>
          </cell>
          <cell r="W154">
            <v>5000</v>
          </cell>
          <cell r="X154">
            <v>5000</v>
          </cell>
        </row>
        <row r="155">
          <cell r="D155">
            <v>10100008057</v>
          </cell>
          <cell r="E155" t="str">
            <v>厚膜贴片电阻器</v>
          </cell>
          <cell r="F155">
            <v>10010302</v>
          </cell>
          <cell r="G155" t="str">
            <v>FH\RES 22K F 1/16W 0402</v>
          </cell>
          <cell r="H155" t="str">
            <v>FH(风华)</v>
          </cell>
          <cell r="I155" t="str">
            <v>RC-02K2202FT</v>
          </cell>
          <cell r="J155">
            <v>100654</v>
          </cell>
          <cell r="K155" t="str">
            <v>广东风华高新科技股份有限公司</v>
          </cell>
          <cell r="L155" t="str">
            <v>X</v>
          </cell>
          <cell r="M155" t="str">
            <v/>
          </cell>
          <cell r="N155">
            <v>1</v>
          </cell>
          <cell r="O155">
            <v>1.1000000000000001E-3</v>
          </cell>
          <cell r="P155">
            <v>1.1000000000000001</v>
          </cell>
          <cell r="Q155">
            <v>1.1000000000000001</v>
          </cell>
          <cell r="R155">
            <v>1000</v>
          </cell>
          <cell r="S155" t="str">
            <v>PCS</v>
          </cell>
          <cell r="T155">
            <v>42</v>
          </cell>
          <cell r="U155" t="str">
            <v>J3</v>
          </cell>
          <cell r="V155" t="str">
            <v>CNY</v>
          </cell>
          <cell r="W155">
            <v>10000</v>
          </cell>
          <cell r="X155">
            <v>10000</v>
          </cell>
        </row>
        <row r="156">
          <cell r="D156">
            <v>10100008069</v>
          </cell>
          <cell r="E156" t="str">
            <v>厚膜贴片电阻器</v>
          </cell>
          <cell r="F156">
            <v>10010302</v>
          </cell>
          <cell r="G156" t="str">
            <v>WALS\RES 22K F 1/16W 0402</v>
          </cell>
          <cell r="H156" t="str">
            <v>WALS(华科)</v>
          </cell>
          <cell r="I156" t="str">
            <v>WR04X2202FTL</v>
          </cell>
          <cell r="J156">
            <v>100131</v>
          </cell>
          <cell r="K156" t="str">
            <v>东莞华科电子有限公司</v>
          </cell>
          <cell r="L156" t="str">
            <v>X</v>
          </cell>
          <cell r="M156" t="str">
            <v/>
          </cell>
          <cell r="N156">
            <v>1</v>
          </cell>
          <cell r="O156">
            <v>1.17E-3</v>
          </cell>
          <cell r="P156">
            <v>1.17</v>
          </cell>
          <cell r="Q156">
            <v>1.17</v>
          </cell>
          <cell r="R156">
            <v>1000</v>
          </cell>
          <cell r="S156" t="str">
            <v>PCS</v>
          </cell>
          <cell r="T156">
            <v>56</v>
          </cell>
          <cell r="U156" t="str">
            <v>J3</v>
          </cell>
          <cell r="V156" t="str">
            <v>CNY</v>
          </cell>
          <cell r="W156">
            <v>10000</v>
          </cell>
          <cell r="X156">
            <v>10000</v>
          </cell>
        </row>
        <row r="157">
          <cell r="D157">
            <v>10100008075</v>
          </cell>
          <cell r="E157" t="str">
            <v>厚膜贴片电阻器</v>
          </cell>
          <cell r="F157">
            <v>10010302</v>
          </cell>
          <cell r="G157" t="str">
            <v>YAGEO\RES 22K F 1/16W 0402</v>
          </cell>
          <cell r="H157" t="str">
            <v>YAGEO(国巨)</v>
          </cell>
          <cell r="I157" t="str">
            <v>RC0402FR-0722KL</v>
          </cell>
          <cell r="J157">
            <v>100078</v>
          </cell>
          <cell r="K157" t="str">
            <v>深圳市超利维实业有限公司</v>
          </cell>
          <cell r="L157" t="str">
            <v>X</v>
          </cell>
          <cell r="M157" t="str">
            <v/>
          </cell>
          <cell r="N157">
            <v>1</v>
          </cell>
          <cell r="O157">
            <v>1.4E-3</v>
          </cell>
          <cell r="P157">
            <v>1.4</v>
          </cell>
          <cell r="Q157">
            <v>1.4</v>
          </cell>
          <cell r="R157">
            <v>1000</v>
          </cell>
          <cell r="S157" t="str">
            <v>PCS</v>
          </cell>
          <cell r="T157">
            <v>84</v>
          </cell>
          <cell r="U157" t="str">
            <v>J3</v>
          </cell>
          <cell r="V157" t="str">
            <v>CNY</v>
          </cell>
          <cell r="W157">
            <v>10000</v>
          </cell>
          <cell r="X157">
            <v>10000</v>
          </cell>
        </row>
        <row r="158">
          <cell r="D158">
            <v>10100008302</v>
          </cell>
          <cell r="E158" t="str">
            <v>厚膜贴片电阻器</v>
          </cell>
          <cell r="F158">
            <v>10010302</v>
          </cell>
          <cell r="G158" t="str">
            <v>WALS\RES 100R F 1/16W 0402</v>
          </cell>
          <cell r="H158" t="str">
            <v>WALS(华科)</v>
          </cell>
          <cell r="I158" t="str">
            <v>WR04X1000FTL</v>
          </cell>
          <cell r="J158">
            <v>100131</v>
          </cell>
          <cell r="K158" t="str">
            <v>东莞华科电子有限公司</v>
          </cell>
          <cell r="L158" t="str">
            <v>X</v>
          </cell>
          <cell r="M158" t="str">
            <v/>
          </cell>
          <cell r="N158">
            <v>1</v>
          </cell>
          <cell r="O158">
            <v>1.17E-3</v>
          </cell>
          <cell r="P158">
            <v>1.17</v>
          </cell>
          <cell r="Q158">
            <v>1.17</v>
          </cell>
          <cell r="R158">
            <v>1000</v>
          </cell>
          <cell r="S158" t="str">
            <v>PCS</v>
          </cell>
          <cell r="T158">
            <v>56</v>
          </cell>
          <cell r="U158" t="str">
            <v>J3</v>
          </cell>
          <cell r="V158" t="str">
            <v>CNY</v>
          </cell>
          <cell r="W158">
            <v>10000</v>
          </cell>
          <cell r="X158">
            <v>10000</v>
          </cell>
        </row>
        <row r="159">
          <cell r="D159">
            <v>10100008776</v>
          </cell>
          <cell r="E159" t="str">
            <v>厚膜贴片电阻器</v>
          </cell>
          <cell r="F159">
            <v>10010302</v>
          </cell>
          <cell r="G159" t="str">
            <v>FH\RES 0R R&lt;10mR 1/10W 0603 1A</v>
          </cell>
          <cell r="H159" t="str">
            <v>FH(风华)</v>
          </cell>
          <cell r="I159" t="str">
            <v>RS-03000FT</v>
          </cell>
          <cell r="J159">
            <v>100654</v>
          </cell>
          <cell r="K159" t="str">
            <v>广东风华高新科技股份有限公司</v>
          </cell>
          <cell r="L159" t="str">
            <v>X</v>
          </cell>
          <cell r="M159" t="str">
            <v/>
          </cell>
          <cell r="N159">
            <v>1</v>
          </cell>
          <cell r="O159">
            <v>2.0799999999999998E-3</v>
          </cell>
          <cell r="P159">
            <v>2.08</v>
          </cell>
          <cell r="Q159">
            <v>2.08</v>
          </cell>
          <cell r="R159">
            <v>1000</v>
          </cell>
          <cell r="S159" t="str">
            <v>PCS</v>
          </cell>
          <cell r="T159">
            <v>42</v>
          </cell>
          <cell r="U159" t="str">
            <v>J3</v>
          </cell>
          <cell r="V159" t="str">
            <v>CNY</v>
          </cell>
          <cell r="W159">
            <v>5000</v>
          </cell>
          <cell r="X159">
            <v>5000</v>
          </cell>
        </row>
        <row r="160">
          <cell r="D160">
            <v>10100008827</v>
          </cell>
          <cell r="E160" t="str">
            <v>厚膜贴片电阻器</v>
          </cell>
          <cell r="F160">
            <v>10010302</v>
          </cell>
          <cell r="G160" t="str">
            <v>WALS\RES 9.1K F 1/16W 0402</v>
          </cell>
          <cell r="H160" t="str">
            <v>WALS(华科)</v>
          </cell>
          <cell r="I160" t="str">
            <v>WR04X9101FTL</v>
          </cell>
          <cell r="J160">
            <v>100131</v>
          </cell>
          <cell r="K160" t="str">
            <v>东莞华科电子有限公司</v>
          </cell>
          <cell r="L160" t="str">
            <v>X</v>
          </cell>
          <cell r="M160" t="str">
            <v/>
          </cell>
          <cell r="N160">
            <v>1</v>
          </cell>
          <cell r="O160">
            <v>1.17E-3</v>
          </cell>
          <cell r="P160">
            <v>1.17</v>
          </cell>
          <cell r="Q160">
            <v>1.17</v>
          </cell>
          <cell r="R160">
            <v>1000</v>
          </cell>
          <cell r="S160" t="str">
            <v>PCS</v>
          </cell>
          <cell r="T160">
            <v>56</v>
          </cell>
          <cell r="U160" t="str">
            <v>J3</v>
          </cell>
          <cell r="V160" t="str">
            <v>CNY</v>
          </cell>
          <cell r="W160">
            <v>10000</v>
          </cell>
          <cell r="X160">
            <v>10000</v>
          </cell>
        </row>
        <row r="161">
          <cell r="D161">
            <v>10100008830</v>
          </cell>
          <cell r="E161" t="str">
            <v>厚膜贴片电阻器</v>
          </cell>
          <cell r="F161">
            <v>10010302</v>
          </cell>
          <cell r="G161" t="str">
            <v>YAGEO\RES 9.1K F 1/16W 0402</v>
          </cell>
          <cell r="H161" t="str">
            <v>YAGEO(国巨)</v>
          </cell>
          <cell r="I161" t="str">
            <v>RC0402FR-079K1L</v>
          </cell>
          <cell r="J161">
            <v>100632</v>
          </cell>
          <cell r="K161" t="str">
            <v>深圳市欧尔法电子有限公司</v>
          </cell>
          <cell r="L161" t="str">
            <v>X</v>
          </cell>
          <cell r="M161" t="str">
            <v/>
          </cell>
          <cell r="N161">
            <v>1</v>
          </cell>
          <cell r="O161">
            <v>1.39E-3</v>
          </cell>
          <cell r="P161">
            <v>1.39</v>
          </cell>
          <cell r="Q161">
            <v>1.39</v>
          </cell>
          <cell r="R161">
            <v>1000</v>
          </cell>
          <cell r="S161" t="str">
            <v>PCS</v>
          </cell>
          <cell r="T161">
            <v>56</v>
          </cell>
          <cell r="U161" t="str">
            <v>J3</v>
          </cell>
          <cell r="V161" t="str">
            <v>CNY</v>
          </cell>
          <cell r="W161">
            <v>10000</v>
          </cell>
          <cell r="X161">
            <v>10000</v>
          </cell>
        </row>
        <row r="162">
          <cell r="D162">
            <v>10100009093</v>
          </cell>
          <cell r="E162" t="str">
            <v>厚膜贴片电阻器</v>
          </cell>
          <cell r="F162">
            <v>10010302</v>
          </cell>
          <cell r="G162" t="str">
            <v>WALS\RES 2K F 1/16W 0402</v>
          </cell>
          <cell r="H162" t="str">
            <v>WALS(华科)</v>
          </cell>
          <cell r="I162" t="str">
            <v>WR04X2001FTL</v>
          </cell>
          <cell r="J162">
            <v>100131</v>
          </cell>
          <cell r="K162" t="str">
            <v>东莞华科电子有限公司</v>
          </cell>
          <cell r="L162" t="str">
            <v>X</v>
          </cell>
          <cell r="M162" t="str">
            <v/>
          </cell>
          <cell r="N162">
            <v>1</v>
          </cell>
          <cell r="O162">
            <v>1.17E-3</v>
          </cell>
          <cell r="P162">
            <v>1.17</v>
          </cell>
          <cell r="Q162">
            <v>1.17</v>
          </cell>
          <cell r="R162">
            <v>1000</v>
          </cell>
          <cell r="S162" t="str">
            <v>PCS</v>
          </cell>
          <cell r="T162">
            <v>56</v>
          </cell>
          <cell r="U162" t="str">
            <v>J3</v>
          </cell>
          <cell r="V162" t="str">
            <v>CNY</v>
          </cell>
          <cell r="W162">
            <v>10000</v>
          </cell>
          <cell r="X162">
            <v>10000</v>
          </cell>
        </row>
        <row r="163">
          <cell r="D163">
            <v>10100009552</v>
          </cell>
          <cell r="E163" t="str">
            <v>厚膜贴片电阻器</v>
          </cell>
          <cell r="F163">
            <v>10010302</v>
          </cell>
          <cell r="G163" t="str">
            <v>ROYA\RES 2.2K F 1/10W 0603</v>
          </cell>
          <cell r="H163" t="str">
            <v>ROYALOHM(厚声)</v>
          </cell>
          <cell r="I163" t="str">
            <v>0603WAF2201T5E</v>
          </cell>
          <cell r="J163">
            <v>100096</v>
          </cell>
          <cell r="K163" t="str">
            <v>厚声国际贸易（昆山）有限公司深圳分公司</v>
          </cell>
          <cell r="L163" t="str">
            <v>X</v>
          </cell>
          <cell r="M163" t="str">
            <v/>
          </cell>
          <cell r="N163">
            <v>1</v>
          </cell>
          <cell r="O163">
            <v>2.0999999999999999E-3</v>
          </cell>
          <cell r="P163">
            <v>2.1</v>
          </cell>
          <cell r="Q163">
            <v>2.1</v>
          </cell>
          <cell r="R163">
            <v>1000</v>
          </cell>
          <cell r="S163" t="str">
            <v>PCS</v>
          </cell>
          <cell r="T163">
            <v>56</v>
          </cell>
          <cell r="U163" t="str">
            <v>J3</v>
          </cell>
          <cell r="V163" t="str">
            <v>CNY</v>
          </cell>
          <cell r="W163">
            <v>5000</v>
          </cell>
          <cell r="X163">
            <v>5000</v>
          </cell>
        </row>
        <row r="164">
          <cell r="D164">
            <v>10100009838</v>
          </cell>
          <cell r="E164" t="str">
            <v>厚膜贴片电阻器</v>
          </cell>
          <cell r="F164">
            <v>10010302</v>
          </cell>
          <cell r="G164" t="str">
            <v>ROYA\RES 10K F 1/16W 0402</v>
          </cell>
          <cell r="H164" t="str">
            <v>ROYALOHM(厚声)</v>
          </cell>
          <cell r="I164" t="str">
            <v>0402WGF1002TCE</v>
          </cell>
          <cell r="J164">
            <v>100096</v>
          </cell>
          <cell r="K164" t="str">
            <v>厚声国际贸易（昆山）有限公司深圳分公司</v>
          </cell>
          <cell r="L164" t="str">
            <v>X</v>
          </cell>
          <cell r="M164" t="str">
            <v/>
          </cell>
          <cell r="N164">
            <v>1</v>
          </cell>
          <cell r="O164">
            <v>1.09E-3</v>
          </cell>
          <cell r="P164">
            <v>1.0900000000000001</v>
          </cell>
          <cell r="Q164">
            <v>1.0900000000000001</v>
          </cell>
          <cell r="R164">
            <v>1000</v>
          </cell>
          <cell r="S164" t="str">
            <v>PCS</v>
          </cell>
          <cell r="T164">
            <v>42</v>
          </cell>
          <cell r="U164" t="str">
            <v>J3</v>
          </cell>
          <cell r="V164" t="str">
            <v>CNY</v>
          </cell>
          <cell r="W164">
            <v>10000</v>
          </cell>
          <cell r="X164">
            <v>10000</v>
          </cell>
        </row>
        <row r="165">
          <cell r="D165">
            <v>10100010045</v>
          </cell>
          <cell r="E165" t="str">
            <v>厚膜贴片电阻器</v>
          </cell>
          <cell r="F165">
            <v>10010302</v>
          </cell>
          <cell r="G165" t="str">
            <v>WALS\RES 10K F 1/16W 0402</v>
          </cell>
          <cell r="H165" t="str">
            <v>WALS(华科)</v>
          </cell>
          <cell r="I165" t="str">
            <v>WR04X1002FTL</v>
          </cell>
          <cell r="J165">
            <v>100131</v>
          </cell>
          <cell r="K165" t="str">
            <v>东莞华科电子有限公司</v>
          </cell>
          <cell r="L165" t="str">
            <v>X</v>
          </cell>
          <cell r="M165" t="str">
            <v/>
          </cell>
          <cell r="N165">
            <v>1</v>
          </cell>
          <cell r="O165">
            <v>1.17E-3</v>
          </cell>
          <cell r="P165">
            <v>1.17</v>
          </cell>
          <cell r="Q165">
            <v>1.17</v>
          </cell>
          <cell r="R165">
            <v>1000</v>
          </cell>
          <cell r="S165" t="str">
            <v>PCS</v>
          </cell>
          <cell r="T165">
            <v>56</v>
          </cell>
          <cell r="U165" t="str">
            <v>J3</v>
          </cell>
          <cell r="V165" t="str">
            <v>CNY</v>
          </cell>
          <cell r="W165">
            <v>10000</v>
          </cell>
          <cell r="X165">
            <v>10000</v>
          </cell>
        </row>
        <row r="166">
          <cell r="D166">
            <v>10100011090</v>
          </cell>
          <cell r="E166" t="str">
            <v>厚膜贴片电阻器</v>
          </cell>
          <cell r="F166">
            <v>10010302</v>
          </cell>
          <cell r="G166" t="str">
            <v>ROYA\RES 4.7K F 1/10W 0603</v>
          </cell>
          <cell r="H166" t="str">
            <v>ROYALOHM(厚声)</v>
          </cell>
          <cell r="I166" t="str">
            <v>0603WAF4701T5E</v>
          </cell>
          <cell r="J166">
            <v>100096</v>
          </cell>
          <cell r="K166" t="str">
            <v>厚声国际贸易（昆山）有限公司深圳分公司</v>
          </cell>
          <cell r="L166" t="str">
            <v>X</v>
          </cell>
          <cell r="M166" t="str">
            <v/>
          </cell>
          <cell r="N166">
            <v>1</v>
          </cell>
          <cell r="O166">
            <v>2.0999999999999999E-3</v>
          </cell>
          <cell r="P166">
            <v>2.1</v>
          </cell>
          <cell r="Q166">
            <v>2.1</v>
          </cell>
          <cell r="R166">
            <v>1000</v>
          </cell>
          <cell r="S166" t="str">
            <v>PCS</v>
          </cell>
          <cell r="T166">
            <v>56</v>
          </cell>
          <cell r="U166" t="str">
            <v>J3</v>
          </cell>
          <cell r="V166" t="str">
            <v>CNY</v>
          </cell>
          <cell r="W166">
            <v>5000</v>
          </cell>
          <cell r="X166">
            <v>5000</v>
          </cell>
        </row>
        <row r="167">
          <cell r="D167">
            <v>10100011726</v>
          </cell>
          <cell r="E167" t="str">
            <v>厚膜贴片电阻器</v>
          </cell>
          <cell r="F167">
            <v>10010302</v>
          </cell>
          <cell r="G167" t="str">
            <v>YAGEO\RES 5.1K F 1/16W 0402</v>
          </cell>
          <cell r="H167" t="str">
            <v>YAGEO(国巨)</v>
          </cell>
          <cell r="I167" t="str">
            <v>RC0402FR-075K1L</v>
          </cell>
          <cell r="J167">
            <v>100632</v>
          </cell>
          <cell r="K167" t="str">
            <v>深圳市欧尔法电子有限公司</v>
          </cell>
          <cell r="L167" t="str">
            <v>X</v>
          </cell>
          <cell r="M167" t="str">
            <v/>
          </cell>
          <cell r="N167">
            <v>1</v>
          </cell>
          <cell r="O167">
            <v>1.39E-3</v>
          </cell>
          <cell r="P167">
            <v>1.39</v>
          </cell>
          <cell r="Q167">
            <v>1.39</v>
          </cell>
          <cell r="R167">
            <v>1000</v>
          </cell>
          <cell r="S167" t="str">
            <v>PCS</v>
          </cell>
          <cell r="T167">
            <v>56</v>
          </cell>
          <cell r="U167" t="str">
            <v>J3</v>
          </cell>
          <cell r="V167" t="str">
            <v>CNY</v>
          </cell>
          <cell r="W167">
            <v>10000</v>
          </cell>
          <cell r="X167">
            <v>10000</v>
          </cell>
        </row>
        <row r="168">
          <cell r="D168">
            <v>10100011886</v>
          </cell>
          <cell r="E168" t="str">
            <v>厚膜贴片电阻器</v>
          </cell>
          <cell r="F168">
            <v>10010302</v>
          </cell>
          <cell r="G168" t="str">
            <v>ROYA\RES 9.1K F 1/16W 0402</v>
          </cell>
          <cell r="H168" t="str">
            <v>ROYALOHM(厚声)</v>
          </cell>
          <cell r="I168" t="str">
            <v>0402WGF9101TCE</v>
          </cell>
          <cell r="J168">
            <v>100096</v>
          </cell>
          <cell r="K168" t="str">
            <v>厚声国际贸易（昆山）有限公司深圳分公司</v>
          </cell>
          <cell r="L168" t="str">
            <v>X</v>
          </cell>
          <cell r="M168" t="str">
            <v/>
          </cell>
          <cell r="N168">
            <v>1</v>
          </cell>
          <cell r="O168">
            <v>1.09E-3</v>
          </cell>
          <cell r="P168">
            <v>1.0900000000000001</v>
          </cell>
          <cell r="Q168">
            <v>1.0900000000000001</v>
          </cell>
          <cell r="R168">
            <v>1000</v>
          </cell>
          <cell r="S168" t="str">
            <v>PCS</v>
          </cell>
          <cell r="T168">
            <v>56</v>
          </cell>
          <cell r="U168" t="str">
            <v>J3</v>
          </cell>
          <cell r="V168" t="str">
            <v>CNY</v>
          </cell>
          <cell r="W168">
            <v>10000</v>
          </cell>
          <cell r="X168">
            <v>10000</v>
          </cell>
        </row>
        <row r="169">
          <cell r="D169">
            <v>10100011993</v>
          </cell>
          <cell r="E169" t="str">
            <v>厚膜贴片电阻器</v>
          </cell>
          <cell r="F169">
            <v>10010302</v>
          </cell>
          <cell r="G169" t="str">
            <v>FH\RES 5.1K F 1/16W 0402</v>
          </cell>
          <cell r="H169" t="str">
            <v>FH(风华)</v>
          </cell>
          <cell r="I169" t="str">
            <v>RC-02K5101FT</v>
          </cell>
          <cell r="J169">
            <v>100654</v>
          </cell>
          <cell r="K169" t="str">
            <v>广东风华高新科技股份有限公司</v>
          </cell>
          <cell r="L169" t="str">
            <v>X</v>
          </cell>
          <cell r="M169" t="str">
            <v/>
          </cell>
          <cell r="N169">
            <v>1</v>
          </cell>
          <cell r="O169">
            <v>1.1000000000000001E-3</v>
          </cell>
          <cell r="P169">
            <v>1.1000000000000001</v>
          </cell>
          <cell r="Q169">
            <v>1.1000000000000001</v>
          </cell>
          <cell r="R169">
            <v>1000</v>
          </cell>
          <cell r="S169" t="str">
            <v>PCS</v>
          </cell>
          <cell r="T169">
            <v>42</v>
          </cell>
          <cell r="U169" t="str">
            <v>J3</v>
          </cell>
          <cell r="V169" t="str">
            <v>CNY</v>
          </cell>
          <cell r="W169">
            <v>10000</v>
          </cell>
          <cell r="X169">
            <v>10000</v>
          </cell>
        </row>
        <row r="170">
          <cell r="D170">
            <v>10100012014</v>
          </cell>
          <cell r="E170" t="str">
            <v>厚膜贴片电阻器</v>
          </cell>
          <cell r="F170">
            <v>10010302</v>
          </cell>
          <cell r="G170" t="str">
            <v>FH\RES 100R F 1/4W 1206</v>
          </cell>
          <cell r="H170" t="str">
            <v>FH(风华)</v>
          </cell>
          <cell r="I170" t="str">
            <v>RS-06K1000FT</v>
          </cell>
          <cell r="J170">
            <v>100654</v>
          </cell>
          <cell r="K170" t="str">
            <v>广东风华高新科技股份有限公司</v>
          </cell>
          <cell r="L170" t="str">
            <v>X</v>
          </cell>
          <cell r="M170" t="str">
            <v/>
          </cell>
          <cell r="N170">
            <v>1</v>
          </cell>
          <cell r="O170">
            <v>6.3699999999999998E-3</v>
          </cell>
          <cell r="P170">
            <v>6.37</v>
          </cell>
          <cell r="Q170">
            <v>6.37</v>
          </cell>
          <cell r="R170">
            <v>1000</v>
          </cell>
          <cell r="S170" t="str">
            <v>PCS</v>
          </cell>
          <cell r="T170">
            <v>42</v>
          </cell>
          <cell r="U170" t="str">
            <v>J3</v>
          </cell>
          <cell r="V170" t="str">
            <v>CNY</v>
          </cell>
          <cell r="W170">
            <v>5000</v>
          </cell>
          <cell r="X170">
            <v>5000</v>
          </cell>
        </row>
        <row r="171">
          <cell r="D171">
            <v>10100012860</v>
          </cell>
          <cell r="E171" t="str">
            <v>厚膜贴片电阻器</v>
          </cell>
          <cell r="F171">
            <v>10010302</v>
          </cell>
          <cell r="G171" t="str">
            <v>ROYA\RES 68K F 1/10W 0603</v>
          </cell>
          <cell r="H171" t="str">
            <v>ROYALOHM(厚声)</v>
          </cell>
          <cell r="I171" t="str">
            <v>0603WAF6802T5E</v>
          </cell>
          <cell r="J171">
            <v>100096</v>
          </cell>
          <cell r="K171" t="str">
            <v>厚声国际贸易（昆山）有限公司深圳分公司</v>
          </cell>
          <cell r="L171" t="str">
            <v>X</v>
          </cell>
          <cell r="M171" t="str">
            <v/>
          </cell>
          <cell r="N171">
            <v>1</v>
          </cell>
          <cell r="O171">
            <v>2.0999999999999999E-3</v>
          </cell>
          <cell r="P171">
            <v>2.1</v>
          </cell>
          <cell r="Q171">
            <v>2.1</v>
          </cell>
          <cell r="R171">
            <v>1000</v>
          </cell>
          <cell r="S171" t="str">
            <v>PCS</v>
          </cell>
          <cell r="T171">
            <v>56</v>
          </cell>
          <cell r="U171" t="str">
            <v>J3</v>
          </cell>
          <cell r="V171" t="str">
            <v>CNY</v>
          </cell>
          <cell r="W171">
            <v>5000</v>
          </cell>
          <cell r="X171">
            <v>5000</v>
          </cell>
        </row>
        <row r="172">
          <cell r="D172">
            <v>10100013040</v>
          </cell>
          <cell r="E172" t="str">
            <v>厚膜贴片电阻器</v>
          </cell>
          <cell r="F172">
            <v>10010302</v>
          </cell>
          <cell r="G172" t="str">
            <v>ROYA\RES 1K F 1/16W 0402</v>
          </cell>
          <cell r="H172" t="str">
            <v>ROYALOHM(厚声)</v>
          </cell>
          <cell r="I172" t="str">
            <v>0402WGF1001TCE</v>
          </cell>
          <cell r="J172">
            <v>100096</v>
          </cell>
          <cell r="K172" t="str">
            <v>厚声国际贸易（昆山）有限公司深圳分公司</v>
          </cell>
          <cell r="L172" t="str">
            <v>X</v>
          </cell>
          <cell r="M172" t="str">
            <v/>
          </cell>
          <cell r="N172">
            <v>1</v>
          </cell>
          <cell r="O172">
            <v>1.09E-3</v>
          </cell>
          <cell r="P172">
            <v>1.0900000000000001</v>
          </cell>
          <cell r="Q172">
            <v>1.0900000000000001</v>
          </cell>
          <cell r="R172">
            <v>1000</v>
          </cell>
          <cell r="S172" t="str">
            <v>PCS</v>
          </cell>
          <cell r="T172">
            <v>42</v>
          </cell>
          <cell r="U172" t="str">
            <v>J3</v>
          </cell>
          <cell r="V172" t="str">
            <v>CNY</v>
          </cell>
          <cell r="W172">
            <v>10000</v>
          </cell>
          <cell r="X172">
            <v>10000</v>
          </cell>
        </row>
        <row r="173">
          <cell r="D173">
            <v>10100013093</v>
          </cell>
          <cell r="E173" t="str">
            <v>厚膜贴片电阻器</v>
          </cell>
          <cell r="F173">
            <v>10010302</v>
          </cell>
          <cell r="G173" t="str">
            <v>ROYA\RES 100R F 1/16W 0402</v>
          </cell>
          <cell r="H173" t="str">
            <v>ROYALOHM(厚声)</v>
          </cell>
          <cell r="I173" t="str">
            <v>0402WGF1000TCE</v>
          </cell>
          <cell r="J173">
            <v>100096</v>
          </cell>
          <cell r="K173" t="str">
            <v>厚声国际贸易（昆山）有限公司深圳分公司</v>
          </cell>
          <cell r="L173" t="str">
            <v>X</v>
          </cell>
          <cell r="M173" t="str">
            <v/>
          </cell>
          <cell r="N173">
            <v>1</v>
          </cell>
          <cell r="O173">
            <v>1.09E-3</v>
          </cell>
          <cell r="P173">
            <v>1.0900000000000001</v>
          </cell>
          <cell r="Q173">
            <v>1.0900000000000001</v>
          </cell>
          <cell r="R173">
            <v>1000</v>
          </cell>
          <cell r="S173" t="str">
            <v>PCS</v>
          </cell>
          <cell r="T173">
            <v>42</v>
          </cell>
          <cell r="U173" t="str">
            <v>J3</v>
          </cell>
          <cell r="V173" t="str">
            <v>CNY</v>
          </cell>
          <cell r="W173">
            <v>10000</v>
          </cell>
          <cell r="X173">
            <v>10000</v>
          </cell>
        </row>
        <row r="174">
          <cell r="D174">
            <v>10100013936</v>
          </cell>
          <cell r="E174" t="str">
            <v>厚膜贴片电阻器</v>
          </cell>
          <cell r="F174">
            <v>10010302</v>
          </cell>
          <cell r="G174" t="str">
            <v>FH\RES 100R F 1/16W 0402</v>
          </cell>
          <cell r="H174" t="str">
            <v>FH(风华)</v>
          </cell>
          <cell r="I174" t="str">
            <v>RC-02K1000FT</v>
          </cell>
          <cell r="J174">
            <v>100654</v>
          </cell>
          <cell r="K174" t="str">
            <v>广东风华高新科技股份有限公司</v>
          </cell>
          <cell r="L174" t="str">
            <v>X</v>
          </cell>
          <cell r="M174" t="str">
            <v/>
          </cell>
          <cell r="N174">
            <v>1</v>
          </cell>
          <cell r="O174">
            <v>1.1000000000000001E-3</v>
          </cell>
          <cell r="P174">
            <v>1.1000000000000001</v>
          </cell>
          <cell r="Q174">
            <v>1.1000000000000001</v>
          </cell>
          <cell r="R174">
            <v>1000</v>
          </cell>
          <cell r="S174" t="str">
            <v>PCS</v>
          </cell>
          <cell r="T174">
            <v>42</v>
          </cell>
          <cell r="U174" t="str">
            <v>J3</v>
          </cell>
          <cell r="V174" t="str">
            <v>CNY</v>
          </cell>
          <cell r="W174">
            <v>10000</v>
          </cell>
          <cell r="X174">
            <v>10000</v>
          </cell>
        </row>
        <row r="175">
          <cell r="D175">
            <v>10100014304</v>
          </cell>
          <cell r="E175" t="str">
            <v>厚膜贴片电阻器</v>
          </cell>
          <cell r="F175">
            <v>10010302</v>
          </cell>
          <cell r="G175" t="str">
            <v>WALS\RES 300K F 1/4W 1206</v>
          </cell>
          <cell r="H175" t="str">
            <v>WALS(华科)</v>
          </cell>
          <cell r="I175" t="str">
            <v>WR12X3003FTL</v>
          </cell>
          <cell r="J175">
            <v>100131</v>
          </cell>
          <cell r="K175" t="str">
            <v>东莞华科电子有限公司</v>
          </cell>
          <cell r="L175" t="str">
            <v>X</v>
          </cell>
          <cell r="M175" t="str">
            <v/>
          </cell>
          <cell r="N175">
            <v>1</v>
          </cell>
          <cell r="O175">
            <v>6.9499999999999996E-3</v>
          </cell>
          <cell r="P175">
            <v>6.95</v>
          </cell>
          <cell r="Q175">
            <v>6.95</v>
          </cell>
          <cell r="R175">
            <v>1000</v>
          </cell>
          <cell r="S175" t="str">
            <v>PCS</v>
          </cell>
          <cell r="T175">
            <v>56</v>
          </cell>
          <cell r="U175" t="str">
            <v>J3</v>
          </cell>
          <cell r="V175" t="str">
            <v>CNY</v>
          </cell>
          <cell r="W175">
            <v>5000</v>
          </cell>
          <cell r="X175">
            <v>5000</v>
          </cell>
        </row>
        <row r="176">
          <cell r="D176">
            <v>10100014735</v>
          </cell>
          <cell r="E176" t="str">
            <v>厚膜贴片电阻器</v>
          </cell>
          <cell r="F176">
            <v>10010302</v>
          </cell>
          <cell r="G176" t="str">
            <v>ROYA\RES 2K F 1/16W 0402</v>
          </cell>
          <cell r="H176" t="str">
            <v>ROYALOHM(厚声)</v>
          </cell>
          <cell r="I176" t="str">
            <v>0402WGF2001TCE</v>
          </cell>
          <cell r="J176">
            <v>100096</v>
          </cell>
          <cell r="K176" t="str">
            <v>厚声国际贸易（昆山）有限公司深圳分公司</v>
          </cell>
          <cell r="L176" t="str">
            <v>X</v>
          </cell>
          <cell r="M176" t="str">
            <v/>
          </cell>
          <cell r="N176">
            <v>1</v>
          </cell>
          <cell r="O176">
            <v>1.09E-3</v>
          </cell>
          <cell r="P176">
            <v>1.0900000000000001</v>
          </cell>
          <cell r="Q176">
            <v>1.0900000000000001</v>
          </cell>
          <cell r="R176">
            <v>1000</v>
          </cell>
          <cell r="S176" t="str">
            <v>PCS</v>
          </cell>
          <cell r="T176">
            <v>42</v>
          </cell>
          <cell r="U176" t="str">
            <v>J3</v>
          </cell>
          <cell r="V176" t="str">
            <v>CNY</v>
          </cell>
          <cell r="W176">
            <v>10000</v>
          </cell>
          <cell r="X176">
            <v>10000</v>
          </cell>
        </row>
        <row r="177">
          <cell r="D177">
            <v>10100015127</v>
          </cell>
          <cell r="E177" t="str">
            <v>厚膜贴片电阻器</v>
          </cell>
          <cell r="F177">
            <v>10010302</v>
          </cell>
          <cell r="G177" t="str">
            <v>ROYA\RES 100R F 1/4W 1206</v>
          </cell>
          <cell r="H177" t="str">
            <v>ROYALOHM(厚声)</v>
          </cell>
          <cell r="I177" t="str">
            <v>1206W4F1000T5E</v>
          </cell>
          <cell r="J177">
            <v>100096</v>
          </cell>
          <cell r="K177" t="str">
            <v>厚声国际贸易（昆山）有限公司深圳分公司</v>
          </cell>
          <cell r="L177" t="str">
            <v>X</v>
          </cell>
          <cell r="M177" t="str">
            <v/>
          </cell>
          <cell r="N177">
            <v>1</v>
          </cell>
          <cell r="O177">
            <v>6.7799999999999996E-3</v>
          </cell>
          <cell r="P177">
            <v>6.78</v>
          </cell>
          <cell r="Q177">
            <v>6.78</v>
          </cell>
          <cell r="R177">
            <v>1000</v>
          </cell>
          <cell r="S177" t="str">
            <v>PCS</v>
          </cell>
          <cell r="T177">
            <v>70</v>
          </cell>
          <cell r="U177" t="str">
            <v>J3</v>
          </cell>
          <cell r="V177" t="str">
            <v>CNY</v>
          </cell>
          <cell r="W177">
            <v>5000</v>
          </cell>
          <cell r="X177">
            <v>5000</v>
          </cell>
        </row>
        <row r="178">
          <cell r="D178">
            <v>10100017206</v>
          </cell>
          <cell r="E178" t="str">
            <v>厚膜贴片电阻器</v>
          </cell>
          <cell r="F178">
            <v>10010302</v>
          </cell>
          <cell r="G178" t="str">
            <v>ROYA\RES 300K F 1/4W 1206</v>
          </cell>
          <cell r="H178" t="str">
            <v>ROYALOHM(厚声)</v>
          </cell>
          <cell r="I178" t="str">
            <v>1206W4F3003T5E</v>
          </cell>
          <cell r="J178">
            <v>100096</v>
          </cell>
          <cell r="K178" t="str">
            <v>厚声国际贸易（昆山）有限公司深圳分公司</v>
          </cell>
          <cell r="L178" t="str">
            <v>X</v>
          </cell>
          <cell r="M178" t="str">
            <v/>
          </cell>
          <cell r="N178">
            <v>1</v>
          </cell>
          <cell r="O178">
            <v>6.7799999999999996E-3</v>
          </cell>
          <cell r="P178">
            <v>6.78</v>
          </cell>
          <cell r="Q178">
            <v>6.78</v>
          </cell>
          <cell r="R178">
            <v>1000</v>
          </cell>
          <cell r="S178" t="str">
            <v>PCS</v>
          </cell>
          <cell r="T178">
            <v>70</v>
          </cell>
          <cell r="U178" t="str">
            <v>J3</v>
          </cell>
          <cell r="V178" t="str">
            <v>CNY</v>
          </cell>
          <cell r="W178">
            <v>5000</v>
          </cell>
          <cell r="X178">
            <v>5000</v>
          </cell>
        </row>
        <row r="179">
          <cell r="D179">
            <v>10100017409</v>
          </cell>
          <cell r="E179" t="str">
            <v>厚膜贴片电阻器</v>
          </cell>
          <cell r="F179">
            <v>10010302</v>
          </cell>
          <cell r="G179" t="str">
            <v>HKR\RES 100R F 1/4W 1206</v>
          </cell>
          <cell r="H179" t="str">
            <v>HKR(香港电阻)</v>
          </cell>
          <cell r="I179" t="str">
            <v>RCT06100RFLF</v>
          </cell>
          <cell r="J179">
            <v>103166</v>
          </cell>
          <cell r="K179" t="str">
            <v>南充溢辉电子科技有限公司</v>
          </cell>
          <cell r="L179" t="str">
            <v>X</v>
          </cell>
          <cell r="M179" t="str">
            <v/>
          </cell>
          <cell r="N179">
            <v>1</v>
          </cell>
          <cell r="O179">
            <v>5.5999999999999999E-3</v>
          </cell>
          <cell r="P179">
            <v>5.6</v>
          </cell>
          <cell r="Q179">
            <v>5.6</v>
          </cell>
          <cell r="R179">
            <v>1000</v>
          </cell>
          <cell r="S179" t="str">
            <v>PCS</v>
          </cell>
          <cell r="T179">
            <v>42</v>
          </cell>
          <cell r="U179" t="str">
            <v>J3</v>
          </cell>
          <cell r="V179" t="str">
            <v>CNY</v>
          </cell>
          <cell r="W179">
            <v>5000</v>
          </cell>
          <cell r="X179">
            <v>5000</v>
          </cell>
        </row>
        <row r="180">
          <cell r="D180">
            <v>10100017511</v>
          </cell>
          <cell r="E180" t="str">
            <v>厚膜贴片电阻器</v>
          </cell>
          <cell r="F180">
            <v>10010302</v>
          </cell>
          <cell r="G180" t="str">
            <v>HKR\RES 300K F 1/4W 1206</v>
          </cell>
          <cell r="H180" t="str">
            <v>HKR(香港电阻)</v>
          </cell>
          <cell r="I180" t="str">
            <v>RCT06300KFLF</v>
          </cell>
          <cell r="J180">
            <v>103166</v>
          </cell>
          <cell r="K180" t="str">
            <v>南充溢辉电子科技有限公司</v>
          </cell>
          <cell r="L180" t="str">
            <v>X</v>
          </cell>
          <cell r="M180" t="str">
            <v/>
          </cell>
          <cell r="N180">
            <v>1</v>
          </cell>
          <cell r="O180">
            <v>5.5999999999999999E-3</v>
          </cell>
          <cell r="P180">
            <v>5.6</v>
          </cell>
          <cell r="Q180">
            <v>5.6</v>
          </cell>
          <cell r="R180">
            <v>1000</v>
          </cell>
          <cell r="S180" t="str">
            <v>PCS</v>
          </cell>
          <cell r="T180">
            <v>42</v>
          </cell>
          <cell r="U180" t="str">
            <v>J3</v>
          </cell>
          <cell r="V180" t="str">
            <v>CNY</v>
          </cell>
          <cell r="W180">
            <v>5000</v>
          </cell>
          <cell r="X180">
            <v>5000</v>
          </cell>
        </row>
        <row r="181">
          <cell r="D181">
            <v>10100017548</v>
          </cell>
          <cell r="E181" t="str">
            <v>厚膜贴片电阻器</v>
          </cell>
          <cell r="F181">
            <v>10010302</v>
          </cell>
          <cell r="G181" t="str">
            <v>HKR\RES 470R F 1/4W 1206</v>
          </cell>
          <cell r="H181" t="str">
            <v>HKR(香港电阻)</v>
          </cell>
          <cell r="I181" t="str">
            <v>RCT06470RFLF</v>
          </cell>
          <cell r="J181">
            <v>103166</v>
          </cell>
          <cell r="K181" t="str">
            <v>南充溢辉电子科技有限公司</v>
          </cell>
          <cell r="L181" t="str">
            <v>X</v>
          </cell>
          <cell r="M181" t="str">
            <v/>
          </cell>
          <cell r="N181">
            <v>1</v>
          </cell>
          <cell r="O181">
            <v>5.5999999999999999E-3</v>
          </cell>
          <cell r="P181">
            <v>5.6</v>
          </cell>
          <cell r="Q181">
            <v>5.6</v>
          </cell>
          <cell r="R181">
            <v>1000</v>
          </cell>
          <cell r="S181" t="str">
            <v>PCS</v>
          </cell>
          <cell r="T181">
            <v>42</v>
          </cell>
          <cell r="U181" t="str">
            <v>J3</v>
          </cell>
          <cell r="V181" t="str">
            <v>CNY</v>
          </cell>
          <cell r="W181">
            <v>5000</v>
          </cell>
          <cell r="X181">
            <v>5000</v>
          </cell>
        </row>
        <row r="182">
          <cell r="D182">
            <v>10100017551</v>
          </cell>
          <cell r="E182" t="str">
            <v>厚膜贴片电阻器</v>
          </cell>
          <cell r="F182">
            <v>10010302</v>
          </cell>
          <cell r="G182" t="str">
            <v>HKR\RES 47R F 1/4W 1206</v>
          </cell>
          <cell r="H182" t="str">
            <v>HKR(香港电阻)</v>
          </cell>
          <cell r="I182" t="str">
            <v>RCT0647RFLF</v>
          </cell>
          <cell r="J182">
            <v>103166</v>
          </cell>
          <cell r="K182" t="str">
            <v>南充溢辉电子科技有限公司</v>
          </cell>
          <cell r="L182" t="str">
            <v>X</v>
          </cell>
          <cell r="M182" t="str">
            <v/>
          </cell>
          <cell r="N182">
            <v>1</v>
          </cell>
          <cell r="O182">
            <v>5.5999999999999999E-3</v>
          </cell>
          <cell r="P182">
            <v>5.6</v>
          </cell>
          <cell r="Q182">
            <v>5.6</v>
          </cell>
          <cell r="R182">
            <v>1000</v>
          </cell>
          <cell r="S182" t="str">
            <v>PCS</v>
          </cell>
          <cell r="T182">
            <v>35</v>
          </cell>
          <cell r="U182" t="str">
            <v>J3</v>
          </cell>
          <cell r="V182" t="str">
            <v>CNY</v>
          </cell>
          <cell r="W182">
            <v>5000</v>
          </cell>
          <cell r="X182">
            <v>5000</v>
          </cell>
        </row>
        <row r="183">
          <cell r="D183">
            <v>10100017616</v>
          </cell>
          <cell r="E183" t="str">
            <v>厚膜贴片电阻器</v>
          </cell>
          <cell r="F183">
            <v>10010302</v>
          </cell>
          <cell r="G183" t="str">
            <v>HKR\RES 100R F 1/16W 0402</v>
          </cell>
          <cell r="H183" t="str">
            <v>HKR(香港电阻)</v>
          </cell>
          <cell r="I183" t="str">
            <v>RCT02100RFLF</v>
          </cell>
          <cell r="J183">
            <v>103166</v>
          </cell>
          <cell r="K183" t="str">
            <v>南充溢辉电子科技有限公司</v>
          </cell>
          <cell r="L183" t="str">
            <v>X</v>
          </cell>
          <cell r="M183" t="str">
            <v/>
          </cell>
          <cell r="N183">
            <v>1</v>
          </cell>
          <cell r="O183">
            <v>9.7999999999999997E-4</v>
          </cell>
          <cell r="P183">
            <v>0.98</v>
          </cell>
          <cell r="Q183">
            <v>0.98</v>
          </cell>
          <cell r="R183">
            <v>1000</v>
          </cell>
          <cell r="S183" t="str">
            <v>PCS</v>
          </cell>
          <cell r="T183">
            <v>42</v>
          </cell>
          <cell r="U183" t="str">
            <v>J3</v>
          </cell>
          <cell r="V183" t="str">
            <v>CNY</v>
          </cell>
          <cell r="W183">
            <v>10000</v>
          </cell>
          <cell r="X183">
            <v>10000</v>
          </cell>
        </row>
        <row r="184">
          <cell r="D184">
            <v>10100017618</v>
          </cell>
          <cell r="E184" t="str">
            <v>厚膜贴片电阻器</v>
          </cell>
          <cell r="F184">
            <v>10010302</v>
          </cell>
          <cell r="G184" t="str">
            <v>HKR\RES 10K F 1/16W 0402</v>
          </cell>
          <cell r="H184" t="str">
            <v>HKR(香港电阻)</v>
          </cell>
          <cell r="I184" t="str">
            <v>RCT0210KFLF</v>
          </cell>
          <cell r="J184">
            <v>103166</v>
          </cell>
          <cell r="K184" t="str">
            <v>南充溢辉电子科技有限公司</v>
          </cell>
          <cell r="L184" t="str">
            <v>X</v>
          </cell>
          <cell r="M184" t="str">
            <v/>
          </cell>
          <cell r="N184">
            <v>1</v>
          </cell>
          <cell r="O184">
            <v>9.7999999999999997E-4</v>
          </cell>
          <cell r="P184">
            <v>0.98</v>
          </cell>
          <cell r="Q184">
            <v>0.98</v>
          </cell>
          <cell r="R184">
            <v>1000</v>
          </cell>
          <cell r="S184" t="str">
            <v>PCS</v>
          </cell>
          <cell r="T184">
            <v>42</v>
          </cell>
          <cell r="U184" t="str">
            <v>J3</v>
          </cell>
          <cell r="V184" t="str">
            <v>CNY</v>
          </cell>
          <cell r="W184">
            <v>10000</v>
          </cell>
          <cell r="X184">
            <v>10000</v>
          </cell>
        </row>
        <row r="185">
          <cell r="D185">
            <v>10100017642</v>
          </cell>
          <cell r="E185" t="str">
            <v>厚膜贴片电阻器</v>
          </cell>
          <cell r="F185">
            <v>10010302</v>
          </cell>
          <cell r="G185" t="str">
            <v>HKR\RES 1K F 1/16W 0402</v>
          </cell>
          <cell r="H185" t="str">
            <v>HKR(香港电阻)</v>
          </cell>
          <cell r="I185" t="str">
            <v>RCT021KFLF</v>
          </cell>
          <cell r="J185">
            <v>103166</v>
          </cell>
          <cell r="K185" t="str">
            <v>南充溢辉电子科技有限公司</v>
          </cell>
          <cell r="L185" t="str">
            <v>X</v>
          </cell>
          <cell r="M185" t="str">
            <v/>
          </cell>
          <cell r="N185">
            <v>1</v>
          </cell>
          <cell r="O185">
            <v>9.7999999999999997E-4</v>
          </cell>
          <cell r="P185">
            <v>0.98</v>
          </cell>
          <cell r="Q185">
            <v>0.98</v>
          </cell>
          <cell r="R185">
            <v>1000</v>
          </cell>
          <cell r="S185" t="str">
            <v>PCS</v>
          </cell>
          <cell r="T185">
            <v>42</v>
          </cell>
          <cell r="U185" t="str">
            <v>J3</v>
          </cell>
          <cell r="V185" t="str">
            <v>CNY</v>
          </cell>
          <cell r="W185">
            <v>10000</v>
          </cell>
          <cell r="X185">
            <v>10000</v>
          </cell>
        </row>
        <row r="186">
          <cell r="D186">
            <v>10100017664</v>
          </cell>
          <cell r="E186" t="str">
            <v>厚膜贴片电阻器</v>
          </cell>
          <cell r="F186">
            <v>10010302</v>
          </cell>
          <cell r="G186" t="str">
            <v>HKR\RES 22K F 1/16W 0402</v>
          </cell>
          <cell r="H186" t="str">
            <v>HKR(香港电阻)</v>
          </cell>
          <cell r="I186" t="str">
            <v>RCT0222KFLF</v>
          </cell>
          <cell r="J186">
            <v>103166</v>
          </cell>
          <cell r="K186" t="str">
            <v>南充溢辉电子科技有限公司</v>
          </cell>
          <cell r="L186" t="str">
            <v>X</v>
          </cell>
          <cell r="M186" t="str">
            <v/>
          </cell>
          <cell r="N186">
            <v>1</v>
          </cell>
          <cell r="O186">
            <v>9.7999999999999997E-4</v>
          </cell>
          <cell r="P186">
            <v>0.98</v>
          </cell>
          <cell r="Q186">
            <v>0.98</v>
          </cell>
          <cell r="R186">
            <v>1000</v>
          </cell>
          <cell r="S186" t="str">
            <v>PCS</v>
          </cell>
          <cell r="T186">
            <v>42</v>
          </cell>
          <cell r="U186" t="str">
            <v>J3</v>
          </cell>
          <cell r="V186" t="str">
            <v>CNY</v>
          </cell>
          <cell r="W186">
            <v>10000</v>
          </cell>
          <cell r="X186">
            <v>10000</v>
          </cell>
        </row>
        <row r="187">
          <cell r="D187">
            <v>10100017679</v>
          </cell>
          <cell r="E187" t="str">
            <v>厚膜贴片电阻器</v>
          </cell>
          <cell r="F187">
            <v>10010302</v>
          </cell>
          <cell r="G187" t="str">
            <v>HKR\RES 2K F 1/16W 0402</v>
          </cell>
          <cell r="H187" t="str">
            <v>HKR(香港电阻)</v>
          </cell>
          <cell r="I187" t="str">
            <v>RCT022KFLF</v>
          </cell>
          <cell r="J187">
            <v>103166</v>
          </cell>
          <cell r="K187" t="str">
            <v>南充溢辉电子科技有限公司</v>
          </cell>
          <cell r="L187" t="str">
            <v>X</v>
          </cell>
          <cell r="M187" t="str">
            <v/>
          </cell>
          <cell r="N187">
            <v>1</v>
          </cell>
          <cell r="O187">
            <v>9.7999999999999997E-4</v>
          </cell>
          <cell r="P187">
            <v>0.98</v>
          </cell>
          <cell r="Q187">
            <v>0.98</v>
          </cell>
          <cell r="R187">
            <v>1000</v>
          </cell>
          <cell r="S187" t="str">
            <v>PCS</v>
          </cell>
          <cell r="T187">
            <v>42</v>
          </cell>
          <cell r="U187" t="str">
            <v>J3</v>
          </cell>
          <cell r="V187" t="str">
            <v>CNY</v>
          </cell>
          <cell r="W187">
            <v>10000</v>
          </cell>
          <cell r="X187">
            <v>10000</v>
          </cell>
        </row>
        <row r="188">
          <cell r="D188">
            <v>10100017738</v>
          </cell>
          <cell r="E188" t="str">
            <v>厚膜贴片电阻器</v>
          </cell>
          <cell r="F188">
            <v>10010302</v>
          </cell>
          <cell r="G188" t="str">
            <v>HKR\RES 5.1K F 1/16W 0402</v>
          </cell>
          <cell r="H188" t="str">
            <v>HKR(香港电阻)</v>
          </cell>
          <cell r="I188" t="str">
            <v>RCT025K1FLF</v>
          </cell>
          <cell r="J188">
            <v>103166</v>
          </cell>
          <cell r="K188" t="str">
            <v>南充溢辉电子科技有限公司</v>
          </cell>
          <cell r="L188" t="str">
            <v>X</v>
          </cell>
          <cell r="M188" t="str">
            <v/>
          </cell>
          <cell r="N188">
            <v>1</v>
          </cell>
          <cell r="O188">
            <v>9.7999999999999997E-4</v>
          </cell>
          <cell r="P188">
            <v>0.98</v>
          </cell>
          <cell r="Q188">
            <v>0.98</v>
          </cell>
          <cell r="R188">
            <v>1000</v>
          </cell>
          <cell r="S188" t="str">
            <v>PCS</v>
          </cell>
          <cell r="T188">
            <v>42</v>
          </cell>
          <cell r="U188" t="str">
            <v>J3</v>
          </cell>
          <cell r="V188" t="str">
            <v>CNY</v>
          </cell>
          <cell r="W188">
            <v>10000</v>
          </cell>
          <cell r="X188">
            <v>10000</v>
          </cell>
        </row>
        <row r="189">
          <cell r="D189">
            <v>10100017764</v>
          </cell>
          <cell r="E189" t="str">
            <v>厚膜贴片电阻器</v>
          </cell>
          <cell r="F189">
            <v>10010302</v>
          </cell>
          <cell r="G189" t="str">
            <v>HKR\RES 9.1K F 1/16W 0402</v>
          </cell>
          <cell r="H189" t="str">
            <v>HKR(香港电阻)</v>
          </cell>
          <cell r="I189" t="str">
            <v>RCT029K1FLF</v>
          </cell>
          <cell r="J189">
            <v>103166</v>
          </cell>
          <cell r="K189" t="str">
            <v>南充溢辉电子科技有限公司</v>
          </cell>
          <cell r="L189" t="str">
            <v>X</v>
          </cell>
          <cell r="M189" t="str">
            <v/>
          </cell>
          <cell r="N189">
            <v>1</v>
          </cell>
          <cell r="O189">
            <v>9.7999999999999997E-4</v>
          </cell>
          <cell r="P189">
            <v>0.98</v>
          </cell>
          <cell r="Q189">
            <v>0.98</v>
          </cell>
          <cell r="R189">
            <v>1000</v>
          </cell>
          <cell r="S189" t="str">
            <v>PCS</v>
          </cell>
          <cell r="T189">
            <v>42</v>
          </cell>
          <cell r="U189" t="str">
            <v>J3</v>
          </cell>
          <cell r="V189" t="str">
            <v>CNY</v>
          </cell>
          <cell r="W189">
            <v>10000</v>
          </cell>
          <cell r="X189">
            <v>10000</v>
          </cell>
        </row>
        <row r="190">
          <cell r="D190">
            <v>10100017881</v>
          </cell>
          <cell r="E190" t="str">
            <v>厚膜贴片电阻器</v>
          </cell>
          <cell r="F190">
            <v>10010302</v>
          </cell>
          <cell r="G190" t="str">
            <v>HKR\RES 2.2K F 1/10W 0603</v>
          </cell>
          <cell r="H190" t="str">
            <v>HKR(香港电阻)</v>
          </cell>
          <cell r="I190" t="str">
            <v>RCT032K2FLF</v>
          </cell>
          <cell r="J190">
            <v>103166</v>
          </cell>
          <cell r="K190" t="str">
            <v>南充溢辉电子科技有限公司</v>
          </cell>
          <cell r="L190" t="str">
            <v>X</v>
          </cell>
          <cell r="M190" t="str">
            <v/>
          </cell>
          <cell r="N190">
            <v>1</v>
          </cell>
          <cell r="O190">
            <v>1.8500000000000001E-3</v>
          </cell>
          <cell r="P190">
            <v>1.85</v>
          </cell>
          <cell r="Q190">
            <v>1.85</v>
          </cell>
          <cell r="R190">
            <v>1000</v>
          </cell>
          <cell r="S190" t="str">
            <v>PCS</v>
          </cell>
          <cell r="T190">
            <v>42</v>
          </cell>
          <cell r="U190" t="str">
            <v>J3</v>
          </cell>
          <cell r="V190" t="str">
            <v>CNY</v>
          </cell>
          <cell r="W190">
            <v>5000</v>
          </cell>
          <cell r="X190">
            <v>5000</v>
          </cell>
        </row>
        <row r="191">
          <cell r="D191">
            <v>10100017970</v>
          </cell>
          <cell r="E191" t="str">
            <v>厚膜贴片电阻器</v>
          </cell>
          <cell r="F191">
            <v>10010302</v>
          </cell>
          <cell r="G191" t="str">
            <v>HKR\RES 4.7K F 1/10W 0603</v>
          </cell>
          <cell r="H191" t="str">
            <v>HKR(香港电阻)</v>
          </cell>
          <cell r="I191" t="str">
            <v>RCT034K7FLF</v>
          </cell>
          <cell r="J191">
            <v>103166</v>
          </cell>
          <cell r="K191" t="str">
            <v>南充溢辉电子科技有限公司</v>
          </cell>
          <cell r="L191" t="str">
            <v>X</v>
          </cell>
          <cell r="M191" t="str">
            <v/>
          </cell>
          <cell r="N191">
            <v>1</v>
          </cell>
          <cell r="O191">
            <v>1.8500000000000001E-3</v>
          </cell>
          <cell r="P191">
            <v>1.85</v>
          </cell>
          <cell r="Q191">
            <v>1.85</v>
          </cell>
          <cell r="R191">
            <v>1000</v>
          </cell>
          <cell r="S191" t="str">
            <v>PCS</v>
          </cell>
          <cell r="T191">
            <v>42</v>
          </cell>
          <cell r="U191" t="str">
            <v>J3</v>
          </cell>
          <cell r="V191" t="str">
            <v>CNY</v>
          </cell>
          <cell r="W191">
            <v>5000</v>
          </cell>
          <cell r="X191">
            <v>5000</v>
          </cell>
        </row>
        <row r="192">
          <cell r="D192">
            <v>10100018011</v>
          </cell>
          <cell r="E192" t="str">
            <v>厚膜贴片电阻器</v>
          </cell>
          <cell r="F192">
            <v>10010302</v>
          </cell>
          <cell r="G192" t="str">
            <v>HKR\RES 68K F 1/10W 0603</v>
          </cell>
          <cell r="H192" t="str">
            <v>HKR(香港电阻)</v>
          </cell>
          <cell r="I192" t="str">
            <v>RCT0368KFLF</v>
          </cell>
          <cell r="J192">
            <v>103166</v>
          </cell>
          <cell r="K192" t="str">
            <v>南充溢辉电子科技有限公司</v>
          </cell>
          <cell r="L192" t="str">
            <v>X</v>
          </cell>
          <cell r="M192" t="str">
            <v/>
          </cell>
          <cell r="N192">
            <v>1</v>
          </cell>
          <cell r="O192">
            <v>1.8500000000000001E-3</v>
          </cell>
          <cell r="P192">
            <v>1.85</v>
          </cell>
          <cell r="Q192">
            <v>1.85</v>
          </cell>
          <cell r="R192">
            <v>1000</v>
          </cell>
          <cell r="S192" t="str">
            <v>PCS</v>
          </cell>
          <cell r="T192">
            <v>42</v>
          </cell>
          <cell r="U192" t="str">
            <v>J3</v>
          </cell>
          <cell r="V192" t="str">
            <v>CNY</v>
          </cell>
          <cell r="W192">
            <v>5000</v>
          </cell>
          <cell r="X192">
            <v>5000</v>
          </cell>
        </row>
        <row r="193">
          <cell r="D193">
            <v>10100018109</v>
          </cell>
          <cell r="E193" t="str">
            <v>厚膜贴片电阻器</v>
          </cell>
          <cell r="F193">
            <v>10010302</v>
          </cell>
          <cell r="G193" t="str">
            <v>HKR\RES 1K F 1/8W 0805</v>
          </cell>
          <cell r="H193" t="str">
            <v>HKR(香港电阻)</v>
          </cell>
          <cell r="I193" t="str">
            <v>RCT051KFLF</v>
          </cell>
          <cell r="J193">
            <v>103166</v>
          </cell>
          <cell r="K193" t="str">
            <v>南充溢辉电子科技有限公司</v>
          </cell>
          <cell r="L193" t="str">
            <v>X</v>
          </cell>
          <cell r="M193" t="str">
            <v/>
          </cell>
          <cell r="N193">
            <v>1</v>
          </cell>
          <cell r="O193">
            <v>3.3500000000000001E-3</v>
          </cell>
          <cell r="P193">
            <v>3.35</v>
          </cell>
          <cell r="Q193">
            <v>3.35</v>
          </cell>
          <cell r="R193">
            <v>1000</v>
          </cell>
          <cell r="S193" t="str">
            <v>PCS</v>
          </cell>
          <cell r="T193">
            <v>42</v>
          </cell>
          <cell r="U193" t="str">
            <v>J3</v>
          </cell>
          <cell r="V193" t="str">
            <v>CNY</v>
          </cell>
          <cell r="W193">
            <v>5000</v>
          </cell>
          <cell r="X193">
            <v>5000</v>
          </cell>
        </row>
        <row r="194">
          <cell r="D194">
            <v>10100018253</v>
          </cell>
          <cell r="E194" t="str">
            <v>厚膜贴片电阻器</v>
          </cell>
          <cell r="F194">
            <v>10010302</v>
          </cell>
          <cell r="G194" t="str">
            <v>HKR\RES 5.1K F 1/8W 0805</v>
          </cell>
          <cell r="H194" t="str">
            <v>HKR(香港电阻)</v>
          </cell>
          <cell r="I194" t="str">
            <v>RCT055K1FLF</v>
          </cell>
          <cell r="J194">
            <v>103166</v>
          </cell>
          <cell r="K194" t="str">
            <v>南充溢辉电子科技有限公司</v>
          </cell>
          <cell r="L194" t="str">
            <v>X</v>
          </cell>
          <cell r="M194" t="str">
            <v/>
          </cell>
          <cell r="N194">
            <v>1</v>
          </cell>
          <cell r="O194">
            <v>3.3500000000000001E-3</v>
          </cell>
          <cell r="P194">
            <v>3.35</v>
          </cell>
          <cell r="Q194">
            <v>3.35</v>
          </cell>
          <cell r="R194">
            <v>1000</v>
          </cell>
          <cell r="S194" t="str">
            <v>PCS</v>
          </cell>
          <cell r="T194">
            <v>42</v>
          </cell>
          <cell r="U194" t="str">
            <v>J3</v>
          </cell>
          <cell r="V194" t="str">
            <v>CNY</v>
          </cell>
          <cell r="W194">
            <v>5000</v>
          </cell>
          <cell r="X194">
            <v>5000</v>
          </cell>
        </row>
        <row r="195">
          <cell r="D195">
            <v>10100026554</v>
          </cell>
          <cell r="E195" t="str">
            <v>厚膜贴片电阻器</v>
          </cell>
          <cell r="F195">
            <v>10010302</v>
          </cell>
          <cell r="G195" t="str">
            <v>FH\RES 300K F 1/4W 1206</v>
          </cell>
          <cell r="H195" t="str">
            <v>FH(风华)</v>
          </cell>
          <cell r="I195" t="str">
            <v>RS-06K3003FT</v>
          </cell>
          <cell r="J195">
            <v>100654</v>
          </cell>
          <cell r="K195" t="str">
            <v>广东风华高新科技股份有限公司</v>
          </cell>
          <cell r="L195" t="str">
            <v>X</v>
          </cell>
          <cell r="M195" t="str">
            <v/>
          </cell>
          <cell r="N195">
            <v>1</v>
          </cell>
          <cell r="O195">
            <v>6.3699999999999998E-3</v>
          </cell>
          <cell r="P195">
            <v>6.37</v>
          </cell>
          <cell r="Q195">
            <v>6.37</v>
          </cell>
          <cell r="R195">
            <v>1000</v>
          </cell>
          <cell r="S195" t="str">
            <v>PCS</v>
          </cell>
          <cell r="T195">
            <v>42</v>
          </cell>
          <cell r="U195" t="str">
            <v>J3</v>
          </cell>
          <cell r="V195" t="str">
            <v>CNY</v>
          </cell>
          <cell r="W195">
            <v>5000</v>
          </cell>
          <cell r="X195">
            <v>5000</v>
          </cell>
        </row>
        <row r="196">
          <cell r="D196">
            <v>10110003896</v>
          </cell>
          <cell r="E196" t="str">
            <v>贴片陶瓷电容器</v>
          </cell>
          <cell r="F196">
            <v>11060201</v>
          </cell>
          <cell r="G196" t="str">
            <v>YAGEO\CAP Cer 1nF K X7R 50VDC 0402</v>
          </cell>
          <cell r="H196" t="str">
            <v>YAGEO(国巨)</v>
          </cell>
          <cell r="I196" t="str">
            <v>CC0402KRX7R9BB102</v>
          </cell>
          <cell r="J196">
            <v>101553</v>
          </cell>
          <cell r="K196" t="str">
            <v>深圳市奥特高科电子有限公司</v>
          </cell>
          <cell r="L196" t="str">
            <v>X</v>
          </cell>
          <cell r="M196" t="str">
            <v/>
          </cell>
          <cell r="N196">
            <v>1</v>
          </cell>
          <cell r="O196">
            <v>2.3E-3</v>
          </cell>
          <cell r="P196">
            <v>2.2999999999999998</v>
          </cell>
          <cell r="Q196">
            <v>2.2999999999999998</v>
          </cell>
          <cell r="R196">
            <v>1000</v>
          </cell>
          <cell r="S196" t="str">
            <v>PCS</v>
          </cell>
          <cell r="T196">
            <v>56</v>
          </cell>
          <cell r="U196" t="str">
            <v>J3</v>
          </cell>
          <cell r="V196" t="str">
            <v>CNY</v>
          </cell>
          <cell r="W196">
            <v>10000</v>
          </cell>
          <cell r="X196">
            <v>10000</v>
          </cell>
        </row>
        <row r="197">
          <cell r="D197">
            <v>10110003897</v>
          </cell>
          <cell r="E197" t="str">
            <v>贴片陶瓷电容器</v>
          </cell>
          <cell r="F197">
            <v>11060201</v>
          </cell>
          <cell r="G197" t="str">
            <v>YAGEO\CAP Cer 10nF K X7R 50VDC 0402</v>
          </cell>
          <cell r="H197" t="str">
            <v>YAGEO(国巨)</v>
          </cell>
          <cell r="I197" t="str">
            <v>CC0402KRX7R9BB103</v>
          </cell>
          <cell r="J197">
            <v>101553</v>
          </cell>
          <cell r="K197" t="str">
            <v>深圳市奥特高科电子有限公司</v>
          </cell>
          <cell r="L197" t="str">
            <v>X</v>
          </cell>
          <cell r="M197" t="str">
            <v/>
          </cell>
          <cell r="N197">
            <v>1</v>
          </cell>
          <cell r="O197">
            <v>2.2000000000000001E-3</v>
          </cell>
          <cell r="P197">
            <v>2.2000000000000002</v>
          </cell>
          <cell r="Q197">
            <v>2.2000000000000002</v>
          </cell>
          <cell r="R197">
            <v>1000</v>
          </cell>
          <cell r="S197" t="str">
            <v>PCS</v>
          </cell>
          <cell r="T197">
            <v>56</v>
          </cell>
          <cell r="U197" t="str">
            <v>J3</v>
          </cell>
          <cell r="V197" t="str">
            <v>CNY</v>
          </cell>
          <cell r="W197">
            <v>10000</v>
          </cell>
          <cell r="X197">
            <v>10000</v>
          </cell>
        </row>
        <row r="198">
          <cell r="D198">
            <v>10110004676</v>
          </cell>
          <cell r="E198" t="str">
            <v>贴片陶瓷电容器</v>
          </cell>
          <cell r="F198">
            <v>11060201</v>
          </cell>
          <cell r="G198" t="str">
            <v>WALS\CAP Cer 10nF K X7R 50VDC 0402</v>
          </cell>
          <cell r="H198" t="str">
            <v>WALS(华科)</v>
          </cell>
          <cell r="I198" t="str">
            <v>0402B103K500CT</v>
          </cell>
          <cell r="J198">
            <v>100131</v>
          </cell>
          <cell r="K198" t="str">
            <v>东莞华科电子有限公司</v>
          </cell>
          <cell r="L198" t="str">
            <v>X</v>
          </cell>
          <cell r="M198" t="str">
            <v/>
          </cell>
          <cell r="N198">
            <v>1</v>
          </cell>
          <cell r="O198">
            <v>1.98E-3</v>
          </cell>
          <cell r="P198">
            <v>1.98</v>
          </cell>
          <cell r="Q198">
            <v>1.98</v>
          </cell>
          <cell r="R198">
            <v>1000</v>
          </cell>
          <cell r="S198" t="str">
            <v>PCS</v>
          </cell>
          <cell r="T198">
            <v>56</v>
          </cell>
          <cell r="U198" t="str">
            <v>J3</v>
          </cell>
          <cell r="V198" t="str">
            <v>CNY</v>
          </cell>
          <cell r="W198">
            <v>10000</v>
          </cell>
          <cell r="X198">
            <v>10000</v>
          </cell>
        </row>
        <row r="199">
          <cell r="D199">
            <v>10110005377</v>
          </cell>
          <cell r="E199" t="str">
            <v>贴片陶瓷电容器</v>
          </cell>
          <cell r="F199">
            <v>11060201</v>
          </cell>
          <cell r="G199" t="str">
            <v>WALS\CAP Cer 100pF K X7R 50VDC 0402</v>
          </cell>
          <cell r="H199" t="str">
            <v>WALS(华科)</v>
          </cell>
          <cell r="I199" t="str">
            <v>0402B101K500CT</v>
          </cell>
          <cell r="J199">
            <v>101751</v>
          </cell>
          <cell r="K199" t="str">
            <v>深圳市巨新科电子有限公司</v>
          </cell>
          <cell r="L199" t="str">
            <v>X</v>
          </cell>
          <cell r="M199" t="str">
            <v/>
          </cell>
          <cell r="N199">
            <v>1</v>
          </cell>
          <cell r="O199">
            <v>2.98E-3</v>
          </cell>
          <cell r="P199">
            <v>2.98</v>
          </cell>
          <cell r="Q199">
            <v>2.98</v>
          </cell>
          <cell r="R199">
            <v>1000</v>
          </cell>
          <cell r="S199" t="str">
            <v>PCS</v>
          </cell>
          <cell r="T199">
            <v>90</v>
          </cell>
          <cell r="U199" t="str">
            <v>J3</v>
          </cell>
          <cell r="V199" t="str">
            <v>CNY</v>
          </cell>
          <cell r="W199">
            <v>10000</v>
          </cell>
          <cell r="X199">
            <v>10000</v>
          </cell>
        </row>
        <row r="200">
          <cell r="D200">
            <v>10110005378</v>
          </cell>
          <cell r="E200" t="str">
            <v>贴片陶瓷电容器</v>
          </cell>
          <cell r="F200">
            <v>11060201</v>
          </cell>
          <cell r="G200" t="str">
            <v>YAGEO\CAP Cer 100pF K X7R 50VDC 0402</v>
          </cell>
          <cell r="H200" t="str">
            <v>YAGEO(国巨)</v>
          </cell>
          <cell r="I200" t="str">
            <v>CC0402KRX7R9BB101</v>
          </cell>
          <cell r="J200">
            <v>100621</v>
          </cell>
          <cell r="K200" t="str">
            <v>深圳市吉利通电子有限公司</v>
          </cell>
          <cell r="L200" t="str">
            <v>X</v>
          </cell>
          <cell r="M200" t="str">
            <v/>
          </cell>
          <cell r="N200">
            <v>1</v>
          </cell>
          <cell r="O200">
            <v>2.3999999999999998E-3</v>
          </cell>
          <cell r="P200">
            <v>2.4</v>
          </cell>
          <cell r="Q200">
            <v>2.4</v>
          </cell>
          <cell r="R200">
            <v>1000</v>
          </cell>
          <cell r="S200" t="str">
            <v>PCS</v>
          </cell>
          <cell r="T200">
            <v>56</v>
          </cell>
          <cell r="U200" t="str">
            <v>J3</v>
          </cell>
          <cell r="V200" t="str">
            <v>CNY</v>
          </cell>
          <cell r="W200">
            <v>10000</v>
          </cell>
          <cell r="X200">
            <v>10000</v>
          </cell>
        </row>
        <row r="201">
          <cell r="D201">
            <v>10110005817</v>
          </cell>
          <cell r="E201" t="str">
            <v>贴片陶瓷电容器</v>
          </cell>
          <cell r="F201">
            <v>11060201</v>
          </cell>
          <cell r="G201" t="str">
            <v>WALS\CAP Cer 1nF K X7R 50VDC 0402</v>
          </cell>
          <cell r="H201" t="str">
            <v>WALS(华科)</v>
          </cell>
          <cell r="I201" t="str">
            <v>0402B102K500CT</v>
          </cell>
          <cell r="J201">
            <v>100131</v>
          </cell>
          <cell r="K201" t="str">
            <v>东莞华科电子有限公司</v>
          </cell>
          <cell r="L201" t="str">
            <v>X</v>
          </cell>
          <cell r="M201" t="str">
            <v/>
          </cell>
          <cell r="N201">
            <v>1</v>
          </cell>
          <cell r="O201">
            <v>1.98E-3</v>
          </cell>
          <cell r="P201">
            <v>1.98</v>
          </cell>
          <cell r="Q201">
            <v>1.98</v>
          </cell>
          <cell r="R201">
            <v>1000</v>
          </cell>
          <cell r="S201" t="str">
            <v>PCS</v>
          </cell>
          <cell r="T201">
            <v>56</v>
          </cell>
          <cell r="U201" t="str">
            <v>J3</v>
          </cell>
          <cell r="V201" t="str">
            <v>CNY</v>
          </cell>
          <cell r="W201">
            <v>10000</v>
          </cell>
          <cell r="X201">
            <v>10000</v>
          </cell>
        </row>
        <row r="202">
          <cell r="D202">
            <v>10110006771</v>
          </cell>
          <cell r="E202" t="str">
            <v>贴片陶瓷电容器</v>
          </cell>
          <cell r="F202">
            <v>11060201</v>
          </cell>
          <cell r="G202" t="str">
            <v>YAGEO\CAP Cer 100nF K X7R 50VDC 0402</v>
          </cell>
          <cell r="H202" t="str">
            <v>YAGEO(国巨)</v>
          </cell>
          <cell r="I202" t="str">
            <v>CC0402KRX7R9BB104</v>
          </cell>
          <cell r="J202">
            <v>101553</v>
          </cell>
          <cell r="K202" t="str">
            <v>深圳市奥特高科电子有限公司</v>
          </cell>
          <cell r="L202" t="str">
            <v>X</v>
          </cell>
          <cell r="M202" t="str">
            <v/>
          </cell>
          <cell r="N202">
            <v>1</v>
          </cell>
          <cell r="O202">
            <v>4.9500000000000004E-3</v>
          </cell>
          <cell r="P202">
            <v>4.95</v>
          </cell>
          <cell r="Q202">
            <v>4.95</v>
          </cell>
          <cell r="R202">
            <v>1000</v>
          </cell>
          <cell r="S202" t="str">
            <v>PCS</v>
          </cell>
          <cell r="T202">
            <v>56</v>
          </cell>
          <cell r="U202" t="str">
            <v>J3</v>
          </cell>
          <cell r="V202" t="str">
            <v>CNY</v>
          </cell>
          <cell r="W202">
            <v>10000</v>
          </cell>
          <cell r="X202">
            <v>10000</v>
          </cell>
        </row>
        <row r="203">
          <cell r="D203">
            <v>10110007139</v>
          </cell>
          <cell r="E203" t="str">
            <v>贴片陶瓷电容器</v>
          </cell>
          <cell r="F203">
            <v>11060201</v>
          </cell>
          <cell r="G203" t="str">
            <v>SAMS\CAP Cer 10nF K X7R 50VDC 0402</v>
          </cell>
          <cell r="H203" t="str">
            <v>SAMSUNG(三星)</v>
          </cell>
          <cell r="I203" t="str">
            <v>CL05B103KB5NNNC</v>
          </cell>
          <cell r="J203">
            <v>100599</v>
          </cell>
          <cell r="K203" t="str">
            <v>深圳市天河星供应链有限公司</v>
          </cell>
          <cell r="L203" t="str">
            <v>X</v>
          </cell>
          <cell r="M203" t="str">
            <v/>
          </cell>
          <cell r="N203">
            <v>1</v>
          </cell>
          <cell r="O203">
            <v>2.2000000000000001E-3</v>
          </cell>
          <cell r="P203">
            <v>2.2000000000000002</v>
          </cell>
          <cell r="Q203">
            <v>2.2000000000000002</v>
          </cell>
          <cell r="R203">
            <v>1000</v>
          </cell>
          <cell r="S203" t="str">
            <v>PCS</v>
          </cell>
          <cell r="T203">
            <v>56</v>
          </cell>
          <cell r="U203" t="str">
            <v>J3</v>
          </cell>
          <cell r="V203" t="str">
            <v>CNY</v>
          </cell>
          <cell r="W203">
            <v>10000</v>
          </cell>
          <cell r="X203">
            <v>10000</v>
          </cell>
        </row>
        <row r="204">
          <cell r="D204">
            <v>10110007822</v>
          </cell>
          <cell r="E204" t="str">
            <v>贴片陶瓷电容器</v>
          </cell>
          <cell r="F204">
            <v>11060201</v>
          </cell>
          <cell r="G204" t="str">
            <v>SAMS\CAP Cer 1nF K X7R 50VDC 0402</v>
          </cell>
          <cell r="H204" t="str">
            <v>SAMSUNG(三星)</v>
          </cell>
          <cell r="I204" t="str">
            <v>CL05B102KB5NNNC</v>
          </cell>
          <cell r="J204">
            <v>101957</v>
          </cell>
          <cell r="K204" t="str">
            <v>广东顺德集财电子有限公司</v>
          </cell>
          <cell r="L204" t="str">
            <v>X</v>
          </cell>
          <cell r="M204" t="str">
            <v/>
          </cell>
          <cell r="N204">
            <v>1</v>
          </cell>
          <cell r="O204">
            <v>2.3999999999999998E-3</v>
          </cell>
          <cell r="P204">
            <v>2.4</v>
          </cell>
          <cell r="Q204">
            <v>2.4</v>
          </cell>
          <cell r="R204">
            <v>1000</v>
          </cell>
          <cell r="S204" t="str">
            <v>PCS</v>
          </cell>
          <cell r="T204">
            <v>56</v>
          </cell>
          <cell r="U204" t="str">
            <v>J3</v>
          </cell>
          <cell r="V204" t="str">
            <v>CNY</v>
          </cell>
          <cell r="W204">
            <v>10000</v>
          </cell>
          <cell r="X204">
            <v>10000</v>
          </cell>
        </row>
        <row r="205">
          <cell r="D205">
            <v>10110008257</v>
          </cell>
          <cell r="E205" t="str">
            <v>贴片陶瓷电容器</v>
          </cell>
          <cell r="F205">
            <v>11060201</v>
          </cell>
          <cell r="G205" t="str">
            <v>WALS\CAP Cer 100nF K X7R 50VDC 0402</v>
          </cell>
          <cell r="H205" t="str">
            <v>WALS(华科)</v>
          </cell>
          <cell r="I205" t="str">
            <v>0402B104K500CT</v>
          </cell>
          <cell r="J205">
            <v>101957</v>
          </cell>
          <cell r="K205" t="str">
            <v>广东顺德集财电子有限公司</v>
          </cell>
          <cell r="L205" t="str">
            <v>X</v>
          </cell>
          <cell r="M205" t="str">
            <v/>
          </cell>
          <cell r="N205">
            <v>1</v>
          </cell>
          <cell r="O205">
            <v>4.62E-3</v>
          </cell>
          <cell r="P205">
            <v>4.62</v>
          </cell>
          <cell r="Q205">
            <v>4.62</v>
          </cell>
          <cell r="R205">
            <v>1000</v>
          </cell>
          <cell r="S205" t="str">
            <v>PCS</v>
          </cell>
          <cell r="T205">
            <v>56</v>
          </cell>
          <cell r="U205" t="str">
            <v>J3</v>
          </cell>
          <cell r="V205" t="str">
            <v>CNY</v>
          </cell>
          <cell r="W205">
            <v>10000</v>
          </cell>
          <cell r="X205">
            <v>10000</v>
          </cell>
        </row>
        <row r="206">
          <cell r="D206">
            <v>10110008724</v>
          </cell>
          <cell r="E206" t="str">
            <v>贴片陶瓷电容器</v>
          </cell>
          <cell r="F206">
            <v>11060201</v>
          </cell>
          <cell r="G206" t="str">
            <v>FH\CAP Cer 100nF K X7R 50VDC 0402</v>
          </cell>
          <cell r="H206" t="str">
            <v>FH(风华)</v>
          </cell>
          <cell r="I206" t="str">
            <v>0402B104K500NT</v>
          </cell>
          <cell r="J206">
            <v>101957</v>
          </cell>
          <cell r="K206" t="str">
            <v>广东顺德集财电子有限公司</v>
          </cell>
          <cell r="L206" t="str">
            <v>X</v>
          </cell>
          <cell r="M206" t="str">
            <v/>
          </cell>
          <cell r="N206">
            <v>1</v>
          </cell>
          <cell r="O206">
            <v>4.1000000000000003E-3</v>
          </cell>
          <cell r="P206">
            <v>4.0999999999999996</v>
          </cell>
          <cell r="Q206">
            <v>4.0999999999999996</v>
          </cell>
          <cell r="R206">
            <v>1000</v>
          </cell>
          <cell r="S206" t="str">
            <v>PCS</v>
          </cell>
          <cell r="T206">
            <v>56</v>
          </cell>
          <cell r="U206" t="str">
            <v>J3</v>
          </cell>
          <cell r="V206" t="str">
            <v>CNY</v>
          </cell>
          <cell r="W206">
            <v>10000</v>
          </cell>
          <cell r="X206">
            <v>10000</v>
          </cell>
        </row>
        <row r="207">
          <cell r="D207">
            <v>10110008726</v>
          </cell>
          <cell r="E207" t="str">
            <v>贴片陶瓷电容器</v>
          </cell>
          <cell r="F207">
            <v>11060201</v>
          </cell>
          <cell r="G207" t="str">
            <v>FH\CAP Cer 100pF K X7R 50VDC 0402</v>
          </cell>
          <cell r="H207" t="str">
            <v>FH(风华)</v>
          </cell>
          <cell r="I207" t="str">
            <v>0402B101K500NT</v>
          </cell>
          <cell r="J207">
            <v>100599</v>
          </cell>
          <cell r="K207" t="str">
            <v>深圳市天河星供应链有限公司</v>
          </cell>
          <cell r="L207" t="str">
            <v>X</v>
          </cell>
          <cell r="M207" t="str">
            <v/>
          </cell>
          <cell r="N207">
            <v>1</v>
          </cell>
          <cell r="O207">
            <v>2.2000000000000001E-3</v>
          </cell>
          <cell r="P207">
            <v>2.2000000000000002</v>
          </cell>
          <cell r="Q207">
            <v>2.2000000000000002</v>
          </cell>
          <cell r="R207">
            <v>1000</v>
          </cell>
          <cell r="S207" t="str">
            <v>PCS</v>
          </cell>
          <cell r="T207">
            <v>84</v>
          </cell>
          <cell r="U207" t="str">
            <v>J3</v>
          </cell>
          <cell r="V207" t="str">
            <v>CNY</v>
          </cell>
          <cell r="W207">
            <v>10000</v>
          </cell>
          <cell r="X207">
            <v>10000</v>
          </cell>
        </row>
        <row r="208">
          <cell r="D208">
            <v>10110008729</v>
          </cell>
          <cell r="E208" t="str">
            <v>贴片陶瓷电容器</v>
          </cell>
          <cell r="F208">
            <v>11060201</v>
          </cell>
          <cell r="G208" t="str">
            <v>FH\CAP Cer 10nF K X7R 50VDC 0402</v>
          </cell>
          <cell r="H208" t="str">
            <v>FH(风华)</v>
          </cell>
          <cell r="I208" t="str">
            <v>0402B103K500NT</v>
          </cell>
          <cell r="J208">
            <v>100654</v>
          </cell>
          <cell r="K208" t="str">
            <v>广东风华高新科技股份有限公司</v>
          </cell>
          <cell r="L208" t="str">
            <v>X</v>
          </cell>
          <cell r="M208" t="str">
            <v/>
          </cell>
          <cell r="N208">
            <v>1</v>
          </cell>
          <cell r="O208">
            <v>2.0999999999999999E-3</v>
          </cell>
          <cell r="P208">
            <v>2.1</v>
          </cell>
          <cell r="Q208">
            <v>2.1</v>
          </cell>
          <cell r="R208">
            <v>1000</v>
          </cell>
          <cell r="S208" t="str">
            <v>PCS</v>
          </cell>
          <cell r="T208">
            <v>56</v>
          </cell>
          <cell r="U208" t="str">
            <v>J3</v>
          </cell>
          <cell r="V208" t="str">
            <v>CNY</v>
          </cell>
          <cell r="W208">
            <v>10000</v>
          </cell>
          <cell r="X208">
            <v>10000</v>
          </cell>
        </row>
        <row r="209">
          <cell r="D209">
            <v>10110008734</v>
          </cell>
          <cell r="E209" t="str">
            <v>贴片陶瓷电容器</v>
          </cell>
          <cell r="F209">
            <v>11060201</v>
          </cell>
          <cell r="G209" t="str">
            <v>FH\CAP Cer 1nF K X7R 50VDC 0402</v>
          </cell>
          <cell r="H209" t="str">
            <v>FH(风华)</v>
          </cell>
          <cell r="I209" t="str">
            <v>0402B102K500NT</v>
          </cell>
          <cell r="J209">
            <v>100654</v>
          </cell>
          <cell r="K209" t="str">
            <v>广东风华高新科技股份有限公司</v>
          </cell>
          <cell r="L209" t="str">
            <v>X</v>
          </cell>
          <cell r="M209" t="str">
            <v/>
          </cell>
          <cell r="N209">
            <v>1</v>
          </cell>
          <cell r="O209">
            <v>2.0999999999999999E-3</v>
          </cell>
          <cell r="P209">
            <v>2.1</v>
          </cell>
          <cell r="Q209">
            <v>2.1</v>
          </cell>
          <cell r="R209">
            <v>1000</v>
          </cell>
          <cell r="S209" t="str">
            <v>PCS</v>
          </cell>
          <cell r="T209">
            <v>56</v>
          </cell>
          <cell r="U209" t="str">
            <v>J3</v>
          </cell>
          <cell r="V209" t="str">
            <v>CNY</v>
          </cell>
          <cell r="W209">
            <v>10000</v>
          </cell>
          <cell r="X209">
            <v>10000</v>
          </cell>
        </row>
        <row r="210">
          <cell r="D210">
            <v>10110008934</v>
          </cell>
          <cell r="E210" t="str">
            <v>贴片陶瓷电容器</v>
          </cell>
          <cell r="F210">
            <v>11060201</v>
          </cell>
          <cell r="G210" t="str">
            <v>FH\CAP Cer 4.7uF K X7R 50VDC 0805</v>
          </cell>
          <cell r="H210" t="str">
            <v>FH(风华)</v>
          </cell>
          <cell r="I210" t="str">
            <v>0805B475K500NT</v>
          </cell>
          <cell r="J210">
            <v>101957</v>
          </cell>
          <cell r="K210" t="str">
            <v>广东顺德集财电子有限公司</v>
          </cell>
          <cell r="L210" t="str">
            <v>X</v>
          </cell>
          <cell r="M210" t="str">
            <v/>
          </cell>
          <cell r="N210">
            <v>1</v>
          </cell>
          <cell r="O210">
            <v>9.8000000000000004E-2</v>
          </cell>
          <cell r="P210">
            <v>98</v>
          </cell>
          <cell r="Q210">
            <v>98</v>
          </cell>
          <cell r="R210">
            <v>1000</v>
          </cell>
          <cell r="S210" t="str">
            <v>PCS</v>
          </cell>
          <cell r="T210">
            <v>56</v>
          </cell>
          <cell r="U210" t="str">
            <v>J3</v>
          </cell>
          <cell r="V210" t="str">
            <v>CNY</v>
          </cell>
          <cell r="W210">
            <v>2000</v>
          </cell>
          <cell r="X210">
            <v>2000</v>
          </cell>
        </row>
        <row r="211">
          <cell r="D211">
            <v>10110009749</v>
          </cell>
          <cell r="E211" t="str">
            <v>贴片陶瓷电容器</v>
          </cell>
          <cell r="F211">
            <v>11060201</v>
          </cell>
          <cell r="G211" t="str">
            <v>SAMS\CAP Cer 100pF K X7R 50VDC 0402</v>
          </cell>
          <cell r="H211" t="str">
            <v>SAMSUNG(三星)</v>
          </cell>
          <cell r="I211" t="str">
            <v>CL05B101KB5NNNC</v>
          </cell>
          <cell r="J211">
            <v>101783</v>
          </cell>
          <cell r="K211" t="str">
            <v>深圳市欧亚达电子有限公司</v>
          </cell>
          <cell r="L211" t="str">
            <v>X</v>
          </cell>
          <cell r="M211" t="str">
            <v/>
          </cell>
          <cell r="N211">
            <v>1</v>
          </cell>
          <cell r="O211">
            <v>9.5499999999999995E-3</v>
          </cell>
          <cell r="P211">
            <v>9.5500000000000007</v>
          </cell>
          <cell r="Q211">
            <v>9.5500000000000007</v>
          </cell>
          <cell r="R211">
            <v>1000</v>
          </cell>
          <cell r="S211" t="str">
            <v>PCS</v>
          </cell>
          <cell r="T211">
            <v>84</v>
          </cell>
          <cell r="U211" t="str">
            <v>J3</v>
          </cell>
          <cell r="V211" t="str">
            <v>CNY</v>
          </cell>
          <cell r="W211">
            <v>10000</v>
          </cell>
          <cell r="X211">
            <v>10000</v>
          </cell>
        </row>
        <row r="212">
          <cell r="D212">
            <v>10110011269</v>
          </cell>
          <cell r="E212" t="str">
            <v>贴片陶瓷电容器</v>
          </cell>
          <cell r="F212">
            <v>11060201</v>
          </cell>
          <cell r="G212" t="str">
            <v>SH3\CAP Cer 10nF K X7R 50VDC 0402</v>
          </cell>
          <cell r="H212" t="str">
            <v>CCTC(三环)</v>
          </cell>
          <cell r="I212" t="str">
            <v>TCC0402X7R103K500AT</v>
          </cell>
          <cell r="J212">
            <v>102178</v>
          </cell>
          <cell r="K212" t="str">
            <v>潮州三环（集团）股份有限公司</v>
          </cell>
          <cell r="L212" t="str">
            <v>X</v>
          </cell>
          <cell r="M212" t="str">
            <v/>
          </cell>
          <cell r="N212">
            <v>1</v>
          </cell>
          <cell r="O212">
            <v>1.8500000000000001E-3</v>
          </cell>
          <cell r="P212">
            <v>1.85</v>
          </cell>
          <cell r="Q212">
            <v>1.85</v>
          </cell>
          <cell r="R212">
            <v>1000</v>
          </cell>
          <cell r="S212" t="str">
            <v>PCS</v>
          </cell>
          <cell r="T212">
            <v>56</v>
          </cell>
          <cell r="U212" t="str">
            <v>J3</v>
          </cell>
          <cell r="V212" t="str">
            <v>CNY</v>
          </cell>
          <cell r="W212">
            <v>10000</v>
          </cell>
          <cell r="X212">
            <v>10000</v>
          </cell>
        </row>
        <row r="213">
          <cell r="D213">
            <v>10110012147</v>
          </cell>
          <cell r="E213" t="str">
            <v>贴片陶瓷电容器</v>
          </cell>
          <cell r="F213">
            <v>11060201</v>
          </cell>
          <cell r="G213" t="str">
            <v>SH3\CAP Cer 100pF K X7R 50VDC 0402</v>
          </cell>
          <cell r="H213" t="str">
            <v>CCTC(三环)</v>
          </cell>
          <cell r="I213" t="str">
            <v>TCC0402X7R101K500AT</v>
          </cell>
          <cell r="J213">
            <v>102178</v>
          </cell>
          <cell r="K213" t="str">
            <v>潮州三环（集团）股份有限公司</v>
          </cell>
          <cell r="L213" t="str">
            <v>X</v>
          </cell>
          <cell r="M213" t="str">
            <v/>
          </cell>
          <cell r="N213">
            <v>1</v>
          </cell>
          <cell r="O213">
            <v>1.9499999999999999E-3</v>
          </cell>
          <cell r="P213">
            <v>1.95</v>
          </cell>
          <cell r="Q213">
            <v>1.95</v>
          </cell>
          <cell r="R213">
            <v>1000</v>
          </cell>
          <cell r="S213" t="str">
            <v>PCS</v>
          </cell>
          <cell r="T213">
            <v>56</v>
          </cell>
          <cell r="U213" t="str">
            <v>J3</v>
          </cell>
          <cell r="V213" t="str">
            <v>CNY</v>
          </cell>
          <cell r="W213">
            <v>10000</v>
          </cell>
          <cell r="X213">
            <v>10000</v>
          </cell>
        </row>
        <row r="214">
          <cell r="D214">
            <v>10110012149</v>
          </cell>
          <cell r="E214" t="str">
            <v>贴片陶瓷电容器</v>
          </cell>
          <cell r="F214">
            <v>11060201</v>
          </cell>
          <cell r="G214" t="str">
            <v>SH3\CAP Cer 1nF K X7R 50VDC 0402</v>
          </cell>
          <cell r="H214" t="str">
            <v>CCTC(三环)</v>
          </cell>
          <cell r="I214" t="str">
            <v>TCC0402X7R102K500AT</v>
          </cell>
          <cell r="J214">
            <v>102178</v>
          </cell>
          <cell r="K214" t="str">
            <v>潮州三环（集团）股份有限公司</v>
          </cell>
          <cell r="L214" t="str">
            <v>X</v>
          </cell>
          <cell r="M214" t="str">
            <v/>
          </cell>
          <cell r="N214">
            <v>1</v>
          </cell>
          <cell r="O214">
            <v>1.8500000000000001E-3</v>
          </cell>
          <cell r="P214">
            <v>1.85</v>
          </cell>
          <cell r="Q214">
            <v>1.85</v>
          </cell>
          <cell r="R214">
            <v>1000</v>
          </cell>
          <cell r="S214" t="str">
            <v>PCS</v>
          </cell>
          <cell r="T214">
            <v>56</v>
          </cell>
          <cell r="U214" t="str">
            <v>J3</v>
          </cell>
          <cell r="V214" t="str">
            <v>CNY</v>
          </cell>
          <cell r="W214">
            <v>10000</v>
          </cell>
          <cell r="X214">
            <v>10000</v>
          </cell>
        </row>
        <row r="215">
          <cell r="D215">
            <v>10110016349</v>
          </cell>
          <cell r="E215" t="str">
            <v>贴片陶瓷电容器</v>
          </cell>
          <cell r="F215">
            <v>11060201</v>
          </cell>
          <cell r="G215" t="str">
            <v>SH3\CAP Cer 100nF K X7R 50VDC 0402</v>
          </cell>
          <cell r="H215" t="str">
            <v>CCTC(三环)</v>
          </cell>
          <cell r="I215" t="str">
            <v>TCC0402X7R104K500AT</v>
          </cell>
          <cell r="J215">
            <v>101957</v>
          </cell>
          <cell r="K215" t="str">
            <v>广东顺德集财电子有限公司</v>
          </cell>
          <cell r="L215" t="str">
            <v>X</v>
          </cell>
          <cell r="M215" t="str">
            <v/>
          </cell>
          <cell r="N215">
            <v>1</v>
          </cell>
          <cell r="O215">
            <v>3.9500000000000004E-3</v>
          </cell>
          <cell r="P215">
            <v>3.95</v>
          </cell>
          <cell r="Q215">
            <v>3.95</v>
          </cell>
          <cell r="R215">
            <v>1000</v>
          </cell>
          <cell r="S215" t="str">
            <v>PCS</v>
          </cell>
          <cell r="T215">
            <v>56</v>
          </cell>
          <cell r="U215" t="str">
            <v>J3</v>
          </cell>
          <cell r="V215" t="str">
            <v>CNY</v>
          </cell>
          <cell r="W215">
            <v>10000</v>
          </cell>
          <cell r="X215">
            <v>10000</v>
          </cell>
        </row>
        <row r="216">
          <cell r="D216">
            <v>10110019208</v>
          </cell>
          <cell r="E216" t="str">
            <v>Y1安规圆片电容器</v>
          </cell>
          <cell r="F216">
            <v>11060301</v>
          </cell>
          <cell r="G216" t="str">
            <v>WALS\CAP Y1 2.2nF M Y5U 250VAC 9*4.5 F=&amp;</v>
          </cell>
          <cell r="H216" t="str">
            <v>WALS(华科)</v>
          </cell>
          <cell r="I216" t="str">
            <v>YU0AH222M080XAFD7T</v>
          </cell>
          <cell r="J216">
            <v>100131</v>
          </cell>
          <cell r="K216" t="str">
            <v>东莞华科电子有限公司</v>
          </cell>
          <cell r="L216" t="str">
            <v>X</v>
          </cell>
          <cell r="M216" t="str">
            <v/>
          </cell>
          <cell r="N216">
            <v>1</v>
          </cell>
          <cell r="O216">
            <v>0.12429999999999999</v>
          </cell>
          <cell r="P216">
            <v>124.3</v>
          </cell>
          <cell r="Q216">
            <v>124.3</v>
          </cell>
          <cell r="R216">
            <v>1000</v>
          </cell>
          <cell r="S216" t="str">
            <v>PCS</v>
          </cell>
          <cell r="T216">
            <v>56</v>
          </cell>
          <cell r="U216" t="str">
            <v>J3</v>
          </cell>
          <cell r="V216" t="str">
            <v>CNY</v>
          </cell>
          <cell r="W216">
            <v>10000</v>
          </cell>
          <cell r="X216">
            <v>1000</v>
          </cell>
        </row>
        <row r="217">
          <cell r="D217">
            <v>10140000397</v>
          </cell>
          <cell r="E217" t="str">
            <v>贴片整流二极管</v>
          </cell>
          <cell r="F217">
            <v>14030601</v>
          </cell>
          <cell r="G217" t="str">
            <v>PANJ\Diode Rect SMA 1A 1000V GS1M</v>
          </cell>
          <cell r="H217" t="str">
            <v>PANJ(强茂)</v>
          </cell>
          <cell r="I217" t="str">
            <v>GS1M</v>
          </cell>
          <cell r="J217">
            <v>101672</v>
          </cell>
          <cell r="K217" t="str">
            <v>深圳市合信昌科技有限公司</v>
          </cell>
          <cell r="L217" t="str">
            <v>X</v>
          </cell>
          <cell r="M217" t="str">
            <v/>
          </cell>
          <cell r="N217">
            <v>1</v>
          </cell>
          <cell r="O217">
            <v>7.4999999999999997E-2</v>
          </cell>
          <cell r="P217">
            <v>75</v>
          </cell>
          <cell r="Q217">
            <v>75</v>
          </cell>
          <cell r="R217">
            <v>1000</v>
          </cell>
          <cell r="S217" t="str">
            <v>PCS</v>
          </cell>
          <cell r="T217">
            <v>70</v>
          </cell>
          <cell r="U217" t="str">
            <v>J3</v>
          </cell>
          <cell r="V217" t="str">
            <v>CNY</v>
          </cell>
          <cell r="W217">
            <v>1800</v>
          </cell>
          <cell r="X217">
            <v>1800</v>
          </cell>
        </row>
        <row r="218">
          <cell r="D218">
            <v>10140002123</v>
          </cell>
          <cell r="E218" t="str">
            <v>贴片NPN三极管(内置电阻)</v>
          </cell>
          <cell r="F218">
            <v>14050102</v>
          </cell>
          <cell r="G218" t="str">
            <v>LRC\Transistor SOT-23 0.1A 50V R1=4K7 R&amp;</v>
          </cell>
          <cell r="H218" t="str">
            <v>LRC(乐山无线电)</v>
          </cell>
          <cell r="I218" t="str">
            <v>LMUN2232LT1G</v>
          </cell>
          <cell r="J218">
            <v>101275</v>
          </cell>
          <cell r="K218" t="str">
            <v>利尔达科技集团股份有限公司</v>
          </cell>
          <cell r="L218" t="str">
            <v>X</v>
          </cell>
          <cell r="M218" t="str">
            <v/>
          </cell>
          <cell r="N218">
            <v>1</v>
          </cell>
          <cell r="O218">
            <v>3.4500000000000003E-2</v>
          </cell>
          <cell r="P218">
            <v>34.5</v>
          </cell>
          <cell r="Q218">
            <v>34.5</v>
          </cell>
          <cell r="R218">
            <v>1000</v>
          </cell>
          <cell r="S218" t="str">
            <v>PCS</v>
          </cell>
          <cell r="T218">
            <v>84</v>
          </cell>
          <cell r="U218" t="str">
            <v>J3</v>
          </cell>
          <cell r="V218" t="str">
            <v>CNY</v>
          </cell>
          <cell r="W218">
            <v>3000</v>
          </cell>
          <cell r="X218">
            <v>3000</v>
          </cell>
        </row>
        <row r="219">
          <cell r="D219">
            <v>10140002743</v>
          </cell>
          <cell r="E219" t="str">
            <v>贴片整流二极管</v>
          </cell>
          <cell r="F219">
            <v>14030601</v>
          </cell>
          <cell r="G219" t="str">
            <v>MCC\Diode Rect SMA 1A 1000V GS1M-L-TP</v>
          </cell>
          <cell r="H219" t="str">
            <v>MCC(美微科)</v>
          </cell>
          <cell r="I219" t="str">
            <v>GS1M-L-TP</v>
          </cell>
          <cell r="J219">
            <v>100629</v>
          </cell>
          <cell r="K219" t="str">
            <v>深圳市驰顺科技有限公司</v>
          </cell>
          <cell r="L219" t="str">
            <v>X</v>
          </cell>
          <cell r="M219" t="str">
            <v/>
          </cell>
          <cell r="N219">
            <v>1</v>
          </cell>
          <cell r="O219">
            <v>0.04</v>
          </cell>
          <cell r="P219">
            <v>40</v>
          </cell>
          <cell r="Q219">
            <v>40</v>
          </cell>
          <cell r="R219">
            <v>1000</v>
          </cell>
          <cell r="S219" t="str">
            <v>PCS</v>
          </cell>
          <cell r="T219">
            <v>84</v>
          </cell>
          <cell r="U219" t="str">
            <v>J3</v>
          </cell>
          <cell r="V219" t="str">
            <v>CNY</v>
          </cell>
          <cell r="W219">
            <v>7500</v>
          </cell>
          <cell r="X219">
            <v>7500</v>
          </cell>
        </row>
        <row r="220">
          <cell r="D220">
            <v>10140003381</v>
          </cell>
          <cell r="E220" t="str">
            <v>贴片整流二极管</v>
          </cell>
          <cell r="F220">
            <v>14030601</v>
          </cell>
          <cell r="G220" t="str">
            <v>LRC\Diode Rect DO-214AC 1A 1000V FM407</v>
          </cell>
          <cell r="H220" t="str">
            <v>LRC(乐山无线电)</v>
          </cell>
          <cell r="I220" t="str">
            <v>FM407</v>
          </cell>
          <cell r="J220">
            <v>101645</v>
          </cell>
          <cell r="K220" t="str">
            <v>深圳南丰电子股份有限公司</v>
          </cell>
          <cell r="L220" t="str">
            <v>X</v>
          </cell>
          <cell r="M220" t="str">
            <v/>
          </cell>
          <cell r="N220">
            <v>1</v>
          </cell>
          <cell r="O220">
            <v>3.3599999999999998E-2</v>
          </cell>
          <cell r="P220">
            <v>33.6</v>
          </cell>
          <cell r="Q220">
            <v>33.6</v>
          </cell>
          <cell r="R220">
            <v>1000</v>
          </cell>
          <cell r="S220" t="str">
            <v>PCS</v>
          </cell>
          <cell r="T220">
            <v>70</v>
          </cell>
          <cell r="U220" t="str">
            <v>J3</v>
          </cell>
          <cell r="V220" t="str">
            <v>CNY</v>
          </cell>
          <cell r="W220">
            <v>7500</v>
          </cell>
          <cell r="X220">
            <v>7500</v>
          </cell>
        </row>
        <row r="221">
          <cell r="D221">
            <v>10140003844</v>
          </cell>
          <cell r="E221" t="str">
            <v>贴片瞬态抑制二极管</v>
          </cell>
          <cell r="F221">
            <v>14030301</v>
          </cell>
          <cell r="G221" t="str">
            <v>JSCJ\Diode TVS SOD-123FL 15V 200W SMF15A</v>
          </cell>
          <cell r="H221" t="str">
            <v>JSCJ(江苏长晶)</v>
          </cell>
          <cell r="I221" t="str">
            <v>SMF15A</v>
          </cell>
          <cell r="J221">
            <v>101845</v>
          </cell>
          <cell r="K221" t="str">
            <v>深圳翰世宇科技有限公司</v>
          </cell>
          <cell r="L221" t="str">
            <v>X</v>
          </cell>
          <cell r="M221" t="str">
            <v/>
          </cell>
          <cell r="N221">
            <v>1</v>
          </cell>
          <cell r="O221">
            <v>0.12</v>
          </cell>
          <cell r="P221">
            <v>120</v>
          </cell>
          <cell r="Q221">
            <v>120</v>
          </cell>
          <cell r="R221">
            <v>1000</v>
          </cell>
          <cell r="S221" t="str">
            <v>PCS</v>
          </cell>
          <cell r="T221">
            <v>88</v>
          </cell>
          <cell r="U221" t="str">
            <v>J3</v>
          </cell>
          <cell r="V221" t="str">
            <v>CNY</v>
          </cell>
          <cell r="W221">
            <v>3000</v>
          </cell>
          <cell r="X221">
            <v>3000</v>
          </cell>
        </row>
        <row r="222">
          <cell r="D222">
            <v>10140006310</v>
          </cell>
          <cell r="E222" t="str">
            <v>贴片NPN三极管(内置电阻)</v>
          </cell>
          <cell r="F222">
            <v>14050102</v>
          </cell>
          <cell r="G222" t="str">
            <v>JSCJ\Transistor SOT-23 100mA50V R1=4K7&amp;</v>
          </cell>
          <cell r="H222" t="str">
            <v>JSCJ(江苏长晶)</v>
          </cell>
          <cell r="I222" t="str">
            <v>DTC143ECA</v>
          </cell>
          <cell r="J222">
            <v>101845</v>
          </cell>
          <cell r="K222" t="str">
            <v>深圳翰世宇科技有限公司</v>
          </cell>
          <cell r="L222" t="str">
            <v>X</v>
          </cell>
          <cell r="M222" t="str">
            <v/>
          </cell>
          <cell r="N222">
            <v>1</v>
          </cell>
          <cell r="O222">
            <v>4.8000000000000001E-2</v>
          </cell>
          <cell r="P222">
            <v>48</v>
          </cell>
          <cell r="Q222">
            <v>48</v>
          </cell>
          <cell r="R222">
            <v>1000</v>
          </cell>
          <cell r="S222" t="str">
            <v>PCS</v>
          </cell>
          <cell r="T222">
            <v>56</v>
          </cell>
          <cell r="U222" t="str">
            <v>J3</v>
          </cell>
          <cell r="V222" t="str">
            <v>CNY</v>
          </cell>
          <cell r="W222">
            <v>3000</v>
          </cell>
          <cell r="X222">
            <v>3000</v>
          </cell>
        </row>
        <row r="223">
          <cell r="D223">
            <v>10140012358</v>
          </cell>
          <cell r="E223" t="str">
            <v>贴片整流二极管</v>
          </cell>
          <cell r="F223">
            <v>14030601</v>
          </cell>
          <cell r="G223" t="str">
            <v>JSCJ\Diode Rect SMAG 1A 1000V GS1MA</v>
          </cell>
          <cell r="H223" t="str">
            <v>JSCJ(江苏长晶)</v>
          </cell>
          <cell r="I223" t="str">
            <v>GS1MA</v>
          </cell>
          <cell r="J223">
            <v>100482</v>
          </cell>
          <cell r="K223" t="str">
            <v>东莞市意中半导体有限公司</v>
          </cell>
          <cell r="L223" t="str">
            <v>X</v>
          </cell>
          <cell r="M223" t="str">
            <v/>
          </cell>
          <cell r="N223">
            <v>1</v>
          </cell>
          <cell r="O223">
            <v>3.3000000000000002E-2</v>
          </cell>
          <cell r="P223">
            <v>33</v>
          </cell>
          <cell r="Q223">
            <v>33</v>
          </cell>
          <cell r="R223">
            <v>1000</v>
          </cell>
          <cell r="S223" t="str">
            <v>PCS</v>
          </cell>
          <cell r="T223">
            <v>60</v>
          </cell>
          <cell r="U223" t="str">
            <v>J3</v>
          </cell>
          <cell r="V223" t="str">
            <v>CNY</v>
          </cell>
          <cell r="W223">
            <v>5000</v>
          </cell>
          <cell r="X223">
            <v>5000</v>
          </cell>
        </row>
        <row r="224">
          <cell r="D224">
            <v>10160006989</v>
          </cell>
          <cell r="E224" t="str">
            <v>贴片方顶可见光LED</v>
          </cell>
          <cell r="F224">
            <v>16020205</v>
          </cell>
          <cell r="G224" t="str">
            <v>REFO\LED 0603 红光 无色 透明 高亮</v>
          </cell>
          <cell r="H224" t="str">
            <v>RF(瑞丰)</v>
          </cell>
          <cell r="I224" t="str">
            <v>RF-OUB191TB-CE-B0-EL</v>
          </cell>
          <cell r="J224">
            <v>101693</v>
          </cell>
          <cell r="K224" t="str">
            <v>浙江瑞丰光电有限公司</v>
          </cell>
          <cell r="L224" t="str">
            <v>X</v>
          </cell>
          <cell r="M224" t="str">
            <v/>
          </cell>
          <cell r="N224">
            <v>1</v>
          </cell>
          <cell r="O224">
            <v>4.8399999999999999E-2</v>
          </cell>
          <cell r="P224">
            <v>48.4</v>
          </cell>
          <cell r="Q224">
            <v>48.4</v>
          </cell>
          <cell r="R224">
            <v>1000</v>
          </cell>
          <cell r="S224" t="str">
            <v>PCS</v>
          </cell>
          <cell r="T224">
            <v>28</v>
          </cell>
          <cell r="U224" t="str">
            <v>J3</v>
          </cell>
          <cell r="V224" t="str">
            <v>CNY</v>
          </cell>
          <cell r="W224">
            <v>60000</v>
          </cell>
          <cell r="X224">
            <v>4000</v>
          </cell>
        </row>
        <row r="225">
          <cell r="D225">
            <v>10160007865</v>
          </cell>
          <cell r="E225" t="str">
            <v>贴片方顶可见光LED</v>
          </cell>
          <cell r="F225">
            <v>16020205</v>
          </cell>
          <cell r="G225" t="str">
            <v>CL\LED 0603 红光 无色 透明 超高亮</v>
          </cell>
          <cell r="H225" t="str">
            <v>CL(长利)</v>
          </cell>
          <cell r="I225" t="str">
            <v>CL-0603R/YY-J8</v>
          </cell>
          <cell r="J225">
            <v>100436</v>
          </cell>
          <cell r="K225" t="str">
            <v>广东长利光电科技有限公司</v>
          </cell>
          <cell r="L225" t="str">
            <v>X</v>
          </cell>
          <cell r="M225" t="str">
            <v/>
          </cell>
          <cell r="N225">
            <v>1</v>
          </cell>
          <cell r="O225">
            <v>2.75E-2</v>
          </cell>
          <cell r="P225">
            <v>27.5</v>
          </cell>
          <cell r="Q225">
            <v>27.5</v>
          </cell>
          <cell r="R225">
            <v>1000</v>
          </cell>
          <cell r="S225" t="str">
            <v>PCS</v>
          </cell>
          <cell r="T225">
            <v>10</v>
          </cell>
          <cell r="U225" t="str">
            <v>J3</v>
          </cell>
          <cell r="V225" t="str">
            <v>CNY</v>
          </cell>
          <cell r="W225">
            <v>4000</v>
          </cell>
          <cell r="X225">
            <v>4000</v>
          </cell>
        </row>
        <row r="226">
          <cell r="D226">
            <v>10190000675</v>
          </cell>
          <cell r="E226" t="str">
            <v>方型塑壳保险丝</v>
          </cell>
          <cell r="F226">
            <v>19010105</v>
          </cell>
          <cell r="G226" t="str">
            <v>HOLLY\FUSE 3.15A 250VAC 慢断 8.5*4*7.2 F=&amp;</v>
          </cell>
          <cell r="H226" t="str">
            <v>HOLLY(好利来)</v>
          </cell>
          <cell r="I226" t="str">
            <v>5ET-032HA</v>
          </cell>
          <cell r="J226">
            <v>101345</v>
          </cell>
          <cell r="K226" t="str">
            <v>好利来（厦门）电路保护科技有限公司</v>
          </cell>
          <cell r="L226" t="str">
            <v>X</v>
          </cell>
          <cell r="M226" t="str">
            <v/>
          </cell>
          <cell r="N226">
            <v>1</v>
          </cell>
          <cell r="O226">
            <v>8.3000000000000004E-2</v>
          </cell>
          <cell r="P226">
            <v>83</v>
          </cell>
          <cell r="Q226">
            <v>83</v>
          </cell>
          <cell r="R226">
            <v>1000</v>
          </cell>
          <cell r="S226" t="str">
            <v>PCS</v>
          </cell>
          <cell r="T226">
            <v>28</v>
          </cell>
          <cell r="U226" t="str">
            <v>J3</v>
          </cell>
          <cell r="V226" t="str">
            <v>CNY</v>
          </cell>
          <cell r="W226">
            <v>1000</v>
          </cell>
          <cell r="X226">
            <v>1000</v>
          </cell>
        </row>
        <row r="227">
          <cell r="D227">
            <v>10190001176</v>
          </cell>
          <cell r="E227" t="str">
            <v>方型塑壳保险丝</v>
          </cell>
          <cell r="F227">
            <v>19010105</v>
          </cell>
          <cell r="G227" t="str">
            <v>BETT\FUSE 3.15A 250VAC 慢断 8.3*4.1*7.6 F&amp;</v>
          </cell>
          <cell r="H227" t="str">
            <v>Better(贝特)</v>
          </cell>
          <cell r="I227">
            <v>9321315278</v>
          </cell>
          <cell r="J227">
            <v>100135</v>
          </cell>
          <cell r="K227" t="str">
            <v>东莞市贝特电子科技股份有限公司</v>
          </cell>
          <cell r="L227" t="str">
            <v>X</v>
          </cell>
          <cell r="M227" t="str">
            <v/>
          </cell>
          <cell r="N227">
            <v>1</v>
          </cell>
          <cell r="O227">
            <v>9.5000000000000001E-2</v>
          </cell>
          <cell r="P227">
            <v>95</v>
          </cell>
          <cell r="Q227">
            <v>95</v>
          </cell>
          <cell r="R227">
            <v>1000</v>
          </cell>
          <cell r="S227" t="str">
            <v>PCS</v>
          </cell>
          <cell r="T227">
            <v>21</v>
          </cell>
          <cell r="U227" t="str">
            <v>J3</v>
          </cell>
          <cell r="V227" t="str">
            <v>CNY</v>
          </cell>
          <cell r="W227">
            <v>1000</v>
          </cell>
          <cell r="X227">
            <v>1000</v>
          </cell>
        </row>
        <row r="228">
          <cell r="D228">
            <v>10100002122</v>
          </cell>
          <cell r="E228" t="str">
            <v>厚膜贴片电阻器</v>
          </cell>
          <cell r="F228">
            <v>10010302</v>
          </cell>
          <cell r="G228" t="str">
            <v>YAGEO\RES 1K F 1/8W 0805</v>
          </cell>
          <cell r="H228" t="str">
            <v>YAGEO(国巨)</v>
          </cell>
          <cell r="I228" t="str">
            <v>RC0805FR-071KL</v>
          </cell>
          <cell r="J228">
            <v>100632</v>
          </cell>
          <cell r="K228" t="str">
            <v>深圳市欧尔法电子有限公司</v>
          </cell>
          <cell r="L228" t="str">
            <v>X</v>
          </cell>
          <cell r="M228" t="str">
            <v/>
          </cell>
          <cell r="N228">
            <v>1</v>
          </cell>
          <cell r="O228">
            <v>4.7999999999999996E-3</v>
          </cell>
          <cell r="P228">
            <v>4.8</v>
          </cell>
          <cell r="Q228">
            <v>4.8</v>
          </cell>
          <cell r="R228">
            <v>1000</v>
          </cell>
          <cell r="S228" t="str">
            <v>PCS</v>
          </cell>
          <cell r="T228">
            <v>56</v>
          </cell>
          <cell r="U228" t="str">
            <v>J3</v>
          </cell>
          <cell r="V228" t="str">
            <v>CNY</v>
          </cell>
          <cell r="W228">
            <v>5000</v>
          </cell>
          <cell r="X228">
            <v>5000</v>
          </cell>
        </row>
        <row r="229">
          <cell r="D229">
            <v>10100002123</v>
          </cell>
          <cell r="E229" t="str">
            <v>厚膜贴片电阻器</v>
          </cell>
          <cell r="F229">
            <v>10010302</v>
          </cell>
          <cell r="G229" t="str">
            <v>FH\RES 1K F 1/8W 0805</v>
          </cell>
          <cell r="H229" t="str">
            <v>FH(风华)</v>
          </cell>
          <cell r="I229" t="str">
            <v>RS-05K1001FT</v>
          </cell>
          <cell r="J229">
            <v>100654</v>
          </cell>
          <cell r="K229" t="str">
            <v>广东风华高新科技股份有限公司</v>
          </cell>
          <cell r="L229" t="str">
            <v>X</v>
          </cell>
          <cell r="M229" t="str">
            <v/>
          </cell>
          <cell r="N229">
            <v>1</v>
          </cell>
          <cell r="O229">
            <v>3.7200000000000002E-3</v>
          </cell>
          <cell r="P229">
            <v>3.72</v>
          </cell>
          <cell r="Q229">
            <v>3.72</v>
          </cell>
          <cell r="R229">
            <v>1000</v>
          </cell>
          <cell r="S229" t="str">
            <v>PCS</v>
          </cell>
          <cell r="T229">
            <v>42</v>
          </cell>
          <cell r="U229" t="str">
            <v>J3</v>
          </cell>
          <cell r="V229" t="str">
            <v>CNY</v>
          </cell>
          <cell r="W229">
            <v>5000</v>
          </cell>
          <cell r="X229">
            <v>5000</v>
          </cell>
        </row>
        <row r="230">
          <cell r="D230">
            <v>10100002658</v>
          </cell>
          <cell r="E230" t="str">
            <v>厚膜贴片电阻器</v>
          </cell>
          <cell r="F230">
            <v>10010302</v>
          </cell>
          <cell r="G230" t="str">
            <v>FH\RES 470R F 1/4W 1206</v>
          </cell>
          <cell r="H230" t="str">
            <v>FH(风华)</v>
          </cell>
          <cell r="I230" t="str">
            <v>RS-06K4700FT</v>
          </cell>
          <cell r="J230">
            <v>100654</v>
          </cell>
          <cell r="K230" t="str">
            <v>广东风华高新科技股份有限公司</v>
          </cell>
          <cell r="L230" t="str">
            <v>X</v>
          </cell>
          <cell r="M230" t="str">
            <v/>
          </cell>
          <cell r="N230">
            <v>1</v>
          </cell>
          <cell r="O230">
            <v>6.3699999999999998E-3</v>
          </cell>
          <cell r="P230">
            <v>6.37</v>
          </cell>
          <cell r="Q230">
            <v>6.37</v>
          </cell>
          <cell r="R230">
            <v>1000</v>
          </cell>
          <cell r="S230" t="str">
            <v>PCS</v>
          </cell>
          <cell r="T230">
            <v>42</v>
          </cell>
          <cell r="U230" t="str">
            <v>J3</v>
          </cell>
          <cell r="V230" t="str">
            <v>CNY</v>
          </cell>
          <cell r="W230">
            <v>5000</v>
          </cell>
          <cell r="X230">
            <v>5000</v>
          </cell>
        </row>
        <row r="231">
          <cell r="D231">
            <v>10100002659</v>
          </cell>
          <cell r="E231" t="str">
            <v>厚膜贴片电阻器</v>
          </cell>
          <cell r="F231">
            <v>10010302</v>
          </cell>
          <cell r="G231" t="str">
            <v>YAGEO\RES 470R F 1/4W 1206</v>
          </cell>
          <cell r="H231" t="str">
            <v>YAGEO(国巨)</v>
          </cell>
          <cell r="I231" t="str">
            <v>RC1206FR-07470RL</v>
          </cell>
          <cell r="J231">
            <v>100078</v>
          </cell>
          <cell r="K231" t="str">
            <v>深圳市超利维实业有限公司</v>
          </cell>
          <cell r="L231" t="str">
            <v>X</v>
          </cell>
          <cell r="M231" t="str">
            <v/>
          </cell>
          <cell r="N231">
            <v>1</v>
          </cell>
          <cell r="O231">
            <v>8.0000000000000002E-3</v>
          </cell>
          <cell r="P231">
            <v>8</v>
          </cell>
          <cell r="Q231">
            <v>8</v>
          </cell>
          <cell r="R231">
            <v>1000</v>
          </cell>
          <cell r="S231" t="str">
            <v>PCS</v>
          </cell>
          <cell r="T231">
            <v>84</v>
          </cell>
          <cell r="U231" t="str">
            <v>J3</v>
          </cell>
          <cell r="V231" t="str">
            <v>CNY</v>
          </cell>
          <cell r="W231">
            <v>5000</v>
          </cell>
          <cell r="X231">
            <v>5000</v>
          </cell>
        </row>
        <row r="232">
          <cell r="D232">
            <v>10100002715</v>
          </cell>
          <cell r="E232" t="str">
            <v>厚膜贴片电阻器</v>
          </cell>
          <cell r="F232">
            <v>10010302</v>
          </cell>
          <cell r="G232" t="str">
            <v>YAGEO\RES 5.1K F 1/8W 0805</v>
          </cell>
          <cell r="H232" t="str">
            <v>YAGEO(国巨)</v>
          </cell>
          <cell r="I232" t="str">
            <v>RC0805FR-075K1L</v>
          </cell>
          <cell r="J232">
            <v>100632</v>
          </cell>
          <cell r="K232" t="str">
            <v>深圳市欧尔法电子有限公司</v>
          </cell>
          <cell r="L232" t="str">
            <v>X</v>
          </cell>
          <cell r="M232" t="str">
            <v/>
          </cell>
          <cell r="N232">
            <v>1</v>
          </cell>
          <cell r="O232">
            <v>4.7999999999999996E-3</v>
          </cell>
          <cell r="P232">
            <v>4.8</v>
          </cell>
          <cell r="Q232">
            <v>4.8</v>
          </cell>
          <cell r="R232">
            <v>1000</v>
          </cell>
          <cell r="S232" t="str">
            <v>PCS</v>
          </cell>
          <cell r="T232">
            <v>56</v>
          </cell>
          <cell r="U232" t="str">
            <v>J3</v>
          </cell>
          <cell r="V232" t="str">
            <v>CNY</v>
          </cell>
          <cell r="W232">
            <v>5000</v>
          </cell>
          <cell r="X232">
            <v>5000</v>
          </cell>
        </row>
        <row r="233">
          <cell r="D233">
            <v>10100003500</v>
          </cell>
          <cell r="E233" t="str">
            <v>厚膜贴片电阻器</v>
          </cell>
          <cell r="F233">
            <v>10010302</v>
          </cell>
          <cell r="G233" t="str">
            <v>YAGEO\RES 4.7K F 1/10W 0603</v>
          </cell>
          <cell r="H233" t="str">
            <v>YAGEO(国巨)</v>
          </cell>
          <cell r="I233" t="str">
            <v>RC0603FR-074K7L</v>
          </cell>
          <cell r="J233">
            <v>100078</v>
          </cell>
          <cell r="K233" t="str">
            <v>深圳市超利维实业有限公司</v>
          </cell>
          <cell r="L233" t="str">
            <v>X</v>
          </cell>
          <cell r="M233" t="str">
            <v/>
          </cell>
          <cell r="N233">
            <v>1</v>
          </cell>
          <cell r="O233">
            <v>2.5999999999999999E-3</v>
          </cell>
          <cell r="P233">
            <v>2.6</v>
          </cell>
          <cell r="Q233">
            <v>2.6</v>
          </cell>
          <cell r="R233">
            <v>1000</v>
          </cell>
          <cell r="S233" t="str">
            <v>PCS</v>
          </cell>
          <cell r="T233">
            <v>70</v>
          </cell>
          <cell r="U233" t="str">
            <v>J3</v>
          </cell>
          <cell r="V233" t="str">
            <v>CNY</v>
          </cell>
          <cell r="W233">
            <v>5000</v>
          </cell>
          <cell r="X233">
            <v>5000</v>
          </cell>
        </row>
        <row r="234">
          <cell r="D234">
            <v>10100003511</v>
          </cell>
          <cell r="E234" t="str">
            <v>厚膜贴片电阻器</v>
          </cell>
          <cell r="F234">
            <v>10010302</v>
          </cell>
          <cell r="G234" t="str">
            <v>YAGEO\RES 47R F 1/4W 1206</v>
          </cell>
          <cell r="H234" t="str">
            <v>YAGEO(国巨)</v>
          </cell>
          <cell r="I234" t="str">
            <v>RC1206FR-0747RL</v>
          </cell>
          <cell r="J234">
            <v>100078</v>
          </cell>
          <cell r="K234" t="str">
            <v>深圳市超利维实业有限公司</v>
          </cell>
          <cell r="L234" t="str">
            <v>X</v>
          </cell>
          <cell r="M234" t="str">
            <v/>
          </cell>
          <cell r="N234">
            <v>1</v>
          </cell>
          <cell r="O234">
            <v>8.0000000000000002E-3</v>
          </cell>
          <cell r="P234">
            <v>8</v>
          </cell>
          <cell r="Q234">
            <v>8</v>
          </cell>
          <cell r="R234">
            <v>1000</v>
          </cell>
          <cell r="S234" t="str">
            <v>PCS</v>
          </cell>
          <cell r="T234">
            <v>84</v>
          </cell>
          <cell r="U234" t="str">
            <v>J3</v>
          </cell>
          <cell r="V234" t="str">
            <v>CNY</v>
          </cell>
          <cell r="W234">
            <v>5000</v>
          </cell>
          <cell r="X234">
            <v>5000</v>
          </cell>
        </row>
        <row r="235">
          <cell r="D235">
            <v>10100003565</v>
          </cell>
          <cell r="E235" t="str">
            <v>厚膜贴片电阻器</v>
          </cell>
          <cell r="F235">
            <v>10010302</v>
          </cell>
          <cell r="G235" t="str">
            <v>FH\RES 68K F 1/10W 0603</v>
          </cell>
          <cell r="H235" t="str">
            <v>FH(风华)</v>
          </cell>
          <cell r="I235" t="str">
            <v>RS-03K6802FT</v>
          </cell>
          <cell r="J235">
            <v>100654</v>
          </cell>
          <cell r="K235" t="str">
            <v>广东风华高新科技股份有限公司</v>
          </cell>
          <cell r="L235" t="str">
            <v>X</v>
          </cell>
          <cell r="M235" t="str">
            <v/>
          </cell>
          <cell r="N235">
            <v>1</v>
          </cell>
          <cell r="O235">
            <v>2.0799999999999998E-3</v>
          </cell>
          <cell r="P235">
            <v>2.08</v>
          </cell>
          <cell r="Q235">
            <v>2.08</v>
          </cell>
          <cell r="R235">
            <v>1000</v>
          </cell>
          <cell r="S235" t="str">
            <v>PCS</v>
          </cell>
          <cell r="T235">
            <v>42</v>
          </cell>
          <cell r="U235" t="str">
            <v>J3</v>
          </cell>
          <cell r="V235" t="str">
            <v>CNY</v>
          </cell>
          <cell r="W235">
            <v>5000</v>
          </cell>
          <cell r="X235">
            <v>5000</v>
          </cell>
        </row>
        <row r="236">
          <cell r="D236">
            <v>10100003566</v>
          </cell>
          <cell r="E236" t="str">
            <v>厚膜贴片电阻器</v>
          </cell>
          <cell r="F236">
            <v>10010302</v>
          </cell>
          <cell r="G236" t="str">
            <v>YAGEO\RES 68K F 1/10W 0603</v>
          </cell>
          <cell r="H236" t="str">
            <v>YAGEO(国巨)</v>
          </cell>
          <cell r="I236" t="str">
            <v>RC0603FR-0768KL</v>
          </cell>
          <cell r="J236">
            <v>100078</v>
          </cell>
          <cell r="K236" t="str">
            <v>深圳市超利维实业有限公司</v>
          </cell>
          <cell r="L236" t="str">
            <v>X</v>
          </cell>
          <cell r="M236" t="str">
            <v/>
          </cell>
          <cell r="N236">
            <v>1</v>
          </cell>
          <cell r="O236">
            <v>2.5999999999999999E-3</v>
          </cell>
          <cell r="P236">
            <v>2.6</v>
          </cell>
          <cell r="Q236">
            <v>2.6</v>
          </cell>
          <cell r="R236">
            <v>1000</v>
          </cell>
          <cell r="S236" t="str">
            <v>PCS</v>
          </cell>
          <cell r="T236">
            <v>84</v>
          </cell>
          <cell r="U236" t="str">
            <v>J3</v>
          </cell>
          <cell r="V236" t="str">
            <v>CNY</v>
          </cell>
          <cell r="W236">
            <v>5000</v>
          </cell>
          <cell r="X236">
            <v>5000</v>
          </cell>
        </row>
        <row r="237">
          <cell r="D237">
            <v>10100004273</v>
          </cell>
          <cell r="E237" t="str">
            <v>厚膜贴片电阻器</v>
          </cell>
          <cell r="F237">
            <v>10010302</v>
          </cell>
          <cell r="G237" t="str">
            <v>YAGEO\RES 2.2K F 1/10W 0603</v>
          </cell>
          <cell r="H237" t="str">
            <v>YAGEO(国巨)</v>
          </cell>
          <cell r="I237" t="str">
            <v>RC0603FR-072K2L</v>
          </cell>
          <cell r="J237">
            <v>100078</v>
          </cell>
          <cell r="K237" t="str">
            <v>深圳市超利维实业有限公司</v>
          </cell>
          <cell r="L237" t="str">
            <v>X</v>
          </cell>
          <cell r="M237" t="str">
            <v/>
          </cell>
          <cell r="N237">
            <v>1</v>
          </cell>
          <cell r="O237">
            <v>2.5999999999999999E-3</v>
          </cell>
          <cell r="P237">
            <v>2.6</v>
          </cell>
          <cell r="Q237">
            <v>2.6</v>
          </cell>
          <cell r="R237">
            <v>1000</v>
          </cell>
          <cell r="S237" t="str">
            <v>PCS</v>
          </cell>
          <cell r="T237">
            <v>70</v>
          </cell>
          <cell r="U237" t="str">
            <v>J3</v>
          </cell>
          <cell r="V237" t="str">
            <v>CNY</v>
          </cell>
          <cell r="W237">
            <v>5000</v>
          </cell>
          <cell r="X237">
            <v>5000</v>
          </cell>
        </row>
        <row r="238">
          <cell r="D238">
            <v>10100004833</v>
          </cell>
          <cell r="E238" t="str">
            <v>厚膜贴片电阻器</v>
          </cell>
          <cell r="F238">
            <v>10010302</v>
          </cell>
          <cell r="G238" t="str">
            <v>WALS\RES 1K F 1/8W 0805</v>
          </cell>
          <cell r="H238" t="str">
            <v>WALS(华科)</v>
          </cell>
          <cell r="I238" t="str">
            <v>WR08X1001FTL</v>
          </cell>
          <cell r="J238">
            <v>100131</v>
          </cell>
          <cell r="K238" t="str">
            <v>东莞华科电子有限公司</v>
          </cell>
          <cell r="L238" t="str">
            <v>X</v>
          </cell>
          <cell r="M238" t="str">
            <v/>
          </cell>
          <cell r="N238">
            <v>1</v>
          </cell>
          <cell r="O238">
            <v>3.8800000000000002E-3</v>
          </cell>
          <cell r="P238">
            <v>3.88</v>
          </cell>
          <cell r="Q238">
            <v>3.88</v>
          </cell>
          <cell r="R238">
            <v>1000</v>
          </cell>
          <cell r="S238" t="str">
            <v>PCS</v>
          </cell>
          <cell r="T238">
            <v>56</v>
          </cell>
          <cell r="U238" t="str">
            <v>J3</v>
          </cell>
          <cell r="V238" t="str">
            <v>CNY</v>
          </cell>
          <cell r="W238">
            <v>5000</v>
          </cell>
          <cell r="X238">
            <v>5000</v>
          </cell>
        </row>
        <row r="239">
          <cell r="D239">
            <v>10100005487</v>
          </cell>
          <cell r="E239" t="str">
            <v>厚膜贴片电阻器</v>
          </cell>
          <cell r="F239">
            <v>10010302</v>
          </cell>
          <cell r="G239" t="str">
            <v>ROYA\RES 1K F 1/8W 0805</v>
          </cell>
          <cell r="H239" t="str">
            <v>ROYALOHM(厚声)</v>
          </cell>
          <cell r="I239" t="str">
            <v>0805W8F1001T5E</v>
          </cell>
          <cell r="J239">
            <v>100096</v>
          </cell>
          <cell r="K239" t="str">
            <v>厚声国际贸易（昆山）有限公司深圳分公司</v>
          </cell>
          <cell r="L239" t="str">
            <v>X</v>
          </cell>
          <cell r="M239" t="str">
            <v/>
          </cell>
          <cell r="N239">
            <v>1</v>
          </cell>
          <cell r="O239">
            <v>3.8E-3</v>
          </cell>
          <cell r="P239">
            <v>3.8</v>
          </cell>
          <cell r="Q239">
            <v>3.8</v>
          </cell>
          <cell r="R239">
            <v>1000</v>
          </cell>
          <cell r="S239" t="str">
            <v>PCS</v>
          </cell>
          <cell r="T239">
            <v>42</v>
          </cell>
          <cell r="U239" t="str">
            <v>J3</v>
          </cell>
          <cell r="V239" t="str">
            <v>CNY</v>
          </cell>
          <cell r="W239">
            <v>5000</v>
          </cell>
          <cell r="X239">
            <v>5000</v>
          </cell>
        </row>
        <row r="240">
          <cell r="D240">
            <v>10100005503</v>
          </cell>
          <cell r="E240" t="str">
            <v>厚膜贴片电阻器</v>
          </cell>
          <cell r="F240">
            <v>10010302</v>
          </cell>
          <cell r="G240" t="str">
            <v>ROYA\RES 5.1K F 1/8W 0805</v>
          </cell>
          <cell r="H240" t="str">
            <v>ROYALOHM(厚声)</v>
          </cell>
          <cell r="I240" t="str">
            <v>0805W8F5101T5E</v>
          </cell>
          <cell r="J240">
            <v>100096</v>
          </cell>
          <cell r="K240" t="str">
            <v>厚声国际贸易（昆山）有限公司深圳分公司</v>
          </cell>
          <cell r="L240" t="str">
            <v>X</v>
          </cell>
          <cell r="M240" t="str">
            <v/>
          </cell>
          <cell r="N240">
            <v>1</v>
          </cell>
          <cell r="O240">
            <v>3.8E-3</v>
          </cell>
          <cell r="P240">
            <v>3.8</v>
          </cell>
          <cell r="Q240">
            <v>3.8</v>
          </cell>
          <cell r="R240">
            <v>1000</v>
          </cell>
          <cell r="S240" t="str">
            <v>PCS</v>
          </cell>
          <cell r="T240">
            <v>42</v>
          </cell>
          <cell r="U240" t="str">
            <v>J3</v>
          </cell>
          <cell r="V240" t="str">
            <v>CNY</v>
          </cell>
          <cell r="W240">
            <v>5000</v>
          </cell>
          <cell r="X240">
            <v>5000</v>
          </cell>
        </row>
        <row r="241">
          <cell r="D241">
            <v>10100005703</v>
          </cell>
          <cell r="E241" t="str">
            <v>厚膜贴片电阻器</v>
          </cell>
          <cell r="F241">
            <v>10010302</v>
          </cell>
          <cell r="G241" t="str">
            <v>YAGEO\RES 1K F 1/16W 0402</v>
          </cell>
          <cell r="H241" t="str">
            <v>YAGEO(国巨)</v>
          </cell>
          <cell r="I241" t="str">
            <v>RC0402FR-071KL</v>
          </cell>
          <cell r="J241">
            <v>100078</v>
          </cell>
          <cell r="K241" t="str">
            <v>深圳市超利维实业有限公司</v>
          </cell>
          <cell r="L241" t="str">
            <v>X</v>
          </cell>
          <cell r="M241" t="str">
            <v/>
          </cell>
          <cell r="N241">
            <v>1</v>
          </cell>
          <cell r="O241">
            <v>1.4E-3</v>
          </cell>
          <cell r="P241">
            <v>1.4</v>
          </cell>
          <cell r="Q241">
            <v>1.4</v>
          </cell>
          <cell r="R241">
            <v>1000</v>
          </cell>
          <cell r="S241" t="str">
            <v>PCS</v>
          </cell>
          <cell r="T241">
            <v>56</v>
          </cell>
          <cell r="U241" t="str">
            <v>J3</v>
          </cell>
          <cell r="V241" t="str">
            <v>CNY</v>
          </cell>
          <cell r="W241">
            <v>10000</v>
          </cell>
          <cell r="X241">
            <v>10000</v>
          </cell>
        </row>
        <row r="242">
          <cell r="D242">
            <v>10100005718</v>
          </cell>
          <cell r="E242" t="str">
            <v>厚膜贴片电阻器</v>
          </cell>
          <cell r="F242">
            <v>10010302</v>
          </cell>
          <cell r="G242" t="str">
            <v>FH\RES 1K F 1/16W 0402</v>
          </cell>
          <cell r="H242" t="str">
            <v>FH(风华)</v>
          </cell>
          <cell r="I242" t="str">
            <v>RC-02K1001FT</v>
          </cell>
          <cell r="J242">
            <v>100654</v>
          </cell>
          <cell r="K242" t="str">
            <v>广东风华高新科技股份有限公司</v>
          </cell>
          <cell r="L242" t="str">
            <v>X</v>
          </cell>
          <cell r="M242" t="str">
            <v/>
          </cell>
          <cell r="N242">
            <v>1</v>
          </cell>
          <cell r="O242">
            <v>1.1000000000000001E-3</v>
          </cell>
          <cell r="P242">
            <v>1.1000000000000001</v>
          </cell>
          <cell r="Q242">
            <v>1.1000000000000001</v>
          </cell>
          <cell r="R242">
            <v>1000</v>
          </cell>
          <cell r="S242" t="str">
            <v>PCS</v>
          </cell>
          <cell r="T242">
            <v>42</v>
          </cell>
          <cell r="U242" t="str">
            <v>J3</v>
          </cell>
          <cell r="V242" t="str">
            <v>CNY</v>
          </cell>
          <cell r="W242">
            <v>10000</v>
          </cell>
          <cell r="X242">
            <v>10000</v>
          </cell>
        </row>
        <row r="243">
          <cell r="D243">
            <v>10100005795</v>
          </cell>
          <cell r="E243" t="str">
            <v>厚膜贴片电阻器</v>
          </cell>
          <cell r="F243">
            <v>10010302</v>
          </cell>
          <cell r="G243" t="str">
            <v>FH\RES 10K F 1/16W 0402</v>
          </cell>
          <cell r="H243" t="str">
            <v>FH(风华)</v>
          </cell>
          <cell r="I243" t="str">
            <v>RC-02K1002FT</v>
          </cell>
          <cell r="J243">
            <v>100654</v>
          </cell>
          <cell r="K243" t="str">
            <v>广东风华高新科技股份有限公司</v>
          </cell>
          <cell r="L243" t="str">
            <v>X</v>
          </cell>
          <cell r="M243" t="str">
            <v/>
          </cell>
          <cell r="N243">
            <v>1</v>
          </cell>
          <cell r="O243">
            <v>1.1000000000000001E-3</v>
          </cell>
          <cell r="P243">
            <v>1.1000000000000001</v>
          </cell>
          <cell r="Q243">
            <v>1.1000000000000001</v>
          </cell>
          <cell r="R243">
            <v>1000</v>
          </cell>
          <cell r="S243" t="str">
            <v>PCS</v>
          </cell>
          <cell r="T243">
            <v>42</v>
          </cell>
          <cell r="U243" t="str">
            <v>J3</v>
          </cell>
          <cell r="V243" t="str">
            <v>CNY</v>
          </cell>
          <cell r="W243">
            <v>10000</v>
          </cell>
          <cell r="X243">
            <v>10000</v>
          </cell>
        </row>
        <row r="244">
          <cell r="D244">
            <v>10100006398</v>
          </cell>
          <cell r="E244" t="str">
            <v>厚膜贴片电阻器</v>
          </cell>
          <cell r="F244">
            <v>10010302</v>
          </cell>
          <cell r="G244" t="str">
            <v>FH\RES 47R F 1/4W 1206</v>
          </cell>
          <cell r="H244" t="str">
            <v>FH(风华)</v>
          </cell>
          <cell r="I244" t="str">
            <v>RS-06K47R0FT</v>
          </cell>
          <cell r="J244">
            <v>100654</v>
          </cell>
          <cell r="K244" t="str">
            <v>广东风华高新科技股份有限公司</v>
          </cell>
          <cell r="L244" t="str">
            <v>X</v>
          </cell>
          <cell r="M244" t="str">
            <v/>
          </cell>
          <cell r="N244">
            <v>1</v>
          </cell>
          <cell r="O244">
            <v>6.3699999999999998E-3</v>
          </cell>
          <cell r="P244">
            <v>6.37</v>
          </cell>
          <cell r="Q244">
            <v>6.37</v>
          </cell>
          <cell r="R244">
            <v>1000</v>
          </cell>
          <cell r="S244" t="str">
            <v>PCS</v>
          </cell>
          <cell r="T244">
            <v>42</v>
          </cell>
          <cell r="U244" t="str">
            <v>J3</v>
          </cell>
          <cell r="V244" t="str">
            <v>CNY</v>
          </cell>
          <cell r="W244">
            <v>5000</v>
          </cell>
          <cell r="X244">
            <v>5000</v>
          </cell>
        </row>
        <row r="245">
          <cell r="D245">
            <v>10100006494</v>
          </cell>
          <cell r="E245" t="str">
            <v>厚膜贴片电阻器</v>
          </cell>
          <cell r="F245">
            <v>10010302</v>
          </cell>
          <cell r="G245" t="str">
            <v>FH\RES 2.2K F 1/10W 0603</v>
          </cell>
          <cell r="H245" t="str">
            <v>FH(风华)</v>
          </cell>
          <cell r="I245" t="str">
            <v>RS-03K2201FT</v>
          </cell>
          <cell r="J245">
            <v>100654</v>
          </cell>
          <cell r="K245" t="str">
            <v>广东风华高新科技股份有限公司</v>
          </cell>
          <cell r="L245" t="str">
            <v>X</v>
          </cell>
          <cell r="M245" t="str">
            <v/>
          </cell>
          <cell r="N245">
            <v>1</v>
          </cell>
          <cell r="O245">
            <v>2.0799999999999998E-3</v>
          </cell>
          <cell r="P245">
            <v>2.08</v>
          </cell>
          <cell r="Q245">
            <v>2.08</v>
          </cell>
          <cell r="R245">
            <v>1000</v>
          </cell>
          <cell r="S245" t="str">
            <v>PCS</v>
          </cell>
          <cell r="T245">
            <v>42</v>
          </cell>
          <cell r="U245" t="str">
            <v>J3</v>
          </cell>
          <cell r="V245" t="str">
            <v>CNY</v>
          </cell>
          <cell r="W245">
            <v>5000</v>
          </cell>
          <cell r="X245">
            <v>5000</v>
          </cell>
        </row>
        <row r="246">
          <cell r="D246">
            <v>10100006507</v>
          </cell>
          <cell r="E246" t="str">
            <v>厚膜贴片电阻器</v>
          </cell>
          <cell r="F246">
            <v>10010302</v>
          </cell>
          <cell r="G246" t="str">
            <v>FH\RES 4.7K F 1/10W 0603</v>
          </cell>
          <cell r="H246" t="str">
            <v>FH(风华)</v>
          </cell>
          <cell r="I246" t="str">
            <v>RS-03K4701FT</v>
          </cell>
          <cell r="J246">
            <v>100654</v>
          </cell>
          <cell r="K246" t="str">
            <v>广东风华高新科技股份有限公司</v>
          </cell>
          <cell r="L246" t="str">
            <v>X</v>
          </cell>
          <cell r="M246" t="str">
            <v/>
          </cell>
          <cell r="N246">
            <v>1</v>
          </cell>
          <cell r="O246">
            <v>2.0799999999999998E-3</v>
          </cell>
          <cell r="P246">
            <v>2.08</v>
          </cell>
          <cell r="Q246">
            <v>2.08</v>
          </cell>
          <cell r="R246">
            <v>1000</v>
          </cell>
          <cell r="S246" t="str">
            <v>PCS</v>
          </cell>
          <cell r="T246">
            <v>42</v>
          </cell>
          <cell r="U246" t="str">
            <v>J3</v>
          </cell>
          <cell r="V246" t="str">
            <v>CNY</v>
          </cell>
          <cell r="W246">
            <v>5000</v>
          </cell>
          <cell r="X246">
            <v>5000</v>
          </cell>
        </row>
        <row r="247">
          <cell r="D247">
            <v>10100006627</v>
          </cell>
          <cell r="E247" t="str">
            <v>厚膜贴片电阻器</v>
          </cell>
          <cell r="F247">
            <v>10010302</v>
          </cell>
          <cell r="G247" t="str">
            <v>FH\RES 5.1K F 1/8W 0805</v>
          </cell>
          <cell r="H247" t="str">
            <v>FH(风华)</v>
          </cell>
          <cell r="I247" t="str">
            <v>RS-05K5101FT</v>
          </cell>
          <cell r="J247">
            <v>100654</v>
          </cell>
          <cell r="K247" t="str">
            <v>广东风华高新科技股份有限公司</v>
          </cell>
          <cell r="L247" t="str">
            <v>X</v>
          </cell>
          <cell r="M247" t="str">
            <v/>
          </cell>
          <cell r="N247">
            <v>1</v>
          </cell>
          <cell r="O247">
            <v>3.7200000000000002E-3</v>
          </cell>
          <cell r="P247">
            <v>3.72</v>
          </cell>
          <cell r="Q247">
            <v>3.72</v>
          </cell>
          <cell r="R247">
            <v>1000</v>
          </cell>
          <cell r="S247" t="str">
            <v>PCS</v>
          </cell>
          <cell r="T247">
            <v>42</v>
          </cell>
          <cell r="U247" t="str">
            <v>J3</v>
          </cell>
          <cell r="V247" t="str">
            <v>CNY</v>
          </cell>
          <cell r="W247">
            <v>5000</v>
          </cell>
          <cell r="X247">
            <v>5000</v>
          </cell>
        </row>
        <row r="248">
          <cell r="D248">
            <v>10100006711</v>
          </cell>
          <cell r="E248" t="str">
            <v>厚膜贴片电阻器</v>
          </cell>
          <cell r="F248">
            <v>10010302</v>
          </cell>
          <cell r="G248" t="str">
            <v>WALS\RES 1K F 1/16W 0402</v>
          </cell>
          <cell r="H248" t="str">
            <v>WALS(华科)</v>
          </cell>
          <cell r="I248" t="str">
            <v>WR04X1001FTL</v>
          </cell>
          <cell r="J248">
            <v>100131</v>
          </cell>
          <cell r="K248" t="str">
            <v>东莞华科电子有限公司</v>
          </cell>
          <cell r="L248" t="str">
            <v>X</v>
          </cell>
          <cell r="M248" t="str">
            <v/>
          </cell>
          <cell r="N248">
            <v>1</v>
          </cell>
          <cell r="O248">
            <v>1.17E-3</v>
          </cell>
          <cell r="P248">
            <v>1.17</v>
          </cell>
          <cell r="Q248">
            <v>1.17</v>
          </cell>
          <cell r="R248">
            <v>1000</v>
          </cell>
          <cell r="S248" t="str">
            <v>PCS</v>
          </cell>
          <cell r="T248">
            <v>56</v>
          </cell>
          <cell r="U248" t="str">
            <v>J3</v>
          </cell>
          <cell r="V248" t="str">
            <v>CNY</v>
          </cell>
          <cell r="W248">
            <v>10000</v>
          </cell>
          <cell r="X248">
            <v>10000</v>
          </cell>
        </row>
        <row r="249">
          <cell r="D249">
            <v>10100006793</v>
          </cell>
          <cell r="E249" t="str">
            <v>厚膜贴片电阻器</v>
          </cell>
          <cell r="F249">
            <v>10010302</v>
          </cell>
          <cell r="G249" t="str">
            <v>WALS\RES 68K F 1/10W 0603</v>
          </cell>
          <cell r="H249" t="str">
            <v>WALS(华科)</v>
          </cell>
          <cell r="I249" t="str">
            <v>WR06X6802FTL</v>
          </cell>
          <cell r="J249">
            <v>100131</v>
          </cell>
          <cell r="K249" t="str">
            <v>东莞华科电子有限公司</v>
          </cell>
          <cell r="L249" t="str">
            <v>X</v>
          </cell>
          <cell r="M249" t="str">
            <v/>
          </cell>
          <cell r="N249">
            <v>1</v>
          </cell>
          <cell r="O249">
            <v>2.2200000000000002E-3</v>
          </cell>
          <cell r="P249">
            <v>2.2200000000000002</v>
          </cell>
          <cell r="Q249">
            <v>2.2200000000000002</v>
          </cell>
          <cell r="R249">
            <v>1000</v>
          </cell>
          <cell r="S249" t="str">
            <v>PCS</v>
          </cell>
          <cell r="T249">
            <v>56</v>
          </cell>
          <cell r="U249" t="str">
            <v>J3</v>
          </cell>
          <cell r="V249" t="str">
            <v>CNY</v>
          </cell>
          <cell r="W249">
            <v>5000</v>
          </cell>
          <cell r="X249">
            <v>5000</v>
          </cell>
        </row>
        <row r="250">
          <cell r="D250">
            <v>10100006809</v>
          </cell>
          <cell r="E250" t="str">
            <v>厚膜贴片电阻器</v>
          </cell>
          <cell r="F250">
            <v>10010302</v>
          </cell>
          <cell r="G250" t="str">
            <v>WALS\RES 2.2K F 1/10W 0603</v>
          </cell>
          <cell r="H250" t="str">
            <v>WALS(华科)</v>
          </cell>
          <cell r="I250" t="str">
            <v>WR06X2201FTL</v>
          </cell>
          <cell r="J250">
            <v>100131</v>
          </cell>
          <cell r="K250" t="str">
            <v>东莞华科电子有限公司</v>
          </cell>
          <cell r="L250" t="str">
            <v>X</v>
          </cell>
          <cell r="M250" t="str">
            <v/>
          </cell>
          <cell r="N250">
            <v>1</v>
          </cell>
          <cell r="O250">
            <v>2.2200000000000002E-3</v>
          </cell>
          <cell r="P250">
            <v>2.2200000000000002</v>
          </cell>
          <cell r="Q250">
            <v>2.2200000000000002</v>
          </cell>
          <cell r="R250">
            <v>1000</v>
          </cell>
          <cell r="S250" t="str">
            <v>PCS</v>
          </cell>
          <cell r="T250">
            <v>56</v>
          </cell>
          <cell r="U250" t="str">
            <v>J3</v>
          </cell>
          <cell r="V250" t="str">
            <v>CNY</v>
          </cell>
          <cell r="W250">
            <v>5000</v>
          </cell>
          <cell r="X250">
            <v>5000</v>
          </cell>
        </row>
        <row r="251">
          <cell r="D251">
            <v>10100006845</v>
          </cell>
          <cell r="E251" t="str">
            <v>厚膜贴片电阻器</v>
          </cell>
          <cell r="F251">
            <v>10010302</v>
          </cell>
          <cell r="G251" t="str">
            <v>WALS\RES 4.7K F 1/10W 0603</v>
          </cell>
          <cell r="H251" t="str">
            <v>WALS(华科)</v>
          </cell>
          <cell r="I251" t="str">
            <v>WR06X4701FTL</v>
          </cell>
          <cell r="J251">
            <v>100131</v>
          </cell>
          <cell r="K251" t="str">
            <v>东莞华科电子有限公司</v>
          </cell>
          <cell r="L251" t="str">
            <v>X</v>
          </cell>
          <cell r="M251" t="str">
            <v/>
          </cell>
          <cell r="N251">
            <v>1</v>
          </cell>
          <cell r="O251">
            <v>2.2200000000000002E-3</v>
          </cell>
          <cell r="P251">
            <v>2.2200000000000002</v>
          </cell>
          <cell r="Q251">
            <v>2.2200000000000002</v>
          </cell>
          <cell r="R251">
            <v>1000</v>
          </cell>
          <cell r="S251" t="str">
            <v>PCS</v>
          </cell>
          <cell r="T251">
            <v>56</v>
          </cell>
          <cell r="U251" t="str">
            <v>J3</v>
          </cell>
          <cell r="V251" t="str">
            <v>CNY</v>
          </cell>
          <cell r="W251">
            <v>5000</v>
          </cell>
          <cell r="X251">
            <v>5000</v>
          </cell>
        </row>
        <row r="252">
          <cell r="D252">
            <v>10100006984</v>
          </cell>
          <cell r="E252" t="str">
            <v>厚膜贴片电阻器</v>
          </cell>
          <cell r="F252">
            <v>10010302</v>
          </cell>
          <cell r="G252" t="str">
            <v>WALS\RES 470R F 1/4W 1206</v>
          </cell>
          <cell r="H252" t="str">
            <v>WALS(华科)</v>
          </cell>
          <cell r="I252" t="str">
            <v>WR12X4700FTL</v>
          </cell>
          <cell r="J252">
            <v>100131</v>
          </cell>
          <cell r="K252" t="str">
            <v>东莞华科电子有限公司</v>
          </cell>
          <cell r="L252" t="str">
            <v>X</v>
          </cell>
          <cell r="M252" t="str">
            <v/>
          </cell>
          <cell r="N252">
            <v>1</v>
          </cell>
          <cell r="O252">
            <v>6.9499999999999996E-3</v>
          </cell>
          <cell r="P252">
            <v>6.95</v>
          </cell>
          <cell r="Q252">
            <v>6.95</v>
          </cell>
          <cell r="R252">
            <v>1000</v>
          </cell>
          <cell r="S252" t="str">
            <v>PCS</v>
          </cell>
          <cell r="T252">
            <v>70</v>
          </cell>
          <cell r="U252" t="str">
            <v>J3</v>
          </cell>
          <cell r="V252" t="str">
            <v>CNY</v>
          </cell>
          <cell r="W252">
            <v>5000</v>
          </cell>
          <cell r="X252">
            <v>5000</v>
          </cell>
        </row>
        <row r="253">
          <cell r="D253">
            <v>10100007109</v>
          </cell>
          <cell r="E253" t="str">
            <v>厚膜贴片电阻器</v>
          </cell>
          <cell r="F253">
            <v>10010302</v>
          </cell>
          <cell r="G253" t="str">
            <v>WALS\RES 5.1K F 1/8W 0805</v>
          </cell>
          <cell r="H253" t="str">
            <v>WALS(华科)</v>
          </cell>
          <cell r="I253" t="str">
            <v>WR08X5101FTL</v>
          </cell>
          <cell r="J253">
            <v>100131</v>
          </cell>
          <cell r="K253" t="str">
            <v>东莞华科电子有限公司</v>
          </cell>
          <cell r="L253" t="str">
            <v>X</v>
          </cell>
          <cell r="M253" t="str">
            <v/>
          </cell>
          <cell r="N253">
            <v>1</v>
          </cell>
          <cell r="O253">
            <v>3.8800000000000002E-3</v>
          </cell>
          <cell r="P253">
            <v>3.88</v>
          </cell>
          <cell r="Q253">
            <v>3.88</v>
          </cell>
          <cell r="R253">
            <v>1000</v>
          </cell>
          <cell r="S253" t="str">
            <v>PCS</v>
          </cell>
          <cell r="T253">
            <v>56</v>
          </cell>
          <cell r="U253" t="str">
            <v>J3</v>
          </cell>
          <cell r="V253" t="str">
            <v>CNY</v>
          </cell>
          <cell r="W253">
            <v>5000</v>
          </cell>
          <cell r="X253">
            <v>5000</v>
          </cell>
        </row>
        <row r="254">
          <cell r="D254">
            <v>10100007174</v>
          </cell>
          <cell r="E254" t="str">
            <v>厚膜贴片电阻器</v>
          </cell>
          <cell r="F254">
            <v>10010302</v>
          </cell>
          <cell r="G254" t="str">
            <v>WALS\RES 47R F 1/4W 1206</v>
          </cell>
          <cell r="H254" t="str">
            <v>WALS(华科)</v>
          </cell>
          <cell r="I254" t="str">
            <v>WR12X47R0FTL</v>
          </cell>
          <cell r="J254">
            <v>100131</v>
          </cell>
          <cell r="K254" t="str">
            <v>东莞华科电子有限公司</v>
          </cell>
          <cell r="L254" t="str">
            <v>X</v>
          </cell>
          <cell r="M254" t="str">
            <v/>
          </cell>
          <cell r="N254">
            <v>1</v>
          </cell>
          <cell r="O254">
            <v>6.9499999999999996E-3</v>
          </cell>
          <cell r="P254">
            <v>6.95</v>
          </cell>
          <cell r="Q254">
            <v>6.95</v>
          </cell>
          <cell r="R254">
            <v>1000</v>
          </cell>
          <cell r="S254" t="str">
            <v>PCS</v>
          </cell>
          <cell r="T254">
            <v>70</v>
          </cell>
          <cell r="U254" t="str">
            <v>J3</v>
          </cell>
          <cell r="V254" t="str">
            <v>CNY</v>
          </cell>
          <cell r="W254">
            <v>5000</v>
          </cell>
          <cell r="X254">
            <v>5000</v>
          </cell>
        </row>
        <row r="255">
          <cell r="D255">
            <v>10100007562</v>
          </cell>
          <cell r="E255" t="str">
            <v>厚膜贴片电阻器</v>
          </cell>
          <cell r="F255">
            <v>10010302</v>
          </cell>
          <cell r="G255" t="str">
            <v>YAGEO\RES 100R F 1/4W 1206</v>
          </cell>
          <cell r="H255" t="str">
            <v>YAGEO(国巨)</v>
          </cell>
          <cell r="I255" t="str">
            <v>RC1206FR-07100RL</v>
          </cell>
          <cell r="J255">
            <v>100078</v>
          </cell>
          <cell r="K255" t="str">
            <v>深圳市超利维实业有限公司</v>
          </cell>
          <cell r="L255" t="str">
            <v>X</v>
          </cell>
          <cell r="M255" t="str">
            <v/>
          </cell>
          <cell r="N255">
            <v>1</v>
          </cell>
          <cell r="O255">
            <v>8.0000000000000002E-3</v>
          </cell>
          <cell r="P255">
            <v>8</v>
          </cell>
          <cell r="Q255">
            <v>8</v>
          </cell>
          <cell r="R255">
            <v>1000</v>
          </cell>
          <cell r="S255" t="str">
            <v>PCS</v>
          </cell>
          <cell r="T255">
            <v>56</v>
          </cell>
          <cell r="U255" t="str">
            <v>J3</v>
          </cell>
          <cell r="V255" t="str">
            <v>CNY</v>
          </cell>
          <cell r="W255">
            <v>5000</v>
          </cell>
          <cell r="X255">
            <v>5000</v>
          </cell>
        </row>
        <row r="256">
          <cell r="D256">
            <v>10100007615</v>
          </cell>
          <cell r="E256" t="str">
            <v>厚膜贴片电阻器</v>
          </cell>
          <cell r="F256">
            <v>10010302</v>
          </cell>
          <cell r="G256" t="str">
            <v>YAGEO\RES 100R F 1/16W 0402</v>
          </cell>
          <cell r="H256" t="str">
            <v>YAGEO(国巨)</v>
          </cell>
          <cell r="I256" t="str">
            <v>RC0402FR-07100RL</v>
          </cell>
          <cell r="J256">
            <v>100078</v>
          </cell>
          <cell r="K256" t="str">
            <v>深圳市超利维实业有限公司</v>
          </cell>
          <cell r="L256" t="str">
            <v>X</v>
          </cell>
          <cell r="M256" t="str">
            <v/>
          </cell>
          <cell r="N256">
            <v>1</v>
          </cell>
          <cell r="O256">
            <v>1.4E-3</v>
          </cell>
          <cell r="P256">
            <v>1.4</v>
          </cell>
          <cell r="Q256">
            <v>1.4</v>
          </cell>
          <cell r="R256">
            <v>1000</v>
          </cell>
          <cell r="S256" t="str">
            <v>PCS</v>
          </cell>
          <cell r="T256">
            <v>56</v>
          </cell>
          <cell r="U256" t="str">
            <v>J3</v>
          </cell>
          <cell r="V256" t="str">
            <v>CNY</v>
          </cell>
          <cell r="W256">
            <v>10000</v>
          </cell>
          <cell r="X256">
            <v>10000</v>
          </cell>
        </row>
        <row r="257">
          <cell r="D257">
            <v>10100007852</v>
          </cell>
          <cell r="E257" t="str">
            <v>厚膜贴片电阻器</v>
          </cell>
          <cell r="F257">
            <v>10010302</v>
          </cell>
          <cell r="G257" t="str">
            <v>YAGEO\RES 300K F 1/4W 1206</v>
          </cell>
          <cell r="H257" t="str">
            <v>YAGEO(国巨)</v>
          </cell>
          <cell r="I257" t="str">
            <v>RC1206FR-07300KL</v>
          </cell>
          <cell r="J257">
            <v>100078</v>
          </cell>
          <cell r="K257" t="str">
            <v>深圳市超利维实业有限公司</v>
          </cell>
          <cell r="L257" t="str">
            <v>X</v>
          </cell>
          <cell r="M257" t="str">
            <v/>
          </cell>
          <cell r="N257">
            <v>1</v>
          </cell>
          <cell r="O257">
            <v>8.0000000000000002E-3</v>
          </cell>
          <cell r="P257">
            <v>8</v>
          </cell>
          <cell r="Q257">
            <v>8</v>
          </cell>
          <cell r="R257">
            <v>1000</v>
          </cell>
          <cell r="S257" t="str">
            <v>PCS</v>
          </cell>
          <cell r="T257">
            <v>56</v>
          </cell>
          <cell r="U257" t="str">
            <v>J3</v>
          </cell>
          <cell r="V257" t="str">
            <v>CNY</v>
          </cell>
          <cell r="W257">
            <v>5000</v>
          </cell>
          <cell r="X257">
            <v>5000</v>
          </cell>
        </row>
        <row r="258">
          <cell r="D258">
            <v>10100008011</v>
          </cell>
          <cell r="E258" t="str">
            <v>厚膜贴片电阻器</v>
          </cell>
          <cell r="F258">
            <v>10010302</v>
          </cell>
          <cell r="G258" t="str">
            <v>WALS\RES 100R F 1/4W 1206</v>
          </cell>
          <cell r="H258" t="str">
            <v>WALS(华科)</v>
          </cell>
          <cell r="I258" t="str">
            <v>WR12X1000FTL</v>
          </cell>
          <cell r="J258">
            <v>100131</v>
          </cell>
          <cell r="K258" t="str">
            <v>东莞华科电子有限公司</v>
          </cell>
          <cell r="L258" t="str">
            <v>X</v>
          </cell>
          <cell r="M258" t="str">
            <v/>
          </cell>
          <cell r="N258">
            <v>1</v>
          </cell>
          <cell r="O258">
            <v>6.9499999999999996E-3</v>
          </cell>
          <cell r="P258">
            <v>6.95</v>
          </cell>
          <cell r="Q258">
            <v>6.95</v>
          </cell>
          <cell r="R258">
            <v>1000</v>
          </cell>
          <cell r="S258" t="str">
            <v>PCS</v>
          </cell>
          <cell r="T258">
            <v>70</v>
          </cell>
          <cell r="U258" t="str">
            <v>J3</v>
          </cell>
          <cell r="V258" t="str">
            <v>CNY</v>
          </cell>
          <cell r="W258">
            <v>5000</v>
          </cell>
          <cell r="X258">
            <v>5000</v>
          </cell>
        </row>
        <row r="259">
          <cell r="D259">
            <v>10100008057</v>
          </cell>
          <cell r="E259" t="str">
            <v>厚膜贴片电阻器</v>
          </cell>
          <cell r="F259">
            <v>10010302</v>
          </cell>
          <cell r="G259" t="str">
            <v>FH\RES 22K F 1/16W 0402</v>
          </cell>
          <cell r="H259" t="str">
            <v>FH(风华)</v>
          </cell>
          <cell r="I259" t="str">
            <v>RC-02K2202FT</v>
          </cell>
          <cell r="J259">
            <v>100654</v>
          </cell>
          <cell r="K259" t="str">
            <v>广东风华高新科技股份有限公司</v>
          </cell>
          <cell r="L259" t="str">
            <v>X</v>
          </cell>
          <cell r="M259" t="str">
            <v/>
          </cell>
          <cell r="N259">
            <v>1</v>
          </cell>
          <cell r="O259">
            <v>1.1000000000000001E-3</v>
          </cell>
          <cell r="P259">
            <v>1.1000000000000001</v>
          </cell>
          <cell r="Q259">
            <v>1.1000000000000001</v>
          </cell>
          <cell r="R259">
            <v>1000</v>
          </cell>
          <cell r="S259" t="str">
            <v>PCS</v>
          </cell>
          <cell r="T259">
            <v>42</v>
          </cell>
          <cell r="U259" t="str">
            <v>J3</v>
          </cell>
          <cell r="V259" t="str">
            <v>CNY</v>
          </cell>
          <cell r="W259">
            <v>10000</v>
          </cell>
          <cell r="X259">
            <v>10000</v>
          </cell>
        </row>
        <row r="260">
          <cell r="D260">
            <v>10100008069</v>
          </cell>
          <cell r="E260" t="str">
            <v>厚膜贴片电阻器</v>
          </cell>
          <cell r="F260">
            <v>10010302</v>
          </cell>
          <cell r="G260" t="str">
            <v>WALS\RES 22K F 1/16W 0402</v>
          </cell>
          <cell r="H260" t="str">
            <v>WALS(华科)</v>
          </cell>
          <cell r="I260" t="str">
            <v>WR04X2202FTL</v>
          </cell>
          <cell r="J260">
            <v>100131</v>
          </cell>
          <cell r="K260" t="str">
            <v>东莞华科电子有限公司</v>
          </cell>
          <cell r="L260" t="str">
            <v>X</v>
          </cell>
          <cell r="M260" t="str">
            <v/>
          </cell>
          <cell r="N260">
            <v>1</v>
          </cell>
          <cell r="O260">
            <v>1.17E-3</v>
          </cell>
          <cell r="P260">
            <v>1.17</v>
          </cell>
          <cell r="Q260">
            <v>1.17</v>
          </cell>
          <cell r="R260">
            <v>1000</v>
          </cell>
          <cell r="S260" t="str">
            <v>PCS</v>
          </cell>
          <cell r="T260">
            <v>56</v>
          </cell>
          <cell r="U260" t="str">
            <v>J3</v>
          </cell>
          <cell r="V260" t="str">
            <v>CNY</v>
          </cell>
          <cell r="W260">
            <v>10000</v>
          </cell>
          <cell r="X260">
            <v>10000</v>
          </cell>
        </row>
        <row r="261">
          <cell r="D261">
            <v>10100008075</v>
          </cell>
          <cell r="E261" t="str">
            <v>厚膜贴片电阻器</v>
          </cell>
          <cell r="F261">
            <v>10010302</v>
          </cell>
          <cell r="G261" t="str">
            <v>YAGEO\RES 22K F 1/16W 0402</v>
          </cell>
          <cell r="H261" t="str">
            <v>YAGEO(国巨)</v>
          </cell>
          <cell r="I261" t="str">
            <v>RC0402FR-0722KL</v>
          </cell>
          <cell r="J261">
            <v>100078</v>
          </cell>
          <cell r="K261" t="str">
            <v>深圳市超利维实业有限公司</v>
          </cell>
          <cell r="L261" t="str">
            <v>X</v>
          </cell>
          <cell r="M261" t="str">
            <v/>
          </cell>
          <cell r="N261">
            <v>1</v>
          </cell>
          <cell r="O261">
            <v>1.4E-3</v>
          </cell>
          <cell r="P261">
            <v>1.4</v>
          </cell>
          <cell r="Q261">
            <v>1.4</v>
          </cell>
          <cell r="R261">
            <v>1000</v>
          </cell>
          <cell r="S261" t="str">
            <v>PCS</v>
          </cell>
          <cell r="T261">
            <v>56</v>
          </cell>
          <cell r="U261" t="str">
            <v>J3</v>
          </cell>
          <cell r="V261" t="str">
            <v>CNY</v>
          </cell>
          <cell r="W261">
            <v>10000</v>
          </cell>
          <cell r="X261">
            <v>10000</v>
          </cell>
        </row>
        <row r="262">
          <cell r="D262">
            <v>10100008302</v>
          </cell>
          <cell r="E262" t="str">
            <v>厚膜贴片电阻器</v>
          </cell>
          <cell r="F262">
            <v>10010302</v>
          </cell>
          <cell r="G262" t="str">
            <v>WALS\RES 100R F 1/16W 0402</v>
          </cell>
          <cell r="H262" t="str">
            <v>WALS(华科)</v>
          </cell>
          <cell r="I262" t="str">
            <v>WR04X1000FTL</v>
          </cell>
          <cell r="J262">
            <v>100131</v>
          </cell>
          <cell r="K262" t="str">
            <v>东莞华科电子有限公司</v>
          </cell>
          <cell r="L262" t="str">
            <v>X</v>
          </cell>
          <cell r="M262" t="str">
            <v/>
          </cell>
          <cell r="N262">
            <v>1</v>
          </cell>
          <cell r="O262">
            <v>1.17E-3</v>
          </cell>
          <cell r="P262">
            <v>1.17</v>
          </cell>
          <cell r="Q262">
            <v>1.17</v>
          </cell>
          <cell r="R262">
            <v>1000</v>
          </cell>
          <cell r="S262" t="str">
            <v>PCS</v>
          </cell>
          <cell r="T262">
            <v>56</v>
          </cell>
          <cell r="U262" t="str">
            <v>J3</v>
          </cell>
          <cell r="V262" t="str">
            <v>CNY</v>
          </cell>
          <cell r="W262">
            <v>10000</v>
          </cell>
          <cell r="X262">
            <v>10000</v>
          </cell>
        </row>
        <row r="263">
          <cell r="D263">
            <v>10100008735</v>
          </cell>
          <cell r="E263" t="str">
            <v>厚膜贴片电阻器</v>
          </cell>
          <cell r="F263">
            <v>10010302</v>
          </cell>
          <cell r="G263" t="str">
            <v>FH\RES 0R R&lt;10mR 1/16W 0402 1A</v>
          </cell>
          <cell r="H263" t="str">
            <v>FH(风华)</v>
          </cell>
          <cell r="I263" t="str">
            <v>RC-02000FT</v>
          </cell>
          <cell r="J263">
            <v>100654</v>
          </cell>
          <cell r="K263" t="str">
            <v>广东风华高新科技股份有限公司</v>
          </cell>
          <cell r="L263" t="str">
            <v>X</v>
          </cell>
          <cell r="M263" t="str">
            <v/>
          </cell>
          <cell r="N263">
            <v>1</v>
          </cell>
          <cell r="O263">
            <v>1.1000000000000001E-3</v>
          </cell>
          <cell r="P263">
            <v>1.1000000000000001</v>
          </cell>
          <cell r="Q263">
            <v>1.1000000000000001</v>
          </cell>
          <cell r="R263">
            <v>1000</v>
          </cell>
          <cell r="S263" t="str">
            <v>PCS</v>
          </cell>
          <cell r="T263">
            <v>42</v>
          </cell>
          <cell r="U263" t="str">
            <v>J3</v>
          </cell>
          <cell r="V263" t="str">
            <v>CNY</v>
          </cell>
          <cell r="W263">
            <v>10000</v>
          </cell>
          <cell r="X263">
            <v>10000</v>
          </cell>
        </row>
        <row r="264">
          <cell r="D264">
            <v>10100008776</v>
          </cell>
          <cell r="E264" t="str">
            <v>厚膜贴片电阻器</v>
          </cell>
          <cell r="F264">
            <v>10010302</v>
          </cell>
          <cell r="G264" t="str">
            <v>FH\RES 0R R&lt;10mR 1/10W 0603 1A</v>
          </cell>
          <cell r="H264" t="str">
            <v>FH(风华)</v>
          </cell>
          <cell r="I264" t="str">
            <v>RS-03000FT</v>
          </cell>
          <cell r="J264">
            <v>100654</v>
          </cell>
          <cell r="K264" t="str">
            <v>广东风华高新科技股份有限公司</v>
          </cell>
          <cell r="L264" t="str">
            <v>X</v>
          </cell>
          <cell r="M264" t="str">
            <v/>
          </cell>
          <cell r="N264">
            <v>1</v>
          </cell>
          <cell r="O264">
            <v>2.0799999999999998E-3</v>
          </cell>
          <cell r="P264">
            <v>2.08</v>
          </cell>
          <cell r="Q264">
            <v>2.08</v>
          </cell>
          <cell r="R264">
            <v>1000</v>
          </cell>
          <cell r="S264" t="str">
            <v>PCS</v>
          </cell>
          <cell r="T264">
            <v>42</v>
          </cell>
          <cell r="U264" t="str">
            <v>J3</v>
          </cell>
          <cell r="V264" t="str">
            <v>CNY</v>
          </cell>
          <cell r="W264">
            <v>5000</v>
          </cell>
          <cell r="X264">
            <v>5000</v>
          </cell>
        </row>
        <row r="265">
          <cell r="D265">
            <v>10100008807</v>
          </cell>
          <cell r="E265" t="str">
            <v>厚膜贴片电阻器</v>
          </cell>
          <cell r="F265">
            <v>10010302</v>
          </cell>
          <cell r="G265" t="str">
            <v>WALS\RES 390R F 1/16W 0402</v>
          </cell>
          <cell r="H265" t="str">
            <v>WALS(华科)</v>
          </cell>
          <cell r="I265" t="str">
            <v>WR04X3900FTL</v>
          </cell>
          <cell r="J265">
            <v>100131</v>
          </cell>
          <cell r="K265" t="str">
            <v>东莞华科电子有限公司</v>
          </cell>
          <cell r="L265" t="str">
            <v>X</v>
          </cell>
          <cell r="M265" t="str">
            <v/>
          </cell>
          <cell r="N265">
            <v>1</v>
          </cell>
          <cell r="O265">
            <v>1.17E-3</v>
          </cell>
          <cell r="P265">
            <v>1.17</v>
          </cell>
          <cell r="Q265">
            <v>1.17</v>
          </cell>
          <cell r="R265">
            <v>1000</v>
          </cell>
          <cell r="S265" t="str">
            <v>PCS</v>
          </cell>
          <cell r="T265">
            <v>56</v>
          </cell>
          <cell r="U265" t="str">
            <v>J3</v>
          </cell>
          <cell r="V265" t="str">
            <v>CNY</v>
          </cell>
          <cell r="W265">
            <v>10000</v>
          </cell>
          <cell r="X265">
            <v>10000</v>
          </cell>
        </row>
        <row r="266">
          <cell r="D266">
            <v>10100008809</v>
          </cell>
          <cell r="E266" t="str">
            <v>厚膜贴片电阻器</v>
          </cell>
          <cell r="F266">
            <v>10010302</v>
          </cell>
          <cell r="G266" t="str">
            <v>FH\RES 390R F 1/16W 0402</v>
          </cell>
          <cell r="H266" t="str">
            <v>FH(风华)</v>
          </cell>
          <cell r="I266" t="str">
            <v>RC-02K3900FT</v>
          </cell>
          <cell r="J266">
            <v>100654</v>
          </cell>
          <cell r="K266" t="str">
            <v>广东风华高新科技股份有限公司</v>
          </cell>
          <cell r="L266" t="str">
            <v>X</v>
          </cell>
          <cell r="M266" t="str">
            <v/>
          </cell>
          <cell r="N266">
            <v>1</v>
          </cell>
          <cell r="O266">
            <v>1.1000000000000001E-3</v>
          </cell>
          <cell r="P266">
            <v>1.1000000000000001</v>
          </cell>
          <cell r="Q266">
            <v>1.1000000000000001</v>
          </cell>
          <cell r="R266">
            <v>1000</v>
          </cell>
          <cell r="S266" t="str">
            <v>PCS</v>
          </cell>
          <cell r="T266">
            <v>42</v>
          </cell>
          <cell r="U266" t="str">
            <v>J3</v>
          </cell>
          <cell r="V266" t="str">
            <v>CNY</v>
          </cell>
          <cell r="W266">
            <v>10000</v>
          </cell>
          <cell r="X266">
            <v>10000</v>
          </cell>
        </row>
        <row r="267">
          <cell r="D267">
            <v>10100008827</v>
          </cell>
          <cell r="E267" t="str">
            <v>厚膜贴片电阻器</v>
          </cell>
          <cell r="F267">
            <v>10010302</v>
          </cell>
          <cell r="G267" t="str">
            <v>WALS\RES 9.1K F 1/16W 0402</v>
          </cell>
          <cell r="H267" t="str">
            <v>WALS(华科)</v>
          </cell>
          <cell r="I267" t="str">
            <v>WR04X9101FTL</v>
          </cell>
          <cell r="J267">
            <v>100131</v>
          </cell>
          <cell r="K267" t="str">
            <v>东莞华科电子有限公司</v>
          </cell>
          <cell r="L267" t="str">
            <v>X</v>
          </cell>
          <cell r="M267" t="str">
            <v/>
          </cell>
          <cell r="N267">
            <v>1</v>
          </cell>
          <cell r="O267">
            <v>1.17E-3</v>
          </cell>
          <cell r="P267">
            <v>1.17</v>
          </cell>
          <cell r="Q267">
            <v>1.17</v>
          </cell>
          <cell r="R267">
            <v>1000</v>
          </cell>
          <cell r="S267" t="str">
            <v>PCS</v>
          </cell>
          <cell r="T267">
            <v>56</v>
          </cell>
          <cell r="U267" t="str">
            <v>J3</v>
          </cell>
          <cell r="V267" t="str">
            <v>CNY</v>
          </cell>
          <cell r="W267">
            <v>10000</v>
          </cell>
          <cell r="X267">
            <v>10000</v>
          </cell>
        </row>
        <row r="268">
          <cell r="D268">
            <v>10100008830</v>
          </cell>
          <cell r="E268" t="str">
            <v>厚膜贴片电阻器</v>
          </cell>
          <cell r="F268">
            <v>10010302</v>
          </cell>
          <cell r="G268" t="str">
            <v>YAGEO\RES 9.1K F 1/16W 0402</v>
          </cell>
          <cell r="H268" t="str">
            <v>YAGEO(国巨)</v>
          </cell>
          <cell r="I268" t="str">
            <v>RC0402FR-079K1L</v>
          </cell>
          <cell r="J268">
            <v>100078</v>
          </cell>
          <cell r="K268" t="str">
            <v>深圳市超利维实业有限公司</v>
          </cell>
          <cell r="L268" t="str">
            <v>X</v>
          </cell>
          <cell r="M268" t="str">
            <v/>
          </cell>
          <cell r="N268">
            <v>1</v>
          </cell>
          <cell r="O268">
            <v>1.4E-3</v>
          </cell>
          <cell r="P268">
            <v>1.4</v>
          </cell>
          <cell r="Q268">
            <v>1.4</v>
          </cell>
          <cell r="R268">
            <v>1000</v>
          </cell>
          <cell r="S268" t="str">
            <v>PCS</v>
          </cell>
          <cell r="T268">
            <v>84</v>
          </cell>
          <cell r="U268" t="str">
            <v>J3</v>
          </cell>
          <cell r="V268" t="str">
            <v>CNY</v>
          </cell>
          <cell r="W268">
            <v>10000</v>
          </cell>
          <cell r="X268">
            <v>10000</v>
          </cell>
        </row>
        <row r="269">
          <cell r="D269">
            <v>10100009092</v>
          </cell>
          <cell r="E269" t="str">
            <v>厚膜贴片电阻器</v>
          </cell>
          <cell r="F269">
            <v>10010302</v>
          </cell>
          <cell r="G269" t="str">
            <v>YAGEO\RES 2K F 1/16W 0402</v>
          </cell>
          <cell r="H269" t="str">
            <v>YAGEO(国巨)</v>
          </cell>
          <cell r="I269" t="str">
            <v>RC0402FR-072KL</v>
          </cell>
          <cell r="J269">
            <v>101553</v>
          </cell>
          <cell r="K269" t="str">
            <v>深圳市奥特高科电子有限公司</v>
          </cell>
          <cell r="L269" t="str">
            <v>X</v>
          </cell>
          <cell r="M269" t="str">
            <v/>
          </cell>
          <cell r="N269">
            <v>1</v>
          </cell>
          <cell r="O269">
            <v>1.2999999999999999E-3</v>
          </cell>
          <cell r="P269">
            <v>1.3</v>
          </cell>
          <cell r="Q269">
            <v>1.3</v>
          </cell>
          <cell r="R269">
            <v>1000</v>
          </cell>
          <cell r="S269" t="str">
            <v>PCS</v>
          </cell>
          <cell r="T269">
            <v>84</v>
          </cell>
          <cell r="U269" t="str">
            <v>J3</v>
          </cell>
          <cell r="V269" t="str">
            <v>CNY</v>
          </cell>
          <cell r="W269">
            <v>10000</v>
          </cell>
          <cell r="X269">
            <v>10000</v>
          </cell>
        </row>
        <row r="270">
          <cell r="D270">
            <v>10100009093</v>
          </cell>
          <cell r="E270" t="str">
            <v>厚膜贴片电阻器</v>
          </cell>
          <cell r="F270">
            <v>10010302</v>
          </cell>
          <cell r="G270" t="str">
            <v>WALS\RES 2K F 1/16W 0402</v>
          </cell>
          <cell r="H270" t="str">
            <v>WALS(华科)</v>
          </cell>
          <cell r="I270" t="str">
            <v>WR04X2001FTL</v>
          </cell>
          <cell r="J270">
            <v>100131</v>
          </cell>
          <cell r="K270" t="str">
            <v>东莞华科电子有限公司</v>
          </cell>
          <cell r="L270" t="str">
            <v>X</v>
          </cell>
          <cell r="M270" t="str">
            <v/>
          </cell>
          <cell r="N270">
            <v>1</v>
          </cell>
          <cell r="O270">
            <v>1.17E-3</v>
          </cell>
          <cell r="P270">
            <v>1.17</v>
          </cell>
          <cell r="Q270">
            <v>1.17</v>
          </cell>
          <cell r="R270">
            <v>1000</v>
          </cell>
          <cell r="S270" t="str">
            <v>PCS</v>
          </cell>
          <cell r="T270">
            <v>56</v>
          </cell>
          <cell r="U270" t="str">
            <v>J3</v>
          </cell>
          <cell r="V270" t="str">
            <v>CNY</v>
          </cell>
          <cell r="W270">
            <v>10000</v>
          </cell>
          <cell r="X270">
            <v>10000</v>
          </cell>
        </row>
        <row r="271">
          <cell r="D271">
            <v>10100009552</v>
          </cell>
          <cell r="E271" t="str">
            <v>厚膜贴片电阻器</v>
          </cell>
          <cell r="F271">
            <v>10010302</v>
          </cell>
          <cell r="G271" t="str">
            <v>ROYA\RES 2.2K F 1/10W 0603</v>
          </cell>
          <cell r="H271" t="str">
            <v>ROYALOHM(厚声)</v>
          </cell>
          <cell r="I271" t="str">
            <v>0603WAF2201T5E</v>
          </cell>
          <cell r="J271">
            <v>100096</v>
          </cell>
          <cell r="K271" t="str">
            <v>厚声国际贸易（昆山）有限公司深圳分公司</v>
          </cell>
          <cell r="L271" t="str">
            <v>X</v>
          </cell>
          <cell r="M271" t="str">
            <v/>
          </cell>
          <cell r="N271">
            <v>1</v>
          </cell>
          <cell r="O271">
            <v>2.0999999999999999E-3</v>
          </cell>
          <cell r="P271">
            <v>2.1</v>
          </cell>
          <cell r="Q271">
            <v>2.1</v>
          </cell>
          <cell r="R271">
            <v>1000</v>
          </cell>
          <cell r="S271" t="str">
            <v>PCS</v>
          </cell>
          <cell r="T271">
            <v>42</v>
          </cell>
          <cell r="U271" t="str">
            <v>J3</v>
          </cell>
          <cell r="V271" t="str">
            <v>CNY</v>
          </cell>
          <cell r="W271">
            <v>5000</v>
          </cell>
          <cell r="X271">
            <v>5000</v>
          </cell>
        </row>
        <row r="272">
          <cell r="D272">
            <v>10100009721</v>
          </cell>
          <cell r="E272" t="str">
            <v>厚膜贴片电阻器</v>
          </cell>
          <cell r="F272">
            <v>10010302</v>
          </cell>
          <cell r="G272" t="str">
            <v>YAGEO\RES 11K F 1/16W 0402</v>
          </cell>
          <cell r="H272" t="str">
            <v>YAGEO(国巨)</v>
          </cell>
          <cell r="I272" t="str">
            <v>RC0402FR-0711KL</v>
          </cell>
          <cell r="J272">
            <v>100078</v>
          </cell>
          <cell r="K272" t="str">
            <v>深圳市超利维实业有限公司</v>
          </cell>
          <cell r="L272" t="str">
            <v>X</v>
          </cell>
          <cell r="M272" t="str">
            <v/>
          </cell>
          <cell r="N272">
            <v>1</v>
          </cell>
          <cell r="O272">
            <v>1.4E-3</v>
          </cell>
          <cell r="P272">
            <v>1.4</v>
          </cell>
          <cell r="Q272">
            <v>1.4</v>
          </cell>
          <cell r="R272">
            <v>1000</v>
          </cell>
          <cell r="S272" t="str">
            <v>PCS</v>
          </cell>
          <cell r="T272">
            <v>84</v>
          </cell>
          <cell r="U272" t="str">
            <v>J3</v>
          </cell>
          <cell r="V272" t="str">
            <v>CNY</v>
          </cell>
          <cell r="W272">
            <v>10000</v>
          </cell>
          <cell r="X272">
            <v>10000</v>
          </cell>
        </row>
        <row r="273">
          <cell r="D273">
            <v>10100009722</v>
          </cell>
          <cell r="E273" t="str">
            <v>厚膜贴片电阻器</v>
          </cell>
          <cell r="F273">
            <v>10010302</v>
          </cell>
          <cell r="G273" t="str">
            <v>WALS\RES 11K F 1/16W 0402</v>
          </cell>
          <cell r="H273" t="str">
            <v>WALS(华科)</v>
          </cell>
          <cell r="I273" t="str">
            <v>WR04X1102FTL</v>
          </cell>
          <cell r="J273">
            <v>100131</v>
          </cell>
          <cell r="K273" t="str">
            <v>东莞华科电子有限公司</v>
          </cell>
          <cell r="L273" t="str">
            <v>X</v>
          </cell>
          <cell r="M273" t="str">
            <v/>
          </cell>
          <cell r="N273">
            <v>1</v>
          </cell>
          <cell r="O273">
            <v>1.17E-3</v>
          </cell>
          <cell r="P273">
            <v>1.17</v>
          </cell>
          <cell r="Q273">
            <v>1.17</v>
          </cell>
          <cell r="R273">
            <v>1000</v>
          </cell>
          <cell r="S273" t="str">
            <v>PCS</v>
          </cell>
          <cell r="T273">
            <v>56</v>
          </cell>
          <cell r="U273" t="str">
            <v>J3</v>
          </cell>
          <cell r="V273" t="str">
            <v>CNY</v>
          </cell>
          <cell r="W273">
            <v>10000</v>
          </cell>
          <cell r="X273">
            <v>10000</v>
          </cell>
        </row>
        <row r="274">
          <cell r="D274">
            <v>10100009838</v>
          </cell>
          <cell r="E274" t="str">
            <v>厚膜贴片电阻器</v>
          </cell>
          <cell r="F274">
            <v>10010302</v>
          </cell>
          <cell r="G274" t="str">
            <v>ROYA\RES 10K F 1/16W 0402</v>
          </cell>
          <cell r="H274" t="str">
            <v>ROYALOHM(厚声)</v>
          </cell>
          <cell r="I274" t="str">
            <v>0402WGF1002TCE</v>
          </cell>
          <cell r="J274">
            <v>100096</v>
          </cell>
          <cell r="K274" t="str">
            <v>厚声国际贸易（昆山）有限公司深圳分公司</v>
          </cell>
          <cell r="L274" t="str">
            <v>X</v>
          </cell>
          <cell r="M274" t="str">
            <v/>
          </cell>
          <cell r="N274">
            <v>1</v>
          </cell>
          <cell r="O274">
            <v>1.09E-3</v>
          </cell>
          <cell r="P274">
            <v>1.0900000000000001</v>
          </cell>
          <cell r="Q274">
            <v>1.0900000000000001</v>
          </cell>
          <cell r="R274">
            <v>1000</v>
          </cell>
          <cell r="S274" t="str">
            <v>PCS</v>
          </cell>
          <cell r="T274">
            <v>42</v>
          </cell>
          <cell r="U274" t="str">
            <v>J3</v>
          </cell>
          <cell r="V274" t="str">
            <v>CNY</v>
          </cell>
          <cell r="W274">
            <v>10000</v>
          </cell>
          <cell r="X274">
            <v>10000</v>
          </cell>
        </row>
        <row r="275">
          <cell r="D275">
            <v>10100009843</v>
          </cell>
          <cell r="E275" t="str">
            <v>厚膜贴片电阻器</v>
          </cell>
          <cell r="F275">
            <v>10010302</v>
          </cell>
          <cell r="G275" t="str">
            <v>YAGEO\RES 5.6K F 1/16W 0402</v>
          </cell>
          <cell r="H275" t="str">
            <v>YAGEO(国巨)</v>
          </cell>
          <cell r="I275" t="str">
            <v>RC0402FR-075K6L</v>
          </cell>
          <cell r="J275">
            <v>100078</v>
          </cell>
          <cell r="K275" t="str">
            <v>深圳市超利维实业有限公司</v>
          </cell>
          <cell r="L275" t="str">
            <v>X</v>
          </cell>
          <cell r="M275" t="str">
            <v/>
          </cell>
          <cell r="N275">
            <v>1</v>
          </cell>
          <cell r="O275">
            <v>1.4E-3</v>
          </cell>
          <cell r="P275">
            <v>1.4</v>
          </cell>
          <cell r="Q275">
            <v>1.4</v>
          </cell>
          <cell r="R275">
            <v>1000</v>
          </cell>
          <cell r="S275" t="str">
            <v>PCS</v>
          </cell>
          <cell r="T275">
            <v>84</v>
          </cell>
          <cell r="U275" t="str">
            <v>J3</v>
          </cell>
          <cell r="V275" t="str">
            <v>CNY</v>
          </cell>
          <cell r="W275">
            <v>10000</v>
          </cell>
          <cell r="X275">
            <v>10000</v>
          </cell>
        </row>
        <row r="276">
          <cell r="D276">
            <v>10100010045</v>
          </cell>
          <cell r="E276" t="str">
            <v>厚膜贴片电阻器</v>
          </cell>
          <cell r="F276">
            <v>10010302</v>
          </cell>
          <cell r="G276" t="str">
            <v>WALS\RES 10K F 1/16W 0402</v>
          </cell>
          <cell r="H276" t="str">
            <v>WALS(华科)</v>
          </cell>
          <cell r="I276" t="str">
            <v>WR04X1002FTL</v>
          </cell>
          <cell r="J276">
            <v>100131</v>
          </cell>
          <cell r="K276" t="str">
            <v>东莞华科电子有限公司</v>
          </cell>
          <cell r="L276" t="str">
            <v>X</v>
          </cell>
          <cell r="M276" t="str">
            <v/>
          </cell>
          <cell r="N276">
            <v>1</v>
          </cell>
          <cell r="O276">
            <v>1.17E-3</v>
          </cell>
          <cell r="P276">
            <v>1.17</v>
          </cell>
          <cell r="Q276">
            <v>1.17</v>
          </cell>
          <cell r="R276">
            <v>1000</v>
          </cell>
          <cell r="S276" t="str">
            <v>PCS</v>
          </cell>
          <cell r="T276">
            <v>56</v>
          </cell>
          <cell r="U276" t="str">
            <v>J3</v>
          </cell>
          <cell r="V276" t="str">
            <v>CNY</v>
          </cell>
          <cell r="W276">
            <v>10000</v>
          </cell>
          <cell r="X276">
            <v>10000</v>
          </cell>
        </row>
        <row r="277">
          <cell r="D277">
            <v>10100011090</v>
          </cell>
          <cell r="E277" t="str">
            <v>厚膜贴片电阻器</v>
          </cell>
          <cell r="F277">
            <v>10010302</v>
          </cell>
          <cell r="G277" t="str">
            <v>ROYA\RES 4.7K F 1/10W 0603</v>
          </cell>
          <cell r="H277" t="str">
            <v>ROYALOHM(厚声)</v>
          </cell>
          <cell r="I277" t="str">
            <v>0603WAF4701T5E</v>
          </cell>
          <cell r="J277">
            <v>100096</v>
          </cell>
          <cell r="K277" t="str">
            <v>厚声国际贸易（昆山）有限公司深圳分公司</v>
          </cell>
          <cell r="L277" t="str">
            <v>X</v>
          </cell>
          <cell r="M277" t="str">
            <v/>
          </cell>
          <cell r="N277">
            <v>1</v>
          </cell>
          <cell r="O277">
            <v>2.0999999999999999E-3</v>
          </cell>
          <cell r="P277">
            <v>2.1</v>
          </cell>
          <cell r="Q277">
            <v>2.1</v>
          </cell>
          <cell r="R277">
            <v>1000</v>
          </cell>
          <cell r="S277" t="str">
            <v>PCS</v>
          </cell>
          <cell r="T277">
            <v>42</v>
          </cell>
          <cell r="U277" t="str">
            <v>J3</v>
          </cell>
          <cell r="V277" t="str">
            <v>CNY</v>
          </cell>
          <cell r="W277">
            <v>5000</v>
          </cell>
          <cell r="X277">
            <v>5000</v>
          </cell>
        </row>
        <row r="278">
          <cell r="D278">
            <v>10100011096</v>
          </cell>
          <cell r="E278" t="str">
            <v>厚膜贴片电阻器</v>
          </cell>
          <cell r="F278">
            <v>10010302</v>
          </cell>
          <cell r="G278" t="str">
            <v>ROYA\RES 47R F 1/4W 1206</v>
          </cell>
          <cell r="H278" t="str">
            <v>ROYALOHM(厚声)</v>
          </cell>
          <cell r="I278" t="str">
            <v>1206W4F470JT5E</v>
          </cell>
          <cell r="J278">
            <v>100096</v>
          </cell>
          <cell r="K278" t="str">
            <v>厚声国际贸易（昆山）有限公司深圳分公司</v>
          </cell>
          <cell r="L278" t="str">
            <v>X</v>
          </cell>
          <cell r="M278" t="str">
            <v/>
          </cell>
          <cell r="N278">
            <v>1</v>
          </cell>
          <cell r="O278">
            <v>6.7799999999999996E-3</v>
          </cell>
          <cell r="P278">
            <v>6.78</v>
          </cell>
          <cell r="Q278">
            <v>6.78</v>
          </cell>
          <cell r="R278">
            <v>1000</v>
          </cell>
          <cell r="S278" t="str">
            <v>PCS</v>
          </cell>
          <cell r="T278">
            <v>42</v>
          </cell>
          <cell r="U278" t="str">
            <v>J3</v>
          </cell>
          <cell r="V278" t="str">
            <v>CNY</v>
          </cell>
          <cell r="W278">
            <v>5000</v>
          </cell>
          <cell r="X278">
            <v>5000</v>
          </cell>
        </row>
        <row r="279">
          <cell r="D279">
            <v>10100011343</v>
          </cell>
          <cell r="E279" t="str">
            <v>厚膜贴片电阻器</v>
          </cell>
          <cell r="F279">
            <v>10010302</v>
          </cell>
          <cell r="G279" t="str">
            <v>WALS\RES 5.6K F 1/16W 0402</v>
          </cell>
          <cell r="H279" t="str">
            <v>WALS(华科)</v>
          </cell>
          <cell r="I279" t="str">
            <v>WR04X5601FTL</v>
          </cell>
          <cell r="J279">
            <v>100131</v>
          </cell>
          <cell r="K279" t="str">
            <v>东莞华科电子有限公司</v>
          </cell>
          <cell r="L279" t="str">
            <v>X</v>
          </cell>
          <cell r="M279" t="str">
            <v/>
          </cell>
          <cell r="N279">
            <v>1</v>
          </cell>
          <cell r="O279">
            <v>1.17E-3</v>
          </cell>
          <cell r="P279">
            <v>1.17</v>
          </cell>
          <cell r="Q279">
            <v>1.17</v>
          </cell>
          <cell r="R279">
            <v>1000</v>
          </cell>
          <cell r="S279" t="str">
            <v>PCS</v>
          </cell>
          <cell r="T279">
            <v>56</v>
          </cell>
          <cell r="U279" t="str">
            <v>J3</v>
          </cell>
          <cell r="V279" t="str">
            <v>CNY</v>
          </cell>
          <cell r="W279">
            <v>10000</v>
          </cell>
          <cell r="X279">
            <v>10000</v>
          </cell>
        </row>
        <row r="280">
          <cell r="D280">
            <v>10100011621</v>
          </cell>
          <cell r="E280" t="str">
            <v>厚膜贴片电阻器</v>
          </cell>
          <cell r="F280">
            <v>10010302</v>
          </cell>
          <cell r="G280" t="str">
            <v>FH\RES 5.6K F 1/16W 0402</v>
          </cell>
          <cell r="H280" t="str">
            <v>FH(风华)</v>
          </cell>
          <cell r="I280" t="str">
            <v>RC-02K5601FT</v>
          </cell>
          <cell r="J280">
            <v>100654</v>
          </cell>
          <cell r="K280" t="str">
            <v>广东风华高新科技股份有限公司</v>
          </cell>
          <cell r="L280" t="str">
            <v>X</v>
          </cell>
          <cell r="M280" t="str">
            <v/>
          </cell>
          <cell r="N280">
            <v>1</v>
          </cell>
          <cell r="O280">
            <v>1.1000000000000001E-3</v>
          </cell>
          <cell r="P280">
            <v>1.1000000000000001</v>
          </cell>
          <cell r="Q280">
            <v>1.1000000000000001</v>
          </cell>
          <cell r="R280">
            <v>1000</v>
          </cell>
          <cell r="S280" t="str">
            <v>PCS</v>
          </cell>
          <cell r="T280">
            <v>42</v>
          </cell>
          <cell r="U280" t="str">
            <v>J3</v>
          </cell>
          <cell r="V280" t="str">
            <v>CNY</v>
          </cell>
          <cell r="W280">
            <v>10000</v>
          </cell>
          <cell r="X280">
            <v>10000</v>
          </cell>
        </row>
        <row r="281">
          <cell r="D281">
            <v>10100011726</v>
          </cell>
          <cell r="E281" t="str">
            <v>厚膜贴片电阻器</v>
          </cell>
          <cell r="F281">
            <v>10010302</v>
          </cell>
          <cell r="G281" t="str">
            <v>YAGEO\RES 5.1K F 1/16W 0402</v>
          </cell>
          <cell r="H281" t="str">
            <v>YAGEO(国巨)</v>
          </cell>
          <cell r="I281" t="str">
            <v>RC0402FR-075K1L</v>
          </cell>
          <cell r="J281">
            <v>100078</v>
          </cell>
          <cell r="K281" t="str">
            <v>深圳市超利维实业有限公司</v>
          </cell>
          <cell r="L281" t="str">
            <v>X</v>
          </cell>
          <cell r="M281" t="str">
            <v/>
          </cell>
          <cell r="N281">
            <v>1</v>
          </cell>
          <cell r="O281">
            <v>1.4E-3</v>
          </cell>
          <cell r="P281">
            <v>1.4</v>
          </cell>
          <cell r="Q281">
            <v>1.4</v>
          </cell>
          <cell r="R281">
            <v>1000</v>
          </cell>
          <cell r="S281" t="str">
            <v>PCS</v>
          </cell>
          <cell r="T281">
            <v>56</v>
          </cell>
          <cell r="U281" t="str">
            <v>J3</v>
          </cell>
          <cell r="V281" t="str">
            <v>CNY</v>
          </cell>
          <cell r="W281">
            <v>10000</v>
          </cell>
          <cell r="X281">
            <v>10000</v>
          </cell>
        </row>
        <row r="282">
          <cell r="D282">
            <v>10100011886</v>
          </cell>
          <cell r="E282" t="str">
            <v>厚膜贴片电阻器</v>
          </cell>
          <cell r="F282">
            <v>10010302</v>
          </cell>
          <cell r="G282" t="str">
            <v>ROYA\RES 9.1K F 1/16W 0402</v>
          </cell>
          <cell r="H282" t="str">
            <v>ROYALOHM(厚声)</v>
          </cell>
          <cell r="I282" t="str">
            <v>0402WGF9101TCE</v>
          </cell>
          <cell r="J282">
            <v>100096</v>
          </cell>
          <cell r="K282" t="str">
            <v>厚声国际贸易（昆山）有限公司深圳分公司</v>
          </cell>
          <cell r="L282" t="str">
            <v>X</v>
          </cell>
          <cell r="M282" t="str">
            <v/>
          </cell>
          <cell r="N282">
            <v>1</v>
          </cell>
          <cell r="O282">
            <v>1.09E-3</v>
          </cell>
          <cell r="P282">
            <v>1.0900000000000001</v>
          </cell>
          <cell r="Q282">
            <v>1.0900000000000001</v>
          </cell>
          <cell r="R282">
            <v>1000</v>
          </cell>
          <cell r="S282" t="str">
            <v>PCS</v>
          </cell>
          <cell r="T282">
            <v>42</v>
          </cell>
          <cell r="U282" t="str">
            <v>J3</v>
          </cell>
          <cell r="V282" t="str">
            <v>CNY</v>
          </cell>
          <cell r="W282">
            <v>10000</v>
          </cell>
          <cell r="X282">
            <v>10000</v>
          </cell>
        </row>
        <row r="283">
          <cell r="D283">
            <v>10100011993</v>
          </cell>
          <cell r="E283" t="str">
            <v>厚膜贴片电阻器</v>
          </cell>
          <cell r="F283">
            <v>10010302</v>
          </cell>
          <cell r="G283" t="str">
            <v>FH\RES 5.1K F 1/16W 0402</v>
          </cell>
          <cell r="H283" t="str">
            <v>FH(风华)</v>
          </cell>
          <cell r="I283" t="str">
            <v>RC-02K5101FT</v>
          </cell>
          <cell r="J283">
            <v>100654</v>
          </cell>
          <cell r="K283" t="str">
            <v>广东风华高新科技股份有限公司</v>
          </cell>
          <cell r="L283" t="str">
            <v>X</v>
          </cell>
          <cell r="M283" t="str">
            <v/>
          </cell>
          <cell r="N283">
            <v>1</v>
          </cell>
          <cell r="O283">
            <v>1.1000000000000001E-3</v>
          </cell>
          <cell r="P283">
            <v>1.1000000000000001</v>
          </cell>
          <cell r="Q283">
            <v>1.1000000000000001</v>
          </cell>
          <cell r="R283">
            <v>1000</v>
          </cell>
          <cell r="S283" t="str">
            <v>PCS</v>
          </cell>
          <cell r="T283">
            <v>42</v>
          </cell>
          <cell r="U283" t="str">
            <v>J3</v>
          </cell>
          <cell r="V283" t="str">
            <v>CNY</v>
          </cell>
          <cell r="W283">
            <v>10000</v>
          </cell>
          <cell r="X283">
            <v>10000</v>
          </cell>
        </row>
        <row r="284">
          <cell r="D284">
            <v>10100011996</v>
          </cell>
          <cell r="E284" t="str">
            <v>厚膜贴片电阻器</v>
          </cell>
          <cell r="F284">
            <v>10010302</v>
          </cell>
          <cell r="G284" t="str">
            <v>FH\RES 9.1K F 1/16W 0402</v>
          </cell>
          <cell r="H284" t="str">
            <v>FH(风华)</v>
          </cell>
          <cell r="I284" t="str">
            <v>RC-02K9101FT</v>
          </cell>
          <cell r="J284">
            <v>100654</v>
          </cell>
          <cell r="K284" t="str">
            <v>广东风华高新科技股份有限公司</v>
          </cell>
          <cell r="L284" t="str">
            <v>X</v>
          </cell>
          <cell r="M284" t="str">
            <v/>
          </cell>
          <cell r="N284">
            <v>1</v>
          </cell>
          <cell r="O284">
            <v>1.1000000000000001E-3</v>
          </cell>
          <cell r="P284">
            <v>1.1000000000000001</v>
          </cell>
          <cell r="Q284">
            <v>1.1000000000000001</v>
          </cell>
          <cell r="R284">
            <v>1000</v>
          </cell>
          <cell r="S284" t="str">
            <v>PCS</v>
          </cell>
          <cell r="T284">
            <v>42</v>
          </cell>
          <cell r="U284" t="str">
            <v>J3</v>
          </cell>
          <cell r="V284" t="str">
            <v>CNY</v>
          </cell>
          <cell r="W284">
            <v>10000</v>
          </cell>
          <cell r="X284">
            <v>10000</v>
          </cell>
        </row>
        <row r="285">
          <cell r="D285">
            <v>10100012014</v>
          </cell>
          <cell r="E285" t="str">
            <v>厚膜贴片电阻器</v>
          </cell>
          <cell r="F285">
            <v>10010302</v>
          </cell>
          <cell r="G285" t="str">
            <v>FH\RES 100R F 1/4W 1206</v>
          </cell>
          <cell r="H285" t="str">
            <v>FH(风华)</v>
          </cell>
          <cell r="I285" t="str">
            <v>RS-06K1000FT</v>
          </cell>
          <cell r="J285">
            <v>100654</v>
          </cell>
          <cell r="K285" t="str">
            <v>广东风华高新科技股份有限公司</v>
          </cell>
          <cell r="L285" t="str">
            <v>X</v>
          </cell>
          <cell r="M285" t="str">
            <v/>
          </cell>
          <cell r="N285">
            <v>1</v>
          </cell>
          <cell r="O285">
            <v>6.3699999999999998E-3</v>
          </cell>
          <cell r="P285">
            <v>6.37</v>
          </cell>
          <cell r="Q285">
            <v>6.37</v>
          </cell>
          <cell r="R285">
            <v>1000</v>
          </cell>
          <cell r="S285" t="str">
            <v>PCS</v>
          </cell>
          <cell r="T285">
            <v>42</v>
          </cell>
          <cell r="U285" t="str">
            <v>J3</v>
          </cell>
          <cell r="V285" t="str">
            <v>CNY</v>
          </cell>
          <cell r="W285">
            <v>5000</v>
          </cell>
          <cell r="X285">
            <v>5000</v>
          </cell>
        </row>
        <row r="286">
          <cell r="D286">
            <v>10100012860</v>
          </cell>
          <cell r="E286" t="str">
            <v>厚膜贴片电阻器</v>
          </cell>
          <cell r="F286">
            <v>10010302</v>
          </cell>
          <cell r="G286" t="str">
            <v>ROYA\RES 68K F 1/10W 0603</v>
          </cell>
          <cell r="H286" t="str">
            <v>ROYALOHM(厚声)</v>
          </cell>
          <cell r="I286" t="str">
            <v>0603WAF6802T5E</v>
          </cell>
          <cell r="J286">
            <v>100096</v>
          </cell>
          <cell r="K286" t="str">
            <v>厚声国际贸易（昆山）有限公司深圳分公司</v>
          </cell>
          <cell r="L286" t="str">
            <v>X</v>
          </cell>
          <cell r="M286" t="str">
            <v/>
          </cell>
          <cell r="N286">
            <v>1</v>
          </cell>
          <cell r="O286">
            <v>2.0999999999999999E-3</v>
          </cell>
          <cell r="P286">
            <v>2.1</v>
          </cell>
          <cell r="Q286">
            <v>2.1</v>
          </cell>
          <cell r="R286">
            <v>1000</v>
          </cell>
          <cell r="S286" t="str">
            <v>PCS</v>
          </cell>
          <cell r="T286">
            <v>42</v>
          </cell>
          <cell r="U286" t="str">
            <v>J3</v>
          </cell>
          <cell r="V286" t="str">
            <v>CNY</v>
          </cell>
          <cell r="W286">
            <v>5000</v>
          </cell>
          <cell r="X286">
            <v>5000</v>
          </cell>
        </row>
        <row r="287">
          <cell r="D287">
            <v>10100013040</v>
          </cell>
          <cell r="E287" t="str">
            <v>厚膜贴片电阻器</v>
          </cell>
          <cell r="F287">
            <v>10010302</v>
          </cell>
          <cell r="G287" t="str">
            <v>ROYA\RES 1K F 1/16W 0402</v>
          </cell>
          <cell r="H287" t="str">
            <v>ROYALOHM(厚声)</v>
          </cell>
          <cell r="I287" t="str">
            <v>0402WGF1001TCE</v>
          </cell>
          <cell r="J287">
            <v>100096</v>
          </cell>
          <cell r="K287" t="str">
            <v>厚声国际贸易（昆山）有限公司深圳分公司</v>
          </cell>
          <cell r="L287" t="str">
            <v>X</v>
          </cell>
          <cell r="M287" t="str">
            <v/>
          </cell>
          <cell r="N287">
            <v>1</v>
          </cell>
          <cell r="O287">
            <v>1.09E-3</v>
          </cell>
          <cell r="P287">
            <v>1.0900000000000001</v>
          </cell>
          <cell r="Q287">
            <v>1.0900000000000001</v>
          </cell>
          <cell r="R287">
            <v>1000</v>
          </cell>
          <cell r="S287" t="str">
            <v>PCS</v>
          </cell>
          <cell r="T287">
            <v>42</v>
          </cell>
          <cell r="U287" t="str">
            <v>J3</v>
          </cell>
          <cell r="V287" t="str">
            <v>CNY</v>
          </cell>
          <cell r="W287">
            <v>10000</v>
          </cell>
          <cell r="X287">
            <v>10000</v>
          </cell>
        </row>
        <row r="288">
          <cell r="D288">
            <v>10100013093</v>
          </cell>
          <cell r="E288" t="str">
            <v>厚膜贴片电阻器</v>
          </cell>
          <cell r="F288">
            <v>10010302</v>
          </cell>
          <cell r="G288" t="str">
            <v>ROYA\RES 100R F 1/16W 0402</v>
          </cell>
          <cell r="H288" t="str">
            <v>ROYALOHM(厚声)</v>
          </cell>
          <cell r="I288" t="str">
            <v>0402WGF1000TCE</v>
          </cell>
          <cell r="J288">
            <v>100096</v>
          </cell>
          <cell r="K288" t="str">
            <v>厚声国际贸易（昆山）有限公司深圳分公司</v>
          </cell>
          <cell r="L288" t="str">
            <v>X</v>
          </cell>
          <cell r="M288" t="str">
            <v/>
          </cell>
          <cell r="N288">
            <v>1</v>
          </cell>
          <cell r="O288">
            <v>1.09E-3</v>
          </cell>
          <cell r="P288">
            <v>1.0900000000000001</v>
          </cell>
          <cell r="Q288">
            <v>1.0900000000000001</v>
          </cell>
          <cell r="R288">
            <v>1000</v>
          </cell>
          <cell r="S288" t="str">
            <v>PCS</v>
          </cell>
          <cell r="T288">
            <v>42</v>
          </cell>
          <cell r="U288" t="str">
            <v>J3</v>
          </cell>
          <cell r="V288" t="str">
            <v>CNY</v>
          </cell>
          <cell r="W288">
            <v>10000</v>
          </cell>
          <cell r="X288">
            <v>10000</v>
          </cell>
        </row>
        <row r="289">
          <cell r="D289">
            <v>10100013936</v>
          </cell>
          <cell r="E289" t="str">
            <v>厚膜贴片电阻器</v>
          </cell>
          <cell r="F289">
            <v>10010302</v>
          </cell>
          <cell r="G289" t="str">
            <v>FH\RES 100R F 1/16W 0402</v>
          </cell>
          <cell r="H289" t="str">
            <v>FH(风华)</v>
          </cell>
          <cell r="I289" t="str">
            <v>RC-02K1000FT</v>
          </cell>
          <cell r="J289">
            <v>100654</v>
          </cell>
          <cell r="K289" t="str">
            <v>广东风华高新科技股份有限公司</v>
          </cell>
          <cell r="L289" t="str">
            <v>X</v>
          </cell>
          <cell r="M289" t="str">
            <v/>
          </cell>
          <cell r="N289">
            <v>1</v>
          </cell>
          <cell r="O289">
            <v>1.1000000000000001E-3</v>
          </cell>
          <cell r="P289">
            <v>1.1000000000000001</v>
          </cell>
          <cell r="Q289">
            <v>1.1000000000000001</v>
          </cell>
          <cell r="R289">
            <v>1000</v>
          </cell>
          <cell r="S289" t="str">
            <v>PCS</v>
          </cell>
          <cell r="T289">
            <v>42</v>
          </cell>
          <cell r="U289" t="str">
            <v>J3</v>
          </cell>
          <cell r="V289" t="str">
            <v>CNY</v>
          </cell>
          <cell r="W289">
            <v>10000</v>
          </cell>
          <cell r="X289">
            <v>10000</v>
          </cell>
        </row>
        <row r="290">
          <cell r="D290">
            <v>10100014263</v>
          </cell>
          <cell r="E290" t="str">
            <v>厚膜贴片电阻器</v>
          </cell>
          <cell r="F290">
            <v>10010302</v>
          </cell>
          <cell r="G290" t="str">
            <v>YAGEO\RES 390R F 1/16W 0402</v>
          </cell>
          <cell r="H290" t="str">
            <v>YAGEO(国巨)</v>
          </cell>
          <cell r="I290" t="str">
            <v>RC0402FR-07390RL</v>
          </cell>
          <cell r="J290">
            <v>100078</v>
          </cell>
          <cell r="K290" t="str">
            <v>深圳市超利维实业有限公司</v>
          </cell>
          <cell r="L290" t="str">
            <v>X</v>
          </cell>
          <cell r="M290" t="str">
            <v/>
          </cell>
          <cell r="N290">
            <v>1</v>
          </cell>
          <cell r="O290">
            <v>1.4E-3</v>
          </cell>
          <cell r="P290">
            <v>1.4</v>
          </cell>
          <cell r="Q290">
            <v>1.4</v>
          </cell>
          <cell r="R290">
            <v>1000</v>
          </cell>
          <cell r="S290" t="str">
            <v>PCS</v>
          </cell>
          <cell r="T290">
            <v>84</v>
          </cell>
          <cell r="U290" t="str">
            <v>J3</v>
          </cell>
          <cell r="V290" t="str">
            <v>CNY</v>
          </cell>
          <cell r="W290">
            <v>10000</v>
          </cell>
          <cell r="X290">
            <v>10000</v>
          </cell>
        </row>
        <row r="291">
          <cell r="D291">
            <v>10100014304</v>
          </cell>
          <cell r="E291" t="str">
            <v>厚膜贴片电阻器</v>
          </cell>
          <cell r="F291">
            <v>10010302</v>
          </cell>
          <cell r="G291" t="str">
            <v>WALS\RES 300K F 1/4W 1206</v>
          </cell>
          <cell r="H291" t="str">
            <v>WALS(华科)</v>
          </cell>
          <cell r="I291" t="str">
            <v>WR12X3003FTL</v>
          </cell>
          <cell r="J291">
            <v>100131</v>
          </cell>
          <cell r="K291" t="str">
            <v>东莞华科电子有限公司</v>
          </cell>
          <cell r="L291" t="str">
            <v>X</v>
          </cell>
          <cell r="M291" t="str">
            <v/>
          </cell>
          <cell r="N291">
            <v>1</v>
          </cell>
          <cell r="O291">
            <v>6.9499999999999996E-3</v>
          </cell>
          <cell r="P291">
            <v>6.95</v>
          </cell>
          <cell r="Q291">
            <v>6.95</v>
          </cell>
          <cell r="R291">
            <v>1000</v>
          </cell>
          <cell r="S291" t="str">
            <v>PCS</v>
          </cell>
          <cell r="T291">
            <v>70</v>
          </cell>
          <cell r="U291" t="str">
            <v>J3</v>
          </cell>
          <cell r="V291" t="str">
            <v>CNY</v>
          </cell>
          <cell r="W291">
            <v>5000</v>
          </cell>
          <cell r="X291">
            <v>5000</v>
          </cell>
        </row>
        <row r="292">
          <cell r="D292">
            <v>10100014735</v>
          </cell>
          <cell r="E292" t="str">
            <v>厚膜贴片电阻器</v>
          </cell>
          <cell r="F292">
            <v>10010302</v>
          </cell>
          <cell r="G292" t="str">
            <v>ROYA\RES 2K F 1/16W 0402</v>
          </cell>
          <cell r="H292" t="str">
            <v>ROYALOHM(厚声)</v>
          </cell>
          <cell r="I292" t="str">
            <v>0402WGF2001TCE</v>
          </cell>
          <cell r="J292">
            <v>100096</v>
          </cell>
          <cell r="K292" t="str">
            <v>厚声国际贸易（昆山）有限公司深圳分公司</v>
          </cell>
          <cell r="L292" t="str">
            <v>X</v>
          </cell>
          <cell r="M292" t="str">
            <v/>
          </cell>
          <cell r="N292">
            <v>1</v>
          </cell>
          <cell r="O292">
            <v>1.09E-3</v>
          </cell>
          <cell r="P292">
            <v>1.0900000000000001</v>
          </cell>
          <cell r="Q292">
            <v>1.0900000000000001</v>
          </cell>
          <cell r="R292">
            <v>1000</v>
          </cell>
          <cell r="S292" t="str">
            <v>PCS</v>
          </cell>
          <cell r="T292">
            <v>42</v>
          </cell>
          <cell r="U292" t="str">
            <v>J3</v>
          </cell>
          <cell r="V292" t="str">
            <v>CNY</v>
          </cell>
          <cell r="W292">
            <v>10000</v>
          </cell>
          <cell r="X292">
            <v>10000</v>
          </cell>
        </row>
        <row r="293">
          <cell r="D293">
            <v>10100015127</v>
          </cell>
          <cell r="E293" t="str">
            <v>厚膜贴片电阻器</v>
          </cell>
          <cell r="F293">
            <v>10010302</v>
          </cell>
          <cell r="G293" t="str">
            <v>ROYA\RES 100R F 1/4W 1206</v>
          </cell>
          <cell r="H293" t="str">
            <v>ROYALOHM(厚声)</v>
          </cell>
          <cell r="I293" t="str">
            <v>1206W4F1000T5E</v>
          </cell>
          <cell r="J293">
            <v>100096</v>
          </cell>
          <cell r="K293" t="str">
            <v>厚声国际贸易（昆山）有限公司深圳分公司</v>
          </cell>
          <cell r="L293" t="str">
            <v>X</v>
          </cell>
          <cell r="M293" t="str">
            <v/>
          </cell>
          <cell r="N293">
            <v>1</v>
          </cell>
          <cell r="O293">
            <v>6.7799999999999996E-3</v>
          </cell>
          <cell r="P293">
            <v>6.78</v>
          </cell>
          <cell r="Q293">
            <v>6.78</v>
          </cell>
          <cell r="R293">
            <v>1000</v>
          </cell>
          <cell r="S293" t="str">
            <v>PCS</v>
          </cell>
          <cell r="T293">
            <v>42</v>
          </cell>
          <cell r="U293" t="str">
            <v>J3</v>
          </cell>
          <cell r="V293" t="str">
            <v>CNY</v>
          </cell>
          <cell r="W293">
            <v>5000</v>
          </cell>
          <cell r="X293">
            <v>5000</v>
          </cell>
        </row>
        <row r="294">
          <cell r="D294">
            <v>10100015676</v>
          </cell>
          <cell r="E294" t="str">
            <v>厚膜贴片电阻器</v>
          </cell>
          <cell r="F294">
            <v>10010302</v>
          </cell>
          <cell r="G294" t="str">
            <v>ROYA\RES 5.6K F 1/16W 0402</v>
          </cell>
          <cell r="H294" t="str">
            <v>ROYALOHM(厚声)</v>
          </cell>
          <cell r="I294" t="str">
            <v>0402WGF5601TCE</v>
          </cell>
          <cell r="J294">
            <v>100096</v>
          </cell>
          <cell r="K294" t="str">
            <v>厚声国际贸易（昆山）有限公司深圳分公司</v>
          </cell>
          <cell r="L294" t="str">
            <v>X</v>
          </cell>
          <cell r="M294" t="str">
            <v/>
          </cell>
          <cell r="N294">
            <v>1</v>
          </cell>
          <cell r="O294">
            <v>1.09E-3</v>
          </cell>
          <cell r="P294">
            <v>1.0900000000000001</v>
          </cell>
          <cell r="Q294">
            <v>1.0900000000000001</v>
          </cell>
          <cell r="R294">
            <v>1000</v>
          </cell>
          <cell r="S294" t="str">
            <v>PCS</v>
          </cell>
          <cell r="T294">
            <v>42</v>
          </cell>
          <cell r="U294" t="str">
            <v>J3</v>
          </cell>
          <cell r="V294" t="str">
            <v>CNY</v>
          </cell>
          <cell r="W294">
            <v>10000</v>
          </cell>
          <cell r="X294">
            <v>10000</v>
          </cell>
        </row>
        <row r="295">
          <cell r="D295">
            <v>10100017076</v>
          </cell>
          <cell r="E295" t="str">
            <v>厚膜贴片电阻器</v>
          </cell>
          <cell r="F295">
            <v>10010302</v>
          </cell>
          <cell r="G295" t="str">
            <v>WALS\RES 75R F 1/4W 1206</v>
          </cell>
          <cell r="H295" t="str">
            <v>WALS(华科)</v>
          </cell>
          <cell r="I295" t="str">
            <v>WR12X75R0FTL</v>
          </cell>
          <cell r="J295">
            <v>100131</v>
          </cell>
          <cell r="K295" t="str">
            <v>东莞华科电子有限公司</v>
          </cell>
          <cell r="L295" t="str">
            <v>X</v>
          </cell>
          <cell r="M295" t="str">
            <v/>
          </cell>
          <cell r="N295">
            <v>1</v>
          </cell>
          <cell r="O295">
            <v>6.9499999999999996E-3</v>
          </cell>
          <cell r="P295">
            <v>6.95</v>
          </cell>
          <cell r="Q295">
            <v>6.95</v>
          </cell>
          <cell r="R295">
            <v>1000</v>
          </cell>
          <cell r="S295" t="str">
            <v>PCS</v>
          </cell>
          <cell r="T295">
            <v>70</v>
          </cell>
          <cell r="U295" t="str">
            <v>J3</v>
          </cell>
          <cell r="V295" t="str">
            <v>CNY</v>
          </cell>
          <cell r="W295">
            <v>5000</v>
          </cell>
          <cell r="X295">
            <v>5000</v>
          </cell>
        </row>
        <row r="296">
          <cell r="D296">
            <v>10100017206</v>
          </cell>
          <cell r="E296" t="str">
            <v>厚膜贴片电阻器</v>
          </cell>
          <cell r="F296">
            <v>10010302</v>
          </cell>
          <cell r="G296" t="str">
            <v>ROYA\RES 300K F 1/4W 1206</v>
          </cell>
          <cell r="H296" t="str">
            <v>ROYALOHM(厚声)</v>
          </cell>
          <cell r="I296" t="str">
            <v>1206W4F3003T5E</v>
          </cell>
          <cell r="J296">
            <v>100096</v>
          </cell>
          <cell r="K296" t="str">
            <v>厚声国际贸易（昆山）有限公司深圳分公司</v>
          </cell>
          <cell r="L296" t="str">
            <v>X</v>
          </cell>
          <cell r="M296" t="str">
            <v/>
          </cell>
          <cell r="N296">
            <v>1</v>
          </cell>
          <cell r="O296">
            <v>6.7799999999999996E-3</v>
          </cell>
          <cell r="P296">
            <v>6.78</v>
          </cell>
          <cell r="Q296">
            <v>6.78</v>
          </cell>
          <cell r="R296">
            <v>1000</v>
          </cell>
          <cell r="S296" t="str">
            <v>PCS</v>
          </cell>
          <cell r="T296">
            <v>42</v>
          </cell>
          <cell r="U296" t="str">
            <v>J3</v>
          </cell>
          <cell r="V296" t="str">
            <v>CNY</v>
          </cell>
          <cell r="W296">
            <v>5000</v>
          </cell>
          <cell r="X296">
            <v>5000</v>
          </cell>
        </row>
        <row r="297">
          <cell r="D297">
            <v>10100017335</v>
          </cell>
          <cell r="E297" t="str">
            <v>厚膜贴片电阻器</v>
          </cell>
          <cell r="F297">
            <v>10010302</v>
          </cell>
          <cell r="G297" t="str">
            <v>ROYA\RES 22K F 1/16W 0402</v>
          </cell>
          <cell r="H297" t="str">
            <v>ROYALOHM(厚声)</v>
          </cell>
          <cell r="I297" t="str">
            <v>0402WGF2202TCE</v>
          </cell>
          <cell r="J297">
            <v>100096</v>
          </cell>
          <cell r="K297" t="str">
            <v>厚声国际贸易（昆山）有限公司深圳分公司</v>
          </cell>
          <cell r="L297" t="str">
            <v>X</v>
          </cell>
          <cell r="M297" t="str">
            <v/>
          </cell>
          <cell r="N297">
            <v>1</v>
          </cell>
          <cell r="O297">
            <v>1.09E-3</v>
          </cell>
          <cell r="P297">
            <v>1.0900000000000001</v>
          </cell>
          <cell r="Q297">
            <v>1.0900000000000001</v>
          </cell>
          <cell r="R297">
            <v>1000</v>
          </cell>
          <cell r="S297" t="str">
            <v>PCS</v>
          </cell>
          <cell r="T297">
            <v>42</v>
          </cell>
          <cell r="U297" t="str">
            <v>J3</v>
          </cell>
          <cell r="V297" t="str">
            <v>CNY</v>
          </cell>
          <cell r="W297">
            <v>10000</v>
          </cell>
          <cell r="X297">
            <v>10000</v>
          </cell>
        </row>
        <row r="298">
          <cell r="D298">
            <v>10100017409</v>
          </cell>
          <cell r="E298" t="str">
            <v>厚膜贴片电阻器</v>
          </cell>
          <cell r="F298">
            <v>10010302</v>
          </cell>
          <cell r="G298" t="str">
            <v>HKR\RES 100R F 1/4W 1206</v>
          </cell>
          <cell r="H298" t="str">
            <v>HKR(香港电阻)</v>
          </cell>
          <cell r="I298" t="str">
            <v>RCT06100RFLF</v>
          </cell>
          <cell r="J298">
            <v>103166</v>
          </cell>
          <cell r="K298" t="str">
            <v>南充溢辉电子科技有限公司</v>
          </cell>
          <cell r="L298" t="str">
            <v>X</v>
          </cell>
          <cell r="M298" t="str">
            <v/>
          </cell>
          <cell r="N298">
            <v>1</v>
          </cell>
          <cell r="O298">
            <v>5.5999999999999999E-3</v>
          </cell>
          <cell r="P298">
            <v>5.6</v>
          </cell>
          <cell r="Q298">
            <v>5.6</v>
          </cell>
          <cell r="R298">
            <v>1000</v>
          </cell>
          <cell r="S298" t="str">
            <v>PCS</v>
          </cell>
          <cell r="T298">
            <v>35</v>
          </cell>
          <cell r="U298" t="str">
            <v>J3</v>
          </cell>
          <cell r="V298" t="str">
            <v>CNY</v>
          </cell>
          <cell r="W298">
            <v>5000</v>
          </cell>
          <cell r="X298">
            <v>5000</v>
          </cell>
        </row>
        <row r="299">
          <cell r="D299">
            <v>10100017511</v>
          </cell>
          <cell r="E299" t="str">
            <v>厚膜贴片电阻器</v>
          </cell>
          <cell r="F299">
            <v>10010302</v>
          </cell>
          <cell r="G299" t="str">
            <v>HKR\RES 300K F 1/4W 1206</v>
          </cell>
          <cell r="H299" t="str">
            <v>HKR(香港电阻)</v>
          </cell>
          <cell r="I299" t="str">
            <v>RCT06300KFLF</v>
          </cell>
          <cell r="J299">
            <v>103166</v>
          </cell>
          <cell r="K299" t="str">
            <v>南充溢辉电子科技有限公司</v>
          </cell>
          <cell r="L299" t="str">
            <v>X</v>
          </cell>
          <cell r="M299" t="str">
            <v/>
          </cell>
          <cell r="N299">
            <v>1</v>
          </cell>
          <cell r="O299">
            <v>5.5999999999999999E-3</v>
          </cell>
          <cell r="P299">
            <v>5.6</v>
          </cell>
          <cell r="Q299">
            <v>5.6</v>
          </cell>
          <cell r="R299">
            <v>1000</v>
          </cell>
          <cell r="S299" t="str">
            <v>PCS</v>
          </cell>
          <cell r="T299">
            <v>35</v>
          </cell>
          <cell r="U299" t="str">
            <v>J3</v>
          </cell>
          <cell r="V299" t="str">
            <v>CNY</v>
          </cell>
          <cell r="W299">
            <v>5000</v>
          </cell>
          <cell r="X299">
            <v>5000</v>
          </cell>
        </row>
        <row r="300">
          <cell r="D300">
            <v>10100017548</v>
          </cell>
          <cell r="E300" t="str">
            <v>厚膜贴片电阻器</v>
          </cell>
          <cell r="F300">
            <v>10010302</v>
          </cell>
          <cell r="G300" t="str">
            <v>HKR\RES 470R F 1/4W 1206</v>
          </cell>
          <cell r="H300" t="str">
            <v>HKR(香港电阻)</v>
          </cell>
          <cell r="I300" t="str">
            <v>RCT06470RFLF</v>
          </cell>
          <cell r="J300">
            <v>103166</v>
          </cell>
          <cell r="K300" t="str">
            <v>南充溢辉电子科技有限公司</v>
          </cell>
          <cell r="L300" t="str">
            <v>X</v>
          </cell>
          <cell r="M300" t="str">
            <v/>
          </cell>
          <cell r="N300">
            <v>1</v>
          </cell>
          <cell r="O300">
            <v>5.5999999999999999E-3</v>
          </cell>
          <cell r="P300">
            <v>5.6</v>
          </cell>
          <cell r="Q300">
            <v>5.6</v>
          </cell>
          <cell r="R300">
            <v>1000</v>
          </cell>
          <cell r="S300" t="str">
            <v>PCS</v>
          </cell>
          <cell r="T300">
            <v>35</v>
          </cell>
          <cell r="U300" t="str">
            <v>J3</v>
          </cell>
          <cell r="V300" t="str">
            <v>CNY</v>
          </cell>
          <cell r="W300">
            <v>5000</v>
          </cell>
          <cell r="X300">
            <v>5000</v>
          </cell>
        </row>
        <row r="301">
          <cell r="D301">
            <v>10100017551</v>
          </cell>
          <cell r="E301" t="str">
            <v>厚膜贴片电阻器</v>
          </cell>
          <cell r="F301">
            <v>10010302</v>
          </cell>
          <cell r="G301" t="str">
            <v>HKR\RES 47R F 1/4W 1206</v>
          </cell>
          <cell r="H301" t="str">
            <v>HKR(香港电阻)</v>
          </cell>
          <cell r="I301" t="str">
            <v>RCT0647RFLF</v>
          </cell>
          <cell r="J301">
            <v>103166</v>
          </cell>
          <cell r="K301" t="str">
            <v>南充溢辉电子科技有限公司</v>
          </cell>
          <cell r="L301" t="str">
            <v>X</v>
          </cell>
          <cell r="M301" t="str">
            <v/>
          </cell>
          <cell r="N301">
            <v>1</v>
          </cell>
          <cell r="O301">
            <v>5.5999999999999999E-3</v>
          </cell>
          <cell r="P301">
            <v>5.6</v>
          </cell>
          <cell r="Q301">
            <v>5.6</v>
          </cell>
          <cell r="R301">
            <v>1000</v>
          </cell>
          <cell r="S301" t="str">
            <v>PCS</v>
          </cell>
          <cell r="T301">
            <v>35</v>
          </cell>
          <cell r="U301" t="str">
            <v>J3</v>
          </cell>
          <cell r="V301" t="str">
            <v>CNY</v>
          </cell>
          <cell r="W301">
            <v>5000</v>
          </cell>
          <cell r="X301">
            <v>5000</v>
          </cell>
        </row>
        <row r="302">
          <cell r="D302">
            <v>10100017616</v>
          </cell>
          <cell r="E302" t="str">
            <v>厚膜贴片电阻器</v>
          </cell>
          <cell r="F302">
            <v>10010302</v>
          </cell>
          <cell r="G302" t="str">
            <v>HKR\RES 100R F 1/16W 0402</v>
          </cell>
          <cell r="H302" t="str">
            <v>HKR(香港电阻)</v>
          </cell>
          <cell r="I302" t="str">
            <v>RCT02100RFLF</v>
          </cell>
          <cell r="J302">
            <v>103166</v>
          </cell>
          <cell r="K302" t="str">
            <v>南充溢辉电子科技有限公司</v>
          </cell>
          <cell r="L302" t="str">
            <v>X</v>
          </cell>
          <cell r="M302" t="str">
            <v/>
          </cell>
          <cell r="N302">
            <v>1</v>
          </cell>
          <cell r="O302">
            <v>9.7999999999999997E-4</v>
          </cell>
          <cell r="P302">
            <v>0.98</v>
          </cell>
          <cell r="Q302">
            <v>0.98</v>
          </cell>
          <cell r="R302">
            <v>1000</v>
          </cell>
          <cell r="S302" t="str">
            <v>PCS</v>
          </cell>
          <cell r="T302">
            <v>35</v>
          </cell>
          <cell r="U302" t="str">
            <v>J3</v>
          </cell>
          <cell r="V302" t="str">
            <v>CNY</v>
          </cell>
          <cell r="W302">
            <v>10000</v>
          </cell>
          <cell r="X302">
            <v>10000</v>
          </cell>
        </row>
        <row r="303">
          <cell r="D303">
            <v>10100017618</v>
          </cell>
          <cell r="E303" t="str">
            <v>厚膜贴片电阻器</v>
          </cell>
          <cell r="F303">
            <v>10010302</v>
          </cell>
          <cell r="G303" t="str">
            <v>HKR\RES 10K F 1/16W 0402</v>
          </cell>
          <cell r="H303" t="str">
            <v>HKR(香港电阻)</v>
          </cell>
          <cell r="I303" t="str">
            <v>RCT0210KFLF</v>
          </cell>
          <cell r="J303">
            <v>103166</v>
          </cell>
          <cell r="K303" t="str">
            <v>南充溢辉电子科技有限公司</v>
          </cell>
          <cell r="L303" t="str">
            <v>X</v>
          </cell>
          <cell r="M303" t="str">
            <v/>
          </cell>
          <cell r="N303">
            <v>1</v>
          </cell>
          <cell r="O303">
            <v>9.7999999999999997E-4</v>
          </cell>
          <cell r="P303">
            <v>0.98</v>
          </cell>
          <cell r="Q303">
            <v>0.98</v>
          </cell>
          <cell r="R303">
            <v>1000</v>
          </cell>
          <cell r="S303" t="str">
            <v>PCS</v>
          </cell>
          <cell r="T303">
            <v>35</v>
          </cell>
          <cell r="U303" t="str">
            <v>J3</v>
          </cell>
          <cell r="V303" t="str">
            <v>CNY</v>
          </cell>
          <cell r="W303">
            <v>10000</v>
          </cell>
          <cell r="X303">
            <v>10000</v>
          </cell>
        </row>
        <row r="304">
          <cell r="D304">
            <v>10100017642</v>
          </cell>
          <cell r="E304" t="str">
            <v>厚膜贴片电阻器</v>
          </cell>
          <cell r="F304">
            <v>10010302</v>
          </cell>
          <cell r="G304" t="str">
            <v>HKR\RES 1K F 1/16W 0402</v>
          </cell>
          <cell r="H304" t="str">
            <v>HKR(香港电阻)</v>
          </cell>
          <cell r="I304" t="str">
            <v>RCT021KFLF</v>
          </cell>
          <cell r="J304">
            <v>103166</v>
          </cell>
          <cell r="K304" t="str">
            <v>南充溢辉电子科技有限公司</v>
          </cell>
          <cell r="L304" t="str">
            <v>X</v>
          </cell>
          <cell r="M304" t="str">
            <v/>
          </cell>
          <cell r="N304">
            <v>1</v>
          </cell>
          <cell r="O304">
            <v>9.7999999999999997E-4</v>
          </cell>
          <cell r="P304">
            <v>0.98</v>
          </cell>
          <cell r="Q304">
            <v>0.98</v>
          </cell>
          <cell r="R304">
            <v>1000</v>
          </cell>
          <cell r="S304" t="str">
            <v>PCS</v>
          </cell>
          <cell r="T304">
            <v>35</v>
          </cell>
          <cell r="U304" t="str">
            <v>J3</v>
          </cell>
          <cell r="V304" t="str">
            <v>CNY</v>
          </cell>
          <cell r="W304">
            <v>10000</v>
          </cell>
          <cell r="X304">
            <v>10000</v>
          </cell>
        </row>
        <row r="305">
          <cell r="D305">
            <v>10100017664</v>
          </cell>
          <cell r="E305" t="str">
            <v>厚膜贴片电阻器</v>
          </cell>
          <cell r="F305">
            <v>10010302</v>
          </cell>
          <cell r="G305" t="str">
            <v>HKR\RES 22K F 1/16W 0402</v>
          </cell>
          <cell r="H305" t="str">
            <v>HKR(香港电阻)</v>
          </cell>
          <cell r="I305" t="str">
            <v>RCT0222KFLF</v>
          </cell>
          <cell r="J305">
            <v>103166</v>
          </cell>
          <cell r="K305" t="str">
            <v>南充溢辉电子科技有限公司</v>
          </cell>
          <cell r="L305" t="str">
            <v>X</v>
          </cell>
          <cell r="M305" t="str">
            <v/>
          </cell>
          <cell r="N305">
            <v>1</v>
          </cell>
          <cell r="O305">
            <v>9.7999999999999997E-4</v>
          </cell>
          <cell r="P305">
            <v>0.98</v>
          </cell>
          <cell r="Q305">
            <v>0.98</v>
          </cell>
          <cell r="R305">
            <v>1000</v>
          </cell>
          <cell r="S305" t="str">
            <v>PCS</v>
          </cell>
          <cell r="T305">
            <v>35</v>
          </cell>
          <cell r="U305" t="str">
            <v>J3</v>
          </cell>
          <cell r="V305" t="str">
            <v>CNY</v>
          </cell>
          <cell r="W305">
            <v>10000</v>
          </cell>
          <cell r="X305">
            <v>10000</v>
          </cell>
        </row>
        <row r="306">
          <cell r="D306">
            <v>10100017679</v>
          </cell>
          <cell r="E306" t="str">
            <v>厚膜贴片电阻器</v>
          </cell>
          <cell r="F306">
            <v>10010302</v>
          </cell>
          <cell r="G306" t="str">
            <v>HKR\RES 2K F 1/16W 0402</v>
          </cell>
          <cell r="H306" t="str">
            <v>HKR(香港电阻)</v>
          </cell>
          <cell r="I306" t="str">
            <v>RCT022KFLF</v>
          </cell>
          <cell r="J306">
            <v>103166</v>
          </cell>
          <cell r="K306" t="str">
            <v>南充溢辉电子科技有限公司</v>
          </cell>
          <cell r="L306" t="str">
            <v>X</v>
          </cell>
          <cell r="M306" t="str">
            <v/>
          </cell>
          <cell r="N306">
            <v>1</v>
          </cell>
          <cell r="O306">
            <v>9.7999999999999997E-4</v>
          </cell>
          <cell r="P306">
            <v>0.98</v>
          </cell>
          <cell r="Q306">
            <v>0.98</v>
          </cell>
          <cell r="R306">
            <v>1000</v>
          </cell>
          <cell r="S306" t="str">
            <v>PCS</v>
          </cell>
          <cell r="T306">
            <v>35</v>
          </cell>
          <cell r="U306" t="str">
            <v>J3</v>
          </cell>
          <cell r="V306" t="str">
            <v>CNY</v>
          </cell>
          <cell r="W306">
            <v>10000</v>
          </cell>
          <cell r="X306">
            <v>10000</v>
          </cell>
        </row>
        <row r="307">
          <cell r="D307">
            <v>10100017738</v>
          </cell>
          <cell r="E307" t="str">
            <v>厚膜贴片电阻器</v>
          </cell>
          <cell r="F307">
            <v>10010302</v>
          </cell>
          <cell r="G307" t="str">
            <v>HKR\RES 5.1K F 1/16W 0402</v>
          </cell>
          <cell r="H307" t="str">
            <v>HKR(香港电阻)</v>
          </cell>
          <cell r="I307" t="str">
            <v>RCT025K1FLF</v>
          </cell>
          <cell r="J307">
            <v>103166</v>
          </cell>
          <cell r="K307" t="str">
            <v>南充溢辉电子科技有限公司</v>
          </cell>
          <cell r="L307" t="str">
            <v>X</v>
          </cell>
          <cell r="M307" t="str">
            <v/>
          </cell>
          <cell r="N307">
            <v>1</v>
          </cell>
          <cell r="O307">
            <v>9.7999999999999997E-4</v>
          </cell>
          <cell r="P307">
            <v>0.98</v>
          </cell>
          <cell r="Q307">
            <v>0.98</v>
          </cell>
          <cell r="R307">
            <v>1000</v>
          </cell>
          <cell r="S307" t="str">
            <v>PCS</v>
          </cell>
          <cell r="T307">
            <v>35</v>
          </cell>
          <cell r="U307" t="str">
            <v>J3</v>
          </cell>
          <cell r="V307" t="str">
            <v>CNY</v>
          </cell>
          <cell r="W307">
            <v>10000</v>
          </cell>
          <cell r="X307">
            <v>10000</v>
          </cell>
        </row>
        <row r="308">
          <cell r="D308">
            <v>10100017741</v>
          </cell>
          <cell r="E308" t="str">
            <v>厚膜贴片电阻器</v>
          </cell>
          <cell r="F308">
            <v>10010302</v>
          </cell>
          <cell r="G308" t="str">
            <v>HKR\RES 5.6K F 1/16W 0402</v>
          </cell>
          <cell r="H308" t="str">
            <v>HKR(香港电阻)</v>
          </cell>
          <cell r="I308" t="str">
            <v>RCT025K6FLF</v>
          </cell>
          <cell r="J308">
            <v>103166</v>
          </cell>
          <cell r="K308" t="str">
            <v>南充溢辉电子科技有限公司</v>
          </cell>
          <cell r="L308" t="str">
            <v>X</v>
          </cell>
          <cell r="M308" t="str">
            <v/>
          </cell>
          <cell r="N308">
            <v>1</v>
          </cell>
          <cell r="O308">
            <v>9.7999999999999997E-4</v>
          </cell>
          <cell r="P308">
            <v>0.98</v>
          </cell>
          <cell r="Q308">
            <v>0.98</v>
          </cell>
          <cell r="R308">
            <v>1000</v>
          </cell>
          <cell r="S308" t="str">
            <v>PCS</v>
          </cell>
          <cell r="T308">
            <v>35</v>
          </cell>
          <cell r="U308" t="str">
            <v>J3</v>
          </cell>
          <cell r="V308" t="str">
            <v>CNY</v>
          </cell>
          <cell r="W308">
            <v>10000</v>
          </cell>
          <cell r="X308">
            <v>10000</v>
          </cell>
        </row>
        <row r="309">
          <cell r="D309">
            <v>10100017764</v>
          </cell>
          <cell r="E309" t="str">
            <v>厚膜贴片电阻器</v>
          </cell>
          <cell r="F309">
            <v>10010302</v>
          </cell>
          <cell r="G309" t="str">
            <v>HKR\RES 9.1K F 1/16W 0402</v>
          </cell>
          <cell r="H309" t="str">
            <v>HKR(香港电阻)</v>
          </cell>
          <cell r="I309" t="str">
            <v>RCT029K1FLF</v>
          </cell>
          <cell r="J309">
            <v>103166</v>
          </cell>
          <cell r="K309" t="str">
            <v>南充溢辉电子科技有限公司</v>
          </cell>
          <cell r="L309" t="str">
            <v>X</v>
          </cell>
          <cell r="M309" t="str">
            <v/>
          </cell>
          <cell r="N309">
            <v>1</v>
          </cell>
          <cell r="O309">
            <v>9.7999999999999997E-4</v>
          </cell>
          <cell r="P309">
            <v>0.98</v>
          </cell>
          <cell r="Q309">
            <v>0.98</v>
          </cell>
          <cell r="R309">
            <v>1000</v>
          </cell>
          <cell r="S309" t="str">
            <v>PCS</v>
          </cell>
          <cell r="T309">
            <v>35</v>
          </cell>
          <cell r="U309" t="str">
            <v>J3</v>
          </cell>
          <cell r="V309" t="str">
            <v>CNY</v>
          </cell>
          <cell r="W309">
            <v>10000</v>
          </cell>
          <cell r="X309">
            <v>10000</v>
          </cell>
        </row>
        <row r="310">
          <cell r="D310">
            <v>10100017881</v>
          </cell>
          <cell r="E310" t="str">
            <v>厚膜贴片电阻器</v>
          </cell>
          <cell r="F310">
            <v>10010302</v>
          </cell>
          <cell r="G310" t="str">
            <v>HKR\RES 2.2K F 1/10W 0603</v>
          </cell>
          <cell r="H310" t="str">
            <v>HKR(香港电阻)</v>
          </cell>
          <cell r="I310" t="str">
            <v>RCT032K2FLF</v>
          </cell>
          <cell r="J310">
            <v>103166</v>
          </cell>
          <cell r="K310" t="str">
            <v>南充溢辉电子科技有限公司</v>
          </cell>
          <cell r="L310" t="str">
            <v>X</v>
          </cell>
          <cell r="M310" t="str">
            <v/>
          </cell>
          <cell r="N310">
            <v>1</v>
          </cell>
          <cell r="O310">
            <v>1.8500000000000001E-3</v>
          </cell>
          <cell r="P310">
            <v>1.85</v>
          </cell>
          <cell r="Q310">
            <v>1.85</v>
          </cell>
          <cell r="R310">
            <v>1000</v>
          </cell>
          <cell r="S310" t="str">
            <v>PCS</v>
          </cell>
          <cell r="T310">
            <v>35</v>
          </cell>
          <cell r="U310" t="str">
            <v>J3</v>
          </cell>
          <cell r="V310" t="str">
            <v>CNY</v>
          </cell>
          <cell r="W310">
            <v>5000</v>
          </cell>
          <cell r="X310">
            <v>5000</v>
          </cell>
        </row>
        <row r="311">
          <cell r="D311">
            <v>10100017970</v>
          </cell>
          <cell r="E311" t="str">
            <v>厚膜贴片电阻器</v>
          </cell>
          <cell r="F311">
            <v>10010302</v>
          </cell>
          <cell r="G311" t="str">
            <v>HKR\RES 4.7K F 1/10W 0603</v>
          </cell>
          <cell r="H311" t="str">
            <v>HKR(香港电阻)</v>
          </cell>
          <cell r="I311" t="str">
            <v>RCT034K7FLF</v>
          </cell>
          <cell r="J311">
            <v>103166</v>
          </cell>
          <cell r="K311" t="str">
            <v>南充溢辉电子科技有限公司</v>
          </cell>
          <cell r="L311" t="str">
            <v>X</v>
          </cell>
          <cell r="M311" t="str">
            <v/>
          </cell>
          <cell r="N311">
            <v>1</v>
          </cell>
          <cell r="O311">
            <v>1.8500000000000001E-3</v>
          </cell>
          <cell r="P311">
            <v>1.85</v>
          </cell>
          <cell r="Q311">
            <v>1.85</v>
          </cell>
          <cell r="R311">
            <v>1000</v>
          </cell>
          <cell r="S311" t="str">
            <v>PCS</v>
          </cell>
          <cell r="T311">
            <v>35</v>
          </cell>
          <cell r="U311" t="str">
            <v>J3</v>
          </cell>
          <cell r="V311" t="str">
            <v>CNY</v>
          </cell>
          <cell r="W311">
            <v>5000</v>
          </cell>
          <cell r="X311">
            <v>5000</v>
          </cell>
        </row>
        <row r="312">
          <cell r="D312">
            <v>10100018011</v>
          </cell>
          <cell r="E312" t="str">
            <v>厚膜贴片电阻器</v>
          </cell>
          <cell r="F312">
            <v>10010302</v>
          </cell>
          <cell r="G312" t="str">
            <v>HKR\RES 68K F 1/10W 0603</v>
          </cell>
          <cell r="H312" t="str">
            <v>HKR(香港电阻)</v>
          </cell>
          <cell r="I312" t="str">
            <v>RCT0368KFLF</v>
          </cell>
          <cell r="J312">
            <v>103166</v>
          </cell>
          <cell r="K312" t="str">
            <v>南充溢辉电子科技有限公司</v>
          </cell>
          <cell r="L312" t="str">
            <v>X</v>
          </cell>
          <cell r="M312" t="str">
            <v/>
          </cell>
          <cell r="N312">
            <v>1</v>
          </cell>
          <cell r="O312">
            <v>1.8500000000000001E-3</v>
          </cell>
          <cell r="P312">
            <v>1.85</v>
          </cell>
          <cell r="Q312">
            <v>1.85</v>
          </cell>
          <cell r="R312">
            <v>1000</v>
          </cell>
          <cell r="S312" t="str">
            <v>PCS</v>
          </cell>
          <cell r="T312">
            <v>35</v>
          </cell>
          <cell r="U312" t="str">
            <v>J3</v>
          </cell>
          <cell r="V312" t="str">
            <v>CNY</v>
          </cell>
          <cell r="W312">
            <v>5000</v>
          </cell>
          <cell r="X312">
            <v>5000</v>
          </cell>
        </row>
        <row r="313">
          <cell r="D313">
            <v>10100018109</v>
          </cell>
          <cell r="E313" t="str">
            <v>厚膜贴片电阻器</v>
          </cell>
          <cell r="F313">
            <v>10010302</v>
          </cell>
          <cell r="G313" t="str">
            <v>HKR\RES 1K F 1/8W 0805</v>
          </cell>
          <cell r="H313" t="str">
            <v>HKR(香港电阻)</v>
          </cell>
          <cell r="I313" t="str">
            <v>RCT051KFLF</v>
          </cell>
          <cell r="J313">
            <v>103166</v>
          </cell>
          <cell r="K313" t="str">
            <v>南充溢辉电子科技有限公司</v>
          </cell>
          <cell r="L313" t="str">
            <v>X</v>
          </cell>
          <cell r="M313" t="str">
            <v/>
          </cell>
          <cell r="N313">
            <v>1</v>
          </cell>
          <cell r="O313">
            <v>3.3500000000000001E-3</v>
          </cell>
          <cell r="P313">
            <v>3.35</v>
          </cell>
          <cell r="Q313">
            <v>3.35</v>
          </cell>
          <cell r="R313">
            <v>1000</v>
          </cell>
          <cell r="S313" t="str">
            <v>PCS</v>
          </cell>
          <cell r="T313">
            <v>35</v>
          </cell>
          <cell r="U313" t="str">
            <v>J3</v>
          </cell>
          <cell r="V313" t="str">
            <v>CNY</v>
          </cell>
          <cell r="W313">
            <v>5000</v>
          </cell>
          <cell r="X313">
            <v>5000</v>
          </cell>
        </row>
        <row r="314">
          <cell r="D314">
            <v>10100018253</v>
          </cell>
          <cell r="E314" t="str">
            <v>厚膜贴片电阻器</v>
          </cell>
          <cell r="F314">
            <v>10010302</v>
          </cell>
          <cell r="G314" t="str">
            <v>HKR\RES 5.1K F 1/8W 0805</v>
          </cell>
          <cell r="H314" t="str">
            <v>HKR(香港电阻)</v>
          </cell>
          <cell r="I314" t="str">
            <v>RCT055K1FLF</v>
          </cell>
          <cell r="J314">
            <v>103166</v>
          </cell>
          <cell r="K314" t="str">
            <v>南充溢辉电子科技有限公司</v>
          </cell>
          <cell r="L314" t="str">
            <v>X</v>
          </cell>
          <cell r="M314" t="str">
            <v/>
          </cell>
          <cell r="N314">
            <v>1</v>
          </cell>
          <cell r="O314">
            <v>3.3500000000000001E-3</v>
          </cell>
          <cell r="P314">
            <v>3.35</v>
          </cell>
          <cell r="Q314">
            <v>3.35</v>
          </cell>
          <cell r="R314">
            <v>1000</v>
          </cell>
          <cell r="S314" t="str">
            <v>PCS</v>
          </cell>
          <cell r="T314">
            <v>35</v>
          </cell>
          <cell r="U314" t="str">
            <v>J3</v>
          </cell>
          <cell r="V314" t="str">
            <v>CNY</v>
          </cell>
          <cell r="W314">
            <v>5000</v>
          </cell>
          <cell r="X314">
            <v>5000</v>
          </cell>
        </row>
        <row r="315">
          <cell r="D315">
            <v>10100018399</v>
          </cell>
          <cell r="E315" t="str">
            <v>厚膜贴片电阻器</v>
          </cell>
          <cell r="F315">
            <v>10010302</v>
          </cell>
          <cell r="G315" t="str">
            <v>HKR\RES 390R F 1/16W 0402</v>
          </cell>
          <cell r="H315" t="str">
            <v>HKR(香港电阻)</v>
          </cell>
          <cell r="I315" t="str">
            <v>RCT02390RFLF</v>
          </cell>
          <cell r="J315">
            <v>103166</v>
          </cell>
          <cell r="K315" t="str">
            <v>南充溢辉电子科技有限公司</v>
          </cell>
          <cell r="L315" t="str">
            <v>X</v>
          </cell>
          <cell r="M315" t="str">
            <v/>
          </cell>
          <cell r="N315">
            <v>1</v>
          </cell>
          <cell r="O315">
            <v>9.7999999999999997E-4</v>
          </cell>
          <cell r="P315">
            <v>0.98</v>
          </cell>
          <cell r="Q315">
            <v>0.98</v>
          </cell>
          <cell r="R315">
            <v>1000</v>
          </cell>
          <cell r="S315" t="str">
            <v>PCS</v>
          </cell>
          <cell r="T315">
            <v>35</v>
          </cell>
          <cell r="U315" t="str">
            <v>J3</v>
          </cell>
          <cell r="V315" t="str">
            <v>CNY</v>
          </cell>
          <cell r="W315">
            <v>10000</v>
          </cell>
          <cell r="X315">
            <v>10000</v>
          </cell>
        </row>
        <row r="316">
          <cell r="D316">
            <v>10100019075</v>
          </cell>
          <cell r="E316" t="str">
            <v>厚膜贴片电阻器</v>
          </cell>
          <cell r="F316">
            <v>10010302</v>
          </cell>
          <cell r="G316" t="str">
            <v>ROYA\RES 390R F 1/16W 0402</v>
          </cell>
          <cell r="H316" t="str">
            <v>ROYALOHM(厚声)</v>
          </cell>
          <cell r="I316" t="str">
            <v>0402WGF3900TCE</v>
          </cell>
          <cell r="J316">
            <v>100096</v>
          </cell>
          <cell r="K316" t="str">
            <v>厚声国际贸易（昆山）有限公司深圳分公司</v>
          </cell>
          <cell r="L316" t="str">
            <v>X</v>
          </cell>
          <cell r="M316" t="str">
            <v/>
          </cell>
          <cell r="N316">
            <v>1</v>
          </cell>
          <cell r="O316">
            <v>1.09E-3</v>
          </cell>
          <cell r="P316">
            <v>1.0900000000000001</v>
          </cell>
          <cell r="Q316">
            <v>1.0900000000000001</v>
          </cell>
          <cell r="R316">
            <v>1000</v>
          </cell>
          <cell r="S316" t="str">
            <v>PCS</v>
          </cell>
          <cell r="T316">
            <v>42</v>
          </cell>
          <cell r="U316" t="str">
            <v>J3</v>
          </cell>
          <cell r="V316" t="str">
            <v>CNY</v>
          </cell>
          <cell r="W316">
            <v>10000</v>
          </cell>
          <cell r="X316">
            <v>10000</v>
          </cell>
        </row>
        <row r="317">
          <cell r="D317">
            <v>10100019134</v>
          </cell>
          <cell r="E317" t="str">
            <v>厚膜贴片电阻器</v>
          </cell>
          <cell r="F317">
            <v>10010302</v>
          </cell>
          <cell r="G317" t="str">
            <v>HKR\RES 11K F 1/16W 0402</v>
          </cell>
          <cell r="H317" t="str">
            <v>HKR(香港电阻)</v>
          </cell>
          <cell r="I317" t="str">
            <v>RCT0211KFLF</v>
          </cell>
          <cell r="J317">
            <v>103166</v>
          </cell>
          <cell r="K317" t="str">
            <v>南充溢辉电子科技有限公司</v>
          </cell>
          <cell r="L317" t="str">
            <v>X</v>
          </cell>
          <cell r="M317" t="str">
            <v/>
          </cell>
          <cell r="N317">
            <v>1</v>
          </cell>
          <cell r="O317">
            <v>9.7999999999999997E-4</v>
          </cell>
          <cell r="P317">
            <v>0.98</v>
          </cell>
          <cell r="Q317">
            <v>0.98</v>
          </cell>
          <cell r="R317">
            <v>1000</v>
          </cell>
          <cell r="S317" t="str">
            <v>PCS</v>
          </cell>
          <cell r="T317">
            <v>35</v>
          </cell>
          <cell r="U317" t="str">
            <v>J3</v>
          </cell>
          <cell r="V317" t="str">
            <v>CNY</v>
          </cell>
          <cell r="W317">
            <v>10000</v>
          </cell>
          <cell r="X317">
            <v>10000</v>
          </cell>
        </row>
        <row r="318">
          <cell r="D318">
            <v>10100022516</v>
          </cell>
          <cell r="E318" t="str">
            <v>厚膜贴片电阻器</v>
          </cell>
          <cell r="F318">
            <v>10010302</v>
          </cell>
          <cell r="G318" t="str">
            <v>ROYA\RES 11K F 1/16W 0402</v>
          </cell>
          <cell r="H318" t="str">
            <v>ROYALOHM(厚声)</v>
          </cell>
          <cell r="I318" t="str">
            <v>0402WGF1102TCE</v>
          </cell>
          <cell r="J318">
            <v>100096</v>
          </cell>
          <cell r="K318" t="str">
            <v>厚声国际贸易（昆山）有限公司深圳分公司</v>
          </cell>
          <cell r="L318" t="str">
            <v>X</v>
          </cell>
          <cell r="M318" t="str">
            <v/>
          </cell>
          <cell r="N318">
            <v>1</v>
          </cell>
          <cell r="O318">
            <v>1.09E-3</v>
          </cell>
          <cell r="P318">
            <v>1.0900000000000001</v>
          </cell>
          <cell r="Q318">
            <v>1.0900000000000001</v>
          </cell>
          <cell r="R318">
            <v>1000</v>
          </cell>
          <cell r="S318" t="str">
            <v>PCS</v>
          </cell>
          <cell r="T318">
            <v>42</v>
          </cell>
          <cell r="U318" t="str">
            <v>J3</v>
          </cell>
          <cell r="V318" t="str">
            <v>CNY</v>
          </cell>
          <cell r="W318">
            <v>10000</v>
          </cell>
          <cell r="X318">
            <v>10000</v>
          </cell>
        </row>
        <row r="319">
          <cell r="D319">
            <v>10100022846</v>
          </cell>
          <cell r="E319" t="str">
            <v>厚膜贴片电阻器</v>
          </cell>
          <cell r="F319">
            <v>10010302</v>
          </cell>
          <cell r="G319" t="str">
            <v>YAGEO\RES 6.2K F 1/16W 0402</v>
          </cell>
          <cell r="H319" t="str">
            <v>YAGEO(国巨)</v>
          </cell>
          <cell r="I319" t="str">
            <v>RC0402FR-076K2L</v>
          </cell>
          <cell r="J319">
            <v>100078</v>
          </cell>
          <cell r="K319" t="str">
            <v>深圳市超利维实业有限公司</v>
          </cell>
          <cell r="L319" t="str">
            <v>X</v>
          </cell>
          <cell r="M319" t="str">
            <v/>
          </cell>
          <cell r="N319">
            <v>1</v>
          </cell>
          <cell r="O319">
            <v>1.4E-3</v>
          </cell>
          <cell r="P319">
            <v>1.4</v>
          </cell>
          <cell r="Q319">
            <v>1.4</v>
          </cell>
          <cell r="R319">
            <v>1000</v>
          </cell>
          <cell r="S319" t="str">
            <v>PCS</v>
          </cell>
          <cell r="T319">
            <v>84</v>
          </cell>
          <cell r="U319" t="str">
            <v>J3</v>
          </cell>
          <cell r="V319" t="str">
            <v>CNY</v>
          </cell>
          <cell r="W319">
            <v>10000</v>
          </cell>
          <cell r="X319">
            <v>10000</v>
          </cell>
        </row>
        <row r="320">
          <cell r="D320">
            <v>10100022852</v>
          </cell>
          <cell r="E320" t="str">
            <v>厚膜贴片电阻器</v>
          </cell>
          <cell r="F320">
            <v>10010302</v>
          </cell>
          <cell r="G320" t="str">
            <v>WALS\RES 6.2K F 1/16W 0402</v>
          </cell>
          <cell r="H320" t="str">
            <v>WALS(华科)</v>
          </cell>
          <cell r="I320" t="str">
            <v>WR04X6201FTL</v>
          </cell>
          <cell r="J320">
            <v>100131</v>
          </cell>
          <cell r="K320" t="str">
            <v>东莞华科电子有限公司</v>
          </cell>
          <cell r="L320" t="str">
            <v>X</v>
          </cell>
          <cell r="M320" t="str">
            <v/>
          </cell>
          <cell r="N320">
            <v>1</v>
          </cell>
          <cell r="O320">
            <v>1.17E-3</v>
          </cell>
          <cell r="P320">
            <v>1.17</v>
          </cell>
          <cell r="Q320">
            <v>1.17</v>
          </cell>
          <cell r="R320">
            <v>1000</v>
          </cell>
          <cell r="S320" t="str">
            <v>PCS</v>
          </cell>
          <cell r="T320">
            <v>56</v>
          </cell>
          <cell r="U320" t="str">
            <v>J3</v>
          </cell>
          <cell r="V320" t="str">
            <v>CNY</v>
          </cell>
          <cell r="W320">
            <v>10000</v>
          </cell>
          <cell r="X320">
            <v>10000</v>
          </cell>
        </row>
        <row r="321">
          <cell r="D321">
            <v>10100022856</v>
          </cell>
          <cell r="E321" t="str">
            <v>厚膜贴片电阻器</v>
          </cell>
          <cell r="F321">
            <v>10010302</v>
          </cell>
          <cell r="G321" t="str">
            <v>ROYA\RES 6.2K F 1/16W 0402</v>
          </cell>
          <cell r="H321" t="str">
            <v>ROYALOHM(厚声)</v>
          </cell>
          <cell r="I321" t="str">
            <v>0402WGF6201TCE</v>
          </cell>
          <cell r="J321">
            <v>100096</v>
          </cell>
          <cell r="K321" t="str">
            <v>厚声国际贸易（昆山）有限公司深圳分公司</v>
          </cell>
          <cell r="L321" t="str">
            <v>X</v>
          </cell>
          <cell r="M321" t="str">
            <v/>
          </cell>
          <cell r="N321">
            <v>1</v>
          </cell>
          <cell r="O321">
            <v>1.09E-3</v>
          </cell>
          <cell r="P321">
            <v>1.0900000000000001</v>
          </cell>
          <cell r="Q321">
            <v>1.0900000000000001</v>
          </cell>
          <cell r="R321">
            <v>1000</v>
          </cell>
          <cell r="S321" t="str">
            <v>PCS</v>
          </cell>
          <cell r="T321">
            <v>42</v>
          </cell>
          <cell r="U321" t="str">
            <v>J3</v>
          </cell>
          <cell r="V321" t="str">
            <v>CNY</v>
          </cell>
          <cell r="W321">
            <v>10000</v>
          </cell>
          <cell r="X321">
            <v>10000</v>
          </cell>
        </row>
        <row r="322">
          <cell r="D322">
            <v>10100022860</v>
          </cell>
          <cell r="E322" t="str">
            <v>厚膜贴片电阻器</v>
          </cell>
          <cell r="F322">
            <v>10010302</v>
          </cell>
          <cell r="G322" t="str">
            <v>FH\RES 6.2K F 1/16W 0402</v>
          </cell>
          <cell r="H322" t="str">
            <v>FH(风华)</v>
          </cell>
          <cell r="I322" t="str">
            <v>RC-02K6201FT</v>
          </cell>
          <cell r="J322">
            <v>100654</v>
          </cell>
          <cell r="K322" t="str">
            <v>广东风华高新科技股份有限公司</v>
          </cell>
          <cell r="L322" t="str">
            <v>X</v>
          </cell>
          <cell r="M322" t="str">
            <v/>
          </cell>
          <cell r="N322">
            <v>1</v>
          </cell>
          <cell r="O322">
            <v>1.1000000000000001E-3</v>
          </cell>
          <cell r="P322">
            <v>1.1000000000000001</v>
          </cell>
          <cell r="Q322">
            <v>1.1000000000000001</v>
          </cell>
          <cell r="R322">
            <v>1000</v>
          </cell>
          <cell r="S322" t="str">
            <v>PCS</v>
          </cell>
          <cell r="T322">
            <v>42</v>
          </cell>
          <cell r="U322" t="str">
            <v>J3</v>
          </cell>
          <cell r="V322" t="str">
            <v>CNY</v>
          </cell>
          <cell r="W322">
            <v>10000</v>
          </cell>
          <cell r="X322">
            <v>10000</v>
          </cell>
        </row>
        <row r="323">
          <cell r="D323">
            <v>10100023928</v>
          </cell>
          <cell r="E323" t="str">
            <v>厚膜贴片电阻器</v>
          </cell>
          <cell r="F323">
            <v>10010302</v>
          </cell>
          <cell r="G323" t="str">
            <v>ROYA\RES 75R F 1/4W 1206</v>
          </cell>
          <cell r="H323" t="str">
            <v>ROYALOHM(厚声)</v>
          </cell>
          <cell r="I323" t="str">
            <v>1206W4F750JT5E</v>
          </cell>
          <cell r="J323">
            <v>100096</v>
          </cell>
          <cell r="K323" t="str">
            <v>厚声国际贸易（昆山）有限公司深圳分公司</v>
          </cell>
          <cell r="L323" t="str">
            <v>X</v>
          </cell>
          <cell r="M323" t="str">
            <v/>
          </cell>
          <cell r="N323">
            <v>1</v>
          </cell>
          <cell r="O323">
            <v>6.7799999999999996E-3</v>
          </cell>
          <cell r="P323">
            <v>6.78</v>
          </cell>
          <cell r="Q323">
            <v>6.78</v>
          </cell>
          <cell r="R323">
            <v>1000</v>
          </cell>
          <cell r="S323" t="str">
            <v>PCS</v>
          </cell>
          <cell r="T323">
            <v>42</v>
          </cell>
          <cell r="U323" t="str">
            <v>J3</v>
          </cell>
          <cell r="V323" t="str">
            <v>CNY</v>
          </cell>
          <cell r="W323">
            <v>5000</v>
          </cell>
          <cell r="X323">
            <v>5000</v>
          </cell>
        </row>
        <row r="324">
          <cell r="D324">
            <v>10100023933</v>
          </cell>
          <cell r="E324" t="str">
            <v>厚膜贴片电阻器</v>
          </cell>
          <cell r="F324">
            <v>10010302</v>
          </cell>
          <cell r="G324" t="str">
            <v>FH\RES 75R F 1/4W 1206</v>
          </cell>
          <cell r="H324" t="str">
            <v>FH(风华)</v>
          </cell>
          <cell r="I324" t="str">
            <v>RS-06K75R0FT</v>
          </cell>
          <cell r="J324">
            <v>100654</v>
          </cell>
          <cell r="K324" t="str">
            <v>广东风华高新科技股份有限公司</v>
          </cell>
          <cell r="L324" t="str">
            <v>X</v>
          </cell>
          <cell r="M324" t="str">
            <v/>
          </cell>
          <cell r="N324">
            <v>1</v>
          </cell>
          <cell r="O324">
            <v>6.3699999999999998E-3</v>
          </cell>
          <cell r="P324">
            <v>6.37</v>
          </cell>
          <cell r="Q324">
            <v>6.37</v>
          </cell>
          <cell r="R324">
            <v>1000</v>
          </cell>
          <cell r="S324" t="str">
            <v>PCS</v>
          </cell>
          <cell r="T324">
            <v>56</v>
          </cell>
          <cell r="U324" t="str">
            <v>J3</v>
          </cell>
          <cell r="V324" t="str">
            <v>CNY</v>
          </cell>
          <cell r="W324">
            <v>5000</v>
          </cell>
          <cell r="X324">
            <v>5000</v>
          </cell>
        </row>
        <row r="325">
          <cell r="D325">
            <v>10100023938</v>
          </cell>
          <cell r="E325" t="str">
            <v>厚膜贴片电阻器</v>
          </cell>
          <cell r="F325">
            <v>10010302</v>
          </cell>
          <cell r="G325" t="str">
            <v>YAGEO\RES 75R F 1/4W 1206</v>
          </cell>
          <cell r="H325" t="str">
            <v>YAGEO(国巨)</v>
          </cell>
          <cell r="I325" t="str">
            <v>RC1206FR-0775RL</v>
          </cell>
          <cell r="J325">
            <v>100078</v>
          </cell>
          <cell r="K325" t="str">
            <v>深圳市超利维实业有限公司</v>
          </cell>
          <cell r="L325" t="str">
            <v>X</v>
          </cell>
          <cell r="M325" t="str">
            <v/>
          </cell>
          <cell r="N325">
            <v>1</v>
          </cell>
          <cell r="O325">
            <v>8.0000000000000002E-3</v>
          </cell>
          <cell r="P325">
            <v>8</v>
          </cell>
          <cell r="Q325">
            <v>8</v>
          </cell>
          <cell r="R325">
            <v>1000</v>
          </cell>
          <cell r="S325" t="str">
            <v>PCS</v>
          </cell>
          <cell r="T325">
            <v>84</v>
          </cell>
          <cell r="U325" t="str">
            <v>J3</v>
          </cell>
          <cell r="V325" t="str">
            <v>CNY</v>
          </cell>
          <cell r="W325">
            <v>5000</v>
          </cell>
          <cell r="X325">
            <v>5000</v>
          </cell>
        </row>
        <row r="326">
          <cell r="D326">
            <v>10100024044</v>
          </cell>
          <cell r="E326" t="str">
            <v>厚膜贴片电阻器</v>
          </cell>
          <cell r="F326">
            <v>10010302</v>
          </cell>
          <cell r="G326" t="str">
            <v>HKR\RES 75R F 1/4W 1206</v>
          </cell>
          <cell r="H326" t="str">
            <v>HKR(香港电阻)</v>
          </cell>
          <cell r="I326" t="str">
            <v>RCT0675RFLF</v>
          </cell>
          <cell r="J326">
            <v>103166</v>
          </cell>
          <cell r="K326" t="str">
            <v>南充溢辉电子科技有限公司</v>
          </cell>
          <cell r="L326" t="str">
            <v>X</v>
          </cell>
          <cell r="M326" t="str">
            <v/>
          </cell>
          <cell r="N326">
            <v>1</v>
          </cell>
          <cell r="O326">
            <v>5.5999999999999999E-3</v>
          </cell>
          <cell r="P326">
            <v>5.6</v>
          </cell>
          <cell r="Q326">
            <v>5.6</v>
          </cell>
          <cell r="R326">
            <v>1000</v>
          </cell>
          <cell r="S326" t="str">
            <v>PCS</v>
          </cell>
          <cell r="T326">
            <v>35</v>
          </cell>
          <cell r="U326" t="str">
            <v>J3</v>
          </cell>
          <cell r="V326" t="str">
            <v>CNY</v>
          </cell>
          <cell r="W326">
            <v>5000</v>
          </cell>
          <cell r="X326">
            <v>5000</v>
          </cell>
        </row>
        <row r="327">
          <cell r="D327">
            <v>10100024100</v>
          </cell>
          <cell r="E327" t="str">
            <v>厚膜贴片电阻器</v>
          </cell>
          <cell r="F327">
            <v>10010302</v>
          </cell>
          <cell r="G327" t="str">
            <v>FH\RES 0R R&lt;10mR 1/10W 0603 1A</v>
          </cell>
          <cell r="H327" t="str">
            <v>FH(风华)</v>
          </cell>
          <cell r="I327" t="str">
            <v>RS-03000FT</v>
          </cell>
          <cell r="J327">
            <v>100654</v>
          </cell>
          <cell r="K327" t="str">
            <v>广东风华高新科技股份有限公司</v>
          </cell>
          <cell r="L327" t="str">
            <v>X</v>
          </cell>
          <cell r="M327" t="str">
            <v/>
          </cell>
          <cell r="N327">
            <v>1</v>
          </cell>
          <cell r="O327">
            <v>2.0799999999999998E-3</v>
          </cell>
          <cell r="P327">
            <v>2.08</v>
          </cell>
          <cell r="Q327">
            <v>2.08</v>
          </cell>
          <cell r="R327">
            <v>1000</v>
          </cell>
          <cell r="S327" t="str">
            <v>PCS</v>
          </cell>
          <cell r="T327">
            <v>42</v>
          </cell>
          <cell r="U327" t="str">
            <v>J3</v>
          </cell>
          <cell r="V327" t="str">
            <v>CNY</v>
          </cell>
          <cell r="W327">
            <v>5000</v>
          </cell>
          <cell r="X327">
            <v>5000</v>
          </cell>
        </row>
        <row r="328">
          <cell r="D328">
            <v>10100024187</v>
          </cell>
          <cell r="E328" t="str">
            <v>厚膜贴片电阻器</v>
          </cell>
          <cell r="F328">
            <v>10010302</v>
          </cell>
          <cell r="G328" t="str">
            <v>ROYA\RES 470R F 1/4W 1206</v>
          </cell>
          <cell r="H328" t="str">
            <v>ROYALOHM(厚声)</v>
          </cell>
          <cell r="I328" t="str">
            <v>1206W4F4700T5E</v>
          </cell>
          <cell r="J328">
            <v>100096</v>
          </cell>
          <cell r="K328" t="str">
            <v>厚声国际贸易（昆山）有限公司深圳分公司</v>
          </cell>
          <cell r="L328" t="str">
            <v>X</v>
          </cell>
          <cell r="M328" t="str">
            <v/>
          </cell>
          <cell r="N328">
            <v>1</v>
          </cell>
          <cell r="O328">
            <v>6.7799999999999996E-3</v>
          </cell>
          <cell r="P328">
            <v>6.78</v>
          </cell>
          <cell r="Q328">
            <v>6.78</v>
          </cell>
          <cell r="R328">
            <v>1000</v>
          </cell>
          <cell r="S328" t="str">
            <v>PCS</v>
          </cell>
          <cell r="T328">
            <v>42</v>
          </cell>
          <cell r="U328" t="str">
            <v>J3</v>
          </cell>
          <cell r="V328" t="str">
            <v>CNY</v>
          </cell>
          <cell r="W328">
            <v>5000</v>
          </cell>
          <cell r="X328">
            <v>5000</v>
          </cell>
        </row>
        <row r="329">
          <cell r="D329">
            <v>10100026554</v>
          </cell>
          <cell r="E329" t="str">
            <v>厚膜贴片电阻器</v>
          </cell>
          <cell r="F329">
            <v>10010302</v>
          </cell>
          <cell r="G329" t="str">
            <v>FH\RES 300K F 1/4W 1206</v>
          </cell>
          <cell r="H329" t="str">
            <v>FH(风华)</v>
          </cell>
          <cell r="I329" t="str">
            <v>RS-06K3003FT</v>
          </cell>
          <cell r="J329">
            <v>100654</v>
          </cell>
          <cell r="K329" t="str">
            <v>广东风华高新科技股份有限公司</v>
          </cell>
          <cell r="L329" t="str">
            <v>X</v>
          </cell>
          <cell r="M329" t="str">
            <v/>
          </cell>
          <cell r="N329">
            <v>1</v>
          </cell>
          <cell r="O329">
            <v>6.3699999999999998E-3</v>
          </cell>
          <cell r="P329">
            <v>6.37</v>
          </cell>
          <cell r="Q329">
            <v>6.37</v>
          </cell>
          <cell r="R329">
            <v>1000</v>
          </cell>
          <cell r="S329" t="str">
            <v>PCS</v>
          </cell>
          <cell r="T329">
            <v>42</v>
          </cell>
          <cell r="U329" t="str">
            <v>J3</v>
          </cell>
          <cell r="V329" t="str">
            <v>CNY</v>
          </cell>
          <cell r="W329">
            <v>5000</v>
          </cell>
          <cell r="X329">
            <v>5000</v>
          </cell>
        </row>
        <row r="330">
          <cell r="D330">
            <v>10100026860</v>
          </cell>
          <cell r="E330" t="str">
            <v>NTC热敏电阻器</v>
          </cell>
          <cell r="F330">
            <v>10020301</v>
          </cell>
          <cell r="G330" t="str">
            <v>APL\NTC R(25) 5R M B(25/50) 2800K F=7.5&amp;</v>
          </cell>
          <cell r="H330" t="str">
            <v>AMPRON(安培龙)</v>
          </cell>
          <cell r="I330" t="str">
            <v>MF72-5D11内弯编带</v>
          </cell>
          <cell r="J330">
            <v>100089</v>
          </cell>
          <cell r="K330" t="str">
            <v>深圳安培龙科技股份有限公司</v>
          </cell>
          <cell r="L330" t="str">
            <v>X</v>
          </cell>
          <cell r="M330" t="str">
            <v/>
          </cell>
          <cell r="N330">
            <v>1</v>
          </cell>
          <cell r="O330">
            <v>0.25</v>
          </cell>
          <cell r="P330">
            <v>250</v>
          </cell>
          <cell r="Q330">
            <v>250</v>
          </cell>
          <cell r="R330">
            <v>1000</v>
          </cell>
          <cell r="S330" t="str">
            <v>PCS</v>
          </cell>
          <cell r="T330">
            <v>28</v>
          </cell>
          <cell r="U330" t="str">
            <v>J3</v>
          </cell>
          <cell r="V330" t="str">
            <v>CNY</v>
          </cell>
          <cell r="W330">
            <v>5000</v>
          </cell>
          <cell r="X330">
            <v>500</v>
          </cell>
        </row>
        <row r="331">
          <cell r="D331">
            <v>10100030065</v>
          </cell>
          <cell r="E331" t="str">
            <v>氧化锌压敏电阻器</v>
          </cell>
          <cell r="F331">
            <v>10020201</v>
          </cell>
          <cell r="G331" t="str">
            <v>TD\VAR 560VDC 6000A 17.5*7.6 F=7.5 CQC;&amp;</v>
          </cell>
          <cell r="H331" t="str">
            <v>TD(成都铁达)</v>
          </cell>
          <cell r="I331" t="str">
            <v>MYN15-561K-TRP3Y1F2H</v>
          </cell>
          <cell r="J331">
            <v>100147</v>
          </cell>
          <cell r="K331" t="str">
            <v>成都铁达电子股份有限公司</v>
          </cell>
          <cell r="L331" t="str">
            <v>X</v>
          </cell>
          <cell r="M331" t="str">
            <v/>
          </cell>
          <cell r="N331">
            <v>1</v>
          </cell>
          <cell r="O331">
            <v>0.47</v>
          </cell>
          <cell r="P331">
            <v>470</v>
          </cell>
          <cell r="Q331">
            <v>470</v>
          </cell>
          <cell r="R331">
            <v>1000</v>
          </cell>
          <cell r="S331" t="str">
            <v>PCS</v>
          </cell>
          <cell r="T331">
            <v>15</v>
          </cell>
          <cell r="U331" t="str">
            <v>J3</v>
          </cell>
          <cell r="V331" t="str">
            <v>CNY</v>
          </cell>
          <cell r="W331">
            <v>1600</v>
          </cell>
          <cell r="X331">
            <v>400</v>
          </cell>
        </row>
        <row r="332">
          <cell r="D332">
            <v>10110003896</v>
          </cell>
          <cell r="E332" t="str">
            <v>贴片陶瓷电容器</v>
          </cell>
          <cell r="F332">
            <v>11060201</v>
          </cell>
          <cell r="G332" t="str">
            <v>YAGEO\CAP Cer 1nF K X7R 50VDC 0402</v>
          </cell>
          <cell r="H332" t="str">
            <v>YAGEO(国巨)</v>
          </cell>
          <cell r="I332" t="str">
            <v>CC0402KRX7R9BB102</v>
          </cell>
          <cell r="J332">
            <v>101553</v>
          </cell>
          <cell r="K332" t="str">
            <v>深圳市奥特高科电子有限公司</v>
          </cell>
          <cell r="L332" t="str">
            <v>X</v>
          </cell>
          <cell r="M332" t="str">
            <v/>
          </cell>
          <cell r="N332">
            <v>1</v>
          </cell>
          <cell r="O332">
            <v>2.3E-3</v>
          </cell>
          <cell r="P332">
            <v>2.2999999999999998</v>
          </cell>
          <cell r="Q332">
            <v>2.2999999999999998</v>
          </cell>
          <cell r="R332">
            <v>1000</v>
          </cell>
          <cell r="S332" t="str">
            <v>PCS</v>
          </cell>
          <cell r="T332">
            <v>56</v>
          </cell>
          <cell r="U332" t="str">
            <v>J3</v>
          </cell>
          <cell r="V332" t="str">
            <v>CNY</v>
          </cell>
          <cell r="W332">
            <v>10000</v>
          </cell>
          <cell r="X332">
            <v>10000</v>
          </cell>
        </row>
        <row r="333">
          <cell r="D333">
            <v>10110003897</v>
          </cell>
          <cell r="E333" t="str">
            <v>贴片陶瓷电容器</v>
          </cell>
          <cell r="F333">
            <v>11060201</v>
          </cell>
          <cell r="G333" t="str">
            <v>YAGEO\CAP Cer 10nF K X7R 50VDC 0402</v>
          </cell>
          <cell r="H333" t="str">
            <v>YAGEO(国巨)</v>
          </cell>
          <cell r="I333" t="str">
            <v>CC0402KRX7R9BB103</v>
          </cell>
          <cell r="J333">
            <v>101553</v>
          </cell>
          <cell r="K333" t="str">
            <v>深圳市奥特高科电子有限公司</v>
          </cell>
          <cell r="L333" t="str">
            <v>X</v>
          </cell>
          <cell r="M333" t="str">
            <v/>
          </cell>
          <cell r="N333">
            <v>1</v>
          </cell>
          <cell r="O333">
            <v>2.2000000000000001E-3</v>
          </cell>
          <cell r="P333">
            <v>2.2000000000000002</v>
          </cell>
          <cell r="Q333">
            <v>2.2000000000000002</v>
          </cell>
          <cell r="R333">
            <v>1000</v>
          </cell>
          <cell r="S333" t="str">
            <v>PCS</v>
          </cell>
          <cell r="T333">
            <v>56</v>
          </cell>
          <cell r="U333" t="str">
            <v>J3</v>
          </cell>
          <cell r="V333" t="str">
            <v>CNY</v>
          </cell>
          <cell r="W333">
            <v>10000</v>
          </cell>
          <cell r="X333">
            <v>10000</v>
          </cell>
        </row>
        <row r="334">
          <cell r="D334">
            <v>10110004676</v>
          </cell>
          <cell r="E334" t="str">
            <v>贴片陶瓷电容器</v>
          </cell>
          <cell r="F334">
            <v>11060201</v>
          </cell>
          <cell r="G334" t="str">
            <v>WALS\CAP Cer 10nF K X7R 50VDC 0402</v>
          </cell>
          <cell r="H334" t="str">
            <v>WALS(华科)</v>
          </cell>
          <cell r="I334" t="str">
            <v>0402B103K500CT</v>
          </cell>
          <cell r="J334">
            <v>100131</v>
          </cell>
          <cell r="K334" t="str">
            <v>东莞华科电子有限公司</v>
          </cell>
          <cell r="L334" t="str">
            <v>X</v>
          </cell>
          <cell r="M334" t="str">
            <v/>
          </cell>
          <cell r="N334">
            <v>1</v>
          </cell>
          <cell r="O334">
            <v>1.98E-3</v>
          </cell>
          <cell r="P334">
            <v>1.98</v>
          </cell>
          <cell r="Q334">
            <v>1.98</v>
          </cell>
          <cell r="R334">
            <v>1000</v>
          </cell>
          <cell r="S334" t="str">
            <v>PCS</v>
          </cell>
          <cell r="T334">
            <v>56</v>
          </cell>
          <cell r="U334" t="str">
            <v>J3</v>
          </cell>
          <cell r="V334" t="str">
            <v>CNY</v>
          </cell>
          <cell r="W334">
            <v>10000</v>
          </cell>
          <cell r="X334">
            <v>10000</v>
          </cell>
        </row>
        <row r="335">
          <cell r="D335">
            <v>10110005377</v>
          </cell>
          <cell r="E335" t="str">
            <v>贴片陶瓷电容器</v>
          </cell>
          <cell r="F335">
            <v>11060201</v>
          </cell>
          <cell r="G335" t="str">
            <v>WALS\CAP Cer 100pF K X7R 50VDC 0402</v>
          </cell>
          <cell r="H335" t="str">
            <v>WALS(华科)</v>
          </cell>
          <cell r="I335" t="str">
            <v>0402B101K500CT</v>
          </cell>
          <cell r="J335">
            <v>101751</v>
          </cell>
          <cell r="K335" t="str">
            <v>深圳市巨新科电子有限公司</v>
          </cell>
          <cell r="L335" t="str">
            <v>X</v>
          </cell>
          <cell r="M335" t="str">
            <v/>
          </cell>
          <cell r="N335">
            <v>1</v>
          </cell>
          <cell r="O335">
            <v>2.98E-3</v>
          </cell>
          <cell r="P335">
            <v>2.98</v>
          </cell>
          <cell r="Q335">
            <v>2.98</v>
          </cell>
          <cell r="R335">
            <v>1000</v>
          </cell>
          <cell r="S335" t="str">
            <v>PCS</v>
          </cell>
          <cell r="T335">
            <v>56</v>
          </cell>
          <cell r="U335" t="str">
            <v>J3</v>
          </cell>
          <cell r="V335" t="str">
            <v>CNY</v>
          </cell>
          <cell r="W335">
            <v>10000</v>
          </cell>
          <cell r="X335">
            <v>10000</v>
          </cell>
        </row>
        <row r="336">
          <cell r="D336">
            <v>10110005378</v>
          </cell>
          <cell r="E336" t="str">
            <v>贴片陶瓷电容器</v>
          </cell>
          <cell r="F336">
            <v>11060201</v>
          </cell>
          <cell r="G336" t="str">
            <v>YAGEO\CAP Cer 100pF K X7R 50VDC 0402</v>
          </cell>
          <cell r="H336" t="str">
            <v>YAGEO(国巨)</v>
          </cell>
          <cell r="I336" t="str">
            <v>CC0402KRX7R9BB101</v>
          </cell>
          <cell r="J336">
            <v>100621</v>
          </cell>
          <cell r="K336" t="str">
            <v>深圳市吉利通电子有限公司</v>
          </cell>
          <cell r="L336" t="str">
            <v>X</v>
          </cell>
          <cell r="M336" t="str">
            <v/>
          </cell>
          <cell r="N336">
            <v>1</v>
          </cell>
          <cell r="O336">
            <v>2.3999999999999998E-3</v>
          </cell>
          <cell r="P336">
            <v>2.4</v>
          </cell>
          <cell r="Q336">
            <v>2.4</v>
          </cell>
          <cell r="R336">
            <v>1000</v>
          </cell>
          <cell r="S336" t="str">
            <v>PCS</v>
          </cell>
          <cell r="T336">
            <v>56</v>
          </cell>
          <cell r="U336" t="str">
            <v>J3</v>
          </cell>
          <cell r="V336" t="str">
            <v>CNY</v>
          </cell>
          <cell r="W336">
            <v>10000</v>
          </cell>
          <cell r="X336">
            <v>10000</v>
          </cell>
        </row>
        <row r="337">
          <cell r="D337">
            <v>10110005817</v>
          </cell>
          <cell r="E337" t="str">
            <v>贴片陶瓷电容器</v>
          </cell>
          <cell r="F337">
            <v>11060201</v>
          </cell>
          <cell r="G337" t="str">
            <v>WALS\CAP Cer 1nF K X7R 50VDC 0402</v>
          </cell>
          <cell r="H337" t="str">
            <v>WALS(华科)</v>
          </cell>
          <cell r="I337" t="str">
            <v>0402B102K500CT</v>
          </cell>
          <cell r="J337">
            <v>100131</v>
          </cell>
          <cell r="K337" t="str">
            <v>东莞华科电子有限公司</v>
          </cell>
          <cell r="L337" t="str">
            <v>X</v>
          </cell>
          <cell r="M337" t="str">
            <v/>
          </cell>
          <cell r="N337">
            <v>1</v>
          </cell>
          <cell r="O337">
            <v>1.98E-3</v>
          </cell>
          <cell r="P337">
            <v>1.98</v>
          </cell>
          <cell r="Q337">
            <v>1.98</v>
          </cell>
          <cell r="R337">
            <v>1000</v>
          </cell>
          <cell r="S337" t="str">
            <v>PCS</v>
          </cell>
          <cell r="T337">
            <v>56</v>
          </cell>
          <cell r="U337" t="str">
            <v>J3</v>
          </cell>
          <cell r="V337" t="str">
            <v>CNY</v>
          </cell>
          <cell r="W337">
            <v>10000</v>
          </cell>
          <cell r="X337">
            <v>10000</v>
          </cell>
        </row>
        <row r="338">
          <cell r="D338">
            <v>10110006771</v>
          </cell>
          <cell r="E338" t="str">
            <v>贴片陶瓷电容器</v>
          </cell>
          <cell r="F338">
            <v>11060201</v>
          </cell>
          <cell r="G338" t="str">
            <v>YAGEO\CAP Cer 100nF K X7R 50VDC 0402</v>
          </cell>
          <cell r="H338" t="str">
            <v>YAGEO(国巨)</v>
          </cell>
          <cell r="I338" t="str">
            <v>CC0402KRX7R9BB104</v>
          </cell>
          <cell r="J338">
            <v>101553</v>
          </cell>
          <cell r="K338" t="str">
            <v>深圳市奥特高科电子有限公司</v>
          </cell>
          <cell r="L338" t="str">
            <v>X</v>
          </cell>
          <cell r="M338" t="str">
            <v/>
          </cell>
          <cell r="N338">
            <v>1</v>
          </cell>
          <cell r="O338">
            <v>4.9500000000000004E-3</v>
          </cell>
          <cell r="P338">
            <v>4.95</v>
          </cell>
          <cell r="Q338">
            <v>4.95</v>
          </cell>
          <cell r="R338">
            <v>1000</v>
          </cell>
          <cell r="S338" t="str">
            <v>PCS</v>
          </cell>
          <cell r="T338">
            <v>56</v>
          </cell>
          <cell r="U338" t="str">
            <v>J3</v>
          </cell>
          <cell r="V338" t="str">
            <v>CNY</v>
          </cell>
          <cell r="W338">
            <v>10000</v>
          </cell>
          <cell r="X338">
            <v>10000</v>
          </cell>
        </row>
        <row r="339">
          <cell r="D339">
            <v>10110007139</v>
          </cell>
          <cell r="E339" t="str">
            <v>贴片陶瓷电容器</v>
          </cell>
          <cell r="F339">
            <v>11060201</v>
          </cell>
          <cell r="G339" t="str">
            <v>SAMS\CAP Cer 10nF K X7R 50VDC 0402</v>
          </cell>
          <cell r="H339" t="str">
            <v>SAMSUNG(三星)</v>
          </cell>
          <cell r="I339" t="str">
            <v>CL05B103KB5NNNC</v>
          </cell>
          <cell r="J339">
            <v>100599</v>
          </cell>
          <cell r="K339" t="str">
            <v>深圳市天河星供应链有限公司</v>
          </cell>
          <cell r="L339" t="str">
            <v>X</v>
          </cell>
          <cell r="M339" t="str">
            <v/>
          </cell>
          <cell r="N339">
            <v>1</v>
          </cell>
          <cell r="O339">
            <v>2.2000000000000001E-3</v>
          </cell>
          <cell r="P339">
            <v>2.2000000000000002</v>
          </cell>
          <cell r="Q339">
            <v>2.2000000000000002</v>
          </cell>
          <cell r="R339">
            <v>1000</v>
          </cell>
          <cell r="S339" t="str">
            <v>PCS</v>
          </cell>
          <cell r="T339">
            <v>56</v>
          </cell>
          <cell r="U339" t="str">
            <v>J3</v>
          </cell>
          <cell r="V339" t="str">
            <v>CNY</v>
          </cell>
          <cell r="W339">
            <v>10000</v>
          </cell>
          <cell r="X339">
            <v>10000</v>
          </cell>
        </row>
        <row r="340">
          <cell r="D340">
            <v>10110007822</v>
          </cell>
          <cell r="E340" t="str">
            <v>贴片陶瓷电容器</v>
          </cell>
          <cell r="F340">
            <v>11060201</v>
          </cell>
          <cell r="G340" t="str">
            <v>SAMS\CAP Cer 1nF K X7R 50VDC 0402</v>
          </cell>
          <cell r="H340" t="str">
            <v>SAMSUNG(三星)</v>
          </cell>
          <cell r="I340" t="str">
            <v>CL05B102KB5NNNC</v>
          </cell>
          <cell r="J340">
            <v>101957</v>
          </cell>
          <cell r="K340" t="str">
            <v>广东顺德集财电子有限公司</v>
          </cell>
          <cell r="L340" t="str">
            <v>X</v>
          </cell>
          <cell r="M340" t="str">
            <v/>
          </cell>
          <cell r="N340">
            <v>1</v>
          </cell>
          <cell r="O340">
            <v>2.3999999999999998E-3</v>
          </cell>
          <cell r="P340">
            <v>2.4</v>
          </cell>
          <cell r="Q340">
            <v>2.4</v>
          </cell>
          <cell r="R340">
            <v>1000</v>
          </cell>
          <cell r="S340" t="str">
            <v>PCS</v>
          </cell>
          <cell r="T340">
            <v>56</v>
          </cell>
          <cell r="U340" t="str">
            <v>J3</v>
          </cell>
          <cell r="V340" t="str">
            <v>CNY</v>
          </cell>
          <cell r="W340">
            <v>10000</v>
          </cell>
          <cell r="X340">
            <v>10000</v>
          </cell>
        </row>
        <row r="341">
          <cell r="D341">
            <v>10110008257</v>
          </cell>
          <cell r="E341" t="str">
            <v>贴片陶瓷电容器</v>
          </cell>
          <cell r="F341">
            <v>11060201</v>
          </cell>
          <cell r="G341" t="str">
            <v>WALS\CAP Cer 100nF K X7R 50VDC 0402</v>
          </cell>
          <cell r="H341" t="str">
            <v>WALS(华科)</v>
          </cell>
          <cell r="I341" t="str">
            <v>0402B104K500CT</v>
          </cell>
          <cell r="J341">
            <v>101566</v>
          </cell>
          <cell r="K341" t="str">
            <v>深圳市兴鸿宇科技有限公司</v>
          </cell>
          <cell r="L341" t="str">
            <v>X</v>
          </cell>
          <cell r="M341" t="str">
            <v/>
          </cell>
          <cell r="N341">
            <v>1</v>
          </cell>
          <cell r="O341">
            <v>4.5999999999999999E-3</v>
          </cell>
          <cell r="P341">
            <v>4.5999999999999996</v>
          </cell>
          <cell r="Q341">
            <v>4.5999999999999996</v>
          </cell>
          <cell r="R341">
            <v>1000</v>
          </cell>
          <cell r="S341" t="str">
            <v>PCS</v>
          </cell>
          <cell r="T341">
            <v>56</v>
          </cell>
          <cell r="U341" t="str">
            <v>J3</v>
          </cell>
          <cell r="V341" t="str">
            <v>CNY</v>
          </cell>
          <cell r="W341">
            <v>10000</v>
          </cell>
          <cell r="X341">
            <v>10000</v>
          </cell>
        </row>
        <row r="342">
          <cell r="D342">
            <v>10110008724</v>
          </cell>
          <cell r="E342" t="str">
            <v>贴片陶瓷电容器</v>
          </cell>
          <cell r="F342">
            <v>11060201</v>
          </cell>
          <cell r="G342" t="str">
            <v>FH\CAP Cer 100nF K X7R 50VDC 0402</v>
          </cell>
          <cell r="H342" t="str">
            <v>FH(风华)</v>
          </cell>
          <cell r="I342" t="str">
            <v>0402B104K500NT</v>
          </cell>
          <cell r="J342">
            <v>101957</v>
          </cell>
          <cell r="K342" t="str">
            <v>广东顺德集财电子有限公司</v>
          </cell>
          <cell r="L342" t="str">
            <v>X</v>
          </cell>
          <cell r="M342" t="str">
            <v/>
          </cell>
          <cell r="N342">
            <v>1</v>
          </cell>
          <cell r="O342">
            <v>4.1000000000000003E-3</v>
          </cell>
          <cell r="P342">
            <v>4.0999999999999996</v>
          </cell>
          <cell r="Q342">
            <v>4.0999999999999996</v>
          </cell>
          <cell r="R342">
            <v>1000</v>
          </cell>
          <cell r="S342" t="str">
            <v>PCS</v>
          </cell>
          <cell r="T342">
            <v>56</v>
          </cell>
          <cell r="U342" t="str">
            <v>J3</v>
          </cell>
          <cell r="V342" t="str">
            <v>CNY</v>
          </cell>
          <cell r="W342">
            <v>10000</v>
          </cell>
          <cell r="X342">
            <v>10000</v>
          </cell>
        </row>
        <row r="343">
          <cell r="D343">
            <v>10110008726</v>
          </cell>
          <cell r="E343" t="str">
            <v>贴片陶瓷电容器</v>
          </cell>
          <cell r="F343">
            <v>11060201</v>
          </cell>
          <cell r="G343" t="str">
            <v>FH\CAP Cer 100pF K X7R 50VDC 0402</v>
          </cell>
          <cell r="H343" t="str">
            <v>FH(风华)</v>
          </cell>
          <cell r="I343" t="str">
            <v>0402B101K500NT</v>
          </cell>
          <cell r="J343">
            <v>100599</v>
          </cell>
          <cell r="K343" t="str">
            <v>深圳市天河星供应链有限公司</v>
          </cell>
          <cell r="L343" t="str">
            <v>X</v>
          </cell>
          <cell r="M343" t="str">
            <v/>
          </cell>
          <cell r="N343">
            <v>1</v>
          </cell>
          <cell r="O343">
            <v>2.2000000000000001E-3</v>
          </cell>
          <cell r="P343">
            <v>2.2000000000000002</v>
          </cell>
          <cell r="Q343">
            <v>2.2000000000000002</v>
          </cell>
          <cell r="R343">
            <v>1000</v>
          </cell>
          <cell r="S343" t="str">
            <v>PCS</v>
          </cell>
          <cell r="T343">
            <v>56</v>
          </cell>
          <cell r="U343" t="str">
            <v>J3</v>
          </cell>
          <cell r="V343" t="str">
            <v>CNY</v>
          </cell>
          <cell r="W343">
            <v>10000</v>
          </cell>
          <cell r="X343">
            <v>10000</v>
          </cell>
        </row>
        <row r="344">
          <cell r="D344">
            <v>10110008729</v>
          </cell>
          <cell r="E344" t="str">
            <v>贴片陶瓷电容器</v>
          </cell>
          <cell r="F344">
            <v>11060201</v>
          </cell>
          <cell r="G344" t="str">
            <v>FH\CAP Cer 10nF K X7R 50VDC 0402</v>
          </cell>
          <cell r="H344" t="str">
            <v>FH(风华)</v>
          </cell>
          <cell r="I344" t="str">
            <v>0402B103K500NT</v>
          </cell>
          <cell r="J344">
            <v>100599</v>
          </cell>
          <cell r="K344" t="str">
            <v>深圳市天河星供应链有限公司</v>
          </cell>
          <cell r="L344" t="str">
            <v>X</v>
          </cell>
          <cell r="M344" t="str">
            <v/>
          </cell>
          <cell r="N344">
            <v>1</v>
          </cell>
          <cell r="O344">
            <v>2.0999999999999999E-3</v>
          </cell>
          <cell r="P344">
            <v>2.1</v>
          </cell>
          <cell r="Q344">
            <v>2.1</v>
          </cell>
          <cell r="R344">
            <v>1000</v>
          </cell>
          <cell r="S344" t="str">
            <v>PCS</v>
          </cell>
          <cell r="T344">
            <v>56</v>
          </cell>
          <cell r="U344" t="str">
            <v>J3</v>
          </cell>
          <cell r="V344" t="str">
            <v>CNY</v>
          </cell>
          <cell r="W344">
            <v>10000</v>
          </cell>
          <cell r="X344">
            <v>10000</v>
          </cell>
        </row>
        <row r="345">
          <cell r="D345">
            <v>10110008734</v>
          </cell>
          <cell r="E345" t="str">
            <v>贴片陶瓷电容器</v>
          </cell>
          <cell r="F345">
            <v>11060201</v>
          </cell>
          <cell r="G345" t="str">
            <v>FH\CAP Cer 1nF K X7R 50VDC 0402</v>
          </cell>
          <cell r="H345" t="str">
            <v>FH(风华)</v>
          </cell>
          <cell r="I345" t="str">
            <v>0402B102K500NT</v>
          </cell>
          <cell r="J345">
            <v>100599</v>
          </cell>
          <cell r="K345" t="str">
            <v>深圳市天河星供应链有限公司</v>
          </cell>
          <cell r="L345" t="str">
            <v>X</v>
          </cell>
          <cell r="M345" t="str">
            <v/>
          </cell>
          <cell r="N345">
            <v>1</v>
          </cell>
          <cell r="O345">
            <v>2.0999999999999999E-3</v>
          </cell>
          <cell r="P345">
            <v>2.1</v>
          </cell>
          <cell r="Q345">
            <v>2.1</v>
          </cell>
          <cell r="R345">
            <v>1000</v>
          </cell>
          <cell r="S345" t="str">
            <v>PCS</v>
          </cell>
          <cell r="T345">
            <v>56</v>
          </cell>
          <cell r="U345" t="str">
            <v>J3</v>
          </cell>
          <cell r="V345" t="str">
            <v>CNY</v>
          </cell>
          <cell r="W345">
            <v>10000</v>
          </cell>
          <cell r="X345">
            <v>10000</v>
          </cell>
        </row>
        <row r="346">
          <cell r="D346">
            <v>10110008742</v>
          </cell>
          <cell r="E346" t="str">
            <v>贴片陶瓷电容器</v>
          </cell>
          <cell r="F346">
            <v>11060201</v>
          </cell>
          <cell r="G346" t="str">
            <v>FH\CAP Cer 2.2nF K X7R 50VDC 0402</v>
          </cell>
          <cell r="H346" t="str">
            <v>FH(风华)</v>
          </cell>
          <cell r="I346" t="str">
            <v>0402B222K500NT</v>
          </cell>
          <cell r="J346">
            <v>100654</v>
          </cell>
          <cell r="K346" t="str">
            <v>广东风华高新科技股份有限公司</v>
          </cell>
          <cell r="L346" t="str">
            <v>X</v>
          </cell>
          <cell r="M346" t="str">
            <v/>
          </cell>
          <cell r="N346">
            <v>1</v>
          </cell>
          <cell r="O346">
            <v>2.1900000000000001E-3</v>
          </cell>
          <cell r="P346">
            <v>2.19</v>
          </cell>
          <cell r="Q346">
            <v>2.19</v>
          </cell>
          <cell r="R346">
            <v>1000</v>
          </cell>
          <cell r="S346" t="str">
            <v>PCS</v>
          </cell>
          <cell r="T346">
            <v>56</v>
          </cell>
          <cell r="U346" t="str">
            <v>J3</v>
          </cell>
          <cell r="V346" t="str">
            <v>CNY</v>
          </cell>
          <cell r="W346">
            <v>10000</v>
          </cell>
          <cell r="X346">
            <v>10000</v>
          </cell>
        </row>
        <row r="347">
          <cell r="D347">
            <v>10110008934</v>
          </cell>
          <cell r="E347" t="str">
            <v>贴片陶瓷电容器</v>
          </cell>
          <cell r="F347">
            <v>11060201</v>
          </cell>
          <cell r="G347" t="str">
            <v>FH\CAP Cer 4.7uF K X7R 50VDC 0805</v>
          </cell>
          <cell r="H347" t="str">
            <v>FH(风华)</v>
          </cell>
          <cell r="I347" t="str">
            <v>0805B475K500NT</v>
          </cell>
          <cell r="J347">
            <v>101957</v>
          </cell>
          <cell r="K347" t="str">
            <v>广东顺德集财电子有限公司</v>
          </cell>
          <cell r="L347" t="str">
            <v>X</v>
          </cell>
          <cell r="M347" t="str">
            <v/>
          </cell>
          <cell r="N347">
            <v>1</v>
          </cell>
          <cell r="O347">
            <v>9.8000000000000004E-2</v>
          </cell>
          <cell r="P347">
            <v>98</v>
          </cell>
          <cell r="Q347">
            <v>98</v>
          </cell>
          <cell r="R347">
            <v>1000</v>
          </cell>
          <cell r="S347" t="str">
            <v>PCS</v>
          </cell>
          <cell r="T347">
            <v>56</v>
          </cell>
          <cell r="U347" t="str">
            <v>J3</v>
          </cell>
          <cell r="V347" t="str">
            <v>CNY</v>
          </cell>
          <cell r="W347">
            <v>2000</v>
          </cell>
          <cell r="X347">
            <v>2000</v>
          </cell>
        </row>
        <row r="348">
          <cell r="D348">
            <v>10110008993</v>
          </cell>
          <cell r="E348" t="str">
            <v>贴片陶瓷电容器</v>
          </cell>
          <cell r="F348">
            <v>11060201</v>
          </cell>
          <cell r="G348" t="str">
            <v>WALS\CAP Cer 2.2nF K X7R 50VDC 0402</v>
          </cell>
          <cell r="H348" t="str">
            <v>WALS(华科)</v>
          </cell>
          <cell r="I348" t="str">
            <v>0402B222K500CT</v>
          </cell>
          <cell r="J348">
            <v>100131</v>
          </cell>
          <cell r="K348" t="str">
            <v>东莞华科电子有限公司</v>
          </cell>
          <cell r="L348" t="str">
            <v>X</v>
          </cell>
          <cell r="M348" t="str">
            <v/>
          </cell>
          <cell r="N348">
            <v>1</v>
          </cell>
          <cell r="O348">
            <v>3.0500000000000002E-3</v>
          </cell>
          <cell r="P348">
            <v>3.05</v>
          </cell>
          <cell r="Q348">
            <v>3.05</v>
          </cell>
          <cell r="R348">
            <v>1000</v>
          </cell>
          <cell r="S348" t="str">
            <v>PCS</v>
          </cell>
          <cell r="T348">
            <v>56</v>
          </cell>
          <cell r="U348" t="str">
            <v>J3</v>
          </cell>
          <cell r="V348" t="str">
            <v>CNY</v>
          </cell>
          <cell r="W348">
            <v>10000</v>
          </cell>
          <cell r="X348">
            <v>10000</v>
          </cell>
        </row>
        <row r="349">
          <cell r="D349">
            <v>10110009071</v>
          </cell>
          <cell r="E349" t="str">
            <v>贴片陶瓷电容器</v>
          </cell>
          <cell r="F349">
            <v>11060201</v>
          </cell>
          <cell r="G349" t="str">
            <v>WALS\CAP Cer 4.7uF K X7R 50VDC 0805</v>
          </cell>
          <cell r="H349" t="str">
            <v>WALS(华科)</v>
          </cell>
          <cell r="I349" t="str">
            <v>0805B475K500CT</v>
          </cell>
          <cell r="J349">
            <v>100131</v>
          </cell>
          <cell r="K349" t="str">
            <v>东莞华科电子有限公司</v>
          </cell>
          <cell r="L349" t="str">
            <v>X</v>
          </cell>
          <cell r="M349" t="str">
            <v/>
          </cell>
          <cell r="N349">
            <v>1</v>
          </cell>
          <cell r="O349">
            <v>0.16964000000000001</v>
          </cell>
          <cell r="P349">
            <v>169.64</v>
          </cell>
          <cell r="Q349">
            <v>169.64</v>
          </cell>
          <cell r="R349">
            <v>1000</v>
          </cell>
          <cell r="S349" t="str">
            <v>PCS</v>
          </cell>
          <cell r="T349">
            <v>84</v>
          </cell>
          <cell r="U349" t="str">
            <v>J3</v>
          </cell>
          <cell r="V349" t="str">
            <v>CNY</v>
          </cell>
          <cell r="W349">
            <v>3000</v>
          </cell>
          <cell r="X349">
            <v>3000</v>
          </cell>
        </row>
        <row r="350">
          <cell r="D350">
            <v>10110009749</v>
          </cell>
          <cell r="E350" t="str">
            <v>贴片陶瓷电容器</v>
          </cell>
          <cell r="F350">
            <v>11060201</v>
          </cell>
          <cell r="G350" t="str">
            <v>SAMS\CAP Cer 100pF K X7R 50VDC 0402</v>
          </cell>
          <cell r="H350" t="str">
            <v>SAMSUNG(三星)</v>
          </cell>
          <cell r="I350" t="str">
            <v>CL05B101KB5NNNC</v>
          </cell>
          <cell r="J350">
            <v>101783</v>
          </cell>
          <cell r="K350" t="str">
            <v>深圳市欧亚达电子有限公司</v>
          </cell>
          <cell r="L350" t="str">
            <v>X</v>
          </cell>
          <cell r="M350" t="str">
            <v/>
          </cell>
          <cell r="N350">
            <v>1</v>
          </cell>
          <cell r="O350">
            <v>9.5499999999999995E-3</v>
          </cell>
          <cell r="P350">
            <v>9.5500000000000007</v>
          </cell>
          <cell r="Q350">
            <v>9.5500000000000007</v>
          </cell>
          <cell r="R350">
            <v>1000</v>
          </cell>
          <cell r="S350" t="str">
            <v>PCS</v>
          </cell>
          <cell r="T350">
            <v>84</v>
          </cell>
          <cell r="U350" t="str">
            <v>J3</v>
          </cell>
          <cell r="V350" t="str">
            <v>CNY</v>
          </cell>
          <cell r="W350">
            <v>10000</v>
          </cell>
          <cell r="X350">
            <v>10000</v>
          </cell>
        </row>
        <row r="351">
          <cell r="D351">
            <v>10110010638</v>
          </cell>
          <cell r="E351" t="str">
            <v>贴片陶瓷电容器</v>
          </cell>
          <cell r="F351">
            <v>11060201</v>
          </cell>
          <cell r="G351" t="str">
            <v>SAMS\CAP Cer 2.2nF K X7R 50VDC 0402</v>
          </cell>
          <cell r="H351" t="str">
            <v>SAMSUNG(三星)</v>
          </cell>
          <cell r="I351" t="str">
            <v>CL05B222KB5NNNC</v>
          </cell>
          <cell r="J351">
            <v>102940</v>
          </cell>
          <cell r="K351" t="str">
            <v>深圳市宏昌鑫科技有限责任公司</v>
          </cell>
          <cell r="L351" t="str">
            <v>X</v>
          </cell>
          <cell r="M351" t="str">
            <v/>
          </cell>
          <cell r="N351">
            <v>1</v>
          </cell>
          <cell r="O351">
            <v>7.3699999999999998E-3</v>
          </cell>
          <cell r="P351">
            <v>7.37</v>
          </cell>
          <cell r="Q351">
            <v>7.37</v>
          </cell>
          <cell r="R351">
            <v>1000</v>
          </cell>
          <cell r="S351" t="str">
            <v>PCS</v>
          </cell>
          <cell r="T351">
            <v>140</v>
          </cell>
          <cell r="U351" t="str">
            <v>J3</v>
          </cell>
          <cell r="V351" t="str">
            <v>CNY</v>
          </cell>
          <cell r="W351">
            <v>10000</v>
          </cell>
          <cell r="X351">
            <v>10000</v>
          </cell>
        </row>
        <row r="352">
          <cell r="D352">
            <v>10110011269</v>
          </cell>
          <cell r="E352" t="str">
            <v>贴片陶瓷电容器</v>
          </cell>
          <cell r="F352">
            <v>11060201</v>
          </cell>
          <cell r="G352" t="str">
            <v>SH3\CAP Cer 10nF K X7R 50VDC 0402</v>
          </cell>
          <cell r="H352" t="str">
            <v>CCTC(三环)</v>
          </cell>
          <cell r="I352" t="str">
            <v>TCC0402X7R103K500AT</v>
          </cell>
          <cell r="J352">
            <v>102178</v>
          </cell>
          <cell r="K352" t="str">
            <v>潮州三环（集团）股份有限公司</v>
          </cell>
          <cell r="L352" t="str">
            <v>X</v>
          </cell>
          <cell r="M352" t="str">
            <v/>
          </cell>
          <cell r="N352">
            <v>1</v>
          </cell>
          <cell r="O352">
            <v>1.8500000000000001E-3</v>
          </cell>
          <cell r="P352">
            <v>1.85</v>
          </cell>
          <cell r="Q352">
            <v>1.85</v>
          </cell>
          <cell r="R352">
            <v>1000</v>
          </cell>
          <cell r="S352" t="str">
            <v>PCS</v>
          </cell>
          <cell r="T352">
            <v>56</v>
          </cell>
          <cell r="U352" t="str">
            <v>J3</v>
          </cell>
          <cell r="V352" t="str">
            <v>CNY</v>
          </cell>
          <cell r="W352">
            <v>10000</v>
          </cell>
          <cell r="X352">
            <v>10000</v>
          </cell>
        </row>
        <row r="353">
          <cell r="D353">
            <v>10110012147</v>
          </cell>
          <cell r="E353" t="str">
            <v>贴片陶瓷电容器</v>
          </cell>
          <cell r="F353">
            <v>11060201</v>
          </cell>
          <cell r="G353" t="str">
            <v>SH3\CAP Cer 100pF K X7R 50VDC 0402</v>
          </cell>
          <cell r="H353" t="str">
            <v>CCTC(三环)</v>
          </cell>
          <cell r="I353" t="str">
            <v>TCC0402X7R101K500AT</v>
          </cell>
          <cell r="J353">
            <v>102178</v>
          </cell>
          <cell r="K353" t="str">
            <v>潮州三环（集团）股份有限公司</v>
          </cell>
          <cell r="L353" t="str">
            <v>X</v>
          </cell>
          <cell r="M353" t="str">
            <v/>
          </cell>
          <cell r="N353">
            <v>1</v>
          </cell>
          <cell r="O353">
            <v>1.9499999999999999E-3</v>
          </cell>
          <cell r="P353">
            <v>1.95</v>
          </cell>
          <cell r="Q353">
            <v>1.95</v>
          </cell>
          <cell r="R353">
            <v>1000</v>
          </cell>
          <cell r="S353" t="str">
            <v>PCS</v>
          </cell>
          <cell r="T353">
            <v>56</v>
          </cell>
          <cell r="U353" t="str">
            <v>J3</v>
          </cell>
          <cell r="V353" t="str">
            <v>CNY</v>
          </cell>
          <cell r="W353">
            <v>10000</v>
          </cell>
          <cell r="X353">
            <v>10000</v>
          </cell>
        </row>
        <row r="354">
          <cell r="D354">
            <v>10110012149</v>
          </cell>
          <cell r="E354" t="str">
            <v>贴片陶瓷电容器</v>
          </cell>
          <cell r="F354">
            <v>11060201</v>
          </cell>
          <cell r="G354" t="str">
            <v>SH3\CAP Cer 1nF K X7R 50VDC 0402</v>
          </cell>
          <cell r="H354" t="str">
            <v>CCTC(三环)</v>
          </cell>
          <cell r="I354" t="str">
            <v>TCC0402X7R102K500AT</v>
          </cell>
          <cell r="J354">
            <v>102178</v>
          </cell>
          <cell r="K354" t="str">
            <v>潮州三环（集团）股份有限公司</v>
          </cell>
          <cell r="L354" t="str">
            <v>X</v>
          </cell>
          <cell r="M354" t="str">
            <v/>
          </cell>
          <cell r="N354">
            <v>1</v>
          </cell>
          <cell r="O354">
            <v>1.8500000000000001E-3</v>
          </cell>
          <cell r="P354">
            <v>1.85</v>
          </cell>
          <cell r="Q354">
            <v>1.85</v>
          </cell>
          <cell r="R354">
            <v>1000</v>
          </cell>
          <cell r="S354" t="str">
            <v>PCS</v>
          </cell>
          <cell r="T354">
            <v>56</v>
          </cell>
          <cell r="U354" t="str">
            <v>J3</v>
          </cell>
          <cell r="V354" t="str">
            <v>CNY</v>
          </cell>
          <cell r="W354">
            <v>10000</v>
          </cell>
          <cell r="X354">
            <v>10000</v>
          </cell>
        </row>
        <row r="355">
          <cell r="D355">
            <v>10110014746</v>
          </cell>
          <cell r="E355" t="str">
            <v>X2安规薄膜电容器</v>
          </cell>
          <cell r="F355">
            <v>11010102</v>
          </cell>
          <cell r="G355" t="str">
            <v>STE\CAP X2 220nF K 275VAC 13*6*12 F=10&amp;</v>
          </cell>
          <cell r="H355" t="str">
            <v>STE(松田)</v>
          </cell>
          <cell r="I355" t="str">
            <v>X2P2224KN5B0130120060ES0</v>
          </cell>
          <cell r="J355">
            <v>101946</v>
          </cell>
          <cell r="K355" t="str">
            <v>汕头保税区松田电子科技有限公司</v>
          </cell>
          <cell r="L355" t="str">
            <v>X</v>
          </cell>
          <cell r="M355" t="str">
            <v/>
          </cell>
          <cell r="N355">
            <v>1</v>
          </cell>
          <cell r="O355">
            <v>0.23311999999999999</v>
          </cell>
          <cell r="P355">
            <v>233.12</v>
          </cell>
          <cell r="Q355">
            <v>233.12</v>
          </cell>
          <cell r="R355">
            <v>1000</v>
          </cell>
          <cell r="S355" t="str">
            <v>PCS</v>
          </cell>
          <cell r="T355">
            <v>28</v>
          </cell>
          <cell r="U355" t="str">
            <v>J3</v>
          </cell>
          <cell r="V355" t="str">
            <v>CNY</v>
          </cell>
          <cell r="W355">
            <v>1000</v>
          </cell>
          <cell r="X355">
            <v>1000</v>
          </cell>
        </row>
        <row r="356">
          <cell r="D356">
            <v>10110015893</v>
          </cell>
          <cell r="E356" t="str">
            <v>贴片陶瓷电容器</v>
          </cell>
          <cell r="F356">
            <v>11060201</v>
          </cell>
          <cell r="G356" t="str">
            <v>SH3\CAP Cer 2.2nF K X7R 50VDC 0402</v>
          </cell>
          <cell r="H356" t="str">
            <v>CCTC(三环)</v>
          </cell>
          <cell r="I356" t="str">
            <v>TCC0402X7R222K500AT</v>
          </cell>
          <cell r="J356">
            <v>102178</v>
          </cell>
          <cell r="K356" t="str">
            <v>潮州三环（集团）股份有限公司</v>
          </cell>
          <cell r="L356" t="str">
            <v>X</v>
          </cell>
          <cell r="M356" t="str">
            <v/>
          </cell>
          <cell r="N356">
            <v>1</v>
          </cell>
          <cell r="O356">
            <v>1.8600000000000001E-3</v>
          </cell>
          <cell r="P356">
            <v>1.86</v>
          </cell>
          <cell r="Q356">
            <v>1.86</v>
          </cell>
          <cell r="R356">
            <v>1000</v>
          </cell>
          <cell r="S356" t="str">
            <v>PCS</v>
          </cell>
          <cell r="T356">
            <v>56</v>
          </cell>
          <cell r="U356" t="str">
            <v>J3</v>
          </cell>
          <cell r="V356" t="str">
            <v>CNY</v>
          </cell>
          <cell r="W356">
            <v>10000</v>
          </cell>
          <cell r="X356">
            <v>10000</v>
          </cell>
        </row>
        <row r="357">
          <cell r="D357">
            <v>10110016198</v>
          </cell>
          <cell r="E357" t="str">
            <v>贴片陶瓷电容器</v>
          </cell>
          <cell r="F357">
            <v>11060201</v>
          </cell>
          <cell r="G357" t="str">
            <v>YAGEO\CAP Cer 2.2nF K X7R 50VDC 0402</v>
          </cell>
          <cell r="H357" t="str">
            <v>YAGEO(国巨)</v>
          </cell>
          <cell r="I357" t="str">
            <v>CC0402KRX7R9BB222</v>
          </cell>
          <cell r="J357">
            <v>101553</v>
          </cell>
          <cell r="K357" t="str">
            <v>深圳市奥特高科电子有限公司</v>
          </cell>
          <cell r="L357" t="str">
            <v>X</v>
          </cell>
          <cell r="M357" t="str">
            <v/>
          </cell>
          <cell r="N357">
            <v>1</v>
          </cell>
          <cell r="O357">
            <v>2.3E-3</v>
          </cell>
          <cell r="P357">
            <v>2.2999999999999998</v>
          </cell>
          <cell r="Q357">
            <v>2.2999999999999998</v>
          </cell>
          <cell r="R357">
            <v>1000</v>
          </cell>
          <cell r="S357" t="str">
            <v>PCS</v>
          </cell>
          <cell r="T357">
            <v>56</v>
          </cell>
          <cell r="U357" t="str">
            <v>J3</v>
          </cell>
          <cell r="V357" t="str">
            <v>CNY</v>
          </cell>
          <cell r="W357">
            <v>10000</v>
          </cell>
          <cell r="X357">
            <v>10000</v>
          </cell>
        </row>
        <row r="358">
          <cell r="D358">
            <v>10110016349</v>
          </cell>
          <cell r="E358" t="str">
            <v>贴片陶瓷电容器</v>
          </cell>
          <cell r="F358">
            <v>11060201</v>
          </cell>
          <cell r="G358" t="str">
            <v>SH3\CAP Cer 100nF K X7R 50VDC 0402</v>
          </cell>
          <cell r="H358" t="str">
            <v>CCTC(三环)</v>
          </cell>
          <cell r="I358" t="str">
            <v>TCC0402X7R104K500AT</v>
          </cell>
          <cell r="J358">
            <v>102178</v>
          </cell>
          <cell r="K358" t="str">
            <v>潮州三环（集团）股份有限公司</v>
          </cell>
          <cell r="L358" t="str">
            <v>X</v>
          </cell>
          <cell r="M358" t="str">
            <v/>
          </cell>
          <cell r="N358">
            <v>1</v>
          </cell>
          <cell r="O358">
            <v>3.9500000000000004E-3</v>
          </cell>
          <cell r="P358">
            <v>3.95</v>
          </cell>
          <cell r="Q358">
            <v>3.95</v>
          </cell>
          <cell r="R358">
            <v>1000</v>
          </cell>
          <cell r="S358" t="str">
            <v>PCS</v>
          </cell>
          <cell r="T358">
            <v>56</v>
          </cell>
          <cell r="U358" t="str">
            <v>J3</v>
          </cell>
          <cell r="V358" t="str">
            <v>CNY</v>
          </cell>
          <cell r="W358">
            <v>10000</v>
          </cell>
          <cell r="X358">
            <v>10000</v>
          </cell>
        </row>
        <row r="359">
          <cell r="D359">
            <v>10110017022</v>
          </cell>
          <cell r="E359" t="str">
            <v>贴片陶瓷电容器</v>
          </cell>
          <cell r="F359">
            <v>11060201</v>
          </cell>
          <cell r="G359" t="str">
            <v>WALS\CAP Cer 1nF K X7R 100VDC 0402</v>
          </cell>
          <cell r="H359" t="str">
            <v>WALS(华科)</v>
          </cell>
          <cell r="I359" t="str">
            <v>0402B102K101CT</v>
          </cell>
          <cell r="J359">
            <v>100131</v>
          </cell>
          <cell r="K359" t="str">
            <v>东莞华科电子有限公司</v>
          </cell>
          <cell r="L359" t="str">
            <v>X</v>
          </cell>
          <cell r="M359" t="str">
            <v/>
          </cell>
          <cell r="N359">
            <v>1</v>
          </cell>
          <cell r="O359">
            <v>1.074E-2</v>
          </cell>
          <cell r="P359">
            <v>10.74</v>
          </cell>
          <cell r="Q359">
            <v>10.74</v>
          </cell>
          <cell r="R359">
            <v>1000</v>
          </cell>
          <cell r="S359" t="str">
            <v>PCS</v>
          </cell>
          <cell r="T359">
            <v>84</v>
          </cell>
          <cell r="U359" t="str">
            <v>J3</v>
          </cell>
          <cell r="V359" t="str">
            <v>CNY</v>
          </cell>
          <cell r="W359">
            <v>10000</v>
          </cell>
          <cell r="X359">
            <v>10000</v>
          </cell>
        </row>
        <row r="360">
          <cell r="D360">
            <v>10110017023</v>
          </cell>
          <cell r="E360" t="str">
            <v>贴片陶瓷电容器</v>
          </cell>
          <cell r="F360">
            <v>11060201</v>
          </cell>
          <cell r="G360" t="str">
            <v>YAGEO\CAP Cer 1nF K X7R 100VDC 0402</v>
          </cell>
          <cell r="H360" t="str">
            <v>YAGEO(国巨)</v>
          </cell>
          <cell r="I360" t="str">
            <v>CC0402KRX7R0BB102</v>
          </cell>
          <cell r="J360">
            <v>100632</v>
          </cell>
          <cell r="K360" t="str">
            <v>深圳市欧尔法电子有限公司</v>
          </cell>
          <cell r="L360" t="str">
            <v>X</v>
          </cell>
          <cell r="M360" t="str">
            <v/>
          </cell>
          <cell r="N360">
            <v>1</v>
          </cell>
          <cell r="O360">
            <v>6.8999999999999999E-3</v>
          </cell>
          <cell r="P360">
            <v>6.9</v>
          </cell>
          <cell r="Q360">
            <v>6.9</v>
          </cell>
          <cell r="R360">
            <v>1000</v>
          </cell>
          <cell r="S360" t="str">
            <v>PCS</v>
          </cell>
          <cell r="T360">
            <v>56</v>
          </cell>
          <cell r="U360" t="str">
            <v>J3</v>
          </cell>
          <cell r="V360" t="str">
            <v>CNY</v>
          </cell>
          <cell r="W360">
            <v>10000</v>
          </cell>
          <cell r="X360">
            <v>10000</v>
          </cell>
        </row>
        <row r="361">
          <cell r="D361">
            <v>10110019208</v>
          </cell>
          <cell r="E361" t="str">
            <v>Y1安规圆片电容器</v>
          </cell>
          <cell r="F361">
            <v>11060301</v>
          </cell>
          <cell r="G361" t="str">
            <v>WALS\CAP Y1 2.2nF M Y5U 250VAC 9*4.5 F=&amp;</v>
          </cell>
          <cell r="H361" t="str">
            <v>WALS(华科)</v>
          </cell>
          <cell r="I361" t="str">
            <v>YU0AH222M080XAFD7T</v>
          </cell>
          <cell r="J361">
            <v>100131</v>
          </cell>
          <cell r="K361" t="str">
            <v>东莞华科电子有限公司</v>
          </cell>
          <cell r="L361" t="str">
            <v>X</v>
          </cell>
          <cell r="M361" t="str">
            <v/>
          </cell>
          <cell r="N361">
            <v>1</v>
          </cell>
          <cell r="O361">
            <v>0.12429999999999999</v>
          </cell>
          <cell r="P361">
            <v>124.3</v>
          </cell>
          <cell r="Q361">
            <v>124.3</v>
          </cell>
          <cell r="R361">
            <v>1000</v>
          </cell>
          <cell r="S361" t="str">
            <v>PCS</v>
          </cell>
          <cell r="T361">
            <v>56</v>
          </cell>
          <cell r="U361" t="str">
            <v>J3</v>
          </cell>
          <cell r="V361" t="str">
            <v>CNY</v>
          </cell>
          <cell r="W361">
            <v>10000</v>
          </cell>
          <cell r="X361">
            <v>10000</v>
          </cell>
        </row>
        <row r="362">
          <cell r="D362">
            <v>10110020767</v>
          </cell>
          <cell r="E362" t="str">
            <v>贴片陶瓷电容器</v>
          </cell>
          <cell r="F362">
            <v>11060201</v>
          </cell>
          <cell r="G362" t="str">
            <v>YAGEO\CAP Cer 1uF K X7R 10VDC 0402</v>
          </cell>
          <cell r="H362" t="str">
            <v>YAGEO(国巨)</v>
          </cell>
          <cell r="I362" t="str">
            <v>CC0402KRX7R6BB105</v>
          </cell>
          <cell r="J362">
            <v>101957</v>
          </cell>
          <cell r="K362" t="str">
            <v>广东顺德集财电子有限公司</v>
          </cell>
          <cell r="L362" t="str">
            <v>X</v>
          </cell>
          <cell r="M362" t="str">
            <v/>
          </cell>
          <cell r="N362">
            <v>1</v>
          </cell>
          <cell r="O362">
            <v>5.5399999999999998E-2</v>
          </cell>
          <cell r="P362">
            <v>55.4</v>
          </cell>
          <cell r="Q362">
            <v>55.4</v>
          </cell>
          <cell r="R362">
            <v>1000</v>
          </cell>
          <cell r="S362" t="str">
            <v>PCS</v>
          </cell>
          <cell r="T362">
            <v>84</v>
          </cell>
          <cell r="U362" t="str">
            <v>J3</v>
          </cell>
          <cell r="V362" t="str">
            <v>CNY</v>
          </cell>
          <cell r="W362">
            <v>10000</v>
          </cell>
          <cell r="X362">
            <v>10000</v>
          </cell>
        </row>
        <row r="363">
          <cell r="D363">
            <v>10110024666</v>
          </cell>
          <cell r="E363" t="str">
            <v>贴片陶瓷电容器</v>
          </cell>
          <cell r="F363">
            <v>11060201</v>
          </cell>
          <cell r="G363" t="str">
            <v>SH3\CAP Cer 4.7uF K X7R 50VDC 0805</v>
          </cell>
          <cell r="H363" t="str">
            <v>CCTC(三环)</v>
          </cell>
          <cell r="I363" t="str">
            <v>TCC0805X7R475K500FT</v>
          </cell>
          <cell r="J363">
            <v>100313</v>
          </cell>
          <cell r="K363" t="str">
            <v>深圳市阳和通电子有限公司</v>
          </cell>
          <cell r="L363" t="str">
            <v>X</v>
          </cell>
          <cell r="M363" t="str">
            <v/>
          </cell>
          <cell r="N363">
            <v>1</v>
          </cell>
          <cell r="O363">
            <v>6.7000000000000004E-2</v>
          </cell>
          <cell r="P363">
            <v>67</v>
          </cell>
          <cell r="Q363">
            <v>67</v>
          </cell>
          <cell r="R363">
            <v>1000</v>
          </cell>
          <cell r="S363" t="str">
            <v>PCS</v>
          </cell>
          <cell r="T363">
            <v>56</v>
          </cell>
          <cell r="U363" t="str">
            <v>J3</v>
          </cell>
          <cell r="V363" t="str">
            <v>CNY</v>
          </cell>
          <cell r="W363">
            <v>2000</v>
          </cell>
          <cell r="X363">
            <v>2000</v>
          </cell>
        </row>
        <row r="364">
          <cell r="D364">
            <v>10110027253</v>
          </cell>
          <cell r="E364" t="str">
            <v>贴片陶瓷电容器</v>
          </cell>
          <cell r="F364">
            <v>11060201</v>
          </cell>
          <cell r="G364" t="str">
            <v>FH\CAP Cer 1uF K X7R 10VDC 0402 -55℃~12&amp;</v>
          </cell>
          <cell r="H364" t="str">
            <v>FH(风华)</v>
          </cell>
          <cell r="I364" t="str">
            <v>0402B105K100NT</v>
          </cell>
          <cell r="J364">
            <v>100654</v>
          </cell>
          <cell r="K364" t="str">
            <v>广东风华高新科技股份有限公司</v>
          </cell>
          <cell r="L364" t="str">
            <v>X</v>
          </cell>
          <cell r="M364" t="str">
            <v/>
          </cell>
          <cell r="N364">
            <v>1</v>
          </cell>
          <cell r="O364">
            <v>1.6E-2</v>
          </cell>
          <cell r="P364">
            <v>16</v>
          </cell>
          <cell r="Q364">
            <v>16</v>
          </cell>
          <cell r="R364">
            <v>1000</v>
          </cell>
          <cell r="S364" t="str">
            <v>PCS</v>
          </cell>
          <cell r="T364">
            <v>42</v>
          </cell>
          <cell r="U364" t="str">
            <v>J3</v>
          </cell>
          <cell r="V364" t="str">
            <v>CNY</v>
          </cell>
          <cell r="W364">
            <v>10000</v>
          </cell>
          <cell r="X364">
            <v>10000</v>
          </cell>
        </row>
        <row r="365">
          <cell r="D365">
            <v>10120003513</v>
          </cell>
          <cell r="E365" t="str">
            <v>贴片功率电感器</v>
          </cell>
          <cell r="F365">
            <v>12010401</v>
          </cell>
          <cell r="G365" t="str">
            <v>WE\IND 1mH M 0.48A 8*8*6.5</v>
          </cell>
          <cell r="H365" t="str">
            <v>Würth Elektronik(伍</v>
          </cell>
          <cell r="I365">
            <v>74404086102</v>
          </cell>
          <cell r="J365">
            <v>100547</v>
          </cell>
          <cell r="K365" t="str">
            <v>伍尔特(天津)电子有限公司</v>
          </cell>
          <cell r="L365" t="str">
            <v>X</v>
          </cell>
          <cell r="M365" t="str">
            <v/>
          </cell>
          <cell r="N365">
            <v>1</v>
          </cell>
          <cell r="O365">
            <v>1.52</v>
          </cell>
          <cell r="P365">
            <v>1520</v>
          </cell>
          <cell r="Q365">
            <v>1520</v>
          </cell>
          <cell r="R365">
            <v>1000</v>
          </cell>
          <cell r="S365" t="str">
            <v>PCS</v>
          </cell>
          <cell r="T365">
            <v>70</v>
          </cell>
          <cell r="U365" t="str">
            <v>J3</v>
          </cell>
          <cell r="V365" t="str">
            <v>CNY</v>
          </cell>
          <cell r="W365">
            <v>2800</v>
          </cell>
          <cell r="X365">
            <v>700</v>
          </cell>
        </row>
        <row r="366">
          <cell r="D366">
            <v>10120003563</v>
          </cell>
          <cell r="E366" t="str">
            <v>贴片功率电感器</v>
          </cell>
          <cell r="F366">
            <v>12010401</v>
          </cell>
          <cell r="G366" t="str">
            <v>3L\IND 1mH M 0.48A 8.09*7.97*6.35</v>
          </cell>
          <cell r="H366" t="str">
            <v>3L(三乐益)</v>
          </cell>
          <cell r="I366" t="str">
            <v>SNR8065-102M?</v>
          </cell>
          <cell r="J366">
            <v>101399</v>
          </cell>
          <cell r="K366" t="str">
            <v>武汉三乐益电子有限公司</v>
          </cell>
          <cell r="L366" t="str">
            <v>X</v>
          </cell>
          <cell r="M366" t="str">
            <v/>
          </cell>
          <cell r="N366">
            <v>1</v>
          </cell>
          <cell r="O366">
            <v>0.61760000000000004</v>
          </cell>
          <cell r="P366">
            <v>617.6</v>
          </cell>
          <cell r="Q366">
            <v>617.6</v>
          </cell>
          <cell r="R366">
            <v>1000</v>
          </cell>
          <cell r="S366" t="str">
            <v>PCS</v>
          </cell>
          <cell r="T366">
            <v>50</v>
          </cell>
          <cell r="U366" t="str">
            <v>J3</v>
          </cell>
          <cell r="V366" t="str">
            <v>CNY</v>
          </cell>
          <cell r="W366">
            <v>700</v>
          </cell>
          <cell r="X366">
            <v>700</v>
          </cell>
        </row>
        <row r="367">
          <cell r="D367">
            <v>10140000397</v>
          </cell>
          <cell r="E367" t="str">
            <v>贴片整流二极管</v>
          </cell>
          <cell r="F367">
            <v>14030601</v>
          </cell>
          <cell r="G367" t="str">
            <v>PANJ\Diode Rect SMA 1A 1000V GS1M</v>
          </cell>
          <cell r="H367" t="str">
            <v>PANJ(强茂)</v>
          </cell>
          <cell r="I367" t="str">
            <v>GS1M</v>
          </cell>
          <cell r="J367">
            <v>101672</v>
          </cell>
          <cell r="K367" t="str">
            <v>深圳市合信昌科技有限公司</v>
          </cell>
          <cell r="L367" t="str">
            <v>X</v>
          </cell>
          <cell r="M367" t="str">
            <v/>
          </cell>
          <cell r="N367">
            <v>1</v>
          </cell>
          <cell r="O367">
            <v>7.4999999999999997E-2</v>
          </cell>
          <cell r="P367">
            <v>75</v>
          </cell>
          <cell r="Q367">
            <v>75</v>
          </cell>
          <cell r="R367">
            <v>1000</v>
          </cell>
          <cell r="S367" t="str">
            <v>PCS</v>
          </cell>
          <cell r="T367">
            <v>60</v>
          </cell>
          <cell r="U367" t="str">
            <v>J3</v>
          </cell>
          <cell r="V367" t="str">
            <v>CNY</v>
          </cell>
          <cell r="W367">
            <v>1800</v>
          </cell>
          <cell r="X367">
            <v>1800</v>
          </cell>
        </row>
        <row r="368">
          <cell r="D368">
            <v>10140002123</v>
          </cell>
          <cell r="E368" t="str">
            <v>贴片NPN三极管(内置电阻)</v>
          </cell>
          <cell r="F368">
            <v>14050102</v>
          </cell>
          <cell r="G368" t="str">
            <v>LRC\Transistor SOT-23 0.1A 50V R1=4K7 R&amp;</v>
          </cell>
          <cell r="H368" t="str">
            <v>LRC(乐山无线电)</v>
          </cell>
          <cell r="I368" t="str">
            <v>LMUN2232LT1G</v>
          </cell>
          <cell r="J368">
            <v>101275</v>
          </cell>
          <cell r="K368" t="str">
            <v>利尔达科技集团股份有限公司</v>
          </cell>
          <cell r="L368" t="str">
            <v>X</v>
          </cell>
          <cell r="M368" t="str">
            <v/>
          </cell>
          <cell r="N368">
            <v>1</v>
          </cell>
          <cell r="O368">
            <v>3.4500000000000003E-2</v>
          </cell>
          <cell r="P368">
            <v>34.5</v>
          </cell>
          <cell r="Q368">
            <v>34.5</v>
          </cell>
          <cell r="R368">
            <v>1000</v>
          </cell>
          <cell r="S368" t="str">
            <v>PCS</v>
          </cell>
          <cell r="T368">
            <v>84</v>
          </cell>
          <cell r="U368" t="str">
            <v>J3</v>
          </cell>
          <cell r="V368" t="str">
            <v>CNY</v>
          </cell>
          <cell r="W368">
            <v>3000</v>
          </cell>
          <cell r="X368">
            <v>3000</v>
          </cell>
        </row>
        <row r="369">
          <cell r="D369">
            <v>10140002743</v>
          </cell>
          <cell r="E369" t="str">
            <v>贴片整流二极管</v>
          </cell>
          <cell r="F369">
            <v>14030601</v>
          </cell>
          <cell r="G369" t="str">
            <v>MCC\Diode Rect SMA 1A 1000V GS1M-L-TP</v>
          </cell>
          <cell r="H369" t="str">
            <v>MCC(美微科)</v>
          </cell>
          <cell r="I369" t="str">
            <v>GS1M-L-TP</v>
          </cell>
          <cell r="J369">
            <v>100629</v>
          </cell>
          <cell r="K369" t="str">
            <v>深圳市驰顺科技有限公司</v>
          </cell>
          <cell r="L369" t="str">
            <v>X</v>
          </cell>
          <cell r="M369" t="str">
            <v/>
          </cell>
          <cell r="N369">
            <v>1</v>
          </cell>
          <cell r="O369">
            <v>0.04</v>
          </cell>
          <cell r="P369">
            <v>40</v>
          </cell>
          <cell r="Q369">
            <v>40</v>
          </cell>
          <cell r="R369">
            <v>1000</v>
          </cell>
          <cell r="S369" t="str">
            <v>PCS</v>
          </cell>
          <cell r="T369">
            <v>84</v>
          </cell>
          <cell r="U369" t="str">
            <v>J3</v>
          </cell>
          <cell r="V369" t="str">
            <v>CNY</v>
          </cell>
          <cell r="W369">
            <v>7500</v>
          </cell>
          <cell r="X369">
            <v>7500</v>
          </cell>
        </row>
        <row r="370">
          <cell r="D370">
            <v>10140003381</v>
          </cell>
          <cell r="E370" t="str">
            <v>贴片整流二极管</v>
          </cell>
          <cell r="F370">
            <v>14030601</v>
          </cell>
          <cell r="G370" t="str">
            <v>LRC\Diode Rect DO-214AC 1A 1000V FM407</v>
          </cell>
          <cell r="H370" t="str">
            <v>LRC(乐山无线电)</v>
          </cell>
          <cell r="I370" t="str">
            <v>FM407</v>
          </cell>
          <cell r="J370">
            <v>101645</v>
          </cell>
          <cell r="K370" t="str">
            <v>深圳南丰电子股份有限公司</v>
          </cell>
          <cell r="L370" t="str">
            <v>X</v>
          </cell>
          <cell r="M370" t="str">
            <v/>
          </cell>
          <cell r="N370">
            <v>1</v>
          </cell>
          <cell r="O370">
            <v>3.3599999999999998E-2</v>
          </cell>
          <cell r="P370">
            <v>33.6</v>
          </cell>
          <cell r="Q370">
            <v>33.6</v>
          </cell>
          <cell r="R370">
            <v>1000</v>
          </cell>
          <cell r="S370" t="str">
            <v>PCS</v>
          </cell>
          <cell r="T370">
            <v>70</v>
          </cell>
          <cell r="U370" t="str">
            <v>J3</v>
          </cell>
          <cell r="V370" t="str">
            <v>CNY</v>
          </cell>
          <cell r="W370">
            <v>7500</v>
          </cell>
          <cell r="X370">
            <v>7500</v>
          </cell>
        </row>
        <row r="371">
          <cell r="D371">
            <v>10140003844</v>
          </cell>
          <cell r="E371" t="str">
            <v>贴片瞬态抑制二极管</v>
          </cell>
          <cell r="F371">
            <v>14030301</v>
          </cell>
          <cell r="G371" t="str">
            <v>JSCJ\Diode TVS SOD-123FL 15V 200W SMF15A</v>
          </cell>
          <cell r="H371" t="str">
            <v>JSCJ(江苏长晶)</v>
          </cell>
          <cell r="I371" t="str">
            <v>SMF15A</v>
          </cell>
          <cell r="J371">
            <v>101845</v>
          </cell>
          <cell r="K371" t="str">
            <v>深圳翰世宇科技有限公司</v>
          </cell>
          <cell r="L371" t="str">
            <v>X</v>
          </cell>
          <cell r="M371" t="str">
            <v/>
          </cell>
          <cell r="N371">
            <v>1</v>
          </cell>
          <cell r="O371">
            <v>0.13347999999999999</v>
          </cell>
          <cell r="P371">
            <v>133.47999999999999</v>
          </cell>
          <cell r="Q371">
            <v>133.47999999999999</v>
          </cell>
          <cell r="R371">
            <v>1000</v>
          </cell>
          <cell r="S371" t="str">
            <v>PCS</v>
          </cell>
          <cell r="T371">
            <v>60</v>
          </cell>
          <cell r="U371" t="str">
            <v>J3</v>
          </cell>
          <cell r="V371" t="str">
            <v>CNY</v>
          </cell>
          <cell r="W371">
            <v>3000</v>
          </cell>
          <cell r="X371">
            <v>3000</v>
          </cell>
        </row>
        <row r="372">
          <cell r="D372">
            <v>10140006310</v>
          </cell>
          <cell r="E372" t="str">
            <v>贴片NPN三极管(内置电阻)</v>
          </cell>
          <cell r="F372">
            <v>14050102</v>
          </cell>
          <cell r="G372" t="str">
            <v>JSCJ\Transistor SOT-23 100mA50V R1=4K7&amp;</v>
          </cell>
          <cell r="H372" t="str">
            <v>JSCJ(江苏长晶)</v>
          </cell>
          <cell r="I372" t="str">
            <v>DTC143ECA</v>
          </cell>
          <cell r="J372">
            <v>101845</v>
          </cell>
          <cell r="K372" t="str">
            <v>深圳翰世宇科技有限公司</v>
          </cell>
          <cell r="L372" t="str">
            <v>X</v>
          </cell>
          <cell r="M372" t="str">
            <v/>
          </cell>
          <cell r="N372">
            <v>1</v>
          </cell>
          <cell r="O372">
            <v>0.05</v>
          </cell>
          <cell r="P372">
            <v>50</v>
          </cell>
          <cell r="Q372">
            <v>50</v>
          </cell>
          <cell r="R372">
            <v>1000</v>
          </cell>
          <cell r="S372" t="str">
            <v>PCS</v>
          </cell>
          <cell r="T372">
            <v>60</v>
          </cell>
          <cell r="U372" t="str">
            <v>J3</v>
          </cell>
          <cell r="V372" t="str">
            <v>CNY</v>
          </cell>
          <cell r="W372">
            <v>3000</v>
          </cell>
          <cell r="X372">
            <v>3000</v>
          </cell>
        </row>
        <row r="373">
          <cell r="D373">
            <v>10140009195</v>
          </cell>
          <cell r="E373" t="str">
            <v>贴片快恢复二极管</v>
          </cell>
          <cell r="F373">
            <v>14030201</v>
          </cell>
          <cell r="G373" t="str">
            <v>PANJ\Diode Fast DO-214AC 1A 600V 35ns E&amp;</v>
          </cell>
          <cell r="H373" t="str">
            <v>PANJ(强茂)</v>
          </cell>
          <cell r="I373" t="str">
            <v>ES1J_R1_00001</v>
          </cell>
          <cell r="J373">
            <v>101480</v>
          </cell>
          <cell r="K373" t="str">
            <v>深圳市铭祥达电子有限公司</v>
          </cell>
          <cell r="L373" t="str">
            <v>X</v>
          </cell>
          <cell r="M373" t="str">
            <v/>
          </cell>
          <cell r="N373">
            <v>1</v>
          </cell>
          <cell r="O373">
            <v>0.1105</v>
          </cell>
          <cell r="P373">
            <v>110.5</v>
          </cell>
          <cell r="Q373">
            <v>110.5</v>
          </cell>
          <cell r="R373">
            <v>1000</v>
          </cell>
          <cell r="S373" t="str">
            <v>PCS</v>
          </cell>
          <cell r="T373">
            <v>98</v>
          </cell>
          <cell r="U373" t="str">
            <v>J3</v>
          </cell>
          <cell r="V373" t="str">
            <v>CNY</v>
          </cell>
          <cell r="W373">
            <v>7200</v>
          </cell>
          <cell r="X373">
            <v>1800</v>
          </cell>
        </row>
        <row r="374">
          <cell r="D374">
            <v>10140012358</v>
          </cell>
          <cell r="E374" t="str">
            <v>贴片整流二极管</v>
          </cell>
          <cell r="F374">
            <v>14030601</v>
          </cell>
          <cell r="G374" t="str">
            <v>JSCJ\Diode Rect SMAG 1A 1000V GS1MA</v>
          </cell>
          <cell r="H374" t="str">
            <v>JSCJ(江苏长晶)</v>
          </cell>
          <cell r="I374" t="str">
            <v>GS1MA</v>
          </cell>
          <cell r="J374">
            <v>100482</v>
          </cell>
          <cell r="K374" t="str">
            <v>东莞市意中半导体有限公司</v>
          </cell>
          <cell r="L374" t="str">
            <v>X</v>
          </cell>
          <cell r="M374" t="str">
            <v/>
          </cell>
          <cell r="N374">
            <v>1</v>
          </cell>
          <cell r="O374">
            <v>3.3000000000000002E-2</v>
          </cell>
          <cell r="P374">
            <v>33</v>
          </cell>
          <cell r="Q374">
            <v>33</v>
          </cell>
          <cell r="R374">
            <v>1000</v>
          </cell>
          <cell r="S374" t="str">
            <v>PCS</v>
          </cell>
          <cell r="T374">
            <v>65</v>
          </cell>
          <cell r="U374" t="str">
            <v>J3</v>
          </cell>
          <cell r="V374" t="str">
            <v>CNY</v>
          </cell>
          <cell r="W374">
            <v>5000</v>
          </cell>
          <cell r="X374">
            <v>5000</v>
          </cell>
        </row>
        <row r="375">
          <cell r="D375">
            <v>10150011020</v>
          </cell>
          <cell r="E375" t="str">
            <v>贴片集成稳压IC</v>
          </cell>
          <cell r="F375">
            <v>15040301</v>
          </cell>
          <cell r="G375" t="str">
            <v>SGMI\Voltage Reg TO-252-2 3.3V 1% 0.8A&amp;</v>
          </cell>
          <cell r="H375" t="str">
            <v>SGMicro(圣邦)</v>
          </cell>
          <cell r="I375" t="str">
            <v>SGM2212-3.3XOB2G/TR</v>
          </cell>
          <cell r="J375">
            <v>101535</v>
          </cell>
          <cell r="K375" t="str">
            <v>深圳市几度创想科技有限公司</v>
          </cell>
          <cell r="L375" t="str">
            <v>X</v>
          </cell>
          <cell r="M375" t="str">
            <v/>
          </cell>
          <cell r="N375">
            <v>1</v>
          </cell>
          <cell r="O375">
            <v>0.56999999999999995</v>
          </cell>
          <cell r="P375">
            <v>570</v>
          </cell>
          <cell r="Q375">
            <v>570</v>
          </cell>
          <cell r="R375">
            <v>1000</v>
          </cell>
          <cell r="S375" t="str">
            <v>PCS</v>
          </cell>
          <cell r="T375">
            <v>56</v>
          </cell>
          <cell r="U375" t="str">
            <v>J3</v>
          </cell>
          <cell r="V375" t="str">
            <v>CNY</v>
          </cell>
          <cell r="W375">
            <v>2500</v>
          </cell>
          <cell r="X375">
            <v>2500</v>
          </cell>
        </row>
        <row r="376">
          <cell r="D376">
            <v>10160006989</v>
          </cell>
          <cell r="E376" t="str">
            <v>贴片方顶可见光LED</v>
          </cell>
          <cell r="F376">
            <v>16020205</v>
          </cell>
          <cell r="G376" t="str">
            <v>REFO\LED 0603 红光 无色 透明 高亮</v>
          </cell>
          <cell r="H376" t="str">
            <v>RF(瑞丰)</v>
          </cell>
          <cell r="I376" t="str">
            <v>RF-OUB191TB-CE-B0-EL</v>
          </cell>
          <cell r="J376">
            <v>101693</v>
          </cell>
          <cell r="K376" t="str">
            <v>浙江瑞丰光电有限公司</v>
          </cell>
          <cell r="L376" t="str">
            <v>X</v>
          </cell>
          <cell r="M376" t="str">
            <v/>
          </cell>
          <cell r="N376">
            <v>1</v>
          </cell>
          <cell r="O376">
            <v>4.8399999999999999E-2</v>
          </cell>
          <cell r="P376">
            <v>48.4</v>
          </cell>
          <cell r="Q376">
            <v>48.4</v>
          </cell>
          <cell r="R376">
            <v>1000</v>
          </cell>
          <cell r="S376" t="str">
            <v>PCS</v>
          </cell>
          <cell r="T376">
            <v>28</v>
          </cell>
          <cell r="U376" t="str">
            <v>J3</v>
          </cell>
          <cell r="V376" t="str">
            <v>CNY</v>
          </cell>
          <cell r="W376">
            <v>12000</v>
          </cell>
          <cell r="X376">
            <v>12000</v>
          </cell>
        </row>
        <row r="377">
          <cell r="D377">
            <v>10160007865</v>
          </cell>
          <cell r="E377" t="str">
            <v>贴片方顶可见光LED</v>
          </cell>
          <cell r="F377">
            <v>16020205</v>
          </cell>
          <cell r="G377" t="str">
            <v>CL\LED 0603 红光 无色 透明 超高亮</v>
          </cell>
          <cell r="H377" t="str">
            <v>CL(长利)</v>
          </cell>
          <cell r="I377" t="str">
            <v>CL-0603R/YY-J8</v>
          </cell>
          <cell r="J377">
            <v>100436</v>
          </cell>
          <cell r="K377" t="str">
            <v>广东长利光电科技有限公司</v>
          </cell>
          <cell r="L377" t="str">
            <v>X</v>
          </cell>
          <cell r="M377" t="str">
            <v/>
          </cell>
          <cell r="N377">
            <v>1</v>
          </cell>
          <cell r="O377">
            <v>2.75E-2</v>
          </cell>
          <cell r="P377">
            <v>27.5</v>
          </cell>
          <cell r="Q377">
            <v>27.5</v>
          </cell>
          <cell r="R377">
            <v>1000</v>
          </cell>
          <cell r="S377" t="str">
            <v>PCS</v>
          </cell>
          <cell r="T377">
            <v>14</v>
          </cell>
          <cell r="U377" t="str">
            <v>J3</v>
          </cell>
          <cell r="V377" t="str">
            <v>CNY</v>
          </cell>
          <cell r="W377">
            <v>4000</v>
          </cell>
          <cell r="X377">
            <v>4000</v>
          </cell>
        </row>
        <row r="378">
          <cell r="D378">
            <v>10190000675</v>
          </cell>
          <cell r="E378" t="str">
            <v>方型塑壳保险丝</v>
          </cell>
          <cell r="F378">
            <v>19010105</v>
          </cell>
          <cell r="G378" t="str">
            <v>HOLLY\FUSE 3.15A 250VAC 慢断 8.5*4*7.2 F=&amp;</v>
          </cell>
          <cell r="H378" t="str">
            <v>HOLLY(好利来)</v>
          </cell>
          <cell r="I378" t="str">
            <v>5ET-032HA</v>
          </cell>
          <cell r="J378">
            <v>101345</v>
          </cell>
          <cell r="K378" t="str">
            <v>好利来（厦门）电路保护科技有限公司</v>
          </cell>
          <cell r="L378" t="str">
            <v>X</v>
          </cell>
          <cell r="M378" t="str">
            <v/>
          </cell>
          <cell r="N378">
            <v>1</v>
          </cell>
          <cell r="O378">
            <v>8.3000000000000004E-2</v>
          </cell>
          <cell r="P378">
            <v>83</v>
          </cell>
          <cell r="Q378">
            <v>83</v>
          </cell>
          <cell r="R378">
            <v>1000</v>
          </cell>
          <cell r="S378" t="str">
            <v>PCS</v>
          </cell>
          <cell r="T378">
            <v>30</v>
          </cell>
          <cell r="U378" t="str">
            <v>J3</v>
          </cell>
          <cell r="V378" t="str">
            <v>CNY</v>
          </cell>
          <cell r="W378">
            <v>1000</v>
          </cell>
          <cell r="X378">
            <v>1000</v>
          </cell>
        </row>
        <row r="379">
          <cell r="D379">
            <v>10190001176</v>
          </cell>
          <cell r="E379" t="str">
            <v>方型塑壳保险丝</v>
          </cell>
          <cell r="F379">
            <v>19010105</v>
          </cell>
          <cell r="G379" t="str">
            <v>BETT\FUSE 3.15A 250VAC 慢断 8.3*4.1*7.6 F&amp;</v>
          </cell>
          <cell r="H379" t="str">
            <v>Better(贝特)</v>
          </cell>
          <cell r="I379">
            <v>9321315278</v>
          </cell>
          <cell r="J379">
            <v>100135</v>
          </cell>
          <cell r="K379" t="str">
            <v>东莞市贝特电子科技股份有限公司</v>
          </cell>
          <cell r="L379" t="str">
            <v>X</v>
          </cell>
          <cell r="M379" t="str">
            <v/>
          </cell>
          <cell r="N379">
            <v>1</v>
          </cell>
          <cell r="O379">
            <v>9.5000000000000001E-2</v>
          </cell>
          <cell r="P379">
            <v>95</v>
          </cell>
          <cell r="Q379">
            <v>95</v>
          </cell>
          <cell r="R379">
            <v>1000</v>
          </cell>
          <cell r="S379" t="str">
            <v>PCS</v>
          </cell>
          <cell r="T379">
            <v>30</v>
          </cell>
          <cell r="U379" t="str">
            <v>J3</v>
          </cell>
          <cell r="V379" t="str">
            <v>CNY</v>
          </cell>
          <cell r="W379">
            <v>10000</v>
          </cell>
          <cell r="X379">
            <v>1000</v>
          </cell>
        </row>
        <row r="380">
          <cell r="D380">
            <v>10190002307</v>
          </cell>
          <cell r="E380" t="str">
            <v>方型塑壳保险丝</v>
          </cell>
          <cell r="F380">
            <v>19010105</v>
          </cell>
          <cell r="G380" t="str">
            <v>LITT\FUSE 3.15A250VAC 8.5*4*8 F=5.08 编带&amp;</v>
          </cell>
          <cell r="H380" t="str">
            <v>LITTELFUSE(力特)</v>
          </cell>
          <cell r="I380">
            <v>39213150000</v>
          </cell>
          <cell r="J380">
            <v>101716</v>
          </cell>
          <cell r="K380" t="str">
            <v>深圳市惠而得实业有限公司</v>
          </cell>
          <cell r="L380" t="str">
            <v>X</v>
          </cell>
          <cell r="M380" t="str">
            <v/>
          </cell>
          <cell r="N380">
            <v>1</v>
          </cell>
          <cell r="O380">
            <v>0.16950000000000001</v>
          </cell>
          <cell r="P380">
            <v>169.5</v>
          </cell>
          <cell r="Q380">
            <v>169.5</v>
          </cell>
          <cell r="R380">
            <v>1000</v>
          </cell>
          <cell r="S380" t="str">
            <v>PCS</v>
          </cell>
          <cell r="T380">
            <v>98</v>
          </cell>
          <cell r="U380" t="str">
            <v>J3</v>
          </cell>
          <cell r="V380" t="str">
            <v>CNY</v>
          </cell>
          <cell r="W380">
            <v>1400</v>
          </cell>
          <cell r="X380">
            <v>1400</v>
          </cell>
        </row>
        <row r="381">
          <cell r="D381">
            <v>10100002122</v>
          </cell>
          <cell r="E381" t="str">
            <v>厚膜贴片电阻器</v>
          </cell>
          <cell r="F381">
            <v>10010302</v>
          </cell>
          <cell r="G381" t="str">
            <v>YAGEO\RES 1K F 1/8W 0805</v>
          </cell>
          <cell r="H381" t="str">
            <v>YAGEO(国巨)</v>
          </cell>
          <cell r="I381" t="str">
            <v>RC0805FR-071KL</v>
          </cell>
          <cell r="J381">
            <v>100632</v>
          </cell>
          <cell r="K381" t="str">
            <v>深圳市欧尔法电子有限公司</v>
          </cell>
          <cell r="L381" t="str">
            <v>X</v>
          </cell>
          <cell r="M381" t="str">
            <v/>
          </cell>
          <cell r="N381">
            <v>1</v>
          </cell>
          <cell r="O381">
            <v>4.7999999999999996E-3</v>
          </cell>
          <cell r="P381">
            <v>4.8</v>
          </cell>
          <cell r="Q381">
            <v>4.8</v>
          </cell>
          <cell r="R381">
            <v>1000</v>
          </cell>
          <cell r="S381" t="str">
            <v>PCS</v>
          </cell>
          <cell r="T381">
            <v>84</v>
          </cell>
          <cell r="U381" t="str">
            <v>J3</v>
          </cell>
          <cell r="V381" t="str">
            <v>CNY</v>
          </cell>
          <cell r="W381">
            <v>5000</v>
          </cell>
          <cell r="X381">
            <v>5000</v>
          </cell>
        </row>
        <row r="382">
          <cell r="D382">
            <v>10100002123</v>
          </cell>
          <cell r="E382" t="str">
            <v>厚膜贴片电阻器</v>
          </cell>
          <cell r="F382">
            <v>10010302</v>
          </cell>
          <cell r="G382" t="str">
            <v>FH\RES 1K F 1/8W 0805</v>
          </cell>
          <cell r="H382" t="str">
            <v>FH(风华)</v>
          </cell>
          <cell r="I382" t="str">
            <v>RS-05K1001FT</v>
          </cell>
          <cell r="J382">
            <v>100654</v>
          </cell>
          <cell r="K382" t="str">
            <v>广东风华高新科技股份有限公司</v>
          </cell>
          <cell r="L382" t="str">
            <v>X</v>
          </cell>
          <cell r="M382" t="str">
            <v/>
          </cell>
          <cell r="N382">
            <v>1</v>
          </cell>
          <cell r="O382">
            <v>3.7200000000000002E-3</v>
          </cell>
          <cell r="P382">
            <v>3.72</v>
          </cell>
          <cell r="Q382">
            <v>3.72</v>
          </cell>
          <cell r="R382">
            <v>1000</v>
          </cell>
          <cell r="S382" t="str">
            <v>PCS</v>
          </cell>
          <cell r="T382">
            <v>56</v>
          </cell>
          <cell r="U382" t="str">
            <v>J3</v>
          </cell>
          <cell r="V382" t="str">
            <v>CNY</v>
          </cell>
          <cell r="W382">
            <v>5000</v>
          </cell>
          <cell r="X382">
            <v>5000</v>
          </cell>
        </row>
        <row r="383">
          <cell r="D383">
            <v>10100002658</v>
          </cell>
          <cell r="E383" t="str">
            <v>厚膜贴片电阻器</v>
          </cell>
          <cell r="F383">
            <v>10010302</v>
          </cell>
          <cell r="G383" t="str">
            <v>FH\RES 470R F 1/4W 1206</v>
          </cell>
          <cell r="H383" t="str">
            <v>FH(风华)</v>
          </cell>
          <cell r="I383" t="str">
            <v>RS-06K4700FT</v>
          </cell>
          <cell r="J383">
            <v>100654</v>
          </cell>
          <cell r="K383" t="str">
            <v>广东风华高新科技股份有限公司</v>
          </cell>
          <cell r="L383" t="str">
            <v>X</v>
          </cell>
          <cell r="M383" t="str">
            <v/>
          </cell>
          <cell r="N383">
            <v>1</v>
          </cell>
          <cell r="O383">
            <v>6.4999999999999997E-3</v>
          </cell>
          <cell r="P383">
            <v>6.5</v>
          </cell>
          <cell r="Q383">
            <v>6.5</v>
          </cell>
          <cell r="R383">
            <v>1000</v>
          </cell>
          <cell r="S383" t="str">
            <v>PCS</v>
          </cell>
          <cell r="T383">
            <v>70</v>
          </cell>
          <cell r="U383" t="str">
            <v>J3</v>
          </cell>
          <cell r="V383" t="str">
            <v>CNY</v>
          </cell>
          <cell r="W383">
            <v>5000</v>
          </cell>
          <cell r="X383">
            <v>5000</v>
          </cell>
        </row>
        <row r="384">
          <cell r="D384">
            <v>10100002659</v>
          </cell>
          <cell r="E384" t="str">
            <v>厚膜贴片电阻器</v>
          </cell>
          <cell r="F384">
            <v>10010302</v>
          </cell>
          <cell r="G384" t="str">
            <v>YAGEO\RES 470R F 1/4W 1206</v>
          </cell>
          <cell r="H384" t="str">
            <v>YAGEO(国巨)</v>
          </cell>
          <cell r="I384" t="str">
            <v>RC1206FR-07470RL</v>
          </cell>
          <cell r="J384">
            <v>100078</v>
          </cell>
          <cell r="K384" t="str">
            <v>深圳市超利维实业有限公司</v>
          </cell>
          <cell r="L384" t="str">
            <v>X</v>
          </cell>
          <cell r="M384" t="str">
            <v/>
          </cell>
          <cell r="N384">
            <v>1</v>
          </cell>
          <cell r="O384">
            <v>8.0000000000000002E-3</v>
          </cell>
          <cell r="P384">
            <v>8</v>
          </cell>
          <cell r="Q384">
            <v>8</v>
          </cell>
          <cell r="R384">
            <v>1000</v>
          </cell>
          <cell r="S384" t="str">
            <v>PCS</v>
          </cell>
          <cell r="T384">
            <v>56</v>
          </cell>
          <cell r="U384" t="str">
            <v>J3</v>
          </cell>
          <cell r="V384" t="str">
            <v>CNY</v>
          </cell>
          <cell r="W384">
            <v>5000</v>
          </cell>
          <cell r="X384">
            <v>5000</v>
          </cell>
        </row>
        <row r="385">
          <cell r="D385">
            <v>10100002715</v>
          </cell>
          <cell r="E385" t="str">
            <v>厚膜贴片电阻器</v>
          </cell>
          <cell r="F385">
            <v>10010302</v>
          </cell>
          <cell r="G385" t="str">
            <v>YAGEO\RES 5.1K F 1/8W 0805</v>
          </cell>
          <cell r="H385" t="str">
            <v>YAGEO(国巨)</v>
          </cell>
          <cell r="I385" t="str">
            <v>RC0805FR-075K1L</v>
          </cell>
          <cell r="J385">
            <v>100632</v>
          </cell>
          <cell r="K385" t="str">
            <v>深圳市欧尔法电子有限公司</v>
          </cell>
          <cell r="L385" t="str">
            <v>X</v>
          </cell>
          <cell r="M385" t="str">
            <v/>
          </cell>
          <cell r="N385">
            <v>1</v>
          </cell>
          <cell r="O385">
            <v>4.7999999999999996E-3</v>
          </cell>
          <cell r="P385">
            <v>4.8</v>
          </cell>
          <cell r="Q385">
            <v>4.8</v>
          </cell>
          <cell r="R385">
            <v>1000</v>
          </cell>
          <cell r="S385" t="str">
            <v>PCS</v>
          </cell>
          <cell r="T385">
            <v>84</v>
          </cell>
          <cell r="U385" t="str">
            <v>J3</v>
          </cell>
          <cell r="V385" t="str">
            <v>CNY</v>
          </cell>
          <cell r="W385">
            <v>5000</v>
          </cell>
          <cell r="X385">
            <v>5000</v>
          </cell>
        </row>
        <row r="386">
          <cell r="D386">
            <v>10100003500</v>
          </cell>
          <cell r="E386" t="str">
            <v>厚膜贴片电阻器</v>
          </cell>
          <cell r="F386">
            <v>10010302</v>
          </cell>
          <cell r="G386" t="str">
            <v>YAGEO\RES 4.7K F 1/10W 0603</v>
          </cell>
          <cell r="H386" t="str">
            <v>YAGEO(国巨)</v>
          </cell>
          <cell r="I386" t="str">
            <v>RC0603FR-074K7L</v>
          </cell>
          <cell r="J386">
            <v>100078</v>
          </cell>
          <cell r="K386" t="str">
            <v>深圳市超利维实业有限公司</v>
          </cell>
          <cell r="L386" t="str">
            <v>X</v>
          </cell>
          <cell r="M386" t="str">
            <v/>
          </cell>
          <cell r="N386">
            <v>1</v>
          </cell>
          <cell r="O386">
            <v>2.5999999999999999E-3</v>
          </cell>
          <cell r="P386">
            <v>2.6</v>
          </cell>
          <cell r="Q386">
            <v>2.6</v>
          </cell>
          <cell r="R386">
            <v>1000</v>
          </cell>
          <cell r="S386" t="str">
            <v>PCS</v>
          </cell>
          <cell r="T386">
            <v>56</v>
          </cell>
          <cell r="U386" t="str">
            <v>J3</v>
          </cell>
          <cell r="V386" t="str">
            <v>CNY</v>
          </cell>
          <cell r="W386">
            <v>5000</v>
          </cell>
          <cell r="X386">
            <v>5000</v>
          </cell>
        </row>
        <row r="387">
          <cell r="D387">
            <v>10100003511</v>
          </cell>
          <cell r="E387" t="str">
            <v>厚膜贴片电阻器</v>
          </cell>
          <cell r="F387">
            <v>10010302</v>
          </cell>
          <cell r="G387" t="str">
            <v>YAGEO\RES 47R F 1/4W 1206</v>
          </cell>
          <cell r="H387" t="str">
            <v>YAGEO(国巨)</v>
          </cell>
          <cell r="I387" t="str">
            <v>RC1206FR-0747RL</v>
          </cell>
          <cell r="J387">
            <v>100078</v>
          </cell>
          <cell r="K387" t="str">
            <v>深圳市超利维实业有限公司</v>
          </cell>
          <cell r="L387" t="str">
            <v>X</v>
          </cell>
          <cell r="M387" t="str">
            <v/>
          </cell>
          <cell r="N387">
            <v>1</v>
          </cell>
          <cell r="O387">
            <v>8.0000000000000002E-3</v>
          </cell>
          <cell r="P387">
            <v>8</v>
          </cell>
          <cell r="Q387">
            <v>8</v>
          </cell>
          <cell r="R387">
            <v>1000</v>
          </cell>
          <cell r="S387" t="str">
            <v>PCS</v>
          </cell>
          <cell r="T387">
            <v>56</v>
          </cell>
          <cell r="U387" t="str">
            <v>J3</v>
          </cell>
          <cell r="V387" t="str">
            <v>CNY</v>
          </cell>
          <cell r="W387">
            <v>5000</v>
          </cell>
          <cell r="X387">
            <v>5000</v>
          </cell>
        </row>
        <row r="388">
          <cell r="D388">
            <v>10100003565</v>
          </cell>
          <cell r="E388" t="str">
            <v>厚膜贴片电阻器</v>
          </cell>
          <cell r="F388">
            <v>10010302</v>
          </cell>
          <cell r="G388" t="str">
            <v>FH\RES 68K F 1/10W 0603</v>
          </cell>
          <cell r="H388" t="str">
            <v>FH(风华)</v>
          </cell>
          <cell r="I388" t="str">
            <v>RS-03K6802FT</v>
          </cell>
          <cell r="J388">
            <v>100654</v>
          </cell>
          <cell r="K388" t="str">
            <v>广东风华高新科技股份有限公司</v>
          </cell>
          <cell r="L388" t="str">
            <v>X</v>
          </cell>
          <cell r="M388" t="str">
            <v/>
          </cell>
          <cell r="N388">
            <v>1</v>
          </cell>
          <cell r="O388">
            <v>2.0799999999999998E-3</v>
          </cell>
          <cell r="P388">
            <v>2.08</v>
          </cell>
          <cell r="Q388">
            <v>2.08</v>
          </cell>
          <cell r="R388">
            <v>1000</v>
          </cell>
          <cell r="S388" t="str">
            <v>PCS</v>
          </cell>
          <cell r="T388">
            <v>56</v>
          </cell>
          <cell r="U388" t="str">
            <v>J3</v>
          </cell>
          <cell r="V388" t="str">
            <v>CNY</v>
          </cell>
          <cell r="W388">
            <v>5000</v>
          </cell>
          <cell r="X388">
            <v>5000</v>
          </cell>
        </row>
        <row r="389">
          <cell r="D389">
            <v>10100003566</v>
          </cell>
          <cell r="E389" t="str">
            <v>厚膜贴片电阻器</v>
          </cell>
          <cell r="F389">
            <v>10010302</v>
          </cell>
          <cell r="G389" t="str">
            <v>YAGEO\RES 68K F 1/10W 0603</v>
          </cell>
          <cell r="H389" t="str">
            <v>YAGEO(国巨)</v>
          </cell>
          <cell r="I389" t="str">
            <v>RC0603FR-0768KL</v>
          </cell>
          <cell r="J389">
            <v>100078</v>
          </cell>
          <cell r="K389" t="str">
            <v>深圳市超利维实业有限公司</v>
          </cell>
          <cell r="L389" t="str">
            <v>X</v>
          </cell>
          <cell r="M389" t="str">
            <v/>
          </cell>
          <cell r="N389">
            <v>1</v>
          </cell>
          <cell r="O389">
            <v>2.5999999999999999E-3</v>
          </cell>
          <cell r="P389">
            <v>2.6</v>
          </cell>
          <cell r="Q389">
            <v>2.6</v>
          </cell>
          <cell r="R389">
            <v>1000</v>
          </cell>
          <cell r="S389" t="str">
            <v>PCS</v>
          </cell>
          <cell r="T389">
            <v>56</v>
          </cell>
          <cell r="U389" t="str">
            <v>J3</v>
          </cell>
          <cell r="V389" t="str">
            <v>CNY</v>
          </cell>
          <cell r="W389">
            <v>5000</v>
          </cell>
          <cell r="X389">
            <v>5000</v>
          </cell>
        </row>
        <row r="390">
          <cell r="D390">
            <v>10100004273</v>
          </cell>
          <cell r="E390" t="str">
            <v>厚膜贴片电阻器</v>
          </cell>
          <cell r="F390">
            <v>10010302</v>
          </cell>
          <cell r="G390" t="str">
            <v>YAGEO\RES 2.2K F 1/10W 0603</v>
          </cell>
          <cell r="H390" t="str">
            <v>YAGEO(国巨)</v>
          </cell>
          <cell r="I390" t="str">
            <v>RC0603FR-072K2L</v>
          </cell>
          <cell r="J390">
            <v>100078</v>
          </cell>
          <cell r="K390" t="str">
            <v>深圳市超利维实业有限公司</v>
          </cell>
          <cell r="L390" t="str">
            <v>X</v>
          </cell>
          <cell r="M390" t="str">
            <v/>
          </cell>
          <cell r="N390">
            <v>1</v>
          </cell>
          <cell r="O390">
            <v>2.5999999999999999E-3</v>
          </cell>
          <cell r="P390">
            <v>2.6</v>
          </cell>
          <cell r="Q390">
            <v>2.6</v>
          </cell>
          <cell r="R390">
            <v>1000</v>
          </cell>
          <cell r="S390" t="str">
            <v>PCS</v>
          </cell>
          <cell r="T390">
            <v>56</v>
          </cell>
          <cell r="U390" t="str">
            <v>J3</v>
          </cell>
          <cell r="V390" t="str">
            <v>CNY</v>
          </cell>
          <cell r="W390">
            <v>5000</v>
          </cell>
          <cell r="X390">
            <v>5000</v>
          </cell>
        </row>
        <row r="391">
          <cell r="D391">
            <v>10100004833</v>
          </cell>
          <cell r="E391" t="str">
            <v>厚膜贴片电阻器</v>
          </cell>
          <cell r="F391">
            <v>10010302</v>
          </cell>
          <cell r="G391" t="str">
            <v>WALS\RES 1K F 1/8W 0805</v>
          </cell>
          <cell r="H391" t="str">
            <v>WALS(华科)</v>
          </cell>
          <cell r="I391" t="str">
            <v>WR08X1001FTL</v>
          </cell>
          <cell r="J391">
            <v>100131</v>
          </cell>
          <cell r="K391" t="str">
            <v>东莞华科电子有限公司</v>
          </cell>
          <cell r="L391" t="str">
            <v>X</v>
          </cell>
          <cell r="M391" t="str">
            <v/>
          </cell>
          <cell r="N391">
            <v>1</v>
          </cell>
          <cell r="O391">
            <v>3.8800000000000002E-3</v>
          </cell>
          <cell r="P391">
            <v>3.88</v>
          </cell>
          <cell r="Q391">
            <v>3.88</v>
          </cell>
          <cell r="R391">
            <v>1000</v>
          </cell>
          <cell r="S391" t="str">
            <v>PCS</v>
          </cell>
          <cell r="T391">
            <v>56</v>
          </cell>
          <cell r="U391" t="str">
            <v>J3</v>
          </cell>
          <cell r="V391" t="str">
            <v>CNY</v>
          </cell>
          <cell r="W391">
            <v>5000</v>
          </cell>
          <cell r="X391">
            <v>5000</v>
          </cell>
        </row>
        <row r="392">
          <cell r="D392">
            <v>10100005487</v>
          </cell>
          <cell r="E392" t="str">
            <v>厚膜贴片电阻器</v>
          </cell>
          <cell r="F392">
            <v>10010302</v>
          </cell>
          <cell r="G392" t="str">
            <v>ROYA\RES 1K F 1/8W 0805</v>
          </cell>
          <cell r="H392" t="str">
            <v>ROYALOHM(厚声)</v>
          </cell>
          <cell r="I392" t="str">
            <v>0805W8F1001T5E</v>
          </cell>
          <cell r="J392">
            <v>100003</v>
          </cell>
          <cell r="K392" t="str">
            <v>厚声国际贸易（昆山）有限公司</v>
          </cell>
          <cell r="L392" t="str">
            <v>X</v>
          </cell>
          <cell r="M392" t="str">
            <v/>
          </cell>
          <cell r="N392">
            <v>1</v>
          </cell>
          <cell r="O392">
            <v>3.8E-3</v>
          </cell>
          <cell r="P392">
            <v>3.8</v>
          </cell>
          <cell r="Q392">
            <v>3.8</v>
          </cell>
          <cell r="R392">
            <v>1000</v>
          </cell>
          <cell r="S392" t="str">
            <v>PCS</v>
          </cell>
          <cell r="T392">
            <v>56</v>
          </cell>
          <cell r="U392" t="str">
            <v>J3</v>
          </cell>
          <cell r="V392" t="str">
            <v>CNY</v>
          </cell>
          <cell r="W392">
            <v>5000</v>
          </cell>
          <cell r="X392">
            <v>5000</v>
          </cell>
        </row>
        <row r="393">
          <cell r="D393">
            <v>10100005503</v>
          </cell>
          <cell r="E393" t="str">
            <v>厚膜贴片电阻器</v>
          </cell>
          <cell r="F393">
            <v>10010302</v>
          </cell>
          <cell r="G393" t="str">
            <v>ROYA\RES 5.1K F 1/8W 0805</v>
          </cell>
          <cell r="H393" t="str">
            <v>ROYALOHM(厚声)</v>
          </cell>
          <cell r="I393" t="str">
            <v>0805W8F5101T5E</v>
          </cell>
          <cell r="J393">
            <v>100003</v>
          </cell>
          <cell r="K393" t="str">
            <v>厚声国际贸易（昆山）有限公司</v>
          </cell>
          <cell r="L393" t="str">
            <v>X</v>
          </cell>
          <cell r="M393" t="str">
            <v/>
          </cell>
          <cell r="N393">
            <v>1</v>
          </cell>
          <cell r="O393">
            <v>3.8E-3</v>
          </cell>
          <cell r="P393">
            <v>3.8</v>
          </cell>
          <cell r="Q393">
            <v>3.8</v>
          </cell>
          <cell r="R393">
            <v>1000</v>
          </cell>
          <cell r="S393" t="str">
            <v>PCS</v>
          </cell>
          <cell r="T393">
            <v>56</v>
          </cell>
          <cell r="U393" t="str">
            <v>J3</v>
          </cell>
          <cell r="V393" t="str">
            <v>CNY</v>
          </cell>
          <cell r="W393">
            <v>5000</v>
          </cell>
          <cell r="X393">
            <v>5000</v>
          </cell>
        </row>
        <row r="394">
          <cell r="D394">
            <v>10100005703</v>
          </cell>
          <cell r="E394" t="str">
            <v>厚膜贴片电阻器</v>
          </cell>
          <cell r="F394">
            <v>10010302</v>
          </cell>
          <cell r="G394" t="str">
            <v>YAGEO\RES 1K F 1/16W 0402</v>
          </cell>
          <cell r="H394" t="str">
            <v>YAGEO(国巨)</v>
          </cell>
          <cell r="I394" t="str">
            <v>RC0402FR-071KL</v>
          </cell>
          <cell r="J394">
            <v>100078</v>
          </cell>
          <cell r="K394" t="str">
            <v>深圳市超利维实业有限公司</v>
          </cell>
          <cell r="L394" t="str">
            <v>X</v>
          </cell>
          <cell r="M394" t="str">
            <v/>
          </cell>
          <cell r="N394">
            <v>1</v>
          </cell>
          <cell r="O394">
            <v>1.4E-3</v>
          </cell>
          <cell r="P394">
            <v>1.4</v>
          </cell>
          <cell r="Q394">
            <v>1.4</v>
          </cell>
          <cell r="R394">
            <v>1000</v>
          </cell>
          <cell r="S394" t="str">
            <v>PCS</v>
          </cell>
          <cell r="T394">
            <v>56</v>
          </cell>
          <cell r="U394" t="str">
            <v>J3</v>
          </cell>
          <cell r="V394" t="str">
            <v>CNY</v>
          </cell>
          <cell r="W394">
            <v>10000</v>
          </cell>
          <cell r="X394">
            <v>10000</v>
          </cell>
        </row>
        <row r="395">
          <cell r="D395">
            <v>10100005718</v>
          </cell>
          <cell r="E395" t="str">
            <v>厚膜贴片电阻器</v>
          </cell>
          <cell r="F395">
            <v>10010302</v>
          </cell>
          <cell r="G395" t="str">
            <v>FH\RES 1K F 1/16W 0402</v>
          </cell>
          <cell r="H395" t="str">
            <v>FH(风华)</v>
          </cell>
          <cell r="I395" t="str">
            <v>RC-02K1001FT</v>
          </cell>
          <cell r="J395">
            <v>100654</v>
          </cell>
          <cell r="K395" t="str">
            <v>广东风华高新科技股份有限公司</v>
          </cell>
          <cell r="L395" t="str">
            <v>X</v>
          </cell>
          <cell r="M395" t="str">
            <v/>
          </cell>
          <cell r="N395">
            <v>1</v>
          </cell>
          <cell r="O395">
            <v>1.1000000000000001E-3</v>
          </cell>
          <cell r="P395">
            <v>1.1000000000000001</v>
          </cell>
          <cell r="Q395">
            <v>1.1000000000000001</v>
          </cell>
          <cell r="R395">
            <v>1000</v>
          </cell>
          <cell r="S395" t="str">
            <v>PCS</v>
          </cell>
          <cell r="T395">
            <v>56</v>
          </cell>
          <cell r="U395" t="str">
            <v>J3</v>
          </cell>
          <cell r="V395" t="str">
            <v>CNY</v>
          </cell>
          <cell r="W395">
            <v>10000</v>
          </cell>
          <cell r="X395">
            <v>10000</v>
          </cell>
        </row>
        <row r="396">
          <cell r="D396">
            <v>10100005795</v>
          </cell>
          <cell r="E396" t="str">
            <v>厚膜贴片电阻器</v>
          </cell>
          <cell r="F396">
            <v>10010302</v>
          </cell>
          <cell r="G396" t="str">
            <v>FH\RES 10K F 1/16W 0402</v>
          </cell>
          <cell r="H396" t="str">
            <v>FH(风华)</v>
          </cell>
          <cell r="I396" t="str">
            <v>RC-02K1002FT</v>
          </cell>
          <cell r="J396">
            <v>100654</v>
          </cell>
          <cell r="K396" t="str">
            <v>广东风华高新科技股份有限公司</v>
          </cell>
          <cell r="L396" t="str">
            <v>X</v>
          </cell>
          <cell r="M396" t="str">
            <v/>
          </cell>
          <cell r="N396">
            <v>1</v>
          </cell>
          <cell r="O396">
            <v>1.1000000000000001E-3</v>
          </cell>
          <cell r="P396">
            <v>1.1000000000000001</v>
          </cell>
          <cell r="Q396">
            <v>1.1000000000000001</v>
          </cell>
          <cell r="R396">
            <v>1000</v>
          </cell>
          <cell r="S396" t="str">
            <v>PCS</v>
          </cell>
          <cell r="T396">
            <v>56</v>
          </cell>
          <cell r="U396" t="str">
            <v>J3</v>
          </cell>
          <cell r="V396" t="str">
            <v>CNY</v>
          </cell>
          <cell r="W396">
            <v>10000</v>
          </cell>
          <cell r="X396">
            <v>10000</v>
          </cell>
        </row>
        <row r="397">
          <cell r="D397">
            <v>10100006398</v>
          </cell>
          <cell r="E397" t="str">
            <v>厚膜贴片电阻器</v>
          </cell>
          <cell r="F397">
            <v>10010302</v>
          </cell>
          <cell r="G397" t="str">
            <v>FH\RES 47R F 1/4W 1206</v>
          </cell>
          <cell r="H397" t="str">
            <v>FH(风华)</v>
          </cell>
          <cell r="I397" t="str">
            <v>RS-06K47R0FT</v>
          </cell>
          <cell r="J397">
            <v>100654</v>
          </cell>
          <cell r="K397" t="str">
            <v>广东风华高新科技股份有限公司</v>
          </cell>
          <cell r="L397" t="str">
            <v>X</v>
          </cell>
          <cell r="M397" t="str">
            <v/>
          </cell>
          <cell r="N397">
            <v>1</v>
          </cell>
          <cell r="O397">
            <v>6.3699999999999998E-3</v>
          </cell>
          <cell r="P397">
            <v>6.37</v>
          </cell>
          <cell r="Q397">
            <v>6.37</v>
          </cell>
          <cell r="R397">
            <v>1000</v>
          </cell>
          <cell r="S397" t="str">
            <v>PCS</v>
          </cell>
          <cell r="T397">
            <v>70</v>
          </cell>
          <cell r="U397" t="str">
            <v>J3</v>
          </cell>
          <cell r="V397" t="str">
            <v>CNY</v>
          </cell>
          <cell r="W397">
            <v>5000</v>
          </cell>
          <cell r="X397">
            <v>5000</v>
          </cell>
        </row>
        <row r="398">
          <cell r="D398">
            <v>10100006494</v>
          </cell>
          <cell r="E398" t="str">
            <v>厚膜贴片电阻器</v>
          </cell>
          <cell r="F398">
            <v>10010302</v>
          </cell>
          <cell r="G398" t="str">
            <v>FH\RES 2.2K F 1/10W 0603</v>
          </cell>
          <cell r="H398" t="str">
            <v>FH(风华)</v>
          </cell>
          <cell r="I398" t="str">
            <v>RS-03K2201FT</v>
          </cell>
          <cell r="J398">
            <v>100654</v>
          </cell>
          <cell r="K398" t="str">
            <v>广东风华高新科技股份有限公司</v>
          </cell>
          <cell r="L398" t="str">
            <v>X</v>
          </cell>
          <cell r="M398" t="str">
            <v/>
          </cell>
          <cell r="N398">
            <v>1</v>
          </cell>
          <cell r="O398">
            <v>2.0799999999999998E-3</v>
          </cell>
          <cell r="P398">
            <v>2.08</v>
          </cell>
          <cell r="Q398">
            <v>2.08</v>
          </cell>
          <cell r="R398">
            <v>1000</v>
          </cell>
          <cell r="S398" t="str">
            <v>PCS</v>
          </cell>
          <cell r="T398">
            <v>56</v>
          </cell>
          <cell r="U398" t="str">
            <v>J3</v>
          </cell>
          <cell r="V398" t="str">
            <v>CNY</v>
          </cell>
          <cell r="W398">
            <v>5000</v>
          </cell>
          <cell r="X398">
            <v>5000</v>
          </cell>
        </row>
        <row r="399">
          <cell r="D399">
            <v>10100006507</v>
          </cell>
          <cell r="E399" t="str">
            <v>厚膜贴片电阻器</v>
          </cell>
          <cell r="F399">
            <v>10010302</v>
          </cell>
          <cell r="G399" t="str">
            <v>FH\RES 4.7K F 1/10W 0603</v>
          </cell>
          <cell r="H399" t="str">
            <v>FH(风华)</v>
          </cell>
          <cell r="I399" t="str">
            <v>RS-03K4701FT</v>
          </cell>
          <cell r="J399">
            <v>100654</v>
          </cell>
          <cell r="K399" t="str">
            <v>广东风华高新科技股份有限公司</v>
          </cell>
          <cell r="L399" t="str">
            <v>X</v>
          </cell>
          <cell r="M399" t="str">
            <v/>
          </cell>
          <cell r="N399">
            <v>1</v>
          </cell>
          <cell r="O399">
            <v>2.0799999999999998E-3</v>
          </cell>
          <cell r="P399">
            <v>2.08</v>
          </cell>
          <cell r="Q399">
            <v>2.08</v>
          </cell>
          <cell r="R399">
            <v>1000</v>
          </cell>
          <cell r="S399" t="str">
            <v>PCS</v>
          </cell>
          <cell r="T399">
            <v>56</v>
          </cell>
          <cell r="U399" t="str">
            <v>J3</v>
          </cell>
          <cell r="V399" t="str">
            <v>CNY</v>
          </cell>
          <cell r="W399">
            <v>5000</v>
          </cell>
          <cell r="X399">
            <v>5000</v>
          </cell>
        </row>
        <row r="400">
          <cell r="D400">
            <v>10100006627</v>
          </cell>
          <cell r="E400" t="str">
            <v>厚膜贴片电阻器</v>
          </cell>
          <cell r="F400">
            <v>10010302</v>
          </cell>
          <cell r="G400" t="str">
            <v>FH\RES 5.1K F 1/8W 0805</v>
          </cell>
          <cell r="H400" t="str">
            <v>FH(风华)</v>
          </cell>
          <cell r="I400" t="str">
            <v>RS-05K5101FT</v>
          </cell>
          <cell r="J400">
            <v>100654</v>
          </cell>
          <cell r="K400" t="str">
            <v>广东风华高新科技股份有限公司</v>
          </cell>
          <cell r="L400" t="str">
            <v>X</v>
          </cell>
          <cell r="M400" t="str">
            <v/>
          </cell>
          <cell r="N400">
            <v>1</v>
          </cell>
          <cell r="O400">
            <v>3.7200000000000002E-3</v>
          </cell>
          <cell r="P400">
            <v>3.72</v>
          </cell>
          <cell r="Q400">
            <v>3.72</v>
          </cell>
          <cell r="R400">
            <v>1000</v>
          </cell>
          <cell r="S400" t="str">
            <v>PCS</v>
          </cell>
          <cell r="T400">
            <v>56</v>
          </cell>
          <cell r="U400" t="str">
            <v>J3</v>
          </cell>
          <cell r="V400" t="str">
            <v>CNY</v>
          </cell>
          <cell r="W400">
            <v>5000</v>
          </cell>
          <cell r="X400">
            <v>5000</v>
          </cell>
        </row>
        <row r="401">
          <cell r="D401">
            <v>10100006711</v>
          </cell>
          <cell r="E401" t="str">
            <v>厚膜贴片电阻器</v>
          </cell>
          <cell r="F401">
            <v>10010302</v>
          </cell>
          <cell r="G401" t="str">
            <v>WALS\RES 1K F 1/16W 0402</v>
          </cell>
          <cell r="H401" t="str">
            <v>WALS(华科)</v>
          </cell>
          <cell r="I401" t="str">
            <v>WR04X1001FTL</v>
          </cell>
          <cell r="J401">
            <v>100131</v>
          </cell>
          <cell r="K401" t="str">
            <v>东莞华科电子有限公司</v>
          </cell>
          <cell r="L401" t="str">
            <v>X</v>
          </cell>
          <cell r="M401" t="str">
            <v/>
          </cell>
          <cell r="N401">
            <v>1</v>
          </cell>
          <cell r="O401">
            <v>1.17E-3</v>
          </cell>
          <cell r="P401">
            <v>1.17</v>
          </cell>
          <cell r="Q401">
            <v>1.17</v>
          </cell>
          <cell r="R401">
            <v>1000</v>
          </cell>
          <cell r="S401" t="str">
            <v>PCS</v>
          </cell>
          <cell r="T401">
            <v>56</v>
          </cell>
          <cell r="U401" t="str">
            <v>J3</v>
          </cell>
          <cell r="V401" t="str">
            <v>CNY</v>
          </cell>
          <cell r="W401">
            <v>10000</v>
          </cell>
          <cell r="X401">
            <v>10000</v>
          </cell>
        </row>
        <row r="402">
          <cell r="D402">
            <v>10100006793</v>
          </cell>
          <cell r="E402" t="str">
            <v>厚膜贴片电阻器</v>
          </cell>
          <cell r="F402">
            <v>10010302</v>
          </cell>
          <cell r="G402" t="str">
            <v>WALS\RES 68K F 1/10W 0603</v>
          </cell>
          <cell r="H402" t="str">
            <v>WALS(华科)</v>
          </cell>
          <cell r="I402" t="str">
            <v>WR06X6802FTL</v>
          </cell>
          <cell r="J402">
            <v>100131</v>
          </cell>
          <cell r="K402" t="str">
            <v>东莞华科电子有限公司</v>
          </cell>
          <cell r="L402" t="str">
            <v>X</v>
          </cell>
          <cell r="M402" t="str">
            <v/>
          </cell>
          <cell r="N402">
            <v>1</v>
          </cell>
          <cell r="O402">
            <v>2.2200000000000002E-3</v>
          </cell>
          <cell r="P402">
            <v>2.2200000000000002</v>
          </cell>
          <cell r="Q402">
            <v>2.2200000000000002</v>
          </cell>
          <cell r="R402">
            <v>1000</v>
          </cell>
          <cell r="S402" t="str">
            <v>PCS</v>
          </cell>
          <cell r="T402">
            <v>56</v>
          </cell>
          <cell r="U402" t="str">
            <v>J3</v>
          </cell>
          <cell r="V402" t="str">
            <v>CNY</v>
          </cell>
          <cell r="W402">
            <v>5000</v>
          </cell>
          <cell r="X402">
            <v>5000</v>
          </cell>
        </row>
        <row r="403">
          <cell r="D403">
            <v>10100006809</v>
          </cell>
          <cell r="E403" t="str">
            <v>厚膜贴片电阻器</v>
          </cell>
          <cell r="F403">
            <v>10010302</v>
          </cell>
          <cell r="G403" t="str">
            <v>WALS\RES 2.2K F 1/10W 0603</v>
          </cell>
          <cell r="H403" t="str">
            <v>WALS(华科)</v>
          </cell>
          <cell r="I403" t="str">
            <v>WR06X2201FTL</v>
          </cell>
          <cell r="J403">
            <v>100131</v>
          </cell>
          <cell r="K403" t="str">
            <v>东莞华科电子有限公司</v>
          </cell>
          <cell r="L403" t="str">
            <v>X</v>
          </cell>
          <cell r="M403" t="str">
            <v/>
          </cell>
          <cell r="N403">
            <v>1</v>
          </cell>
          <cell r="O403">
            <v>2.2200000000000002E-3</v>
          </cell>
          <cell r="P403">
            <v>2.2200000000000002</v>
          </cell>
          <cell r="Q403">
            <v>2.2200000000000002</v>
          </cell>
          <cell r="R403">
            <v>1000</v>
          </cell>
          <cell r="S403" t="str">
            <v>PCS</v>
          </cell>
          <cell r="T403">
            <v>56</v>
          </cell>
          <cell r="U403" t="str">
            <v>J3</v>
          </cell>
          <cell r="V403" t="str">
            <v>CNY</v>
          </cell>
          <cell r="W403">
            <v>5000</v>
          </cell>
          <cell r="X403">
            <v>5000</v>
          </cell>
        </row>
        <row r="404">
          <cell r="D404">
            <v>10100006845</v>
          </cell>
          <cell r="E404" t="str">
            <v>厚膜贴片电阻器</v>
          </cell>
          <cell r="F404">
            <v>10010302</v>
          </cell>
          <cell r="G404" t="str">
            <v>WALS\RES 4.7K F 1/10W 0603</v>
          </cell>
          <cell r="H404" t="str">
            <v>WALS(华科)</v>
          </cell>
          <cell r="I404" t="str">
            <v>WR06X4701FTL</v>
          </cell>
          <cell r="J404">
            <v>100131</v>
          </cell>
          <cell r="K404" t="str">
            <v>东莞华科电子有限公司</v>
          </cell>
          <cell r="L404" t="str">
            <v>X</v>
          </cell>
          <cell r="M404" t="str">
            <v/>
          </cell>
          <cell r="N404">
            <v>1</v>
          </cell>
          <cell r="O404">
            <v>2.2200000000000002E-3</v>
          </cell>
          <cell r="P404">
            <v>2.2200000000000002</v>
          </cell>
          <cell r="Q404">
            <v>2.2200000000000002</v>
          </cell>
          <cell r="R404">
            <v>1000</v>
          </cell>
          <cell r="S404" t="str">
            <v>PCS</v>
          </cell>
          <cell r="T404">
            <v>56</v>
          </cell>
          <cell r="U404" t="str">
            <v>J3</v>
          </cell>
          <cell r="V404" t="str">
            <v>CNY</v>
          </cell>
          <cell r="W404">
            <v>5000</v>
          </cell>
          <cell r="X404">
            <v>5000</v>
          </cell>
        </row>
        <row r="405">
          <cell r="D405">
            <v>10100006984</v>
          </cell>
          <cell r="E405" t="str">
            <v>厚膜贴片电阻器</v>
          </cell>
          <cell r="F405">
            <v>10010302</v>
          </cell>
          <cell r="G405" t="str">
            <v>WALS\RES 470R F 1/4W 1206</v>
          </cell>
          <cell r="H405" t="str">
            <v>WALS(华科)</v>
          </cell>
          <cell r="I405" t="str">
            <v>WR12X4700FTL</v>
          </cell>
          <cell r="J405">
            <v>100131</v>
          </cell>
          <cell r="K405" t="str">
            <v>东莞华科电子有限公司</v>
          </cell>
          <cell r="L405" t="str">
            <v>X</v>
          </cell>
          <cell r="M405" t="str">
            <v/>
          </cell>
          <cell r="N405">
            <v>1</v>
          </cell>
          <cell r="O405">
            <v>6.9499999999999996E-3</v>
          </cell>
          <cell r="P405">
            <v>6.95</v>
          </cell>
          <cell r="Q405">
            <v>6.95</v>
          </cell>
          <cell r="R405">
            <v>1000</v>
          </cell>
          <cell r="S405" t="str">
            <v>PCS</v>
          </cell>
          <cell r="T405">
            <v>70</v>
          </cell>
          <cell r="U405" t="str">
            <v>J3</v>
          </cell>
          <cell r="V405" t="str">
            <v>CNY</v>
          </cell>
          <cell r="W405">
            <v>5000</v>
          </cell>
          <cell r="X405">
            <v>5000</v>
          </cell>
        </row>
        <row r="406">
          <cell r="D406">
            <v>10100007109</v>
          </cell>
          <cell r="E406" t="str">
            <v>厚膜贴片电阻器</v>
          </cell>
          <cell r="F406">
            <v>10010302</v>
          </cell>
          <cell r="G406" t="str">
            <v>WALS\RES 5.1K F 1/8W 0805</v>
          </cell>
          <cell r="H406" t="str">
            <v>WALS(华科)</v>
          </cell>
          <cell r="I406" t="str">
            <v>WR08X5101FTL</v>
          </cell>
          <cell r="J406">
            <v>100131</v>
          </cell>
          <cell r="K406" t="str">
            <v>东莞华科电子有限公司</v>
          </cell>
          <cell r="L406" t="str">
            <v>X</v>
          </cell>
          <cell r="M406" t="str">
            <v/>
          </cell>
          <cell r="N406">
            <v>1</v>
          </cell>
          <cell r="O406">
            <v>4.15E-3</v>
          </cell>
          <cell r="P406">
            <v>4.1500000000000004</v>
          </cell>
          <cell r="Q406">
            <v>4.1500000000000004</v>
          </cell>
          <cell r="R406">
            <v>1000</v>
          </cell>
          <cell r="S406" t="str">
            <v>PCS</v>
          </cell>
          <cell r="T406">
            <v>56</v>
          </cell>
          <cell r="U406" t="str">
            <v>J3</v>
          </cell>
          <cell r="V406" t="str">
            <v>CNY</v>
          </cell>
          <cell r="W406">
            <v>5000</v>
          </cell>
          <cell r="X406">
            <v>5000</v>
          </cell>
        </row>
        <row r="407">
          <cell r="D407">
            <v>10100007109</v>
          </cell>
          <cell r="E407" t="str">
            <v>厚膜贴片电阻器</v>
          </cell>
          <cell r="F407">
            <v>10010302</v>
          </cell>
          <cell r="G407" t="str">
            <v>WALS\RES 5.1K F 1/8W 0805</v>
          </cell>
          <cell r="H407" t="str">
            <v>WALS(华科)</v>
          </cell>
          <cell r="I407" t="str">
            <v>WR08X5101FTL</v>
          </cell>
          <cell r="J407">
            <v>100131</v>
          </cell>
          <cell r="K407" t="str">
            <v>东莞华科电子有限公司</v>
          </cell>
          <cell r="L407" t="str">
            <v>X</v>
          </cell>
          <cell r="M407" t="str">
            <v/>
          </cell>
          <cell r="N407">
            <v>1</v>
          </cell>
          <cell r="O407">
            <v>3.8800000000000002E-3</v>
          </cell>
          <cell r="P407">
            <v>3.88</v>
          </cell>
          <cell r="Q407">
            <v>3.88</v>
          </cell>
          <cell r="R407">
            <v>1000</v>
          </cell>
          <cell r="S407" t="str">
            <v>PCS</v>
          </cell>
          <cell r="T407">
            <v>56</v>
          </cell>
          <cell r="U407" t="str">
            <v>J3</v>
          </cell>
          <cell r="V407" t="str">
            <v>CNY</v>
          </cell>
          <cell r="W407">
            <v>5000</v>
          </cell>
          <cell r="X407">
            <v>5000</v>
          </cell>
        </row>
        <row r="408">
          <cell r="D408">
            <v>10100007174</v>
          </cell>
          <cell r="E408" t="str">
            <v>厚膜贴片电阻器</v>
          </cell>
          <cell r="F408">
            <v>10010302</v>
          </cell>
          <cell r="G408" t="str">
            <v>WALS\RES 47R F 1/4W 1206</v>
          </cell>
          <cell r="H408" t="str">
            <v>WALS(华科)</v>
          </cell>
          <cell r="I408" t="str">
            <v>WR12X47R0FTL</v>
          </cell>
          <cell r="J408">
            <v>100131</v>
          </cell>
          <cell r="K408" t="str">
            <v>东莞华科电子有限公司</v>
          </cell>
          <cell r="L408" t="str">
            <v>X</v>
          </cell>
          <cell r="M408" t="str">
            <v/>
          </cell>
          <cell r="N408">
            <v>1</v>
          </cell>
          <cell r="O408">
            <v>6.9499999999999996E-3</v>
          </cell>
          <cell r="P408">
            <v>6.95</v>
          </cell>
          <cell r="Q408">
            <v>6.95</v>
          </cell>
          <cell r="R408">
            <v>1000</v>
          </cell>
          <cell r="S408" t="str">
            <v>PCS</v>
          </cell>
          <cell r="T408">
            <v>70</v>
          </cell>
          <cell r="U408" t="str">
            <v>J3</v>
          </cell>
          <cell r="V408" t="str">
            <v>CNY</v>
          </cell>
          <cell r="W408">
            <v>5000</v>
          </cell>
          <cell r="X408">
            <v>5000</v>
          </cell>
        </row>
        <row r="409">
          <cell r="D409">
            <v>10100007562</v>
          </cell>
          <cell r="E409" t="str">
            <v>厚膜贴片电阻器</v>
          </cell>
          <cell r="F409">
            <v>10010302</v>
          </cell>
          <cell r="G409" t="str">
            <v>YAGEO\RES 100R F 1/4W 1206</v>
          </cell>
          <cell r="H409" t="str">
            <v>YAGEO(国巨)</v>
          </cell>
          <cell r="I409" t="str">
            <v>RC1206FR-07100RL</v>
          </cell>
          <cell r="J409">
            <v>100078</v>
          </cell>
          <cell r="K409" t="str">
            <v>深圳市超利维实业有限公司</v>
          </cell>
          <cell r="L409" t="str">
            <v>X</v>
          </cell>
          <cell r="M409" t="str">
            <v/>
          </cell>
          <cell r="N409">
            <v>1</v>
          </cell>
          <cell r="O409">
            <v>8.0000000000000002E-3</v>
          </cell>
          <cell r="P409">
            <v>8</v>
          </cell>
          <cell r="Q409">
            <v>8</v>
          </cell>
          <cell r="R409">
            <v>1000</v>
          </cell>
          <cell r="S409" t="str">
            <v>PCS</v>
          </cell>
          <cell r="T409">
            <v>56</v>
          </cell>
          <cell r="U409" t="str">
            <v>J3</v>
          </cell>
          <cell r="V409" t="str">
            <v>CNY</v>
          </cell>
          <cell r="W409">
            <v>5000</v>
          </cell>
          <cell r="X409">
            <v>5000</v>
          </cell>
        </row>
        <row r="410">
          <cell r="D410">
            <v>10100007615</v>
          </cell>
          <cell r="E410" t="str">
            <v>厚膜贴片电阻器</v>
          </cell>
          <cell r="F410">
            <v>10010302</v>
          </cell>
          <cell r="G410" t="str">
            <v>YAGEO\RES 100R F 1/16W 0402</v>
          </cell>
          <cell r="H410" t="str">
            <v>YAGEO(国巨)</v>
          </cell>
          <cell r="I410" t="str">
            <v>RC0402FR-07100RL</v>
          </cell>
          <cell r="J410">
            <v>100078</v>
          </cell>
          <cell r="K410" t="str">
            <v>深圳市超利维实业有限公司</v>
          </cell>
          <cell r="L410" t="str">
            <v>X</v>
          </cell>
          <cell r="M410" t="str">
            <v/>
          </cell>
          <cell r="N410">
            <v>1</v>
          </cell>
          <cell r="O410">
            <v>1.4E-3</v>
          </cell>
          <cell r="P410">
            <v>1.4</v>
          </cell>
          <cell r="Q410">
            <v>1.4</v>
          </cell>
          <cell r="R410">
            <v>1000</v>
          </cell>
          <cell r="S410" t="str">
            <v>PCS</v>
          </cell>
          <cell r="T410">
            <v>56</v>
          </cell>
          <cell r="U410" t="str">
            <v>J3</v>
          </cell>
          <cell r="V410" t="str">
            <v>CNY</v>
          </cell>
          <cell r="W410">
            <v>10000</v>
          </cell>
          <cell r="X410">
            <v>10000</v>
          </cell>
        </row>
        <row r="411">
          <cell r="D411">
            <v>10100007852</v>
          </cell>
          <cell r="E411" t="str">
            <v>厚膜贴片电阻器</v>
          </cell>
          <cell r="F411">
            <v>10010302</v>
          </cell>
          <cell r="G411" t="str">
            <v>YAGEO\RES 300K F 1/4W 1206</v>
          </cell>
          <cell r="H411" t="str">
            <v>YAGEO(国巨)</v>
          </cell>
          <cell r="I411" t="str">
            <v>RC1206FR-07300KL</v>
          </cell>
          <cell r="J411">
            <v>100078</v>
          </cell>
          <cell r="K411" t="str">
            <v>深圳市超利维实业有限公司</v>
          </cell>
          <cell r="L411" t="str">
            <v>X</v>
          </cell>
          <cell r="M411" t="str">
            <v/>
          </cell>
          <cell r="N411">
            <v>1</v>
          </cell>
          <cell r="O411">
            <v>8.0000000000000002E-3</v>
          </cell>
          <cell r="P411">
            <v>8</v>
          </cell>
          <cell r="Q411">
            <v>8</v>
          </cell>
          <cell r="R411">
            <v>1000</v>
          </cell>
          <cell r="S411" t="str">
            <v>PCS</v>
          </cell>
          <cell r="T411">
            <v>56</v>
          </cell>
          <cell r="U411" t="str">
            <v>J3</v>
          </cell>
          <cell r="V411" t="str">
            <v>CNY</v>
          </cell>
          <cell r="W411">
            <v>5000</v>
          </cell>
          <cell r="X411">
            <v>5000</v>
          </cell>
        </row>
        <row r="412">
          <cell r="D412">
            <v>10100008011</v>
          </cell>
          <cell r="E412" t="str">
            <v>厚膜贴片电阻器</v>
          </cell>
          <cell r="F412">
            <v>10010302</v>
          </cell>
          <cell r="G412" t="str">
            <v>WALS\RES 100R F 1/4W 1206</v>
          </cell>
          <cell r="H412" t="str">
            <v>WALS(华科)</v>
          </cell>
          <cell r="I412" t="str">
            <v>WR12X1000FTL</v>
          </cell>
          <cell r="J412">
            <v>100131</v>
          </cell>
          <cell r="K412" t="str">
            <v>东莞华科电子有限公司</v>
          </cell>
          <cell r="L412" t="str">
            <v>X</v>
          </cell>
          <cell r="M412" t="str">
            <v/>
          </cell>
          <cell r="N412">
            <v>1</v>
          </cell>
          <cell r="O412">
            <v>6.9499999999999996E-3</v>
          </cell>
          <cell r="P412">
            <v>6.95</v>
          </cell>
          <cell r="Q412">
            <v>6.95</v>
          </cell>
          <cell r="R412">
            <v>1000</v>
          </cell>
          <cell r="S412" t="str">
            <v>PCS</v>
          </cell>
          <cell r="T412">
            <v>70</v>
          </cell>
          <cell r="U412" t="str">
            <v>J3</v>
          </cell>
          <cell r="V412" t="str">
            <v>CNY</v>
          </cell>
          <cell r="W412">
            <v>5000</v>
          </cell>
          <cell r="X412">
            <v>5000</v>
          </cell>
        </row>
        <row r="413">
          <cell r="D413">
            <v>10100008057</v>
          </cell>
          <cell r="E413" t="str">
            <v>厚膜贴片电阻器</v>
          </cell>
          <cell r="F413">
            <v>10010302</v>
          </cell>
          <cell r="G413" t="str">
            <v>FH\RES 22K F 1/16W 0402</v>
          </cell>
          <cell r="H413" t="str">
            <v>FH(风华)</v>
          </cell>
          <cell r="I413" t="str">
            <v>RC-02K2202FT</v>
          </cell>
          <cell r="J413">
            <v>100654</v>
          </cell>
          <cell r="K413" t="str">
            <v>广东风华高新科技股份有限公司</v>
          </cell>
          <cell r="L413" t="str">
            <v>X</v>
          </cell>
          <cell r="M413" t="str">
            <v/>
          </cell>
          <cell r="N413">
            <v>1</v>
          </cell>
          <cell r="O413">
            <v>1.1000000000000001E-3</v>
          </cell>
          <cell r="P413">
            <v>1.1000000000000001</v>
          </cell>
          <cell r="Q413">
            <v>1.1000000000000001</v>
          </cell>
          <cell r="R413">
            <v>1000</v>
          </cell>
          <cell r="S413" t="str">
            <v>PCS</v>
          </cell>
          <cell r="T413">
            <v>56</v>
          </cell>
          <cell r="U413" t="str">
            <v>J3</v>
          </cell>
          <cell r="V413" t="str">
            <v>CNY</v>
          </cell>
          <cell r="W413">
            <v>10000</v>
          </cell>
          <cell r="X413">
            <v>10000</v>
          </cell>
        </row>
        <row r="414">
          <cell r="D414">
            <v>10100008069</v>
          </cell>
          <cell r="E414" t="str">
            <v>厚膜贴片电阻器</v>
          </cell>
          <cell r="F414">
            <v>10010302</v>
          </cell>
          <cell r="G414" t="str">
            <v>WALS\RES 22K F 1/16W 0402</v>
          </cell>
          <cell r="H414" t="str">
            <v>WALS(华科)</v>
          </cell>
          <cell r="I414" t="str">
            <v>WR04X2202FTL</v>
          </cell>
          <cell r="J414">
            <v>100131</v>
          </cell>
          <cell r="K414" t="str">
            <v>东莞华科电子有限公司</v>
          </cell>
          <cell r="L414" t="str">
            <v>X</v>
          </cell>
          <cell r="M414" t="str">
            <v/>
          </cell>
          <cell r="N414">
            <v>1</v>
          </cell>
          <cell r="O414">
            <v>1.17E-3</v>
          </cell>
          <cell r="P414">
            <v>1.17</v>
          </cell>
          <cell r="Q414">
            <v>1.17</v>
          </cell>
          <cell r="R414">
            <v>1000</v>
          </cell>
          <cell r="S414" t="str">
            <v>PCS</v>
          </cell>
          <cell r="T414">
            <v>56</v>
          </cell>
          <cell r="U414" t="str">
            <v>J3</v>
          </cell>
          <cell r="V414" t="str">
            <v>CNY</v>
          </cell>
          <cell r="W414">
            <v>10000</v>
          </cell>
          <cell r="X414">
            <v>10000</v>
          </cell>
        </row>
        <row r="415">
          <cell r="D415">
            <v>10100008075</v>
          </cell>
          <cell r="E415" t="str">
            <v>厚膜贴片电阻器</v>
          </cell>
          <cell r="F415">
            <v>10010302</v>
          </cell>
          <cell r="G415" t="str">
            <v>YAGEO\RES 22K F 1/16W 0402</v>
          </cell>
          <cell r="H415" t="str">
            <v>YAGEO(国巨)</v>
          </cell>
          <cell r="I415" t="str">
            <v>RC0402FR-0722KL</v>
          </cell>
          <cell r="J415">
            <v>100078</v>
          </cell>
          <cell r="K415" t="str">
            <v>深圳市超利维实业有限公司</v>
          </cell>
          <cell r="L415" t="str">
            <v>X</v>
          </cell>
          <cell r="M415" t="str">
            <v/>
          </cell>
          <cell r="N415">
            <v>1</v>
          </cell>
          <cell r="O415">
            <v>1.4E-3</v>
          </cell>
          <cell r="P415">
            <v>1.4</v>
          </cell>
          <cell r="Q415">
            <v>1.4</v>
          </cell>
          <cell r="R415">
            <v>1000</v>
          </cell>
          <cell r="S415" t="str">
            <v>PCS</v>
          </cell>
          <cell r="T415">
            <v>56</v>
          </cell>
          <cell r="U415" t="str">
            <v>J3</v>
          </cell>
          <cell r="V415" t="str">
            <v>CNY</v>
          </cell>
          <cell r="W415">
            <v>10000</v>
          </cell>
          <cell r="X415">
            <v>10000</v>
          </cell>
        </row>
        <row r="416">
          <cell r="D416">
            <v>10100008302</v>
          </cell>
          <cell r="E416" t="str">
            <v>厚膜贴片电阻器</v>
          </cell>
          <cell r="F416">
            <v>10010302</v>
          </cell>
          <cell r="G416" t="str">
            <v>WALS\RES 100R F 1/16W 0402</v>
          </cell>
          <cell r="H416" t="str">
            <v>WALS(华科)</v>
          </cell>
          <cell r="I416" t="str">
            <v>WR04X1000FTL</v>
          </cell>
          <cell r="J416">
            <v>100131</v>
          </cell>
          <cell r="K416" t="str">
            <v>东莞华科电子有限公司</v>
          </cell>
          <cell r="L416" t="str">
            <v>X</v>
          </cell>
          <cell r="M416" t="str">
            <v/>
          </cell>
          <cell r="N416">
            <v>1</v>
          </cell>
          <cell r="O416">
            <v>1.17E-3</v>
          </cell>
          <cell r="P416">
            <v>1.17</v>
          </cell>
          <cell r="Q416">
            <v>1.17</v>
          </cell>
          <cell r="R416">
            <v>1000</v>
          </cell>
          <cell r="S416" t="str">
            <v>PCS</v>
          </cell>
          <cell r="T416">
            <v>56</v>
          </cell>
          <cell r="U416" t="str">
            <v>J3</v>
          </cell>
          <cell r="V416" t="str">
            <v>CNY</v>
          </cell>
          <cell r="W416">
            <v>10000</v>
          </cell>
          <cell r="X416">
            <v>10000</v>
          </cell>
        </row>
        <row r="417">
          <cell r="D417">
            <v>10100008735</v>
          </cell>
          <cell r="E417" t="str">
            <v>厚膜贴片电阻器</v>
          </cell>
          <cell r="F417">
            <v>10010302</v>
          </cell>
          <cell r="G417" t="str">
            <v>FH\RES 0R R&lt;10mR 1/16W 0402 1A</v>
          </cell>
          <cell r="H417" t="str">
            <v>FH(风华)</v>
          </cell>
          <cell r="I417" t="str">
            <v>RC-02000FT</v>
          </cell>
          <cell r="J417">
            <v>100654</v>
          </cell>
          <cell r="K417" t="str">
            <v>广东风华高新科技股份有限公司</v>
          </cell>
          <cell r="L417" t="str">
            <v>X</v>
          </cell>
          <cell r="M417" t="str">
            <v/>
          </cell>
          <cell r="N417">
            <v>1</v>
          </cell>
          <cell r="O417">
            <v>1.1000000000000001E-3</v>
          </cell>
          <cell r="P417">
            <v>1.1000000000000001</v>
          </cell>
          <cell r="Q417">
            <v>1.1000000000000001</v>
          </cell>
          <cell r="R417">
            <v>1000</v>
          </cell>
          <cell r="S417" t="str">
            <v>PCS</v>
          </cell>
          <cell r="T417">
            <v>56</v>
          </cell>
          <cell r="U417" t="str">
            <v>J3</v>
          </cell>
          <cell r="V417" t="str">
            <v>CNY</v>
          </cell>
          <cell r="W417">
            <v>10000</v>
          </cell>
          <cell r="X417">
            <v>10000</v>
          </cell>
        </row>
        <row r="418">
          <cell r="D418">
            <v>10100008807</v>
          </cell>
          <cell r="E418" t="str">
            <v>厚膜贴片电阻器</v>
          </cell>
          <cell r="F418">
            <v>10010302</v>
          </cell>
          <cell r="G418" t="str">
            <v>WALS\RES 390R F 1/16W 0402</v>
          </cell>
          <cell r="H418" t="str">
            <v>WALS(华科)</v>
          </cell>
          <cell r="I418" t="str">
            <v>WR04X3900FTL</v>
          </cell>
          <cell r="J418">
            <v>100131</v>
          </cell>
          <cell r="K418" t="str">
            <v>东莞华科电子有限公司</v>
          </cell>
          <cell r="L418" t="str">
            <v>X</v>
          </cell>
          <cell r="M418" t="str">
            <v/>
          </cell>
          <cell r="N418">
            <v>1</v>
          </cell>
          <cell r="O418">
            <v>1.17E-3</v>
          </cell>
          <cell r="P418">
            <v>1.17</v>
          </cell>
          <cell r="Q418">
            <v>1.17</v>
          </cell>
          <cell r="R418">
            <v>1000</v>
          </cell>
          <cell r="S418" t="str">
            <v>PCS</v>
          </cell>
          <cell r="T418">
            <v>56</v>
          </cell>
          <cell r="U418" t="str">
            <v>J3</v>
          </cell>
          <cell r="V418" t="str">
            <v>CNY</v>
          </cell>
          <cell r="W418">
            <v>10000</v>
          </cell>
          <cell r="X418">
            <v>10000</v>
          </cell>
        </row>
        <row r="419">
          <cell r="D419">
            <v>10100008809</v>
          </cell>
          <cell r="E419" t="str">
            <v>厚膜贴片电阻器</v>
          </cell>
          <cell r="F419">
            <v>10010302</v>
          </cell>
          <cell r="G419" t="str">
            <v>FH\RES 390R F 1/16W 0402</v>
          </cell>
          <cell r="H419" t="str">
            <v>FH(风华)</v>
          </cell>
          <cell r="I419" t="str">
            <v>RC-02K3900FT</v>
          </cell>
          <cell r="J419">
            <v>100654</v>
          </cell>
          <cell r="K419" t="str">
            <v>广东风华高新科技股份有限公司</v>
          </cell>
          <cell r="L419" t="str">
            <v>X</v>
          </cell>
          <cell r="M419" t="str">
            <v/>
          </cell>
          <cell r="N419">
            <v>1</v>
          </cell>
          <cell r="O419">
            <v>1.1000000000000001E-3</v>
          </cell>
          <cell r="P419">
            <v>1.1000000000000001</v>
          </cell>
          <cell r="Q419">
            <v>1.1000000000000001</v>
          </cell>
          <cell r="R419">
            <v>1000</v>
          </cell>
          <cell r="S419" t="str">
            <v>PCS</v>
          </cell>
          <cell r="T419">
            <v>56</v>
          </cell>
          <cell r="U419" t="str">
            <v>J3</v>
          </cell>
          <cell r="V419" t="str">
            <v>CNY</v>
          </cell>
          <cell r="W419">
            <v>10000</v>
          </cell>
          <cell r="X419">
            <v>10000</v>
          </cell>
        </row>
        <row r="420">
          <cell r="D420">
            <v>10100008827</v>
          </cell>
          <cell r="E420" t="str">
            <v>厚膜贴片电阻器</v>
          </cell>
          <cell r="F420">
            <v>10010302</v>
          </cell>
          <cell r="G420" t="str">
            <v>WALS\RES 9.1K F 1/16W 0402</v>
          </cell>
          <cell r="H420" t="str">
            <v>WALS(华科)</v>
          </cell>
          <cell r="I420" t="str">
            <v>WR04X9101FTL</v>
          </cell>
          <cell r="J420">
            <v>100131</v>
          </cell>
          <cell r="K420" t="str">
            <v>东莞华科电子有限公司</v>
          </cell>
          <cell r="L420" t="str">
            <v>X</v>
          </cell>
          <cell r="M420" t="str">
            <v/>
          </cell>
          <cell r="N420">
            <v>1</v>
          </cell>
          <cell r="O420">
            <v>1.17E-3</v>
          </cell>
          <cell r="P420">
            <v>1.17</v>
          </cell>
          <cell r="Q420">
            <v>1.17</v>
          </cell>
          <cell r="R420">
            <v>1000</v>
          </cell>
          <cell r="S420" t="str">
            <v>PCS</v>
          </cell>
          <cell r="T420">
            <v>56</v>
          </cell>
          <cell r="U420" t="str">
            <v>J3</v>
          </cell>
          <cell r="V420" t="str">
            <v>CNY</v>
          </cell>
          <cell r="W420">
            <v>10000</v>
          </cell>
          <cell r="X420">
            <v>10000</v>
          </cell>
        </row>
        <row r="421">
          <cell r="D421">
            <v>10100008830</v>
          </cell>
          <cell r="E421" t="str">
            <v>厚膜贴片电阻器</v>
          </cell>
          <cell r="F421">
            <v>10010302</v>
          </cell>
          <cell r="G421" t="str">
            <v>YAGEO\RES 9.1K F 1/16W 0402</v>
          </cell>
          <cell r="H421" t="str">
            <v>YAGEO(国巨)</v>
          </cell>
          <cell r="I421" t="str">
            <v>RC0402FR-079K1L</v>
          </cell>
          <cell r="J421">
            <v>100036</v>
          </cell>
          <cell r="K421" t="str">
            <v>厦门信和达电子有限公司</v>
          </cell>
          <cell r="L421" t="str">
            <v>X</v>
          </cell>
          <cell r="M421" t="str">
            <v/>
          </cell>
          <cell r="N421">
            <v>1</v>
          </cell>
          <cell r="O421">
            <v>1.4499999999999999E-3</v>
          </cell>
          <cell r="P421">
            <v>1.45</v>
          </cell>
          <cell r="Q421">
            <v>1.45</v>
          </cell>
          <cell r="R421">
            <v>1000</v>
          </cell>
          <cell r="S421" t="str">
            <v>PCS</v>
          </cell>
          <cell r="T421">
            <v>56</v>
          </cell>
          <cell r="U421" t="str">
            <v>J3</v>
          </cell>
          <cell r="V421" t="str">
            <v>CNY</v>
          </cell>
          <cell r="W421">
            <v>10000</v>
          </cell>
          <cell r="X421">
            <v>10000</v>
          </cell>
        </row>
        <row r="422">
          <cell r="D422">
            <v>10100009092</v>
          </cell>
          <cell r="E422" t="str">
            <v>厚膜贴片电阻器</v>
          </cell>
          <cell r="F422">
            <v>10010302</v>
          </cell>
          <cell r="G422" t="str">
            <v>YAGEO\RES 2K F 1/16W 0402</v>
          </cell>
          <cell r="H422" t="str">
            <v>YAGEO(国巨)</v>
          </cell>
          <cell r="I422" t="str">
            <v>RC0402FR-072KL</v>
          </cell>
          <cell r="J422">
            <v>101553</v>
          </cell>
          <cell r="K422" t="str">
            <v>深圳市奥特高科电子有限公司</v>
          </cell>
          <cell r="L422" t="str">
            <v>X</v>
          </cell>
          <cell r="M422" t="str">
            <v/>
          </cell>
          <cell r="N422">
            <v>1</v>
          </cell>
          <cell r="O422">
            <v>1.2999999999999999E-3</v>
          </cell>
          <cell r="P422">
            <v>1.3</v>
          </cell>
          <cell r="Q422">
            <v>1.3</v>
          </cell>
          <cell r="R422">
            <v>1000</v>
          </cell>
          <cell r="S422" t="str">
            <v>PCS</v>
          </cell>
          <cell r="T422">
            <v>56</v>
          </cell>
          <cell r="U422" t="str">
            <v>J3</v>
          </cell>
          <cell r="V422" t="str">
            <v>CNY</v>
          </cell>
          <cell r="W422">
            <v>10000</v>
          </cell>
          <cell r="X422">
            <v>10000</v>
          </cell>
        </row>
        <row r="423">
          <cell r="D423">
            <v>10100009093</v>
          </cell>
          <cell r="E423" t="str">
            <v>厚膜贴片电阻器</v>
          </cell>
          <cell r="F423">
            <v>10010302</v>
          </cell>
          <cell r="G423" t="str">
            <v>WALS\RES 2K F 1/16W 0402</v>
          </cell>
          <cell r="H423" t="str">
            <v>WALS(华科)</v>
          </cell>
          <cell r="I423" t="str">
            <v>WR04X2001FTL</v>
          </cell>
          <cell r="J423">
            <v>100131</v>
          </cell>
          <cell r="K423" t="str">
            <v>东莞华科电子有限公司</v>
          </cell>
          <cell r="L423" t="str">
            <v>X</v>
          </cell>
          <cell r="M423" t="str">
            <v/>
          </cell>
          <cell r="N423">
            <v>1</v>
          </cell>
          <cell r="O423">
            <v>1.17E-3</v>
          </cell>
          <cell r="P423">
            <v>1.17</v>
          </cell>
          <cell r="Q423">
            <v>1.17</v>
          </cell>
          <cell r="R423">
            <v>1000</v>
          </cell>
          <cell r="S423" t="str">
            <v>PCS</v>
          </cell>
          <cell r="T423">
            <v>56</v>
          </cell>
          <cell r="U423" t="str">
            <v>J3</v>
          </cell>
          <cell r="V423" t="str">
            <v>CNY</v>
          </cell>
          <cell r="W423">
            <v>10000</v>
          </cell>
          <cell r="X423">
            <v>10000</v>
          </cell>
        </row>
        <row r="424">
          <cell r="D424">
            <v>10100009552</v>
          </cell>
          <cell r="E424" t="str">
            <v>厚膜贴片电阻器</v>
          </cell>
          <cell r="F424">
            <v>10010302</v>
          </cell>
          <cell r="G424" t="str">
            <v>ROYA\RES 2.2K F 1/10W 0603</v>
          </cell>
          <cell r="H424" t="str">
            <v>ROYALOHM(厚声)</v>
          </cell>
          <cell r="I424" t="str">
            <v>0603WAF2201T5E</v>
          </cell>
          <cell r="J424">
            <v>100003</v>
          </cell>
          <cell r="K424" t="str">
            <v>厚声国际贸易（昆山）有限公司</v>
          </cell>
          <cell r="L424" t="str">
            <v>X</v>
          </cell>
          <cell r="M424" t="str">
            <v/>
          </cell>
          <cell r="N424">
            <v>1</v>
          </cell>
          <cell r="O424">
            <v>2.0999999999999999E-3</v>
          </cell>
          <cell r="P424">
            <v>2.1</v>
          </cell>
          <cell r="Q424">
            <v>2.1</v>
          </cell>
          <cell r="R424">
            <v>1000</v>
          </cell>
          <cell r="S424" t="str">
            <v>PCS</v>
          </cell>
          <cell r="T424">
            <v>56</v>
          </cell>
          <cell r="U424" t="str">
            <v>J3</v>
          </cell>
          <cell r="V424" t="str">
            <v>CNY</v>
          </cell>
          <cell r="W424">
            <v>5000</v>
          </cell>
          <cell r="X424">
            <v>5000</v>
          </cell>
        </row>
        <row r="425">
          <cell r="D425">
            <v>10100009721</v>
          </cell>
          <cell r="E425" t="str">
            <v>厚膜贴片电阻器</v>
          </cell>
          <cell r="F425">
            <v>10010302</v>
          </cell>
          <cell r="G425" t="str">
            <v>YAGEO\RES 11K F 1/16W 0402</v>
          </cell>
          <cell r="H425" t="str">
            <v>YAGEO(国巨)</v>
          </cell>
          <cell r="I425" t="str">
            <v>RC0402FR-0711KL</v>
          </cell>
          <cell r="J425">
            <v>100078</v>
          </cell>
          <cell r="K425" t="str">
            <v>深圳市超利维实业有限公司</v>
          </cell>
          <cell r="L425" t="str">
            <v>X</v>
          </cell>
          <cell r="M425" t="str">
            <v/>
          </cell>
          <cell r="N425">
            <v>1</v>
          </cell>
          <cell r="O425">
            <v>1.4E-3</v>
          </cell>
          <cell r="P425">
            <v>1.4</v>
          </cell>
          <cell r="Q425">
            <v>1.4</v>
          </cell>
          <cell r="R425">
            <v>1000</v>
          </cell>
          <cell r="S425" t="str">
            <v>PCS</v>
          </cell>
          <cell r="T425">
            <v>56</v>
          </cell>
          <cell r="U425" t="str">
            <v>J3</v>
          </cell>
          <cell r="V425" t="str">
            <v>CNY</v>
          </cell>
          <cell r="W425">
            <v>10000</v>
          </cell>
          <cell r="X425">
            <v>10000</v>
          </cell>
        </row>
        <row r="426">
          <cell r="D426">
            <v>10100009722</v>
          </cell>
          <cell r="E426" t="str">
            <v>厚膜贴片电阻器</v>
          </cell>
          <cell r="F426">
            <v>10010302</v>
          </cell>
          <cell r="G426" t="str">
            <v>WALS\RES 11K F 1/16W 0402</v>
          </cell>
          <cell r="H426" t="str">
            <v>WALS(华科)</v>
          </cell>
          <cell r="I426" t="str">
            <v>WR04X1102FTL</v>
          </cell>
          <cell r="J426">
            <v>100131</v>
          </cell>
          <cell r="K426" t="str">
            <v>东莞华科电子有限公司</v>
          </cell>
          <cell r="L426" t="str">
            <v>X</v>
          </cell>
          <cell r="M426" t="str">
            <v/>
          </cell>
          <cell r="N426">
            <v>1</v>
          </cell>
          <cell r="O426">
            <v>1.17E-3</v>
          </cell>
          <cell r="P426">
            <v>1.17</v>
          </cell>
          <cell r="Q426">
            <v>1.17</v>
          </cell>
          <cell r="R426">
            <v>1000</v>
          </cell>
          <cell r="S426" t="str">
            <v>PCS</v>
          </cell>
          <cell r="T426">
            <v>56</v>
          </cell>
          <cell r="U426" t="str">
            <v>J3</v>
          </cell>
          <cell r="V426" t="str">
            <v>CNY</v>
          </cell>
          <cell r="W426">
            <v>10000</v>
          </cell>
          <cell r="X426">
            <v>10000</v>
          </cell>
        </row>
        <row r="427">
          <cell r="D427">
            <v>10100009838</v>
          </cell>
          <cell r="E427" t="str">
            <v>厚膜贴片电阻器</v>
          </cell>
          <cell r="F427">
            <v>10010302</v>
          </cell>
          <cell r="G427" t="str">
            <v>ROYA\RES 10K F 1/16W 0402</v>
          </cell>
          <cell r="H427" t="str">
            <v>ROYALOHM(厚声)</v>
          </cell>
          <cell r="I427" t="str">
            <v>0402WGF1002TCE</v>
          </cell>
          <cell r="J427">
            <v>100003</v>
          </cell>
          <cell r="K427" t="str">
            <v>厚声国际贸易（昆山）有限公司</v>
          </cell>
          <cell r="L427" t="str">
            <v>X</v>
          </cell>
          <cell r="M427" t="str">
            <v/>
          </cell>
          <cell r="N427">
            <v>1</v>
          </cell>
          <cell r="O427">
            <v>1.09E-3</v>
          </cell>
          <cell r="P427">
            <v>1.0900000000000001</v>
          </cell>
          <cell r="Q427">
            <v>1.0900000000000001</v>
          </cell>
          <cell r="R427">
            <v>1000</v>
          </cell>
          <cell r="S427" t="str">
            <v>PCS</v>
          </cell>
          <cell r="T427">
            <v>56</v>
          </cell>
          <cell r="U427" t="str">
            <v>J3</v>
          </cell>
          <cell r="V427" t="str">
            <v>CNY</v>
          </cell>
          <cell r="W427">
            <v>10000</v>
          </cell>
          <cell r="X427">
            <v>10000</v>
          </cell>
        </row>
        <row r="428">
          <cell r="D428">
            <v>10100009843</v>
          </cell>
          <cell r="E428" t="str">
            <v>厚膜贴片电阻器</v>
          </cell>
          <cell r="F428">
            <v>10010302</v>
          </cell>
          <cell r="G428" t="str">
            <v>YAGEO\RES 5.6K F 1/16W 0402</v>
          </cell>
          <cell r="H428" t="str">
            <v>YAGEO(国巨)</v>
          </cell>
          <cell r="I428" t="str">
            <v>RC0402FR-075K6L</v>
          </cell>
          <cell r="J428">
            <v>100078</v>
          </cell>
          <cell r="K428" t="str">
            <v>深圳市超利维实业有限公司</v>
          </cell>
          <cell r="L428" t="str">
            <v>X</v>
          </cell>
          <cell r="M428" t="str">
            <v/>
          </cell>
          <cell r="N428">
            <v>1</v>
          </cell>
          <cell r="O428">
            <v>1.4E-3</v>
          </cell>
          <cell r="P428">
            <v>1.4</v>
          </cell>
          <cell r="Q428">
            <v>1.4</v>
          </cell>
          <cell r="R428">
            <v>1000</v>
          </cell>
          <cell r="S428" t="str">
            <v>PCS</v>
          </cell>
          <cell r="T428">
            <v>56</v>
          </cell>
          <cell r="U428" t="str">
            <v>J3</v>
          </cell>
          <cell r="V428" t="str">
            <v>CNY</v>
          </cell>
          <cell r="W428">
            <v>10000</v>
          </cell>
          <cell r="X428">
            <v>10000</v>
          </cell>
        </row>
        <row r="429">
          <cell r="D429">
            <v>10100010045</v>
          </cell>
          <cell r="E429" t="str">
            <v>厚膜贴片电阻器</v>
          </cell>
          <cell r="F429">
            <v>10010302</v>
          </cell>
          <cell r="G429" t="str">
            <v>WALS\RES 10K F 1/16W 0402</v>
          </cell>
          <cell r="H429" t="str">
            <v>WALS(华科)</v>
          </cell>
          <cell r="I429" t="str">
            <v>WR04X1002FTL</v>
          </cell>
          <cell r="J429">
            <v>100131</v>
          </cell>
          <cell r="K429" t="str">
            <v>东莞华科电子有限公司</v>
          </cell>
          <cell r="L429" t="str">
            <v>X</v>
          </cell>
          <cell r="M429" t="str">
            <v/>
          </cell>
          <cell r="N429">
            <v>1</v>
          </cell>
          <cell r="O429">
            <v>1.17E-3</v>
          </cell>
          <cell r="P429">
            <v>1.17</v>
          </cell>
          <cell r="Q429">
            <v>1.17</v>
          </cell>
          <cell r="R429">
            <v>1000</v>
          </cell>
          <cell r="S429" t="str">
            <v>PCS</v>
          </cell>
          <cell r="T429">
            <v>56</v>
          </cell>
          <cell r="U429" t="str">
            <v>J3</v>
          </cell>
          <cell r="V429" t="str">
            <v>CNY</v>
          </cell>
          <cell r="W429">
            <v>10000</v>
          </cell>
          <cell r="X429">
            <v>10000</v>
          </cell>
        </row>
        <row r="430">
          <cell r="D430">
            <v>10100011090</v>
          </cell>
          <cell r="E430" t="str">
            <v>厚膜贴片电阻器</v>
          </cell>
          <cell r="F430">
            <v>10010302</v>
          </cell>
          <cell r="G430" t="str">
            <v>ROYA\RES 4.7K F 1/10W 0603</v>
          </cell>
          <cell r="H430" t="str">
            <v>ROYALOHM(厚声)</v>
          </cell>
          <cell r="I430" t="str">
            <v>0603WAF4701T5E</v>
          </cell>
          <cell r="J430">
            <v>100003</v>
          </cell>
          <cell r="K430" t="str">
            <v>厚声国际贸易（昆山）有限公司</v>
          </cell>
          <cell r="L430" t="str">
            <v>X</v>
          </cell>
          <cell r="M430" t="str">
            <v/>
          </cell>
          <cell r="N430">
            <v>1</v>
          </cell>
          <cell r="O430">
            <v>2.0999999999999999E-3</v>
          </cell>
          <cell r="P430">
            <v>2.1</v>
          </cell>
          <cell r="Q430">
            <v>2.1</v>
          </cell>
          <cell r="R430">
            <v>1000</v>
          </cell>
          <cell r="S430" t="str">
            <v>PCS</v>
          </cell>
          <cell r="T430">
            <v>56</v>
          </cell>
          <cell r="U430" t="str">
            <v>J3</v>
          </cell>
          <cell r="V430" t="str">
            <v>CNY</v>
          </cell>
          <cell r="W430">
            <v>5000</v>
          </cell>
          <cell r="X430">
            <v>5000</v>
          </cell>
        </row>
        <row r="431">
          <cell r="D431">
            <v>10100011096</v>
          </cell>
          <cell r="E431" t="str">
            <v>厚膜贴片电阻器</v>
          </cell>
          <cell r="F431">
            <v>10010302</v>
          </cell>
          <cell r="G431" t="str">
            <v>ROYA\RES 47R F 1/4W 1206</v>
          </cell>
          <cell r="H431" t="str">
            <v>ROYALOHM(厚声)</v>
          </cell>
          <cell r="I431" t="str">
            <v>1206W4F470JT5E</v>
          </cell>
          <cell r="J431">
            <v>100003</v>
          </cell>
          <cell r="K431" t="str">
            <v>厚声国际贸易（昆山）有限公司</v>
          </cell>
          <cell r="L431" t="str">
            <v>X</v>
          </cell>
          <cell r="M431" t="str">
            <v/>
          </cell>
          <cell r="N431">
            <v>1</v>
          </cell>
          <cell r="O431">
            <v>6.7799999999999996E-3</v>
          </cell>
          <cell r="P431">
            <v>6.78</v>
          </cell>
          <cell r="Q431">
            <v>6.78</v>
          </cell>
          <cell r="R431">
            <v>1000</v>
          </cell>
          <cell r="S431" t="str">
            <v>PCS</v>
          </cell>
          <cell r="T431">
            <v>56</v>
          </cell>
          <cell r="U431" t="str">
            <v>J3</v>
          </cell>
          <cell r="V431" t="str">
            <v>CNY</v>
          </cell>
          <cell r="W431">
            <v>5000</v>
          </cell>
          <cell r="X431">
            <v>5000</v>
          </cell>
        </row>
        <row r="432">
          <cell r="D432">
            <v>10100011343</v>
          </cell>
          <cell r="E432" t="str">
            <v>厚膜贴片电阻器</v>
          </cell>
          <cell r="F432">
            <v>10010302</v>
          </cell>
          <cell r="G432" t="str">
            <v>WALS\RES 5.6K F 1/16W 0402</v>
          </cell>
          <cell r="H432" t="str">
            <v>WALS(华科)</v>
          </cell>
          <cell r="I432" t="str">
            <v>WR04X5601FTL</v>
          </cell>
          <cell r="J432">
            <v>100131</v>
          </cell>
          <cell r="K432" t="str">
            <v>东莞华科电子有限公司</v>
          </cell>
          <cell r="L432" t="str">
            <v>X</v>
          </cell>
          <cell r="M432" t="str">
            <v/>
          </cell>
          <cell r="N432">
            <v>1</v>
          </cell>
          <cell r="O432">
            <v>1.17E-3</v>
          </cell>
          <cell r="P432">
            <v>1.17</v>
          </cell>
          <cell r="Q432">
            <v>1.17</v>
          </cell>
          <cell r="R432">
            <v>1000</v>
          </cell>
          <cell r="S432" t="str">
            <v>PCS</v>
          </cell>
          <cell r="T432">
            <v>56</v>
          </cell>
          <cell r="U432" t="str">
            <v>J3</v>
          </cell>
          <cell r="V432" t="str">
            <v>CNY</v>
          </cell>
          <cell r="W432">
            <v>10000</v>
          </cell>
          <cell r="X432">
            <v>10000</v>
          </cell>
        </row>
        <row r="433">
          <cell r="D433">
            <v>10100011621</v>
          </cell>
          <cell r="E433" t="str">
            <v>厚膜贴片电阻器</v>
          </cell>
          <cell r="F433">
            <v>10010302</v>
          </cell>
          <cell r="G433" t="str">
            <v>FH\RES 5.6K F 1/16W 0402</v>
          </cell>
          <cell r="H433" t="str">
            <v>FH(风华)</v>
          </cell>
          <cell r="I433" t="str">
            <v>RC-02K5601FT</v>
          </cell>
          <cell r="J433">
            <v>100654</v>
          </cell>
          <cell r="K433" t="str">
            <v>广东风华高新科技股份有限公司</v>
          </cell>
          <cell r="L433" t="str">
            <v>X</v>
          </cell>
          <cell r="M433" t="str">
            <v/>
          </cell>
          <cell r="N433">
            <v>1</v>
          </cell>
          <cell r="O433">
            <v>1.1000000000000001E-3</v>
          </cell>
          <cell r="P433">
            <v>1.1000000000000001</v>
          </cell>
          <cell r="Q433">
            <v>1.1000000000000001</v>
          </cell>
          <cell r="R433">
            <v>1000</v>
          </cell>
          <cell r="S433" t="str">
            <v>PCS</v>
          </cell>
          <cell r="T433">
            <v>56</v>
          </cell>
          <cell r="U433" t="str">
            <v>J3</v>
          </cell>
          <cell r="V433" t="str">
            <v>CNY</v>
          </cell>
          <cell r="W433">
            <v>10000</v>
          </cell>
          <cell r="X433">
            <v>10000</v>
          </cell>
        </row>
        <row r="434">
          <cell r="D434">
            <v>10100011726</v>
          </cell>
          <cell r="E434" t="str">
            <v>厚膜贴片电阻器</v>
          </cell>
          <cell r="F434">
            <v>10010302</v>
          </cell>
          <cell r="G434" t="str">
            <v>YAGEO\RES 5.1K F 1/16W 0402</v>
          </cell>
          <cell r="H434" t="str">
            <v>YAGEO(国巨)</v>
          </cell>
          <cell r="I434" t="str">
            <v>RC0402FR-075K1L</v>
          </cell>
          <cell r="J434">
            <v>100036</v>
          </cell>
          <cell r="K434" t="str">
            <v>厦门信和达电子有限公司</v>
          </cell>
          <cell r="L434" t="str">
            <v>X</v>
          </cell>
          <cell r="M434" t="str">
            <v/>
          </cell>
          <cell r="N434">
            <v>1</v>
          </cell>
          <cell r="O434">
            <v>1.4E-3</v>
          </cell>
          <cell r="P434">
            <v>1.4</v>
          </cell>
          <cell r="Q434">
            <v>1.4</v>
          </cell>
          <cell r="R434">
            <v>1000</v>
          </cell>
          <cell r="S434" t="str">
            <v>PCS</v>
          </cell>
          <cell r="T434">
            <v>56</v>
          </cell>
          <cell r="U434" t="str">
            <v>J3</v>
          </cell>
          <cell r="V434" t="str">
            <v>CNY</v>
          </cell>
          <cell r="W434">
            <v>10000</v>
          </cell>
          <cell r="X434">
            <v>10000</v>
          </cell>
        </row>
        <row r="435">
          <cell r="D435">
            <v>10100011886</v>
          </cell>
          <cell r="E435" t="str">
            <v>厚膜贴片电阻器</v>
          </cell>
          <cell r="F435">
            <v>10010302</v>
          </cell>
          <cell r="G435" t="str">
            <v>ROYA\RES 9.1K F 1/16W 0402</v>
          </cell>
          <cell r="H435" t="str">
            <v>ROYALOHM(厚声)</v>
          </cell>
          <cell r="I435" t="str">
            <v>0402WGF9101TCE</v>
          </cell>
          <cell r="J435">
            <v>100003</v>
          </cell>
          <cell r="K435" t="str">
            <v>厚声国际贸易（昆山）有限公司</v>
          </cell>
          <cell r="L435" t="str">
            <v>X</v>
          </cell>
          <cell r="M435" t="str">
            <v/>
          </cell>
          <cell r="N435">
            <v>1</v>
          </cell>
          <cell r="O435">
            <v>1.09E-3</v>
          </cell>
          <cell r="P435">
            <v>1.0900000000000001</v>
          </cell>
          <cell r="Q435">
            <v>1.0900000000000001</v>
          </cell>
          <cell r="R435">
            <v>1000</v>
          </cell>
          <cell r="S435" t="str">
            <v>PCS</v>
          </cell>
          <cell r="T435">
            <v>56</v>
          </cell>
          <cell r="U435" t="str">
            <v>J3</v>
          </cell>
          <cell r="V435" t="str">
            <v>CNY</v>
          </cell>
          <cell r="W435">
            <v>10000</v>
          </cell>
          <cell r="X435">
            <v>10000</v>
          </cell>
        </row>
        <row r="436">
          <cell r="D436">
            <v>10100011993</v>
          </cell>
          <cell r="E436" t="str">
            <v>厚膜贴片电阻器</v>
          </cell>
          <cell r="F436">
            <v>10010302</v>
          </cell>
          <cell r="G436" t="str">
            <v>FH\RES 5.1K F 1/16W 0402</v>
          </cell>
          <cell r="H436" t="str">
            <v>FH(风华)</v>
          </cell>
          <cell r="I436" t="str">
            <v>RC-02K5101FT</v>
          </cell>
          <cell r="J436">
            <v>100654</v>
          </cell>
          <cell r="K436" t="str">
            <v>广东风华高新科技股份有限公司</v>
          </cell>
          <cell r="L436" t="str">
            <v>X</v>
          </cell>
          <cell r="M436" t="str">
            <v/>
          </cell>
          <cell r="N436">
            <v>1</v>
          </cell>
          <cell r="O436">
            <v>1.1000000000000001E-3</v>
          </cell>
          <cell r="P436">
            <v>1.1000000000000001</v>
          </cell>
          <cell r="Q436">
            <v>1.1000000000000001</v>
          </cell>
          <cell r="R436">
            <v>1000</v>
          </cell>
          <cell r="S436" t="str">
            <v>PCS</v>
          </cell>
          <cell r="T436">
            <v>56</v>
          </cell>
          <cell r="U436" t="str">
            <v>J3</v>
          </cell>
          <cell r="V436" t="str">
            <v>CNY</v>
          </cell>
          <cell r="W436">
            <v>10000</v>
          </cell>
          <cell r="X436">
            <v>10000</v>
          </cell>
        </row>
        <row r="437">
          <cell r="D437">
            <v>10100011996</v>
          </cell>
          <cell r="E437" t="str">
            <v>厚膜贴片电阻器</v>
          </cell>
          <cell r="F437">
            <v>10010302</v>
          </cell>
          <cell r="G437" t="str">
            <v>FH\RES 9.1K F 1/16W 0402</v>
          </cell>
          <cell r="H437" t="str">
            <v>FH(风华)</v>
          </cell>
          <cell r="I437" t="str">
            <v>RC-02K9101FT</v>
          </cell>
          <cell r="J437">
            <v>100654</v>
          </cell>
          <cell r="K437" t="str">
            <v>广东风华高新科技股份有限公司</v>
          </cell>
          <cell r="L437" t="str">
            <v>X</v>
          </cell>
          <cell r="M437" t="str">
            <v/>
          </cell>
          <cell r="N437">
            <v>1</v>
          </cell>
          <cell r="O437">
            <v>1.1000000000000001E-3</v>
          </cell>
          <cell r="P437">
            <v>1.1000000000000001</v>
          </cell>
          <cell r="Q437">
            <v>1.1000000000000001</v>
          </cell>
          <cell r="R437">
            <v>1000</v>
          </cell>
          <cell r="S437" t="str">
            <v>PCS</v>
          </cell>
          <cell r="T437">
            <v>56</v>
          </cell>
          <cell r="U437" t="str">
            <v>J3</v>
          </cell>
          <cell r="V437" t="str">
            <v>CNY</v>
          </cell>
          <cell r="W437">
            <v>10000</v>
          </cell>
          <cell r="X437">
            <v>10000</v>
          </cell>
        </row>
        <row r="438">
          <cell r="D438">
            <v>10100012014</v>
          </cell>
          <cell r="E438" t="str">
            <v>厚膜贴片电阻器</v>
          </cell>
          <cell r="F438">
            <v>10010302</v>
          </cell>
          <cell r="G438" t="str">
            <v>FH\RES 100R F 1/4W 1206</v>
          </cell>
          <cell r="H438" t="str">
            <v>FH(风华)</v>
          </cell>
          <cell r="I438" t="str">
            <v>RS-06K1000FT</v>
          </cell>
          <cell r="J438">
            <v>100654</v>
          </cell>
          <cell r="K438" t="str">
            <v>广东风华高新科技股份有限公司</v>
          </cell>
          <cell r="L438" t="str">
            <v>X</v>
          </cell>
          <cell r="M438" t="str">
            <v/>
          </cell>
          <cell r="N438">
            <v>1</v>
          </cell>
          <cell r="O438">
            <v>6.3699999999999998E-3</v>
          </cell>
          <cell r="P438">
            <v>6.37</v>
          </cell>
          <cell r="Q438">
            <v>6.37</v>
          </cell>
          <cell r="R438">
            <v>1000</v>
          </cell>
          <cell r="S438" t="str">
            <v>PCS</v>
          </cell>
          <cell r="T438">
            <v>56</v>
          </cell>
          <cell r="U438" t="str">
            <v>J3</v>
          </cell>
          <cell r="V438" t="str">
            <v>CNY</v>
          </cell>
          <cell r="W438">
            <v>5000</v>
          </cell>
          <cell r="X438">
            <v>5000</v>
          </cell>
        </row>
        <row r="439">
          <cell r="D439">
            <v>10100012860</v>
          </cell>
          <cell r="E439" t="str">
            <v>厚膜贴片电阻器</v>
          </cell>
          <cell r="F439">
            <v>10010302</v>
          </cell>
          <cell r="G439" t="str">
            <v>ROYA\RES 68K F 1/10W 0603</v>
          </cell>
          <cell r="H439" t="str">
            <v>ROYALOHM(厚声)</v>
          </cell>
          <cell r="I439" t="str">
            <v>0603WAF6802T5E</v>
          </cell>
          <cell r="J439">
            <v>100003</v>
          </cell>
          <cell r="K439" t="str">
            <v>厚声国际贸易（昆山）有限公司</v>
          </cell>
          <cell r="L439" t="str">
            <v>X</v>
          </cell>
          <cell r="M439" t="str">
            <v/>
          </cell>
          <cell r="N439">
            <v>1</v>
          </cell>
          <cell r="O439">
            <v>2.0999999999999999E-3</v>
          </cell>
          <cell r="P439">
            <v>2.1</v>
          </cell>
          <cell r="Q439">
            <v>2.1</v>
          </cell>
          <cell r="R439">
            <v>1000</v>
          </cell>
          <cell r="S439" t="str">
            <v>PCS</v>
          </cell>
          <cell r="T439">
            <v>56</v>
          </cell>
          <cell r="U439" t="str">
            <v>J3</v>
          </cell>
          <cell r="V439" t="str">
            <v>CNY</v>
          </cell>
          <cell r="W439">
            <v>5000</v>
          </cell>
          <cell r="X439">
            <v>5000</v>
          </cell>
        </row>
        <row r="440">
          <cell r="D440">
            <v>10100013040</v>
          </cell>
          <cell r="E440" t="str">
            <v>厚膜贴片电阻器</v>
          </cell>
          <cell r="F440">
            <v>10010302</v>
          </cell>
          <cell r="G440" t="str">
            <v>ROYA\RES 1K F 1/16W 0402</v>
          </cell>
          <cell r="H440" t="str">
            <v>ROYALOHM(厚声)</v>
          </cell>
          <cell r="I440" t="str">
            <v>0402WGF1001TCE</v>
          </cell>
          <cell r="J440">
            <v>100003</v>
          </cell>
          <cell r="K440" t="str">
            <v>厚声国际贸易（昆山）有限公司</v>
          </cell>
          <cell r="L440" t="str">
            <v>X</v>
          </cell>
          <cell r="M440" t="str">
            <v/>
          </cell>
          <cell r="N440">
            <v>1</v>
          </cell>
          <cell r="O440">
            <v>1.09E-3</v>
          </cell>
          <cell r="P440">
            <v>1.0900000000000001</v>
          </cell>
          <cell r="Q440">
            <v>1.0900000000000001</v>
          </cell>
          <cell r="R440">
            <v>1000</v>
          </cell>
          <cell r="S440" t="str">
            <v>PCS</v>
          </cell>
          <cell r="T440">
            <v>56</v>
          </cell>
          <cell r="U440" t="str">
            <v>J3</v>
          </cell>
          <cell r="V440" t="str">
            <v>CNY</v>
          </cell>
          <cell r="W440">
            <v>10000</v>
          </cell>
          <cell r="X440">
            <v>10000</v>
          </cell>
        </row>
        <row r="441">
          <cell r="D441">
            <v>10100013093</v>
          </cell>
          <cell r="E441" t="str">
            <v>厚膜贴片电阻器</v>
          </cell>
          <cell r="F441">
            <v>10010302</v>
          </cell>
          <cell r="G441" t="str">
            <v>ROYA\RES 100R F 1/16W 0402</v>
          </cell>
          <cell r="H441" t="str">
            <v>ROYALOHM(厚声)</v>
          </cell>
          <cell r="I441" t="str">
            <v>0402WGF1000TCE</v>
          </cell>
          <cell r="J441">
            <v>100003</v>
          </cell>
          <cell r="K441" t="str">
            <v>厚声国际贸易（昆山）有限公司</v>
          </cell>
          <cell r="L441" t="str">
            <v>X</v>
          </cell>
          <cell r="M441" t="str">
            <v/>
          </cell>
          <cell r="N441">
            <v>1</v>
          </cell>
          <cell r="O441">
            <v>1.09E-3</v>
          </cell>
          <cell r="P441">
            <v>1.0900000000000001</v>
          </cell>
          <cell r="Q441">
            <v>1.0900000000000001</v>
          </cell>
          <cell r="R441">
            <v>1000</v>
          </cell>
          <cell r="S441" t="str">
            <v>PCS</v>
          </cell>
          <cell r="T441">
            <v>56</v>
          </cell>
          <cell r="U441" t="str">
            <v>J3</v>
          </cell>
          <cell r="V441" t="str">
            <v>CNY</v>
          </cell>
          <cell r="W441">
            <v>10000</v>
          </cell>
          <cell r="X441">
            <v>10000</v>
          </cell>
        </row>
        <row r="442">
          <cell r="D442">
            <v>10100013936</v>
          </cell>
          <cell r="E442" t="str">
            <v>厚膜贴片电阻器</v>
          </cell>
          <cell r="F442">
            <v>10010302</v>
          </cell>
          <cell r="G442" t="str">
            <v>FH\RES 100R F 1/16W 0402</v>
          </cell>
          <cell r="H442" t="str">
            <v>FH(风华)</v>
          </cell>
          <cell r="I442" t="str">
            <v>RC-02K1000FT</v>
          </cell>
          <cell r="J442">
            <v>100654</v>
          </cell>
          <cell r="K442" t="str">
            <v>广东风华高新科技股份有限公司</v>
          </cell>
          <cell r="L442" t="str">
            <v>X</v>
          </cell>
          <cell r="M442" t="str">
            <v/>
          </cell>
          <cell r="N442">
            <v>1</v>
          </cell>
          <cell r="O442">
            <v>1.1000000000000001E-3</v>
          </cell>
          <cell r="P442">
            <v>1.1000000000000001</v>
          </cell>
          <cell r="Q442">
            <v>1.1000000000000001</v>
          </cell>
          <cell r="R442">
            <v>1000</v>
          </cell>
          <cell r="S442" t="str">
            <v>PCS</v>
          </cell>
          <cell r="T442">
            <v>56</v>
          </cell>
          <cell r="U442" t="str">
            <v>J3</v>
          </cell>
          <cell r="V442" t="str">
            <v>CNY</v>
          </cell>
          <cell r="W442">
            <v>10000</v>
          </cell>
          <cell r="X442">
            <v>10000</v>
          </cell>
        </row>
        <row r="443">
          <cell r="D443">
            <v>10100014263</v>
          </cell>
          <cell r="E443" t="str">
            <v>厚膜贴片电阻器</v>
          </cell>
          <cell r="F443">
            <v>10010302</v>
          </cell>
          <cell r="G443" t="str">
            <v>YAGEO\RES 390R F 1/16W 0402</v>
          </cell>
          <cell r="H443" t="str">
            <v>YAGEO(国巨)</v>
          </cell>
          <cell r="I443" t="str">
            <v>RC0402FR-07390RL</v>
          </cell>
          <cell r="J443">
            <v>100078</v>
          </cell>
          <cell r="K443" t="str">
            <v>深圳市超利维实业有限公司</v>
          </cell>
          <cell r="L443" t="str">
            <v>X</v>
          </cell>
          <cell r="M443" t="str">
            <v/>
          </cell>
          <cell r="N443">
            <v>1</v>
          </cell>
          <cell r="O443">
            <v>1.4E-3</v>
          </cell>
          <cell r="P443">
            <v>1.4</v>
          </cell>
          <cell r="Q443">
            <v>1.4</v>
          </cell>
          <cell r="R443">
            <v>1000</v>
          </cell>
          <cell r="S443" t="str">
            <v>PCS</v>
          </cell>
          <cell r="T443">
            <v>56</v>
          </cell>
          <cell r="U443" t="str">
            <v>J3</v>
          </cell>
          <cell r="V443" t="str">
            <v>CNY</v>
          </cell>
          <cell r="W443">
            <v>10000</v>
          </cell>
          <cell r="X443">
            <v>10000</v>
          </cell>
        </row>
        <row r="444">
          <cell r="D444">
            <v>10100014304</v>
          </cell>
          <cell r="E444" t="str">
            <v>厚膜贴片电阻器</v>
          </cell>
          <cell r="F444">
            <v>10010302</v>
          </cell>
          <cell r="G444" t="str">
            <v>WALS\RES 300K F 1/4W 1206</v>
          </cell>
          <cell r="H444" t="str">
            <v>WALS(华科)</v>
          </cell>
          <cell r="I444" t="str">
            <v>WR12X3003FTL</v>
          </cell>
          <cell r="J444">
            <v>100131</v>
          </cell>
          <cell r="K444" t="str">
            <v>东莞华科电子有限公司</v>
          </cell>
          <cell r="L444" t="str">
            <v>X</v>
          </cell>
          <cell r="M444" t="str">
            <v/>
          </cell>
          <cell r="N444">
            <v>1</v>
          </cell>
          <cell r="O444">
            <v>6.9499999999999996E-3</v>
          </cell>
          <cell r="P444">
            <v>6.95</v>
          </cell>
          <cell r="Q444">
            <v>6.95</v>
          </cell>
          <cell r="R444">
            <v>1000</v>
          </cell>
          <cell r="S444" t="str">
            <v>PCS</v>
          </cell>
          <cell r="T444">
            <v>70</v>
          </cell>
          <cell r="U444" t="str">
            <v>J3</v>
          </cell>
          <cell r="V444" t="str">
            <v>CNY</v>
          </cell>
          <cell r="W444">
            <v>5000</v>
          </cell>
          <cell r="X444">
            <v>5000</v>
          </cell>
        </row>
        <row r="445">
          <cell r="D445">
            <v>10100014735</v>
          </cell>
          <cell r="E445" t="str">
            <v>厚膜贴片电阻器</v>
          </cell>
          <cell r="F445">
            <v>10010302</v>
          </cell>
          <cell r="G445" t="str">
            <v>ROYA\RES 2K F 1/16W 0402</v>
          </cell>
          <cell r="H445" t="str">
            <v>ROYALOHM(厚声)</v>
          </cell>
          <cell r="I445" t="str">
            <v>0402WGF2001TCE</v>
          </cell>
          <cell r="J445">
            <v>100003</v>
          </cell>
          <cell r="K445" t="str">
            <v>厚声国际贸易（昆山）有限公司</v>
          </cell>
          <cell r="L445" t="str">
            <v>X</v>
          </cell>
          <cell r="M445" t="str">
            <v/>
          </cell>
          <cell r="N445">
            <v>1</v>
          </cell>
          <cell r="O445">
            <v>1.09E-3</v>
          </cell>
          <cell r="P445">
            <v>1.0900000000000001</v>
          </cell>
          <cell r="Q445">
            <v>1.0900000000000001</v>
          </cell>
          <cell r="R445">
            <v>1000</v>
          </cell>
          <cell r="S445" t="str">
            <v>PCS</v>
          </cell>
          <cell r="T445">
            <v>56</v>
          </cell>
          <cell r="U445" t="str">
            <v>J3</v>
          </cell>
          <cell r="V445" t="str">
            <v>CNY</v>
          </cell>
          <cell r="W445">
            <v>10000</v>
          </cell>
          <cell r="X445">
            <v>10000</v>
          </cell>
        </row>
        <row r="446">
          <cell r="D446">
            <v>10100015127</v>
          </cell>
          <cell r="E446" t="str">
            <v>厚膜贴片电阻器</v>
          </cell>
          <cell r="F446">
            <v>10010302</v>
          </cell>
          <cell r="G446" t="str">
            <v>ROYA\RES 100R F 1/4W 1206</v>
          </cell>
          <cell r="H446" t="str">
            <v>ROYALOHM(厚声)</v>
          </cell>
          <cell r="I446" t="str">
            <v>1206W4F1000T5E</v>
          </cell>
          <cell r="J446">
            <v>100003</v>
          </cell>
          <cell r="K446" t="str">
            <v>厚声国际贸易（昆山）有限公司</v>
          </cell>
          <cell r="L446" t="str">
            <v>X</v>
          </cell>
          <cell r="M446" t="str">
            <v/>
          </cell>
          <cell r="N446">
            <v>1</v>
          </cell>
          <cell r="O446">
            <v>6.7799999999999996E-3</v>
          </cell>
          <cell r="P446">
            <v>6.78</v>
          </cell>
          <cell r="Q446">
            <v>6.78</v>
          </cell>
          <cell r="R446">
            <v>1000</v>
          </cell>
          <cell r="S446" t="str">
            <v>PCS</v>
          </cell>
          <cell r="T446">
            <v>56</v>
          </cell>
          <cell r="U446" t="str">
            <v>J3</v>
          </cell>
          <cell r="V446" t="str">
            <v>CNY</v>
          </cell>
          <cell r="W446">
            <v>5000</v>
          </cell>
          <cell r="X446">
            <v>5000</v>
          </cell>
        </row>
        <row r="447">
          <cell r="D447">
            <v>10100015676</v>
          </cell>
          <cell r="E447" t="str">
            <v>厚膜贴片电阻器</v>
          </cell>
          <cell r="F447">
            <v>10010302</v>
          </cell>
          <cell r="G447" t="str">
            <v>ROYA\RES 5.6K F 1/16W 0402</v>
          </cell>
          <cell r="H447" t="str">
            <v>ROYALOHM(厚声)</v>
          </cell>
          <cell r="I447" t="str">
            <v>0402WGF5601TCE</v>
          </cell>
          <cell r="J447">
            <v>100003</v>
          </cell>
          <cell r="K447" t="str">
            <v>厚声国际贸易（昆山）有限公司</v>
          </cell>
          <cell r="L447" t="str">
            <v>X</v>
          </cell>
          <cell r="M447" t="str">
            <v/>
          </cell>
          <cell r="N447">
            <v>1</v>
          </cell>
          <cell r="O447">
            <v>1.09E-3</v>
          </cell>
          <cell r="P447">
            <v>1.0900000000000001</v>
          </cell>
          <cell r="Q447">
            <v>1.0900000000000001</v>
          </cell>
          <cell r="R447">
            <v>1000</v>
          </cell>
          <cell r="S447" t="str">
            <v>PCS</v>
          </cell>
          <cell r="T447">
            <v>56</v>
          </cell>
          <cell r="U447" t="str">
            <v>J3</v>
          </cell>
          <cell r="V447" t="str">
            <v>CNY</v>
          </cell>
          <cell r="W447">
            <v>10000</v>
          </cell>
          <cell r="X447">
            <v>10000</v>
          </cell>
        </row>
        <row r="448">
          <cell r="D448">
            <v>10100017206</v>
          </cell>
          <cell r="E448" t="str">
            <v>厚膜贴片电阻器</v>
          </cell>
          <cell r="F448">
            <v>10010302</v>
          </cell>
          <cell r="G448" t="str">
            <v>ROYA\RES 300K F 1/4W 1206</v>
          </cell>
          <cell r="H448" t="str">
            <v>ROYALOHM(厚声)</v>
          </cell>
          <cell r="I448" t="str">
            <v>1206W4F3003T5E</v>
          </cell>
          <cell r="J448">
            <v>100003</v>
          </cell>
          <cell r="K448" t="str">
            <v>厚声国际贸易（昆山）有限公司</v>
          </cell>
          <cell r="L448" t="str">
            <v>X</v>
          </cell>
          <cell r="M448" t="str">
            <v/>
          </cell>
          <cell r="N448">
            <v>1</v>
          </cell>
          <cell r="O448">
            <v>6.7799999999999996E-3</v>
          </cell>
          <cell r="P448">
            <v>6.78</v>
          </cell>
          <cell r="Q448">
            <v>6.78</v>
          </cell>
          <cell r="R448">
            <v>1000</v>
          </cell>
          <cell r="S448" t="str">
            <v>PCS</v>
          </cell>
          <cell r="T448">
            <v>56</v>
          </cell>
          <cell r="U448" t="str">
            <v>J3</v>
          </cell>
          <cell r="V448" t="str">
            <v>CNY</v>
          </cell>
          <cell r="W448">
            <v>5000</v>
          </cell>
          <cell r="X448">
            <v>5000</v>
          </cell>
        </row>
        <row r="449">
          <cell r="D449">
            <v>10100017335</v>
          </cell>
          <cell r="E449" t="str">
            <v>厚膜贴片电阻器</v>
          </cell>
          <cell r="F449">
            <v>10010302</v>
          </cell>
          <cell r="G449" t="str">
            <v>ROYA\RES 22K F 1/16W 0402</v>
          </cell>
          <cell r="H449" t="str">
            <v>ROYALOHM(厚声)</v>
          </cell>
          <cell r="I449" t="str">
            <v>0402WGF2202TCE</v>
          </cell>
          <cell r="J449">
            <v>100003</v>
          </cell>
          <cell r="K449" t="str">
            <v>厚声国际贸易（昆山）有限公司</v>
          </cell>
          <cell r="L449" t="str">
            <v>X</v>
          </cell>
          <cell r="M449" t="str">
            <v/>
          </cell>
          <cell r="N449">
            <v>1</v>
          </cell>
          <cell r="O449">
            <v>1.09E-3</v>
          </cell>
          <cell r="P449">
            <v>1.0900000000000001</v>
          </cell>
          <cell r="Q449">
            <v>1.0900000000000001</v>
          </cell>
          <cell r="R449">
            <v>1000</v>
          </cell>
          <cell r="S449" t="str">
            <v>PCS</v>
          </cell>
          <cell r="T449">
            <v>56</v>
          </cell>
          <cell r="U449" t="str">
            <v>J3</v>
          </cell>
          <cell r="V449" t="str">
            <v>CNY</v>
          </cell>
          <cell r="W449">
            <v>10000</v>
          </cell>
          <cell r="X449">
            <v>10000</v>
          </cell>
        </row>
        <row r="450">
          <cell r="D450">
            <v>10100017409</v>
          </cell>
          <cell r="E450" t="str">
            <v>厚膜贴片电阻器</v>
          </cell>
          <cell r="F450">
            <v>10010302</v>
          </cell>
          <cell r="G450" t="str">
            <v>HKR\RES 100R F 1/4W 1206</v>
          </cell>
          <cell r="H450" t="str">
            <v>HKR(香港电阻)</v>
          </cell>
          <cell r="I450" t="str">
            <v>RCT06100RFLF</v>
          </cell>
          <cell r="J450">
            <v>100293</v>
          </cell>
          <cell r="K450" t="str">
            <v>恒辉电阻（益阳）有限公司</v>
          </cell>
          <cell r="L450" t="str">
            <v>X</v>
          </cell>
          <cell r="M450" t="str">
            <v/>
          </cell>
          <cell r="N450">
            <v>1</v>
          </cell>
          <cell r="O450">
            <v>5.5999999999999999E-3</v>
          </cell>
          <cell r="P450">
            <v>5.6</v>
          </cell>
          <cell r="Q450">
            <v>5.6</v>
          </cell>
          <cell r="R450">
            <v>1000</v>
          </cell>
          <cell r="S450" t="str">
            <v>PCS</v>
          </cell>
          <cell r="T450">
            <v>56</v>
          </cell>
          <cell r="U450" t="str">
            <v>J3</v>
          </cell>
          <cell r="V450" t="str">
            <v>CNY</v>
          </cell>
          <cell r="W450">
            <v>5000</v>
          </cell>
          <cell r="X450">
            <v>5000</v>
          </cell>
        </row>
        <row r="451">
          <cell r="D451">
            <v>10100017616</v>
          </cell>
          <cell r="E451" t="str">
            <v>厚膜贴片电阻器</v>
          </cell>
          <cell r="F451">
            <v>10010302</v>
          </cell>
          <cell r="G451" t="str">
            <v>HKR\RES 100R F 1/16W 0402</v>
          </cell>
          <cell r="H451" t="str">
            <v>HKR(香港电阻)</v>
          </cell>
          <cell r="I451" t="str">
            <v>RCT02100RFLF</v>
          </cell>
          <cell r="J451">
            <v>100293</v>
          </cell>
          <cell r="K451" t="str">
            <v>恒辉电阻（益阳）有限公司</v>
          </cell>
          <cell r="L451" t="str">
            <v>X</v>
          </cell>
          <cell r="M451" t="str">
            <v/>
          </cell>
          <cell r="N451">
            <v>1</v>
          </cell>
          <cell r="O451">
            <v>9.7999999999999997E-4</v>
          </cell>
          <cell r="P451">
            <v>0.98</v>
          </cell>
          <cell r="Q451">
            <v>0.98</v>
          </cell>
          <cell r="R451">
            <v>1000</v>
          </cell>
          <cell r="S451" t="str">
            <v>PCS</v>
          </cell>
          <cell r="T451">
            <v>56</v>
          </cell>
          <cell r="U451" t="str">
            <v>J3</v>
          </cell>
          <cell r="V451" t="str">
            <v>CNY</v>
          </cell>
          <cell r="W451">
            <v>10000</v>
          </cell>
          <cell r="X451">
            <v>10000</v>
          </cell>
        </row>
        <row r="452">
          <cell r="D452">
            <v>10100017618</v>
          </cell>
          <cell r="E452" t="str">
            <v>厚膜贴片电阻器</v>
          </cell>
          <cell r="F452">
            <v>10010302</v>
          </cell>
          <cell r="G452" t="str">
            <v>HKR\RES 10K F 1/16W 0402</v>
          </cell>
          <cell r="H452" t="str">
            <v>HKR(香港电阻)</v>
          </cell>
          <cell r="I452" t="str">
            <v>RCT0210KFLF</v>
          </cell>
          <cell r="J452">
            <v>100293</v>
          </cell>
          <cell r="K452" t="str">
            <v>恒辉电阻（益阳）有限公司</v>
          </cell>
          <cell r="L452" t="str">
            <v>X</v>
          </cell>
          <cell r="M452" t="str">
            <v/>
          </cell>
          <cell r="N452">
            <v>1</v>
          </cell>
          <cell r="O452">
            <v>9.7999999999999997E-4</v>
          </cell>
          <cell r="P452">
            <v>0.98</v>
          </cell>
          <cell r="Q452">
            <v>0.98</v>
          </cell>
          <cell r="R452">
            <v>1000</v>
          </cell>
          <cell r="S452" t="str">
            <v>PCS</v>
          </cell>
          <cell r="T452">
            <v>56</v>
          </cell>
          <cell r="U452" t="str">
            <v>J3</v>
          </cell>
          <cell r="V452" t="str">
            <v>CNY</v>
          </cell>
          <cell r="W452">
            <v>10000</v>
          </cell>
          <cell r="X452">
            <v>10000</v>
          </cell>
        </row>
        <row r="453">
          <cell r="D453">
            <v>10100017642</v>
          </cell>
          <cell r="E453" t="str">
            <v>厚膜贴片电阻器</v>
          </cell>
          <cell r="F453">
            <v>10010302</v>
          </cell>
          <cell r="G453" t="str">
            <v>HKR\RES 1K F 1/16W 0402</v>
          </cell>
          <cell r="H453" t="str">
            <v>HKR(香港电阻)</v>
          </cell>
          <cell r="I453" t="str">
            <v>RCT021KFLF</v>
          </cell>
          <cell r="J453">
            <v>100293</v>
          </cell>
          <cell r="K453" t="str">
            <v>恒辉电阻（益阳）有限公司</v>
          </cell>
          <cell r="L453" t="str">
            <v>X</v>
          </cell>
          <cell r="M453" t="str">
            <v/>
          </cell>
          <cell r="N453">
            <v>1</v>
          </cell>
          <cell r="O453">
            <v>9.7999999999999997E-4</v>
          </cell>
          <cell r="P453">
            <v>0.98</v>
          </cell>
          <cell r="Q453">
            <v>0.98</v>
          </cell>
          <cell r="R453">
            <v>1000</v>
          </cell>
          <cell r="S453" t="str">
            <v>PCS</v>
          </cell>
          <cell r="T453">
            <v>56</v>
          </cell>
          <cell r="U453" t="str">
            <v>J3</v>
          </cell>
          <cell r="V453" t="str">
            <v>CNY</v>
          </cell>
          <cell r="W453">
            <v>10000</v>
          </cell>
          <cell r="X453">
            <v>10000</v>
          </cell>
        </row>
        <row r="454">
          <cell r="D454">
            <v>10100017664</v>
          </cell>
          <cell r="E454" t="str">
            <v>厚膜贴片电阻器</v>
          </cell>
          <cell r="F454">
            <v>10010302</v>
          </cell>
          <cell r="G454" t="str">
            <v>HKR\RES 22K F 1/16W 0402</v>
          </cell>
          <cell r="H454" t="str">
            <v>HKR(香港电阻)</v>
          </cell>
          <cell r="I454" t="str">
            <v>RCT0222KFLF</v>
          </cell>
          <cell r="J454">
            <v>100293</v>
          </cell>
          <cell r="K454" t="str">
            <v>恒辉电阻（益阳）有限公司</v>
          </cell>
          <cell r="L454" t="str">
            <v>X</v>
          </cell>
          <cell r="M454" t="str">
            <v/>
          </cell>
          <cell r="N454">
            <v>1</v>
          </cell>
          <cell r="O454">
            <v>9.7999999999999997E-4</v>
          </cell>
          <cell r="P454">
            <v>0.98</v>
          </cell>
          <cell r="Q454">
            <v>0.98</v>
          </cell>
          <cell r="R454">
            <v>1000</v>
          </cell>
          <cell r="S454" t="str">
            <v>PCS</v>
          </cell>
          <cell r="T454">
            <v>56</v>
          </cell>
          <cell r="U454" t="str">
            <v>J3</v>
          </cell>
          <cell r="V454" t="str">
            <v>CNY</v>
          </cell>
          <cell r="W454">
            <v>10000</v>
          </cell>
          <cell r="X454">
            <v>10000</v>
          </cell>
        </row>
        <row r="455">
          <cell r="D455">
            <v>10100017738</v>
          </cell>
          <cell r="E455" t="str">
            <v>厚膜贴片电阻器</v>
          </cell>
          <cell r="F455">
            <v>10010302</v>
          </cell>
          <cell r="G455" t="str">
            <v>HKR\RES 5.1K F 1/16W 0402</v>
          </cell>
          <cell r="H455" t="str">
            <v>HKR(香港电阻)</v>
          </cell>
          <cell r="I455" t="str">
            <v>RCT025K1FLF</v>
          </cell>
          <cell r="J455">
            <v>100293</v>
          </cell>
          <cell r="K455" t="str">
            <v>恒辉电阻（益阳）有限公司</v>
          </cell>
          <cell r="L455" t="str">
            <v>X</v>
          </cell>
          <cell r="M455" t="str">
            <v/>
          </cell>
          <cell r="N455">
            <v>1</v>
          </cell>
          <cell r="O455">
            <v>9.7999999999999997E-4</v>
          </cell>
          <cell r="P455">
            <v>0.98</v>
          </cell>
          <cell r="Q455">
            <v>0.98</v>
          </cell>
          <cell r="R455">
            <v>1000</v>
          </cell>
          <cell r="S455" t="str">
            <v>PCS</v>
          </cell>
          <cell r="T455">
            <v>56</v>
          </cell>
          <cell r="U455" t="str">
            <v>J3</v>
          </cell>
          <cell r="V455" t="str">
            <v>CNY</v>
          </cell>
          <cell r="W455">
            <v>10000</v>
          </cell>
          <cell r="X455">
            <v>10000</v>
          </cell>
        </row>
        <row r="456">
          <cell r="D456">
            <v>10100017881</v>
          </cell>
          <cell r="E456" t="str">
            <v>厚膜贴片电阻器</v>
          </cell>
          <cell r="F456">
            <v>10010302</v>
          </cell>
          <cell r="G456" t="str">
            <v>HKR\RES 2.2K F 1/10W 0603</v>
          </cell>
          <cell r="H456" t="str">
            <v>HKR(香港电阻)</v>
          </cell>
          <cell r="I456" t="str">
            <v>RCT032K2FLF</v>
          </cell>
          <cell r="J456">
            <v>100293</v>
          </cell>
          <cell r="K456" t="str">
            <v>恒辉电阻（益阳）有限公司</v>
          </cell>
          <cell r="L456" t="str">
            <v>X</v>
          </cell>
          <cell r="M456" t="str">
            <v/>
          </cell>
          <cell r="N456">
            <v>1</v>
          </cell>
          <cell r="O456">
            <v>1.8500000000000001E-3</v>
          </cell>
          <cell r="P456">
            <v>1.85</v>
          </cell>
          <cell r="Q456">
            <v>1.85</v>
          </cell>
          <cell r="R456">
            <v>1000</v>
          </cell>
          <cell r="S456" t="str">
            <v>PCS</v>
          </cell>
          <cell r="T456">
            <v>42</v>
          </cell>
          <cell r="U456" t="str">
            <v>J3</v>
          </cell>
          <cell r="V456" t="str">
            <v>CNY</v>
          </cell>
          <cell r="W456">
            <v>5000</v>
          </cell>
          <cell r="X456">
            <v>5000</v>
          </cell>
        </row>
        <row r="457">
          <cell r="D457">
            <v>10100017970</v>
          </cell>
          <cell r="E457" t="str">
            <v>厚膜贴片电阻器</v>
          </cell>
          <cell r="F457">
            <v>10010302</v>
          </cell>
          <cell r="G457" t="str">
            <v>HKR\RES 4.7K F 1/10W 0603</v>
          </cell>
          <cell r="H457" t="str">
            <v>HKR(香港电阻)</v>
          </cell>
          <cell r="I457" t="str">
            <v>RCT034K7FLF</v>
          </cell>
          <cell r="J457">
            <v>100293</v>
          </cell>
          <cell r="K457" t="str">
            <v>恒辉电阻（益阳）有限公司</v>
          </cell>
          <cell r="L457" t="str">
            <v>X</v>
          </cell>
          <cell r="M457" t="str">
            <v/>
          </cell>
          <cell r="N457">
            <v>1</v>
          </cell>
          <cell r="O457">
            <v>1.8500000000000001E-3</v>
          </cell>
          <cell r="P457">
            <v>1.85</v>
          </cell>
          <cell r="Q457">
            <v>1.85</v>
          </cell>
          <cell r="R457">
            <v>1000</v>
          </cell>
          <cell r="S457" t="str">
            <v>PCS</v>
          </cell>
          <cell r="T457">
            <v>42</v>
          </cell>
          <cell r="U457" t="str">
            <v>J3</v>
          </cell>
          <cell r="V457" t="str">
            <v>CNY</v>
          </cell>
          <cell r="W457">
            <v>5000</v>
          </cell>
          <cell r="X457">
            <v>5000</v>
          </cell>
        </row>
        <row r="458">
          <cell r="D458">
            <v>10100018109</v>
          </cell>
          <cell r="E458" t="str">
            <v>厚膜贴片电阻器</v>
          </cell>
          <cell r="F458">
            <v>10010302</v>
          </cell>
          <cell r="G458" t="str">
            <v>HKR\RES 1K F 1/8W 0805</v>
          </cell>
          <cell r="H458" t="str">
            <v>HKR(香港电阻)</v>
          </cell>
          <cell r="I458" t="str">
            <v>RCT051KFLF</v>
          </cell>
          <cell r="J458">
            <v>100293</v>
          </cell>
          <cell r="K458" t="str">
            <v>恒辉电阻（益阳）有限公司</v>
          </cell>
          <cell r="L458" t="str">
            <v>X</v>
          </cell>
          <cell r="M458" t="str">
            <v/>
          </cell>
          <cell r="N458">
            <v>1</v>
          </cell>
          <cell r="O458">
            <v>3.3500000000000001E-3</v>
          </cell>
          <cell r="P458">
            <v>3.35</v>
          </cell>
          <cell r="Q458">
            <v>3.35</v>
          </cell>
          <cell r="R458">
            <v>1000</v>
          </cell>
          <cell r="S458" t="str">
            <v>PCS</v>
          </cell>
          <cell r="T458">
            <v>42</v>
          </cell>
          <cell r="U458" t="str">
            <v>J3</v>
          </cell>
          <cell r="V458" t="str">
            <v>CNY</v>
          </cell>
          <cell r="W458">
            <v>5000</v>
          </cell>
          <cell r="X458">
            <v>5000</v>
          </cell>
        </row>
        <row r="459">
          <cell r="D459">
            <v>10100018253</v>
          </cell>
          <cell r="E459" t="str">
            <v>厚膜贴片电阻器</v>
          </cell>
          <cell r="F459">
            <v>10010302</v>
          </cell>
          <cell r="G459" t="str">
            <v>HKR\RES 5.1K F 1/8W 0805</v>
          </cell>
          <cell r="H459" t="str">
            <v>HKR(香港电阻)</v>
          </cell>
          <cell r="I459" t="str">
            <v>RCT055K1FLF</v>
          </cell>
          <cell r="J459">
            <v>100293</v>
          </cell>
          <cell r="K459" t="str">
            <v>恒辉电阻（益阳）有限公司</v>
          </cell>
          <cell r="L459" t="str">
            <v>X</v>
          </cell>
          <cell r="M459" t="str">
            <v/>
          </cell>
          <cell r="N459">
            <v>1</v>
          </cell>
          <cell r="O459">
            <v>3.3500000000000001E-3</v>
          </cell>
          <cell r="P459">
            <v>3.35</v>
          </cell>
          <cell r="Q459">
            <v>3.35</v>
          </cell>
          <cell r="R459">
            <v>1000</v>
          </cell>
          <cell r="S459" t="str">
            <v>PCS</v>
          </cell>
          <cell r="T459">
            <v>42</v>
          </cell>
          <cell r="U459" t="str">
            <v>J3</v>
          </cell>
          <cell r="V459" t="str">
            <v>CNY</v>
          </cell>
          <cell r="W459">
            <v>5000</v>
          </cell>
          <cell r="X459">
            <v>5000</v>
          </cell>
        </row>
        <row r="460">
          <cell r="D460">
            <v>10100018399</v>
          </cell>
          <cell r="E460" t="str">
            <v>厚膜贴片电阻器</v>
          </cell>
          <cell r="F460">
            <v>10010302</v>
          </cell>
          <cell r="G460" t="str">
            <v>HKR\RES 390R F 1/16W 0402</v>
          </cell>
          <cell r="H460" t="str">
            <v>HKR(香港电阻)</v>
          </cell>
          <cell r="I460" t="str">
            <v>RCT02390RFLF</v>
          </cell>
          <cell r="J460">
            <v>100293</v>
          </cell>
          <cell r="K460" t="str">
            <v>恒辉电阻（益阳）有限公司</v>
          </cell>
          <cell r="L460" t="str">
            <v>X</v>
          </cell>
          <cell r="M460" t="str">
            <v/>
          </cell>
          <cell r="N460">
            <v>1</v>
          </cell>
          <cell r="O460">
            <v>9.7999999999999997E-4</v>
          </cell>
          <cell r="P460">
            <v>0.98</v>
          </cell>
          <cell r="Q460">
            <v>0.98</v>
          </cell>
          <cell r="R460">
            <v>1000</v>
          </cell>
          <cell r="S460" t="str">
            <v>PCS</v>
          </cell>
          <cell r="T460">
            <v>42</v>
          </cell>
          <cell r="U460" t="str">
            <v>J3</v>
          </cell>
          <cell r="V460" t="str">
            <v>CNY</v>
          </cell>
          <cell r="W460">
            <v>10000</v>
          </cell>
          <cell r="X460">
            <v>10000</v>
          </cell>
        </row>
        <row r="461">
          <cell r="D461">
            <v>10100019075</v>
          </cell>
          <cell r="E461" t="str">
            <v>厚膜贴片电阻器</v>
          </cell>
          <cell r="F461">
            <v>10010302</v>
          </cell>
          <cell r="G461" t="str">
            <v>ROYA\RES 390R F 1/16W 0402</v>
          </cell>
          <cell r="H461" t="str">
            <v>ROYALOHM(厚声)</v>
          </cell>
          <cell r="I461" t="str">
            <v>0402WGF3900TCE</v>
          </cell>
          <cell r="J461">
            <v>100003</v>
          </cell>
          <cell r="K461" t="str">
            <v>厚声国际贸易（昆山）有限公司</v>
          </cell>
          <cell r="L461" t="str">
            <v>X</v>
          </cell>
          <cell r="M461" t="str">
            <v/>
          </cell>
          <cell r="N461">
            <v>1</v>
          </cell>
          <cell r="O461">
            <v>1.09E-3</v>
          </cell>
          <cell r="P461">
            <v>1.0900000000000001</v>
          </cell>
          <cell r="Q461">
            <v>1.0900000000000001</v>
          </cell>
          <cell r="R461">
            <v>1000</v>
          </cell>
          <cell r="S461" t="str">
            <v>PCS</v>
          </cell>
          <cell r="T461">
            <v>56</v>
          </cell>
          <cell r="U461" t="str">
            <v>J3</v>
          </cell>
          <cell r="V461" t="str">
            <v>CNY</v>
          </cell>
          <cell r="W461">
            <v>10000</v>
          </cell>
          <cell r="X461">
            <v>10000</v>
          </cell>
        </row>
        <row r="462">
          <cell r="D462">
            <v>10100019134</v>
          </cell>
          <cell r="E462" t="str">
            <v>厚膜贴片电阻器</v>
          </cell>
          <cell r="F462">
            <v>10010302</v>
          </cell>
          <cell r="G462" t="str">
            <v>HKR\RES 11K F 1/16W 0402</v>
          </cell>
          <cell r="H462" t="str">
            <v>HKR(香港电阻)</v>
          </cell>
          <cell r="I462" t="str">
            <v>RCT0211KFLF</v>
          </cell>
          <cell r="J462">
            <v>100293</v>
          </cell>
          <cell r="K462" t="str">
            <v>恒辉电阻（益阳）有限公司</v>
          </cell>
          <cell r="L462" t="str">
            <v>X</v>
          </cell>
          <cell r="M462" t="str">
            <v/>
          </cell>
          <cell r="N462">
            <v>1</v>
          </cell>
          <cell r="O462">
            <v>9.7999999999999997E-4</v>
          </cell>
          <cell r="P462">
            <v>0.98</v>
          </cell>
          <cell r="Q462">
            <v>0.98</v>
          </cell>
          <cell r="R462">
            <v>1000</v>
          </cell>
          <cell r="S462" t="str">
            <v>PCS</v>
          </cell>
          <cell r="T462">
            <v>42</v>
          </cell>
          <cell r="U462" t="str">
            <v>J3</v>
          </cell>
          <cell r="V462" t="str">
            <v>CNY</v>
          </cell>
          <cell r="W462">
            <v>10000</v>
          </cell>
          <cell r="X462">
            <v>10000</v>
          </cell>
        </row>
        <row r="463">
          <cell r="D463">
            <v>10100022516</v>
          </cell>
          <cell r="E463" t="str">
            <v>厚膜贴片电阻器</v>
          </cell>
          <cell r="F463">
            <v>10010302</v>
          </cell>
          <cell r="G463" t="str">
            <v>ROYA\RES 11K F 1/16W 0402</v>
          </cell>
          <cell r="H463" t="str">
            <v>ROYALOHM(厚声)</v>
          </cell>
          <cell r="I463" t="str">
            <v>0402WGF1102TCE</v>
          </cell>
          <cell r="J463">
            <v>100003</v>
          </cell>
          <cell r="K463" t="str">
            <v>厚声国际贸易（昆山）有限公司</v>
          </cell>
          <cell r="L463" t="str">
            <v>X</v>
          </cell>
          <cell r="M463" t="str">
            <v/>
          </cell>
          <cell r="N463">
            <v>1</v>
          </cell>
          <cell r="O463">
            <v>1.09E-3</v>
          </cell>
          <cell r="P463">
            <v>1.0900000000000001</v>
          </cell>
          <cell r="Q463">
            <v>1.0900000000000001</v>
          </cell>
          <cell r="R463">
            <v>1000</v>
          </cell>
          <cell r="S463" t="str">
            <v>PCS</v>
          </cell>
          <cell r="T463">
            <v>56</v>
          </cell>
          <cell r="U463" t="str">
            <v>J3</v>
          </cell>
          <cell r="V463" t="str">
            <v>CNY</v>
          </cell>
          <cell r="W463">
            <v>10000</v>
          </cell>
          <cell r="X463">
            <v>10000</v>
          </cell>
        </row>
        <row r="464">
          <cell r="D464">
            <v>10100024100</v>
          </cell>
          <cell r="E464" t="str">
            <v>厚膜贴片电阻器</v>
          </cell>
          <cell r="F464">
            <v>10010302</v>
          </cell>
          <cell r="G464" t="str">
            <v>FH\RES 0R R&lt;10mR 1/10W 0603 1A</v>
          </cell>
          <cell r="H464" t="str">
            <v>FH(风华)</v>
          </cell>
          <cell r="I464" t="str">
            <v>RS-03000FT</v>
          </cell>
          <cell r="J464">
            <v>100654</v>
          </cell>
          <cell r="K464" t="str">
            <v>广东风华高新科技股份有限公司</v>
          </cell>
          <cell r="L464" t="str">
            <v>X</v>
          </cell>
          <cell r="M464" t="str">
            <v/>
          </cell>
          <cell r="N464">
            <v>1</v>
          </cell>
          <cell r="O464">
            <v>2.0799999999999998E-3</v>
          </cell>
          <cell r="P464">
            <v>2.08</v>
          </cell>
          <cell r="Q464">
            <v>2.08</v>
          </cell>
          <cell r="R464">
            <v>1000</v>
          </cell>
          <cell r="S464" t="str">
            <v>PCS</v>
          </cell>
          <cell r="T464">
            <v>56</v>
          </cell>
          <cell r="U464" t="str">
            <v>J3</v>
          </cell>
          <cell r="V464" t="str">
            <v>CNY</v>
          </cell>
          <cell r="W464">
            <v>5000</v>
          </cell>
          <cell r="X464">
            <v>5000</v>
          </cell>
        </row>
        <row r="465">
          <cell r="D465">
            <v>10100026554</v>
          </cell>
          <cell r="E465" t="str">
            <v>厚膜贴片电阻器</v>
          </cell>
          <cell r="F465">
            <v>10010302</v>
          </cell>
          <cell r="G465" t="str">
            <v>FH\RES 300K F 1/4W 1206</v>
          </cell>
          <cell r="H465" t="str">
            <v>FH(风华)</v>
          </cell>
          <cell r="I465" t="str">
            <v>RS-06K3003FT</v>
          </cell>
          <cell r="J465">
            <v>100654</v>
          </cell>
          <cell r="K465" t="str">
            <v>广东风华高新科技股份有限公司</v>
          </cell>
          <cell r="L465" t="str">
            <v>X</v>
          </cell>
          <cell r="M465" t="str">
            <v/>
          </cell>
          <cell r="N465">
            <v>1</v>
          </cell>
          <cell r="O465">
            <v>6.4999999999999997E-3</v>
          </cell>
          <cell r="P465">
            <v>6.5</v>
          </cell>
          <cell r="Q465">
            <v>6.5</v>
          </cell>
          <cell r="R465">
            <v>1000</v>
          </cell>
          <cell r="S465" t="str">
            <v>PCS</v>
          </cell>
          <cell r="T465">
            <v>56</v>
          </cell>
          <cell r="U465" t="str">
            <v>J3</v>
          </cell>
          <cell r="V465" t="str">
            <v>CNY</v>
          </cell>
          <cell r="W465">
            <v>5000</v>
          </cell>
          <cell r="X465">
            <v>5000</v>
          </cell>
        </row>
        <row r="466">
          <cell r="D466">
            <v>10110003896</v>
          </cell>
          <cell r="E466" t="str">
            <v>贴片陶瓷电容器</v>
          </cell>
          <cell r="F466">
            <v>11060201</v>
          </cell>
          <cell r="G466" t="str">
            <v>YAGEO\CAP Cer 1nF K X7R 50VDC 0402</v>
          </cell>
          <cell r="H466" t="str">
            <v>YAGEO(国巨)</v>
          </cell>
          <cell r="I466" t="str">
            <v>CC0402KRX7R9BB102</v>
          </cell>
          <cell r="J466">
            <v>101566</v>
          </cell>
          <cell r="K466" t="str">
            <v>深圳市兴鸿宇科技有限公司</v>
          </cell>
          <cell r="L466" t="str">
            <v>X</v>
          </cell>
          <cell r="M466" t="str">
            <v/>
          </cell>
          <cell r="N466">
            <v>1</v>
          </cell>
          <cell r="O466">
            <v>2.3E-3</v>
          </cell>
          <cell r="P466">
            <v>2.2999999999999998</v>
          </cell>
          <cell r="Q466">
            <v>2.2999999999999998</v>
          </cell>
          <cell r="R466">
            <v>1000</v>
          </cell>
          <cell r="S466" t="str">
            <v>PCS</v>
          </cell>
          <cell r="T466">
            <v>56</v>
          </cell>
          <cell r="U466" t="str">
            <v>J3</v>
          </cell>
          <cell r="V466" t="str">
            <v>CNY</v>
          </cell>
          <cell r="W466">
            <v>10000</v>
          </cell>
          <cell r="X466">
            <v>10000</v>
          </cell>
        </row>
        <row r="467">
          <cell r="D467">
            <v>10110003897</v>
          </cell>
          <cell r="E467" t="str">
            <v>贴片陶瓷电容器</v>
          </cell>
          <cell r="F467">
            <v>11060201</v>
          </cell>
          <cell r="G467" t="str">
            <v>YAGEO\CAP Cer 10nF K X7R 50VDC 0402</v>
          </cell>
          <cell r="H467" t="str">
            <v>YAGEO(国巨)</v>
          </cell>
          <cell r="I467" t="str">
            <v>CC0402KRX7R9BB103</v>
          </cell>
          <cell r="J467">
            <v>101553</v>
          </cell>
          <cell r="K467" t="str">
            <v>深圳市奥特高科电子有限公司</v>
          </cell>
          <cell r="L467" t="str">
            <v>X</v>
          </cell>
          <cell r="M467" t="str">
            <v/>
          </cell>
          <cell r="N467">
            <v>1</v>
          </cell>
          <cell r="O467">
            <v>2.2000000000000001E-3</v>
          </cell>
          <cell r="P467">
            <v>2.2000000000000002</v>
          </cell>
          <cell r="Q467">
            <v>2.2000000000000002</v>
          </cell>
          <cell r="R467">
            <v>1000</v>
          </cell>
          <cell r="S467" t="str">
            <v>PCS</v>
          </cell>
          <cell r="T467">
            <v>56</v>
          </cell>
          <cell r="U467" t="str">
            <v>J3</v>
          </cell>
          <cell r="V467" t="str">
            <v>CNY</v>
          </cell>
          <cell r="W467">
            <v>10000</v>
          </cell>
          <cell r="X467">
            <v>10000</v>
          </cell>
        </row>
        <row r="468">
          <cell r="D468">
            <v>10110004676</v>
          </cell>
          <cell r="E468" t="str">
            <v>贴片陶瓷电容器</v>
          </cell>
          <cell r="F468">
            <v>11060201</v>
          </cell>
          <cell r="G468" t="str">
            <v>WALS\CAP Cer 10nF K X7R 50VDC 0402</v>
          </cell>
          <cell r="H468" t="str">
            <v>WALS(华科)</v>
          </cell>
          <cell r="I468" t="str">
            <v>0402B103K500CT</v>
          </cell>
          <cell r="J468">
            <v>100131</v>
          </cell>
          <cell r="K468" t="str">
            <v>东莞华科电子有限公司</v>
          </cell>
          <cell r="L468" t="str">
            <v>X</v>
          </cell>
          <cell r="M468" t="str">
            <v/>
          </cell>
          <cell r="N468">
            <v>1</v>
          </cell>
          <cell r="O468">
            <v>1.98E-3</v>
          </cell>
          <cell r="P468">
            <v>1.98</v>
          </cell>
          <cell r="Q468">
            <v>1.98</v>
          </cell>
          <cell r="R468">
            <v>1000</v>
          </cell>
          <cell r="S468" t="str">
            <v>PCS</v>
          </cell>
          <cell r="T468">
            <v>56</v>
          </cell>
          <cell r="U468" t="str">
            <v>J3</v>
          </cell>
          <cell r="V468" t="str">
            <v>CNY</v>
          </cell>
          <cell r="W468">
            <v>10000</v>
          </cell>
          <cell r="X468">
            <v>10000</v>
          </cell>
        </row>
        <row r="469">
          <cell r="D469">
            <v>10110005378</v>
          </cell>
          <cell r="E469" t="str">
            <v>贴片陶瓷电容器</v>
          </cell>
          <cell r="F469">
            <v>11060201</v>
          </cell>
          <cell r="G469" t="str">
            <v>YAGEO\CAP Cer 100pF K X7R 50VDC 0402</v>
          </cell>
          <cell r="H469" t="str">
            <v>YAGEO(国巨)</v>
          </cell>
          <cell r="I469" t="str">
            <v>CC0402KRX7R9BB101</v>
          </cell>
          <cell r="J469">
            <v>100621</v>
          </cell>
          <cell r="K469" t="str">
            <v>深圳市吉利通电子有限公司</v>
          </cell>
          <cell r="L469" t="str">
            <v>X</v>
          </cell>
          <cell r="M469" t="str">
            <v/>
          </cell>
          <cell r="N469">
            <v>1</v>
          </cell>
          <cell r="O469">
            <v>2.3999999999999998E-3</v>
          </cell>
          <cell r="P469">
            <v>2.4</v>
          </cell>
          <cell r="Q469">
            <v>2.4</v>
          </cell>
          <cell r="R469">
            <v>1000</v>
          </cell>
          <cell r="S469" t="str">
            <v>PCS</v>
          </cell>
          <cell r="T469">
            <v>56</v>
          </cell>
          <cell r="U469" t="str">
            <v>J3</v>
          </cell>
          <cell r="V469" t="str">
            <v>CNY</v>
          </cell>
          <cell r="W469">
            <v>10000</v>
          </cell>
          <cell r="X469">
            <v>10000</v>
          </cell>
        </row>
        <row r="470">
          <cell r="D470">
            <v>10110005817</v>
          </cell>
          <cell r="E470" t="str">
            <v>贴片陶瓷电容器</v>
          </cell>
          <cell r="F470">
            <v>11060201</v>
          </cell>
          <cell r="G470" t="str">
            <v>WALS\CAP Cer 1nF K X7R 50VDC 0402</v>
          </cell>
          <cell r="H470" t="str">
            <v>WALS(华科)</v>
          </cell>
          <cell r="I470" t="str">
            <v>0402B102K500CT</v>
          </cell>
          <cell r="J470">
            <v>100131</v>
          </cell>
          <cell r="K470" t="str">
            <v>东莞华科电子有限公司</v>
          </cell>
          <cell r="L470" t="str">
            <v>X</v>
          </cell>
          <cell r="M470" t="str">
            <v/>
          </cell>
          <cell r="N470">
            <v>1</v>
          </cell>
          <cell r="O470">
            <v>1.98E-3</v>
          </cell>
          <cell r="P470">
            <v>1.98</v>
          </cell>
          <cell r="Q470">
            <v>1.98</v>
          </cell>
          <cell r="R470">
            <v>1000</v>
          </cell>
          <cell r="S470" t="str">
            <v>PCS</v>
          </cell>
          <cell r="T470">
            <v>56</v>
          </cell>
          <cell r="U470" t="str">
            <v>J3</v>
          </cell>
          <cell r="V470" t="str">
            <v>CNY</v>
          </cell>
          <cell r="W470">
            <v>10000</v>
          </cell>
          <cell r="X470">
            <v>10000</v>
          </cell>
        </row>
        <row r="471">
          <cell r="D471">
            <v>10110006771</v>
          </cell>
          <cell r="E471" t="str">
            <v>贴片陶瓷电容器</v>
          </cell>
          <cell r="F471">
            <v>11060201</v>
          </cell>
          <cell r="G471" t="str">
            <v>YAGEO\CAP Cer 100nF K X7R 50VDC 0402</v>
          </cell>
          <cell r="H471" t="str">
            <v>YAGEO(国巨)</v>
          </cell>
          <cell r="I471" t="str">
            <v>CC0402KRX7R9BB104</v>
          </cell>
          <cell r="J471">
            <v>101566</v>
          </cell>
          <cell r="K471" t="str">
            <v>深圳市兴鸿宇科技有限公司</v>
          </cell>
          <cell r="L471" t="str">
            <v>X</v>
          </cell>
          <cell r="M471" t="str">
            <v/>
          </cell>
          <cell r="N471">
            <v>1</v>
          </cell>
          <cell r="O471">
            <v>4.9500000000000004E-3</v>
          </cell>
          <cell r="P471">
            <v>4.95</v>
          </cell>
          <cell r="Q471">
            <v>4.95</v>
          </cell>
          <cell r="R471">
            <v>1000</v>
          </cell>
          <cell r="S471" t="str">
            <v>PCS</v>
          </cell>
          <cell r="T471">
            <v>56</v>
          </cell>
          <cell r="U471" t="str">
            <v>J3</v>
          </cell>
          <cell r="V471" t="str">
            <v>CNY</v>
          </cell>
          <cell r="W471">
            <v>10000</v>
          </cell>
          <cell r="X471">
            <v>10000</v>
          </cell>
        </row>
        <row r="472">
          <cell r="D472">
            <v>10110007139</v>
          </cell>
          <cell r="E472" t="str">
            <v>贴片陶瓷电容器</v>
          </cell>
          <cell r="F472">
            <v>11060201</v>
          </cell>
          <cell r="G472" t="str">
            <v>SAMS\CAP Cer 10nF K X7R 50VDC 0402</v>
          </cell>
          <cell r="H472" t="str">
            <v>SAMSUNG(三星)</v>
          </cell>
          <cell r="I472" t="str">
            <v>CL05B103KB5NNNC</v>
          </cell>
          <cell r="J472">
            <v>101239</v>
          </cell>
          <cell r="K472" t="str">
            <v>苏州荣采电子有限公司</v>
          </cell>
          <cell r="L472" t="str">
            <v>X</v>
          </cell>
          <cell r="M472" t="str">
            <v/>
          </cell>
          <cell r="N472">
            <v>1</v>
          </cell>
          <cell r="O472">
            <v>2.9399999999999999E-3</v>
          </cell>
          <cell r="P472">
            <v>2.94</v>
          </cell>
          <cell r="Q472">
            <v>2.94</v>
          </cell>
          <cell r="R472">
            <v>1000</v>
          </cell>
          <cell r="S472" t="str">
            <v>PCS</v>
          </cell>
          <cell r="T472">
            <v>84</v>
          </cell>
          <cell r="U472" t="str">
            <v>J3</v>
          </cell>
          <cell r="V472" t="str">
            <v>CNY</v>
          </cell>
          <cell r="W472">
            <v>10000</v>
          </cell>
          <cell r="X472">
            <v>10000</v>
          </cell>
        </row>
        <row r="473">
          <cell r="D473">
            <v>10110007822</v>
          </cell>
          <cell r="E473" t="str">
            <v>贴片陶瓷电容器</v>
          </cell>
          <cell r="F473">
            <v>11060201</v>
          </cell>
          <cell r="G473" t="str">
            <v>SAMS\CAP Cer 1nF K X7R 50VDC 0402</v>
          </cell>
          <cell r="H473" t="str">
            <v>SAMSUNG(三星)</v>
          </cell>
          <cell r="I473" t="str">
            <v>CL05B102KB5NNNC</v>
          </cell>
          <cell r="J473">
            <v>101239</v>
          </cell>
          <cell r="K473" t="str">
            <v>苏州荣采电子有限公司</v>
          </cell>
          <cell r="L473" t="str">
            <v>X</v>
          </cell>
          <cell r="M473" t="str">
            <v/>
          </cell>
          <cell r="N473">
            <v>1</v>
          </cell>
          <cell r="O473">
            <v>2.8E-3</v>
          </cell>
          <cell r="P473">
            <v>2.8</v>
          </cell>
          <cell r="Q473">
            <v>2.8</v>
          </cell>
          <cell r="R473">
            <v>1000</v>
          </cell>
          <cell r="S473" t="str">
            <v>PCS</v>
          </cell>
          <cell r="T473">
            <v>56</v>
          </cell>
          <cell r="U473" t="str">
            <v>J3</v>
          </cell>
          <cell r="V473" t="str">
            <v>CNY</v>
          </cell>
          <cell r="W473">
            <v>10000</v>
          </cell>
          <cell r="X473">
            <v>10000</v>
          </cell>
        </row>
        <row r="474">
          <cell r="D474">
            <v>10110008257</v>
          </cell>
          <cell r="E474" t="str">
            <v>贴片陶瓷电容器</v>
          </cell>
          <cell r="F474">
            <v>11060201</v>
          </cell>
          <cell r="G474" t="str">
            <v>WALS\CAP Cer 100nF K X7R 50VDC 0402</v>
          </cell>
          <cell r="H474" t="str">
            <v>WALS(华科)</v>
          </cell>
          <cell r="I474" t="str">
            <v>0402B104K500CT</v>
          </cell>
          <cell r="J474">
            <v>101566</v>
          </cell>
          <cell r="K474" t="str">
            <v>深圳市兴鸿宇科技有限公司</v>
          </cell>
          <cell r="L474" t="str">
            <v>X</v>
          </cell>
          <cell r="M474" t="str">
            <v/>
          </cell>
          <cell r="N474">
            <v>1</v>
          </cell>
          <cell r="O474">
            <v>4.5999999999999999E-3</v>
          </cell>
          <cell r="P474">
            <v>4.5999999999999996</v>
          </cell>
          <cell r="Q474">
            <v>4.5999999999999996</v>
          </cell>
          <cell r="R474">
            <v>1000</v>
          </cell>
          <cell r="S474" t="str">
            <v>PCS</v>
          </cell>
          <cell r="T474">
            <v>56</v>
          </cell>
          <cell r="U474" t="str">
            <v>J3</v>
          </cell>
          <cell r="V474" t="str">
            <v>CNY</v>
          </cell>
          <cell r="W474">
            <v>10000</v>
          </cell>
          <cell r="X474">
            <v>10000</v>
          </cell>
        </row>
        <row r="475">
          <cell r="D475">
            <v>10110008724</v>
          </cell>
          <cell r="E475" t="str">
            <v>贴片陶瓷电容器</v>
          </cell>
          <cell r="F475">
            <v>11060201</v>
          </cell>
          <cell r="G475" t="str">
            <v>FH\CAP Cer 100nF K X7R 50VDC 0402</v>
          </cell>
          <cell r="H475" t="str">
            <v>FH(风华)</v>
          </cell>
          <cell r="I475" t="str">
            <v>0402B104K500NT</v>
          </cell>
          <cell r="J475">
            <v>101566</v>
          </cell>
          <cell r="K475" t="str">
            <v>深圳市兴鸿宇科技有限公司</v>
          </cell>
          <cell r="L475" t="str">
            <v>X</v>
          </cell>
          <cell r="M475" t="str">
            <v/>
          </cell>
          <cell r="N475">
            <v>1</v>
          </cell>
          <cell r="O475">
            <v>4.1000000000000003E-3</v>
          </cell>
          <cell r="P475">
            <v>4.0999999999999996</v>
          </cell>
          <cell r="Q475">
            <v>4.0999999999999996</v>
          </cell>
          <cell r="R475">
            <v>1000</v>
          </cell>
          <cell r="S475" t="str">
            <v>PCS</v>
          </cell>
          <cell r="T475">
            <v>56</v>
          </cell>
          <cell r="U475" t="str">
            <v>J3</v>
          </cell>
          <cell r="V475" t="str">
            <v>CNY</v>
          </cell>
          <cell r="W475">
            <v>10000</v>
          </cell>
          <cell r="X475">
            <v>10000</v>
          </cell>
        </row>
        <row r="476">
          <cell r="D476">
            <v>10110008726</v>
          </cell>
          <cell r="E476" t="str">
            <v>贴片陶瓷电容器</v>
          </cell>
          <cell r="F476">
            <v>11060201</v>
          </cell>
          <cell r="G476" t="str">
            <v>FH\CAP Cer 100pF K X7R 50VDC 0402</v>
          </cell>
          <cell r="H476" t="str">
            <v>FH(风华)</v>
          </cell>
          <cell r="I476" t="str">
            <v>0402B101K500NT</v>
          </cell>
          <cell r="J476">
            <v>100599</v>
          </cell>
          <cell r="K476" t="str">
            <v>深圳市天河星供应链有限公司</v>
          </cell>
          <cell r="L476" t="str">
            <v>X</v>
          </cell>
          <cell r="M476" t="str">
            <v/>
          </cell>
          <cell r="N476">
            <v>1</v>
          </cell>
          <cell r="O476">
            <v>2.2000000000000001E-3</v>
          </cell>
          <cell r="P476">
            <v>2.2000000000000002</v>
          </cell>
          <cell r="Q476">
            <v>2.2000000000000002</v>
          </cell>
          <cell r="R476">
            <v>1000</v>
          </cell>
          <cell r="S476" t="str">
            <v>PCS</v>
          </cell>
          <cell r="T476">
            <v>56</v>
          </cell>
          <cell r="U476" t="str">
            <v>J3</v>
          </cell>
          <cell r="V476" t="str">
            <v>CNY</v>
          </cell>
          <cell r="W476">
            <v>10000</v>
          </cell>
          <cell r="X476">
            <v>10000</v>
          </cell>
        </row>
        <row r="477">
          <cell r="D477">
            <v>10110008729</v>
          </cell>
          <cell r="E477" t="str">
            <v>贴片陶瓷电容器</v>
          </cell>
          <cell r="F477">
            <v>11060201</v>
          </cell>
          <cell r="G477" t="str">
            <v>FH\CAP Cer 10nF K X7R 50VDC 0402</v>
          </cell>
          <cell r="H477" t="str">
            <v>FH(风华)</v>
          </cell>
          <cell r="I477" t="str">
            <v>0402B103K500NT</v>
          </cell>
          <cell r="J477">
            <v>100654</v>
          </cell>
          <cell r="K477" t="str">
            <v>广东风华高新科技股份有限公司</v>
          </cell>
          <cell r="L477" t="str">
            <v>X</v>
          </cell>
          <cell r="M477" t="str">
            <v/>
          </cell>
          <cell r="N477">
            <v>1</v>
          </cell>
          <cell r="O477">
            <v>2.0999999999999999E-3</v>
          </cell>
          <cell r="P477">
            <v>2.1</v>
          </cell>
          <cell r="Q477">
            <v>2.1</v>
          </cell>
          <cell r="R477">
            <v>1000</v>
          </cell>
          <cell r="S477" t="str">
            <v>PCS</v>
          </cell>
          <cell r="T477">
            <v>56</v>
          </cell>
          <cell r="U477" t="str">
            <v>J3</v>
          </cell>
          <cell r="V477" t="str">
            <v>CNY</v>
          </cell>
          <cell r="W477">
            <v>10000</v>
          </cell>
          <cell r="X477">
            <v>10000</v>
          </cell>
        </row>
        <row r="478">
          <cell r="D478">
            <v>10110008734</v>
          </cell>
          <cell r="E478" t="str">
            <v>贴片陶瓷电容器</v>
          </cell>
          <cell r="F478">
            <v>11060201</v>
          </cell>
          <cell r="G478" t="str">
            <v>FH\CAP Cer 1nF K X7R 50VDC 0402</v>
          </cell>
          <cell r="H478" t="str">
            <v>FH(风华)</v>
          </cell>
          <cell r="I478" t="str">
            <v>0402B102K500NT</v>
          </cell>
          <cell r="J478">
            <v>100654</v>
          </cell>
          <cell r="K478" t="str">
            <v>广东风华高新科技股份有限公司</v>
          </cell>
          <cell r="L478" t="str">
            <v>X</v>
          </cell>
          <cell r="M478" t="str">
            <v/>
          </cell>
          <cell r="N478">
            <v>1</v>
          </cell>
          <cell r="O478">
            <v>2.0999999999999999E-3</v>
          </cell>
          <cell r="P478">
            <v>2.1</v>
          </cell>
          <cell r="Q478">
            <v>2.1</v>
          </cell>
          <cell r="R478">
            <v>1000</v>
          </cell>
          <cell r="S478" t="str">
            <v>PCS</v>
          </cell>
          <cell r="T478">
            <v>56</v>
          </cell>
          <cell r="U478" t="str">
            <v>J3</v>
          </cell>
          <cell r="V478" t="str">
            <v>CNY</v>
          </cell>
          <cell r="W478">
            <v>10000</v>
          </cell>
          <cell r="X478">
            <v>10000</v>
          </cell>
        </row>
        <row r="479">
          <cell r="D479">
            <v>10110008742</v>
          </cell>
          <cell r="E479" t="str">
            <v>贴片陶瓷电容器</v>
          </cell>
          <cell r="F479">
            <v>11060201</v>
          </cell>
          <cell r="G479" t="str">
            <v>FH\CAP Cer 2.2nF K X7R 50VDC 0402</v>
          </cell>
          <cell r="H479" t="str">
            <v>FH(风华)</v>
          </cell>
          <cell r="I479" t="str">
            <v>0402B222K500NT</v>
          </cell>
          <cell r="J479">
            <v>100654</v>
          </cell>
          <cell r="K479" t="str">
            <v>广东风华高新科技股份有限公司</v>
          </cell>
          <cell r="L479" t="str">
            <v>X</v>
          </cell>
          <cell r="M479" t="str">
            <v/>
          </cell>
          <cell r="N479">
            <v>1</v>
          </cell>
          <cell r="O479">
            <v>2.1900000000000001E-3</v>
          </cell>
          <cell r="P479">
            <v>2.19</v>
          </cell>
          <cell r="Q479">
            <v>2.19</v>
          </cell>
          <cell r="R479">
            <v>1000</v>
          </cell>
          <cell r="S479" t="str">
            <v>PCS</v>
          </cell>
          <cell r="T479">
            <v>56</v>
          </cell>
          <cell r="U479" t="str">
            <v>J3</v>
          </cell>
          <cell r="V479" t="str">
            <v>CNY</v>
          </cell>
          <cell r="W479">
            <v>10000</v>
          </cell>
          <cell r="X479">
            <v>10000</v>
          </cell>
        </row>
        <row r="480">
          <cell r="D480">
            <v>10110008993</v>
          </cell>
          <cell r="E480" t="str">
            <v>贴片陶瓷电容器</v>
          </cell>
          <cell r="F480">
            <v>11060201</v>
          </cell>
          <cell r="G480" t="str">
            <v>WALS\CAP Cer 2.2nF K X7R 50VDC 0402</v>
          </cell>
          <cell r="H480" t="str">
            <v>WALS(华科)</v>
          </cell>
          <cell r="I480" t="str">
            <v>0402B222K500CT</v>
          </cell>
          <cell r="J480">
            <v>100131</v>
          </cell>
          <cell r="K480" t="str">
            <v>东莞华科电子有限公司</v>
          </cell>
          <cell r="L480" t="str">
            <v>X</v>
          </cell>
          <cell r="M480" t="str">
            <v/>
          </cell>
          <cell r="N480">
            <v>1</v>
          </cell>
          <cell r="O480">
            <v>3.0500000000000002E-3</v>
          </cell>
          <cell r="P480">
            <v>3.05</v>
          </cell>
          <cell r="Q480">
            <v>3.05</v>
          </cell>
          <cell r="R480">
            <v>1000</v>
          </cell>
          <cell r="S480" t="str">
            <v>PCS</v>
          </cell>
          <cell r="T480">
            <v>56</v>
          </cell>
          <cell r="U480" t="str">
            <v>J3</v>
          </cell>
          <cell r="V480" t="str">
            <v>CNY</v>
          </cell>
          <cell r="W480">
            <v>10000</v>
          </cell>
          <cell r="X480">
            <v>10000</v>
          </cell>
        </row>
        <row r="481">
          <cell r="D481">
            <v>10110009749</v>
          </cell>
          <cell r="E481" t="str">
            <v>贴片陶瓷电容器</v>
          </cell>
          <cell r="F481">
            <v>11060201</v>
          </cell>
          <cell r="G481" t="str">
            <v>SAMS\CAP Cer 100pF K X7R 50VDC 0402</v>
          </cell>
          <cell r="H481" t="str">
            <v>SAMSUNG(三星)</v>
          </cell>
          <cell r="I481" t="str">
            <v>CL05B101KB5NNNC</v>
          </cell>
          <cell r="J481">
            <v>101783</v>
          </cell>
          <cell r="K481" t="str">
            <v>深圳市欧亚达电子有限公司</v>
          </cell>
          <cell r="L481" t="str">
            <v>X</v>
          </cell>
          <cell r="M481" t="str">
            <v/>
          </cell>
          <cell r="N481">
            <v>1</v>
          </cell>
          <cell r="O481">
            <v>9.5499999999999995E-3</v>
          </cell>
          <cell r="P481">
            <v>9.5500000000000007</v>
          </cell>
          <cell r="Q481">
            <v>9.5500000000000007</v>
          </cell>
          <cell r="R481">
            <v>1000</v>
          </cell>
          <cell r="S481" t="str">
            <v>PCS</v>
          </cell>
          <cell r="T481">
            <v>84</v>
          </cell>
          <cell r="U481" t="str">
            <v>J3</v>
          </cell>
          <cell r="V481" t="str">
            <v>CNY</v>
          </cell>
          <cell r="W481">
            <v>10000</v>
          </cell>
          <cell r="X481">
            <v>10000</v>
          </cell>
        </row>
        <row r="482">
          <cell r="D482">
            <v>10110011269</v>
          </cell>
          <cell r="E482" t="str">
            <v>贴片陶瓷电容器</v>
          </cell>
          <cell r="F482">
            <v>11060201</v>
          </cell>
          <cell r="G482" t="str">
            <v>SH3\CAP Cer 10nF K X7R 50VDC 0402</v>
          </cell>
          <cell r="H482" t="str">
            <v>CCTC(三环)</v>
          </cell>
          <cell r="I482" t="str">
            <v>TCC0402X7R103K500AT</v>
          </cell>
          <cell r="J482">
            <v>102178</v>
          </cell>
          <cell r="K482" t="str">
            <v>潮州三环（集团）股份有限公司</v>
          </cell>
          <cell r="L482" t="str">
            <v>X</v>
          </cell>
          <cell r="M482" t="str">
            <v/>
          </cell>
          <cell r="N482">
            <v>1</v>
          </cell>
          <cell r="O482">
            <v>1.8600000000000001E-3</v>
          </cell>
          <cell r="P482">
            <v>1.86</v>
          </cell>
          <cell r="Q482">
            <v>1.86</v>
          </cell>
          <cell r="R482">
            <v>1000</v>
          </cell>
          <cell r="S482" t="str">
            <v>PCS</v>
          </cell>
          <cell r="T482">
            <v>70</v>
          </cell>
          <cell r="U482" t="str">
            <v>J3</v>
          </cell>
          <cell r="V482" t="str">
            <v>CNY</v>
          </cell>
          <cell r="W482">
            <v>10000</v>
          </cell>
          <cell r="X482">
            <v>10000</v>
          </cell>
        </row>
        <row r="483">
          <cell r="D483">
            <v>10110012147</v>
          </cell>
          <cell r="E483" t="str">
            <v>贴片陶瓷电容器</v>
          </cell>
          <cell r="F483">
            <v>11060201</v>
          </cell>
          <cell r="G483" t="str">
            <v>SH3\CAP Cer 100pF K X7R 50VDC 0402</v>
          </cell>
          <cell r="H483" t="str">
            <v>CCTC(三环)</v>
          </cell>
          <cell r="I483" t="str">
            <v>TCC0402X7R101K500AT</v>
          </cell>
          <cell r="J483">
            <v>102178</v>
          </cell>
          <cell r="K483" t="str">
            <v>潮州三环（集团）股份有限公司</v>
          </cell>
          <cell r="L483" t="str">
            <v>X</v>
          </cell>
          <cell r="M483" t="str">
            <v/>
          </cell>
          <cell r="N483">
            <v>1</v>
          </cell>
          <cell r="O483">
            <v>1.9499999999999999E-3</v>
          </cell>
          <cell r="P483">
            <v>1.95</v>
          </cell>
          <cell r="Q483">
            <v>1.95</v>
          </cell>
          <cell r="R483">
            <v>1000</v>
          </cell>
          <cell r="S483" t="str">
            <v>PCS</v>
          </cell>
          <cell r="T483">
            <v>70</v>
          </cell>
          <cell r="U483" t="str">
            <v>J3</v>
          </cell>
          <cell r="V483" t="str">
            <v>CNY</v>
          </cell>
          <cell r="W483">
            <v>10000</v>
          </cell>
          <cell r="X483">
            <v>10000</v>
          </cell>
        </row>
        <row r="484">
          <cell r="D484">
            <v>10110012149</v>
          </cell>
          <cell r="E484" t="str">
            <v>贴片陶瓷电容器</v>
          </cell>
          <cell r="F484">
            <v>11060201</v>
          </cell>
          <cell r="G484" t="str">
            <v>SH3\CAP Cer 1nF K X7R 50VDC 0402</v>
          </cell>
          <cell r="H484" t="str">
            <v>CCTC(三环)</v>
          </cell>
          <cell r="I484" t="str">
            <v>TCC0402X7R102K500AT</v>
          </cell>
          <cell r="J484">
            <v>102178</v>
          </cell>
          <cell r="K484" t="str">
            <v>潮州三环（集团）股份有限公司</v>
          </cell>
          <cell r="L484" t="str">
            <v>X</v>
          </cell>
          <cell r="M484" t="str">
            <v/>
          </cell>
          <cell r="N484">
            <v>1</v>
          </cell>
          <cell r="O484">
            <v>1.8600000000000001E-3</v>
          </cell>
          <cell r="P484">
            <v>1.86</v>
          </cell>
          <cell r="Q484">
            <v>1.86</v>
          </cell>
          <cell r="R484">
            <v>1000</v>
          </cell>
          <cell r="S484" t="str">
            <v>PCS</v>
          </cell>
          <cell r="T484">
            <v>70</v>
          </cell>
          <cell r="U484" t="str">
            <v>J3</v>
          </cell>
          <cell r="V484" t="str">
            <v>CNY</v>
          </cell>
          <cell r="W484">
            <v>10000</v>
          </cell>
          <cell r="X484">
            <v>10000</v>
          </cell>
        </row>
        <row r="485">
          <cell r="D485">
            <v>10110015893</v>
          </cell>
          <cell r="E485" t="str">
            <v>贴片陶瓷电容器</v>
          </cell>
          <cell r="F485">
            <v>11060201</v>
          </cell>
          <cell r="G485" t="str">
            <v>SH3\CAP Cer 2.2nF K X7R 50VDC 0402</v>
          </cell>
          <cell r="H485" t="str">
            <v>CCTC(三环)</v>
          </cell>
          <cell r="I485" t="str">
            <v>TCC0402X7R222K500AT</v>
          </cell>
          <cell r="J485">
            <v>102178</v>
          </cell>
          <cell r="K485" t="str">
            <v>潮州三环（集团）股份有限公司</v>
          </cell>
          <cell r="L485" t="str">
            <v>X</v>
          </cell>
          <cell r="M485" t="str">
            <v/>
          </cell>
          <cell r="N485">
            <v>1</v>
          </cell>
          <cell r="O485">
            <v>1.8600000000000001E-3</v>
          </cell>
          <cell r="P485">
            <v>1.86</v>
          </cell>
          <cell r="Q485">
            <v>1.86</v>
          </cell>
          <cell r="R485">
            <v>1000</v>
          </cell>
          <cell r="S485" t="str">
            <v>PCS</v>
          </cell>
          <cell r="T485">
            <v>70</v>
          </cell>
          <cell r="U485" t="str">
            <v>J3</v>
          </cell>
          <cell r="V485" t="str">
            <v>CNY</v>
          </cell>
          <cell r="W485">
            <v>10000</v>
          </cell>
          <cell r="X485">
            <v>10000</v>
          </cell>
        </row>
        <row r="486">
          <cell r="D486">
            <v>10110016349</v>
          </cell>
          <cell r="E486" t="str">
            <v>贴片陶瓷电容器</v>
          </cell>
          <cell r="F486">
            <v>11060201</v>
          </cell>
          <cell r="G486" t="str">
            <v>SH3\CAP Cer 100nF K X7R 50VDC 0402</v>
          </cell>
          <cell r="H486" t="str">
            <v>CCTC(三环)</v>
          </cell>
          <cell r="I486" t="str">
            <v>TCC0402X7R104K500AT</v>
          </cell>
          <cell r="J486">
            <v>102178</v>
          </cell>
          <cell r="K486" t="str">
            <v>潮州三环（集团）股份有限公司</v>
          </cell>
          <cell r="L486" t="str">
            <v>X</v>
          </cell>
          <cell r="M486" t="str">
            <v/>
          </cell>
          <cell r="N486">
            <v>1</v>
          </cell>
          <cell r="O486">
            <v>4.15E-3</v>
          </cell>
          <cell r="P486">
            <v>4.1500000000000004</v>
          </cell>
          <cell r="Q486">
            <v>4.1500000000000004</v>
          </cell>
          <cell r="R486">
            <v>1000</v>
          </cell>
          <cell r="S486" t="str">
            <v>PCS</v>
          </cell>
          <cell r="T486">
            <v>56</v>
          </cell>
          <cell r="U486" t="str">
            <v>J3</v>
          </cell>
          <cell r="V486" t="str">
            <v>CNY</v>
          </cell>
          <cell r="W486">
            <v>10000</v>
          </cell>
          <cell r="X486">
            <v>10000</v>
          </cell>
        </row>
        <row r="487">
          <cell r="D487">
            <v>10110017023</v>
          </cell>
          <cell r="E487" t="str">
            <v>贴片陶瓷电容器</v>
          </cell>
          <cell r="F487">
            <v>11060201</v>
          </cell>
          <cell r="G487" t="str">
            <v>YAGEO\CAP Cer 1nF K X7R 100VDC 0402</v>
          </cell>
          <cell r="H487" t="str">
            <v>YAGEO(国巨)</v>
          </cell>
          <cell r="I487" t="str">
            <v>CC0402KRX7R0BB102</v>
          </cell>
          <cell r="J487">
            <v>100632</v>
          </cell>
          <cell r="K487" t="str">
            <v>深圳市欧尔法电子有限公司</v>
          </cell>
          <cell r="L487" t="str">
            <v>X</v>
          </cell>
          <cell r="M487" t="str">
            <v/>
          </cell>
          <cell r="N487">
            <v>1</v>
          </cell>
          <cell r="O487">
            <v>6.8999999999999999E-3</v>
          </cell>
          <cell r="P487">
            <v>6.9</v>
          </cell>
          <cell r="Q487">
            <v>6.9</v>
          </cell>
          <cell r="R487">
            <v>1000</v>
          </cell>
          <cell r="S487" t="str">
            <v>PCS</v>
          </cell>
          <cell r="T487">
            <v>63</v>
          </cell>
          <cell r="U487" t="str">
            <v>J3</v>
          </cell>
          <cell r="V487" t="str">
            <v>CNY</v>
          </cell>
          <cell r="W487">
            <v>10000</v>
          </cell>
          <cell r="X487">
            <v>10000</v>
          </cell>
        </row>
        <row r="488">
          <cell r="D488">
            <v>10140000397</v>
          </cell>
          <cell r="E488" t="str">
            <v>贴片整流二极管</v>
          </cell>
          <cell r="F488">
            <v>14030601</v>
          </cell>
          <cell r="G488" t="str">
            <v>PANJ\Diode Rect SMA 1A 1000V GS1M</v>
          </cell>
          <cell r="H488" t="str">
            <v>PANJ(强茂)</v>
          </cell>
          <cell r="I488" t="str">
            <v>GS1M</v>
          </cell>
          <cell r="J488">
            <v>101672</v>
          </cell>
          <cell r="K488" t="str">
            <v>深圳市合信昌科技有限公司</v>
          </cell>
          <cell r="L488" t="str">
            <v>X</v>
          </cell>
          <cell r="M488" t="str">
            <v/>
          </cell>
          <cell r="N488">
            <v>1</v>
          </cell>
          <cell r="O488">
            <v>7.4999999999999997E-2</v>
          </cell>
          <cell r="P488">
            <v>75</v>
          </cell>
          <cell r="Q488">
            <v>75</v>
          </cell>
          <cell r="R488">
            <v>1000</v>
          </cell>
          <cell r="S488" t="str">
            <v>PCS</v>
          </cell>
          <cell r="T488">
            <v>84</v>
          </cell>
          <cell r="U488" t="str">
            <v>J3</v>
          </cell>
          <cell r="V488" t="str">
            <v>CNY</v>
          </cell>
          <cell r="W488">
            <v>1800</v>
          </cell>
          <cell r="X488">
            <v>1800</v>
          </cell>
        </row>
        <row r="489">
          <cell r="D489">
            <v>10140002123</v>
          </cell>
          <cell r="E489" t="str">
            <v>贴片NPN三极管(内置电阻)</v>
          </cell>
          <cell r="F489">
            <v>14050102</v>
          </cell>
          <cell r="G489" t="str">
            <v>LRC\Transistor SOT-23 0.1A 50V R1=4K7 R&amp;</v>
          </cell>
          <cell r="H489" t="str">
            <v>LRC(乐山无线电)</v>
          </cell>
          <cell r="I489" t="str">
            <v>LMUN2232LT1G</v>
          </cell>
          <cell r="J489">
            <v>101275</v>
          </cell>
          <cell r="K489" t="str">
            <v>利尔达科技集团股份有限公司</v>
          </cell>
          <cell r="L489" t="str">
            <v>X</v>
          </cell>
          <cell r="M489" t="str">
            <v/>
          </cell>
          <cell r="N489">
            <v>1</v>
          </cell>
          <cell r="O489">
            <v>3.4500000000000003E-2</v>
          </cell>
          <cell r="P489">
            <v>34.5</v>
          </cell>
          <cell r="Q489">
            <v>34.5</v>
          </cell>
          <cell r="R489">
            <v>1000</v>
          </cell>
          <cell r="S489" t="str">
            <v>PCS</v>
          </cell>
          <cell r="T489">
            <v>84</v>
          </cell>
          <cell r="U489" t="str">
            <v>J3</v>
          </cell>
          <cell r="V489" t="str">
            <v>CNY</v>
          </cell>
          <cell r="W489">
            <v>3000</v>
          </cell>
          <cell r="X489">
            <v>3000</v>
          </cell>
        </row>
        <row r="490">
          <cell r="D490">
            <v>10140006310</v>
          </cell>
          <cell r="E490" t="str">
            <v>贴片NPN三极管(内置电阻)</v>
          </cell>
          <cell r="F490">
            <v>14050102</v>
          </cell>
          <cell r="G490" t="str">
            <v>JSCJ\Transistor SOT-23 100mA50V R1=4K7&amp;</v>
          </cell>
          <cell r="H490" t="str">
            <v>JSCJ(江苏长晶)</v>
          </cell>
          <cell r="I490" t="str">
            <v>DTC143ECA</v>
          </cell>
          <cell r="J490">
            <v>101845</v>
          </cell>
          <cell r="K490" t="str">
            <v>深圳翰世宇科技有限公司</v>
          </cell>
          <cell r="L490" t="str">
            <v>X</v>
          </cell>
          <cell r="M490" t="str">
            <v/>
          </cell>
          <cell r="N490">
            <v>1</v>
          </cell>
          <cell r="O490">
            <v>4.8000000000000001E-2</v>
          </cell>
          <cell r="P490">
            <v>48</v>
          </cell>
          <cell r="Q490">
            <v>48</v>
          </cell>
          <cell r="R490">
            <v>1000</v>
          </cell>
          <cell r="S490" t="str">
            <v>PCS</v>
          </cell>
          <cell r="T490">
            <v>56</v>
          </cell>
          <cell r="U490" t="str">
            <v>J3</v>
          </cell>
          <cell r="V490" t="str">
            <v>CNY</v>
          </cell>
          <cell r="W490">
            <v>3000</v>
          </cell>
          <cell r="X490">
            <v>3000</v>
          </cell>
        </row>
        <row r="491">
          <cell r="D491">
            <v>10190001176</v>
          </cell>
          <cell r="E491" t="str">
            <v>方型塑壳保险丝</v>
          </cell>
          <cell r="F491">
            <v>19010105</v>
          </cell>
          <cell r="G491" t="str">
            <v>BETT\FUSE 3.15A 250VAC 慢断 8.3*4.1*7.6 F&amp;</v>
          </cell>
          <cell r="H491" t="str">
            <v>Better(贝特)</v>
          </cell>
          <cell r="I491">
            <v>9321315278</v>
          </cell>
          <cell r="J491">
            <v>100135</v>
          </cell>
          <cell r="K491" t="str">
            <v>东莞市贝特电子科技股份有限公司</v>
          </cell>
          <cell r="L491" t="str">
            <v>X</v>
          </cell>
          <cell r="M491" t="str">
            <v/>
          </cell>
          <cell r="N491">
            <v>1</v>
          </cell>
          <cell r="O491">
            <v>9.5000000000000001E-2</v>
          </cell>
          <cell r="P491">
            <v>95</v>
          </cell>
          <cell r="Q491">
            <v>95</v>
          </cell>
          <cell r="R491">
            <v>1000</v>
          </cell>
          <cell r="S491" t="str">
            <v>PCS</v>
          </cell>
          <cell r="T491">
            <v>25</v>
          </cell>
          <cell r="U491" t="str">
            <v>J3</v>
          </cell>
          <cell r="V491" t="str">
            <v>CNY</v>
          </cell>
          <cell r="W491">
            <v>1000</v>
          </cell>
          <cell r="X491">
            <v>1000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selection activeCell="D2" sqref="D2:D9"/>
    </sheetView>
  </sheetViews>
  <sheetFormatPr defaultColWidth="9" defaultRowHeight="14.4" x14ac:dyDescent="0.25"/>
  <cols>
    <col min="1" max="1" width="26.33203125" customWidth="1"/>
    <col min="2" max="2" width="16.21875" customWidth="1"/>
    <col min="3" max="3" width="12.6640625"/>
    <col min="7" max="7" width="12.33203125" customWidth="1"/>
    <col min="8" max="8" width="16.109375" bestFit="1" customWidth="1"/>
    <col min="10" max="10" width="14.6640625" hidden="1" customWidth="1"/>
  </cols>
  <sheetData>
    <row r="1" spans="1:10" x14ac:dyDescent="0.25">
      <c r="A1" s="232" t="s">
        <v>0</v>
      </c>
      <c r="B1" s="232" t="s">
        <v>1</v>
      </c>
      <c r="C1" s="232" t="s">
        <v>2</v>
      </c>
      <c r="D1" s="232" t="s">
        <v>3</v>
      </c>
      <c r="E1" s="232" t="s">
        <v>4</v>
      </c>
      <c r="F1" s="232" t="s">
        <v>5</v>
      </c>
      <c r="G1" s="232" t="s">
        <v>6</v>
      </c>
      <c r="H1" s="232" t="s">
        <v>899</v>
      </c>
      <c r="I1" s="232" t="s">
        <v>7</v>
      </c>
      <c r="J1" s="232" t="s">
        <v>8</v>
      </c>
    </row>
    <row r="2" spans="1:10" x14ac:dyDescent="0.25">
      <c r="A2" s="233" t="s">
        <v>9</v>
      </c>
      <c r="B2" s="233">
        <v>6.65</v>
      </c>
      <c r="C2" s="234">
        <f>B2/1.13</f>
        <v>5.8849557522123899</v>
      </c>
      <c r="D2" s="249">
        <v>1.2</v>
      </c>
      <c r="E2" s="233">
        <v>0.27</v>
      </c>
      <c r="F2" s="233">
        <v>2.4</v>
      </c>
      <c r="G2" s="234">
        <f>C2+D2+E2+F2</f>
        <v>9.7549557522123909</v>
      </c>
      <c r="H2" s="235">
        <v>9.56</v>
      </c>
      <c r="I2" s="235" t="s">
        <v>10</v>
      </c>
      <c r="J2" s="235">
        <v>8</v>
      </c>
    </row>
    <row r="3" spans="1:10" x14ac:dyDescent="0.25">
      <c r="A3" s="233" t="s">
        <v>11</v>
      </c>
      <c r="B3" s="233">
        <v>2.56</v>
      </c>
      <c r="C3" s="234">
        <f t="shared" ref="C3:C9" si="0">B3/1.13</f>
        <v>2.2654867256637199</v>
      </c>
      <c r="D3" s="249">
        <v>1.2</v>
      </c>
      <c r="E3" s="233">
        <v>0.21</v>
      </c>
      <c r="F3" s="233">
        <v>1.21</v>
      </c>
      <c r="G3" s="234">
        <f t="shared" ref="G3:G9" si="1">C3+D3+E3+F3</f>
        <v>4.8854867256637204</v>
      </c>
      <c r="H3" s="235">
        <v>5.87</v>
      </c>
      <c r="I3" s="235" t="s">
        <v>10</v>
      </c>
      <c r="J3" s="235">
        <v>5</v>
      </c>
    </row>
    <row r="4" spans="1:10" x14ac:dyDescent="0.25">
      <c r="A4" s="233" t="s">
        <v>12</v>
      </c>
      <c r="B4" s="233">
        <v>22.09</v>
      </c>
      <c r="C4" s="234">
        <f t="shared" si="0"/>
        <v>19.5486725663717</v>
      </c>
      <c r="D4" s="249">
        <v>1.8</v>
      </c>
      <c r="E4" s="233">
        <v>0.77</v>
      </c>
      <c r="F4" s="233">
        <v>6.18</v>
      </c>
      <c r="G4" s="234">
        <f t="shared" si="1"/>
        <v>28.2986725663717</v>
      </c>
      <c r="H4" s="235">
        <v>28.2</v>
      </c>
      <c r="I4" s="235" t="s">
        <v>13</v>
      </c>
      <c r="J4" s="235">
        <v>26.41</v>
      </c>
    </row>
    <row r="5" spans="1:10" x14ac:dyDescent="0.25">
      <c r="A5" s="233" t="s">
        <v>14</v>
      </c>
      <c r="B5" s="233">
        <v>26.88</v>
      </c>
      <c r="C5" s="234">
        <f t="shared" si="0"/>
        <v>23.787610619469</v>
      </c>
      <c r="D5" s="249">
        <v>1.8</v>
      </c>
      <c r="E5" s="233">
        <v>0.77</v>
      </c>
      <c r="F5" s="233">
        <v>6.18</v>
      </c>
      <c r="G5" s="234">
        <f t="shared" si="1"/>
        <v>32.537610619469</v>
      </c>
      <c r="H5" s="235">
        <v>32.700000000000003</v>
      </c>
      <c r="I5" s="235" t="s">
        <v>13</v>
      </c>
      <c r="J5" s="235">
        <v>30.11</v>
      </c>
    </row>
    <row r="6" spans="1:10" x14ac:dyDescent="0.25">
      <c r="A6" s="233" t="s">
        <v>15</v>
      </c>
      <c r="B6" s="233">
        <v>23.42</v>
      </c>
      <c r="C6" s="234">
        <f t="shared" si="0"/>
        <v>20.7256637168142</v>
      </c>
      <c r="D6" s="249">
        <v>1.8</v>
      </c>
      <c r="E6" s="233">
        <v>0.77</v>
      </c>
      <c r="F6" s="233">
        <v>6.18</v>
      </c>
      <c r="G6" s="234">
        <f t="shared" si="1"/>
        <v>29.4756637168142</v>
      </c>
      <c r="H6" s="235">
        <v>30.66</v>
      </c>
      <c r="I6" s="235" t="s">
        <v>13</v>
      </c>
      <c r="J6" s="235">
        <v>29.96</v>
      </c>
    </row>
    <row r="7" spans="1:10" x14ac:dyDescent="0.25">
      <c r="A7" s="233" t="s">
        <v>16</v>
      </c>
      <c r="B7" s="233">
        <v>36.950000000000003</v>
      </c>
      <c r="C7" s="234">
        <f t="shared" si="0"/>
        <v>32.699115044247797</v>
      </c>
      <c r="D7" s="249">
        <v>1.8</v>
      </c>
      <c r="E7" s="233">
        <v>0.93</v>
      </c>
      <c r="F7" s="233">
        <v>6.22</v>
      </c>
      <c r="G7" s="234">
        <f t="shared" si="1"/>
        <v>41.6491150442478</v>
      </c>
      <c r="H7" s="235">
        <v>42.87</v>
      </c>
      <c r="I7" s="235" t="s">
        <v>13</v>
      </c>
      <c r="J7" s="235">
        <v>36.99</v>
      </c>
    </row>
    <row r="8" spans="1:10" x14ac:dyDescent="0.25">
      <c r="A8" s="233" t="s">
        <v>17</v>
      </c>
      <c r="B8" s="233">
        <v>38.299999999999997</v>
      </c>
      <c r="C8" s="234">
        <f t="shared" si="0"/>
        <v>33.893805309734503</v>
      </c>
      <c r="D8" s="249">
        <v>1.8</v>
      </c>
      <c r="E8" s="233">
        <v>0.93</v>
      </c>
      <c r="F8" s="233">
        <v>6.22</v>
      </c>
      <c r="G8" s="234">
        <f t="shared" si="1"/>
        <v>42.843805309734499</v>
      </c>
      <c r="H8" s="235">
        <v>43.36</v>
      </c>
      <c r="I8" s="235" t="s">
        <v>13</v>
      </c>
      <c r="J8" s="235">
        <v>38.21</v>
      </c>
    </row>
    <row r="9" spans="1:10" x14ac:dyDescent="0.25">
      <c r="A9" s="233" t="s">
        <v>18</v>
      </c>
      <c r="B9" s="233">
        <v>38.26</v>
      </c>
      <c r="C9" s="234">
        <f t="shared" si="0"/>
        <v>33.858407079646</v>
      </c>
      <c r="D9" s="249">
        <v>1.8</v>
      </c>
      <c r="E9" s="233">
        <v>0.93</v>
      </c>
      <c r="F9" s="233">
        <v>6.22</v>
      </c>
      <c r="G9" s="234">
        <f t="shared" si="1"/>
        <v>42.808407079646003</v>
      </c>
      <c r="H9" s="235">
        <v>43.58</v>
      </c>
      <c r="I9" s="235" t="s">
        <v>13</v>
      </c>
      <c r="J9" s="235">
        <v>38.49</v>
      </c>
    </row>
    <row r="10" spans="1:10" x14ac:dyDescent="0.25">
      <c r="A10" s="236"/>
      <c r="B10" s="236"/>
      <c r="C10" s="236"/>
      <c r="D10" s="236"/>
      <c r="E10" s="236"/>
      <c r="F10" s="236"/>
      <c r="G10" s="236"/>
      <c r="H10" s="236"/>
      <c r="I10" s="236"/>
      <c r="J10" s="236"/>
    </row>
    <row r="11" spans="1:10" x14ac:dyDescent="0.25">
      <c r="A11" s="237" t="s">
        <v>19</v>
      </c>
      <c r="B11" s="237"/>
      <c r="C11" s="237"/>
      <c r="D11" s="236"/>
      <c r="E11" s="236"/>
      <c r="F11" s="236"/>
      <c r="G11" s="236"/>
      <c r="H11" s="236"/>
      <c r="I11" s="236"/>
      <c r="J11" s="236"/>
    </row>
    <row r="15" spans="1:10" x14ac:dyDescent="0.25">
      <c r="H15" s="238"/>
    </row>
  </sheetData>
  <phoneticPr fontId="5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9"/>
  <sheetViews>
    <sheetView topLeftCell="C33" workbookViewId="0">
      <selection activeCell="N45" sqref="N45"/>
    </sheetView>
  </sheetViews>
  <sheetFormatPr defaultColWidth="9" defaultRowHeight="13.2" x14ac:dyDescent="0.25"/>
  <cols>
    <col min="1" max="1" width="10" style="221" customWidth="1"/>
    <col min="2" max="2" width="14.44140625" style="222" customWidth="1"/>
    <col min="3" max="3" width="16.5546875" style="222" customWidth="1"/>
    <col min="4" max="4" width="22.6640625" style="222" customWidth="1"/>
    <col min="5" max="5" width="22.44140625" style="222" customWidth="1"/>
    <col min="6" max="6" width="8.88671875" style="221"/>
    <col min="7" max="7" width="14.21875" style="222" customWidth="1"/>
    <col min="8" max="8" width="13.77734375" style="222" customWidth="1"/>
    <col min="9" max="16384" width="9" style="122"/>
  </cols>
  <sheetData>
    <row r="1" spans="1:19" ht="24" x14ac:dyDescent="0.25">
      <c r="A1" s="223" t="s">
        <v>20</v>
      </c>
      <c r="B1" s="223" t="s">
        <v>21</v>
      </c>
      <c r="C1" s="224" t="s">
        <v>22</v>
      </c>
      <c r="D1" s="225" t="s">
        <v>23</v>
      </c>
      <c r="E1" s="224" t="s">
        <v>24</v>
      </c>
      <c r="F1" s="223" t="s">
        <v>25</v>
      </c>
      <c r="G1" s="225" t="s">
        <v>26</v>
      </c>
      <c r="H1" s="224" t="s">
        <v>27</v>
      </c>
      <c r="I1" s="131" t="s">
        <v>28</v>
      </c>
      <c r="J1" s="229" t="s">
        <v>29</v>
      </c>
      <c r="K1" s="229" t="s">
        <v>30</v>
      </c>
      <c r="L1" s="229" t="s">
        <v>31</v>
      </c>
      <c r="M1" s="229" t="s">
        <v>32</v>
      </c>
      <c r="N1" s="229" t="s">
        <v>33</v>
      </c>
      <c r="O1" s="229" t="s">
        <v>27</v>
      </c>
      <c r="P1" s="229" t="s">
        <v>34</v>
      </c>
      <c r="Q1" s="229" t="s">
        <v>35</v>
      </c>
      <c r="R1" s="229" t="s">
        <v>36</v>
      </c>
      <c r="S1" s="229" t="s">
        <v>37</v>
      </c>
    </row>
    <row r="2" spans="1:19" x14ac:dyDescent="0.25">
      <c r="A2" s="149">
        <v>1</v>
      </c>
      <c r="B2" s="140" t="s">
        <v>38</v>
      </c>
      <c r="C2" s="140" t="s">
        <v>39</v>
      </c>
      <c r="D2" s="226" t="s">
        <v>40</v>
      </c>
      <c r="E2" s="140" t="s">
        <v>41</v>
      </c>
      <c r="F2" s="149">
        <v>1</v>
      </c>
      <c r="G2" s="140" t="s">
        <v>39</v>
      </c>
      <c r="H2" s="140" t="s">
        <v>42</v>
      </c>
      <c r="I2" s="140" t="s">
        <v>43</v>
      </c>
      <c r="J2" s="122" t="e">
        <v>#N/A</v>
      </c>
      <c r="K2" s="122" t="e">
        <v>#N/A</v>
      </c>
      <c r="L2" s="122" t="e">
        <v>#N/A</v>
      </c>
      <c r="M2" s="122">
        <f>55*55*282/1000000</f>
        <v>0.85304999999999997</v>
      </c>
      <c r="N2" s="122">
        <f>M2*F2</f>
        <v>0.85304999999999997</v>
      </c>
      <c r="P2" s="122" t="e">
        <v>#N/A</v>
      </c>
      <c r="Q2" s="122" t="e">
        <v>#N/A</v>
      </c>
      <c r="R2" s="122" t="e">
        <v>#N/A</v>
      </c>
    </row>
    <row r="3" spans="1:19" x14ac:dyDescent="0.25">
      <c r="A3" s="149">
        <v>2</v>
      </c>
      <c r="B3" s="227">
        <v>10110020767</v>
      </c>
      <c r="C3" s="228" t="s">
        <v>44</v>
      </c>
      <c r="D3" s="228" t="s">
        <v>45</v>
      </c>
      <c r="E3" s="228" t="s">
        <v>46</v>
      </c>
      <c r="F3" s="227">
        <v>2</v>
      </c>
      <c r="G3" s="228" t="s">
        <v>47</v>
      </c>
      <c r="H3" s="140" t="s">
        <v>42</v>
      </c>
      <c r="I3" s="140"/>
      <c r="J3" s="122">
        <v>5.5399999999999998E-2</v>
      </c>
      <c r="K3" s="122" t="s">
        <v>48</v>
      </c>
      <c r="L3" s="122" t="s">
        <v>49</v>
      </c>
      <c r="M3" s="122">
        <f t="shared" ref="M3:M9" si="0">J3</f>
        <v>5.5399999999999998E-2</v>
      </c>
      <c r="P3" s="122" t="s">
        <v>50</v>
      </c>
      <c r="Q3" s="122" t="s">
        <v>51</v>
      </c>
      <c r="R3" s="122" t="s">
        <v>51</v>
      </c>
    </row>
    <row r="4" spans="1:19" x14ac:dyDescent="0.25">
      <c r="A4" s="149"/>
      <c r="B4" s="227">
        <v>10110027253</v>
      </c>
      <c r="C4" s="228" t="s">
        <v>44</v>
      </c>
      <c r="D4" s="228" t="s">
        <v>52</v>
      </c>
      <c r="E4" s="228" t="s">
        <v>53</v>
      </c>
      <c r="F4" s="227">
        <v>2</v>
      </c>
      <c r="G4" s="228" t="s">
        <v>47</v>
      </c>
      <c r="H4" s="140" t="s">
        <v>42</v>
      </c>
      <c r="I4" s="140"/>
      <c r="J4" s="122">
        <v>1.6E-2</v>
      </c>
      <c r="K4" s="122" t="s">
        <v>48</v>
      </c>
      <c r="L4" s="122" t="s">
        <v>54</v>
      </c>
      <c r="M4" s="122">
        <f t="shared" si="0"/>
        <v>1.6E-2</v>
      </c>
      <c r="N4" s="122">
        <f>M4*F4</f>
        <v>3.2000000000000001E-2</v>
      </c>
      <c r="P4" s="122" t="s">
        <v>55</v>
      </c>
      <c r="Q4" s="122" t="s">
        <v>51</v>
      </c>
      <c r="R4" s="122" t="s">
        <v>51</v>
      </c>
    </row>
    <row r="5" spans="1:19" x14ac:dyDescent="0.25">
      <c r="A5" s="149"/>
      <c r="B5" s="140" t="s">
        <v>38</v>
      </c>
      <c r="C5" s="228" t="s">
        <v>44</v>
      </c>
      <c r="D5" s="140" t="s">
        <v>56</v>
      </c>
      <c r="E5" s="140" t="s">
        <v>57</v>
      </c>
      <c r="F5" s="227">
        <v>2</v>
      </c>
      <c r="G5" s="228" t="s">
        <v>47</v>
      </c>
      <c r="H5" s="140" t="s">
        <v>42</v>
      </c>
      <c r="I5" s="140"/>
      <c r="J5" s="122" t="e">
        <v>#N/A</v>
      </c>
      <c r="K5" s="122" t="e">
        <v>#N/A</v>
      </c>
      <c r="L5" s="122" t="e">
        <v>#N/A</v>
      </c>
      <c r="O5" s="122" t="s">
        <v>58</v>
      </c>
      <c r="P5" s="122" t="e">
        <v>#N/A</v>
      </c>
      <c r="Q5" s="122" t="e">
        <v>#N/A</v>
      </c>
      <c r="R5" s="122" t="e">
        <v>#N/A</v>
      </c>
    </row>
    <row r="6" spans="1:19" x14ac:dyDescent="0.25">
      <c r="A6" s="149">
        <v>3</v>
      </c>
      <c r="B6" s="227">
        <v>10110001388</v>
      </c>
      <c r="C6" s="228" t="s">
        <v>44</v>
      </c>
      <c r="D6" s="228" t="s">
        <v>59</v>
      </c>
      <c r="E6" s="228" t="s">
        <v>60</v>
      </c>
      <c r="F6" s="149">
        <v>6</v>
      </c>
      <c r="G6" s="140" t="s">
        <v>61</v>
      </c>
      <c r="H6" s="140" t="s">
        <v>42</v>
      </c>
      <c r="I6" s="140"/>
      <c r="J6" s="122">
        <v>5.4999999999999997E-3</v>
      </c>
      <c r="K6" s="122" t="s">
        <v>48</v>
      </c>
      <c r="L6" s="122" t="s">
        <v>62</v>
      </c>
      <c r="M6" s="122">
        <f t="shared" si="0"/>
        <v>5.4999999999999997E-3</v>
      </c>
      <c r="P6" s="122" t="s">
        <v>63</v>
      </c>
      <c r="Q6" s="122" t="s">
        <v>64</v>
      </c>
      <c r="R6" s="122" t="s">
        <v>64</v>
      </c>
    </row>
    <row r="7" spans="1:19" x14ac:dyDescent="0.25">
      <c r="A7" s="149"/>
      <c r="B7" s="227">
        <v>10110001391</v>
      </c>
      <c r="C7" s="228" t="s">
        <v>44</v>
      </c>
      <c r="D7" s="228" t="s">
        <v>65</v>
      </c>
      <c r="E7" s="228" t="s">
        <v>46</v>
      </c>
      <c r="F7" s="149">
        <v>6</v>
      </c>
      <c r="G7" s="140" t="s">
        <v>61</v>
      </c>
      <c r="H7" s="140" t="s">
        <v>42</v>
      </c>
      <c r="I7" s="140"/>
      <c r="J7" s="122">
        <v>6.1000000000000004E-3</v>
      </c>
      <c r="K7" s="122" t="s">
        <v>48</v>
      </c>
      <c r="L7" s="122" t="s">
        <v>49</v>
      </c>
      <c r="M7" s="122">
        <f t="shared" si="0"/>
        <v>6.1000000000000004E-3</v>
      </c>
      <c r="P7" s="122" t="s">
        <v>63</v>
      </c>
      <c r="Q7" s="122" t="s">
        <v>64</v>
      </c>
      <c r="R7" s="122" t="s">
        <v>64</v>
      </c>
    </row>
    <row r="8" spans="1:19" x14ac:dyDescent="0.25">
      <c r="A8" s="149"/>
      <c r="B8" s="227">
        <v>10110003944</v>
      </c>
      <c r="C8" s="228" t="s">
        <v>44</v>
      </c>
      <c r="D8" s="228" t="s">
        <v>66</v>
      </c>
      <c r="E8" s="228" t="s">
        <v>67</v>
      </c>
      <c r="F8" s="149">
        <v>6</v>
      </c>
      <c r="G8" s="140" t="s">
        <v>61</v>
      </c>
      <c r="H8" s="140" t="s">
        <v>42</v>
      </c>
      <c r="I8" s="140"/>
      <c r="J8" s="122">
        <v>5.4299999999999999E-3</v>
      </c>
      <c r="K8" s="122" t="s">
        <v>48</v>
      </c>
      <c r="L8" s="122" t="s">
        <v>68</v>
      </c>
      <c r="M8" s="122">
        <f t="shared" si="0"/>
        <v>5.4299999999999999E-3</v>
      </c>
      <c r="P8" s="122" t="s">
        <v>63</v>
      </c>
      <c r="Q8" s="122" t="s">
        <v>64</v>
      </c>
      <c r="R8" s="122" t="s">
        <v>64</v>
      </c>
    </row>
    <row r="9" spans="1:19" x14ac:dyDescent="0.25">
      <c r="A9" s="149"/>
      <c r="B9" s="227">
        <v>10110011283</v>
      </c>
      <c r="C9" s="228" t="s">
        <v>44</v>
      </c>
      <c r="D9" s="228" t="s">
        <v>69</v>
      </c>
      <c r="E9" s="228" t="s">
        <v>57</v>
      </c>
      <c r="F9" s="149">
        <v>6</v>
      </c>
      <c r="G9" s="140" t="s">
        <v>61</v>
      </c>
      <c r="H9" s="140" t="s">
        <v>42</v>
      </c>
      <c r="I9" s="140"/>
      <c r="J9" s="122">
        <v>5.1500000000000001E-3</v>
      </c>
      <c r="K9" s="122" t="s">
        <v>48</v>
      </c>
      <c r="L9" s="122" t="s">
        <v>70</v>
      </c>
      <c r="M9" s="122">
        <f t="shared" si="0"/>
        <v>5.1500000000000001E-3</v>
      </c>
      <c r="N9" s="122">
        <f t="shared" ref="N9:N14" si="1">M9*F9</f>
        <v>3.09E-2</v>
      </c>
      <c r="P9" s="122" t="s">
        <v>63</v>
      </c>
      <c r="Q9" s="122" t="s">
        <v>64</v>
      </c>
      <c r="R9" s="122" t="s">
        <v>64</v>
      </c>
    </row>
    <row r="10" spans="1:19" x14ac:dyDescent="0.25">
      <c r="A10" s="149">
        <v>4</v>
      </c>
      <c r="B10" s="140">
        <v>10110007154</v>
      </c>
      <c r="C10" s="140" t="s">
        <v>44</v>
      </c>
      <c r="D10" s="140" t="s">
        <v>71</v>
      </c>
      <c r="E10" s="228" t="s">
        <v>46</v>
      </c>
      <c r="F10" s="149">
        <v>1</v>
      </c>
      <c r="G10" s="140" t="s">
        <v>72</v>
      </c>
      <c r="H10" s="140" t="s">
        <v>42</v>
      </c>
      <c r="I10" s="140"/>
      <c r="J10" s="122" t="e">
        <v>#N/A</v>
      </c>
      <c r="K10" s="122" t="e">
        <v>#N/A</v>
      </c>
      <c r="L10" s="122" t="e">
        <v>#N/A</v>
      </c>
      <c r="M10" s="230">
        <v>0.23599999999999999</v>
      </c>
      <c r="N10" s="230">
        <f t="shared" si="1"/>
        <v>0.23599999999999999</v>
      </c>
      <c r="O10" s="230" t="s">
        <v>73</v>
      </c>
      <c r="P10" s="122" t="e">
        <v>#N/A</v>
      </c>
      <c r="Q10" s="122" t="e">
        <v>#N/A</v>
      </c>
      <c r="R10" s="122" t="e">
        <v>#N/A</v>
      </c>
    </row>
    <row r="11" spans="1:19" x14ac:dyDescent="0.25">
      <c r="A11" s="149"/>
      <c r="B11" s="140" t="s">
        <v>38</v>
      </c>
      <c r="C11" s="228" t="s">
        <v>44</v>
      </c>
      <c r="D11" s="140" t="s">
        <v>74</v>
      </c>
      <c r="E11" s="228" t="s">
        <v>67</v>
      </c>
      <c r="F11" s="149">
        <v>1</v>
      </c>
      <c r="G11" s="140" t="s">
        <v>72</v>
      </c>
      <c r="H11" s="140" t="s">
        <v>42</v>
      </c>
      <c r="I11" s="140"/>
      <c r="J11" s="122" t="e">
        <v>#N/A</v>
      </c>
      <c r="K11" s="122" t="e">
        <v>#N/A</v>
      </c>
      <c r="L11" s="122" t="e">
        <v>#N/A</v>
      </c>
      <c r="M11" s="230"/>
      <c r="N11" s="230"/>
      <c r="O11" s="230" t="s">
        <v>75</v>
      </c>
      <c r="P11" s="122" t="e">
        <v>#N/A</v>
      </c>
      <c r="Q11" s="122" t="e">
        <v>#N/A</v>
      </c>
      <c r="R11" s="122" t="e">
        <v>#N/A</v>
      </c>
    </row>
    <row r="12" spans="1:19" x14ac:dyDescent="0.25">
      <c r="A12" s="149"/>
      <c r="B12" s="140" t="s">
        <v>38</v>
      </c>
      <c r="C12" s="228" t="s">
        <v>44</v>
      </c>
      <c r="D12" s="140" t="s">
        <v>74</v>
      </c>
      <c r="E12" s="228" t="s">
        <v>57</v>
      </c>
      <c r="F12" s="149">
        <v>1</v>
      </c>
      <c r="G12" s="140" t="s">
        <v>72</v>
      </c>
      <c r="H12" s="140" t="s">
        <v>42</v>
      </c>
      <c r="I12" s="140"/>
      <c r="J12" s="122" t="e">
        <v>#N/A</v>
      </c>
      <c r="K12" s="122" t="e">
        <v>#N/A</v>
      </c>
      <c r="L12" s="122" t="e">
        <v>#N/A</v>
      </c>
      <c r="M12" s="230"/>
      <c r="N12" s="230"/>
      <c r="O12" s="230" t="s">
        <v>75</v>
      </c>
      <c r="P12" s="122" t="e">
        <v>#N/A</v>
      </c>
      <c r="Q12" s="122" t="e">
        <v>#N/A</v>
      </c>
      <c r="R12" s="122" t="e">
        <v>#N/A</v>
      </c>
    </row>
    <row r="13" spans="1:19" x14ac:dyDescent="0.25">
      <c r="A13" s="149">
        <v>5</v>
      </c>
      <c r="B13" s="140">
        <v>10110004932</v>
      </c>
      <c r="C13" s="140" t="s">
        <v>44</v>
      </c>
      <c r="D13" s="140" t="s">
        <v>76</v>
      </c>
      <c r="E13" s="140" t="s">
        <v>77</v>
      </c>
      <c r="F13" s="227">
        <v>2</v>
      </c>
      <c r="G13" s="140" t="s">
        <v>78</v>
      </c>
      <c r="H13" s="140" t="s">
        <v>42</v>
      </c>
      <c r="I13" s="140"/>
      <c r="J13" s="122">
        <v>6.2199999999999998E-3</v>
      </c>
      <c r="K13" s="122" t="s">
        <v>48</v>
      </c>
      <c r="L13" s="122" t="s">
        <v>68</v>
      </c>
      <c r="M13" s="122">
        <f t="shared" ref="M13:M22" si="2">J13</f>
        <v>6.2199999999999998E-3</v>
      </c>
      <c r="P13" s="122" t="s">
        <v>63</v>
      </c>
      <c r="Q13" s="122" t="s">
        <v>64</v>
      </c>
      <c r="R13" s="122" t="s">
        <v>64</v>
      </c>
    </row>
    <row r="14" spans="1:19" x14ac:dyDescent="0.25">
      <c r="A14" s="149"/>
      <c r="B14" s="140">
        <v>10110008872</v>
      </c>
      <c r="C14" s="140" t="s">
        <v>44</v>
      </c>
      <c r="D14" s="140" t="s">
        <v>79</v>
      </c>
      <c r="E14" s="140" t="s">
        <v>60</v>
      </c>
      <c r="F14" s="227">
        <v>2</v>
      </c>
      <c r="G14" s="140" t="s">
        <v>78</v>
      </c>
      <c r="H14" s="140" t="s">
        <v>42</v>
      </c>
      <c r="I14" s="140"/>
      <c r="J14" s="122">
        <v>5.7999999999999996E-3</v>
      </c>
      <c r="K14" s="122" t="s">
        <v>48</v>
      </c>
      <c r="L14" s="122" t="s">
        <v>54</v>
      </c>
      <c r="M14" s="122">
        <f t="shared" si="2"/>
        <v>5.7999999999999996E-3</v>
      </c>
      <c r="N14" s="122">
        <f t="shared" si="1"/>
        <v>1.1599999999999999E-2</v>
      </c>
      <c r="P14" s="122" t="s">
        <v>55</v>
      </c>
      <c r="Q14" s="122" t="s">
        <v>64</v>
      </c>
      <c r="R14" s="122" t="s">
        <v>64</v>
      </c>
    </row>
    <row r="15" spans="1:19" x14ac:dyDescent="0.25">
      <c r="A15" s="149"/>
      <c r="B15" s="140">
        <v>10110013284</v>
      </c>
      <c r="C15" s="140" t="s">
        <v>44</v>
      </c>
      <c r="D15" s="140" t="s">
        <v>80</v>
      </c>
      <c r="E15" s="140" t="s">
        <v>57</v>
      </c>
      <c r="F15" s="227">
        <v>2</v>
      </c>
      <c r="G15" s="140" t="s">
        <v>78</v>
      </c>
      <c r="H15" s="140" t="s">
        <v>42</v>
      </c>
      <c r="I15" s="140"/>
      <c r="J15" s="122">
        <v>5.7999999999999996E-3</v>
      </c>
      <c r="K15" s="122" t="s">
        <v>48</v>
      </c>
      <c r="L15" s="122" t="s">
        <v>70</v>
      </c>
      <c r="M15" s="122">
        <f t="shared" si="2"/>
        <v>5.7999999999999996E-3</v>
      </c>
      <c r="P15" s="122" t="s">
        <v>63</v>
      </c>
      <c r="Q15" s="122" t="s">
        <v>64</v>
      </c>
      <c r="R15" s="122" t="s">
        <v>64</v>
      </c>
    </row>
    <row r="16" spans="1:19" x14ac:dyDescent="0.25">
      <c r="A16" s="149"/>
      <c r="B16" s="140">
        <v>10110015554</v>
      </c>
      <c r="C16" s="140" t="s">
        <v>44</v>
      </c>
      <c r="D16" s="140" t="s">
        <v>81</v>
      </c>
      <c r="E16" s="140" t="s">
        <v>46</v>
      </c>
      <c r="F16" s="227">
        <v>2</v>
      </c>
      <c r="G16" s="140" t="s">
        <v>78</v>
      </c>
      <c r="H16" s="140" t="s">
        <v>42</v>
      </c>
      <c r="I16" s="140"/>
      <c r="J16" s="122">
        <v>6.0000000000000001E-3</v>
      </c>
      <c r="K16" s="122" t="s">
        <v>48</v>
      </c>
      <c r="L16" s="122" t="s">
        <v>82</v>
      </c>
      <c r="M16" s="122">
        <f t="shared" si="2"/>
        <v>6.0000000000000001E-3</v>
      </c>
      <c r="P16" s="122" t="s">
        <v>63</v>
      </c>
      <c r="Q16" s="122" t="s">
        <v>64</v>
      </c>
      <c r="R16" s="122" t="s">
        <v>64</v>
      </c>
    </row>
    <row r="17" spans="1:18" x14ac:dyDescent="0.25">
      <c r="A17" s="149">
        <v>6</v>
      </c>
      <c r="B17" s="140">
        <v>10110001319</v>
      </c>
      <c r="C17" s="140" t="s">
        <v>44</v>
      </c>
      <c r="D17" s="140" t="s">
        <v>83</v>
      </c>
      <c r="E17" s="140" t="s">
        <v>60</v>
      </c>
      <c r="F17" s="227">
        <v>2</v>
      </c>
      <c r="G17" s="140" t="s">
        <v>84</v>
      </c>
      <c r="H17" s="140" t="s">
        <v>42</v>
      </c>
      <c r="I17" s="140"/>
      <c r="J17" s="122">
        <v>5.4999999999999997E-3</v>
      </c>
      <c r="K17" s="122" t="s">
        <v>48</v>
      </c>
      <c r="L17" s="122" t="s">
        <v>62</v>
      </c>
      <c r="M17" s="122">
        <f t="shared" si="2"/>
        <v>5.4999999999999997E-3</v>
      </c>
      <c r="P17" s="122" t="s">
        <v>63</v>
      </c>
      <c r="Q17" s="122" t="s">
        <v>64</v>
      </c>
      <c r="R17" s="122" t="s">
        <v>64</v>
      </c>
    </row>
    <row r="18" spans="1:18" x14ac:dyDescent="0.25">
      <c r="A18" s="149"/>
      <c r="B18" s="140">
        <v>10110001320</v>
      </c>
      <c r="C18" s="140" t="s">
        <v>44</v>
      </c>
      <c r="D18" s="140" t="s">
        <v>85</v>
      </c>
      <c r="E18" s="140" t="s">
        <v>46</v>
      </c>
      <c r="F18" s="227">
        <v>2</v>
      </c>
      <c r="G18" s="140" t="s">
        <v>84</v>
      </c>
      <c r="H18" s="140" t="s">
        <v>42</v>
      </c>
      <c r="I18" s="140"/>
      <c r="J18" s="122">
        <v>5.4999999999999997E-3</v>
      </c>
      <c r="K18" s="122" t="s">
        <v>48</v>
      </c>
      <c r="L18" s="122" t="s">
        <v>86</v>
      </c>
      <c r="M18" s="122">
        <f t="shared" si="2"/>
        <v>5.4999999999999997E-3</v>
      </c>
      <c r="P18" s="122" t="s">
        <v>63</v>
      </c>
      <c r="Q18" s="122" t="s">
        <v>64</v>
      </c>
      <c r="R18" s="122" t="s">
        <v>64</v>
      </c>
    </row>
    <row r="19" spans="1:18" x14ac:dyDescent="0.25">
      <c r="A19" s="149"/>
      <c r="B19" s="140">
        <v>10110003943</v>
      </c>
      <c r="C19" s="140" t="s">
        <v>44</v>
      </c>
      <c r="D19" s="140" t="s">
        <v>87</v>
      </c>
      <c r="E19" s="140" t="s">
        <v>77</v>
      </c>
      <c r="F19" s="227">
        <v>2</v>
      </c>
      <c r="G19" s="140" t="s">
        <v>84</v>
      </c>
      <c r="H19" s="140" t="s">
        <v>42</v>
      </c>
      <c r="I19" s="140"/>
      <c r="J19" s="122">
        <v>4.3499999999999997E-3</v>
      </c>
      <c r="K19" s="122" t="s">
        <v>48</v>
      </c>
      <c r="L19" s="122" t="s">
        <v>68</v>
      </c>
      <c r="M19" s="122">
        <f t="shared" si="2"/>
        <v>4.3499999999999997E-3</v>
      </c>
      <c r="N19" s="122">
        <f t="shared" ref="N19:N24" si="3">M19*F19</f>
        <v>8.6999999999999994E-3</v>
      </c>
      <c r="P19" s="122" t="s">
        <v>63</v>
      </c>
      <c r="Q19" s="122" t="s">
        <v>64</v>
      </c>
      <c r="R19" s="122" t="s">
        <v>64</v>
      </c>
    </row>
    <row r="20" spans="1:18" x14ac:dyDescent="0.25">
      <c r="A20" s="149"/>
      <c r="B20" s="140">
        <v>10110011281</v>
      </c>
      <c r="C20" s="140" t="s">
        <v>44</v>
      </c>
      <c r="D20" s="140" t="s">
        <v>88</v>
      </c>
      <c r="E20" s="140" t="s">
        <v>57</v>
      </c>
      <c r="F20" s="227">
        <v>2</v>
      </c>
      <c r="G20" s="140" t="s">
        <v>84</v>
      </c>
      <c r="H20" s="140" t="s">
        <v>42</v>
      </c>
      <c r="I20" s="140"/>
      <c r="J20" s="122">
        <v>5.45E-3</v>
      </c>
      <c r="K20" s="122" t="s">
        <v>48</v>
      </c>
      <c r="L20" s="122" t="s">
        <v>70</v>
      </c>
      <c r="M20" s="122">
        <f t="shared" si="2"/>
        <v>5.45E-3</v>
      </c>
      <c r="P20" s="122" t="s">
        <v>63</v>
      </c>
      <c r="Q20" s="122" t="s">
        <v>64</v>
      </c>
      <c r="R20" s="122" t="s">
        <v>64</v>
      </c>
    </row>
    <row r="21" spans="1:18" s="220" customFormat="1" x14ac:dyDescent="0.25">
      <c r="A21" s="133">
        <v>7</v>
      </c>
      <c r="B21" s="138">
        <v>10160007699</v>
      </c>
      <c r="C21" s="138" t="s">
        <v>89</v>
      </c>
      <c r="D21" s="138" t="s">
        <v>90</v>
      </c>
      <c r="E21" s="138" t="s">
        <v>91</v>
      </c>
      <c r="F21" s="133">
        <v>23</v>
      </c>
      <c r="G21" s="138" t="s">
        <v>92</v>
      </c>
      <c r="H21" s="140" t="s">
        <v>42</v>
      </c>
      <c r="I21" s="231" t="s">
        <v>93</v>
      </c>
      <c r="J21" s="122">
        <v>4.2999999999999997E-2</v>
      </c>
      <c r="K21" s="122" t="s">
        <v>48</v>
      </c>
      <c r="L21" s="122" t="s">
        <v>94</v>
      </c>
      <c r="M21" s="122">
        <f t="shared" si="2"/>
        <v>4.2999999999999997E-2</v>
      </c>
      <c r="N21" s="122">
        <f t="shared" si="3"/>
        <v>0.98899999999999999</v>
      </c>
      <c r="O21" s="122"/>
      <c r="P21" s="122" t="s">
        <v>95</v>
      </c>
      <c r="Q21" s="122" t="s">
        <v>64</v>
      </c>
      <c r="R21" s="122" t="s">
        <v>96</v>
      </c>
    </row>
    <row r="22" spans="1:18" s="220" customFormat="1" x14ac:dyDescent="0.25">
      <c r="A22" s="133"/>
      <c r="B22" s="138">
        <v>10160007809</v>
      </c>
      <c r="C22" s="138" t="s">
        <v>97</v>
      </c>
      <c r="D22" s="138" t="s">
        <v>98</v>
      </c>
      <c r="E22" s="138" t="s">
        <v>99</v>
      </c>
      <c r="F22" s="133">
        <v>23</v>
      </c>
      <c r="G22" s="138" t="s">
        <v>92</v>
      </c>
      <c r="H22" s="140" t="s">
        <v>42</v>
      </c>
      <c r="I22" s="231" t="s">
        <v>100</v>
      </c>
      <c r="J22" s="122">
        <v>2.5999999999999999E-2</v>
      </c>
      <c r="K22" s="122" t="s">
        <v>48</v>
      </c>
      <c r="L22" s="122" t="s">
        <v>101</v>
      </c>
      <c r="M22" s="122">
        <f t="shared" si="2"/>
        <v>2.5999999999999999E-2</v>
      </c>
      <c r="N22" s="122">
        <f t="shared" si="3"/>
        <v>0.59799999999999998</v>
      </c>
      <c r="O22" s="122"/>
      <c r="P22" s="122" t="s">
        <v>102</v>
      </c>
      <c r="Q22" s="122" t="s">
        <v>64</v>
      </c>
      <c r="R22" s="122" t="s">
        <v>64</v>
      </c>
    </row>
    <row r="23" spans="1:18" s="220" customFormat="1" x14ac:dyDescent="0.25">
      <c r="A23" s="133">
        <v>8</v>
      </c>
      <c r="B23" s="138" t="s">
        <v>38</v>
      </c>
      <c r="C23" s="138" t="s">
        <v>103</v>
      </c>
      <c r="D23" s="138" t="s">
        <v>104</v>
      </c>
      <c r="E23" s="138" t="s">
        <v>105</v>
      </c>
      <c r="F23" s="133">
        <v>1</v>
      </c>
      <c r="G23" s="138" t="s">
        <v>106</v>
      </c>
      <c r="H23" s="138"/>
      <c r="I23" s="138"/>
      <c r="J23" s="122" t="e">
        <v>#N/A</v>
      </c>
      <c r="K23" s="122" t="e">
        <v>#N/A</v>
      </c>
      <c r="L23" s="122" t="e">
        <v>#N/A</v>
      </c>
      <c r="M23" s="122">
        <v>3.5000000000000003E-2</v>
      </c>
      <c r="N23" s="122">
        <f t="shared" si="3"/>
        <v>3.5000000000000003E-2</v>
      </c>
      <c r="O23" s="122"/>
      <c r="P23" s="122" t="e">
        <v>#N/A</v>
      </c>
      <c r="Q23" s="122" t="e">
        <v>#N/A</v>
      </c>
      <c r="R23" s="122" t="e">
        <v>#N/A</v>
      </c>
    </row>
    <row r="24" spans="1:18" s="220" customFormat="1" x14ac:dyDescent="0.25">
      <c r="A24" s="133"/>
      <c r="B24" s="138">
        <v>10160007865</v>
      </c>
      <c r="C24" s="138" t="s">
        <v>97</v>
      </c>
      <c r="D24" s="138" t="s">
        <v>107</v>
      </c>
      <c r="E24" s="138" t="s">
        <v>99</v>
      </c>
      <c r="F24" s="133">
        <v>3</v>
      </c>
      <c r="G24" s="138" t="s">
        <v>108</v>
      </c>
      <c r="H24" s="138" t="s">
        <v>42</v>
      </c>
      <c r="I24" s="141" t="s">
        <v>93</v>
      </c>
      <c r="J24" s="122">
        <v>2.75E-2</v>
      </c>
      <c r="K24" s="122" t="s">
        <v>48</v>
      </c>
      <c r="L24" s="122" t="s">
        <v>101</v>
      </c>
      <c r="M24" s="122">
        <f t="shared" ref="M24:M28" si="4">J24</f>
        <v>2.75E-2</v>
      </c>
      <c r="N24" s="122">
        <f t="shared" si="3"/>
        <v>8.2500000000000004E-2</v>
      </c>
      <c r="O24" s="122"/>
      <c r="P24" s="122" t="s">
        <v>109</v>
      </c>
      <c r="Q24" s="122" t="s">
        <v>64</v>
      </c>
      <c r="R24" s="122" t="s">
        <v>64</v>
      </c>
    </row>
    <row r="25" spans="1:18" s="220" customFormat="1" x14ac:dyDescent="0.25">
      <c r="A25" s="133"/>
      <c r="B25" s="138">
        <v>10160006989</v>
      </c>
      <c r="C25" s="138" t="s">
        <v>97</v>
      </c>
      <c r="D25" s="138" t="s">
        <v>110</v>
      </c>
      <c r="E25" s="138" t="s">
        <v>111</v>
      </c>
      <c r="F25" s="133">
        <v>3</v>
      </c>
      <c r="G25" s="138" t="s">
        <v>108</v>
      </c>
      <c r="H25" s="138" t="s">
        <v>42</v>
      </c>
      <c r="I25" s="141" t="s">
        <v>100</v>
      </c>
      <c r="J25" s="122">
        <v>4.8399999999999999E-2</v>
      </c>
      <c r="K25" s="122" t="s">
        <v>48</v>
      </c>
      <c r="L25" s="122" t="s">
        <v>112</v>
      </c>
      <c r="M25" s="122">
        <f t="shared" si="4"/>
        <v>4.8399999999999999E-2</v>
      </c>
      <c r="N25" s="122"/>
      <c r="O25" s="122"/>
      <c r="P25" s="122" t="s">
        <v>102</v>
      </c>
      <c r="Q25" s="122" t="s">
        <v>64</v>
      </c>
      <c r="R25" s="122" t="s">
        <v>113</v>
      </c>
    </row>
    <row r="26" spans="1:18" x14ac:dyDescent="0.25">
      <c r="A26" s="149">
        <v>9</v>
      </c>
      <c r="B26" s="140">
        <v>1015</v>
      </c>
      <c r="C26" s="140" t="s">
        <v>114</v>
      </c>
      <c r="D26" s="140" t="s">
        <v>115</v>
      </c>
      <c r="E26" s="140" t="s">
        <v>116</v>
      </c>
      <c r="F26" s="149">
        <v>1</v>
      </c>
      <c r="G26" s="239" t="s">
        <v>117</v>
      </c>
      <c r="H26" s="140" t="s">
        <v>118</v>
      </c>
      <c r="I26" s="140"/>
      <c r="J26" s="122" t="e">
        <v>#N/A</v>
      </c>
      <c r="K26" s="122" t="e">
        <v>#N/A</v>
      </c>
      <c r="L26" s="122" t="e">
        <v>#N/A</v>
      </c>
      <c r="M26" s="122">
        <v>0.2</v>
      </c>
      <c r="N26" s="122">
        <f>M26*F26</f>
        <v>0.2</v>
      </c>
      <c r="P26" s="122" t="e">
        <v>#N/A</v>
      </c>
      <c r="Q26" s="122" t="e">
        <v>#N/A</v>
      </c>
      <c r="R26" s="122" t="e">
        <v>#N/A</v>
      </c>
    </row>
    <row r="27" spans="1:18" x14ac:dyDescent="0.25">
      <c r="A27" s="149">
        <v>10</v>
      </c>
      <c r="B27" s="140">
        <v>10100008776</v>
      </c>
      <c r="C27" s="140" t="s">
        <v>119</v>
      </c>
      <c r="D27" s="140" t="s">
        <v>120</v>
      </c>
      <c r="E27" s="140" t="s">
        <v>60</v>
      </c>
      <c r="F27" s="149">
        <v>4</v>
      </c>
      <c r="G27" s="140" t="s">
        <v>121</v>
      </c>
      <c r="H27" s="140" t="s">
        <v>42</v>
      </c>
      <c r="I27" s="140"/>
      <c r="J27" s="122">
        <v>2.0799999999999998E-3</v>
      </c>
      <c r="K27" s="122" t="s">
        <v>48</v>
      </c>
      <c r="L27" s="122" t="s">
        <v>54</v>
      </c>
      <c r="M27" s="122">
        <f t="shared" si="4"/>
        <v>2.0799999999999998E-3</v>
      </c>
      <c r="N27" s="122">
        <f>M27*F27</f>
        <v>8.3199999999999993E-3</v>
      </c>
      <c r="P27" s="122" t="s">
        <v>55</v>
      </c>
      <c r="Q27" s="122" t="s">
        <v>122</v>
      </c>
      <c r="R27" s="122" t="s">
        <v>122</v>
      </c>
    </row>
    <row r="28" spans="1:18" x14ac:dyDescent="0.25">
      <c r="A28" s="149"/>
      <c r="B28" s="140">
        <v>10100024100</v>
      </c>
      <c r="C28" s="140" t="s">
        <v>119</v>
      </c>
      <c r="D28" s="140" t="s">
        <v>120</v>
      </c>
      <c r="E28" s="140" t="s">
        <v>60</v>
      </c>
      <c r="F28" s="149">
        <v>4</v>
      </c>
      <c r="G28" s="140" t="s">
        <v>121</v>
      </c>
      <c r="H28" s="140" t="s">
        <v>42</v>
      </c>
      <c r="I28" s="140"/>
      <c r="J28" s="122">
        <v>2.0799999999999998E-3</v>
      </c>
      <c r="K28" s="122" t="s">
        <v>48</v>
      </c>
      <c r="L28" s="122" t="s">
        <v>54</v>
      </c>
      <c r="M28" s="122">
        <f t="shared" si="4"/>
        <v>2.0799999999999998E-3</v>
      </c>
      <c r="P28" s="122" t="s">
        <v>55</v>
      </c>
      <c r="Q28" s="122" t="s">
        <v>122</v>
      </c>
      <c r="R28" s="122" t="s">
        <v>122</v>
      </c>
    </row>
    <row r="29" spans="1:18" x14ac:dyDescent="0.25">
      <c r="A29" s="149"/>
      <c r="B29" s="140" t="s">
        <v>38</v>
      </c>
      <c r="C29" s="140" t="s">
        <v>119</v>
      </c>
      <c r="D29" s="140" t="s">
        <v>123</v>
      </c>
      <c r="E29" s="140" t="s">
        <v>124</v>
      </c>
      <c r="F29" s="149">
        <v>4</v>
      </c>
      <c r="G29" s="140" t="s">
        <v>121</v>
      </c>
      <c r="H29" s="140" t="s">
        <v>42</v>
      </c>
      <c r="I29" s="140"/>
      <c r="J29" s="122" t="e">
        <v>#N/A</v>
      </c>
      <c r="K29" s="122" t="e">
        <v>#N/A</v>
      </c>
      <c r="L29" s="122" t="e">
        <v>#N/A</v>
      </c>
      <c r="M29" s="122">
        <v>2.0999999999999999E-3</v>
      </c>
      <c r="P29" s="122" t="e">
        <v>#N/A</v>
      </c>
      <c r="Q29" s="122" t="e">
        <v>#N/A</v>
      </c>
      <c r="R29" s="122" t="e">
        <v>#N/A</v>
      </c>
    </row>
    <row r="30" spans="1:18" x14ac:dyDescent="0.25">
      <c r="A30" s="149">
        <v>11</v>
      </c>
      <c r="B30" s="140">
        <v>10100005708</v>
      </c>
      <c r="C30" s="140" t="s">
        <v>119</v>
      </c>
      <c r="D30" s="140" t="s">
        <v>125</v>
      </c>
      <c r="E30" s="140" t="s">
        <v>46</v>
      </c>
      <c r="F30" s="149">
        <v>5</v>
      </c>
      <c r="G30" s="140" t="s">
        <v>126</v>
      </c>
      <c r="H30" s="140" t="s">
        <v>42</v>
      </c>
      <c r="I30" s="140"/>
      <c r="J30" s="122">
        <v>1.2999999999999999E-3</v>
      </c>
      <c r="K30" s="122" t="s">
        <v>48</v>
      </c>
      <c r="L30" s="122" t="s">
        <v>86</v>
      </c>
      <c r="M30" s="122">
        <f t="shared" ref="M30:M43" si="5">J30</f>
        <v>1.2999999999999999E-3</v>
      </c>
      <c r="P30" s="122" t="s">
        <v>50</v>
      </c>
      <c r="Q30" s="122" t="s">
        <v>51</v>
      </c>
      <c r="R30" s="122" t="s">
        <v>51</v>
      </c>
    </row>
    <row r="31" spans="1:18" x14ac:dyDescent="0.25">
      <c r="A31" s="149"/>
      <c r="B31" s="140">
        <v>10100005795</v>
      </c>
      <c r="C31" s="140" t="s">
        <v>119</v>
      </c>
      <c r="D31" s="140" t="s">
        <v>127</v>
      </c>
      <c r="E31" s="140" t="s">
        <v>60</v>
      </c>
      <c r="F31" s="149">
        <v>5</v>
      </c>
      <c r="G31" s="140" t="s">
        <v>126</v>
      </c>
      <c r="H31" s="140" t="s">
        <v>42</v>
      </c>
      <c r="I31" s="140"/>
      <c r="J31" s="122">
        <v>1.1000000000000001E-3</v>
      </c>
      <c r="K31" s="122" t="s">
        <v>48</v>
      </c>
      <c r="L31" s="122" t="s">
        <v>54</v>
      </c>
      <c r="M31" s="122">
        <f t="shared" si="5"/>
        <v>1.1000000000000001E-3</v>
      </c>
      <c r="P31" s="122" t="s">
        <v>55</v>
      </c>
      <c r="Q31" s="122" t="s">
        <v>51</v>
      </c>
      <c r="R31" s="122" t="s">
        <v>51</v>
      </c>
    </row>
    <row r="32" spans="1:18" x14ac:dyDescent="0.25">
      <c r="A32" s="149"/>
      <c r="B32" s="140">
        <v>10100009838</v>
      </c>
      <c r="C32" s="140" t="s">
        <v>119</v>
      </c>
      <c r="D32" s="140" t="s">
        <v>128</v>
      </c>
      <c r="E32" s="140" t="s">
        <v>129</v>
      </c>
      <c r="F32" s="149">
        <v>5</v>
      </c>
      <c r="G32" s="140" t="s">
        <v>126</v>
      </c>
      <c r="H32" s="140" t="s">
        <v>42</v>
      </c>
      <c r="I32" s="140"/>
      <c r="J32" s="122">
        <v>1.09E-3</v>
      </c>
      <c r="K32" s="122" t="s">
        <v>48</v>
      </c>
      <c r="L32" s="122" t="s">
        <v>130</v>
      </c>
      <c r="M32" s="122">
        <f t="shared" si="5"/>
        <v>1.09E-3</v>
      </c>
      <c r="P32" s="122" t="s">
        <v>63</v>
      </c>
      <c r="Q32" s="122" t="s">
        <v>51</v>
      </c>
      <c r="R32" s="122" t="s">
        <v>51</v>
      </c>
    </row>
    <row r="33" spans="1:18" x14ac:dyDescent="0.25">
      <c r="A33" s="149"/>
      <c r="B33" s="140">
        <v>10100010045</v>
      </c>
      <c r="C33" s="140" t="s">
        <v>119</v>
      </c>
      <c r="D33" s="140" t="s">
        <v>131</v>
      </c>
      <c r="E33" s="140" t="s">
        <v>77</v>
      </c>
      <c r="F33" s="149">
        <v>5</v>
      </c>
      <c r="G33" s="140" t="s">
        <v>126</v>
      </c>
      <c r="H33" s="140" t="s">
        <v>42</v>
      </c>
      <c r="I33" s="140"/>
      <c r="J33" s="122">
        <v>1.17E-3</v>
      </c>
      <c r="K33" s="122" t="s">
        <v>48</v>
      </c>
      <c r="L33" s="122" t="s">
        <v>68</v>
      </c>
      <c r="M33" s="122">
        <f t="shared" si="5"/>
        <v>1.17E-3</v>
      </c>
      <c r="P33" s="122" t="s">
        <v>63</v>
      </c>
      <c r="Q33" s="122" t="s">
        <v>51</v>
      </c>
      <c r="R33" s="122" t="s">
        <v>51</v>
      </c>
    </row>
    <row r="34" spans="1:18" x14ac:dyDescent="0.25">
      <c r="A34" s="149"/>
      <c r="B34" s="140">
        <v>10100017618</v>
      </c>
      <c r="C34" s="140" t="s">
        <v>119</v>
      </c>
      <c r="D34" s="140" t="s">
        <v>132</v>
      </c>
      <c r="E34" s="140" t="s">
        <v>133</v>
      </c>
      <c r="F34" s="149">
        <v>5</v>
      </c>
      <c r="G34" s="140" t="s">
        <v>126</v>
      </c>
      <c r="H34" s="140" t="s">
        <v>42</v>
      </c>
      <c r="I34" s="140"/>
      <c r="J34" s="122">
        <v>9.7999999999999997E-4</v>
      </c>
      <c r="K34" s="122" t="s">
        <v>48</v>
      </c>
      <c r="L34" s="122" t="s">
        <v>134</v>
      </c>
      <c r="M34" s="122">
        <f t="shared" si="5"/>
        <v>9.7999999999999997E-4</v>
      </c>
      <c r="N34" s="122">
        <f>M34*F34</f>
        <v>4.8999999999999998E-3</v>
      </c>
      <c r="P34" s="122" t="s">
        <v>55</v>
      </c>
      <c r="Q34" s="122" t="s">
        <v>51</v>
      </c>
      <c r="R34" s="122" t="s">
        <v>51</v>
      </c>
    </row>
    <row r="35" spans="1:18" x14ac:dyDescent="0.25">
      <c r="A35" s="149"/>
      <c r="B35" s="140">
        <v>10100018722</v>
      </c>
      <c r="C35" s="140" t="s">
        <v>119</v>
      </c>
      <c r="D35" s="140" t="s">
        <v>135</v>
      </c>
      <c r="E35" s="140" t="s">
        <v>136</v>
      </c>
      <c r="F35" s="149">
        <v>5</v>
      </c>
      <c r="G35" s="140" t="s">
        <v>126</v>
      </c>
      <c r="H35" s="140" t="s">
        <v>42</v>
      </c>
      <c r="I35" s="140"/>
      <c r="J35" s="122">
        <v>1.0499999999999999E-3</v>
      </c>
      <c r="K35" s="122" t="s">
        <v>48</v>
      </c>
      <c r="L35" s="122" t="s">
        <v>137</v>
      </c>
      <c r="M35" s="122">
        <f t="shared" si="5"/>
        <v>1.0499999999999999E-3</v>
      </c>
      <c r="P35" s="122" t="s">
        <v>55</v>
      </c>
      <c r="Q35" s="122" t="s">
        <v>51</v>
      </c>
      <c r="R35" s="122" t="s">
        <v>51</v>
      </c>
    </row>
    <row r="36" spans="1:18" x14ac:dyDescent="0.25">
      <c r="A36" s="149">
        <v>12</v>
      </c>
      <c r="B36" s="140">
        <v>10100007615</v>
      </c>
      <c r="C36" s="140" t="s">
        <v>119</v>
      </c>
      <c r="D36" s="140" t="s">
        <v>138</v>
      </c>
      <c r="E36" s="140" t="s">
        <v>46</v>
      </c>
      <c r="F36" s="149">
        <v>9</v>
      </c>
      <c r="G36" s="140" t="s">
        <v>139</v>
      </c>
      <c r="H36" s="140" t="s">
        <v>42</v>
      </c>
      <c r="I36" s="140"/>
      <c r="J36" s="122">
        <v>1.4E-3</v>
      </c>
      <c r="K36" s="122" t="s">
        <v>48</v>
      </c>
      <c r="L36" s="122" t="s">
        <v>82</v>
      </c>
      <c r="M36" s="122">
        <f t="shared" si="5"/>
        <v>1.4E-3</v>
      </c>
      <c r="P36" s="122" t="s">
        <v>50</v>
      </c>
      <c r="Q36" s="122" t="s">
        <v>51</v>
      </c>
      <c r="R36" s="122" t="s">
        <v>51</v>
      </c>
    </row>
    <row r="37" spans="1:18" x14ac:dyDescent="0.25">
      <c r="A37" s="149"/>
      <c r="B37" s="140">
        <v>10100008302</v>
      </c>
      <c r="C37" s="140" t="s">
        <v>119</v>
      </c>
      <c r="D37" s="140" t="s">
        <v>140</v>
      </c>
      <c r="E37" s="140" t="s">
        <v>77</v>
      </c>
      <c r="F37" s="149">
        <v>9</v>
      </c>
      <c r="G37" s="140" t="s">
        <v>139</v>
      </c>
      <c r="H37" s="140" t="s">
        <v>42</v>
      </c>
      <c r="I37" s="140"/>
      <c r="J37" s="122">
        <v>1.17E-3</v>
      </c>
      <c r="K37" s="122" t="s">
        <v>48</v>
      </c>
      <c r="L37" s="122" t="s">
        <v>68</v>
      </c>
      <c r="M37" s="122">
        <f t="shared" si="5"/>
        <v>1.17E-3</v>
      </c>
      <c r="P37" s="122" t="s">
        <v>63</v>
      </c>
      <c r="Q37" s="122" t="s">
        <v>51</v>
      </c>
      <c r="R37" s="122" t="s">
        <v>51</v>
      </c>
    </row>
    <row r="38" spans="1:18" x14ac:dyDescent="0.25">
      <c r="A38" s="149"/>
      <c r="B38" s="140">
        <v>10100013093</v>
      </c>
      <c r="C38" s="140" t="s">
        <v>119</v>
      </c>
      <c r="D38" s="140" t="s">
        <v>141</v>
      </c>
      <c r="E38" s="140" t="s">
        <v>129</v>
      </c>
      <c r="F38" s="149">
        <v>9</v>
      </c>
      <c r="G38" s="140" t="s">
        <v>139</v>
      </c>
      <c r="H38" s="140" t="s">
        <v>42</v>
      </c>
      <c r="I38" s="140"/>
      <c r="J38" s="122">
        <v>1.09E-3</v>
      </c>
      <c r="K38" s="122" t="s">
        <v>48</v>
      </c>
      <c r="L38" s="122" t="s">
        <v>130</v>
      </c>
      <c r="M38" s="122">
        <f t="shared" si="5"/>
        <v>1.09E-3</v>
      </c>
      <c r="P38" s="122" t="s">
        <v>55</v>
      </c>
      <c r="Q38" s="122" t="s">
        <v>51</v>
      </c>
      <c r="R38" s="122" t="s">
        <v>51</v>
      </c>
    </row>
    <row r="39" spans="1:18" x14ac:dyDescent="0.25">
      <c r="A39" s="149"/>
      <c r="B39" s="140">
        <v>10100013936</v>
      </c>
      <c r="C39" s="140" t="s">
        <v>119</v>
      </c>
      <c r="D39" s="140" t="s">
        <v>142</v>
      </c>
      <c r="E39" s="140" t="s">
        <v>60</v>
      </c>
      <c r="F39" s="149">
        <v>9</v>
      </c>
      <c r="G39" s="140" t="s">
        <v>139</v>
      </c>
      <c r="H39" s="140" t="s">
        <v>42</v>
      </c>
      <c r="I39" s="140"/>
      <c r="J39" s="122">
        <v>1.1000000000000001E-3</v>
      </c>
      <c r="K39" s="122" t="s">
        <v>48</v>
      </c>
      <c r="L39" s="122" t="s">
        <v>54</v>
      </c>
      <c r="M39" s="122">
        <f t="shared" si="5"/>
        <v>1.1000000000000001E-3</v>
      </c>
      <c r="P39" s="122" t="s">
        <v>55</v>
      </c>
      <c r="Q39" s="122" t="s">
        <v>51</v>
      </c>
      <c r="R39" s="122" t="s">
        <v>51</v>
      </c>
    </row>
    <row r="40" spans="1:18" x14ac:dyDescent="0.25">
      <c r="A40" s="149"/>
      <c r="B40" s="140">
        <v>10100017616</v>
      </c>
      <c r="C40" s="140" t="s">
        <v>119</v>
      </c>
      <c r="D40" s="140" t="s">
        <v>143</v>
      </c>
      <c r="E40" s="140" t="s">
        <v>133</v>
      </c>
      <c r="F40" s="149">
        <v>9</v>
      </c>
      <c r="G40" s="140" t="s">
        <v>139</v>
      </c>
      <c r="H40" s="140" t="s">
        <v>42</v>
      </c>
      <c r="I40" s="140"/>
      <c r="J40" s="122">
        <v>9.7999999999999997E-4</v>
      </c>
      <c r="K40" s="122" t="s">
        <v>48</v>
      </c>
      <c r="L40" s="122" t="s">
        <v>134</v>
      </c>
      <c r="M40" s="122">
        <f t="shared" si="5"/>
        <v>9.7999999999999997E-4</v>
      </c>
      <c r="N40" s="122">
        <f t="shared" ref="N40:N48" si="6">M40*F40</f>
        <v>8.8199999999999997E-3</v>
      </c>
      <c r="P40" s="122" t="s">
        <v>55</v>
      </c>
      <c r="Q40" s="122" t="s">
        <v>51</v>
      </c>
      <c r="R40" s="122" t="s">
        <v>51</v>
      </c>
    </row>
    <row r="41" spans="1:18" x14ac:dyDescent="0.25">
      <c r="A41" s="149">
        <v>13</v>
      </c>
      <c r="B41" s="140">
        <v>10100011726</v>
      </c>
      <c r="C41" s="140" t="s">
        <v>144</v>
      </c>
      <c r="D41" s="140" t="s">
        <v>145</v>
      </c>
      <c r="E41" s="140" t="s">
        <v>46</v>
      </c>
      <c r="F41" s="149">
        <v>3</v>
      </c>
      <c r="G41" s="140" t="s">
        <v>146</v>
      </c>
      <c r="H41" s="140" t="s">
        <v>42</v>
      </c>
      <c r="I41" s="140"/>
      <c r="J41" s="122">
        <v>1.39E-3</v>
      </c>
      <c r="K41" s="122" t="s">
        <v>48</v>
      </c>
      <c r="L41" s="122" t="s">
        <v>147</v>
      </c>
      <c r="M41" s="122">
        <f t="shared" si="5"/>
        <v>1.39E-3</v>
      </c>
      <c r="P41" s="122" t="s">
        <v>63</v>
      </c>
      <c r="Q41" s="122" t="s">
        <v>51</v>
      </c>
      <c r="R41" s="122" t="s">
        <v>51</v>
      </c>
    </row>
    <row r="42" spans="1:18" x14ac:dyDescent="0.25">
      <c r="A42" s="149"/>
      <c r="B42" s="140">
        <v>10100011993</v>
      </c>
      <c r="C42" s="140" t="s">
        <v>144</v>
      </c>
      <c r="D42" s="140" t="s">
        <v>148</v>
      </c>
      <c r="E42" s="140" t="s">
        <v>60</v>
      </c>
      <c r="F42" s="149">
        <v>3</v>
      </c>
      <c r="G42" s="140" t="s">
        <v>146</v>
      </c>
      <c r="H42" s="140" t="s">
        <v>42</v>
      </c>
      <c r="I42" s="140"/>
      <c r="J42" s="122">
        <v>1.1000000000000001E-3</v>
      </c>
      <c r="K42" s="122" t="s">
        <v>48</v>
      </c>
      <c r="L42" s="122" t="s">
        <v>54</v>
      </c>
      <c r="M42" s="122">
        <f t="shared" si="5"/>
        <v>1.1000000000000001E-3</v>
      </c>
      <c r="P42" s="122" t="s">
        <v>55</v>
      </c>
      <c r="Q42" s="122" t="s">
        <v>51</v>
      </c>
      <c r="R42" s="122" t="s">
        <v>51</v>
      </c>
    </row>
    <row r="43" spans="1:18" x14ac:dyDescent="0.25">
      <c r="A43" s="149"/>
      <c r="B43" s="140">
        <v>10100017738</v>
      </c>
      <c r="C43" s="140" t="s">
        <v>119</v>
      </c>
      <c r="D43" s="140" t="s">
        <v>149</v>
      </c>
      <c r="E43" s="140" t="s">
        <v>133</v>
      </c>
      <c r="F43" s="149">
        <v>3</v>
      </c>
      <c r="G43" s="140" t="s">
        <v>146</v>
      </c>
      <c r="H43" s="140" t="s">
        <v>42</v>
      </c>
      <c r="I43" s="140"/>
      <c r="J43" s="122">
        <v>9.7999999999999997E-4</v>
      </c>
      <c r="K43" s="122" t="s">
        <v>48</v>
      </c>
      <c r="L43" s="122" t="s">
        <v>134</v>
      </c>
      <c r="M43" s="122">
        <f t="shared" si="5"/>
        <v>9.7999999999999997E-4</v>
      </c>
      <c r="N43" s="122">
        <f t="shared" si="6"/>
        <v>2.9399999999999999E-3</v>
      </c>
      <c r="P43" s="122" t="s">
        <v>55</v>
      </c>
      <c r="Q43" s="122" t="s">
        <v>51</v>
      </c>
      <c r="R43" s="122" t="s">
        <v>51</v>
      </c>
    </row>
    <row r="44" spans="1:18" x14ac:dyDescent="0.25">
      <c r="A44" s="149">
        <v>14</v>
      </c>
      <c r="B44" s="140">
        <v>1021</v>
      </c>
      <c r="C44" s="140" t="s">
        <v>150</v>
      </c>
      <c r="D44" s="140" t="s">
        <v>151</v>
      </c>
      <c r="E44" s="140" t="s">
        <v>152</v>
      </c>
      <c r="F44" s="149">
        <v>1</v>
      </c>
      <c r="G44" s="140" t="s">
        <v>153</v>
      </c>
      <c r="H44" s="140" t="s">
        <v>42</v>
      </c>
      <c r="I44" s="140"/>
      <c r="J44" s="122" t="e">
        <v>#N/A</v>
      </c>
      <c r="K44" s="122" t="e">
        <v>#N/A</v>
      </c>
      <c r="L44" s="122" t="e">
        <v>#N/A</v>
      </c>
      <c r="M44" s="122">
        <v>0.08</v>
      </c>
      <c r="N44" s="122">
        <f t="shared" si="6"/>
        <v>0.08</v>
      </c>
      <c r="P44" s="122" t="e">
        <v>#N/A</v>
      </c>
      <c r="Q44" s="122" t="e">
        <v>#N/A</v>
      </c>
      <c r="R44" s="122" t="e">
        <v>#N/A</v>
      </c>
    </row>
    <row r="45" spans="1:18" ht="92.4" x14ac:dyDescent="0.25">
      <c r="A45" s="149">
        <v>15</v>
      </c>
      <c r="B45" s="140">
        <v>1021</v>
      </c>
      <c r="C45" s="140" t="s">
        <v>154</v>
      </c>
      <c r="D45" s="136" t="s">
        <v>155</v>
      </c>
      <c r="E45" s="140"/>
      <c r="F45" s="149">
        <v>1</v>
      </c>
      <c r="G45" s="140" t="s">
        <v>156</v>
      </c>
      <c r="H45" s="140" t="s">
        <v>157</v>
      </c>
      <c r="I45" s="140"/>
      <c r="J45" s="122" t="e">
        <v>#N/A</v>
      </c>
      <c r="K45" s="122" t="e">
        <v>#N/A</v>
      </c>
      <c r="L45" s="122" t="e">
        <v>#N/A</v>
      </c>
      <c r="M45" s="122">
        <v>1.7324999999999999</v>
      </c>
      <c r="N45" s="122">
        <f t="shared" si="6"/>
        <v>1.7324999999999999</v>
      </c>
      <c r="P45" s="122" t="e">
        <v>#N/A</v>
      </c>
      <c r="Q45" s="122" t="e">
        <v>#N/A</v>
      </c>
      <c r="R45" s="122" t="e">
        <v>#N/A</v>
      </c>
    </row>
    <row r="46" spans="1:18" x14ac:dyDescent="0.25">
      <c r="A46" s="149">
        <v>16</v>
      </c>
      <c r="B46" s="140">
        <v>1015</v>
      </c>
      <c r="C46" s="140" t="s">
        <v>158</v>
      </c>
      <c r="D46" s="140" t="s">
        <v>159</v>
      </c>
      <c r="E46" s="140" t="s">
        <v>118</v>
      </c>
      <c r="F46" s="149">
        <v>1</v>
      </c>
      <c r="G46" s="140" t="s">
        <v>160</v>
      </c>
      <c r="H46" s="140" t="s">
        <v>118</v>
      </c>
      <c r="I46" s="140"/>
      <c r="J46" s="122" t="e">
        <v>#N/A</v>
      </c>
      <c r="K46" s="122" t="e">
        <v>#N/A</v>
      </c>
      <c r="L46" s="122" t="e">
        <v>#N/A</v>
      </c>
      <c r="M46" s="122">
        <v>1.1200000000000001</v>
      </c>
      <c r="N46" s="122">
        <f t="shared" si="6"/>
        <v>1.1200000000000001</v>
      </c>
      <c r="P46" s="122" t="e">
        <v>#N/A</v>
      </c>
      <c r="Q46" s="122" t="e">
        <v>#N/A</v>
      </c>
      <c r="R46" s="122" t="e">
        <v>#N/A</v>
      </c>
    </row>
    <row r="47" spans="1:18" x14ac:dyDescent="0.25">
      <c r="A47" s="149">
        <v>17</v>
      </c>
      <c r="B47" s="140">
        <v>1023</v>
      </c>
      <c r="C47" s="140" t="s">
        <v>161</v>
      </c>
      <c r="D47" s="140" t="s">
        <v>162</v>
      </c>
      <c r="E47" s="135" t="s">
        <v>163</v>
      </c>
      <c r="F47" s="149">
        <v>1</v>
      </c>
      <c r="G47" s="140" t="s">
        <v>164</v>
      </c>
      <c r="H47" s="140" t="s">
        <v>42</v>
      </c>
      <c r="I47" s="140"/>
      <c r="J47" s="122" t="e">
        <v>#N/A</v>
      </c>
      <c r="K47" s="122" t="e">
        <v>#N/A</v>
      </c>
      <c r="L47" s="122" t="e">
        <v>#N/A</v>
      </c>
      <c r="M47" s="122">
        <f>0.38*1.05</f>
        <v>0.39900000000000002</v>
      </c>
      <c r="N47" s="122">
        <f t="shared" si="6"/>
        <v>0.39900000000000002</v>
      </c>
      <c r="P47" s="122" t="e">
        <v>#N/A</v>
      </c>
      <c r="Q47" s="122" t="e">
        <v>#N/A</v>
      </c>
      <c r="R47" s="122" t="e">
        <v>#N/A</v>
      </c>
    </row>
    <row r="48" spans="1:18" x14ac:dyDescent="0.25">
      <c r="A48" s="149">
        <v>18</v>
      </c>
      <c r="B48" s="140" t="s">
        <v>38</v>
      </c>
      <c r="C48" s="140" t="s">
        <v>165</v>
      </c>
      <c r="D48" s="140" t="s">
        <v>166</v>
      </c>
      <c r="E48" s="140" t="s">
        <v>167</v>
      </c>
      <c r="F48" s="149">
        <v>1</v>
      </c>
      <c r="G48" s="140" t="s">
        <v>165</v>
      </c>
      <c r="H48" s="140"/>
      <c r="I48" s="140"/>
      <c r="J48" s="122" t="e">
        <v>#N/A</v>
      </c>
      <c r="K48" s="122" t="e">
        <v>#N/A</v>
      </c>
      <c r="L48" s="122" t="e">
        <v>#N/A</v>
      </c>
      <c r="M48" s="122">
        <v>0.22</v>
      </c>
      <c r="N48" s="122">
        <f t="shared" si="6"/>
        <v>0.22</v>
      </c>
      <c r="P48" s="122" t="e">
        <v>#N/A</v>
      </c>
      <c r="Q48" s="122" t="e">
        <v>#N/A</v>
      </c>
      <c r="R48" s="122" t="e">
        <v>#N/A</v>
      </c>
    </row>
    <row r="49" spans="14:14" x14ac:dyDescent="0.25">
      <c r="N49" s="122">
        <f>SUM(N2:N48)</f>
        <v>6.6532299999999998</v>
      </c>
    </row>
  </sheetData>
  <phoneticPr fontId="5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topLeftCell="A17" workbookViewId="0">
      <selection activeCell="L44" sqref="L44"/>
    </sheetView>
  </sheetViews>
  <sheetFormatPr defaultColWidth="9" defaultRowHeight="13.2" x14ac:dyDescent="0.25"/>
  <cols>
    <col min="1" max="1" width="10.77734375" style="204" customWidth="1"/>
    <col min="2" max="2" width="13.6640625" style="204" customWidth="1"/>
    <col min="3" max="3" width="15.44140625" style="202" customWidth="1"/>
    <col min="4" max="4" width="21.21875" style="202" customWidth="1"/>
    <col min="5" max="5" width="21.5546875" style="202" customWidth="1"/>
    <col min="6" max="6" width="10.88671875" style="204" customWidth="1"/>
    <col min="7" max="7" width="26.6640625" style="202" customWidth="1"/>
    <col min="8" max="8" width="8.88671875" style="202"/>
    <col min="9" max="16384" width="9" style="202"/>
  </cols>
  <sheetData>
    <row r="1" spans="1:19" ht="24" x14ac:dyDescent="0.25">
      <c r="A1" s="205" t="s">
        <v>20</v>
      </c>
      <c r="B1" s="205" t="s">
        <v>21</v>
      </c>
      <c r="C1" s="206" t="s">
        <v>22</v>
      </c>
      <c r="D1" s="207" t="s">
        <v>23</v>
      </c>
      <c r="E1" s="206" t="s">
        <v>24</v>
      </c>
      <c r="F1" s="205" t="s">
        <v>25</v>
      </c>
      <c r="G1" s="207" t="s">
        <v>26</v>
      </c>
      <c r="H1" s="206" t="s">
        <v>27</v>
      </c>
      <c r="I1" s="214" t="s">
        <v>28</v>
      </c>
      <c r="J1" s="215" t="s">
        <v>29</v>
      </c>
      <c r="K1" s="215" t="s">
        <v>30</v>
      </c>
      <c r="L1" s="215" t="s">
        <v>31</v>
      </c>
      <c r="M1" s="215" t="s">
        <v>32</v>
      </c>
      <c r="N1" s="215" t="s">
        <v>33</v>
      </c>
      <c r="O1" s="215" t="s">
        <v>27</v>
      </c>
      <c r="P1" s="215" t="s">
        <v>34</v>
      </c>
      <c r="Q1" s="215" t="s">
        <v>35</v>
      </c>
      <c r="R1" s="215" t="s">
        <v>36</v>
      </c>
      <c r="S1" s="215" t="s">
        <v>37</v>
      </c>
    </row>
    <row r="2" spans="1:19" x14ac:dyDescent="0.25">
      <c r="A2" s="208">
        <v>1</v>
      </c>
      <c r="B2" s="208" t="s">
        <v>38</v>
      </c>
      <c r="C2" s="209" t="s">
        <v>39</v>
      </c>
      <c r="D2" s="210" t="s">
        <v>168</v>
      </c>
      <c r="E2" s="209" t="s">
        <v>41</v>
      </c>
      <c r="F2" s="208">
        <v>1</v>
      </c>
      <c r="G2" s="209" t="s">
        <v>39</v>
      </c>
      <c r="H2" s="209" t="s">
        <v>42</v>
      </c>
      <c r="I2" s="216" t="s">
        <v>43</v>
      </c>
      <c r="J2" s="202" t="e">
        <f>VLOOKUP($B2,[1]Data!$D$2:$X$20000,18,0)</f>
        <v>#N/A</v>
      </c>
      <c r="K2" s="202" t="e">
        <f>VLOOKUP($B2,[1]Data!$D$2:$X$20000,19,0)</f>
        <v>#N/A</v>
      </c>
      <c r="L2" s="202" t="e">
        <f>VLOOKUP($B2,[1]Data!$D$2:$X$20000,8,0)</f>
        <v>#N/A</v>
      </c>
      <c r="M2" s="202">
        <f>55*55*282/1000000</f>
        <v>0.85304999999999997</v>
      </c>
      <c r="N2" s="202">
        <f>M2*F2</f>
        <v>0.85304999999999997</v>
      </c>
      <c r="P2" s="202" t="e">
        <f>VLOOKUP($B2,[1]Data!$D$2:$X$20000,16,0)</f>
        <v>#N/A</v>
      </c>
      <c r="Q2" s="202" t="e">
        <f>VLOOKUP($B2,[1]Data!$D$2:$X$20000,21,0)</f>
        <v>#N/A</v>
      </c>
      <c r="R2" s="202" t="e">
        <f>VLOOKUP($B2,[1]Data!$D$2:$X$20000,20,0)</f>
        <v>#N/A</v>
      </c>
    </row>
    <row r="3" spans="1:19" x14ac:dyDescent="0.25">
      <c r="A3" s="208">
        <v>2</v>
      </c>
      <c r="B3" s="208">
        <v>10110012149</v>
      </c>
      <c r="C3" s="209" t="s">
        <v>44</v>
      </c>
      <c r="D3" s="209" t="s">
        <v>169</v>
      </c>
      <c r="E3" s="209" t="s">
        <v>57</v>
      </c>
      <c r="F3" s="208">
        <v>2</v>
      </c>
      <c r="G3" s="209" t="s">
        <v>170</v>
      </c>
      <c r="H3" s="209" t="s">
        <v>42</v>
      </c>
      <c r="I3" s="209"/>
      <c r="J3" s="202">
        <f>VLOOKUP($B3,[1]Data!$D$2:$X$20000,18,0)</f>
        <v>1.8500000000000001E-3</v>
      </c>
      <c r="K3" s="202" t="str">
        <f>VLOOKUP($B3,[1]Data!$D$2:$X$20000,19,0)</f>
        <v>CNY</v>
      </c>
      <c r="L3" s="202" t="str">
        <f>VLOOKUP($B3,[1]Data!$D$2:$X$20000,8,0)</f>
        <v>潮州三环（集团）股份有限公司</v>
      </c>
      <c r="M3" s="202">
        <f t="shared" ref="M3:M12" si="0">J3</f>
        <v>1.8500000000000001E-3</v>
      </c>
      <c r="N3" s="202">
        <f>M3*F3</f>
        <v>3.7000000000000002E-3</v>
      </c>
      <c r="P3" s="202" t="str">
        <f>VLOOKUP($B3,[1]Data!$D$2:$X$20000,16,0)</f>
        <v>56</v>
      </c>
      <c r="Q3" s="202" t="str">
        <f>VLOOKUP($B3,[1]Data!$D$2:$X$20000,21,0)</f>
        <v>10,000.000</v>
      </c>
      <c r="R3" s="202" t="str">
        <f>VLOOKUP($B3,[1]Data!$D$2:$X$20000,20,0)</f>
        <v>10,000.000</v>
      </c>
    </row>
    <row r="4" spans="1:19" x14ac:dyDescent="0.25">
      <c r="A4" s="208"/>
      <c r="B4" s="208">
        <v>10110008734</v>
      </c>
      <c r="C4" s="209" t="s">
        <v>44</v>
      </c>
      <c r="D4" s="209" t="s">
        <v>171</v>
      </c>
      <c r="E4" s="209" t="s">
        <v>60</v>
      </c>
      <c r="F4" s="208">
        <v>2</v>
      </c>
      <c r="G4" s="209" t="s">
        <v>170</v>
      </c>
      <c r="H4" s="209" t="s">
        <v>42</v>
      </c>
      <c r="I4" s="209"/>
      <c r="J4" s="202">
        <f>VLOOKUP($B4,[1]Data!$D$2:$X$20000,18,0)</f>
        <v>2.0999999999999999E-3</v>
      </c>
      <c r="K4" s="202" t="str">
        <f>VLOOKUP($B4,[1]Data!$D$2:$X$20000,19,0)</f>
        <v>CNY</v>
      </c>
      <c r="L4" s="202" t="str">
        <f>VLOOKUP($B4,[1]Data!$D$2:$X$20000,8,0)</f>
        <v>广东风华高新科技股份有限公司</v>
      </c>
      <c r="M4" s="202">
        <f t="shared" si="0"/>
        <v>2.0999999999999999E-3</v>
      </c>
      <c r="P4" s="202" t="str">
        <f>VLOOKUP($B4,[1]Data!$D$2:$X$20000,16,0)</f>
        <v>56</v>
      </c>
      <c r="Q4" s="202" t="str">
        <f>VLOOKUP($B4,[1]Data!$D$2:$X$20000,21,0)</f>
        <v>10,000.000</v>
      </c>
      <c r="R4" s="202" t="str">
        <f>VLOOKUP($B4,[1]Data!$D$2:$X$20000,20,0)</f>
        <v>10,000.000</v>
      </c>
    </row>
    <row r="5" spans="1:19" x14ac:dyDescent="0.25">
      <c r="A5" s="208"/>
      <c r="B5" s="208">
        <v>10110005817</v>
      </c>
      <c r="C5" s="209" t="s">
        <v>172</v>
      </c>
      <c r="D5" s="209" t="s">
        <v>173</v>
      </c>
      <c r="E5" s="209" t="s">
        <v>77</v>
      </c>
      <c r="F5" s="208">
        <v>2</v>
      </c>
      <c r="G5" s="209" t="s">
        <v>170</v>
      </c>
      <c r="H5" s="209" t="s">
        <v>42</v>
      </c>
      <c r="I5" s="209"/>
      <c r="J5" s="202">
        <f>VLOOKUP($B5,[1]Data!$D$2:$X$20000,18,0)</f>
        <v>1.98E-3</v>
      </c>
      <c r="K5" s="202" t="str">
        <f>VLOOKUP($B5,[1]Data!$D$2:$X$20000,19,0)</f>
        <v>CNY</v>
      </c>
      <c r="L5" s="202" t="str">
        <f>VLOOKUP($B5,[1]Data!$D$2:$X$20000,8,0)</f>
        <v>东莞华科电子有限公司</v>
      </c>
      <c r="M5" s="202">
        <f t="shared" si="0"/>
        <v>1.98E-3</v>
      </c>
      <c r="P5" s="202" t="str">
        <f>VLOOKUP($B5,[1]Data!$D$2:$X$20000,16,0)</f>
        <v>56</v>
      </c>
      <c r="Q5" s="202" t="str">
        <f>VLOOKUP($B5,[1]Data!$D$2:$X$20000,21,0)</f>
        <v>10,000.000</v>
      </c>
      <c r="R5" s="202" t="str">
        <f>VLOOKUP($B5,[1]Data!$D$2:$X$20000,20,0)</f>
        <v>10,000.000</v>
      </c>
    </row>
    <row r="6" spans="1:19" x14ac:dyDescent="0.25">
      <c r="A6" s="208"/>
      <c r="B6" s="208">
        <v>10110003896</v>
      </c>
      <c r="C6" s="209" t="s">
        <v>172</v>
      </c>
      <c r="D6" s="209" t="s">
        <v>174</v>
      </c>
      <c r="E6" s="209" t="s">
        <v>46</v>
      </c>
      <c r="F6" s="208">
        <v>2</v>
      </c>
      <c r="G6" s="209" t="s">
        <v>170</v>
      </c>
      <c r="H6" s="209" t="s">
        <v>42</v>
      </c>
      <c r="I6" s="209"/>
      <c r="J6" s="202">
        <f>VLOOKUP($B6,[1]Data!$D$2:$X$20000,18,0)</f>
        <v>2.3E-3</v>
      </c>
      <c r="K6" s="202" t="str">
        <f>VLOOKUP($B6,[1]Data!$D$2:$X$20000,19,0)</f>
        <v>CNY</v>
      </c>
      <c r="L6" s="202" t="str">
        <f>VLOOKUP($B6,[1]Data!$D$2:$X$20000,8,0)</f>
        <v>深圳市奥特高科电子有限公司</v>
      </c>
      <c r="M6" s="202">
        <f t="shared" si="0"/>
        <v>2.3E-3</v>
      </c>
      <c r="P6" s="202" t="str">
        <f>VLOOKUP($B6,[1]Data!$D$2:$X$20000,16,0)</f>
        <v>56</v>
      </c>
      <c r="Q6" s="202" t="str">
        <f>VLOOKUP($B6,[1]Data!$D$2:$X$20000,21,0)</f>
        <v>10,000.000</v>
      </c>
      <c r="R6" s="202" t="str">
        <f>VLOOKUP($B6,[1]Data!$D$2:$X$20000,20,0)</f>
        <v>10,000.000</v>
      </c>
    </row>
    <row r="7" spans="1:19" x14ac:dyDescent="0.25">
      <c r="A7" s="208"/>
      <c r="B7" s="208">
        <v>10110007822</v>
      </c>
      <c r="C7" s="209" t="s">
        <v>44</v>
      </c>
      <c r="D7" s="209" t="s">
        <v>175</v>
      </c>
      <c r="E7" s="209" t="s">
        <v>176</v>
      </c>
      <c r="F7" s="208">
        <v>2</v>
      </c>
      <c r="G7" s="209" t="s">
        <v>170</v>
      </c>
      <c r="H7" s="209" t="s">
        <v>42</v>
      </c>
      <c r="I7" s="209"/>
      <c r="J7" s="202">
        <f>VLOOKUP($B7,[1]Data!$D$2:$X$20000,18,0)</f>
        <v>2.3999999999999998E-3</v>
      </c>
      <c r="K7" s="202" t="str">
        <f>VLOOKUP($B7,[1]Data!$D$2:$X$20000,19,0)</f>
        <v>CNY</v>
      </c>
      <c r="L7" s="202" t="str">
        <f>VLOOKUP($B7,[1]Data!$D$2:$X$20000,8,0)</f>
        <v>广东顺德集财电子有限公司</v>
      </c>
      <c r="M7" s="202">
        <f t="shared" si="0"/>
        <v>2.3999999999999998E-3</v>
      </c>
      <c r="P7" s="202" t="str">
        <f>VLOOKUP($B7,[1]Data!$D$2:$X$20000,16,0)</f>
        <v>56</v>
      </c>
      <c r="Q7" s="202" t="str">
        <f>VLOOKUP($B7,[1]Data!$D$2:$X$20000,21,0)</f>
        <v>10,000.000</v>
      </c>
      <c r="R7" s="202" t="str">
        <f>VLOOKUP($B7,[1]Data!$D$2:$X$20000,20,0)</f>
        <v>10,000.000</v>
      </c>
    </row>
    <row r="8" spans="1:19" x14ac:dyDescent="0.25">
      <c r="A8" s="208">
        <v>3</v>
      </c>
      <c r="B8" s="208">
        <v>10110001388</v>
      </c>
      <c r="C8" s="209" t="s">
        <v>44</v>
      </c>
      <c r="D8" s="209" t="s">
        <v>59</v>
      </c>
      <c r="E8" s="209" t="s">
        <v>60</v>
      </c>
      <c r="F8" s="208">
        <v>1</v>
      </c>
      <c r="G8" s="209" t="s">
        <v>177</v>
      </c>
      <c r="H8" s="209" t="s">
        <v>42</v>
      </c>
      <c r="I8" s="209"/>
      <c r="J8" s="202">
        <f>VLOOKUP($B8,[1]Data!$D$2:$X$20000,18,0)</f>
        <v>5.4999999999999997E-3</v>
      </c>
      <c r="K8" s="202" t="str">
        <f>VLOOKUP($B8,[1]Data!$D$2:$X$20000,19,0)</f>
        <v>CNY</v>
      </c>
      <c r="L8" s="202" t="str">
        <f>VLOOKUP($B8,[1]Data!$D$2:$X$20000,8,0)</f>
        <v>深圳市天河星供应链有限公司</v>
      </c>
      <c r="M8" s="202">
        <f t="shared" si="0"/>
        <v>5.4999999999999997E-3</v>
      </c>
      <c r="P8" s="202" t="str">
        <f>VLOOKUP($B8,[1]Data!$D$2:$X$20000,16,0)</f>
        <v>56</v>
      </c>
      <c r="Q8" s="202" t="str">
        <f>VLOOKUP($B8,[1]Data!$D$2:$X$20000,21,0)</f>
        <v>4,000.000</v>
      </c>
      <c r="R8" s="202" t="str">
        <f>VLOOKUP($B8,[1]Data!$D$2:$X$20000,20,0)</f>
        <v>4,000.000</v>
      </c>
    </row>
    <row r="9" spans="1:19" x14ac:dyDescent="0.25">
      <c r="A9" s="208"/>
      <c r="B9" s="208">
        <v>10110001391</v>
      </c>
      <c r="C9" s="209" t="s">
        <v>44</v>
      </c>
      <c r="D9" s="209" t="s">
        <v>65</v>
      </c>
      <c r="E9" s="209" t="s">
        <v>46</v>
      </c>
      <c r="F9" s="208">
        <v>1</v>
      </c>
      <c r="G9" s="209" t="s">
        <v>177</v>
      </c>
      <c r="H9" s="209" t="s">
        <v>42</v>
      </c>
      <c r="I9" s="209"/>
      <c r="J9" s="202">
        <f>VLOOKUP($B9,[1]Data!$D$2:$X$20000,18,0)</f>
        <v>6.1000000000000004E-3</v>
      </c>
      <c r="K9" s="202" t="str">
        <f>VLOOKUP($B9,[1]Data!$D$2:$X$20000,19,0)</f>
        <v>CNY</v>
      </c>
      <c r="L9" s="202" t="str">
        <f>VLOOKUP($B9,[1]Data!$D$2:$X$20000,8,0)</f>
        <v>广东顺德集财电子有限公司</v>
      </c>
      <c r="M9" s="202">
        <f t="shared" si="0"/>
        <v>6.1000000000000004E-3</v>
      </c>
      <c r="P9" s="202" t="str">
        <f>VLOOKUP($B9,[1]Data!$D$2:$X$20000,16,0)</f>
        <v>56</v>
      </c>
      <c r="Q9" s="202" t="str">
        <f>VLOOKUP($B9,[1]Data!$D$2:$X$20000,21,0)</f>
        <v>4,000.000</v>
      </c>
      <c r="R9" s="202" t="str">
        <f>VLOOKUP($B9,[1]Data!$D$2:$X$20000,20,0)</f>
        <v>4,000.000</v>
      </c>
    </row>
    <row r="10" spans="1:19" x14ac:dyDescent="0.25">
      <c r="A10" s="208"/>
      <c r="B10" s="208">
        <v>10110003944</v>
      </c>
      <c r="C10" s="209" t="s">
        <v>44</v>
      </c>
      <c r="D10" s="209" t="s">
        <v>66</v>
      </c>
      <c r="E10" s="209" t="s">
        <v>67</v>
      </c>
      <c r="F10" s="208">
        <v>1</v>
      </c>
      <c r="G10" s="209" t="s">
        <v>177</v>
      </c>
      <c r="H10" s="209" t="s">
        <v>42</v>
      </c>
      <c r="I10" s="209"/>
      <c r="J10" s="202">
        <f>VLOOKUP($B10,[1]Data!$D$2:$X$20000,18,0)</f>
        <v>5.4299999999999999E-3</v>
      </c>
      <c r="K10" s="202" t="str">
        <f>VLOOKUP($B10,[1]Data!$D$2:$X$20000,19,0)</f>
        <v>CNY</v>
      </c>
      <c r="L10" s="202" t="str">
        <f>VLOOKUP($B10,[1]Data!$D$2:$X$20000,8,0)</f>
        <v>东莞华科电子有限公司</v>
      </c>
      <c r="M10" s="202">
        <f t="shared" si="0"/>
        <v>5.4299999999999999E-3</v>
      </c>
      <c r="P10" s="202" t="str">
        <f>VLOOKUP($B10,[1]Data!$D$2:$X$20000,16,0)</f>
        <v>56</v>
      </c>
      <c r="Q10" s="202" t="str">
        <f>VLOOKUP($B10,[1]Data!$D$2:$X$20000,21,0)</f>
        <v>4,000.000</v>
      </c>
      <c r="R10" s="202" t="str">
        <f>VLOOKUP($B10,[1]Data!$D$2:$X$20000,20,0)</f>
        <v>4,000.000</v>
      </c>
    </row>
    <row r="11" spans="1:19" x14ac:dyDescent="0.25">
      <c r="A11" s="208"/>
      <c r="B11" s="208">
        <v>10110011283</v>
      </c>
      <c r="C11" s="209" t="s">
        <v>44</v>
      </c>
      <c r="D11" s="209" t="s">
        <v>69</v>
      </c>
      <c r="E11" s="209" t="s">
        <v>57</v>
      </c>
      <c r="F11" s="208">
        <v>1</v>
      </c>
      <c r="G11" s="209" t="s">
        <v>177</v>
      </c>
      <c r="H11" s="209" t="s">
        <v>42</v>
      </c>
      <c r="I11" s="209"/>
      <c r="J11" s="202">
        <f>VLOOKUP($B11,[1]Data!$D$2:$X$20000,18,0)</f>
        <v>5.1500000000000001E-3</v>
      </c>
      <c r="K11" s="202" t="str">
        <f>VLOOKUP($B11,[1]Data!$D$2:$X$20000,19,0)</f>
        <v>CNY</v>
      </c>
      <c r="L11" s="202" t="str">
        <f>VLOOKUP($B11,[1]Data!$D$2:$X$20000,8,0)</f>
        <v>潮州三环（集团）股份有限公司</v>
      </c>
      <c r="M11" s="202">
        <f t="shared" si="0"/>
        <v>5.1500000000000001E-3</v>
      </c>
      <c r="P11" s="202" t="str">
        <f>VLOOKUP($B11,[1]Data!$D$2:$X$20000,16,0)</f>
        <v>56</v>
      </c>
      <c r="Q11" s="202" t="str">
        <f>VLOOKUP($B11,[1]Data!$D$2:$X$20000,21,0)</f>
        <v>4,000.000</v>
      </c>
      <c r="R11" s="202" t="str">
        <f>VLOOKUP($B11,[1]Data!$D$2:$X$20000,20,0)</f>
        <v>4,000.000</v>
      </c>
    </row>
    <row r="12" spans="1:19" x14ac:dyDescent="0.25">
      <c r="A12" s="208"/>
      <c r="B12" s="208">
        <v>10110012151</v>
      </c>
      <c r="C12" s="209" t="s">
        <v>44</v>
      </c>
      <c r="D12" s="209" t="s">
        <v>69</v>
      </c>
      <c r="E12" s="209" t="s">
        <v>57</v>
      </c>
      <c r="F12" s="208">
        <v>1</v>
      </c>
      <c r="G12" s="209" t="s">
        <v>177</v>
      </c>
      <c r="H12" s="209" t="s">
        <v>42</v>
      </c>
      <c r="I12" s="209"/>
      <c r="J12" s="202">
        <f>VLOOKUP($B12,[1]Data!$D$2:$X$20000,18,0)</f>
        <v>5.1500000000000001E-3</v>
      </c>
      <c r="K12" s="202" t="str">
        <f>VLOOKUP($B12,[1]Data!$D$2:$X$20000,19,0)</f>
        <v>CNY</v>
      </c>
      <c r="L12" s="202" t="str">
        <f>VLOOKUP($B12,[1]Data!$D$2:$X$20000,8,0)</f>
        <v>潮州三环（集团）股份有限公司</v>
      </c>
      <c r="M12" s="202">
        <f t="shared" si="0"/>
        <v>5.1500000000000001E-3</v>
      </c>
      <c r="N12" s="202">
        <f t="shared" ref="N12:N18" si="1">M12*F12</f>
        <v>5.1500000000000001E-3</v>
      </c>
      <c r="P12" s="202" t="str">
        <f>VLOOKUP($B12,[1]Data!$D$2:$X$20000,16,0)</f>
        <v>56</v>
      </c>
      <c r="Q12" s="202" t="str">
        <f>VLOOKUP($B12,[1]Data!$D$2:$X$20000,21,0)</f>
        <v>4,000.000</v>
      </c>
      <c r="R12" s="202" t="str">
        <f>VLOOKUP($B12,[1]Data!$D$2:$X$20000,20,0)</f>
        <v>4,000.000</v>
      </c>
    </row>
    <row r="13" spans="1:19" x14ac:dyDescent="0.25">
      <c r="A13" s="208">
        <v>4</v>
      </c>
      <c r="B13" s="208">
        <v>10110007154</v>
      </c>
      <c r="C13" s="209" t="s">
        <v>44</v>
      </c>
      <c r="D13" s="209" t="s">
        <v>71</v>
      </c>
      <c r="E13" s="209" t="s">
        <v>46</v>
      </c>
      <c r="F13" s="208">
        <v>1</v>
      </c>
      <c r="G13" s="209" t="s">
        <v>72</v>
      </c>
      <c r="H13" s="209" t="s">
        <v>42</v>
      </c>
      <c r="I13" s="209"/>
      <c r="J13" s="202" t="e">
        <f>VLOOKUP($B13,[1]Data!$D$2:$X$20000,18,0)</f>
        <v>#N/A</v>
      </c>
      <c r="K13" s="202" t="e">
        <f>VLOOKUP($B13,[1]Data!$D$2:$X$20000,19,0)</f>
        <v>#N/A</v>
      </c>
      <c r="L13" s="202" t="e">
        <f>VLOOKUP($B13,[1]Data!$D$2:$X$20000,8,0)</f>
        <v>#N/A</v>
      </c>
      <c r="M13" s="217">
        <v>0.23599999999999999</v>
      </c>
      <c r="N13" s="217">
        <f t="shared" si="1"/>
        <v>0.23599999999999999</v>
      </c>
      <c r="O13" s="114" t="s">
        <v>73</v>
      </c>
      <c r="P13" s="202" t="e">
        <f>VLOOKUP($B13,[1]Data!$D$2:$X$20000,16,0)</f>
        <v>#N/A</v>
      </c>
      <c r="Q13" s="202" t="e">
        <f>VLOOKUP($B13,[1]Data!$D$2:$X$20000,21,0)</f>
        <v>#N/A</v>
      </c>
      <c r="R13" s="202" t="e">
        <f>VLOOKUP($B13,[1]Data!$D$2:$X$20000,20,0)</f>
        <v>#N/A</v>
      </c>
    </row>
    <row r="14" spans="1:19" x14ac:dyDescent="0.25">
      <c r="A14" s="208"/>
      <c r="B14" s="208" t="s">
        <v>38</v>
      </c>
      <c r="C14" s="209" t="s">
        <v>44</v>
      </c>
      <c r="D14" s="209" t="s">
        <v>178</v>
      </c>
      <c r="E14" s="209" t="s">
        <v>179</v>
      </c>
      <c r="F14" s="208">
        <v>1</v>
      </c>
      <c r="G14" s="209" t="s">
        <v>72</v>
      </c>
      <c r="H14" s="209" t="s">
        <v>42</v>
      </c>
      <c r="I14" s="209"/>
      <c r="J14" s="202" t="e">
        <f>VLOOKUP($B14,[1]Data!$D$2:$X$20000,18,0)</f>
        <v>#N/A</v>
      </c>
      <c r="K14" s="202" t="e">
        <f>VLOOKUP($B14,[1]Data!$D$2:$X$20000,19,0)</f>
        <v>#N/A</v>
      </c>
      <c r="L14" s="202" t="e">
        <f>VLOOKUP($B14,[1]Data!$D$2:$X$20000,8,0)</f>
        <v>#N/A</v>
      </c>
      <c r="M14" s="217"/>
      <c r="N14" s="217"/>
      <c r="O14" s="114" t="s">
        <v>75</v>
      </c>
      <c r="P14" s="202" t="e">
        <f>VLOOKUP($B14,[1]Data!$D$2:$X$20000,16,0)</f>
        <v>#N/A</v>
      </c>
      <c r="Q14" s="202" t="e">
        <f>VLOOKUP($B14,[1]Data!$D$2:$X$20000,21,0)</f>
        <v>#N/A</v>
      </c>
      <c r="R14" s="202" t="e">
        <f>VLOOKUP($B14,[1]Data!$D$2:$X$20000,20,0)</f>
        <v>#N/A</v>
      </c>
    </row>
    <row r="15" spans="1:19" s="203" customFormat="1" x14ac:dyDescent="0.25">
      <c r="A15" s="211">
        <v>5</v>
      </c>
      <c r="B15" s="211">
        <v>10160007699</v>
      </c>
      <c r="C15" s="212" t="s">
        <v>89</v>
      </c>
      <c r="D15" s="212" t="s">
        <v>90</v>
      </c>
      <c r="E15" s="212" t="s">
        <v>91</v>
      </c>
      <c r="F15" s="211">
        <v>14</v>
      </c>
      <c r="G15" s="212" t="s">
        <v>180</v>
      </c>
      <c r="H15" s="209" t="s">
        <v>42</v>
      </c>
      <c r="I15" s="218" t="s">
        <v>93</v>
      </c>
      <c r="J15" s="202">
        <f>VLOOKUP($B15,[1]Data!$D$2:$X$20000,18,0)</f>
        <v>4.2999999999999997E-2</v>
      </c>
      <c r="K15" s="202" t="str">
        <f>VLOOKUP($B15,[1]Data!$D$2:$X$20000,19,0)</f>
        <v>CNY</v>
      </c>
      <c r="L15" s="202" t="str">
        <f>VLOOKUP($B15,[1]Data!$D$2:$X$20000,8,0)</f>
        <v>肇庆市立得电子有限公司</v>
      </c>
      <c r="M15" s="202">
        <f t="shared" ref="M15:M19" si="2">J15</f>
        <v>4.2999999999999997E-2</v>
      </c>
      <c r="N15" s="202"/>
      <c r="O15" s="202"/>
      <c r="P15" s="202" t="str">
        <f>VLOOKUP($B15,[1]Data!$D$2:$X$20000,16,0)</f>
        <v>30</v>
      </c>
      <c r="Q15" s="202" t="str">
        <f>VLOOKUP($B15,[1]Data!$D$2:$X$20000,21,0)</f>
        <v>4,000.000</v>
      </c>
      <c r="R15" s="202" t="str">
        <f>VLOOKUP($B15,[1]Data!$D$2:$X$20000,20,0)</f>
        <v>20,000.000</v>
      </c>
    </row>
    <row r="16" spans="1:19" s="203" customFormat="1" x14ac:dyDescent="0.25">
      <c r="A16" s="211"/>
      <c r="B16" s="211">
        <v>10160007809</v>
      </c>
      <c r="C16" s="212" t="s">
        <v>97</v>
      </c>
      <c r="D16" s="212" t="s">
        <v>98</v>
      </c>
      <c r="E16" s="212" t="s">
        <v>99</v>
      </c>
      <c r="F16" s="211">
        <v>14</v>
      </c>
      <c r="G16" s="212" t="s">
        <v>180</v>
      </c>
      <c r="H16" s="209" t="s">
        <v>42</v>
      </c>
      <c r="I16" s="218" t="s">
        <v>100</v>
      </c>
      <c r="J16" s="202">
        <f>VLOOKUP($B16,[1]Data!$D$2:$X$20000,18,0)</f>
        <v>2.5999999999999999E-2</v>
      </c>
      <c r="K16" s="202" t="str">
        <f>VLOOKUP($B16,[1]Data!$D$2:$X$20000,19,0)</f>
        <v>CNY</v>
      </c>
      <c r="L16" s="202" t="str">
        <f>VLOOKUP($B16,[1]Data!$D$2:$X$20000,8,0)</f>
        <v>广东长利光电科技有限公司</v>
      </c>
      <c r="M16" s="202">
        <f t="shared" si="2"/>
        <v>2.5999999999999999E-2</v>
      </c>
      <c r="N16" s="202">
        <f t="shared" si="1"/>
        <v>0.36399999999999999</v>
      </c>
      <c r="O16" s="202"/>
      <c r="P16" s="202" t="str">
        <f>VLOOKUP($B16,[1]Data!$D$2:$X$20000,16,0)</f>
        <v>28</v>
      </c>
      <c r="Q16" s="202" t="str">
        <f>VLOOKUP($B16,[1]Data!$D$2:$X$20000,21,0)</f>
        <v>4,000.000</v>
      </c>
      <c r="R16" s="202" t="str">
        <f>VLOOKUP($B16,[1]Data!$D$2:$X$20000,20,0)</f>
        <v>4,000.000</v>
      </c>
    </row>
    <row r="17" spans="1:18" s="203" customFormat="1" x14ac:dyDescent="0.25">
      <c r="A17" s="211">
        <v>6</v>
      </c>
      <c r="B17" s="211" t="s">
        <v>38</v>
      </c>
      <c r="C17" s="212" t="s">
        <v>103</v>
      </c>
      <c r="D17" s="212" t="s">
        <v>181</v>
      </c>
      <c r="E17" s="213" t="s">
        <v>105</v>
      </c>
      <c r="F17" s="211">
        <v>1</v>
      </c>
      <c r="G17" s="212" t="s">
        <v>182</v>
      </c>
      <c r="H17" s="212"/>
      <c r="I17" s="212"/>
      <c r="J17" s="202" t="e">
        <f>VLOOKUP($B17,[1]Data!$D$2:$X$20000,18,0)</f>
        <v>#N/A</v>
      </c>
      <c r="K17" s="202" t="e">
        <f>VLOOKUP($B17,[1]Data!$D$2:$X$20000,19,0)</f>
        <v>#N/A</v>
      </c>
      <c r="L17" s="202" t="e">
        <f>VLOOKUP($B17,[1]Data!$D$2:$X$20000,8,0)</f>
        <v>#N/A</v>
      </c>
      <c r="M17" s="219">
        <v>3.5000000000000003E-2</v>
      </c>
      <c r="N17" s="202">
        <f t="shared" si="1"/>
        <v>3.5000000000000003E-2</v>
      </c>
      <c r="O17" s="219"/>
      <c r="P17" s="202" t="e">
        <f>VLOOKUP($B17,[1]Data!$D$2:$X$20000,16,0)</f>
        <v>#N/A</v>
      </c>
      <c r="Q17" s="202" t="e">
        <f>VLOOKUP($B17,[1]Data!$D$2:$X$20000,21,0)</f>
        <v>#N/A</v>
      </c>
      <c r="R17" s="202" t="e">
        <f>VLOOKUP($B17,[1]Data!$D$2:$X$20000,20,0)</f>
        <v>#N/A</v>
      </c>
    </row>
    <row r="18" spans="1:18" s="203" customFormat="1" x14ac:dyDescent="0.25">
      <c r="A18" s="211"/>
      <c r="B18" s="211">
        <v>10160007865</v>
      </c>
      <c r="C18" s="212" t="s">
        <v>97</v>
      </c>
      <c r="D18" s="212" t="s">
        <v>107</v>
      </c>
      <c r="E18" s="213" t="s">
        <v>99</v>
      </c>
      <c r="F18" s="211">
        <v>3</v>
      </c>
      <c r="G18" s="212" t="s">
        <v>108</v>
      </c>
      <c r="H18" s="212" t="s">
        <v>42</v>
      </c>
      <c r="I18" s="216" t="s">
        <v>93</v>
      </c>
      <c r="J18" s="202">
        <f>VLOOKUP($B18,[1]Data!$D$2:$X$20000,18,0)</f>
        <v>2.75E-2</v>
      </c>
      <c r="K18" s="202" t="str">
        <f>VLOOKUP($B18,[1]Data!$D$2:$X$20000,19,0)</f>
        <v>CNY</v>
      </c>
      <c r="L18" s="202" t="str">
        <f>VLOOKUP($B18,[1]Data!$D$2:$X$20000,8,0)</f>
        <v>广东长利光电科技有限公司</v>
      </c>
      <c r="M18" s="202">
        <f t="shared" si="2"/>
        <v>2.75E-2</v>
      </c>
      <c r="N18" s="202">
        <f t="shared" si="1"/>
        <v>8.2500000000000004E-2</v>
      </c>
      <c r="O18" s="202"/>
      <c r="P18" s="202" t="str">
        <f>VLOOKUP($B18,[1]Data!$D$2:$X$20000,16,0)</f>
        <v>10</v>
      </c>
      <c r="Q18" s="202" t="str">
        <f>VLOOKUP($B18,[1]Data!$D$2:$X$20000,21,0)</f>
        <v>4,000.000</v>
      </c>
      <c r="R18" s="202" t="str">
        <f>VLOOKUP($B18,[1]Data!$D$2:$X$20000,20,0)</f>
        <v>4,000.000</v>
      </c>
    </row>
    <row r="19" spans="1:18" s="203" customFormat="1" x14ac:dyDescent="0.25">
      <c r="A19" s="211"/>
      <c r="B19" s="211">
        <v>10160006989</v>
      </c>
      <c r="C19" s="212" t="s">
        <v>97</v>
      </c>
      <c r="D19" s="212" t="s">
        <v>110</v>
      </c>
      <c r="E19" s="213" t="s">
        <v>111</v>
      </c>
      <c r="F19" s="211">
        <v>3</v>
      </c>
      <c r="G19" s="212" t="s">
        <v>108</v>
      </c>
      <c r="H19" s="212" t="s">
        <v>42</v>
      </c>
      <c r="I19" s="216" t="s">
        <v>100</v>
      </c>
      <c r="J19" s="202">
        <f>VLOOKUP($B19,[1]Data!$D$2:$X$20000,18,0)</f>
        <v>4.8399999999999999E-2</v>
      </c>
      <c r="K19" s="202" t="str">
        <f>VLOOKUP($B19,[1]Data!$D$2:$X$20000,19,0)</f>
        <v>CNY</v>
      </c>
      <c r="L19" s="202" t="str">
        <f>VLOOKUP($B19,[1]Data!$D$2:$X$20000,8,0)</f>
        <v>浙江瑞丰光电有限公司</v>
      </c>
      <c r="M19" s="202">
        <f t="shared" si="2"/>
        <v>4.8399999999999999E-2</v>
      </c>
      <c r="N19" s="202"/>
      <c r="O19" s="202"/>
      <c r="P19" s="202" t="str">
        <f>VLOOKUP($B19,[1]Data!$D$2:$X$20000,16,0)</f>
        <v>28</v>
      </c>
      <c r="Q19" s="202" t="str">
        <f>VLOOKUP($B19,[1]Data!$D$2:$X$20000,21,0)</f>
        <v>4,000.000</v>
      </c>
      <c r="R19" s="202" t="str">
        <f>VLOOKUP($B19,[1]Data!$D$2:$X$20000,20,0)</f>
        <v>60,000.000</v>
      </c>
    </row>
    <row r="20" spans="1:18" x14ac:dyDescent="0.25">
      <c r="A20" s="208">
        <v>7</v>
      </c>
      <c r="B20" s="208">
        <v>1015</v>
      </c>
      <c r="C20" s="209" t="s">
        <v>114</v>
      </c>
      <c r="D20" s="209" t="s">
        <v>115</v>
      </c>
      <c r="E20" s="209" t="s">
        <v>116</v>
      </c>
      <c r="F20" s="208">
        <v>1</v>
      </c>
      <c r="G20" s="209" t="s">
        <v>183</v>
      </c>
      <c r="H20" s="212" t="s">
        <v>118</v>
      </c>
      <c r="I20" s="209"/>
      <c r="J20" s="202" t="e">
        <f>VLOOKUP($B20,[1]Data!$D$2:$X$20000,18,0)</f>
        <v>#N/A</v>
      </c>
      <c r="K20" s="202" t="e">
        <f>VLOOKUP($B20,[1]Data!$D$2:$X$20000,19,0)</f>
        <v>#N/A</v>
      </c>
      <c r="L20" s="202" t="e">
        <f>VLOOKUP($B20,[1]Data!$D$2:$X$20000,8,0)</f>
        <v>#N/A</v>
      </c>
      <c r="M20" s="202">
        <v>0.2</v>
      </c>
      <c r="N20" s="202">
        <f t="shared" ref="N20:N25" si="3">M20*F20</f>
        <v>0.2</v>
      </c>
      <c r="P20" s="202" t="e">
        <f>VLOOKUP($B20,[1]Data!$D$2:$X$20000,16,0)</f>
        <v>#N/A</v>
      </c>
      <c r="Q20" s="202" t="e">
        <f>VLOOKUP($B20,[1]Data!$D$2:$X$20000,21,0)</f>
        <v>#N/A</v>
      </c>
      <c r="R20" s="202" t="e">
        <f>VLOOKUP($B20,[1]Data!$D$2:$X$20000,20,0)</f>
        <v>#N/A</v>
      </c>
    </row>
    <row r="21" spans="1:18" x14ac:dyDescent="0.25">
      <c r="A21" s="208">
        <v>8</v>
      </c>
      <c r="B21" s="208">
        <v>10100011726</v>
      </c>
      <c r="C21" s="209" t="s">
        <v>119</v>
      </c>
      <c r="D21" s="209" t="s">
        <v>145</v>
      </c>
      <c r="E21" s="209" t="s">
        <v>46</v>
      </c>
      <c r="F21" s="208">
        <v>2</v>
      </c>
      <c r="G21" s="209" t="s">
        <v>184</v>
      </c>
      <c r="H21" s="209" t="s">
        <v>42</v>
      </c>
      <c r="I21" s="209"/>
      <c r="J21" s="202">
        <f>VLOOKUP($B21,[1]Data!$D$2:$X$20000,18,0)</f>
        <v>1.39E-3</v>
      </c>
      <c r="K21" s="202" t="str">
        <f>VLOOKUP($B21,[1]Data!$D$2:$X$20000,19,0)</f>
        <v>CNY</v>
      </c>
      <c r="L21" s="202" t="str">
        <f>VLOOKUP($B21,[1]Data!$D$2:$X$20000,8,0)</f>
        <v>深圳市欧尔法电子有限公司</v>
      </c>
      <c r="M21" s="202">
        <f t="shared" ref="M21:M26" si="4">J21</f>
        <v>1.39E-3</v>
      </c>
      <c r="P21" s="202" t="str">
        <f>VLOOKUP($B21,[1]Data!$D$2:$X$20000,16,0)</f>
        <v>56</v>
      </c>
      <c r="Q21" s="202" t="str">
        <f>VLOOKUP($B21,[1]Data!$D$2:$X$20000,21,0)</f>
        <v>10,000.000</v>
      </c>
      <c r="R21" s="202" t="str">
        <f>VLOOKUP($B21,[1]Data!$D$2:$X$20000,20,0)</f>
        <v>10,000.000</v>
      </c>
    </row>
    <row r="22" spans="1:18" x14ac:dyDescent="0.25">
      <c r="A22" s="208"/>
      <c r="B22" s="208">
        <v>10100011993</v>
      </c>
      <c r="C22" s="209" t="s">
        <v>119</v>
      </c>
      <c r="D22" s="209" t="s">
        <v>148</v>
      </c>
      <c r="E22" s="209" t="s">
        <v>60</v>
      </c>
      <c r="F22" s="208">
        <v>2</v>
      </c>
      <c r="G22" s="209" t="s">
        <v>184</v>
      </c>
      <c r="H22" s="209" t="s">
        <v>42</v>
      </c>
      <c r="I22" s="209"/>
      <c r="J22" s="202">
        <f>VLOOKUP($B22,[1]Data!$D$2:$X$20000,18,0)</f>
        <v>1.1000000000000001E-3</v>
      </c>
      <c r="K22" s="202" t="str">
        <f>VLOOKUP($B22,[1]Data!$D$2:$X$20000,19,0)</f>
        <v>CNY</v>
      </c>
      <c r="L22" s="202" t="str">
        <f>VLOOKUP($B22,[1]Data!$D$2:$X$20000,8,0)</f>
        <v>广东风华高新科技股份有限公司</v>
      </c>
      <c r="M22" s="202">
        <f t="shared" si="4"/>
        <v>1.1000000000000001E-3</v>
      </c>
      <c r="P22" s="202" t="str">
        <f>VLOOKUP($B22,[1]Data!$D$2:$X$20000,16,0)</f>
        <v>42</v>
      </c>
      <c r="Q22" s="202" t="str">
        <f>VLOOKUP($B22,[1]Data!$D$2:$X$20000,21,0)</f>
        <v>10,000.000</v>
      </c>
      <c r="R22" s="202" t="str">
        <f>VLOOKUP($B22,[1]Data!$D$2:$X$20000,20,0)</f>
        <v>10,000.000</v>
      </c>
    </row>
    <row r="23" spans="1:18" x14ac:dyDescent="0.25">
      <c r="A23" s="208"/>
      <c r="B23" s="208">
        <v>10100017738</v>
      </c>
      <c r="C23" s="209" t="s">
        <v>119</v>
      </c>
      <c r="D23" s="209" t="s">
        <v>149</v>
      </c>
      <c r="E23" s="209" t="s">
        <v>133</v>
      </c>
      <c r="F23" s="208">
        <v>2</v>
      </c>
      <c r="G23" s="209" t="s">
        <v>184</v>
      </c>
      <c r="H23" s="209" t="s">
        <v>42</v>
      </c>
      <c r="I23" s="209"/>
      <c r="J23" s="202">
        <f>VLOOKUP($B23,[1]Data!$D$2:$X$20000,18,0)</f>
        <v>9.7999999999999997E-4</v>
      </c>
      <c r="K23" s="202" t="str">
        <f>VLOOKUP($B23,[1]Data!$D$2:$X$20000,19,0)</f>
        <v>CNY</v>
      </c>
      <c r="L23" s="202" t="str">
        <f>VLOOKUP($B23,[1]Data!$D$2:$X$20000,8,0)</f>
        <v>恒辉电阻（益阳）有限公司</v>
      </c>
      <c r="M23" s="202">
        <f t="shared" si="4"/>
        <v>9.7999999999999997E-4</v>
      </c>
      <c r="N23" s="202">
        <f t="shared" si="3"/>
        <v>1.9599999999999999E-3</v>
      </c>
      <c r="P23" s="202" t="str">
        <f>VLOOKUP($B23,[1]Data!$D$2:$X$20000,16,0)</f>
        <v>42</v>
      </c>
      <c r="Q23" s="202" t="str">
        <f>VLOOKUP($B23,[1]Data!$D$2:$X$20000,21,0)</f>
        <v>10,000.000</v>
      </c>
      <c r="R23" s="202" t="str">
        <f>VLOOKUP($B23,[1]Data!$D$2:$X$20000,20,0)</f>
        <v>10,000.000</v>
      </c>
    </row>
    <row r="24" spans="1:18" x14ac:dyDescent="0.25">
      <c r="A24" s="208"/>
      <c r="B24" s="208">
        <v>10100018717</v>
      </c>
      <c r="C24" s="209" t="s">
        <v>119</v>
      </c>
      <c r="D24" s="209" t="s">
        <v>185</v>
      </c>
      <c r="E24" s="209" t="s">
        <v>136</v>
      </c>
      <c r="F24" s="208">
        <v>2</v>
      </c>
      <c r="G24" s="209" t="s">
        <v>184</v>
      </c>
      <c r="H24" s="209" t="s">
        <v>42</v>
      </c>
      <c r="I24" s="209"/>
      <c r="J24" s="202">
        <f>VLOOKUP($B24,[1]Data!$D$2:$X$20000,18,0)</f>
        <v>1.0499999999999999E-3</v>
      </c>
      <c r="K24" s="202" t="str">
        <f>VLOOKUP($B24,[1]Data!$D$2:$X$20000,19,0)</f>
        <v>CNY</v>
      </c>
      <c r="L24" s="202" t="str">
        <f>VLOOKUP($B24,[1]Data!$D$2:$X$20000,8,0)</f>
        <v>安徽翔胜科技有限公司</v>
      </c>
      <c r="M24" s="202">
        <f t="shared" si="4"/>
        <v>1.0499999999999999E-3</v>
      </c>
      <c r="P24" s="202" t="str">
        <f>VLOOKUP($B24,[1]Data!$D$2:$X$20000,16,0)</f>
        <v>28</v>
      </c>
      <c r="Q24" s="202" t="str">
        <f>VLOOKUP($B24,[1]Data!$D$2:$X$20000,21,0)</f>
        <v>10,000.000</v>
      </c>
      <c r="R24" s="202" t="str">
        <f>VLOOKUP($B24,[1]Data!$D$2:$X$20000,20,0)</f>
        <v>10,000.000</v>
      </c>
    </row>
    <row r="25" spans="1:18" x14ac:dyDescent="0.25">
      <c r="A25" s="208">
        <v>9</v>
      </c>
      <c r="B25" s="208">
        <v>10100008776</v>
      </c>
      <c r="C25" s="209" t="s">
        <v>119</v>
      </c>
      <c r="D25" s="209" t="s">
        <v>120</v>
      </c>
      <c r="E25" s="209" t="s">
        <v>60</v>
      </c>
      <c r="F25" s="208">
        <v>3</v>
      </c>
      <c r="G25" s="209" t="s">
        <v>186</v>
      </c>
      <c r="H25" s="209" t="s">
        <v>42</v>
      </c>
      <c r="I25" s="209"/>
      <c r="J25" s="202">
        <f>VLOOKUP($B25,[1]Data!$D$2:$X$20000,18,0)</f>
        <v>2.0799999999999998E-3</v>
      </c>
      <c r="K25" s="202" t="str">
        <f>VLOOKUP($B25,[1]Data!$D$2:$X$20000,19,0)</f>
        <v>CNY</v>
      </c>
      <c r="L25" s="202" t="str">
        <f>VLOOKUP($B25,[1]Data!$D$2:$X$20000,8,0)</f>
        <v>广东风华高新科技股份有限公司</v>
      </c>
      <c r="M25" s="202">
        <f t="shared" si="4"/>
        <v>2.0799999999999998E-3</v>
      </c>
      <c r="N25" s="202">
        <f t="shared" si="3"/>
        <v>6.2399999999999999E-3</v>
      </c>
      <c r="P25" s="202" t="str">
        <f>VLOOKUP($B25,[1]Data!$D$2:$X$20000,16,0)</f>
        <v>42</v>
      </c>
      <c r="Q25" s="202" t="str">
        <f>VLOOKUP($B25,[1]Data!$D$2:$X$20000,21,0)</f>
        <v>5,000.000</v>
      </c>
      <c r="R25" s="202" t="str">
        <f>VLOOKUP($B25,[1]Data!$D$2:$X$20000,20,0)</f>
        <v>5,000.000</v>
      </c>
    </row>
    <row r="26" spans="1:18" x14ac:dyDescent="0.25">
      <c r="A26" s="208"/>
      <c r="B26" s="208">
        <v>10100024100</v>
      </c>
      <c r="C26" s="209" t="s">
        <v>119</v>
      </c>
      <c r="D26" s="209" t="s">
        <v>120</v>
      </c>
      <c r="E26" s="209" t="s">
        <v>60</v>
      </c>
      <c r="F26" s="208">
        <v>3</v>
      </c>
      <c r="G26" s="209" t="s">
        <v>186</v>
      </c>
      <c r="H26" s="209" t="s">
        <v>42</v>
      </c>
      <c r="I26" s="209"/>
      <c r="J26" s="202">
        <f>VLOOKUP($B26,[1]Data!$D$2:$X$20000,18,0)</f>
        <v>2.0799999999999998E-3</v>
      </c>
      <c r="K26" s="202" t="str">
        <f>VLOOKUP($B26,[1]Data!$D$2:$X$20000,19,0)</f>
        <v>CNY</v>
      </c>
      <c r="L26" s="202" t="str">
        <f>VLOOKUP($B26,[1]Data!$D$2:$X$20000,8,0)</f>
        <v>广东风华高新科技股份有限公司</v>
      </c>
      <c r="M26" s="202">
        <f t="shared" si="4"/>
        <v>2.0799999999999998E-3</v>
      </c>
      <c r="P26" s="202" t="str">
        <f>VLOOKUP($B26,[1]Data!$D$2:$X$20000,16,0)</f>
        <v>42</v>
      </c>
      <c r="Q26" s="202" t="str">
        <f>VLOOKUP($B26,[1]Data!$D$2:$X$20000,21,0)</f>
        <v>5,000.000</v>
      </c>
      <c r="R26" s="202" t="str">
        <f>VLOOKUP($B26,[1]Data!$D$2:$X$20000,20,0)</f>
        <v>5,000.000</v>
      </c>
    </row>
    <row r="27" spans="1:18" x14ac:dyDescent="0.25">
      <c r="A27" s="208"/>
      <c r="B27" s="208" t="s">
        <v>38</v>
      </c>
      <c r="C27" s="209" t="s">
        <v>119</v>
      </c>
      <c r="D27" s="209" t="s">
        <v>123</v>
      </c>
      <c r="E27" s="209" t="s">
        <v>124</v>
      </c>
      <c r="F27" s="208">
        <v>3</v>
      </c>
      <c r="G27" s="209" t="s">
        <v>186</v>
      </c>
      <c r="H27" s="209" t="s">
        <v>42</v>
      </c>
      <c r="I27" s="209"/>
      <c r="J27" s="202" t="e">
        <f>VLOOKUP($B27,[1]Data!$D$2:$X$20000,18,0)</f>
        <v>#N/A</v>
      </c>
      <c r="K27" s="202" t="e">
        <f>VLOOKUP($B27,[1]Data!$D$2:$X$20000,19,0)</f>
        <v>#N/A</v>
      </c>
      <c r="L27" s="202" t="e">
        <f>VLOOKUP($B27,[1]Data!$D$2:$X$20000,8,0)</f>
        <v>#N/A</v>
      </c>
      <c r="M27" s="202">
        <v>2.0999999999999999E-3</v>
      </c>
      <c r="P27" s="202" t="e">
        <f>VLOOKUP($B27,[1]Data!$D$2:$X$20000,16,0)</f>
        <v>#N/A</v>
      </c>
      <c r="Q27" s="202" t="e">
        <f>VLOOKUP($B27,[1]Data!$D$2:$X$20000,21,0)</f>
        <v>#N/A</v>
      </c>
      <c r="R27" s="202" t="e">
        <f>VLOOKUP($B27,[1]Data!$D$2:$X$20000,20,0)</f>
        <v>#N/A</v>
      </c>
    </row>
    <row r="28" spans="1:18" x14ac:dyDescent="0.25">
      <c r="A28" s="208">
        <v>10</v>
      </c>
      <c r="B28" s="208">
        <v>10100007615</v>
      </c>
      <c r="C28" s="209" t="s">
        <v>119</v>
      </c>
      <c r="D28" s="209" t="s">
        <v>138</v>
      </c>
      <c r="E28" s="209" t="s">
        <v>46</v>
      </c>
      <c r="F28" s="208">
        <v>2</v>
      </c>
      <c r="G28" s="209" t="s">
        <v>187</v>
      </c>
      <c r="H28" s="209" t="s">
        <v>42</v>
      </c>
      <c r="I28" s="209"/>
      <c r="J28" s="202">
        <f>VLOOKUP($B28,[1]Data!$D$2:$X$20000,18,0)</f>
        <v>1.4E-3</v>
      </c>
      <c r="K28" s="202" t="str">
        <f>VLOOKUP($B28,[1]Data!$D$2:$X$20000,19,0)</f>
        <v>CNY</v>
      </c>
      <c r="L28" s="202" t="str">
        <f>VLOOKUP($B28,[1]Data!$D$2:$X$20000,8,0)</f>
        <v>深圳市超利维实业有限公司</v>
      </c>
      <c r="M28" s="202">
        <f t="shared" ref="M28:M37" si="5">J28</f>
        <v>1.4E-3</v>
      </c>
      <c r="P28" s="202" t="str">
        <f>VLOOKUP($B28,[1]Data!$D$2:$X$20000,16,0)</f>
        <v>84</v>
      </c>
      <c r="Q28" s="202" t="str">
        <f>VLOOKUP($B28,[1]Data!$D$2:$X$20000,21,0)</f>
        <v>10,000.000</v>
      </c>
      <c r="R28" s="202" t="str">
        <f>VLOOKUP($B28,[1]Data!$D$2:$X$20000,20,0)</f>
        <v>10,000.000</v>
      </c>
    </row>
    <row r="29" spans="1:18" x14ac:dyDescent="0.25">
      <c r="A29" s="208"/>
      <c r="B29" s="208">
        <v>10100008302</v>
      </c>
      <c r="C29" s="209" t="s">
        <v>119</v>
      </c>
      <c r="D29" s="209" t="s">
        <v>140</v>
      </c>
      <c r="E29" s="209" t="s">
        <v>77</v>
      </c>
      <c r="F29" s="208">
        <v>2</v>
      </c>
      <c r="G29" s="209" t="s">
        <v>187</v>
      </c>
      <c r="H29" s="209" t="s">
        <v>42</v>
      </c>
      <c r="I29" s="209"/>
      <c r="J29" s="202">
        <f>VLOOKUP($B29,[1]Data!$D$2:$X$20000,18,0)</f>
        <v>1.17E-3</v>
      </c>
      <c r="K29" s="202" t="str">
        <f>VLOOKUP($B29,[1]Data!$D$2:$X$20000,19,0)</f>
        <v>CNY</v>
      </c>
      <c r="L29" s="202" t="str">
        <f>VLOOKUP($B29,[1]Data!$D$2:$X$20000,8,0)</f>
        <v>东莞华科电子有限公司</v>
      </c>
      <c r="M29" s="202">
        <f t="shared" si="5"/>
        <v>1.17E-3</v>
      </c>
      <c r="P29" s="202" t="str">
        <f>VLOOKUP($B29,[1]Data!$D$2:$X$20000,16,0)</f>
        <v>56</v>
      </c>
      <c r="Q29" s="202" t="str">
        <f>VLOOKUP($B29,[1]Data!$D$2:$X$20000,21,0)</f>
        <v>10,000.000</v>
      </c>
      <c r="R29" s="202" t="str">
        <f>VLOOKUP($B29,[1]Data!$D$2:$X$20000,20,0)</f>
        <v>10,000.000</v>
      </c>
    </row>
    <row r="30" spans="1:18" x14ac:dyDescent="0.25">
      <c r="A30" s="208"/>
      <c r="B30" s="208">
        <v>10100013093</v>
      </c>
      <c r="C30" s="209" t="s">
        <v>119</v>
      </c>
      <c r="D30" s="209" t="s">
        <v>141</v>
      </c>
      <c r="E30" s="209" t="s">
        <v>129</v>
      </c>
      <c r="F30" s="208">
        <v>2</v>
      </c>
      <c r="G30" s="209" t="s">
        <v>187</v>
      </c>
      <c r="H30" s="209" t="s">
        <v>42</v>
      </c>
      <c r="I30" s="209"/>
      <c r="J30" s="202">
        <f>VLOOKUP($B30,[1]Data!$D$2:$X$20000,18,0)</f>
        <v>1.09E-3</v>
      </c>
      <c r="K30" s="202" t="str">
        <f>VLOOKUP($B30,[1]Data!$D$2:$X$20000,19,0)</f>
        <v>CNY</v>
      </c>
      <c r="L30" s="202" t="str">
        <f>VLOOKUP($B30,[1]Data!$D$2:$X$20000,8,0)</f>
        <v>厚声国际贸易（昆山）有限公司深圳分公司</v>
      </c>
      <c r="M30" s="202">
        <f t="shared" si="5"/>
        <v>1.09E-3</v>
      </c>
      <c r="P30" s="202" t="str">
        <f>VLOOKUP($B30,[1]Data!$D$2:$X$20000,16,0)</f>
        <v>42</v>
      </c>
      <c r="Q30" s="202" t="str">
        <f>VLOOKUP($B30,[1]Data!$D$2:$X$20000,21,0)</f>
        <v>10,000.000</v>
      </c>
      <c r="R30" s="202" t="str">
        <f>VLOOKUP($B30,[1]Data!$D$2:$X$20000,20,0)</f>
        <v>10,000.000</v>
      </c>
    </row>
    <row r="31" spans="1:18" x14ac:dyDescent="0.25">
      <c r="A31" s="208"/>
      <c r="B31" s="208">
        <v>10100013936</v>
      </c>
      <c r="C31" s="209" t="s">
        <v>119</v>
      </c>
      <c r="D31" s="209" t="s">
        <v>142</v>
      </c>
      <c r="E31" s="209" t="s">
        <v>60</v>
      </c>
      <c r="F31" s="208">
        <v>2</v>
      </c>
      <c r="G31" s="209" t="s">
        <v>187</v>
      </c>
      <c r="H31" s="209" t="s">
        <v>42</v>
      </c>
      <c r="I31" s="209"/>
      <c r="J31" s="202">
        <f>VLOOKUP($B31,[1]Data!$D$2:$X$20000,18,0)</f>
        <v>1.1000000000000001E-3</v>
      </c>
      <c r="K31" s="202" t="str">
        <f>VLOOKUP($B31,[1]Data!$D$2:$X$20000,19,0)</f>
        <v>CNY</v>
      </c>
      <c r="L31" s="202" t="str">
        <f>VLOOKUP($B31,[1]Data!$D$2:$X$20000,8,0)</f>
        <v>广东风华高新科技股份有限公司</v>
      </c>
      <c r="M31" s="202">
        <f t="shared" si="5"/>
        <v>1.1000000000000001E-3</v>
      </c>
      <c r="P31" s="202" t="str">
        <f>VLOOKUP($B31,[1]Data!$D$2:$X$20000,16,0)</f>
        <v>42</v>
      </c>
      <c r="Q31" s="202" t="str">
        <f>VLOOKUP($B31,[1]Data!$D$2:$X$20000,21,0)</f>
        <v>10,000.000</v>
      </c>
      <c r="R31" s="202" t="str">
        <f>VLOOKUP($B31,[1]Data!$D$2:$X$20000,20,0)</f>
        <v>10,000.000</v>
      </c>
    </row>
    <row r="32" spans="1:18" x14ac:dyDescent="0.25">
      <c r="A32" s="208"/>
      <c r="B32" s="208">
        <v>10100017616</v>
      </c>
      <c r="C32" s="209" t="s">
        <v>119</v>
      </c>
      <c r="D32" s="209" t="s">
        <v>143</v>
      </c>
      <c r="E32" s="209" t="s">
        <v>133</v>
      </c>
      <c r="F32" s="208">
        <v>2</v>
      </c>
      <c r="G32" s="209" t="s">
        <v>187</v>
      </c>
      <c r="H32" s="209" t="s">
        <v>42</v>
      </c>
      <c r="I32" s="209"/>
      <c r="J32" s="202">
        <f>VLOOKUP($B32,[1]Data!$D$2:$X$20000,18,0)</f>
        <v>9.7999999999999997E-4</v>
      </c>
      <c r="K32" s="202" t="str">
        <f>VLOOKUP($B32,[1]Data!$D$2:$X$20000,19,0)</f>
        <v>CNY</v>
      </c>
      <c r="L32" s="202" t="str">
        <f>VLOOKUP($B32,[1]Data!$D$2:$X$20000,8,0)</f>
        <v>恒辉电阻（益阳）有限公司</v>
      </c>
      <c r="M32" s="202">
        <f t="shared" si="5"/>
        <v>9.7999999999999997E-4</v>
      </c>
      <c r="N32" s="202">
        <f>M32*F32</f>
        <v>1.9599999999999999E-3</v>
      </c>
      <c r="P32" s="202" t="str">
        <f>VLOOKUP($B32,[1]Data!$D$2:$X$20000,16,0)</f>
        <v>42</v>
      </c>
      <c r="Q32" s="202" t="str">
        <f>VLOOKUP($B32,[1]Data!$D$2:$X$20000,21,0)</f>
        <v>10,000.000</v>
      </c>
      <c r="R32" s="202" t="str">
        <f>VLOOKUP($B32,[1]Data!$D$2:$X$20000,20,0)</f>
        <v>10,000.000</v>
      </c>
    </row>
    <row r="33" spans="1:18" x14ac:dyDescent="0.25">
      <c r="A33" s="208">
        <v>11</v>
      </c>
      <c r="B33" s="208">
        <v>10100009092</v>
      </c>
      <c r="C33" s="209" t="s">
        <v>119</v>
      </c>
      <c r="D33" s="209" t="s">
        <v>188</v>
      </c>
      <c r="E33" s="209" t="s">
        <v>46</v>
      </c>
      <c r="F33" s="208">
        <v>1</v>
      </c>
      <c r="G33" s="209" t="s">
        <v>189</v>
      </c>
      <c r="H33" s="209" t="s">
        <v>42</v>
      </c>
      <c r="I33" s="209"/>
      <c r="J33" s="202">
        <f>VLOOKUP($B33,[1]Data!$D$2:$X$20000,18,0)</f>
        <v>1.2999999999999999E-3</v>
      </c>
      <c r="K33" s="202" t="str">
        <f>VLOOKUP($B33,[1]Data!$D$2:$X$20000,19,0)</f>
        <v>CNY</v>
      </c>
      <c r="L33" s="202" t="str">
        <f>VLOOKUP($B33,[1]Data!$D$2:$X$20000,8,0)</f>
        <v>深圳市奥特高科电子有限公司</v>
      </c>
      <c r="M33" s="202">
        <f t="shared" si="5"/>
        <v>1.2999999999999999E-3</v>
      </c>
      <c r="P33" s="202" t="str">
        <f>VLOOKUP($B33,[1]Data!$D$2:$X$20000,16,0)</f>
        <v>84</v>
      </c>
      <c r="Q33" s="202" t="str">
        <f>VLOOKUP($B33,[1]Data!$D$2:$X$20000,21,0)</f>
        <v>10,000.000</v>
      </c>
      <c r="R33" s="202" t="str">
        <f>VLOOKUP($B33,[1]Data!$D$2:$X$20000,20,0)</f>
        <v>10,000.000</v>
      </c>
    </row>
    <row r="34" spans="1:18" x14ac:dyDescent="0.25">
      <c r="A34" s="208"/>
      <c r="B34" s="208">
        <v>10100009093</v>
      </c>
      <c r="C34" s="209" t="s">
        <v>119</v>
      </c>
      <c r="D34" s="209" t="s">
        <v>190</v>
      </c>
      <c r="E34" s="209" t="s">
        <v>77</v>
      </c>
      <c r="F34" s="208">
        <v>1</v>
      </c>
      <c r="G34" s="209" t="s">
        <v>189</v>
      </c>
      <c r="H34" s="209" t="s">
        <v>42</v>
      </c>
      <c r="I34" s="209"/>
      <c r="J34" s="202">
        <f>VLOOKUP($B34,[1]Data!$D$2:$X$20000,18,0)</f>
        <v>1.17E-3</v>
      </c>
      <c r="K34" s="202" t="str">
        <f>VLOOKUP($B34,[1]Data!$D$2:$X$20000,19,0)</f>
        <v>CNY</v>
      </c>
      <c r="L34" s="202" t="str">
        <f>VLOOKUP($B34,[1]Data!$D$2:$X$20000,8,0)</f>
        <v>东莞华科电子有限公司</v>
      </c>
      <c r="M34" s="202">
        <f t="shared" si="5"/>
        <v>1.17E-3</v>
      </c>
      <c r="P34" s="202" t="str">
        <f>VLOOKUP($B34,[1]Data!$D$2:$X$20000,16,0)</f>
        <v>56</v>
      </c>
      <c r="Q34" s="202" t="str">
        <f>VLOOKUP($B34,[1]Data!$D$2:$X$20000,21,0)</f>
        <v>10,000.000</v>
      </c>
      <c r="R34" s="202" t="str">
        <f>VLOOKUP($B34,[1]Data!$D$2:$X$20000,20,0)</f>
        <v>10,000.000</v>
      </c>
    </row>
    <row r="35" spans="1:18" x14ac:dyDescent="0.25">
      <c r="A35" s="208"/>
      <c r="B35" s="208">
        <v>10100014735</v>
      </c>
      <c r="C35" s="209" t="s">
        <v>119</v>
      </c>
      <c r="D35" s="209" t="s">
        <v>191</v>
      </c>
      <c r="E35" s="209" t="s">
        <v>129</v>
      </c>
      <c r="F35" s="208">
        <v>1</v>
      </c>
      <c r="G35" s="209" t="s">
        <v>189</v>
      </c>
      <c r="H35" s="209" t="s">
        <v>42</v>
      </c>
      <c r="I35" s="209"/>
      <c r="J35" s="202">
        <f>VLOOKUP($B35,[1]Data!$D$2:$X$20000,18,0)</f>
        <v>1.09E-3</v>
      </c>
      <c r="K35" s="202" t="str">
        <f>VLOOKUP($B35,[1]Data!$D$2:$X$20000,19,0)</f>
        <v>CNY</v>
      </c>
      <c r="L35" s="202" t="str">
        <f>VLOOKUP($B35,[1]Data!$D$2:$X$20000,8,0)</f>
        <v>厚声国际贸易（昆山）有限公司深圳分公司</v>
      </c>
      <c r="M35" s="202">
        <f t="shared" si="5"/>
        <v>1.09E-3</v>
      </c>
      <c r="P35" s="202" t="str">
        <f>VLOOKUP($B35,[1]Data!$D$2:$X$20000,16,0)</f>
        <v>56</v>
      </c>
      <c r="Q35" s="202" t="str">
        <f>VLOOKUP($B35,[1]Data!$D$2:$X$20000,21,0)</f>
        <v>10,000.000</v>
      </c>
      <c r="R35" s="202" t="str">
        <f>VLOOKUP($B35,[1]Data!$D$2:$X$20000,20,0)</f>
        <v>10,000.000</v>
      </c>
    </row>
    <row r="36" spans="1:18" x14ac:dyDescent="0.25">
      <c r="A36" s="208"/>
      <c r="B36" s="208">
        <v>10100017679</v>
      </c>
      <c r="C36" s="209" t="s">
        <v>119</v>
      </c>
      <c r="D36" s="209" t="s">
        <v>192</v>
      </c>
      <c r="E36" s="209" t="s">
        <v>133</v>
      </c>
      <c r="F36" s="208">
        <v>1</v>
      </c>
      <c r="G36" s="209" t="s">
        <v>189</v>
      </c>
      <c r="H36" s="209" t="s">
        <v>42</v>
      </c>
      <c r="I36" s="209"/>
      <c r="J36" s="202">
        <f>VLOOKUP($B36,[1]Data!$D$2:$X$20000,18,0)</f>
        <v>9.7999999999999997E-4</v>
      </c>
      <c r="K36" s="202" t="str">
        <f>VLOOKUP($B36,[1]Data!$D$2:$X$20000,19,0)</f>
        <v>CNY</v>
      </c>
      <c r="L36" s="202" t="str">
        <f>VLOOKUP($B36,[1]Data!$D$2:$X$20000,8,0)</f>
        <v>恒辉电阻（益阳）有限公司</v>
      </c>
      <c r="M36" s="202">
        <f t="shared" si="5"/>
        <v>9.7999999999999997E-4</v>
      </c>
      <c r="N36" s="202">
        <f t="shared" ref="N36:N40" si="6">M36*F36</f>
        <v>9.7999999999999997E-4</v>
      </c>
      <c r="P36" s="202" t="str">
        <f>VLOOKUP($B36,[1]Data!$D$2:$X$20000,16,0)</f>
        <v>42</v>
      </c>
      <c r="Q36" s="202" t="str">
        <f>VLOOKUP($B36,[1]Data!$D$2:$X$20000,21,0)</f>
        <v>10,000.000</v>
      </c>
      <c r="R36" s="202" t="str">
        <f>VLOOKUP($B36,[1]Data!$D$2:$X$20000,20,0)</f>
        <v>10,000.000</v>
      </c>
    </row>
    <row r="37" spans="1:18" x14ac:dyDescent="0.25">
      <c r="A37" s="208"/>
      <c r="B37" s="208">
        <v>10100019245</v>
      </c>
      <c r="C37" s="209" t="s">
        <v>119</v>
      </c>
      <c r="D37" s="209" t="s">
        <v>193</v>
      </c>
      <c r="E37" s="209" t="s">
        <v>194</v>
      </c>
      <c r="F37" s="208">
        <v>1</v>
      </c>
      <c r="G37" s="209" t="s">
        <v>189</v>
      </c>
      <c r="H37" s="209" t="s">
        <v>42</v>
      </c>
      <c r="I37" s="209"/>
      <c r="J37" s="202">
        <f>VLOOKUP($B37,[1]Data!$D$2:$X$20000,18,0)</f>
        <v>1.0499999999999999E-3</v>
      </c>
      <c r="K37" s="202" t="str">
        <f>VLOOKUP($B37,[1]Data!$D$2:$X$20000,19,0)</f>
        <v>CNY</v>
      </c>
      <c r="L37" s="202" t="str">
        <f>VLOOKUP($B37,[1]Data!$D$2:$X$20000,8,0)</f>
        <v>安徽翔胜科技有限公司</v>
      </c>
      <c r="M37" s="202">
        <f t="shared" si="5"/>
        <v>1.0499999999999999E-3</v>
      </c>
      <c r="P37" s="202" t="str">
        <f>VLOOKUP($B37,[1]Data!$D$2:$X$20000,16,0)</f>
        <v>28</v>
      </c>
      <c r="Q37" s="202" t="str">
        <f>VLOOKUP($B37,[1]Data!$D$2:$X$20000,21,0)</f>
        <v>10,000.000</v>
      </c>
      <c r="R37" s="202" t="str">
        <f>VLOOKUP($B37,[1]Data!$D$2:$X$20000,20,0)</f>
        <v>10,000.000</v>
      </c>
    </row>
    <row r="38" spans="1:18" x14ac:dyDescent="0.25">
      <c r="A38" s="208">
        <v>12</v>
      </c>
      <c r="B38" s="208">
        <v>1021</v>
      </c>
      <c r="C38" s="209" t="s">
        <v>150</v>
      </c>
      <c r="D38" s="209" t="s">
        <v>151</v>
      </c>
      <c r="E38" s="209" t="s">
        <v>152</v>
      </c>
      <c r="F38" s="208">
        <v>2</v>
      </c>
      <c r="G38" s="209" t="s">
        <v>195</v>
      </c>
      <c r="H38" s="209" t="s">
        <v>42</v>
      </c>
      <c r="I38" s="209"/>
      <c r="J38" s="202" t="e">
        <f>VLOOKUP($B38,[1]Data!$D$2:$X$20000,18,0)</f>
        <v>#N/A</v>
      </c>
      <c r="K38" s="202" t="e">
        <f>VLOOKUP($B38,[1]Data!$D$2:$X$20000,19,0)</f>
        <v>#N/A</v>
      </c>
      <c r="L38" s="202" t="e">
        <f>VLOOKUP($B38,[1]Data!$D$2:$X$20000,8,0)</f>
        <v>#N/A</v>
      </c>
      <c r="M38" s="202">
        <v>0.08</v>
      </c>
      <c r="N38" s="202">
        <f t="shared" si="6"/>
        <v>0.16</v>
      </c>
      <c r="P38" s="202" t="e">
        <f>VLOOKUP($B38,[1]Data!$D$2:$X$20000,16,0)</f>
        <v>#N/A</v>
      </c>
      <c r="Q38" s="202" t="e">
        <f>VLOOKUP($B38,[1]Data!$D$2:$X$20000,21,0)</f>
        <v>#N/A</v>
      </c>
      <c r="R38" s="202" t="e">
        <f>VLOOKUP($B38,[1]Data!$D$2:$X$20000,20,0)</f>
        <v>#N/A</v>
      </c>
    </row>
    <row r="39" spans="1:18" x14ac:dyDescent="0.25">
      <c r="A39" s="208">
        <v>13</v>
      </c>
      <c r="B39" s="208">
        <v>1023</v>
      </c>
      <c r="C39" s="209" t="s">
        <v>161</v>
      </c>
      <c r="D39" s="209" t="s">
        <v>162</v>
      </c>
      <c r="E39" s="213" t="s">
        <v>163</v>
      </c>
      <c r="F39" s="208">
        <v>1</v>
      </c>
      <c r="G39" s="209" t="s">
        <v>164</v>
      </c>
      <c r="H39" s="209"/>
      <c r="I39" s="209"/>
      <c r="J39" s="202" t="e">
        <f>VLOOKUP($B39,[1]Data!$D$2:$X$20000,18,0)</f>
        <v>#N/A</v>
      </c>
      <c r="K39" s="202" t="e">
        <f>VLOOKUP($B39,[1]Data!$D$2:$X$20000,19,0)</f>
        <v>#N/A</v>
      </c>
      <c r="L39" s="202" t="e">
        <f>VLOOKUP($B39,[1]Data!$D$2:$X$20000,8,0)</f>
        <v>#N/A</v>
      </c>
      <c r="M39" s="202">
        <f>0.38*1.05</f>
        <v>0.39900000000000002</v>
      </c>
      <c r="N39" s="202">
        <f t="shared" si="6"/>
        <v>0.39900000000000002</v>
      </c>
      <c r="P39" s="202" t="e">
        <f>VLOOKUP($B39,[1]Data!$D$2:$X$20000,16,0)</f>
        <v>#N/A</v>
      </c>
      <c r="Q39" s="202" t="e">
        <f>VLOOKUP($B39,[1]Data!$D$2:$X$20000,21,0)</f>
        <v>#N/A</v>
      </c>
      <c r="R39" s="202" t="e">
        <f>VLOOKUP($B39,[1]Data!$D$2:$X$20000,20,0)</f>
        <v>#N/A</v>
      </c>
    </row>
    <row r="40" spans="1:18" x14ac:dyDescent="0.25">
      <c r="A40" s="208">
        <v>14</v>
      </c>
      <c r="B40" s="208">
        <v>1023</v>
      </c>
      <c r="C40" s="209" t="s">
        <v>165</v>
      </c>
      <c r="D40" s="209" t="s">
        <v>196</v>
      </c>
      <c r="E40" s="209" t="s">
        <v>167</v>
      </c>
      <c r="F40" s="208">
        <v>1</v>
      </c>
      <c r="G40" s="209" t="s">
        <v>165</v>
      </c>
      <c r="H40" s="209"/>
      <c r="I40" s="209"/>
      <c r="J40" s="202" t="e">
        <f>VLOOKUP($B40,[1]Data!$D$2:$X$20000,18,0)</f>
        <v>#N/A</v>
      </c>
      <c r="K40" s="202" t="e">
        <f>VLOOKUP($B40,[1]Data!$D$2:$X$20000,19,0)</f>
        <v>#N/A</v>
      </c>
      <c r="L40" s="202" t="e">
        <f>VLOOKUP($B40,[1]Data!$D$2:$X$20000,8,0)</f>
        <v>#N/A</v>
      </c>
      <c r="M40" s="202">
        <v>0.22</v>
      </c>
      <c r="N40" s="202">
        <f t="shared" si="6"/>
        <v>0.22</v>
      </c>
      <c r="P40" s="202" t="e">
        <f>VLOOKUP($B40,[1]Data!$D$2:$X$20000,16,0)</f>
        <v>#N/A</v>
      </c>
      <c r="Q40" s="202" t="e">
        <f>VLOOKUP($B40,[1]Data!$D$2:$X$20000,21,0)</f>
        <v>#N/A</v>
      </c>
      <c r="R40" s="202" t="e">
        <f>VLOOKUP($B40,[1]Data!$D$2:$X$20000,20,0)</f>
        <v>#N/A</v>
      </c>
    </row>
    <row r="41" spans="1:18" x14ac:dyDescent="0.25">
      <c r="N41" s="202">
        <f>SUM(N2:N40)</f>
        <v>2.5695399999999999</v>
      </c>
    </row>
  </sheetData>
  <phoneticPr fontId="5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48576"/>
  <sheetViews>
    <sheetView workbookViewId="0">
      <selection activeCell="N5" sqref="N5"/>
    </sheetView>
  </sheetViews>
  <sheetFormatPr defaultColWidth="9" defaultRowHeight="10.8" x14ac:dyDescent="0.25"/>
  <cols>
    <col min="1" max="3" width="9" style="191"/>
    <col min="4" max="6" width="9" style="189"/>
    <col min="7" max="7" width="9" style="191"/>
    <col min="8" max="16384" width="9" style="189"/>
  </cols>
  <sheetData>
    <row r="1" spans="1:21" s="188" customFormat="1" ht="21.6" x14ac:dyDescent="0.15">
      <c r="A1" s="192" t="s">
        <v>20</v>
      </c>
      <c r="B1" s="192"/>
      <c r="C1" s="192" t="s">
        <v>21</v>
      </c>
      <c r="D1" s="193" t="s">
        <v>22</v>
      </c>
      <c r="E1" s="194" t="s">
        <v>23</v>
      </c>
      <c r="F1" s="193" t="s">
        <v>24</v>
      </c>
      <c r="G1" s="192" t="s">
        <v>25</v>
      </c>
      <c r="H1" s="194" t="s">
        <v>26</v>
      </c>
      <c r="I1" s="193" t="s">
        <v>27</v>
      </c>
      <c r="J1" s="193" t="s">
        <v>28</v>
      </c>
      <c r="K1" s="189" t="s">
        <v>29</v>
      </c>
      <c r="L1" s="189" t="s">
        <v>30</v>
      </c>
      <c r="M1" s="189" t="s">
        <v>31</v>
      </c>
      <c r="N1" s="189" t="s">
        <v>32</v>
      </c>
      <c r="O1" s="189" t="s">
        <v>33</v>
      </c>
      <c r="P1" s="189" t="s">
        <v>27</v>
      </c>
      <c r="Q1" s="189" t="s">
        <v>34</v>
      </c>
      <c r="R1" s="189" t="s">
        <v>35</v>
      </c>
      <c r="S1" s="189" t="s">
        <v>36</v>
      </c>
      <c r="T1" s="189" t="s">
        <v>37</v>
      </c>
    </row>
    <row r="2" spans="1:21" x14ac:dyDescent="0.25">
      <c r="A2" s="195">
        <v>1</v>
      </c>
      <c r="B2" s="195">
        <v>1</v>
      </c>
      <c r="C2" s="195" t="s">
        <v>38</v>
      </c>
      <c r="D2" s="196" t="s">
        <v>39</v>
      </c>
      <c r="E2" s="196" t="s">
        <v>197</v>
      </c>
      <c r="F2" s="196" t="s">
        <v>41</v>
      </c>
      <c r="G2" s="195">
        <v>1</v>
      </c>
      <c r="H2" s="196" t="s">
        <v>39</v>
      </c>
      <c r="I2" s="196" t="s">
        <v>42</v>
      </c>
      <c r="J2" s="196" t="s">
        <v>43</v>
      </c>
      <c r="K2" s="189" t="e">
        <v>#N/A</v>
      </c>
      <c r="L2" s="189" t="e">
        <v>#N/A</v>
      </c>
      <c r="M2" s="189" t="e">
        <v>#N/A</v>
      </c>
      <c r="N2" s="189">
        <v>3.1809599999999998</v>
      </c>
      <c r="O2" s="189">
        <v>3.1809599999999998</v>
      </c>
      <c r="Q2" s="189" t="e">
        <v>#N/A</v>
      </c>
      <c r="R2" s="189" t="e">
        <v>#N/A</v>
      </c>
      <c r="S2" s="189" t="e">
        <v>#N/A</v>
      </c>
    </row>
    <row r="3" spans="1:21" x14ac:dyDescent="0.25">
      <c r="A3" s="195">
        <v>2</v>
      </c>
      <c r="B3" s="195">
        <v>2</v>
      </c>
      <c r="C3" s="195">
        <v>1015</v>
      </c>
      <c r="D3" s="196" t="s">
        <v>198</v>
      </c>
      <c r="E3" s="196" t="s">
        <v>199</v>
      </c>
      <c r="F3" s="196" t="s">
        <v>200</v>
      </c>
      <c r="G3" s="195">
        <v>1</v>
      </c>
      <c r="H3" s="196" t="s">
        <v>201</v>
      </c>
      <c r="I3" s="196" t="s">
        <v>118</v>
      </c>
      <c r="J3" s="196"/>
      <c r="K3" s="189" t="e">
        <v>#N/A</v>
      </c>
      <c r="L3" s="189" t="e">
        <v>#N/A</v>
      </c>
      <c r="M3" s="189" t="e">
        <v>#N/A</v>
      </c>
      <c r="N3" s="189">
        <v>5.89</v>
      </c>
      <c r="O3" s="189">
        <v>5.89</v>
      </c>
      <c r="Q3" s="189" t="e">
        <v>#N/A</v>
      </c>
      <c r="R3" s="189" t="e">
        <v>#N/A</v>
      </c>
      <c r="S3" s="189" t="e">
        <v>#N/A</v>
      </c>
    </row>
    <row r="4" spans="1:21" x14ac:dyDescent="0.25">
      <c r="A4" s="195">
        <v>4</v>
      </c>
      <c r="B4" s="195">
        <v>4</v>
      </c>
      <c r="C4" s="195" t="s">
        <v>38</v>
      </c>
      <c r="D4" s="196" t="s">
        <v>202</v>
      </c>
      <c r="E4" s="196" t="s">
        <v>203</v>
      </c>
      <c r="F4" s="196" t="s">
        <v>204</v>
      </c>
      <c r="G4" s="195">
        <v>4</v>
      </c>
      <c r="H4" s="196" t="s">
        <v>205</v>
      </c>
      <c r="I4" s="196" t="s">
        <v>42</v>
      </c>
      <c r="J4" s="196"/>
      <c r="K4" s="189" t="e">
        <v>#N/A</v>
      </c>
      <c r="L4" s="189" t="e">
        <v>#N/A</v>
      </c>
      <c r="M4" s="189" t="e">
        <v>#N/A</v>
      </c>
      <c r="N4" s="189">
        <v>0.188</v>
      </c>
      <c r="O4" s="189">
        <v>0.752</v>
      </c>
      <c r="P4" s="189" t="s">
        <v>206</v>
      </c>
      <c r="Q4" s="189" t="e">
        <v>#N/A</v>
      </c>
      <c r="R4" s="189" t="e">
        <v>#N/A</v>
      </c>
      <c r="S4" s="189" t="e">
        <v>#N/A</v>
      </c>
    </row>
    <row r="5" spans="1:21" x14ac:dyDescent="0.25">
      <c r="A5" s="195">
        <v>6</v>
      </c>
      <c r="B5" s="195">
        <v>6</v>
      </c>
      <c r="C5" s="195" t="s">
        <v>38</v>
      </c>
      <c r="D5" s="196" t="s">
        <v>207</v>
      </c>
      <c r="E5" s="240" t="s">
        <v>208</v>
      </c>
      <c r="F5" s="196" t="s">
        <v>209</v>
      </c>
      <c r="G5" s="195">
        <v>3</v>
      </c>
      <c r="H5" s="240" t="s">
        <v>210</v>
      </c>
      <c r="I5" s="196" t="s">
        <v>42</v>
      </c>
      <c r="J5" s="196"/>
      <c r="K5" s="189" t="e">
        <v>#N/A</v>
      </c>
      <c r="L5" s="189" t="e">
        <v>#N/A</v>
      </c>
      <c r="M5" s="189" t="e">
        <v>#N/A</v>
      </c>
      <c r="N5" s="200">
        <v>0.73450000000000004</v>
      </c>
      <c r="O5" s="189">
        <v>2.2035</v>
      </c>
      <c r="P5" s="200" t="s">
        <v>211</v>
      </c>
      <c r="Q5" s="189" t="e">
        <v>#N/A</v>
      </c>
      <c r="R5" s="189" t="e">
        <v>#N/A</v>
      </c>
      <c r="S5" s="189" t="e">
        <v>#N/A</v>
      </c>
    </row>
    <row r="6" spans="1:21" x14ac:dyDescent="0.25">
      <c r="A6" s="195">
        <v>8</v>
      </c>
      <c r="B6" s="195">
        <v>8</v>
      </c>
      <c r="C6" s="195" t="s">
        <v>38</v>
      </c>
      <c r="D6" s="240" t="s">
        <v>212</v>
      </c>
      <c r="E6" s="240" t="s">
        <v>213</v>
      </c>
      <c r="F6" s="197" t="s">
        <v>214</v>
      </c>
      <c r="G6" s="195">
        <v>1</v>
      </c>
      <c r="H6" s="196" t="s">
        <v>215</v>
      </c>
      <c r="I6" s="196" t="s">
        <v>42</v>
      </c>
      <c r="J6" s="196"/>
      <c r="K6" s="189" t="e">
        <v>#N/A</v>
      </c>
      <c r="L6" s="189" t="e">
        <v>#N/A</v>
      </c>
      <c r="M6" s="189" t="e">
        <v>#N/A</v>
      </c>
      <c r="N6" s="200">
        <v>1.5820000000000001</v>
      </c>
      <c r="O6" s="189">
        <v>1.5820000000000001</v>
      </c>
      <c r="Q6" s="189" t="e">
        <v>#N/A</v>
      </c>
      <c r="R6" s="189" t="e">
        <v>#N/A</v>
      </c>
      <c r="S6" s="189" t="e">
        <v>#N/A</v>
      </c>
    </row>
    <row r="7" spans="1:21" x14ac:dyDescent="0.25">
      <c r="A7" s="195">
        <v>10</v>
      </c>
      <c r="B7" s="195">
        <v>10</v>
      </c>
      <c r="C7" s="195" t="s">
        <v>38</v>
      </c>
      <c r="D7" s="240" t="s">
        <v>216</v>
      </c>
      <c r="E7" s="240" t="s">
        <v>217</v>
      </c>
      <c r="F7" s="197" t="s">
        <v>214</v>
      </c>
      <c r="G7" s="195">
        <v>2</v>
      </c>
      <c r="H7" s="196" t="s">
        <v>218</v>
      </c>
      <c r="I7" s="196" t="s">
        <v>42</v>
      </c>
      <c r="J7" s="196"/>
      <c r="K7" s="189" t="e">
        <v>#N/A</v>
      </c>
      <c r="L7" s="189" t="e">
        <v>#N/A</v>
      </c>
      <c r="M7" s="189" t="e">
        <v>#N/A</v>
      </c>
      <c r="N7" s="200">
        <v>0.17515</v>
      </c>
      <c r="O7" s="189">
        <v>0.3503</v>
      </c>
      <c r="Q7" s="189" t="e">
        <v>#N/A</v>
      </c>
      <c r="R7" s="189" t="e">
        <v>#N/A</v>
      </c>
      <c r="S7" s="189" t="e">
        <v>#N/A</v>
      </c>
    </row>
    <row r="8" spans="1:21" x14ac:dyDescent="0.25">
      <c r="A8" s="195">
        <v>11</v>
      </c>
      <c r="B8" s="195">
        <v>11</v>
      </c>
      <c r="C8" s="195" t="s">
        <v>38</v>
      </c>
      <c r="D8" s="240" t="s">
        <v>216</v>
      </c>
      <c r="E8" s="196" t="s">
        <v>219</v>
      </c>
      <c r="F8" s="197" t="s">
        <v>214</v>
      </c>
      <c r="G8" s="195">
        <v>1</v>
      </c>
      <c r="H8" s="240" t="s">
        <v>220</v>
      </c>
      <c r="I8" s="196" t="s">
        <v>42</v>
      </c>
      <c r="J8" s="196"/>
      <c r="K8" s="189" t="e">
        <v>#N/A</v>
      </c>
      <c r="L8" s="189" t="e">
        <v>#N/A</v>
      </c>
      <c r="M8" s="189" t="e">
        <v>#N/A</v>
      </c>
      <c r="N8" s="200">
        <v>0.49154999999999999</v>
      </c>
      <c r="O8" s="189">
        <v>0.49154999999999999</v>
      </c>
      <c r="Q8" s="189" t="e">
        <v>#N/A</v>
      </c>
      <c r="R8" s="189" t="e">
        <v>#N/A</v>
      </c>
      <c r="S8" s="189" t="e">
        <v>#N/A</v>
      </c>
    </row>
    <row r="9" spans="1:21" x14ac:dyDescent="0.25">
      <c r="A9" s="195"/>
      <c r="B9" s="195">
        <v>17</v>
      </c>
      <c r="C9" s="195" t="s">
        <v>38</v>
      </c>
      <c r="D9" s="196" t="s">
        <v>221</v>
      </c>
      <c r="E9" s="196" t="s">
        <v>222</v>
      </c>
      <c r="F9" s="196" t="s">
        <v>223</v>
      </c>
      <c r="G9" s="195">
        <v>1</v>
      </c>
      <c r="H9" s="240" t="s">
        <v>224</v>
      </c>
      <c r="I9" s="196"/>
      <c r="J9" s="196"/>
      <c r="K9" s="189" t="e">
        <v>#N/A</v>
      </c>
      <c r="L9" s="189" t="e">
        <v>#N/A</v>
      </c>
      <c r="M9" s="189" t="e">
        <v>#N/A</v>
      </c>
      <c r="N9" s="200">
        <v>0.1009</v>
      </c>
      <c r="O9" s="189" t="s">
        <v>225</v>
      </c>
      <c r="P9" s="200"/>
      <c r="Q9" s="189" t="e">
        <v>#N/A</v>
      </c>
      <c r="R9" s="189" t="e">
        <v>#N/A</v>
      </c>
      <c r="S9" s="189" t="e">
        <v>#N/A</v>
      </c>
    </row>
    <row r="10" spans="1:21" x14ac:dyDescent="0.25">
      <c r="A10" s="195">
        <v>19</v>
      </c>
      <c r="B10" s="195">
        <v>18</v>
      </c>
      <c r="C10" s="195">
        <v>1020</v>
      </c>
      <c r="D10" s="196" t="s">
        <v>226</v>
      </c>
      <c r="E10" s="196" t="s">
        <v>227</v>
      </c>
      <c r="F10" s="196" t="s">
        <v>228</v>
      </c>
      <c r="G10" s="195">
        <v>1</v>
      </c>
      <c r="H10" s="240" t="s">
        <v>229</v>
      </c>
      <c r="I10" s="196" t="s">
        <v>118</v>
      </c>
      <c r="J10" s="196"/>
      <c r="K10" s="189" t="e">
        <v>#N/A</v>
      </c>
      <c r="L10" s="189" t="e">
        <v>#N/A</v>
      </c>
      <c r="M10" s="189" t="e">
        <v>#N/A</v>
      </c>
      <c r="N10" s="189">
        <v>1.62</v>
      </c>
      <c r="O10" s="189">
        <v>1.62</v>
      </c>
      <c r="Q10" s="189" t="e">
        <v>#N/A</v>
      </c>
      <c r="R10" s="189" t="e">
        <v>#N/A</v>
      </c>
      <c r="S10" s="189" t="e">
        <v>#N/A</v>
      </c>
    </row>
    <row r="11" spans="1:21" x14ac:dyDescent="0.25">
      <c r="A11" s="195">
        <v>20</v>
      </c>
      <c r="B11" s="195">
        <v>19</v>
      </c>
      <c r="C11" s="195" t="s">
        <v>38</v>
      </c>
      <c r="D11" s="196" t="s">
        <v>230</v>
      </c>
      <c r="E11" s="196" t="s">
        <v>231</v>
      </c>
      <c r="F11" s="196" t="s">
        <v>232</v>
      </c>
      <c r="G11" s="195">
        <v>1</v>
      </c>
      <c r="H11" s="196" t="s">
        <v>233</v>
      </c>
      <c r="I11" s="196" t="s">
        <v>118</v>
      </c>
      <c r="J11" s="196"/>
      <c r="K11" s="189" t="e">
        <v>#N/A</v>
      </c>
      <c r="L11" s="189" t="e">
        <v>#N/A</v>
      </c>
      <c r="M11" s="189" t="e">
        <v>#N/A</v>
      </c>
      <c r="N11" s="189">
        <v>0.5</v>
      </c>
      <c r="O11" s="189">
        <v>0.5</v>
      </c>
      <c r="P11" s="189" t="s">
        <v>234</v>
      </c>
      <c r="Q11" s="189" t="e">
        <v>#N/A</v>
      </c>
      <c r="R11" s="189" t="e">
        <v>#N/A</v>
      </c>
      <c r="S11" s="189" t="e">
        <v>#N/A</v>
      </c>
    </row>
    <row r="12" spans="1:21" x14ac:dyDescent="0.25">
      <c r="A12" s="195">
        <v>21</v>
      </c>
      <c r="B12" s="195">
        <v>20</v>
      </c>
      <c r="C12" s="195" t="s">
        <v>38</v>
      </c>
      <c r="D12" s="196" t="s">
        <v>235</v>
      </c>
      <c r="E12" s="196" t="s">
        <v>236</v>
      </c>
      <c r="F12" s="196" t="s">
        <v>232</v>
      </c>
      <c r="G12" s="195">
        <v>1</v>
      </c>
      <c r="H12" s="196" t="s">
        <v>237</v>
      </c>
      <c r="I12" s="196" t="s">
        <v>118</v>
      </c>
      <c r="J12" s="196"/>
      <c r="K12" s="189" t="e">
        <v>#N/A</v>
      </c>
      <c r="L12" s="189" t="e">
        <v>#N/A</v>
      </c>
      <c r="M12" s="189" t="e">
        <v>#N/A</v>
      </c>
      <c r="N12" s="189">
        <v>1.0289999999999999</v>
      </c>
      <c r="O12" s="189">
        <v>1.0289999999999999</v>
      </c>
      <c r="P12" s="189" t="s">
        <v>238</v>
      </c>
      <c r="Q12" s="189" t="e">
        <v>#N/A</v>
      </c>
      <c r="R12" s="189" t="e">
        <v>#N/A</v>
      </c>
      <c r="S12" s="189" t="e">
        <v>#N/A</v>
      </c>
    </row>
    <row r="13" spans="1:21" s="190" customFormat="1" x14ac:dyDescent="0.25">
      <c r="A13" s="198"/>
      <c r="B13" s="195">
        <v>21</v>
      </c>
      <c r="C13" s="195" t="s">
        <v>239</v>
      </c>
      <c r="D13" s="196" t="s">
        <v>97</v>
      </c>
      <c r="E13" s="196" t="s">
        <v>240</v>
      </c>
      <c r="F13" s="196" t="s">
        <v>105</v>
      </c>
      <c r="G13" s="195">
        <v>2</v>
      </c>
      <c r="H13" s="196" t="s">
        <v>241</v>
      </c>
      <c r="I13" s="197"/>
      <c r="J13" s="197"/>
      <c r="K13" s="189" t="e">
        <v>#N/A</v>
      </c>
      <c r="L13" s="189" t="e">
        <v>#N/A</v>
      </c>
      <c r="M13" s="189" t="e">
        <v>#N/A</v>
      </c>
      <c r="N13" s="200">
        <v>4.4999999999999998E-2</v>
      </c>
      <c r="O13" s="189" t="s">
        <v>225</v>
      </c>
      <c r="P13" s="189"/>
      <c r="Q13" s="189" t="e">
        <v>#N/A</v>
      </c>
      <c r="R13" s="189" t="e">
        <v>#N/A</v>
      </c>
      <c r="S13" s="189" t="e">
        <v>#N/A</v>
      </c>
      <c r="T13" s="189"/>
      <c r="U13" s="189"/>
    </row>
    <row r="14" spans="1:21" x14ac:dyDescent="0.25">
      <c r="A14" s="195">
        <v>23</v>
      </c>
      <c r="B14" s="195">
        <v>22</v>
      </c>
      <c r="C14" s="195">
        <v>1015</v>
      </c>
      <c r="D14" s="196" t="s">
        <v>242</v>
      </c>
      <c r="E14" s="196" t="s">
        <v>243</v>
      </c>
      <c r="F14" s="196" t="s">
        <v>244</v>
      </c>
      <c r="G14" s="195">
        <v>1</v>
      </c>
      <c r="H14" s="240" t="s">
        <v>183</v>
      </c>
      <c r="I14" s="196" t="s">
        <v>118</v>
      </c>
      <c r="J14" s="196"/>
      <c r="K14" s="189" t="e">
        <v>#N/A</v>
      </c>
      <c r="L14" s="189" t="e">
        <v>#N/A</v>
      </c>
      <c r="M14" s="189" t="e">
        <v>#N/A</v>
      </c>
      <c r="N14" s="189">
        <v>0.73</v>
      </c>
      <c r="O14" s="189">
        <v>0.73</v>
      </c>
      <c r="Q14" s="189" t="e">
        <v>#N/A</v>
      </c>
      <c r="R14" s="189" t="e">
        <v>#N/A</v>
      </c>
      <c r="S14" s="189" t="e">
        <v>#N/A</v>
      </c>
    </row>
    <row r="15" spans="1:21" x14ac:dyDescent="0.25">
      <c r="A15" s="195">
        <v>25</v>
      </c>
      <c r="B15" s="195">
        <v>24</v>
      </c>
      <c r="C15" s="195">
        <v>1015</v>
      </c>
      <c r="D15" s="196" t="s">
        <v>245</v>
      </c>
      <c r="E15" s="240" t="s">
        <v>246</v>
      </c>
      <c r="F15" s="196" t="s">
        <v>247</v>
      </c>
      <c r="G15" s="195">
        <v>1</v>
      </c>
      <c r="H15" s="240" t="s">
        <v>248</v>
      </c>
      <c r="I15" s="196" t="s">
        <v>118</v>
      </c>
      <c r="J15" s="196"/>
      <c r="K15" s="189" t="e">
        <v>#N/A</v>
      </c>
      <c r="L15" s="189" t="e">
        <v>#N/A</v>
      </c>
      <c r="M15" s="189" t="e">
        <v>#N/A</v>
      </c>
      <c r="N15" s="189">
        <v>0.35</v>
      </c>
      <c r="O15" s="189">
        <v>0.35</v>
      </c>
      <c r="Q15" s="189" t="e">
        <v>#N/A</v>
      </c>
      <c r="R15" s="189" t="e">
        <v>#N/A</v>
      </c>
      <c r="S15" s="189" t="e">
        <v>#N/A</v>
      </c>
    </row>
    <row r="16" spans="1:21" x14ac:dyDescent="0.25">
      <c r="A16" s="195">
        <v>26</v>
      </c>
      <c r="B16" s="195">
        <v>25</v>
      </c>
      <c r="C16" s="195">
        <v>1015</v>
      </c>
      <c r="D16" s="196" t="s">
        <v>249</v>
      </c>
      <c r="E16" s="196" t="s">
        <v>250</v>
      </c>
      <c r="F16" s="196" t="s">
        <v>247</v>
      </c>
      <c r="G16" s="195">
        <v>1</v>
      </c>
      <c r="H16" s="240" t="s">
        <v>251</v>
      </c>
      <c r="I16" s="196" t="s">
        <v>118</v>
      </c>
      <c r="J16" s="196"/>
      <c r="K16" s="189" t="e">
        <v>#N/A</v>
      </c>
      <c r="L16" s="189" t="e">
        <v>#N/A</v>
      </c>
      <c r="M16" s="189" t="e">
        <v>#N/A</v>
      </c>
      <c r="N16" s="189">
        <v>0.33</v>
      </c>
      <c r="O16" s="189">
        <v>0.33</v>
      </c>
      <c r="Q16" s="189" t="e">
        <v>#N/A</v>
      </c>
      <c r="R16" s="189" t="e">
        <v>#N/A</v>
      </c>
      <c r="S16" s="189" t="e">
        <v>#N/A</v>
      </c>
    </row>
    <row r="17" spans="1:19" x14ac:dyDescent="0.25">
      <c r="A17" s="195">
        <v>27</v>
      </c>
      <c r="B17" s="195">
        <v>26</v>
      </c>
      <c r="C17" s="195">
        <v>1015</v>
      </c>
      <c r="D17" s="196" t="s">
        <v>252</v>
      </c>
      <c r="E17" s="196" t="s">
        <v>253</v>
      </c>
      <c r="F17" s="196" t="s">
        <v>254</v>
      </c>
      <c r="G17" s="195">
        <v>1</v>
      </c>
      <c r="H17" s="240" t="s">
        <v>255</v>
      </c>
      <c r="I17" s="196" t="s">
        <v>42</v>
      </c>
      <c r="J17" s="196"/>
      <c r="K17" s="189" t="e">
        <v>#N/A</v>
      </c>
      <c r="L17" s="189" t="e">
        <v>#N/A</v>
      </c>
      <c r="M17" s="189" t="e">
        <v>#N/A</v>
      </c>
      <c r="N17" s="189">
        <v>0.22</v>
      </c>
      <c r="O17" s="189">
        <v>0.22</v>
      </c>
      <c r="Q17" s="189" t="e">
        <v>#N/A</v>
      </c>
      <c r="R17" s="189" t="e">
        <v>#N/A</v>
      </c>
      <c r="S17" s="189" t="e">
        <v>#N/A</v>
      </c>
    </row>
    <row r="18" spans="1:19" x14ac:dyDescent="0.25">
      <c r="A18" s="195">
        <v>28</v>
      </c>
      <c r="B18" s="195">
        <v>27</v>
      </c>
      <c r="C18" s="199">
        <v>10150010419</v>
      </c>
      <c r="D18" s="196" t="s">
        <v>256</v>
      </c>
      <c r="E18" s="196" t="s">
        <v>257</v>
      </c>
      <c r="F18" s="196" t="s">
        <v>258</v>
      </c>
      <c r="G18" s="195">
        <v>1</v>
      </c>
      <c r="H18" s="240" t="s">
        <v>259</v>
      </c>
      <c r="I18" s="196" t="s">
        <v>118</v>
      </c>
      <c r="J18" s="196"/>
      <c r="K18" s="189" t="e">
        <v>#N/A</v>
      </c>
      <c r="L18" s="189" t="e">
        <v>#N/A</v>
      </c>
      <c r="M18" s="189" t="e">
        <v>#N/A</v>
      </c>
      <c r="N18" s="189">
        <v>1.92</v>
      </c>
      <c r="O18" s="189">
        <v>1.92</v>
      </c>
      <c r="Q18" s="189" t="e">
        <v>#N/A</v>
      </c>
      <c r="R18" s="189" t="e">
        <v>#N/A</v>
      </c>
      <c r="S18" s="189" t="e">
        <v>#N/A</v>
      </c>
    </row>
    <row r="19" spans="1:19" x14ac:dyDescent="0.25">
      <c r="A19" s="195">
        <v>30</v>
      </c>
      <c r="B19" s="195">
        <v>29</v>
      </c>
      <c r="C19" s="195" t="s">
        <v>38</v>
      </c>
      <c r="D19" s="196" t="s">
        <v>260</v>
      </c>
      <c r="E19" s="196" t="s">
        <v>261</v>
      </c>
      <c r="F19" s="196" t="s">
        <v>262</v>
      </c>
      <c r="G19" s="195">
        <v>1</v>
      </c>
      <c r="H19" s="240" t="s">
        <v>263</v>
      </c>
      <c r="I19" s="196"/>
      <c r="J19" s="196"/>
      <c r="K19" s="189" t="e">
        <v>#N/A</v>
      </c>
      <c r="L19" s="189" t="e">
        <v>#N/A</v>
      </c>
      <c r="M19" s="189" t="e">
        <v>#N/A</v>
      </c>
      <c r="N19" s="201">
        <v>0.24145</v>
      </c>
      <c r="O19" s="201" t="s">
        <v>225</v>
      </c>
      <c r="P19" s="201"/>
      <c r="Q19" s="189" t="e">
        <v>#N/A</v>
      </c>
      <c r="R19" s="189" t="e">
        <v>#N/A</v>
      </c>
      <c r="S19" s="189" t="e">
        <v>#N/A</v>
      </c>
    </row>
    <row r="20" spans="1:19" x14ac:dyDescent="0.25">
      <c r="A20" s="195"/>
      <c r="B20" s="195">
        <v>31</v>
      </c>
      <c r="C20" s="195" t="s">
        <v>38</v>
      </c>
      <c r="D20" s="196" t="s">
        <v>119</v>
      </c>
      <c r="E20" s="196" t="s">
        <v>123</v>
      </c>
      <c r="F20" s="196" t="s">
        <v>124</v>
      </c>
      <c r="G20" s="195">
        <v>3</v>
      </c>
      <c r="H20" s="240" t="s">
        <v>264</v>
      </c>
      <c r="I20" s="196" t="s">
        <v>42</v>
      </c>
      <c r="J20" s="196"/>
      <c r="K20" s="189" t="e">
        <v>#N/A</v>
      </c>
      <c r="L20" s="189" t="e">
        <v>#N/A</v>
      </c>
      <c r="M20" s="189" t="e">
        <v>#N/A</v>
      </c>
      <c r="N20" s="201">
        <v>2.0999999999999999E-3</v>
      </c>
      <c r="O20" s="201" t="s">
        <v>225</v>
      </c>
      <c r="P20" s="201"/>
      <c r="Q20" s="189" t="e">
        <v>#N/A</v>
      </c>
      <c r="R20" s="189" t="e">
        <v>#N/A</v>
      </c>
      <c r="S20" s="189" t="e">
        <v>#N/A</v>
      </c>
    </row>
    <row r="21" spans="1:19" x14ac:dyDescent="0.25">
      <c r="A21" s="195"/>
      <c r="B21" s="195">
        <v>37</v>
      </c>
      <c r="C21" s="195" t="s">
        <v>38</v>
      </c>
      <c r="D21" s="196" t="s">
        <v>119</v>
      </c>
      <c r="E21" s="196" t="s">
        <v>265</v>
      </c>
      <c r="F21" s="196" t="s">
        <v>266</v>
      </c>
      <c r="G21" s="195">
        <v>3</v>
      </c>
      <c r="H21" s="240" t="s">
        <v>267</v>
      </c>
      <c r="I21" s="196" t="s">
        <v>42</v>
      </c>
      <c r="J21" s="196"/>
      <c r="K21" s="189" t="e">
        <v>#N/A</v>
      </c>
      <c r="L21" s="189" t="e">
        <v>#N/A</v>
      </c>
      <c r="M21" s="189" t="e">
        <v>#N/A</v>
      </c>
      <c r="N21" s="201">
        <v>0.15</v>
      </c>
      <c r="O21" s="201" t="s">
        <v>225</v>
      </c>
      <c r="P21" s="201"/>
      <c r="Q21" s="189" t="e">
        <v>#N/A</v>
      </c>
      <c r="R21" s="189" t="e">
        <v>#N/A</v>
      </c>
      <c r="S21" s="189" t="e">
        <v>#N/A</v>
      </c>
    </row>
    <row r="22" spans="1:19" x14ac:dyDescent="0.25">
      <c r="A22" s="195">
        <v>50</v>
      </c>
      <c r="B22" s="195">
        <v>48</v>
      </c>
      <c r="C22" s="195" t="s">
        <v>38</v>
      </c>
      <c r="D22" s="196" t="s">
        <v>268</v>
      </c>
      <c r="E22" s="196" t="s">
        <v>269</v>
      </c>
      <c r="F22" s="196" t="s">
        <v>262</v>
      </c>
      <c r="G22" s="195">
        <v>1</v>
      </c>
      <c r="H22" s="240" t="s">
        <v>270</v>
      </c>
      <c r="I22" s="196"/>
      <c r="J22" s="196"/>
      <c r="K22" s="189" t="e">
        <v>#N/A</v>
      </c>
      <c r="L22" s="189" t="e">
        <v>#N/A</v>
      </c>
      <c r="M22" s="189" t="e">
        <v>#N/A</v>
      </c>
      <c r="N22" s="201">
        <v>0.31</v>
      </c>
      <c r="O22" s="201" t="s">
        <v>225</v>
      </c>
      <c r="P22" s="201" t="s">
        <v>271</v>
      </c>
      <c r="Q22" s="189" t="e">
        <v>#N/A</v>
      </c>
      <c r="R22" s="189" t="e">
        <v>#N/A</v>
      </c>
      <c r="S22" s="189" t="e">
        <v>#N/A</v>
      </c>
    </row>
    <row r="23" spans="1:19" x14ac:dyDescent="0.25">
      <c r="A23" s="195">
        <v>51</v>
      </c>
      <c r="B23" s="195">
        <v>49</v>
      </c>
      <c r="C23" s="195">
        <v>1021</v>
      </c>
      <c r="D23" s="196" t="s">
        <v>150</v>
      </c>
      <c r="E23" s="196" t="s">
        <v>151</v>
      </c>
      <c r="F23" s="196" t="s">
        <v>152</v>
      </c>
      <c r="G23" s="195">
        <v>2</v>
      </c>
      <c r="H23" s="196" t="s">
        <v>195</v>
      </c>
      <c r="I23" s="196" t="s">
        <v>42</v>
      </c>
      <c r="J23" s="196"/>
      <c r="K23" s="189" t="e">
        <v>#N/A</v>
      </c>
      <c r="L23" s="189" t="e">
        <v>#N/A</v>
      </c>
      <c r="M23" s="189" t="e">
        <v>#N/A</v>
      </c>
      <c r="N23" s="189">
        <v>0.08</v>
      </c>
      <c r="O23" s="189">
        <v>0.16</v>
      </c>
      <c r="Q23" s="189" t="e">
        <v>#N/A</v>
      </c>
      <c r="R23" s="189" t="e">
        <v>#N/A</v>
      </c>
      <c r="S23" s="189" t="e">
        <v>#N/A</v>
      </c>
    </row>
    <row r="24" spans="1:19" x14ac:dyDescent="0.25">
      <c r="A24" s="195">
        <v>54</v>
      </c>
      <c r="B24" s="195">
        <v>52</v>
      </c>
      <c r="C24" s="195">
        <v>1014</v>
      </c>
      <c r="D24" s="196" t="s">
        <v>272</v>
      </c>
      <c r="E24" s="196" t="s">
        <v>273</v>
      </c>
      <c r="F24" s="196" t="s">
        <v>274</v>
      </c>
      <c r="G24" s="195">
        <v>1</v>
      </c>
      <c r="H24" s="196" t="s">
        <v>275</v>
      </c>
      <c r="I24" s="196" t="s">
        <v>118</v>
      </c>
      <c r="J24" s="196"/>
      <c r="K24" s="189" t="e">
        <v>#N/A</v>
      </c>
      <c r="L24" s="189" t="e">
        <v>#N/A</v>
      </c>
      <c r="M24" s="189" t="e">
        <v>#N/A</v>
      </c>
      <c r="N24" s="189">
        <v>0.3</v>
      </c>
      <c r="O24" s="189">
        <v>0.3</v>
      </c>
      <c r="Q24" s="189" t="e">
        <v>#N/A</v>
      </c>
      <c r="R24" s="189" t="e">
        <v>#N/A</v>
      </c>
      <c r="S24" s="189" t="e">
        <v>#N/A</v>
      </c>
    </row>
    <row r="25" spans="1:19" x14ac:dyDescent="0.25">
      <c r="A25" s="195">
        <v>57</v>
      </c>
      <c r="B25" s="195">
        <v>54</v>
      </c>
      <c r="C25" s="195">
        <v>1023</v>
      </c>
      <c r="D25" s="196" t="s">
        <v>276</v>
      </c>
      <c r="E25" s="240" t="s">
        <v>277</v>
      </c>
      <c r="F25" s="196" t="s">
        <v>163</v>
      </c>
      <c r="G25" s="195">
        <v>1</v>
      </c>
      <c r="H25" s="240" t="s">
        <v>164</v>
      </c>
      <c r="I25" s="196"/>
      <c r="J25" s="196"/>
      <c r="K25" s="189" t="e">
        <v>#N/A</v>
      </c>
      <c r="L25" s="189" t="e">
        <v>#N/A</v>
      </c>
      <c r="M25" s="189" t="e">
        <v>#N/A</v>
      </c>
      <c r="N25" s="189">
        <v>0.48299999999999998</v>
      </c>
      <c r="O25" s="189">
        <v>0.48299999999999998</v>
      </c>
      <c r="Q25" s="189" t="e">
        <v>#N/A</v>
      </c>
      <c r="R25" s="189" t="e">
        <v>#N/A</v>
      </c>
      <c r="S25" s="189" t="e">
        <v>#N/A</v>
      </c>
    </row>
    <row r="26" spans="1:19" x14ac:dyDescent="0.25">
      <c r="O26" s="189">
        <f>SUM(O2:O25)</f>
        <v>22.092310000000001</v>
      </c>
    </row>
    <row r="1048444" customFormat="1" ht="14.4" x14ac:dyDescent="0.25"/>
    <row r="1048445" customFormat="1" ht="14.4" x14ac:dyDescent="0.25"/>
    <row r="1048446" customFormat="1" ht="14.4" x14ac:dyDescent="0.25"/>
    <row r="1048447" customFormat="1" ht="14.4" x14ac:dyDescent="0.25"/>
    <row r="1048448" customFormat="1" ht="14.4" x14ac:dyDescent="0.25"/>
    <row r="1048449" customFormat="1" ht="14.4" x14ac:dyDescent="0.25"/>
    <row r="1048450" customFormat="1" ht="14.4" x14ac:dyDescent="0.25"/>
    <row r="1048451" customFormat="1" ht="14.4" x14ac:dyDescent="0.25"/>
    <row r="1048452" customFormat="1" ht="14.4" x14ac:dyDescent="0.25"/>
    <row r="1048453" customFormat="1" ht="14.4" x14ac:dyDescent="0.25"/>
    <row r="1048454" customFormat="1" ht="14.4" x14ac:dyDescent="0.25"/>
    <row r="1048455" customFormat="1" ht="14.4" x14ac:dyDescent="0.25"/>
    <row r="1048456" customFormat="1" ht="14.4" x14ac:dyDescent="0.25"/>
    <row r="1048457" customFormat="1" ht="14.4" x14ac:dyDescent="0.25"/>
    <row r="1048458" customFormat="1" ht="14.4" x14ac:dyDescent="0.25"/>
    <row r="1048459" customFormat="1" ht="14.4" x14ac:dyDescent="0.25"/>
    <row r="1048460" customFormat="1" ht="14.4" x14ac:dyDescent="0.25"/>
    <row r="1048461" customFormat="1" ht="14.4" x14ac:dyDescent="0.25"/>
    <row r="1048462" customFormat="1" ht="14.4" x14ac:dyDescent="0.25"/>
    <row r="1048463" customFormat="1" ht="14.4" x14ac:dyDescent="0.25"/>
    <row r="1048464" customFormat="1" ht="14.4" x14ac:dyDescent="0.25"/>
    <row r="1048465" customFormat="1" ht="14.4" x14ac:dyDescent="0.25"/>
    <row r="1048466" customFormat="1" ht="14.4" x14ac:dyDescent="0.25"/>
    <row r="1048467" customFormat="1" ht="14.4" x14ac:dyDescent="0.25"/>
    <row r="1048468" customFormat="1" ht="14.4" x14ac:dyDescent="0.25"/>
    <row r="1048469" customFormat="1" ht="14.4" x14ac:dyDescent="0.25"/>
    <row r="1048470" customFormat="1" ht="14.4" x14ac:dyDescent="0.25"/>
    <row r="1048471" customFormat="1" ht="14.4" x14ac:dyDescent="0.25"/>
    <row r="1048472" customFormat="1" ht="14.4" x14ac:dyDescent="0.25"/>
    <row r="1048473" customFormat="1" ht="14.4" x14ac:dyDescent="0.25"/>
    <row r="1048474" customFormat="1" ht="14.4" x14ac:dyDescent="0.25"/>
    <row r="1048475" customFormat="1" ht="14.4" x14ac:dyDescent="0.25"/>
    <row r="1048476" customFormat="1" ht="14.4" x14ac:dyDescent="0.25"/>
    <row r="1048477" customFormat="1" ht="14.4" x14ac:dyDescent="0.25"/>
    <row r="1048478" customFormat="1" ht="14.4" x14ac:dyDescent="0.25"/>
    <row r="1048479" customFormat="1" ht="14.4" x14ac:dyDescent="0.25"/>
    <row r="1048480" customFormat="1" ht="14.4" x14ac:dyDescent="0.25"/>
    <row r="1048481" customFormat="1" ht="14.4" x14ac:dyDescent="0.25"/>
    <row r="1048482" customFormat="1" ht="14.4" x14ac:dyDescent="0.25"/>
    <row r="1048483" customFormat="1" ht="14.4" x14ac:dyDescent="0.25"/>
    <row r="1048484" customFormat="1" ht="14.4" x14ac:dyDescent="0.25"/>
    <row r="1048485" customFormat="1" ht="14.4" x14ac:dyDescent="0.25"/>
    <row r="1048486" customFormat="1" ht="14.4" x14ac:dyDescent="0.25"/>
    <row r="1048487" customFormat="1" ht="14.4" x14ac:dyDescent="0.25"/>
    <row r="1048488" customFormat="1" ht="14.4" x14ac:dyDescent="0.25"/>
    <row r="1048489" customFormat="1" ht="14.4" x14ac:dyDescent="0.25"/>
    <row r="1048490" customFormat="1" ht="14.4" x14ac:dyDescent="0.25"/>
    <row r="1048491" customFormat="1" ht="14.4" x14ac:dyDescent="0.25"/>
    <row r="1048492" customFormat="1" ht="14.4" x14ac:dyDescent="0.25"/>
    <row r="1048493" customFormat="1" ht="14.4" x14ac:dyDescent="0.25"/>
    <row r="1048494" customFormat="1" ht="14.4" x14ac:dyDescent="0.25"/>
    <row r="1048495" customFormat="1" ht="14.4" x14ac:dyDescent="0.25"/>
    <row r="1048496" customFormat="1" ht="14.4" x14ac:dyDescent="0.25"/>
    <row r="1048497" customFormat="1" ht="14.4" x14ac:dyDescent="0.25"/>
    <row r="1048498" customFormat="1" ht="14.4" x14ac:dyDescent="0.25"/>
    <row r="1048499" customFormat="1" ht="14.4" x14ac:dyDescent="0.25"/>
    <row r="1048500" customFormat="1" ht="14.4" x14ac:dyDescent="0.25"/>
    <row r="1048501" customFormat="1" ht="14.4" x14ac:dyDescent="0.25"/>
    <row r="1048502" customFormat="1" ht="14.4" x14ac:dyDescent="0.25"/>
    <row r="1048503" customFormat="1" ht="14.4" x14ac:dyDescent="0.25"/>
    <row r="1048504" customFormat="1" ht="14.4" x14ac:dyDescent="0.25"/>
    <row r="1048505" customFormat="1" ht="14.4" x14ac:dyDescent="0.25"/>
    <row r="1048506" customFormat="1" ht="14.4" x14ac:dyDescent="0.25"/>
    <row r="1048507" customFormat="1" ht="14.4" x14ac:dyDescent="0.25"/>
    <row r="1048508" customFormat="1" ht="14.4" x14ac:dyDescent="0.25"/>
    <row r="1048509" customFormat="1" ht="14.4" x14ac:dyDescent="0.25"/>
    <row r="1048510" customFormat="1" ht="14.4" x14ac:dyDescent="0.25"/>
    <row r="1048511" customFormat="1" ht="14.4" x14ac:dyDescent="0.25"/>
    <row r="1048512" customFormat="1" ht="14.4" x14ac:dyDescent="0.25"/>
    <row r="1048513" customFormat="1" ht="14.4" x14ac:dyDescent="0.25"/>
    <row r="1048514" customFormat="1" ht="14.4" x14ac:dyDescent="0.25"/>
    <row r="1048515" customFormat="1" ht="14.4" x14ac:dyDescent="0.25"/>
    <row r="1048516" customFormat="1" ht="14.4" x14ac:dyDescent="0.25"/>
    <row r="1048517" customFormat="1" ht="14.4" x14ac:dyDescent="0.25"/>
    <row r="1048518" customFormat="1" ht="14.4" x14ac:dyDescent="0.25"/>
    <row r="1048519" customFormat="1" ht="14.4" x14ac:dyDescent="0.25"/>
    <row r="1048520" customFormat="1" ht="14.4" x14ac:dyDescent="0.25"/>
    <row r="1048521" customFormat="1" ht="14.4" x14ac:dyDescent="0.25"/>
    <row r="1048522" customFormat="1" ht="14.4" x14ac:dyDescent="0.25"/>
    <row r="1048523" customFormat="1" ht="14.4" x14ac:dyDescent="0.25"/>
    <row r="1048524" customFormat="1" ht="14.4" x14ac:dyDescent="0.25"/>
    <row r="1048525" customFormat="1" ht="14.4" x14ac:dyDescent="0.25"/>
    <row r="1048526" customFormat="1" ht="14.4" x14ac:dyDescent="0.25"/>
    <row r="1048527" customFormat="1" ht="14.4" x14ac:dyDescent="0.25"/>
    <row r="1048528" customFormat="1" ht="14.4" x14ac:dyDescent="0.25"/>
    <row r="1048529" customFormat="1" ht="14.4" x14ac:dyDescent="0.25"/>
    <row r="1048530" customFormat="1" ht="14.4" x14ac:dyDescent="0.25"/>
    <row r="1048531" customFormat="1" ht="14.4" x14ac:dyDescent="0.25"/>
    <row r="1048532" customFormat="1" ht="14.4" x14ac:dyDescent="0.25"/>
    <row r="1048533" customFormat="1" ht="14.4" x14ac:dyDescent="0.25"/>
    <row r="1048534" customFormat="1" ht="14.4" x14ac:dyDescent="0.25"/>
    <row r="1048535" customFormat="1" ht="14.4" x14ac:dyDescent="0.25"/>
    <row r="1048536" customFormat="1" ht="14.4" x14ac:dyDescent="0.25"/>
    <row r="1048537" customFormat="1" ht="14.4" x14ac:dyDescent="0.25"/>
    <row r="1048538" customFormat="1" ht="14.4" x14ac:dyDescent="0.25"/>
    <row r="1048539" customFormat="1" ht="14.4" x14ac:dyDescent="0.25"/>
    <row r="1048540" customFormat="1" ht="14.4" x14ac:dyDescent="0.25"/>
    <row r="1048541" customFormat="1" ht="14.4" x14ac:dyDescent="0.25"/>
    <row r="1048542" customFormat="1" ht="14.4" x14ac:dyDescent="0.25"/>
    <row r="1048543" customFormat="1" ht="14.4" x14ac:dyDescent="0.25"/>
    <row r="1048544" customFormat="1" ht="14.4" x14ac:dyDescent="0.25"/>
    <row r="1048545" customFormat="1" ht="14.4" x14ac:dyDescent="0.25"/>
    <row r="1048546" customFormat="1" ht="14.4" x14ac:dyDescent="0.25"/>
    <row r="1048547" customFormat="1" ht="14.4" x14ac:dyDescent="0.25"/>
    <row r="1048548" customFormat="1" ht="14.4" x14ac:dyDescent="0.25"/>
    <row r="1048549" customFormat="1" ht="14.4" x14ac:dyDescent="0.25"/>
    <row r="1048550" customFormat="1" ht="14.4" x14ac:dyDescent="0.25"/>
    <row r="1048551" customFormat="1" ht="14.4" x14ac:dyDescent="0.25"/>
    <row r="1048552" customFormat="1" ht="14.4" x14ac:dyDescent="0.25"/>
    <row r="1048553" customFormat="1" ht="14.4" x14ac:dyDescent="0.25"/>
    <row r="1048554" customFormat="1" ht="14.4" x14ac:dyDescent="0.25"/>
    <row r="1048555" customFormat="1" ht="14.4" x14ac:dyDescent="0.25"/>
    <row r="1048556" customFormat="1" ht="14.4" x14ac:dyDescent="0.25"/>
    <row r="1048557" customFormat="1" ht="14.4" x14ac:dyDescent="0.25"/>
    <row r="1048558" customFormat="1" ht="14.4" x14ac:dyDescent="0.25"/>
    <row r="1048559" customFormat="1" ht="14.4" x14ac:dyDescent="0.25"/>
    <row r="1048560" customFormat="1" ht="14.4" x14ac:dyDescent="0.25"/>
    <row r="1048561" customFormat="1" ht="14.4" x14ac:dyDescent="0.25"/>
    <row r="1048562" customFormat="1" ht="14.4" x14ac:dyDescent="0.25"/>
    <row r="1048563" customFormat="1" ht="14.4" x14ac:dyDescent="0.25"/>
    <row r="1048564" customFormat="1" ht="14.4" x14ac:dyDescent="0.25"/>
    <row r="1048565" customFormat="1" ht="14.4" x14ac:dyDescent="0.25"/>
    <row r="1048566" customFormat="1" ht="14.4" x14ac:dyDescent="0.25"/>
    <row r="1048567" customFormat="1" ht="14.4" x14ac:dyDescent="0.25"/>
    <row r="1048568" customFormat="1" ht="14.4" x14ac:dyDescent="0.25"/>
    <row r="1048569" customFormat="1" ht="14.4" x14ac:dyDescent="0.25"/>
    <row r="1048570" customFormat="1" ht="14.4" x14ac:dyDescent="0.25"/>
    <row r="1048571" customFormat="1" ht="14.4" x14ac:dyDescent="0.25"/>
    <row r="1048572" customFormat="1" ht="14.4" x14ac:dyDescent="0.25"/>
    <row r="1048573" customFormat="1" ht="14.4" x14ac:dyDescent="0.25"/>
    <row r="1048574" customFormat="1" ht="14.4" x14ac:dyDescent="0.25"/>
    <row r="1048575" customFormat="1" ht="14.4" x14ac:dyDescent="0.25"/>
    <row r="1048576" customFormat="1" ht="14.4" x14ac:dyDescent="0.25"/>
  </sheetData>
  <phoneticPr fontId="5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86"/>
  <sheetViews>
    <sheetView topLeftCell="A147" workbookViewId="0">
      <selection activeCell="N2" sqref="N2:N185"/>
    </sheetView>
  </sheetViews>
  <sheetFormatPr defaultColWidth="9" defaultRowHeight="14.4" x14ac:dyDescent="0.25"/>
  <cols>
    <col min="1" max="1" width="4.6640625" style="174" customWidth="1"/>
    <col min="2" max="2" width="16.33203125" style="174" customWidth="1"/>
    <col min="3" max="3" width="18.88671875" style="175" customWidth="1"/>
    <col min="4" max="4" width="50.44140625" style="175" customWidth="1"/>
    <col min="5" max="5" width="13.44140625" style="175" customWidth="1"/>
    <col min="6" max="6" width="9" style="174" customWidth="1"/>
    <col min="7" max="7" width="6.77734375" style="175" customWidth="1"/>
    <col min="8" max="8" width="9" style="175" hidden="1" customWidth="1"/>
    <col min="9" max="9" width="9" style="53" hidden="1" customWidth="1"/>
    <col min="10" max="13" width="9" style="53"/>
    <col min="14" max="14" width="9.5546875" style="53"/>
    <col min="15" max="16384" width="9" style="53"/>
  </cols>
  <sheetData>
    <row r="1" spans="1:19" x14ac:dyDescent="0.25">
      <c r="A1" s="176" t="s">
        <v>278</v>
      </c>
      <c r="B1" s="176" t="s">
        <v>279</v>
      </c>
      <c r="C1" s="99" t="s">
        <v>280</v>
      </c>
      <c r="D1" s="99" t="s">
        <v>281</v>
      </c>
      <c r="E1" s="99" t="s">
        <v>282</v>
      </c>
      <c r="F1" s="176" t="s">
        <v>283</v>
      </c>
      <c r="G1" s="99" t="s">
        <v>284</v>
      </c>
      <c r="H1" s="99" t="s">
        <v>285</v>
      </c>
      <c r="I1" s="99" t="s">
        <v>28</v>
      </c>
      <c r="J1" s="180" t="s">
        <v>29</v>
      </c>
      <c r="K1" s="180" t="s">
        <v>30</v>
      </c>
      <c r="L1" s="180" t="s">
        <v>31</v>
      </c>
      <c r="M1" s="180" t="s">
        <v>32</v>
      </c>
      <c r="N1" s="180" t="s">
        <v>33</v>
      </c>
      <c r="O1" s="180" t="s">
        <v>27</v>
      </c>
      <c r="P1" s="180" t="s">
        <v>286</v>
      </c>
      <c r="Q1" s="180" t="s">
        <v>35</v>
      </c>
      <c r="R1" s="180" t="s">
        <v>36</v>
      </c>
      <c r="S1" s="184" t="s">
        <v>37</v>
      </c>
    </row>
    <row r="2" spans="1:19" x14ac:dyDescent="0.25">
      <c r="A2" s="177">
        <v>1</v>
      </c>
      <c r="B2" s="177" t="s">
        <v>287</v>
      </c>
      <c r="C2" s="118" t="s">
        <v>288</v>
      </c>
      <c r="D2" s="118" t="s">
        <v>289</v>
      </c>
      <c r="E2" s="118" t="s">
        <v>290</v>
      </c>
      <c r="F2" s="177">
        <v>1</v>
      </c>
      <c r="G2" s="118" t="s">
        <v>288</v>
      </c>
      <c r="H2" s="118" t="s">
        <v>291</v>
      </c>
      <c r="I2" s="119" t="s">
        <v>43</v>
      </c>
      <c r="J2" s="74" t="e">
        <f>VLOOKUP($B2,[2]Sheet2!$D:$J,3,0)</f>
        <v>#N/A</v>
      </c>
      <c r="K2" s="74" t="e">
        <f>VLOOKUP($B2,[2]Sheet2!$D:$J,4,0)</f>
        <v>#N/A</v>
      </c>
      <c r="L2" s="74" t="e">
        <f>VLOOKUP($B2,[2]Sheet2!$D:$J,2,0)</f>
        <v>#N/A</v>
      </c>
      <c r="M2" s="74">
        <f>120*94*282/1000000</f>
        <v>3.1809599999999998</v>
      </c>
      <c r="N2" s="110">
        <f>M2*F2</f>
        <v>3.1809599999999998</v>
      </c>
      <c r="O2" s="110"/>
      <c r="P2" s="74" t="e">
        <f>VLOOKUP($B2,[2]Sheet2!$D:$J,5,0)</f>
        <v>#N/A</v>
      </c>
      <c r="Q2" s="74" t="e">
        <f>VLOOKUP($B2,[2]Sheet2!$D:$J,6,0)</f>
        <v>#N/A</v>
      </c>
      <c r="R2" s="74" t="e">
        <f>VLOOKUP($B2,[2]Sheet2!$D:$J,7,0)</f>
        <v>#N/A</v>
      </c>
      <c r="S2" s="110" t="s">
        <v>37</v>
      </c>
    </row>
    <row r="3" spans="1:19" x14ac:dyDescent="0.25">
      <c r="A3" s="177">
        <v>2</v>
      </c>
      <c r="B3" s="177">
        <v>1015</v>
      </c>
      <c r="C3" s="118" t="s">
        <v>198</v>
      </c>
      <c r="D3" s="118" t="s">
        <v>199</v>
      </c>
      <c r="E3" s="118" t="s">
        <v>292</v>
      </c>
      <c r="F3" s="177">
        <v>1</v>
      </c>
      <c r="G3" s="118" t="s">
        <v>201</v>
      </c>
      <c r="H3" s="118" t="s">
        <v>118</v>
      </c>
      <c r="I3" s="74"/>
      <c r="J3" s="181" t="e">
        <f>VLOOKUP($B3,[2]Sheet2!$D:$J,3,0)</f>
        <v>#N/A</v>
      </c>
      <c r="K3" s="181" t="e">
        <f>VLOOKUP($B3,[2]Sheet2!$D:$J,4,0)</f>
        <v>#N/A</v>
      </c>
      <c r="L3" s="181" t="e">
        <f>VLOOKUP($B3,[2]Sheet2!$D:$J,2,0)</f>
        <v>#N/A</v>
      </c>
      <c r="M3" s="181">
        <v>5.89</v>
      </c>
      <c r="N3" s="110">
        <f>M3*F3</f>
        <v>5.89</v>
      </c>
      <c r="O3" s="182"/>
      <c r="P3" s="181" t="e">
        <f>VLOOKUP($B3,[2]Sheet2!$D:$J,5,0)</f>
        <v>#N/A</v>
      </c>
      <c r="Q3" s="181" t="e">
        <f>VLOOKUP($B3,[2]Sheet2!$D:$J,6,0)</f>
        <v>#N/A</v>
      </c>
      <c r="R3" s="181" t="e">
        <f>VLOOKUP($B3,[2]Sheet2!$D:$J,7,0)</f>
        <v>#N/A</v>
      </c>
      <c r="S3" s="110" t="s">
        <v>37</v>
      </c>
    </row>
    <row r="4" spans="1:19" x14ac:dyDescent="0.25">
      <c r="A4" s="177">
        <v>3</v>
      </c>
      <c r="B4" s="177">
        <v>1015</v>
      </c>
      <c r="C4" s="118" t="s">
        <v>293</v>
      </c>
      <c r="D4" s="118" t="s">
        <v>294</v>
      </c>
      <c r="E4" s="118" t="s">
        <v>295</v>
      </c>
      <c r="F4" s="177">
        <v>2</v>
      </c>
      <c r="G4" s="118" t="s">
        <v>296</v>
      </c>
      <c r="H4" s="118" t="s">
        <v>118</v>
      </c>
      <c r="I4" s="74"/>
      <c r="J4" s="53" t="e">
        <f>VLOOKUP($B4,[2]Sheet2!$D:$J,3,0)</f>
        <v>#N/A</v>
      </c>
      <c r="K4" s="53" t="e">
        <f>VLOOKUP($B4,[2]Sheet2!$D:$J,4,0)</f>
        <v>#N/A</v>
      </c>
      <c r="L4" s="53" t="e">
        <f>VLOOKUP($B4,[2]Sheet2!$D:$J,2,0)</f>
        <v>#N/A</v>
      </c>
      <c r="M4" s="53">
        <v>0.14000000000000001</v>
      </c>
      <c r="N4" s="110">
        <f t="shared" ref="N4:N9" si="0">M4*F4</f>
        <v>0.28000000000000003</v>
      </c>
      <c r="P4" s="53" t="e">
        <f>VLOOKUP($B4,[2]Sheet2!$D:$J,5,0)</f>
        <v>#N/A</v>
      </c>
      <c r="Q4" s="53" t="e">
        <f>VLOOKUP($B4,[2]Sheet2!$D:$J,6,0)</f>
        <v>#N/A</v>
      </c>
      <c r="R4" s="53" t="e">
        <f>VLOOKUP($B4,[2]Sheet2!$D:$J,7,0)</f>
        <v>#N/A</v>
      </c>
      <c r="S4" s="182" t="s">
        <v>37</v>
      </c>
    </row>
    <row r="5" spans="1:19" x14ac:dyDescent="0.25">
      <c r="A5" s="177">
        <v>4</v>
      </c>
      <c r="B5" s="177">
        <v>10110016349</v>
      </c>
      <c r="C5" s="118" t="s">
        <v>297</v>
      </c>
      <c r="D5" s="118" t="s">
        <v>298</v>
      </c>
      <c r="E5" s="118" t="s">
        <v>299</v>
      </c>
      <c r="F5" s="177">
        <v>24</v>
      </c>
      <c r="G5" s="118" t="s">
        <v>300</v>
      </c>
      <c r="H5" s="118" t="s">
        <v>291</v>
      </c>
      <c r="I5" s="74"/>
      <c r="J5" s="53">
        <f>VLOOKUP($B5,[2]Sheet2!$D:$J,3,0)</f>
        <v>4.0899999999999999E-3</v>
      </c>
      <c r="K5" s="53" t="str">
        <f>VLOOKUP($B5,[2]Sheet2!$D:$J,4,0)</f>
        <v>CNY</v>
      </c>
      <c r="L5" s="53" t="str">
        <f>VLOOKUP($B5,[2]Sheet2!$D:$J,2,0)</f>
        <v>广东顺德集财电子有限公司</v>
      </c>
      <c r="M5" s="53">
        <f t="shared" ref="M5:M8" si="1">J5</f>
        <v>4.0899999999999999E-3</v>
      </c>
      <c r="N5" s="110">
        <f t="shared" si="0"/>
        <v>9.8159999999999997E-2</v>
      </c>
      <c r="P5" s="53" t="str">
        <f>VLOOKUP($B5,[2]Sheet2!$D:$J,5,0)</f>
        <v>56</v>
      </c>
      <c r="Q5" s="53" t="str">
        <f>VLOOKUP($B5,[2]Sheet2!$D:$J,6,0)</f>
        <v>10,000.000</v>
      </c>
      <c r="R5" s="53" t="str">
        <f>VLOOKUP($B5,[2]Sheet2!$D:$J,7,0)</f>
        <v>10,000.000</v>
      </c>
      <c r="S5" s="182" t="s">
        <v>37</v>
      </c>
    </row>
    <row r="6" spans="1:19" x14ac:dyDescent="0.25">
      <c r="A6" s="177"/>
      <c r="B6" s="177">
        <v>10110006771</v>
      </c>
      <c r="C6" s="118" t="s">
        <v>301</v>
      </c>
      <c r="D6" s="118" t="s">
        <v>302</v>
      </c>
      <c r="E6" s="118" t="s">
        <v>303</v>
      </c>
      <c r="F6" s="177">
        <v>24</v>
      </c>
      <c r="G6" s="118" t="s">
        <v>300</v>
      </c>
      <c r="H6" s="118"/>
      <c r="I6" s="74"/>
      <c r="J6" s="53">
        <f>VLOOKUP($B6,[2]Sheet2!$D:$J,3,0)</f>
        <v>4.9500000000000004E-3</v>
      </c>
      <c r="K6" s="53" t="str">
        <f>VLOOKUP($B6,[2]Sheet2!$D:$J,4,0)</f>
        <v>CNY</v>
      </c>
      <c r="L6" s="53" t="str">
        <f>VLOOKUP($B6,[2]Sheet2!$D:$J,2,0)</f>
        <v>深圳市奥特高科电子有限公司</v>
      </c>
      <c r="M6" s="53">
        <f t="shared" si="1"/>
        <v>4.9500000000000004E-3</v>
      </c>
      <c r="P6" s="53" t="str">
        <f>VLOOKUP($B6,[2]Sheet2!$D:$J,5,0)</f>
        <v>56</v>
      </c>
      <c r="Q6" s="53" t="str">
        <f>VLOOKUP($B6,[2]Sheet2!$D:$J,6,0)</f>
        <v>10,000.000</v>
      </c>
      <c r="R6" s="53" t="str">
        <f>VLOOKUP($B6,[2]Sheet2!$D:$J,7,0)</f>
        <v>10,000.000</v>
      </c>
    </row>
    <row r="7" spans="1:19" x14ac:dyDescent="0.25">
      <c r="A7" s="177"/>
      <c r="B7" s="177">
        <v>10110008257</v>
      </c>
      <c r="C7" s="118" t="s">
        <v>297</v>
      </c>
      <c r="D7" s="118" t="s">
        <v>304</v>
      </c>
      <c r="E7" s="118" t="s">
        <v>305</v>
      </c>
      <c r="F7" s="177">
        <v>24</v>
      </c>
      <c r="G7" s="118" t="s">
        <v>300</v>
      </c>
      <c r="H7" s="118" t="s">
        <v>291</v>
      </c>
      <c r="I7" s="74"/>
      <c r="J7" s="53">
        <f>VLOOKUP($B7,[2]Sheet2!$D:$J,3,0)</f>
        <v>4.5999999999999999E-3</v>
      </c>
      <c r="K7" s="53" t="str">
        <f>VLOOKUP($B7,[2]Sheet2!$D:$J,4,0)</f>
        <v>CNY</v>
      </c>
      <c r="L7" s="53" t="str">
        <f>VLOOKUP($B7,[2]Sheet2!$D:$J,2,0)</f>
        <v>深圳市兴鸿宇科技有限公司</v>
      </c>
      <c r="M7" s="53">
        <f t="shared" si="1"/>
        <v>4.5999999999999999E-3</v>
      </c>
      <c r="P7" s="53" t="str">
        <f>VLOOKUP($B7,[2]Sheet2!$D:$J,5,0)</f>
        <v>56</v>
      </c>
      <c r="Q7" s="53" t="str">
        <f>VLOOKUP($B7,[2]Sheet2!$D:$J,6,0)</f>
        <v>10,000.000</v>
      </c>
      <c r="R7" s="53" t="str">
        <f>VLOOKUP($B7,[2]Sheet2!$D:$J,7,0)</f>
        <v>10,000.000</v>
      </c>
      <c r="S7" s="110"/>
    </row>
    <row r="8" spans="1:19" x14ac:dyDescent="0.25">
      <c r="A8" s="177"/>
      <c r="B8" s="177">
        <v>10110008724</v>
      </c>
      <c r="C8" s="118" t="s">
        <v>297</v>
      </c>
      <c r="D8" s="118" t="s">
        <v>306</v>
      </c>
      <c r="E8" s="118" t="s">
        <v>307</v>
      </c>
      <c r="F8" s="177">
        <v>24</v>
      </c>
      <c r="G8" s="118" t="s">
        <v>300</v>
      </c>
      <c r="H8" s="118"/>
      <c r="I8" s="74"/>
      <c r="J8" s="53">
        <f>VLOOKUP($B8,[2]Sheet2!$D:$J,3,0)</f>
        <v>4.1000000000000003E-3</v>
      </c>
      <c r="K8" s="53" t="str">
        <f>VLOOKUP($B8,[2]Sheet2!$D:$J,4,0)</f>
        <v>CNY</v>
      </c>
      <c r="L8" s="53" t="str">
        <f>VLOOKUP($B8,[2]Sheet2!$D:$J,2,0)</f>
        <v>广东顺德集财电子有限公司</v>
      </c>
      <c r="M8" s="53">
        <f t="shared" si="1"/>
        <v>4.1000000000000003E-3</v>
      </c>
      <c r="P8" s="53" t="str">
        <f>VLOOKUP($B8,[2]Sheet2!$D:$J,5,0)</f>
        <v>56</v>
      </c>
      <c r="Q8" s="53" t="str">
        <f>VLOOKUP($B8,[2]Sheet2!$D:$J,6,0)</f>
        <v>10,000.000</v>
      </c>
      <c r="R8" s="53" t="str">
        <f>VLOOKUP($B8,[2]Sheet2!$D:$J,7,0)</f>
        <v>10,000.000</v>
      </c>
      <c r="S8" s="110"/>
    </row>
    <row r="9" spans="1:19" x14ac:dyDescent="0.25">
      <c r="A9" s="177">
        <v>5</v>
      </c>
      <c r="B9" s="177" t="s">
        <v>287</v>
      </c>
      <c r="C9" s="118" t="s">
        <v>308</v>
      </c>
      <c r="D9" s="118" t="s">
        <v>203</v>
      </c>
      <c r="E9" s="178" t="s">
        <v>204</v>
      </c>
      <c r="F9" s="177">
        <v>4</v>
      </c>
      <c r="G9" s="118" t="s">
        <v>205</v>
      </c>
      <c r="H9" s="118" t="s">
        <v>291</v>
      </c>
      <c r="I9" s="74"/>
      <c r="J9" s="53" t="e">
        <f>VLOOKUP($B9,[2]Sheet2!$D:$J,3,0)</f>
        <v>#N/A</v>
      </c>
      <c r="K9" s="53" t="e">
        <f>VLOOKUP($B9,[2]Sheet2!$D:$J,4,0)</f>
        <v>#N/A</v>
      </c>
      <c r="L9" s="53" t="e">
        <f>VLOOKUP($B9,[2]Sheet2!$D:$J,2,0)</f>
        <v>#N/A</v>
      </c>
      <c r="M9" s="53">
        <v>0.188</v>
      </c>
      <c r="N9" s="110">
        <f t="shared" si="0"/>
        <v>0.752</v>
      </c>
      <c r="O9" s="112" t="s">
        <v>206</v>
      </c>
      <c r="P9" s="53" t="e">
        <f>VLOOKUP($B9,[2]Sheet2!$D:$J,5,0)</f>
        <v>#N/A</v>
      </c>
      <c r="Q9" s="53" t="e">
        <f>VLOOKUP($B9,[2]Sheet2!$D:$J,6,0)</f>
        <v>#N/A</v>
      </c>
      <c r="R9" s="53" t="e">
        <f>VLOOKUP($B9,[2]Sheet2!$D:$J,7,0)</f>
        <v>#N/A</v>
      </c>
      <c r="S9" s="182" t="s">
        <v>37</v>
      </c>
    </row>
    <row r="10" spans="1:19" x14ac:dyDescent="0.25">
      <c r="A10" s="177">
        <v>6</v>
      </c>
      <c r="B10" s="179">
        <v>10110008934</v>
      </c>
      <c r="C10" s="118" t="s">
        <v>297</v>
      </c>
      <c r="D10" s="118" t="s">
        <v>309</v>
      </c>
      <c r="E10" s="118" t="s">
        <v>307</v>
      </c>
      <c r="F10" s="177">
        <v>1</v>
      </c>
      <c r="G10" s="118" t="s">
        <v>310</v>
      </c>
      <c r="H10" s="118"/>
      <c r="I10" s="74"/>
      <c r="J10" s="53">
        <f>VLOOKUP($B10,[2]Sheet2!$D:$J,3,0)</f>
        <v>9.8000000000000004E-2</v>
      </c>
      <c r="K10" s="53" t="str">
        <f>VLOOKUP($B10,[2]Sheet2!$D:$J,4,0)</f>
        <v>CNY</v>
      </c>
      <c r="L10" s="53" t="str">
        <f>VLOOKUP($B10,[2]Sheet2!$D:$J,2,0)</f>
        <v>广东顺德集财电子有限公司</v>
      </c>
      <c r="M10" s="53">
        <f t="shared" ref="M10:M12" si="2">J10</f>
        <v>9.8000000000000004E-2</v>
      </c>
      <c r="P10" s="53" t="str">
        <f>VLOOKUP($B10,[2]Sheet2!$D:$J,5,0)</f>
        <v>56</v>
      </c>
      <c r="Q10" s="53" t="str">
        <f>VLOOKUP($B10,[2]Sheet2!$D:$J,6,0)</f>
        <v>2,000.000</v>
      </c>
      <c r="R10" s="53" t="str">
        <f>VLOOKUP($B10,[2]Sheet2!$D:$J,7,0)</f>
        <v>2,000.000</v>
      </c>
    </row>
    <row r="11" spans="1:19" x14ac:dyDescent="0.25">
      <c r="A11" s="177"/>
      <c r="B11" s="179">
        <v>10110009071</v>
      </c>
      <c r="C11" s="118" t="s">
        <v>297</v>
      </c>
      <c r="D11" s="118" t="s">
        <v>311</v>
      </c>
      <c r="E11" s="118" t="s">
        <v>305</v>
      </c>
      <c r="F11" s="177">
        <v>1</v>
      </c>
      <c r="G11" s="118" t="s">
        <v>310</v>
      </c>
      <c r="H11" s="118" t="s">
        <v>291</v>
      </c>
      <c r="I11" s="74"/>
      <c r="J11" s="53">
        <f>VLOOKUP($B11,[2]Sheet2!$D:$J,3,0)</f>
        <v>0.16964000000000001</v>
      </c>
      <c r="K11" s="53" t="str">
        <f>VLOOKUP($B11,[2]Sheet2!$D:$J,4,0)</f>
        <v>CNY</v>
      </c>
      <c r="L11" s="53" t="str">
        <f>VLOOKUP($B11,[2]Sheet2!$D:$J,2,0)</f>
        <v>东莞华科电子有限公司</v>
      </c>
      <c r="M11" s="53">
        <f t="shared" si="2"/>
        <v>0.16964000000000001</v>
      </c>
      <c r="P11" s="53" t="str">
        <f>VLOOKUP($B11,[2]Sheet2!$D:$J,5,0)</f>
        <v>84</v>
      </c>
      <c r="Q11" s="53" t="str">
        <f>VLOOKUP($B11,[2]Sheet2!$D:$J,6,0)</f>
        <v>3,000.000</v>
      </c>
      <c r="R11" s="53" t="str">
        <f>VLOOKUP($B11,[2]Sheet2!$D:$J,7,0)</f>
        <v>3,000.000</v>
      </c>
    </row>
    <row r="12" spans="1:19" x14ac:dyDescent="0.25">
      <c r="A12" s="177"/>
      <c r="B12" s="179">
        <v>10110024666</v>
      </c>
      <c r="C12" s="118" t="s">
        <v>297</v>
      </c>
      <c r="D12" s="118" t="s">
        <v>312</v>
      </c>
      <c r="E12" s="118" t="s">
        <v>313</v>
      </c>
      <c r="F12" s="177">
        <v>1</v>
      </c>
      <c r="G12" s="118" t="s">
        <v>310</v>
      </c>
      <c r="H12" s="118" t="s">
        <v>291</v>
      </c>
      <c r="I12" s="74"/>
      <c r="J12" s="53">
        <f>VLOOKUP($B12,[2]Sheet2!$D:$J,3,0)</f>
        <v>6.7000000000000004E-2</v>
      </c>
      <c r="K12" s="53" t="str">
        <f>VLOOKUP($B12,[2]Sheet2!$D:$J,4,0)</f>
        <v>CNY</v>
      </c>
      <c r="L12" s="53" t="str">
        <f>VLOOKUP($B12,[2]Sheet2!$D:$J,2,0)</f>
        <v>深圳市阳和通电子有限公司</v>
      </c>
      <c r="M12" s="53">
        <f t="shared" si="2"/>
        <v>6.7000000000000004E-2</v>
      </c>
      <c r="N12" s="110">
        <f t="shared" ref="N12:N17" si="3">M12*F12</f>
        <v>6.7000000000000004E-2</v>
      </c>
      <c r="P12" s="53" t="str">
        <f>VLOOKUP($B12,[2]Sheet2!$D:$J,5,0)</f>
        <v>56</v>
      </c>
      <c r="Q12" s="53" t="str">
        <f>VLOOKUP($B12,[2]Sheet2!$D:$J,6,0)</f>
        <v>2,000.000</v>
      </c>
      <c r="R12" s="53" t="str">
        <f>VLOOKUP($B12,[2]Sheet2!$D:$J,7,0)</f>
        <v>2,000.000</v>
      </c>
      <c r="S12" s="110" t="s">
        <v>37</v>
      </c>
    </row>
    <row r="13" spans="1:19" x14ac:dyDescent="0.25">
      <c r="A13" s="177">
        <v>7</v>
      </c>
      <c r="B13" s="177" t="s">
        <v>287</v>
      </c>
      <c r="C13" s="118" t="s">
        <v>314</v>
      </c>
      <c r="D13" s="241" t="s">
        <v>315</v>
      </c>
      <c r="E13" s="178" t="s">
        <v>209</v>
      </c>
      <c r="F13" s="177">
        <v>3</v>
      </c>
      <c r="G13" s="241" t="s">
        <v>210</v>
      </c>
      <c r="H13" s="118" t="s">
        <v>291</v>
      </c>
      <c r="I13" s="74"/>
      <c r="J13" s="53" t="e">
        <f>VLOOKUP($B13,[2]Sheet2!$D:$J,3,0)</f>
        <v>#N/A</v>
      </c>
      <c r="K13" s="53" t="e">
        <f>VLOOKUP($B13,[2]Sheet2!$D:$J,4,0)</f>
        <v>#N/A</v>
      </c>
      <c r="L13" s="53" t="e">
        <f>VLOOKUP($B13,[2]Sheet2!$D:$J,2,0)</f>
        <v>#N/A</v>
      </c>
      <c r="M13" s="53">
        <v>0.73450000000000004</v>
      </c>
      <c r="N13" s="110">
        <f t="shared" si="3"/>
        <v>2.2035</v>
      </c>
      <c r="O13" s="112" t="s">
        <v>211</v>
      </c>
      <c r="P13" s="53" t="e">
        <f>VLOOKUP($B13,[2]Sheet2!$D:$J,5,0)</f>
        <v>#N/A</v>
      </c>
      <c r="Q13" s="53" t="e">
        <f>VLOOKUP($B13,[2]Sheet2!$D:$J,6,0)</f>
        <v>#N/A</v>
      </c>
      <c r="R13" s="53" t="e">
        <f>VLOOKUP($B13,[2]Sheet2!$D:$J,7,0)</f>
        <v>#N/A</v>
      </c>
      <c r="S13" s="110" t="s">
        <v>37</v>
      </c>
    </row>
    <row r="14" spans="1:19" x14ac:dyDescent="0.25">
      <c r="A14" s="177">
        <v>8</v>
      </c>
      <c r="B14" s="177">
        <v>10110014746</v>
      </c>
      <c r="C14" s="118" t="s">
        <v>316</v>
      </c>
      <c r="D14" s="118" t="s">
        <v>317</v>
      </c>
      <c r="E14" s="118" t="s">
        <v>318</v>
      </c>
      <c r="F14" s="177">
        <v>2</v>
      </c>
      <c r="G14" s="241" t="s">
        <v>319</v>
      </c>
      <c r="H14" s="118"/>
      <c r="I14" s="74"/>
      <c r="J14" s="53">
        <f>VLOOKUP($B14,[2]Sheet2!$D:$J,3,0)</f>
        <v>0.23311999999999999</v>
      </c>
      <c r="K14" s="53" t="str">
        <f>VLOOKUP($B14,[2]Sheet2!$D:$J,4,0)</f>
        <v>CNY</v>
      </c>
      <c r="L14" s="53" t="str">
        <f>VLOOKUP($B14,[2]Sheet2!$D:$J,2,0)</f>
        <v>汕头保税区松田电子科技有限公司</v>
      </c>
      <c r="M14" s="53">
        <f t="shared" ref="M14:M16" si="4">J14</f>
        <v>0.23311999999999999</v>
      </c>
      <c r="P14" s="53" t="str">
        <f>VLOOKUP($B14,[2]Sheet2!$D:$J,5,0)</f>
        <v>28</v>
      </c>
      <c r="Q14" s="53" t="str">
        <f>VLOOKUP($B14,[2]Sheet2!$D:$J,6,0)</f>
        <v>1,000.000</v>
      </c>
      <c r="R14" s="53" t="str">
        <f>VLOOKUP($B14,[2]Sheet2!$D:$J,7,0)</f>
        <v>1,000.000</v>
      </c>
      <c r="S14" s="110"/>
    </row>
    <row r="15" spans="1:19" x14ac:dyDescent="0.25">
      <c r="A15" s="177"/>
      <c r="B15" s="177">
        <v>10110022271</v>
      </c>
      <c r="C15" s="118" t="s">
        <v>316</v>
      </c>
      <c r="D15" s="118" t="s">
        <v>320</v>
      </c>
      <c r="E15" s="105" t="s">
        <v>321</v>
      </c>
      <c r="F15" s="177">
        <v>2</v>
      </c>
      <c r="G15" s="241" t="s">
        <v>319</v>
      </c>
      <c r="H15" s="111" t="s">
        <v>322</v>
      </c>
      <c r="I15" s="74"/>
      <c r="J15" s="53">
        <f>VLOOKUP($B15,[2]Sheet2!$D:$J,3,0)</f>
        <v>0.26300000000000001</v>
      </c>
      <c r="K15" s="53" t="str">
        <f>VLOOKUP($B15,[2]Sheet2!$D:$J,4,0)</f>
        <v>CNY</v>
      </c>
      <c r="L15" s="53" t="str">
        <f>VLOOKUP($B15,[2]Sheet2!$D:$J,2,0)</f>
        <v>六和电子（江西）有限公司</v>
      </c>
      <c r="M15" s="53">
        <f t="shared" si="4"/>
        <v>0.26300000000000001</v>
      </c>
      <c r="P15" s="53" t="str">
        <f>VLOOKUP($B15,[2]Sheet2!$D:$J,5,0)</f>
        <v>35</v>
      </c>
      <c r="Q15" s="53" t="str">
        <f>VLOOKUP($B15,[2]Sheet2!$D:$J,6,0)</f>
        <v>4,000.000</v>
      </c>
      <c r="R15" s="53" t="str">
        <f>VLOOKUP($B15,[2]Sheet2!$D:$J,7,0)</f>
        <v>4,000.000</v>
      </c>
      <c r="S15" s="110"/>
    </row>
    <row r="16" spans="1:19" x14ac:dyDescent="0.25">
      <c r="A16" s="177"/>
      <c r="B16" s="179">
        <v>10110024693</v>
      </c>
      <c r="C16" s="118" t="s">
        <v>316</v>
      </c>
      <c r="D16" s="118" t="s">
        <v>323</v>
      </c>
      <c r="E16" s="105" t="s">
        <v>324</v>
      </c>
      <c r="F16" s="177">
        <v>2</v>
      </c>
      <c r="G16" s="241" t="s">
        <v>319</v>
      </c>
      <c r="H16" s="111" t="s">
        <v>322</v>
      </c>
      <c r="I16" s="74"/>
      <c r="J16" s="53">
        <f>VLOOKUP($B16,[2]Sheet2!$D:$J,3,0)</f>
        <v>0.14535000000000001</v>
      </c>
      <c r="K16" s="53" t="str">
        <f>VLOOKUP($B16,[2]Sheet2!$D:$J,4,0)</f>
        <v>CNY</v>
      </c>
      <c r="L16" s="53" t="str">
        <f>VLOOKUP($B16,[2]Sheet2!$D:$J,2,0)</f>
        <v>东莞昱新电子有限公司</v>
      </c>
      <c r="M16" s="53">
        <f t="shared" si="4"/>
        <v>0.14535000000000001</v>
      </c>
      <c r="N16" s="110">
        <f t="shared" si="3"/>
        <v>0.29070000000000001</v>
      </c>
      <c r="P16" s="53" t="str">
        <f>VLOOKUP($B16,[2]Sheet2!$D:$J,5,0)</f>
        <v>20</v>
      </c>
      <c r="Q16" s="53" t="str">
        <f>VLOOKUP($B16,[2]Sheet2!$D:$J,6,0)</f>
        <v>6,000.000</v>
      </c>
      <c r="R16" s="53" t="str">
        <f>VLOOKUP($B16,[2]Sheet2!$D:$J,7,0)</f>
        <v>600.000</v>
      </c>
      <c r="S16" s="182" t="s">
        <v>37</v>
      </c>
    </row>
    <row r="17" spans="1:19" x14ac:dyDescent="0.25">
      <c r="A17" s="177">
        <v>9</v>
      </c>
      <c r="B17" s="177" t="s">
        <v>287</v>
      </c>
      <c r="C17" s="241" t="s">
        <v>325</v>
      </c>
      <c r="D17" s="241" t="s">
        <v>326</v>
      </c>
      <c r="E17" s="111" t="s">
        <v>214</v>
      </c>
      <c r="F17" s="177">
        <v>1</v>
      </c>
      <c r="G17" s="118" t="s">
        <v>215</v>
      </c>
      <c r="H17" s="118" t="s">
        <v>291</v>
      </c>
      <c r="I17" s="74"/>
      <c r="J17" s="53" t="e">
        <f>VLOOKUP($B17,[2]Sheet2!$D:$J,3,0)</f>
        <v>#N/A</v>
      </c>
      <c r="K17" s="53" t="e">
        <f>VLOOKUP($B17,[2]Sheet2!$D:$J,4,0)</f>
        <v>#N/A</v>
      </c>
      <c r="L17" s="53" t="e">
        <f>VLOOKUP($B17,[2]Sheet2!$D:$J,2,0)</f>
        <v>#N/A</v>
      </c>
      <c r="M17" s="53">
        <v>1.5820000000000001</v>
      </c>
      <c r="N17" s="110">
        <f t="shared" si="3"/>
        <v>1.5820000000000001</v>
      </c>
      <c r="P17" s="53" t="e">
        <f>VLOOKUP($B17,[2]Sheet2!$D:$J,5,0)</f>
        <v>#N/A</v>
      </c>
      <c r="Q17" s="53" t="e">
        <f>VLOOKUP($B17,[2]Sheet2!$D:$J,6,0)</f>
        <v>#N/A</v>
      </c>
      <c r="R17" s="53" t="e">
        <f>VLOOKUP($B17,[2]Sheet2!$D:$J,7,0)</f>
        <v>#N/A</v>
      </c>
      <c r="S17" s="182" t="s">
        <v>37</v>
      </c>
    </row>
    <row r="18" spans="1:19" x14ac:dyDescent="0.25">
      <c r="A18" s="177">
        <v>10</v>
      </c>
      <c r="B18" s="179">
        <v>10110003080</v>
      </c>
      <c r="C18" s="118" t="s">
        <v>297</v>
      </c>
      <c r="D18" s="118" t="s">
        <v>327</v>
      </c>
      <c r="E18" s="118" t="s">
        <v>305</v>
      </c>
      <c r="F18" s="177">
        <v>1</v>
      </c>
      <c r="G18" s="241" t="s">
        <v>328</v>
      </c>
      <c r="H18" s="118" t="s">
        <v>291</v>
      </c>
      <c r="I18" s="74"/>
      <c r="J18" s="53">
        <f>VLOOKUP($B18,[2]Sheet2!$D:$J,3,0)</f>
        <v>0.19800000000000001</v>
      </c>
      <c r="K18" s="53" t="str">
        <f>VLOOKUP($B18,[2]Sheet2!$D:$J,4,0)</f>
        <v>CNY</v>
      </c>
      <c r="L18" s="53" t="str">
        <f>VLOOKUP($B18,[2]Sheet2!$D:$J,2,0)</f>
        <v>深圳市兴鸿宇科技有限公司</v>
      </c>
      <c r="M18" s="53">
        <f t="shared" ref="M18:M21" si="5">J18</f>
        <v>0.19800000000000001</v>
      </c>
      <c r="P18" s="53" t="str">
        <f>VLOOKUP($B18,[2]Sheet2!$D:$J,5,0)</f>
        <v>84</v>
      </c>
      <c r="Q18" s="53" t="str">
        <f>VLOOKUP($B18,[2]Sheet2!$D:$J,6,0)</f>
        <v>1,000.000</v>
      </c>
      <c r="R18" s="53" t="str">
        <f>VLOOKUP($B18,[2]Sheet2!$D:$J,7,0)</f>
        <v>1,000.000</v>
      </c>
    </row>
    <row r="19" spans="1:19" x14ac:dyDescent="0.25">
      <c r="A19" s="177"/>
      <c r="B19" s="179">
        <v>10110019073</v>
      </c>
      <c r="C19" s="118" t="s">
        <v>297</v>
      </c>
      <c r="D19" s="118" t="s">
        <v>329</v>
      </c>
      <c r="E19" s="118" t="s">
        <v>307</v>
      </c>
      <c r="F19" s="177">
        <v>1</v>
      </c>
      <c r="G19" s="241" t="s">
        <v>328</v>
      </c>
      <c r="H19" s="118"/>
      <c r="I19" s="74"/>
      <c r="J19" s="53">
        <f>VLOOKUP($B19,[2]Sheet2!$D:$J,3,0)</f>
        <v>0.17799999999999999</v>
      </c>
      <c r="K19" s="53" t="str">
        <f>VLOOKUP($B19,[2]Sheet2!$D:$J,4,0)</f>
        <v>CNY</v>
      </c>
      <c r="L19" s="53" t="str">
        <f>VLOOKUP($B19,[2]Sheet2!$D:$J,2,0)</f>
        <v>广东风华高新科技股份有限公司</v>
      </c>
      <c r="M19" s="53">
        <f t="shared" si="5"/>
        <v>0.17799999999999999</v>
      </c>
      <c r="N19" s="110">
        <f t="shared" ref="N19:N23" si="6">M19*F19</f>
        <v>0.17799999999999999</v>
      </c>
      <c r="P19" s="53" t="str">
        <f>VLOOKUP($B19,[2]Sheet2!$D:$J,5,0)</f>
        <v>56</v>
      </c>
      <c r="Q19" s="53" t="str">
        <f>VLOOKUP($B19,[2]Sheet2!$D:$J,6,0)</f>
        <v>1,000.000</v>
      </c>
      <c r="R19" s="53" t="str">
        <f>VLOOKUP($B19,[2]Sheet2!$D:$J,7,0)</f>
        <v>1,000.000</v>
      </c>
      <c r="S19" s="182" t="s">
        <v>37</v>
      </c>
    </row>
    <row r="20" spans="1:19" x14ac:dyDescent="0.25">
      <c r="A20" s="177"/>
      <c r="B20" s="179">
        <v>10110019130</v>
      </c>
      <c r="C20" s="118" t="s">
        <v>297</v>
      </c>
      <c r="D20" s="118" t="s">
        <v>330</v>
      </c>
      <c r="E20" s="118" t="s">
        <v>313</v>
      </c>
      <c r="F20" s="177">
        <v>1</v>
      </c>
      <c r="G20" s="241" t="s">
        <v>328</v>
      </c>
      <c r="H20" s="118" t="s">
        <v>291</v>
      </c>
      <c r="I20" s="74"/>
      <c r="J20" s="53">
        <f>VLOOKUP($B20,[2]Sheet2!$D:$J,3,0)</f>
        <v>0.18</v>
      </c>
      <c r="K20" s="53" t="str">
        <f>VLOOKUP($B20,[2]Sheet2!$D:$J,4,0)</f>
        <v>CNY</v>
      </c>
      <c r="L20" s="53" t="str">
        <f>VLOOKUP($B20,[2]Sheet2!$D:$J,2,0)</f>
        <v>潮州三环（集团）股份有限公司</v>
      </c>
      <c r="M20" s="53">
        <f t="shared" si="5"/>
        <v>0.18</v>
      </c>
      <c r="P20" s="53" t="str">
        <f>VLOOKUP($B20,[2]Sheet2!$D:$J,5,0)</f>
        <v>56</v>
      </c>
      <c r="Q20" s="53" t="str">
        <f>VLOOKUP($B20,[2]Sheet2!$D:$J,6,0)</f>
        <v>1,000.000</v>
      </c>
      <c r="R20" s="53" t="str">
        <f>VLOOKUP($B20,[2]Sheet2!$D:$J,7,0)</f>
        <v>1,000.000</v>
      </c>
      <c r="S20" s="110"/>
    </row>
    <row r="21" spans="1:19" x14ac:dyDescent="0.25">
      <c r="A21" s="177"/>
      <c r="B21" s="179">
        <v>10110027056</v>
      </c>
      <c r="C21" s="118" t="s">
        <v>297</v>
      </c>
      <c r="D21" s="118" t="s">
        <v>331</v>
      </c>
      <c r="E21" s="118" t="s">
        <v>303</v>
      </c>
      <c r="F21" s="177">
        <v>1</v>
      </c>
      <c r="G21" s="241" t="s">
        <v>328</v>
      </c>
      <c r="H21" s="118"/>
      <c r="I21" s="74"/>
      <c r="J21" s="53">
        <f>VLOOKUP($B21,[2]Sheet2!$D:$J,3,0)</f>
        <v>0.58199999999999996</v>
      </c>
      <c r="K21" s="53" t="str">
        <f>VLOOKUP($B21,[2]Sheet2!$D:$J,4,0)</f>
        <v>CNY</v>
      </c>
      <c r="L21" s="53" t="str">
        <f>VLOOKUP($B21,[2]Sheet2!$D:$J,2,0)</f>
        <v>安升电子（深圳）有限公司</v>
      </c>
      <c r="M21" s="53">
        <f t="shared" si="5"/>
        <v>0.58199999999999996</v>
      </c>
      <c r="P21" s="53" t="str">
        <f>VLOOKUP($B21,[2]Sheet2!$D:$J,5,0)</f>
        <v>112</v>
      </c>
      <c r="Q21" s="53" t="str">
        <f>VLOOKUP($B21,[2]Sheet2!$D:$J,6,0)</f>
        <v>1,000.000</v>
      </c>
      <c r="R21" s="53" t="str">
        <f>VLOOKUP($B21,[2]Sheet2!$D:$J,7,0)</f>
        <v>1,000.000</v>
      </c>
    </row>
    <row r="22" spans="1:19" x14ac:dyDescent="0.25">
      <c r="A22" s="177">
        <v>11</v>
      </c>
      <c r="B22" s="177" t="s">
        <v>287</v>
      </c>
      <c r="C22" s="241" t="s">
        <v>332</v>
      </c>
      <c r="D22" s="241" t="s">
        <v>333</v>
      </c>
      <c r="E22" s="111" t="s">
        <v>214</v>
      </c>
      <c r="F22" s="177">
        <v>2</v>
      </c>
      <c r="G22" s="118" t="s">
        <v>218</v>
      </c>
      <c r="H22" s="118" t="s">
        <v>291</v>
      </c>
      <c r="I22" s="74"/>
      <c r="J22" s="53" t="e">
        <f>VLOOKUP($B22,[2]Sheet2!$D:$J,3,0)</f>
        <v>#N/A</v>
      </c>
      <c r="K22" s="53" t="e">
        <f>VLOOKUP($B22,[2]Sheet2!$D:$J,4,0)</f>
        <v>#N/A</v>
      </c>
      <c r="L22" s="53" t="e">
        <f>VLOOKUP($B22,[2]Sheet2!$D:$J,2,0)</f>
        <v>#N/A</v>
      </c>
      <c r="M22" s="53">
        <v>0.17515</v>
      </c>
      <c r="N22" s="110">
        <f t="shared" si="6"/>
        <v>0.3503</v>
      </c>
      <c r="P22" s="53" t="e">
        <f>VLOOKUP($B22,[2]Sheet2!$D:$J,5,0)</f>
        <v>#N/A</v>
      </c>
      <c r="Q22" s="53" t="e">
        <f>VLOOKUP($B22,[2]Sheet2!$D:$J,6,0)</f>
        <v>#N/A</v>
      </c>
      <c r="R22" s="53" t="e">
        <f>VLOOKUP($B22,[2]Sheet2!$D:$J,7,0)</f>
        <v>#N/A</v>
      </c>
      <c r="S22" s="182" t="s">
        <v>37</v>
      </c>
    </row>
    <row r="23" spans="1:19" x14ac:dyDescent="0.25">
      <c r="A23" s="177">
        <v>12</v>
      </c>
      <c r="B23" s="177" t="s">
        <v>287</v>
      </c>
      <c r="C23" s="241" t="s">
        <v>332</v>
      </c>
      <c r="D23" s="118" t="s">
        <v>334</v>
      </c>
      <c r="E23" s="111" t="s">
        <v>214</v>
      </c>
      <c r="F23" s="177">
        <v>1</v>
      </c>
      <c r="G23" s="241" t="s">
        <v>220</v>
      </c>
      <c r="H23" s="118" t="s">
        <v>291</v>
      </c>
      <c r="I23" s="74"/>
      <c r="J23" s="53" t="e">
        <f>VLOOKUP($B23,[2]Sheet2!$D:$J,3,0)</f>
        <v>#N/A</v>
      </c>
      <c r="K23" s="53" t="e">
        <f>VLOOKUP($B23,[2]Sheet2!$D:$J,4,0)</f>
        <v>#N/A</v>
      </c>
      <c r="L23" s="53" t="e">
        <f>VLOOKUP($B23,[2]Sheet2!$D:$J,2,0)</f>
        <v>#N/A</v>
      </c>
      <c r="M23" s="53">
        <v>0.49154999999999999</v>
      </c>
      <c r="N23" s="110">
        <f t="shared" si="6"/>
        <v>0.49154999999999999</v>
      </c>
      <c r="P23" s="53" t="e">
        <f>VLOOKUP($B23,[2]Sheet2!$D:$J,5,0)</f>
        <v>#N/A</v>
      </c>
      <c r="Q23" s="53" t="e">
        <f>VLOOKUP($B23,[2]Sheet2!$D:$J,6,0)</f>
        <v>#N/A</v>
      </c>
      <c r="R23" s="53" t="e">
        <f>VLOOKUP($B23,[2]Sheet2!$D:$J,7,0)</f>
        <v>#N/A</v>
      </c>
      <c r="S23" s="182" t="s">
        <v>37</v>
      </c>
    </row>
    <row r="24" spans="1:19" x14ac:dyDescent="0.25">
      <c r="A24" s="177">
        <v>13</v>
      </c>
      <c r="B24" s="179">
        <v>10110008742</v>
      </c>
      <c r="C24" s="118" t="s">
        <v>297</v>
      </c>
      <c r="D24" s="118" t="s">
        <v>335</v>
      </c>
      <c r="E24" s="118" t="s">
        <v>307</v>
      </c>
      <c r="F24" s="177">
        <v>3</v>
      </c>
      <c r="G24" s="118" t="s">
        <v>336</v>
      </c>
      <c r="H24" s="118"/>
      <c r="I24" s="74"/>
      <c r="J24" s="53">
        <f>VLOOKUP($B24,[2]Sheet2!$D:$J,3,0)</f>
        <v>2.1900000000000001E-3</v>
      </c>
      <c r="K24" s="53" t="str">
        <f>VLOOKUP($B24,[2]Sheet2!$D:$J,4,0)</f>
        <v>CNY</v>
      </c>
      <c r="L24" s="53" t="str">
        <f>VLOOKUP($B24,[2]Sheet2!$D:$J,2,0)</f>
        <v>广东风华高新科技股份有限公司</v>
      </c>
      <c r="M24" s="53">
        <f t="shared" ref="M24:M50" si="7">J24</f>
        <v>2.1900000000000001E-3</v>
      </c>
      <c r="P24" s="53" t="str">
        <f>VLOOKUP($B24,[2]Sheet2!$D:$J,5,0)</f>
        <v>42</v>
      </c>
      <c r="Q24" s="53" t="str">
        <f>VLOOKUP($B24,[2]Sheet2!$D:$J,6,0)</f>
        <v>10,000.000</v>
      </c>
      <c r="R24" s="53" t="str">
        <f>VLOOKUP($B24,[2]Sheet2!$D:$J,7,0)</f>
        <v>10,000.000</v>
      </c>
    </row>
    <row r="25" spans="1:19" x14ac:dyDescent="0.25">
      <c r="A25" s="177"/>
      <c r="B25" s="179">
        <v>10110008993</v>
      </c>
      <c r="C25" s="118" t="s">
        <v>297</v>
      </c>
      <c r="D25" s="118" t="s">
        <v>337</v>
      </c>
      <c r="E25" s="118" t="s">
        <v>305</v>
      </c>
      <c r="F25" s="177">
        <v>3</v>
      </c>
      <c r="G25" s="241" t="s">
        <v>336</v>
      </c>
      <c r="H25" s="118" t="s">
        <v>291</v>
      </c>
      <c r="I25" s="74"/>
      <c r="J25" s="53">
        <f>VLOOKUP($B25,[2]Sheet2!$D:$J,3,0)</f>
        <v>3.0500000000000002E-3</v>
      </c>
      <c r="K25" s="53" t="str">
        <f>VLOOKUP($B25,[2]Sheet2!$D:$J,4,0)</f>
        <v>CNY</v>
      </c>
      <c r="L25" s="53" t="str">
        <f>VLOOKUP($B25,[2]Sheet2!$D:$J,2,0)</f>
        <v>东莞华科电子有限公司</v>
      </c>
      <c r="M25" s="53">
        <f t="shared" si="7"/>
        <v>3.0500000000000002E-3</v>
      </c>
      <c r="P25" s="53" t="str">
        <f>VLOOKUP($B25,[2]Sheet2!$D:$J,5,0)</f>
        <v>70</v>
      </c>
      <c r="Q25" s="53" t="str">
        <f>VLOOKUP($B25,[2]Sheet2!$D:$J,6,0)</f>
        <v>10,000.000</v>
      </c>
      <c r="R25" s="53" t="str">
        <f>VLOOKUP($B25,[2]Sheet2!$D:$J,7,0)</f>
        <v>1,000.000</v>
      </c>
      <c r="S25" s="110"/>
    </row>
    <row r="26" spans="1:19" x14ac:dyDescent="0.25">
      <c r="A26" s="177"/>
      <c r="B26" s="179">
        <v>10110010638</v>
      </c>
      <c r="C26" s="118" t="s">
        <v>297</v>
      </c>
      <c r="D26" s="118" t="s">
        <v>338</v>
      </c>
      <c r="E26" s="118" t="s">
        <v>339</v>
      </c>
      <c r="F26" s="177">
        <v>3</v>
      </c>
      <c r="G26" s="241" t="s">
        <v>336</v>
      </c>
      <c r="H26" s="118" t="s">
        <v>291</v>
      </c>
      <c r="I26" s="74"/>
      <c r="J26" s="53">
        <f>VLOOKUP($B26,[2]Sheet2!$D:$J,3,0)</f>
        <v>7.3699999999999998E-3</v>
      </c>
      <c r="K26" s="53" t="str">
        <f>VLOOKUP($B26,[2]Sheet2!$D:$J,4,0)</f>
        <v>CNY</v>
      </c>
      <c r="L26" s="53" t="str">
        <f>VLOOKUP($B26,[2]Sheet2!$D:$J,2,0)</f>
        <v>深圳市宏昌鑫科技有限责任公司</v>
      </c>
      <c r="M26" s="53">
        <f t="shared" si="7"/>
        <v>7.3699999999999998E-3</v>
      </c>
      <c r="P26" s="53" t="str">
        <f>VLOOKUP($B26,[2]Sheet2!$D:$J,5,0)</f>
        <v>140</v>
      </c>
      <c r="Q26" s="53" t="str">
        <f>VLOOKUP($B26,[2]Sheet2!$D:$J,6,0)</f>
        <v>10,000.000</v>
      </c>
      <c r="R26" s="53" t="str">
        <f>VLOOKUP($B26,[2]Sheet2!$D:$J,7,0)</f>
        <v>10,000.000</v>
      </c>
    </row>
    <row r="27" spans="1:19" x14ac:dyDescent="0.25">
      <c r="A27" s="177"/>
      <c r="B27" s="179">
        <v>10110015893</v>
      </c>
      <c r="C27" s="118" t="s">
        <v>297</v>
      </c>
      <c r="D27" s="118" t="s">
        <v>340</v>
      </c>
      <c r="E27" s="118" t="s">
        <v>299</v>
      </c>
      <c r="F27" s="177">
        <v>3</v>
      </c>
      <c r="G27" s="241" t="s">
        <v>336</v>
      </c>
      <c r="H27" s="118" t="s">
        <v>291</v>
      </c>
      <c r="I27" s="74"/>
      <c r="J27" s="53">
        <f>VLOOKUP($B27,[2]Sheet2!$D:$J,3,0)</f>
        <v>1.8600000000000001E-3</v>
      </c>
      <c r="K27" s="53" t="str">
        <f>VLOOKUP($B27,[2]Sheet2!$D:$J,4,0)</f>
        <v>CNY</v>
      </c>
      <c r="L27" s="53" t="str">
        <f>VLOOKUP($B27,[2]Sheet2!$D:$J,2,0)</f>
        <v>潮州三环（集团）股份有限公司</v>
      </c>
      <c r="M27" s="53">
        <f t="shared" si="7"/>
        <v>1.8600000000000001E-3</v>
      </c>
      <c r="N27" s="110">
        <f>M27*F27</f>
        <v>5.5799999999999999E-3</v>
      </c>
      <c r="P27" s="53" t="str">
        <f>VLOOKUP($B27,[2]Sheet2!$D:$J,5,0)</f>
        <v>56</v>
      </c>
      <c r="Q27" s="53" t="str">
        <f>VLOOKUP($B27,[2]Sheet2!$D:$J,6,0)</f>
        <v>10,000.000</v>
      </c>
      <c r="R27" s="53" t="str">
        <f>VLOOKUP($B27,[2]Sheet2!$D:$J,7,0)</f>
        <v>10,000.000</v>
      </c>
      <c r="S27" s="182" t="s">
        <v>37</v>
      </c>
    </row>
    <row r="28" spans="1:19" x14ac:dyDescent="0.25">
      <c r="A28" s="177"/>
      <c r="B28" s="179">
        <v>10110016198</v>
      </c>
      <c r="C28" s="118" t="s">
        <v>297</v>
      </c>
      <c r="D28" s="118" t="s">
        <v>341</v>
      </c>
      <c r="E28" s="118" t="s">
        <v>303</v>
      </c>
      <c r="F28" s="177">
        <v>3</v>
      </c>
      <c r="G28" s="241" t="s">
        <v>336</v>
      </c>
      <c r="H28" s="118"/>
      <c r="I28" s="74"/>
      <c r="J28" s="53">
        <f>VLOOKUP($B28,[2]Sheet2!$D:$J,3,0)</f>
        <v>2.3E-3</v>
      </c>
      <c r="K28" s="53" t="str">
        <f>VLOOKUP($B28,[2]Sheet2!$D:$J,4,0)</f>
        <v>CNY</v>
      </c>
      <c r="L28" s="53" t="str">
        <f>VLOOKUP($B28,[2]Sheet2!$D:$J,2,0)</f>
        <v>深圳市奥特高科电子有限公司</v>
      </c>
      <c r="M28" s="53">
        <f t="shared" si="7"/>
        <v>2.3E-3</v>
      </c>
      <c r="P28" s="53" t="str">
        <f>VLOOKUP($B28,[2]Sheet2!$D:$J,5,0)</f>
        <v>56</v>
      </c>
      <c r="Q28" s="53" t="str">
        <f>VLOOKUP($B28,[2]Sheet2!$D:$J,6,0)</f>
        <v>10,000.000</v>
      </c>
      <c r="R28" s="53" t="str">
        <f>VLOOKUP($B28,[2]Sheet2!$D:$J,7,0)</f>
        <v>10,000.000</v>
      </c>
    </row>
    <row r="29" spans="1:19" x14ac:dyDescent="0.25">
      <c r="A29" s="177">
        <v>14</v>
      </c>
      <c r="B29" s="177">
        <v>10110011269</v>
      </c>
      <c r="C29" s="118" t="s">
        <v>301</v>
      </c>
      <c r="D29" s="118" t="s">
        <v>342</v>
      </c>
      <c r="E29" s="118" t="s">
        <v>299</v>
      </c>
      <c r="F29" s="177">
        <v>3</v>
      </c>
      <c r="G29" s="118" t="s">
        <v>343</v>
      </c>
      <c r="H29" s="118" t="s">
        <v>291</v>
      </c>
      <c r="I29" s="74"/>
      <c r="J29" s="53">
        <f>VLOOKUP($B29,[2]Sheet2!$D:$J,3,0)</f>
        <v>1.8500000000000001E-3</v>
      </c>
      <c r="K29" s="53" t="str">
        <f>VLOOKUP($B29,[2]Sheet2!$D:$J,4,0)</f>
        <v>CNY</v>
      </c>
      <c r="L29" s="53" t="str">
        <f>VLOOKUP($B29,[2]Sheet2!$D:$J,2,0)</f>
        <v>潮州三环（集团）股份有限公司</v>
      </c>
      <c r="M29" s="53">
        <f t="shared" si="7"/>
        <v>1.8500000000000001E-3</v>
      </c>
      <c r="N29" s="110">
        <f>M29*F29</f>
        <v>5.5500000000000002E-3</v>
      </c>
      <c r="P29" s="53" t="str">
        <f>VLOOKUP($B29,[2]Sheet2!$D:$J,5,0)</f>
        <v>56</v>
      </c>
      <c r="Q29" s="53" t="str">
        <f>VLOOKUP($B29,[2]Sheet2!$D:$J,6,0)</f>
        <v>10,000.000</v>
      </c>
      <c r="R29" s="53" t="str">
        <f>VLOOKUP($B29,[2]Sheet2!$D:$J,7,0)</f>
        <v>10,000.000</v>
      </c>
      <c r="S29" s="182" t="s">
        <v>37</v>
      </c>
    </row>
    <row r="30" spans="1:19" x14ac:dyDescent="0.25">
      <c r="A30" s="177"/>
      <c r="B30" s="177">
        <v>10110008729</v>
      </c>
      <c r="C30" s="118" t="s">
        <v>297</v>
      </c>
      <c r="D30" s="118" t="s">
        <v>344</v>
      </c>
      <c r="E30" s="118" t="s">
        <v>307</v>
      </c>
      <c r="F30" s="177">
        <v>3</v>
      </c>
      <c r="G30" s="241" t="s">
        <v>343</v>
      </c>
      <c r="H30" s="118"/>
      <c r="I30" s="74"/>
      <c r="J30" s="53">
        <f>VLOOKUP($B30,[2]Sheet2!$D:$J,3,0)</f>
        <v>2.0999999999999999E-3</v>
      </c>
      <c r="K30" s="53" t="str">
        <f>VLOOKUP($B30,[2]Sheet2!$D:$J,4,0)</f>
        <v>CNY</v>
      </c>
      <c r="L30" s="53" t="str">
        <f>VLOOKUP($B30,[2]Sheet2!$D:$J,2,0)</f>
        <v>广东风华高新科技股份有限公司</v>
      </c>
      <c r="M30" s="53">
        <f t="shared" si="7"/>
        <v>2.0999999999999999E-3</v>
      </c>
      <c r="P30" s="53" t="str">
        <f>VLOOKUP($B30,[2]Sheet2!$D:$J,5,0)</f>
        <v>56</v>
      </c>
      <c r="Q30" s="53" t="str">
        <f>VLOOKUP($B30,[2]Sheet2!$D:$J,6,0)</f>
        <v>10,000.000</v>
      </c>
      <c r="R30" s="53" t="str">
        <f>VLOOKUP($B30,[2]Sheet2!$D:$J,7,0)</f>
        <v>10,000.000</v>
      </c>
      <c r="S30" s="110"/>
    </row>
    <row r="31" spans="1:19" x14ac:dyDescent="0.25">
      <c r="A31" s="177"/>
      <c r="B31" s="177">
        <v>10110004676</v>
      </c>
      <c r="C31" s="118" t="s">
        <v>301</v>
      </c>
      <c r="D31" s="118" t="s">
        <v>345</v>
      </c>
      <c r="E31" s="118" t="s">
        <v>305</v>
      </c>
      <c r="F31" s="177">
        <v>3</v>
      </c>
      <c r="G31" s="241" t="s">
        <v>343</v>
      </c>
      <c r="H31" s="118" t="s">
        <v>291</v>
      </c>
      <c r="I31" s="74"/>
      <c r="J31" s="53">
        <f>VLOOKUP($B31,[2]Sheet2!$D:$J,3,0)</f>
        <v>1.98E-3</v>
      </c>
      <c r="K31" s="53" t="str">
        <f>VLOOKUP($B31,[2]Sheet2!$D:$J,4,0)</f>
        <v>CNY</v>
      </c>
      <c r="L31" s="53" t="str">
        <f>VLOOKUP($B31,[2]Sheet2!$D:$J,2,0)</f>
        <v>东莞华科电子有限公司</v>
      </c>
      <c r="M31" s="53">
        <f t="shared" si="7"/>
        <v>1.98E-3</v>
      </c>
      <c r="P31" s="53" t="str">
        <f>VLOOKUP($B31,[2]Sheet2!$D:$J,5,0)</f>
        <v>56</v>
      </c>
      <c r="Q31" s="53" t="str">
        <f>VLOOKUP($B31,[2]Sheet2!$D:$J,6,0)</f>
        <v>10,000.000</v>
      </c>
      <c r="R31" s="53" t="str">
        <f>VLOOKUP($B31,[2]Sheet2!$D:$J,7,0)</f>
        <v>10,000.000</v>
      </c>
    </row>
    <row r="32" spans="1:19" x14ac:dyDescent="0.25">
      <c r="A32" s="177"/>
      <c r="B32" s="177">
        <v>10110003897</v>
      </c>
      <c r="C32" s="118" t="s">
        <v>301</v>
      </c>
      <c r="D32" s="118" t="s">
        <v>346</v>
      </c>
      <c r="E32" s="118" t="s">
        <v>303</v>
      </c>
      <c r="F32" s="177">
        <v>3</v>
      </c>
      <c r="G32" s="241" t="s">
        <v>343</v>
      </c>
      <c r="H32" s="118"/>
      <c r="I32" s="74"/>
      <c r="J32" s="53">
        <f>VLOOKUP($B32,[2]Sheet2!$D:$J,3,0)</f>
        <v>2.2000000000000001E-3</v>
      </c>
      <c r="K32" s="53" t="str">
        <f>VLOOKUP($B32,[2]Sheet2!$D:$J,4,0)</f>
        <v>CNY</v>
      </c>
      <c r="L32" s="53" t="str">
        <f>VLOOKUP($B32,[2]Sheet2!$D:$J,2,0)</f>
        <v>深圳市奥特高科电子有限公司</v>
      </c>
      <c r="M32" s="53">
        <f t="shared" si="7"/>
        <v>2.2000000000000001E-3</v>
      </c>
      <c r="P32" s="53" t="str">
        <f>VLOOKUP($B32,[2]Sheet2!$D:$J,5,0)</f>
        <v>56</v>
      </c>
      <c r="Q32" s="53" t="str">
        <f>VLOOKUP($B32,[2]Sheet2!$D:$J,6,0)</f>
        <v>10,000.000</v>
      </c>
      <c r="R32" s="53" t="str">
        <f>VLOOKUP($B32,[2]Sheet2!$D:$J,7,0)</f>
        <v>10,000.000</v>
      </c>
    </row>
    <row r="33" spans="1:19" x14ac:dyDescent="0.25">
      <c r="A33" s="177"/>
      <c r="B33" s="177">
        <v>10110007139</v>
      </c>
      <c r="C33" s="118" t="s">
        <v>297</v>
      </c>
      <c r="D33" s="118" t="s">
        <v>347</v>
      </c>
      <c r="E33" s="118" t="s">
        <v>339</v>
      </c>
      <c r="F33" s="177">
        <v>3</v>
      </c>
      <c r="G33" s="241" t="s">
        <v>343</v>
      </c>
      <c r="H33" s="118" t="s">
        <v>291</v>
      </c>
      <c r="I33" s="74"/>
      <c r="J33" s="53">
        <f>VLOOKUP($B33,[2]Sheet2!$D:$J,3,0)</f>
        <v>2.2000000000000001E-3</v>
      </c>
      <c r="K33" s="53" t="str">
        <f>VLOOKUP($B33,[2]Sheet2!$D:$J,4,0)</f>
        <v>CNY</v>
      </c>
      <c r="L33" s="53" t="str">
        <f>VLOOKUP($B33,[2]Sheet2!$D:$J,2,0)</f>
        <v>深圳市天河星供应链有限公司</v>
      </c>
      <c r="M33" s="53">
        <f t="shared" si="7"/>
        <v>2.2000000000000001E-3</v>
      </c>
      <c r="P33" s="53" t="str">
        <f>VLOOKUP($B33,[2]Sheet2!$D:$J,5,0)</f>
        <v>56</v>
      </c>
      <c r="Q33" s="53" t="str">
        <f>VLOOKUP($B33,[2]Sheet2!$D:$J,6,0)</f>
        <v>10,000.000</v>
      </c>
      <c r="R33" s="53" t="str">
        <f>VLOOKUP($B33,[2]Sheet2!$D:$J,7,0)</f>
        <v>1,000.000</v>
      </c>
    </row>
    <row r="34" spans="1:19" x14ac:dyDescent="0.25">
      <c r="A34" s="177">
        <v>15</v>
      </c>
      <c r="B34" s="177">
        <v>10110012149</v>
      </c>
      <c r="C34" s="118" t="s">
        <v>297</v>
      </c>
      <c r="D34" s="118" t="s">
        <v>169</v>
      </c>
      <c r="E34" s="118" t="s">
        <v>299</v>
      </c>
      <c r="F34" s="177">
        <v>6</v>
      </c>
      <c r="G34" s="118" t="s">
        <v>348</v>
      </c>
      <c r="H34" s="118" t="s">
        <v>291</v>
      </c>
      <c r="I34" s="74"/>
      <c r="J34" s="53">
        <f>VLOOKUP($B34,[2]Sheet2!$D:$J,3,0)</f>
        <v>1.8500000000000001E-3</v>
      </c>
      <c r="K34" s="53" t="str">
        <f>VLOOKUP($B34,[2]Sheet2!$D:$J,4,0)</f>
        <v>CNY</v>
      </c>
      <c r="L34" s="53" t="str">
        <f>VLOOKUP($B34,[2]Sheet2!$D:$J,2,0)</f>
        <v>潮州三环（集团）股份有限公司</v>
      </c>
      <c r="M34" s="53">
        <f t="shared" si="7"/>
        <v>1.8500000000000001E-3</v>
      </c>
      <c r="N34" s="110">
        <f>M34*F34</f>
        <v>1.11E-2</v>
      </c>
      <c r="P34" s="53" t="str">
        <f>VLOOKUP($B34,[2]Sheet2!$D:$J,5,0)</f>
        <v>56</v>
      </c>
      <c r="Q34" s="53" t="str">
        <f>VLOOKUP($B34,[2]Sheet2!$D:$J,6,0)</f>
        <v>10,000.000</v>
      </c>
      <c r="R34" s="53" t="str">
        <f>VLOOKUP($B34,[2]Sheet2!$D:$J,7,0)</f>
        <v>10,000.000</v>
      </c>
      <c r="S34" s="182" t="s">
        <v>37</v>
      </c>
    </row>
    <row r="35" spans="1:19" x14ac:dyDescent="0.25">
      <c r="A35" s="177"/>
      <c r="B35" s="177">
        <v>10110008734</v>
      </c>
      <c r="C35" s="118" t="s">
        <v>297</v>
      </c>
      <c r="D35" s="118" t="s">
        <v>171</v>
      </c>
      <c r="E35" s="118" t="s">
        <v>307</v>
      </c>
      <c r="F35" s="177">
        <v>6</v>
      </c>
      <c r="G35" s="118" t="s">
        <v>348</v>
      </c>
      <c r="H35" s="118"/>
      <c r="I35" s="74"/>
      <c r="J35" s="53">
        <f>VLOOKUP($B35,[2]Sheet2!$D:$J,3,0)</f>
        <v>2.0999999999999999E-3</v>
      </c>
      <c r="K35" s="53" t="str">
        <f>VLOOKUP($B35,[2]Sheet2!$D:$J,4,0)</f>
        <v>CNY</v>
      </c>
      <c r="L35" s="53" t="str">
        <f>VLOOKUP($B35,[2]Sheet2!$D:$J,2,0)</f>
        <v>广东风华高新科技股份有限公司</v>
      </c>
      <c r="M35" s="53">
        <f t="shared" si="7"/>
        <v>2.0999999999999999E-3</v>
      </c>
      <c r="P35" s="53" t="str">
        <f>VLOOKUP($B35,[2]Sheet2!$D:$J,5,0)</f>
        <v>56</v>
      </c>
      <c r="Q35" s="53" t="str">
        <f>VLOOKUP($B35,[2]Sheet2!$D:$J,6,0)</f>
        <v>10,000.000</v>
      </c>
      <c r="R35" s="53" t="str">
        <f>VLOOKUP($B35,[2]Sheet2!$D:$J,7,0)</f>
        <v>10,000.000</v>
      </c>
      <c r="S35" s="110"/>
    </row>
    <row r="36" spans="1:19" x14ac:dyDescent="0.25">
      <c r="A36" s="177"/>
      <c r="B36" s="177">
        <v>10110005817</v>
      </c>
      <c r="C36" s="118" t="s">
        <v>301</v>
      </c>
      <c r="D36" s="118" t="s">
        <v>173</v>
      </c>
      <c r="E36" s="118" t="s">
        <v>305</v>
      </c>
      <c r="F36" s="177">
        <v>6</v>
      </c>
      <c r="G36" s="118" t="s">
        <v>348</v>
      </c>
      <c r="H36" s="118" t="s">
        <v>291</v>
      </c>
      <c r="I36" s="74"/>
      <c r="J36" s="53">
        <f>VLOOKUP($B36,[2]Sheet2!$D:$J,3,0)</f>
        <v>1.98E-3</v>
      </c>
      <c r="K36" s="53" t="str">
        <f>VLOOKUP($B36,[2]Sheet2!$D:$J,4,0)</f>
        <v>CNY</v>
      </c>
      <c r="L36" s="53" t="str">
        <f>VLOOKUP($B36,[2]Sheet2!$D:$J,2,0)</f>
        <v>东莞华科电子有限公司</v>
      </c>
      <c r="M36" s="53">
        <f t="shared" si="7"/>
        <v>1.98E-3</v>
      </c>
      <c r="P36" s="53" t="str">
        <f>VLOOKUP($B36,[2]Sheet2!$D:$J,5,0)</f>
        <v>56</v>
      </c>
      <c r="Q36" s="53" t="str">
        <f>VLOOKUP($B36,[2]Sheet2!$D:$J,6,0)</f>
        <v>10,000.000</v>
      </c>
      <c r="R36" s="53" t="str">
        <f>VLOOKUP($B36,[2]Sheet2!$D:$J,7,0)</f>
        <v>10,000.000</v>
      </c>
    </row>
    <row r="37" spans="1:19" x14ac:dyDescent="0.25">
      <c r="A37" s="177"/>
      <c r="B37" s="177">
        <v>10110003896</v>
      </c>
      <c r="C37" s="118" t="s">
        <v>301</v>
      </c>
      <c r="D37" s="118" t="s">
        <v>174</v>
      </c>
      <c r="E37" s="118" t="s">
        <v>303</v>
      </c>
      <c r="F37" s="177">
        <v>6</v>
      </c>
      <c r="G37" s="118" t="s">
        <v>348</v>
      </c>
      <c r="H37" s="118"/>
      <c r="I37" s="74"/>
      <c r="J37" s="53">
        <f>VLOOKUP($B37,[2]Sheet2!$D:$J,3,0)</f>
        <v>2.3E-3</v>
      </c>
      <c r="K37" s="53" t="str">
        <f>VLOOKUP($B37,[2]Sheet2!$D:$J,4,0)</f>
        <v>CNY</v>
      </c>
      <c r="L37" s="53" t="str">
        <f>VLOOKUP($B37,[2]Sheet2!$D:$J,2,0)</f>
        <v>深圳市奥特高科电子有限公司</v>
      </c>
      <c r="M37" s="53">
        <f t="shared" si="7"/>
        <v>2.3E-3</v>
      </c>
      <c r="P37" s="53" t="str">
        <f>VLOOKUP($B37,[2]Sheet2!$D:$J,5,0)</f>
        <v>56</v>
      </c>
      <c r="Q37" s="53" t="str">
        <f>VLOOKUP($B37,[2]Sheet2!$D:$J,6,0)</f>
        <v>10,000.000</v>
      </c>
      <c r="R37" s="53" t="str">
        <f>VLOOKUP($B37,[2]Sheet2!$D:$J,7,0)</f>
        <v>10,000.000</v>
      </c>
    </row>
    <row r="38" spans="1:19" x14ac:dyDescent="0.25">
      <c r="A38" s="177"/>
      <c r="B38" s="177">
        <v>10110007822</v>
      </c>
      <c r="C38" s="118" t="s">
        <v>297</v>
      </c>
      <c r="D38" s="118" t="s">
        <v>175</v>
      </c>
      <c r="E38" s="118" t="s">
        <v>339</v>
      </c>
      <c r="F38" s="177">
        <v>6</v>
      </c>
      <c r="G38" s="118" t="s">
        <v>348</v>
      </c>
      <c r="H38" s="118" t="s">
        <v>291</v>
      </c>
      <c r="I38" s="74"/>
      <c r="J38" s="53">
        <f>VLOOKUP($B38,[2]Sheet2!$D:$J,3,0)</f>
        <v>2.3999999999999998E-3</v>
      </c>
      <c r="K38" s="53" t="str">
        <f>VLOOKUP($B38,[2]Sheet2!$D:$J,4,0)</f>
        <v>CNY</v>
      </c>
      <c r="L38" s="53" t="str">
        <f>VLOOKUP($B38,[2]Sheet2!$D:$J,2,0)</f>
        <v>广东顺德集财电子有限公司</v>
      </c>
      <c r="M38" s="53">
        <f t="shared" si="7"/>
        <v>2.3999999999999998E-3</v>
      </c>
      <c r="P38" s="53" t="str">
        <f>VLOOKUP($B38,[2]Sheet2!$D:$J,5,0)</f>
        <v>56</v>
      </c>
      <c r="Q38" s="53" t="str">
        <f>VLOOKUP($B38,[2]Sheet2!$D:$J,6,0)</f>
        <v>10,000.000</v>
      </c>
      <c r="R38" s="53" t="str">
        <f>VLOOKUP($B38,[2]Sheet2!$D:$J,7,0)</f>
        <v>10,000.000</v>
      </c>
    </row>
    <row r="39" spans="1:19" x14ac:dyDescent="0.25">
      <c r="A39" s="177">
        <v>16</v>
      </c>
      <c r="B39" s="177">
        <v>10110012147</v>
      </c>
      <c r="C39" s="118" t="s">
        <v>297</v>
      </c>
      <c r="D39" s="118" t="s">
        <v>349</v>
      </c>
      <c r="E39" s="118" t="s">
        <v>299</v>
      </c>
      <c r="F39" s="177">
        <v>3</v>
      </c>
      <c r="G39" s="118" t="s">
        <v>350</v>
      </c>
      <c r="H39" s="118" t="s">
        <v>291</v>
      </c>
      <c r="I39" s="74"/>
      <c r="J39" s="53">
        <f>VLOOKUP($B39,[2]Sheet2!$D:$J,3,0)</f>
        <v>1.9499999999999999E-3</v>
      </c>
      <c r="K39" s="53" t="str">
        <f>VLOOKUP($B39,[2]Sheet2!$D:$J,4,0)</f>
        <v>CNY</v>
      </c>
      <c r="L39" s="53" t="str">
        <f>VLOOKUP($B39,[2]Sheet2!$D:$J,2,0)</f>
        <v>潮州三环（集团）股份有限公司</v>
      </c>
      <c r="M39" s="53">
        <f t="shared" si="7"/>
        <v>1.9499999999999999E-3</v>
      </c>
      <c r="N39" s="110">
        <f>M39*F39</f>
        <v>5.8499999999999993E-3</v>
      </c>
      <c r="P39" s="53" t="str">
        <f>VLOOKUP($B39,[2]Sheet2!$D:$J,5,0)</f>
        <v>56</v>
      </c>
      <c r="Q39" s="53" t="str">
        <f>VLOOKUP($B39,[2]Sheet2!$D:$J,6,0)</f>
        <v>10,000.000</v>
      </c>
      <c r="R39" s="53" t="str">
        <f>VLOOKUP($B39,[2]Sheet2!$D:$J,7,0)</f>
        <v>10,000.000</v>
      </c>
      <c r="S39" s="182" t="s">
        <v>37</v>
      </c>
    </row>
    <row r="40" spans="1:19" x14ac:dyDescent="0.25">
      <c r="A40" s="177"/>
      <c r="B40" s="177">
        <v>10110008726</v>
      </c>
      <c r="C40" s="118" t="s">
        <v>297</v>
      </c>
      <c r="D40" s="118" t="s">
        <v>351</v>
      </c>
      <c r="E40" s="118" t="s">
        <v>307</v>
      </c>
      <c r="F40" s="177">
        <v>3</v>
      </c>
      <c r="G40" s="118" t="s">
        <v>350</v>
      </c>
      <c r="H40" s="118"/>
      <c r="I40" s="74"/>
      <c r="J40" s="53">
        <f>VLOOKUP($B40,[2]Sheet2!$D:$J,3,0)</f>
        <v>2.2000000000000001E-3</v>
      </c>
      <c r="K40" s="53" t="str">
        <f>VLOOKUP($B40,[2]Sheet2!$D:$J,4,0)</f>
        <v>CNY</v>
      </c>
      <c r="L40" s="53" t="str">
        <f>VLOOKUP($B40,[2]Sheet2!$D:$J,2,0)</f>
        <v>深圳市天河星供应链有限公司</v>
      </c>
      <c r="M40" s="53">
        <f t="shared" si="7"/>
        <v>2.2000000000000001E-3</v>
      </c>
      <c r="P40" s="53" t="str">
        <f>VLOOKUP($B40,[2]Sheet2!$D:$J,5,0)</f>
        <v>56</v>
      </c>
      <c r="Q40" s="53" t="str">
        <f>VLOOKUP($B40,[2]Sheet2!$D:$J,6,0)</f>
        <v>10,000.000</v>
      </c>
      <c r="R40" s="53" t="str">
        <f>VLOOKUP($B40,[2]Sheet2!$D:$J,7,0)</f>
        <v>10,000.000</v>
      </c>
      <c r="S40" s="110"/>
    </row>
    <row r="41" spans="1:19" x14ac:dyDescent="0.25">
      <c r="A41" s="177"/>
      <c r="B41" s="177">
        <v>10110005377</v>
      </c>
      <c r="C41" s="118" t="s">
        <v>301</v>
      </c>
      <c r="D41" s="118" t="s">
        <v>352</v>
      </c>
      <c r="E41" s="118" t="s">
        <v>305</v>
      </c>
      <c r="F41" s="177">
        <v>3</v>
      </c>
      <c r="G41" s="118" t="s">
        <v>350</v>
      </c>
      <c r="H41" s="118" t="s">
        <v>291</v>
      </c>
      <c r="I41" s="74"/>
      <c r="J41" s="53">
        <f>VLOOKUP($B41,[2]Sheet2!$D:$J,3,0)</f>
        <v>2.98E-3</v>
      </c>
      <c r="K41" s="53" t="str">
        <f>VLOOKUP($B41,[2]Sheet2!$D:$J,4,0)</f>
        <v>CNY</v>
      </c>
      <c r="L41" s="53" t="str">
        <f>VLOOKUP($B41,[2]Sheet2!$D:$J,2,0)</f>
        <v>深圳市巨新科电子有限公司</v>
      </c>
      <c r="M41" s="53">
        <f t="shared" si="7"/>
        <v>2.98E-3</v>
      </c>
      <c r="P41" s="53" t="str">
        <f>VLOOKUP($B41,[2]Sheet2!$D:$J,5,0)</f>
        <v>90</v>
      </c>
      <c r="Q41" s="53" t="str">
        <f>VLOOKUP($B41,[2]Sheet2!$D:$J,6,0)</f>
        <v>10,000.000</v>
      </c>
      <c r="R41" s="53" t="str">
        <f>VLOOKUP($B41,[2]Sheet2!$D:$J,7,0)</f>
        <v>10,000.000</v>
      </c>
    </row>
    <row r="42" spans="1:19" x14ac:dyDescent="0.25">
      <c r="A42" s="177"/>
      <c r="B42" s="177">
        <v>10110005378</v>
      </c>
      <c r="C42" s="118" t="s">
        <v>301</v>
      </c>
      <c r="D42" s="118" t="s">
        <v>353</v>
      </c>
      <c r="E42" s="118" t="s">
        <v>303</v>
      </c>
      <c r="F42" s="177">
        <v>3</v>
      </c>
      <c r="G42" s="118" t="s">
        <v>350</v>
      </c>
      <c r="H42" s="118"/>
      <c r="I42" s="74"/>
      <c r="J42" s="53">
        <f>VLOOKUP($B42,[2]Sheet2!$D:$J,3,0)</f>
        <v>2.3999999999999998E-3</v>
      </c>
      <c r="K42" s="53" t="str">
        <f>VLOOKUP($B42,[2]Sheet2!$D:$J,4,0)</f>
        <v>CNY</v>
      </c>
      <c r="L42" s="53" t="str">
        <f>VLOOKUP($B42,[2]Sheet2!$D:$J,2,0)</f>
        <v>深圳市吉利通电子有限公司</v>
      </c>
      <c r="M42" s="53">
        <f t="shared" si="7"/>
        <v>2.3999999999999998E-3</v>
      </c>
      <c r="P42" s="53" t="str">
        <f>VLOOKUP($B42,[2]Sheet2!$D:$J,5,0)</f>
        <v>168</v>
      </c>
      <c r="Q42" s="53" t="str">
        <f>VLOOKUP($B42,[2]Sheet2!$D:$J,6,0)</f>
        <v>10,000.000</v>
      </c>
      <c r="R42" s="53" t="str">
        <f>VLOOKUP($B42,[2]Sheet2!$D:$J,7,0)</f>
        <v>10,000.000</v>
      </c>
      <c r="S42" s="110"/>
    </row>
    <row r="43" spans="1:19" x14ac:dyDescent="0.25">
      <c r="A43" s="177"/>
      <c r="B43" s="177">
        <v>10110009749</v>
      </c>
      <c r="C43" s="118" t="s">
        <v>301</v>
      </c>
      <c r="D43" s="118" t="s">
        <v>354</v>
      </c>
      <c r="E43" s="118" t="s">
        <v>339</v>
      </c>
      <c r="F43" s="177">
        <v>3</v>
      </c>
      <c r="G43" s="118" t="s">
        <v>350</v>
      </c>
      <c r="H43" s="118" t="s">
        <v>291</v>
      </c>
      <c r="I43" s="74"/>
      <c r="J43" s="53">
        <f>VLOOKUP($B43,[2]Sheet2!$D:$J,3,0)</f>
        <v>9.5499999999999995E-3</v>
      </c>
      <c r="K43" s="53" t="str">
        <f>VLOOKUP($B43,[2]Sheet2!$D:$J,4,0)</f>
        <v>CNY</v>
      </c>
      <c r="L43" s="53" t="str">
        <f>VLOOKUP($B43,[2]Sheet2!$D:$J,2,0)</f>
        <v>深圳市欧亚达电子有限公司</v>
      </c>
      <c r="M43" s="53">
        <f t="shared" si="7"/>
        <v>9.5499999999999995E-3</v>
      </c>
      <c r="P43" s="53" t="str">
        <f>VLOOKUP($B43,[2]Sheet2!$D:$J,5,0)</f>
        <v>84</v>
      </c>
      <c r="Q43" s="53" t="str">
        <f>VLOOKUP($B43,[2]Sheet2!$D:$J,6,0)</f>
        <v>10,000.000</v>
      </c>
      <c r="R43" s="53" t="str">
        <f>VLOOKUP($B43,[2]Sheet2!$D:$J,7,0)</f>
        <v>10,000.000</v>
      </c>
    </row>
    <row r="44" spans="1:19" x14ac:dyDescent="0.25">
      <c r="A44" s="177">
        <v>17</v>
      </c>
      <c r="B44" s="179">
        <v>10110001388</v>
      </c>
      <c r="C44" s="118" t="s">
        <v>44</v>
      </c>
      <c r="D44" s="118" t="s">
        <v>59</v>
      </c>
      <c r="E44" s="118" t="s">
        <v>60</v>
      </c>
      <c r="F44" s="177">
        <v>1</v>
      </c>
      <c r="G44" s="118" t="s">
        <v>355</v>
      </c>
      <c r="H44" s="118"/>
      <c r="I44" s="74"/>
      <c r="J44" s="53">
        <f>VLOOKUP($B44,[2]Sheet2!$D:$J,3,0)</f>
        <v>5.4999999999999997E-3</v>
      </c>
      <c r="K44" s="53" t="str">
        <f>VLOOKUP($B44,[2]Sheet2!$D:$J,4,0)</f>
        <v>CNY</v>
      </c>
      <c r="L44" s="53" t="str">
        <f>VLOOKUP($B44,[2]Sheet2!$D:$J,2,0)</f>
        <v>深圳市天河星供应链有限公司</v>
      </c>
      <c r="M44" s="53">
        <f t="shared" si="7"/>
        <v>5.4999999999999997E-3</v>
      </c>
      <c r="P44" s="53" t="str">
        <f>VLOOKUP($B44,[2]Sheet2!$D:$J,5,0)</f>
        <v>56</v>
      </c>
      <c r="Q44" s="53" t="str">
        <f>VLOOKUP($B44,[2]Sheet2!$D:$J,6,0)</f>
        <v>4,000.000</v>
      </c>
      <c r="R44" s="53" t="str">
        <f>VLOOKUP($B44,[2]Sheet2!$D:$J,7,0)</f>
        <v>4,000.000</v>
      </c>
    </row>
    <row r="45" spans="1:19" x14ac:dyDescent="0.25">
      <c r="A45" s="177"/>
      <c r="B45" s="179">
        <v>10110001391</v>
      </c>
      <c r="C45" s="118" t="s">
        <v>44</v>
      </c>
      <c r="D45" s="118" t="s">
        <v>65</v>
      </c>
      <c r="E45" s="118" t="s">
        <v>46</v>
      </c>
      <c r="F45" s="177">
        <v>1</v>
      </c>
      <c r="G45" s="118" t="s">
        <v>355</v>
      </c>
      <c r="H45" s="118"/>
      <c r="I45" s="74"/>
      <c r="J45" s="53">
        <f>VLOOKUP($B45,[2]Sheet2!$D:$J,3,0)</f>
        <v>6.1000000000000004E-3</v>
      </c>
      <c r="K45" s="53" t="str">
        <f>VLOOKUP($B45,[2]Sheet2!$D:$J,4,0)</f>
        <v>CNY</v>
      </c>
      <c r="L45" s="53" t="str">
        <f>VLOOKUP($B45,[2]Sheet2!$D:$J,2,0)</f>
        <v>广东顺德集财电子有限公司</v>
      </c>
      <c r="M45" s="53">
        <f t="shared" si="7"/>
        <v>6.1000000000000004E-3</v>
      </c>
      <c r="P45" s="53" t="str">
        <f>VLOOKUP($B45,[2]Sheet2!$D:$J,5,0)</f>
        <v>56</v>
      </c>
      <c r="Q45" s="53" t="str">
        <f>VLOOKUP($B45,[2]Sheet2!$D:$J,6,0)</f>
        <v>4,000.000</v>
      </c>
      <c r="R45" s="53" t="str">
        <f>VLOOKUP($B45,[2]Sheet2!$D:$J,7,0)</f>
        <v>4,000.000</v>
      </c>
    </row>
    <row r="46" spans="1:19" x14ac:dyDescent="0.25">
      <c r="A46" s="177"/>
      <c r="B46" s="179">
        <v>10110003944</v>
      </c>
      <c r="C46" s="118" t="s">
        <v>44</v>
      </c>
      <c r="D46" s="118" t="s">
        <v>66</v>
      </c>
      <c r="E46" s="118" t="s">
        <v>77</v>
      </c>
      <c r="F46" s="177">
        <v>1</v>
      </c>
      <c r="G46" s="118" t="s">
        <v>355</v>
      </c>
      <c r="H46" s="118" t="s">
        <v>291</v>
      </c>
      <c r="I46" s="74"/>
      <c r="J46" s="53">
        <f>VLOOKUP($B46,[2]Sheet2!$D:$J,3,0)</f>
        <v>5.4299999999999999E-3</v>
      </c>
      <c r="K46" s="53" t="str">
        <f>VLOOKUP($B46,[2]Sheet2!$D:$J,4,0)</f>
        <v>CNY</v>
      </c>
      <c r="L46" s="53" t="str">
        <f>VLOOKUP($B46,[2]Sheet2!$D:$J,2,0)</f>
        <v>东莞华科电子有限公司</v>
      </c>
      <c r="M46" s="53">
        <f t="shared" si="7"/>
        <v>5.4299999999999999E-3</v>
      </c>
      <c r="P46" s="53" t="str">
        <f>VLOOKUP($B46,[2]Sheet2!$D:$J,5,0)</f>
        <v>56</v>
      </c>
      <c r="Q46" s="53" t="str">
        <f>VLOOKUP($B46,[2]Sheet2!$D:$J,6,0)</f>
        <v>4,000.000</v>
      </c>
      <c r="R46" s="53" t="str">
        <f>VLOOKUP($B46,[2]Sheet2!$D:$J,7,0)</f>
        <v>4,000.000</v>
      </c>
      <c r="S46" s="110"/>
    </row>
    <row r="47" spans="1:19" x14ac:dyDescent="0.25">
      <c r="A47" s="177"/>
      <c r="B47" s="179">
        <v>10110005723</v>
      </c>
      <c r="C47" s="118" t="s">
        <v>44</v>
      </c>
      <c r="D47" s="118" t="s">
        <v>356</v>
      </c>
      <c r="E47" s="118" t="s">
        <v>176</v>
      </c>
      <c r="F47" s="177">
        <v>1</v>
      </c>
      <c r="G47" s="118" t="s">
        <v>355</v>
      </c>
      <c r="H47" s="118" t="s">
        <v>291</v>
      </c>
      <c r="I47" s="74"/>
      <c r="J47" s="53">
        <f>VLOOKUP($B47,[2]Sheet2!$D:$J,3,0)</f>
        <v>6.4999999999999997E-3</v>
      </c>
      <c r="K47" s="53" t="str">
        <f>VLOOKUP($B47,[2]Sheet2!$D:$J,4,0)</f>
        <v>CNY</v>
      </c>
      <c r="L47" s="53" t="str">
        <f>VLOOKUP($B47,[2]Sheet2!$D:$J,2,0)</f>
        <v>深圳市奥特高科电子有限公司</v>
      </c>
      <c r="M47" s="53">
        <f t="shared" si="7"/>
        <v>6.4999999999999997E-3</v>
      </c>
      <c r="P47" s="53" t="str">
        <f>VLOOKUP($B47,[2]Sheet2!$D:$J,5,0)</f>
        <v>56</v>
      </c>
      <c r="Q47" s="53" t="str">
        <f>VLOOKUP($B47,[2]Sheet2!$D:$J,6,0)</f>
        <v>4,000.000</v>
      </c>
      <c r="R47" s="53" t="str">
        <f>VLOOKUP($B47,[2]Sheet2!$D:$J,7,0)</f>
        <v>4,000.000</v>
      </c>
    </row>
    <row r="48" spans="1:19" x14ac:dyDescent="0.25">
      <c r="A48" s="177"/>
      <c r="B48" s="179">
        <v>10110011283</v>
      </c>
      <c r="C48" s="118" t="s">
        <v>44</v>
      </c>
      <c r="D48" s="118" t="s">
        <v>69</v>
      </c>
      <c r="E48" s="118" t="s">
        <v>57</v>
      </c>
      <c r="F48" s="177">
        <v>1</v>
      </c>
      <c r="G48" s="118" t="s">
        <v>355</v>
      </c>
      <c r="H48" s="118" t="s">
        <v>291</v>
      </c>
      <c r="I48" s="74"/>
      <c r="J48" s="53">
        <f>VLOOKUP($B48,[2]Sheet2!$D:$J,3,0)</f>
        <v>5.1500000000000001E-3</v>
      </c>
      <c r="K48" s="53" t="str">
        <f>VLOOKUP($B48,[2]Sheet2!$D:$J,4,0)</f>
        <v>CNY</v>
      </c>
      <c r="L48" s="53" t="str">
        <f>VLOOKUP($B48,[2]Sheet2!$D:$J,2,0)</f>
        <v>潮州三环（集团）股份有限公司</v>
      </c>
      <c r="M48" s="53">
        <f t="shared" si="7"/>
        <v>5.1500000000000001E-3</v>
      </c>
      <c r="N48" s="110">
        <f t="shared" ref="N48:N52" si="8">M48*F48</f>
        <v>5.1500000000000001E-3</v>
      </c>
      <c r="P48" s="53" t="str">
        <f>VLOOKUP($B48,[2]Sheet2!$D:$J,5,0)</f>
        <v>56</v>
      </c>
      <c r="Q48" s="53" t="str">
        <f>VLOOKUP($B48,[2]Sheet2!$D:$J,6,0)</f>
        <v>4,000.000</v>
      </c>
      <c r="R48" s="53" t="str">
        <f>VLOOKUP($B48,[2]Sheet2!$D:$J,7,0)</f>
        <v>4,000.000</v>
      </c>
      <c r="S48" s="110" t="s">
        <v>37</v>
      </c>
    </row>
    <row r="49" spans="1:19" x14ac:dyDescent="0.25">
      <c r="A49" s="177" t="s">
        <v>357</v>
      </c>
      <c r="B49" s="179">
        <v>10110020767</v>
      </c>
      <c r="C49" s="118" t="s">
        <v>297</v>
      </c>
      <c r="D49" s="118" t="s">
        <v>45</v>
      </c>
      <c r="E49" s="118" t="s">
        <v>303</v>
      </c>
      <c r="F49" s="177">
        <v>2</v>
      </c>
      <c r="G49" s="241" t="s">
        <v>358</v>
      </c>
      <c r="H49" s="118"/>
      <c r="I49" s="74"/>
      <c r="J49" s="53">
        <f>VLOOKUP($B49,[2]Sheet2!$D:$J,3,0)</f>
        <v>5.5399999999999998E-2</v>
      </c>
      <c r="K49" s="53" t="str">
        <f>VLOOKUP($B49,[2]Sheet2!$D:$J,4,0)</f>
        <v>CNY</v>
      </c>
      <c r="L49" s="53" t="str">
        <f>VLOOKUP($B49,[2]Sheet2!$D:$J,2,0)</f>
        <v>广东顺德集财电子有限公司</v>
      </c>
      <c r="M49" s="53">
        <f t="shared" si="7"/>
        <v>5.5399999999999998E-2</v>
      </c>
      <c r="P49" s="53" t="str">
        <f>VLOOKUP($B49,[2]Sheet2!$D:$J,5,0)</f>
        <v>84</v>
      </c>
      <c r="Q49" s="53" t="str">
        <f>VLOOKUP($B49,[2]Sheet2!$D:$J,6,0)</f>
        <v>10,000.000</v>
      </c>
      <c r="R49" s="53" t="str">
        <f>VLOOKUP($B49,[2]Sheet2!$D:$J,7,0)</f>
        <v>10,000.000</v>
      </c>
      <c r="S49" s="110"/>
    </row>
    <row r="50" spans="1:19" x14ac:dyDescent="0.25">
      <c r="A50" s="177"/>
      <c r="B50" s="179">
        <v>10110027253</v>
      </c>
      <c r="C50" s="118" t="s">
        <v>297</v>
      </c>
      <c r="D50" s="118" t="s">
        <v>359</v>
      </c>
      <c r="E50" s="118" t="s">
        <v>360</v>
      </c>
      <c r="F50" s="177">
        <v>2</v>
      </c>
      <c r="G50" s="241" t="s">
        <v>358</v>
      </c>
      <c r="H50" s="118" t="s">
        <v>291</v>
      </c>
      <c r="I50" s="74"/>
      <c r="J50" s="53">
        <f>VLOOKUP($B50,[2]Sheet2!$D:$J,3,0)</f>
        <v>1.6E-2</v>
      </c>
      <c r="K50" s="53" t="str">
        <f>VLOOKUP($B50,[2]Sheet2!$D:$J,4,0)</f>
        <v>CNY</v>
      </c>
      <c r="L50" s="53" t="str">
        <f>VLOOKUP($B50,[2]Sheet2!$D:$J,2,0)</f>
        <v>广东风华高新科技股份有限公司</v>
      </c>
      <c r="M50" s="53">
        <f t="shared" si="7"/>
        <v>1.6E-2</v>
      </c>
      <c r="N50" s="110">
        <f t="shared" si="8"/>
        <v>3.2000000000000001E-2</v>
      </c>
      <c r="P50" s="53" t="str">
        <f>VLOOKUP($B50,[2]Sheet2!$D:$J,5,0)</f>
        <v>42</v>
      </c>
      <c r="Q50" s="53" t="str">
        <f>VLOOKUP($B50,[2]Sheet2!$D:$J,6,0)</f>
        <v>10,000.000</v>
      </c>
      <c r="R50" s="53" t="str">
        <f>VLOOKUP($B50,[2]Sheet2!$D:$J,7,0)</f>
        <v>10,000.000</v>
      </c>
      <c r="S50" s="182" t="s">
        <v>37</v>
      </c>
    </row>
    <row r="51" spans="1:19" x14ac:dyDescent="0.25">
      <c r="A51" s="177">
        <v>19</v>
      </c>
      <c r="B51" s="177" t="s">
        <v>38</v>
      </c>
      <c r="C51" s="118" t="s">
        <v>202</v>
      </c>
      <c r="D51" s="118" t="s">
        <v>361</v>
      </c>
      <c r="E51" s="178" t="s">
        <v>362</v>
      </c>
      <c r="F51" s="177">
        <v>1</v>
      </c>
      <c r="G51" s="118" t="s">
        <v>363</v>
      </c>
      <c r="H51" s="118" t="s">
        <v>291</v>
      </c>
      <c r="I51" s="74"/>
      <c r="J51" s="53" t="e">
        <f>VLOOKUP($B51,[2]Sheet2!$D:$J,3,0)</f>
        <v>#N/A</v>
      </c>
      <c r="K51" s="53" t="e">
        <f>VLOOKUP($B51,[2]Sheet2!$D:$J,4,0)</f>
        <v>#N/A</v>
      </c>
      <c r="L51" s="53" t="e">
        <f>VLOOKUP($B51,[2]Sheet2!$D:$J,2,0)</f>
        <v>#N/A</v>
      </c>
      <c r="M51" s="173">
        <v>9.6100000000000005E-3</v>
      </c>
      <c r="N51" s="110">
        <f t="shared" si="8"/>
        <v>9.6100000000000005E-3</v>
      </c>
      <c r="O51" s="183"/>
      <c r="P51" s="53" t="e">
        <f>VLOOKUP($B51,[2]Sheet2!$D:$J,5,0)</f>
        <v>#N/A</v>
      </c>
      <c r="Q51" s="53" t="e">
        <f>VLOOKUP($B51,[2]Sheet2!$D:$J,6,0)</f>
        <v>#N/A</v>
      </c>
      <c r="R51" s="53" t="e">
        <f>VLOOKUP($B51,[2]Sheet2!$D:$J,7,0)</f>
        <v>#N/A</v>
      </c>
      <c r="S51" s="182" t="s">
        <v>37</v>
      </c>
    </row>
    <row r="52" spans="1:19" x14ac:dyDescent="0.25">
      <c r="A52" s="177">
        <v>21</v>
      </c>
      <c r="B52" s="179">
        <v>10110018933</v>
      </c>
      <c r="C52" s="118" t="s">
        <v>44</v>
      </c>
      <c r="D52" s="118" t="s">
        <v>364</v>
      </c>
      <c r="E52" s="118" t="s">
        <v>77</v>
      </c>
      <c r="F52" s="177">
        <v>1</v>
      </c>
      <c r="G52" s="118" t="s">
        <v>365</v>
      </c>
      <c r="H52" s="118" t="s">
        <v>291</v>
      </c>
      <c r="I52" s="74"/>
      <c r="J52" s="53">
        <f>VLOOKUP($B52,[2]Sheet2!$D:$J,3,0)</f>
        <v>7.9100000000000004E-3</v>
      </c>
      <c r="K52" s="53" t="str">
        <f>VLOOKUP($B52,[2]Sheet2!$D:$J,4,0)</f>
        <v>CNY</v>
      </c>
      <c r="L52" s="53" t="str">
        <f>VLOOKUP($B52,[2]Sheet2!$D:$J,2,0)</f>
        <v>东莞华科电子有限公司</v>
      </c>
      <c r="M52" s="53">
        <f t="shared" ref="M52:M57" si="9">J52</f>
        <v>7.9100000000000004E-3</v>
      </c>
      <c r="N52" s="110">
        <f t="shared" si="8"/>
        <v>7.9100000000000004E-3</v>
      </c>
      <c r="P52" s="53" t="str">
        <f>VLOOKUP($B52,[2]Sheet2!$D:$J,5,0)</f>
        <v>84</v>
      </c>
      <c r="Q52" s="53" t="str">
        <f>VLOOKUP($B52,[2]Sheet2!$D:$J,6,0)</f>
        <v>10,000.000</v>
      </c>
      <c r="R52" s="53" t="str">
        <f>VLOOKUP($B52,[2]Sheet2!$D:$J,7,0)</f>
        <v>10,000.000</v>
      </c>
      <c r="S52" s="110" t="s">
        <v>37</v>
      </c>
    </row>
    <row r="53" spans="1:19" x14ac:dyDescent="0.25">
      <c r="A53" s="177"/>
      <c r="B53" s="179">
        <v>10110018934</v>
      </c>
      <c r="C53" s="118" t="s">
        <v>44</v>
      </c>
      <c r="D53" s="118" t="s">
        <v>366</v>
      </c>
      <c r="E53" s="118" t="s">
        <v>367</v>
      </c>
      <c r="F53" s="177">
        <v>1</v>
      </c>
      <c r="G53" s="118" t="s">
        <v>365</v>
      </c>
      <c r="H53" s="118" t="s">
        <v>291</v>
      </c>
      <c r="I53" s="74"/>
      <c r="J53" s="53">
        <f>VLOOKUP($B53,[2]Sheet2!$D:$J,3,0)</f>
        <v>1.2999999999999999E-2</v>
      </c>
      <c r="K53" s="53" t="str">
        <f>VLOOKUP($B53,[2]Sheet2!$D:$J,4,0)</f>
        <v>CNY</v>
      </c>
      <c r="L53" s="53" t="str">
        <f>VLOOKUP($B53,[2]Sheet2!$D:$J,2,0)</f>
        <v>深圳市超利维实业有限公司</v>
      </c>
      <c r="M53" s="53">
        <f t="shared" si="9"/>
        <v>1.2999999999999999E-2</v>
      </c>
      <c r="P53" s="53" t="str">
        <f>VLOOKUP($B53,[2]Sheet2!$D:$J,5,0)</f>
        <v>112</v>
      </c>
      <c r="Q53" s="53" t="str">
        <f>VLOOKUP($B53,[2]Sheet2!$D:$J,6,0)</f>
        <v>10,000.000</v>
      </c>
      <c r="R53" s="53" t="str">
        <f>VLOOKUP($B53,[2]Sheet2!$D:$J,7,0)</f>
        <v>10,000.000</v>
      </c>
      <c r="S53" s="110"/>
    </row>
    <row r="54" spans="1:19" x14ac:dyDescent="0.25">
      <c r="A54" s="177">
        <v>22</v>
      </c>
      <c r="B54" s="179">
        <v>10110012398</v>
      </c>
      <c r="C54" s="118" t="s">
        <v>44</v>
      </c>
      <c r="D54" s="118" t="s">
        <v>368</v>
      </c>
      <c r="E54" s="118" t="s">
        <v>46</v>
      </c>
      <c r="F54" s="177">
        <v>1</v>
      </c>
      <c r="G54" s="118" t="s">
        <v>369</v>
      </c>
      <c r="H54" s="118"/>
      <c r="I54" s="74"/>
      <c r="J54" s="53">
        <f>VLOOKUP($B54,[2]Sheet2!$D:$J,3,0)</f>
        <v>7.0000000000000001E-3</v>
      </c>
      <c r="K54" s="53" t="str">
        <f>VLOOKUP($B54,[2]Sheet2!$D:$J,4,0)</f>
        <v>CNY</v>
      </c>
      <c r="L54" s="53" t="str">
        <f>VLOOKUP($B54,[2]Sheet2!$D:$J,2,0)</f>
        <v>深圳市奥特高科电子有限公司</v>
      </c>
      <c r="M54" s="53">
        <f t="shared" si="9"/>
        <v>7.0000000000000001E-3</v>
      </c>
      <c r="P54" s="53" t="str">
        <f>VLOOKUP($B54,[2]Sheet2!$D:$J,5,0)</f>
        <v>56</v>
      </c>
      <c r="Q54" s="53" t="str">
        <f>VLOOKUP($B54,[2]Sheet2!$D:$J,6,0)</f>
        <v>4,000.000</v>
      </c>
      <c r="R54" s="53" t="str">
        <f>VLOOKUP($B54,[2]Sheet2!$D:$J,7,0)</f>
        <v>4,000.000</v>
      </c>
    </row>
    <row r="55" spans="1:19" ht="13.05" customHeight="1" x14ac:dyDescent="0.25">
      <c r="A55" s="177"/>
      <c r="B55" s="179">
        <v>10110012402</v>
      </c>
      <c r="C55" s="118" t="s">
        <v>44</v>
      </c>
      <c r="D55" s="118" t="s">
        <v>370</v>
      </c>
      <c r="E55" s="118" t="s">
        <v>77</v>
      </c>
      <c r="F55" s="177">
        <v>1</v>
      </c>
      <c r="G55" s="118" t="s">
        <v>369</v>
      </c>
      <c r="H55" s="118" t="s">
        <v>291</v>
      </c>
      <c r="I55" s="74"/>
      <c r="J55" s="53">
        <f>VLOOKUP($B55,[2]Sheet2!$D:$J,3,0)</f>
        <v>6.96E-3</v>
      </c>
      <c r="K55" s="53" t="str">
        <f>VLOOKUP($B55,[2]Sheet2!$D:$J,4,0)</f>
        <v>CNY</v>
      </c>
      <c r="L55" s="53" t="str">
        <f>VLOOKUP($B55,[2]Sheet2!$D:$J,2,0)</f>
        <v>深圳市巨新科电子有限公司</v>
      </c>
      <c r="M55" s="53">
        <f t="shared" si="9"/>
        <v>6.96E-3</v>
      </c>
      <c r="N55" s="110">
        <f t="shared" ref="N55:N60" si="10">M55*F55</f>
        <v>6.96E-3</v>
      </c>
      <c r="P55" s="53" t="str">
        <f>VLOOKUP($B55,[2]Sheet2!$D:$J,5,0)</f>
        <v>90</v>
      </c>
      <c r="Q55" s="53" t="str">
        <f>VLOOKUP($B55,[2]Sheet2!$D:$J,6,0)</f>
        <v>4,000.000</v>
      </c>
      <c r="R55" s="53" t="str">
        <f>VLOOKUP($B55,[2]Sheet2!$D:$J,7,0)</f>
        <v>4,000.000</v>
      </c>
      <c r="S55" s="182" t="s">
        <v>37</v>
      </c>
    </row>
    <row r="56" spans="1:19" x14ac:dyDescent="0.25">
      <c r="A56" s="177"/>
      <c r="B56" s="179">
        <v>10110012403</v>
      </c>
      <c r="C56" s="118" t="s">
        <v>44</v>
      </c>
      <c r="D56" s="118" t="s">
        <v>371</v>
      </c>
      <c r="E56" s="118" t="s">
        <v>60</v>
      </c>
      <c r="F56" s="177">
        <v>1</v>
      </c>
      <c r="G56" s="118" t="s">
        <v>369</v>
      </c>
      <c r="H56" s="118"/>
      <c r="I56" s="74"/>
      <c r="J56" s="53">
        <f>VLOOKUP($B56,[2]Sheet2!$D:$J,3,0)</f>
        <v>7.0000000000000001E-3</v>
      </c>
      <c r="K56" s="53" t="str">
        <f>VLOOKUP($B56,[2]Sheet2!$D:$J,4,0)</f>
        <v>CNY</v>
      </c>
      <c r="L56" s="53" t="str">
        <f>VLOOKUP($B56,[2]Sheet2!$D:$J,2,0)</f>
        <v>广东风华高新科技股份有限公司</v>
      </c>
      <c r="M56" s="53">
        <f t="shared" si="9"/>
        <v>7.0000000000000001E-3</v>
      </c>
      <c r="P56" s="53" t="str">
        <f>VLOOKUP($B56,[2]Sheet2!$D:$J,5,0)</f>
        <v>42</v>
      </c>
      <c r="Q56" s="53" t="str">
        <f>VLOOKUP($B56,[2]Sheet2!$D:$J,6,0)</f>
        <v>4,000.000</v>
      </c>
      <c r="R56" s="53" t="str">
        <f>VLOOKUP($B56,[2]Sheet2!$D:$J,7,0)</f>
        <v>4,000.000</v>
      </c>
      <c r="S56" s="110"/>
    </row>
    <row r="57" spans="1:19" x14ac:dyDescent="0.25">
      <c r="A57" s="177"/>
      <c r="B57" s="179">
        <v>10110013851</v>
      </c>
      <c r="C57" s="118" t="s">
        <v>44</v>
      </c>
      <c r="D57" s="118" t="s">
        <v>372</v>
      </c>
      <c r="E57" s="118" t="s">
        <v>57</v>
      </c>
      <c r="F57" s="177">
        <v>1</v>
      </c>
      <c r="G57" s="118" t="s">
        <v>369</v>
      </c>
      <c r="H57" s="118" t="s">
        <v>291</v>
      </c>
      <c r="I57" s="74"/>
      <c r="J57" s="53">
        <f>VLOOKUP($B57,[2]Sheet2!$D:$J,3,0)</f>
        <v>7.0899999999999999E-3</v>
      </c>
      <c r="K57" s="53" t="str">
        <f>VLOOKUP($B57,[2]Sheet2!$D:$J,4,0)</f>
        <v>CNY</v>
      </c>
      <c r="L57" s="53" t="str">
        <f>VLOOKUP($B57,[2]Sheet2!$D:$J,2,0)</f>
        <v>潮州三环（集团）股份有限公司</v>
      </c>
      <c r="M57" s="53">
        <f t="shared" si="9"/>
        <v>7.0899999999999999E-3</v>
      </c>
      <c r="P57" s="53" t="str">
        <f>VLOOKUP($B57,[2]Sheet2!$D:$J,5,0)</f>
        <v>40</v>
      </c>
      <c r="Q57" s="53" t="str">
        <f>VLOOKUP($B57,[2]Sheet2!$D:$J,6,0)</f>
        <v>4,000.000</v>
      </c>
      <c r="R57" s="53" t="str">
        <f>VLOOKUP($B57,[2]Sheet2!$D:$J,7,0)</f>
        <v>4,000.000</v>
      </c>
      <c r="S57" s="110"/>
    </row>
    <row r="58" spans="1:19" x14ac:dyDescent="0.25">
      <c r="A58" s="177">
        <v>23</v>
      </c>
      <c r="B58" s="177" t="s">
        <v>38</v>
      </c>
      <c r="C58" s="118" t="s">
        <v>373</v>
      </c>
      <c r="D58" s="118" t="s">
        <v>374</v>
      </c>
      <c r="E58" s="118" t="s">
        <v>375</v>
      </c>
      <c r="F58" s="177">
        <v>1</v>
      </c>
      <c r="G58" s="118" t="s">
        <v>376</v>
      </c>
      <c r="H58" s="118"/>
      <c r="I58" s="74"/>
      <c r="J58" s="53" t="e">
        <f>VLOOKUP($B58,[2]Sheet2!$D:$J,3,0)</f>
        <v>#N/A</v>
      </c>
      <c r="K58" s="53" t="e">
        <f>VLOOKUP($B58,[2]Sheet2!$D:$J,4,0)</f>
        <v>#N/A</v>
      </c>
      <c r="L58" s="53" t="e">
        <f>VLOOKUP($B58,[2]Sheet2!$D:$J,2,0)</f>
        <v>#N/A</v>
      </c>
      <c r="M58" s="53">
        <v>0.1</v>
      </c>
      <c r="N58" s="110">
        <f t="shared" si="10"/>
        <v>0.1</v>
      </c>
      <c r="O58" s="112"/>
      <c r="P58" s="53" t="e">
        <f>VLOOKUP($B58,[2]Sheet2!$D:$J,5,0)</f>
        <v>#N/A</v>
      </c>
      <c r="Q58" s="53" t="e">
        <f>VLOOKUP($B58,[2]Sheet2!$D:$J,6,0)</f>
        <v>#N/A</v>
      </c>
      <c r="R58" s="53" t="e">
        <f>VLOOKUP($B58,[2]Sheet2!$D:$J,7,0)</f>
        <v>#N/A</v>
      </c>
      <c r="S58" s="182" t="s">
        <v>37</v>
      </c>
    </row>
    <row r="59" spans="1:19" x14ac:dyDescent="0.25">
      <c r="A59" s="177">
        <v>24</v>
      </c>
      <c r="B59" s="177">
        <v>10190001176</v>
      </c>
      <c r="C59" s="178" t="s">
        <v>221</v>
      </c>
      <c r="D59" s="118" t="s">
        <v>377</v>
      </c>
      <c r="E59" s="178" t="s">
        <v>378</v>
      </c>
      <c r="F59" s="177">
        <v>1</v>
      </c>
      <c r="G59" s="118" t="s">
        <v>224</v>
      </c>
      <c r="H59" s="118" t="s">
        <v>291</v>
      </c>
      <c r="I59" s="74"/>
      <c r="J59" s="53">
        <f>VLOOKUP($B59,[2]Sheet2!$D:$J,3,0)</f>
        <v>9.5000000000000001E-2</v>
      </c>
      <c r="K59" s="53" t="str">
        <f>VLOOKUP($B59,[2]Sheet2!$D:$J,4,0)</f>
        <v>CNY</v>
      </c>
      <c r="L59" s="53" t="str">
        <f>VLOOKUP($B59,[2]Sheet2!$D:$J,2,0)</f>
        <v>东莞市贝特电子科技股份有限公司</v>
      </c>
      <c r="M59" s="53">
        <f t="shared" ref="M59:M61" si="11">J59</f>
        <v>9.5000000000000001E-2</v>
      </c>
      <c r="P59" s="53" t="str">
        <f>VLOOKUP($B59,[2]Sheet2!$D:$J,5,0)</f>
        <v>21</v>
      </c>
      <c r="Q59" s="53" t="str">
        <f>VLOOKUP($B59,[2]Sheet2!$D:$J,6,0)</f>
        <v>1,000.000</v>
      </c>
      <c r="R59" s="53" t="str">
        <f>VLOOKUP($B59,[2]Sheet2!$D:$J,7,0)</f>
        <v>1,000.000</v>
      </c>
    </row>
    <row r="60" spans="1:19" x14ac:dyDescent="0.25">
      <c r="A60" s="177"/>
      <c r="B60" s="177">
        <v>10190000675</v>
      </c>
      <c r="C60" s="178" t="s">
        <v>221</v>
      </c>
      <c r="D60" s="118" t="s">
        <v>379</v>
      </c>
      <c r="E60" s="178" t="s">
        <v>380</v>
      </c>
      <c r="F60" s="177">
        <v>1</v>
      </c>
      <c r="G60" s="118" t="s">
        <v>224</v>
      </c>
      <c r="H60" s="118" t="s">
        <v>291</v>
      </c>
      <c r="I60" s="74"/>
      <c r="J60" s="53">
        <f>VLOOKUP($B60,[2]Sheet2!$D:$J,3,0)</f>
        <v>8.3000000000000004E-2</v>
      </c>
      <c r="K60" s="53" t="str">
        <f>VLOOKUP($B60,[2]Sheet2!$D:$J,4,0)</f>
        <v>CNY</v>
      </c>
      <c r="L60" s="53" t="str">
        <f>VLOOKUP($B60,[2]Sheet2!$D:$J,2,0)</f>
        <v>好利来（厦门）电路保护科技有限公司</v>
      </c>
      <c r="M60" s="53">
        <f t="shared" si="11"/>
        <v>8.3000000000000004E-2</v>
      </c>
      <c r="N60" s="110">
        <f t="shared" si="10"/>
        <v>8.3000000000000004E-2</v>
      </c>
      <c r="P60" s="53" t="str">
        <f>VLOOKUP($B60,[2]Sheet2!$D:$J,5,0)</f>
        <v>45</v>
      </c>
      <c r="Q60" s="53" t="str">
        <f>VLOOKUP($B60,[2]Sheet2!$D:$J,6,0)</f>
        <v>1,000.000</v>
      </c>
      <c r="R60" s="53" t="str">
        <f>VLOOKUP($B60,[2]Sheet2!$D:$J,7,0)</f>
        <v>1,000.000</v>
      </c>
      <c r="S60" s="182" t="s">
        <v>37</v>
      </c>
    </row>
    <row r="61" spans="1:19" x14ac:dyDescent="0.25">
      <c r="A61" s="177"/>
      <c r="B61" s="177">
        <v>10190002307</v>
      </c>
      <c r="C61" s="178" t="s">
        <v>221</v>
      </c>
      <c r="D61" s="118" t="s">
        <v>381</v>
      </c>
      <c r="E61" s="178" t="s">
        <v>382</v>
      </c>
      <c r="F61" s="177">
        <v>1</v>
      </c>
      <c r="G61" s="118" t="s">
        <v>224</v>
      </c>
      <c r="H61" s="118" t="s">
        <v>291</v>
      </c>
      <c r="I61" s="74"/>
      <c r="J61" s="53">
        <f>VLOOKUP($B61,[2]Sheet2!$D:$J,3,0)</f>
        <v>0.155</v>
      </c>
      <c r="K61" s="53" t="str">
        <f>VLOOKUP($B61,[2]Sheet2!$D:$J,4,0)</f>
        <v>CNY</v>
      </c>
      <c r="L61" s="53" t="str">
        <f>VLOOKUP($B61,[2]Sheet2!$D:$J,2,0)</f>
        <v>青岛宝融电子有限公司</v>
      </c>
      <c r="M61" s="53">
        <f t="shared" si="11"/>
        <v>0.155</v>
      </c>
      <c r="P61" s="53" t="str">
        <f>VLOOKUP($B61,[2]Sheet2!$D:$J,5,0)</f>
        <v>112</v>
      </c>
      <c r="Q61" s="53" t="str">
        <f>VLOOKUP($B61,[2]Sheet2!$D:$J,6,0)</f>
        <v>1,400.000</v>
      </c>
      <c r="R61" s="53" t="str">
        <f>VLOOKUP($B61,[2]Sheet2!$D:$J,7,0)</f>
        <v>1,400.000</v>
      </c>
      <c r="S61" s="110"/>
    </row>
    <row r="62" spans="1:19" x14ac:dyDescent="0.25">
      <c r="A62" s="177"/>
      <c r="B62" s="177" t="s">
        <v>287</v>
      </c>
      <c r="C62" s="178" t="s">
        <v>221</v>
      </c>
      <c r="D62" s="118" t="s">
        <v>383</v>
      </c>
      <c r="E62" s="118" t="s">
        <v>384</v>
      </c>
      <c r="F62" s="177">
        <v>1</v>
      </c>
      <c r="G62" s="241" t="s">
        <v>224</v>
      </c>
      <c r="H62" s="118"/>
      <c r="I62" s="74"/>
      <c r="J62" s="53" t="e">
        <f>VLOOKUP($B62,[2]Sheet2!$D:$J,3,0)</f>
        <v>#N/A</v>
      </c>
      <c r="K62" s="53" t="e">
        <f>VLOOKUP($B62,[2]Sheet2!$D:$J,4,0)</f>
        <v>#N/A</v>
      </c>
      <c r="L62" s="53" t="e">
        <f>VLOOKUP($B62,[2]Sheet2!$D:$J,2,0)</f>
        <v>#N/A</v>
      </c>
      <c r="M62" s="53">
        <v>0.1009</v>
      </c>
      <c r="O62" s="112"/>
      <c r="P62" s="53" t="e">
        <f>VLOOKUP($B62,[2]Sheet2!$D:$J,5,0)</f>
        <v>#N/A</v>
      </c>
      <c r="Q62" s="53" t="e">
        <f>VLOOKUP($B62,[2]Sheet2!$D:$J,6,0)</f>
        <v>#N/A</v>
      </c>
      <c r="R62" s="53" t="e">
        <f>VLOOKUP($B62,[2]Sheet2!$D:$J,7,0)</f>
        <v>#N/A</v>
      </c>
      <c r="S62" s="110"/>
    </row>
    <row r="63" spans="1:19" x14ac:dyDescent="0.25">
      <c r="A63" s="177">
        <v>25</v>
      </c>
      <c r="B63" s="177" t="s">
        <v>287</v>
      </c>
      <c r="C63" s="118" t="s">
        <v>385</v>
      </c>
      <c r="D63" s="118" t="s">
        <v>386</v>
      </c>
      <c r="E63" s="118" t="s">
        <v>387</v>
      </c>
      <c r="F63" s="177">
        <v>1</v>
      </c>
      <c r="G63" s="241" t="s">
        <v>229</v>
      </c>
      <c r="H63" s="118" t="s">
        <v>118</v>
      </c>
      <c r="I63" s="74"/>
      <c r="J63" s="53" t="e">
        <f>VLOOKUP($B63,[2]Sheet2!$D:$J,3,0)</f>
        <v>#N/A</v>
      </c>
      <c r="K63" s="53" t="e">
        <f>VLOOKUP($B63,[2]Sheet2!$D:$J,4,0)</f>
        <v>#N/A</v>
      </c>
      <c r="L63" s="53" t="e">
        <f>VLOOKUP($B63,[2]Sheet2!$D:$J,2,0)</f>
        <v>#N/A</v>
      </c>
      <c r="M63" s="53">
        <v>1.62</v>
      </c>
      <c r="N63" s="110">
        <f t="shared" ref="N63:N65" si="12">M63*F63</f>
        <v>1.62</v>
      </c>
      <c r="P63" s="53" t="e">
        <f>VLOOKUP($B63,[2]Sheet2!$D:$J,5,0)</f>
        <v>#N/A</v>
      </c>
      <c r="Q63" s="53" t="e">
        <f>VLOOKUP($B63,[2]Sheet2!$D:$J,6,0)</f>
        <v>#N/A</v>
      </c>
      <c r="R63" s="53" t="e">
        <f>VLOOKUP($B63,[2]Sheet2!$D:$J,7,0)</f>
        <v>#N/A</v>
      </c>
      <c r="S63" s="110" t="s">
        <v>37</v>
      </c>
    </row>
    <row r="64" spans="1:19" x14ac:dyDescent="0.25">
      <c r="A64" s="177">
        <v>26</v>
      </c>
      <c r="B64" s="177" t="s">
        <v>287</v>
      </c>
      <c r="C64" s="178" t="s">
        <v>230</v>
      </c>
      <c r="D64" s="118" t="s">
        <v>231</v>
      </c>
      <c r="E64" s="118" t="s">
        <v>388</v>
      </c>
      <c r="F64" s="177">
        <v>1</v>
      </c>
      <c r="G64" s="118" t="s">
        <v>233</v>
      </c>
      <c r="H64" s="118" t="s">
        <v>118</v>
      </c>
      <c r="I64" s="74"/>
      <c r="J64" s="53" t="e">
        <f>VLOOKUP($B64,[2]Sheet2!$D:$J,3,0)</f>
        <v>#N/A</v>
      </c>
      <c r="K64" s="53" t="e">
        <f>VLOOKUP($B64,[2]Sheet2!$D:$J,4,0)</f>
        <v>#N/A</v>
      </c>
      <c r="L64" s="53" t="e">
        <f>VLOOKUP($B64,[2]Sheet2!$D:$J,2,0)</f>
        <v>#N/A</v>
      </c>
      <c r="M64" s="53">
        <v>0.5</v>
      </c>
      <c r="N64" s="110">
        <f t="shared" si="12"/>
        <v>0.5</v>
      </c>
      <c r="O64" s="53" t="s">
        <v>234</v>
      </c>
      <c r="P64" s="53" t="e">
        <f>VLOOKUP($B64,[2]Sheet2!$D:$J,5,0)</f>
        <v>#N/A</v>
      </c>
      <c r="Q64" s="53" t="e">
        <f>VLOOKUP($B64,[2]Sheet2!$D:$J,6,0)</f>
        <v>#N/A</v>
      </c>
      <c r="R64" s="53" t="e">
        <f>VLOOKUP($B64,[2]Sheet2!$D:$J,7,0)</f>
        <v>#N/A</v>
      </c>
      <c r="S64" s="110" t="s">
        <v>37</v>
      </c>
    </row>
    <row r="65" spans="1:19" x14ac:dyDescent="0.25">
      <c r="A65" s="177">
        <v>27</v>
      </c>
      <c r="B65" s="177" t="s">
        <v>287</v>
      </c>
      <c r="C65" s="178" t="s">
        <v>235</v>
      </c>
      <c r="D65" s="118" t="s">
        <v>236</v>
      </c>
      <c r="E65" s="118" t="s">
        <v>388</v>
      </c>
      <c r="F65" s="177">
        <v>1</v>
      </c>
      <c r="G65" s="118" t="s">
        <v>237</v>
      </c>
      <c r="H65" s="118" t="s">
        <v>118</v>
      </c>
      <c r="I65" s="74"/>
      <c r="J65" s="53" t="e">
        <f>VLOOKUP($B65,[2]Sheet2!$D:$J,3,0)</f>
        <v>#N/A</v>
      </c>
      <c r="K65" s="53" t="e">
        <f>VLOOKUP($B65,[2]Sheet2!$D:$J,4,0)</f>
        <v>#N/A</v>
      </c>
      <c r="L65" s="53" t="e">
        <f>VLOOKUP($B65,[2]Sheet2!$D:$J,2,0)</f>
        <v>#N/A</v>
      </c>
      <c r="M65" s="120">
        <v>1.0289999999999999</v>
      </c>
      <c r="N65" s="110">
        <f t="shared" si="12"/>
        <v>1.0289999999999999</v>
      </c>
      <c r="O65" s="120" t="s">
        <v>238</v>
      </c>
      <c r="P65" s="53" t="e">
        <f>VLOOKUP($B65,[2]Sheet2!$D:$J,5,0)</f>
        <v>#N/A</v>
      </c>
      <c r="Q65" s="53" t="e">
        <f>VLOOKUP($B65,[2]Sheet2!$D:$J,6,0)</f>
        <v>#N/A</v>
      </c>
      <c r="R65" s="53" t="e">
        <f>VLOOKUP($B65,[2]Sheet2!$D:$J,7,0)</f>
        <v>#N/A</v>
      </c>
      <c r="S65" s="182" t="s">
        <v>37</v>
      </c>
    </row>
    <row r="66" spans="1:19" x14ac:dyDescent="0.25">
      <c r="A66" s="177">
        <v>28</v>
      </c>
      <c r="B66" s="177">
        <v>10160007699</v>
      </c>
      <c r="C66" s="118" t="s">
        <v>89</v>
      </c>
      <c r="D66" s="118" t="s">
        <v>90</v>
      </c>
      <c r="E66" s="118" t="s">
        <v>91</v>
      </c>
      <c r="F66" s="177">
        <v>14</v>
      </c>
      <c r="G66" s="118" t="s">
        <v>389</v>
      </c>
      <c r="H66" s="118" t="s">
        <v>291</v>
      </c>
      <c r="I66" s="185" t="s">
        <v>93</v>
      </c>
      <c r="J66" s="53">
        <f>VLOOKUP($B66,[2]Sheet2!$D:$J,3,0)</f>
        <v>4.2999999999999997E-2</v>
      </c>
      <c r="K66" s="53" t="str">
        <f>VLOOKUP($B66,[2]Sheet2!$D:$J,4,0)</f>
        <v>CNY</v>
      </c>
      <c r="L66" s="53" t="str">
        <f>VLOOKUP($B66,[2]Sheet2!$D:$J,2,0)</f>
        <v>肇庆市立得电子有限公司</v>
      </c>
      <c r="M66" s="53">
        <f t="shared" ref="M66:M70" si="13">J66</f>
        <v>4.2999999999999997E-2</v>
      </c>
      <c r="P66" s="53" t="str">
        <f>VLOOKUP($B66,[2]Sheet2!$D:$J,5,0)</f>
        <v>30</v>
      </c>
      <c r="Q66" s="53" t="str">
        <f>VLOOKUP($B66,[2]Sheet2!$D:$J,6,0)</f>
        <v>20,000.000</v>
      </c>
      <c r="R66" s="53" t="str">
        <f>VLOOKUP($B66,[2]Sheet2!$D:$J,7,0)</f>
        <v>4,000.000</v>
      </c>
    </row>
    <row r="67" spans="1:19" x14ac:dyDescent="0.25">
      <c r="A67" s="177"/>
      <c r="B67" s="177">
        <v>10160007809</v>
      </c>
      <c r="C67" s="118" t="s">
        <v>97</v>
      </c>
      <c r="D67" s="118" t="s">
        <v>98</v>
      </c>
      <c r="E67" s="118" t="s">
        <v>99</v>
      </c>
      <c r="F67" s="177">
        <v>14</v>
      </c>
      <c r="G67" s="118" t="s">
        <v>389</v>
      </c>
      <c r="H67" s="118" t="s">
        <v>291</v>
      </c>
      <c r="I67" s="186" t="s">
        <v>100</v>
      </c>
      <c r="J67" s="53">
        <f>VLOOKUP($B67,[2]Sheet2!$D:$J,3,0)</f>
        <v>2.5999999999999999E-2</v>
      </c>
      <c r="K67" s="53" t="str">
        <f>VLOOKUP($B67,[2]Sheet2!$D:$J,4,0)</f>
        <v>CNY</v>
      </c>
      <c r="L67" s="53" t="str">
        <f>VLOOKUP($B67,[2]Sheet2!$D:$J,2,0)</f>
        <v>广东长利光电科技有限公司</v>
      </c>
      <c r="M67" s="53">
        <f t="shared" si="13"/>
        <v>2.5999999999999999E-2</v>
      </c>
      <c r="N67" s="110">
        <f>M67*F67</f>
        <v>0.36399999999999999</v>
      </c>
      <c r="P67" s="53" t="str">
        <f>VLOOKUP($B67,[2]Sheet2!$D:$J,5,0)</f>
        <v>28</v>
      </c>
      <c r="Q67" s="53" t="str">
        <f>VLOOKUP($B67,[2]Sheet2!$D:$J,6,0)</f>
        <v>4,000.000</v>
      </c>
      <c r="R67" s="53" t="str">
        <f>VLOOKUP($B67,[2]Sheet2!$D:$J,7,0)</f>
        <v>4,000.000</v>
      </c>
      <c r="S67" s="110" t="s">
        <v>37</v>
      </c>
    </row>
    <row r="68" spans="1:19" x14ac:dyDescent="0.25">
      <c r="A68" s="177"/>
      <c r="B68" s="177" t="s">
        <v>38</v>
      </c>
      <c r="C68" s="118" t="s">
        <v>89</v>
      </c>
      <c r="D68" s="118" t="s">
        <v>390</v>
      </c>
      <c r="E68" s="118" t="s">
        <v>105</v>
      </c>
      <c r="F68" s="177">
        <v>14</v>
      </c>
      <c r="G68" s="118" t="s">
        <v>389</v>
      </c>
      <c r="H68" s="118"/>
      <c r="I68" s="181"/>
      <c r="J68" s="53" t="e">
        <f>VLOOKUP($B68,[2]Sheet2!$D:$J,3,0)</f>
        <v>#N/A</v>
      </c>
      <c r="K68" s="53" t="e">
        <f>VLOOKUP($B68,[2]Sheet2!$D:$J,4,0)</f>
        <v>#N/A</v>
      </c>
      <c r="L68" s="53" t="e">
        <f>VLOOKUP($B68,[2]Sheet2!$D:$J,2,0)</f>
        <v>#N/A</v>
      </c>
      <c r="M68" s="53">
        <v>4.8000000000000001E-2</v>
      </c>
      <c r="P68" s="53" t="e">
        <f>VLOOKUP($B68,[2]Sheet2!$D:$J,5,0)</f>
        <v>#N/A</v>
      </c>
      <c r="Q68" s="53" t="e">
        <f>VLOOKUP($B68,[2]Sheet2!$D:$J,6,0)</f>
        <v>#N/A</v>
      </c>
      <c r="R68" s="53" t="e">
        <f>VLOOKUP($B68,[2]Sheet2!$D:$J,7,0)</f>
        <v>#N/A</v>
      </c>
    </row>
    <row r="69" spans="1:19" x14ac:dyDescent="0.25">
      <c r="A69" s="177" t="s">
        <v>391</v>
      </c>
      <c r="B69" s="177">
        <v>10160007865</v>
      </c>
      <c r="C69" s="178" t="s">
        <v>97</v>
      </c>
      <c r="D69" s="118" t="s">
        <v>107</v>
      </c>
      <c r="E69" s="178" t="s">
        <v>99</v>
      </c>
      <c r="F69" s="177">
        <v>3</v>
      </c>
      <c r="G69" s="118" t="s">
        <v>108</v>
      </c>
      <c r="H69" s="118" t="s">
        <v>291</v>
      </c>
      <c r="I69" s="185" t="s">
        <v>93</v>
      </c>
      <c r="J69" s="53">
        <f>VLOOKUP($B69,[2]Sheet2!$D:$J,3,0)</f>
        <v>2.75E-2</v>
      </c>
      <c r="K69" s="53" t="str">
        <f>VLOOKUP($B69,[2]Sheet2!$D:$J,4,0)</f>
        <v>CNY</v>
      </c>
      <c r="L69" s="53" t="str">
        <f>VLOOKUP($B69,[2]Sheet2!$D:$J,2,0)</f>
        <v>广东长利光电科技有限公司</v>
      </c>
      <c r="M69" s="53">
        <f t="shared" si="13"/>
        <v>2.75E-2</v>
      </c>
      <c r="N69" s="110">
        <f t="shared" ref="N69:N79" si="14">M69*F69</f>
        <v>8.2500000000000004E-2</v>
      </c>
      <c r="P69" s="53" t="str">
        <f>VLOOKUP($B69,[2]Sheet2!$D:$J,5,0)</f>
        <v>10</v>
      </c>
      <c r="Q69" s="53" t="str">
        <f>VLOOKUP($B69,[2]Sheet2!$D:$J,6,0)</f>
        <v>4,000.000</v>
      </c>
      <c r="R69" s="53" t="str">
        <f>VLOOKUP($B69,[2]Sheet2!$D:$J,7,0)</f>
        <v>4,000.000</v>
      </c>
      <c r="S69" s="182" t="s">
        <v>37</v>
      </c>
    </row>
    <row r="70" spans="1:19" x14ac:dyDescent="0.25">
      <c r="A70" s="177"/>
      <c r="B70" s="177">
        <v>10160006989</v>
      </c>
      <c r="C70" s="178" t="s">
        <v>97</v>
      </c>
      <c r="D70" s="118" t="s">
        <v>392</v>
      </c>
      <c r="E70" s="178" t="s">
        <v>111</v>
      </c>
      <c r="F70" s="177">
        <v>3</v>
      </c>
      <c r="G70" s="118" t="s">
        <v>108</v>
      </c>
      <c r="H70" s="118" t="s">
        <v>291</v>
      </c>
      <c r="I70" s="185" t="s">
        <v>100</v>
      </c>
      <c r="J70" s="53">
        <f>VLOOKUP($B70,[2]Sheet2!$D:$J,3,0)</f>
        <v>4.8399999999999999E-2</v>
      </c>
      <c r="K70" s="53" t="str">
        <f>VLOOKUP($B70,[2]Sheet2!$D:$J,4,0)</f>
        <v>CNY</v>
      </c>
      <c r="L70" s="53" t="str">
        <f>VLOOKUP($B70,[2]Sheet2!$D:$J,2,0)</f>
        <v>浙江瑞丰光电有限公司</v>
      </c>
      <c r="M70" s="53">
        <f t="shared" si="13"/>
        <v>4.8399999999999999E-2</v>
      </c>
      <c r="P70" s="53" t="str">
        <f>VLOOKUP($B70,[2]Sheet2!$D:$J,5,0)</f>
        <v>28</v>
      </c>
      <c r="Q70" s="53" t="str">
        <f>VLOOKUP($B70,[2]Sheet2!$D:$J,6,0)</f>
        <v>60,000.000</v>
      </c>
      <c r="R70" s="53" t="str">
        <f>VLOOKUP($B70,[2]Sheet2!$D:$J,7,0)</f>
        <v>4,000.000</v>
      </c>
    </row>
    <row r="71" spans="1:19" x14ac:dyDescent="0.25">
      <c r="A71" s="177"/>
      <c r="B71" s="100" t="s">
        <v>38</v>
      </c>
      <c r="C71" s="242" t="s">
        <v>103</v>
      </c>
      <c r="D71" s="243" t="s">
        <v>104</v>
      </c>
      <c r="E71" s="105" t="s">
        <v>105</v>
      </c>
      <c r="F71" s="177">
        <v>3</v>
      </c>
      <c r="G71" s="118" t="s">
        <v>108</v>
      </c>
      <c r="H71" s="118"/>
      <c r="I71" s="185"/>
      <c r="J71" s="53" t="e">
        <f>VLOOKUP($B71,[2]Sheet2!$D:$J,3,0)</f>
        <v>#N/A</v>
      </c>
      <c r="K71" s="53" t="e">
        <f>VLOOKUP($B71,[2]Sheet2!$D:$J,4,0)</f>
        <v>#N/A</v>
      </c>
      <c r="L71" s="53" t="e">
        <f>VLOOKUP($B71,[2]Sheet2!$D:$J,2,0)</f>
        <v>#N/A</v>
      </c>
      <c r="M71" s="53">
        <v>3.5000000000000003E-2</v>
      </c>
      <c r="P71" s="53" t="e">
        <f>VLOOKUP($B71,[2]Sheet2!$D:$J,5,0)</f>
        <v>#N/A</v>
      </c>
      <c r="Q71" s="53" t="e">
        <f>VLOOKUP($B71,[2]Sheet2!$D:$J,6,0)</f>
        <v>#N/A</v>
      </c>
      <c r="R71" s="53" t="e">
        <f>VLOOKUP($B71,[2]Sheet2!$D:$J,7,0)</f>
        <v>#N/A</v>
      </c>
      <c r="S71" s="110"/>
    </row>
    <row r="72" spans="1:19" x14ac:dyDescent="0.25">
      <c r="A72" s="100"/>
      <c r="B72" s="177" t="s">
        <v>393</v>
      </c>
      <c r="C72" s="178" t="s">
        <v>97</v>
      </c>
      <c r="D72" s="118" t="s">
        <v>240</v>
      </c>
      <c r="E72" s="178" t="s">
        <v>105</v>
      </c>
      <c r="F72" s="177">
        <v>3</v>
      </c>
      <c r="G72" s="118" t="s">
        <v>108</v>
      </c>
      <c r="H72" s="105"/>
      <c r="I72" s="74"/>
      <c r="J72" s="53" t="e">
        <f>VLOOKUP($B72,[2]Sheet2!$D:$J,3,0)</f>
        <v>#N/A</v>
      </c>
      <c r="K72" s="53" t="e">
        <f>VLOOKUP($B72,[2]Sheet2!$D:$J,4,0)</f>
        <v>#N/A</v>
      </c>
      <c r="L72" s="53" t="e">
        <f>VLOOKUP($B72,[2]Sheet2!$D:$J,2,0)</f>
        <v>#N/A</v>
      </c>
      <c r="M72" s="53">
        <v>4.4999999999999998E-2</v>
      </c>
      <c r="P72" s="53" t="e">
        <f>VLOOKUP($B72,[2]Sheet2!$D:$J,5,0)</f>
        <v>#N/A</v>
      </c>
      <c r="Q72" s="53" t="e">
        <f>VLOOKUP($B72,[2]Sheet2!$D:$J,6,0)</f>
        <v>#N/A</v>
      </c>
      <c r="R72" s="53" t="e">
        <f>VLOOKUP($B72,[2]Sheet2!$D:$J,7,0)</f>
        <v>#N/A</v>
      </c>
      <c r="S72" s="187"/>
    </row>
    <row r="73" spans="1:19" s="173" customFormat="1" x14ac:dyDescent="0.25">
      <c r="A73" s="100">
        <v>31</v>
      </c>
      <c r="B73" s="177">
        <v>1015</v>
      </c>
      <c r="C73" s="178" t="s">
        <v>242</v>
      </c>
      <c r="D73" s="118" t="s">
        <v>243</v>
      </c>
      <c r="E73" s="178" t="s">
        <v>244</v>
      </c>
      <c r="F73" s="177">
        <v>1</v>
      </c>
      <c r="G73" s="241" t="s">
        <v>183</v>
      </c>
      <c r="H73" s="118" t="s">
        <v>118</v>
      </c>
      <c r="I73" s="74"/>
      <c r="J73" s="53" t="e">
        <f>VLOOKUP($B73,[2]Sheet2!$D:$J,3,0)</f>
        <v>#N/A</v>
      </c>
      <c r="K73" s="53" t="e">
        <f>VLOOKUP($B73,[2]Sheet2!$D:$J,4,0)</f>
        <v>#N/A</v>
      </c>
      <c r="L73" s="53" t="e">
        <f>VLOOKUP($B73,[2]Sheet2!$D:$J,2,0)</f>
        <v>#N/A</v>
      </c>
      <c r="M73" s="53">
        <v>0.73</v>
      </c>
      <c r="N73" s="110">
        <f t="shared" si="14"/>
        <v>0.73</v>
      </c>
      <c r="O73" s="53"/>
      <c r="P73" s="53" t="e">
        <f>VLOOKUP($B73,[2]Sheet2!$D:$J,5,0)</f>
        <v>#N/A</v>
      </c>
      <c r="Q73" s="53" t="e">
        <f>VLOOKUP($B73,[2]Sheet2!$D:$J,6,0)</f>
        <v>#N/A</v>
      </c>
      <c r="R73" s="53" t="e">
        <f>VLOOKUP($B73,[2]Sheet2!$D:$J,7,0)</f>
        <v>#N/A</v>
      </c>
      <c r="S73" s="110" t="s">
        <v>37</v>
      </c>
    </row>
    <row r="74" spans="1:19" x14ac:dyDescent="0.25">
      <c r="A74" s="100">
        <v>32</v>
      </c>
      <c r="B74" s="177">
        <v>10150011020</v>
      </c>
      <c r="C74" s="118" t="s">
        <v>394</v>
      </c>
      <c r="D74" s="118" t="s">
        <v>395</v>
      </c>
      <c r="E74" s="118"/>
      <c r="F74" s="177">
        <v>1</v>
      </c>
      <c r="G74" s="241" t="s">
        <v>396</v>
      </c>
      <c r="H74" s="118" t="s">
        <v>118</v>
      </c>
      <c r="I74" s="74"/>
      <c r="J74" s="53">
        <f>VLOOKUP($B74,[2]Sheet2!$D:$J,3,0)</f>
        <v>0.56999999999999995</v>
      </c>
      <c r="K74" s="53" t="str">
        <f>VLOOKUP($B74,[2]Sheet2!$D:$J,4,0)</f>
        <v>CNY</v>
      </c>
      <c r="L74" s="53" t="str">
        <f>VLOOKUP($B74,[2]Sheet2!$D:$J,2,0)</f>
        <v>深圳市几度创想科技有限公司</v>
      </c>
      <c r="M74" s="53">
        <f>J74</f>
        <v>0.56999999999999995</v>
      </c>
      <c r="N74" s="110">
        <f t="shared" si="14"/>
        <v>0.56999999999999995</v>
      </c>
      <c r="P74" s="53" t="str">
        <f>VLOOKUP($B74,[2]Sheet2!$D:$J,5,0)</f>
        <v>56</v>
      </c>
      <c r="Q74" s="53" t="str">
        <f>VLOOKUP($B74,[2]Sheet2!$D:$J,6,0)</f>
        <v>2,500.000</v>
      </c>
      <c r="R74" s="53" t="str">
        <f>VLOOKUP($B74,[2]Sheet2!$D:$J,7,0)</f>
        <v>2,500.000</v>
      </c>
      <c r="S74" s="110" t="s">
        <v>37</v>
      </c>
    </row>
    <row r="75" spans="1:19" x14ac:dyDescent="0.25">
      <c r="A75" s="100">
        <v>33</v>
      </c>
      <c r="B75" s="177">
        <v>1015</v>
      </c>
      <c r="C75" s="118" t="s">
        <v>397</v>
      </c>
      <c r="D75" s="241" t="s">
        <v>246</v>
      </c>
      <c r="E75" s="118" t="s">
        <v>398</v>
      </c>
      <c r="F75" s="177">
        <v>1</v>
      </c>
      <c r="G75" s="241" t="s">
        <v>248</v>
      </c>
      <c r="H75" s="118" t="s">
        <v>118</v>
      </c>
      <c r="I75" s="74"/>
      <c r="J75" s="53" t="e">
        <f>VLOOKUP($B75,[2]Sheet2!$D:$J,3,0)</f>
        <v>#N/A</v>
      </c>
      <c r="K75" s="53" t="e">
        <f>VLOOKUP($B75,[2]Sheet2!$D:$J,4,0)</f>
        <v>#N/A</v>
      </c>
      <c r="L75" s="53" t="e">
        <f>VLOOKUP($B75,[2]Sheet2!$D:$J,2,0)</f>
        <v>#N/A</v>
      </c>
      <c r="M75" s="53">
        <v>0.35</v>
      </c>
      <c r="N75" s="110">
        <f t="shared" si="14"/>
        <v>0.35</v>
      </c>
      <c r="P75" s="53" t="e">
        <f>VLOOKUP($B75,[2]Sheet2!$D:$J,5,0)</f>
        <v>#N/A</v>
      </c>
      <c r="Q75" s="53" t="e">
        <f>VLOOKUP($B75,[2]Sheet2!$D:$J,6,0)</f>
        <v>#N/A</v>
      </c>
      <c r="R75" s="53" t="e">
        <f>VLOOKUP($B75,[2]Sheet2!$D:$J,7,0)</f>
        <v>#N/A</v>
      </c>
      <c r="S75" s="110" t="s">
        <v>37</v>
      </c>
    </row>
    <row r="76" spans="1:19" x14ac:dyDescent="0.25">
      <c r="A76" s="100">
        <v>34</v>
      </c>
      <c r="B76" s="177">
        <v>1015</v>
      </c>
      <c r="C76" s="118" t="s">
        <v>399</v>
      </c>
      <c r="D76" s="118" t="s">
        <v>250</v>
      </c>
      <c r="E76" s="118" t="s">
        <v>398</v>
      </c>
      <c r="F76" s="177">
        <v>1</v>
      </c>
      <c r="G76" s="241" t="s">
        <v>251</v>
      </c>
      <c r="H76" s="118" t="s">
        <v>118</v>
      </c>
      <c r="I76" s="74"/>
      <c r="J76" s="53" t="e">
        <f>VLOOKUP($B76,[2]Sheet2!$D:$J,3,0)</f>
        <v>#N/A</v>
      </c>
      <c r="K76" s="53" t="e">
        <f>VLOOKUP($B76,[2]Sheet2!$D:$J,4,0)</f>
        <v>#N/A</v>
      </c>
      <c r="L76" s="53" t="e">
        <f>VLOOKUP($B76,[2]Sheet2!$D:$J,2,0)</f>
        <v>#N/A</v>
      </c>
      <c r="M76" s="53">
        <v>0.33</v>
      </c>
      <c r="N76" s="110">
        <f t="shared" si="14"/>
        <v>0.33</v>
      </c>
      <c r="P76" s="53" t="e">
        <f>VLOOKUP($B76,[2]Sheet2!$D:$J,5,0)</f>
        <v>#N/A</v>
      </c>
      <c r="Q76" s="53" t="e">
        <f>VLOOKUP($B76,[2]Sheet2!$D:$J,6,0)</f>
        <v>#N/A</v>
      </c>
      <c r="R76" s="53" t="e">
        <f>VLOOKUP($B76,[2]Sheet2!$D:$J,7,0)</f>
        <v>#N/A</v>
      </c>
      <c r="S76" s="110" t="s">
        <v>37</v>
      </c>
    </row>
    <row r="77" spans="1:19" ht="26.4" x14ac:dyDescent="0.25">
      <c r="A77" s="100">
        <v>35</v>
      </c>
      <c r="B77" s="177">
        <v>1015</v>
      </c>
      <c r="C77" s="118" t="s">
        <v>252</v>
      </c>
      <c r="D77" s="118" t="s">
        <v>253</v>
      </c>
      <c r="E77" s="103" t="s">
        <v>400</v>
      </c>
      <c r="F77" s="177">
        <v>1</v>
      </c>
      <c r="G77" s="241" t="s">
        <v>255</v>
      </c>
      <c r="H77" s="118" t="s">
        <v>291</v>
      </c>
      <c r="I77" s="74"/>
      <c r="J77" s="53" t="e">
        <f>VLOOKUP($B77,[2]Sheet2!$D:$J,3,0)</f>
        <v>#N/A</v>
      </c>
      <c r="K77" s="53" t="e">
        <f>VLOOKUP($B77,[2]Sheet2!$D:$J,4,0)</f>
        <v>#N/A</v>
      </c>
      <c r="L77" s="53" t="e">
        <f>VLOOKUP($B77,[2]Sheet2!$D:$J,2,0)</f>
        <v>#N/A</v>
      </c>
      <c r="M77" s="53">
        <v>0.22</v>
      </c>
      <c r="N77" s="110">
        <f t="shared" si="14"/>
        <v>0.22</v>
      </c>
      <c r="P77" s="53" t="e">
        <f>VLOOKUP($B77,[2]Sheet2!$D:$J,5,0)</f>
        <v>#N/A</v>
      </c>
      <c r="Q77" s="53" t="e">
        <f>VLOOKUP($B77,[2]Sheet2!$D:$J,6,0)</f>
        <v>#N/A</v>
      </c>
      <c r="R77" s="53" t="e">
        <f>VLOOKUP($B77,[2]Sheet2!$D:$J,7,0)</f>
        <v>#N/A</v>
      </c>
      <c r="S77" s="110" t="s">
        <v>37</v>
      </c>
    </row>
    <row r="78" spans="1:19" x14ac:dyDescent="0.25">
      <c r="A78" s="100">
        <v>36</v>
      </c>
      <c r="B78" s="177">
        <v>1015</v>
      </c>
      <c r="C78" s="118" t="s">
        <v>114</v>
      </c>
      <c r="D78" s="118" t="s">
        <v>115</v>
      </c>
      <c r="E78" s="118" t="s">
        <v>116</v>
      </c>
      <c r="F78" s="177">
        <v>1</v>
      </c>
      <c r="G78" s="118" t="s">
        <v>117</v>
      </c>
      <c r="H78" s="118" t="s">
        <v>118</v>
      </c>
      <c r="I78" s="74"/>
      <c r="J78" s="53" t="e">
        <f>VLOOKUP($B78,[2]Sheet2!$D:$J,3,0)</f>
        <v>#N/A</v>
      </c>
      <c r="K78" s="53" t="e">
        <f>VLOOKUP($B78,[2]Sheet2!$D:$J,4,0)</f>
        <v>#N/A</v>
      </c>
      <c r="L78" s="53" t="e">
        <f>VLOOKUP($B78,[2]Sheet2!$D:$J,2,0)</f>
        <v>#N/A</v>
      </c>
      <c r="M78" s="53">
        <v>0.2</v>
      </c>
      <c r="N78" s="110">
        <f t="shared" si="14"/>
        <v>0.2</v>
      </c>
      <c r="P78" s="53" t="e">
        <f>VLOOKUP($B78,[2]Sheet2!$D:$J,5,0)</f>
        <v>#N/A</v>
      </c>
      <c r="Q78" s="53" t="e">
        <f>VLOOKUP($B78,[2]Sheet2!$D:$J,6,0)</f>
        <v>#N/A</v>
      </c>
      <c r="R78" s="53" t="e">
        <f>VLOOKUP($B78,[2]Sheet2!$D:$J,7,0)</f>
        <v>#N/A</v>
      </c>
      <c r="S78" s="110" t="s">
        <v>37</v>
      </c>
    </row>
    <row r="79" spans="1:19" x14ac:dyDescent="0.25">
      <c r="A79" s="100">
        <v>37</v>
      </c>
      <c r="B79" s="179">
        <v>10150010419</v>
      </c>
      <c r="C79" s="118" t="s">
        <v>401</v>
      </c>
      <c r="D79" s="118" t="s">
        <v>257</v>
      </c>
      <c r="E79" s="118" t="s">
        <v>258</v>
      </c>
      <c r="F79" s="177">
        <v>1</v>
      </c>
      <c r="G79" s="241" t="s">
        <v>259</v>
      </c>
      <c r="H79" s="118" t="s">
        <v>118</v>
      </c>
      <c r="I79" s="74"/>
      <c r="J79" s="53" t="e">
        <f>VLOOKUP($B79,[2]Sheet2!$D:$J,3,0)</f>
        <v>#N/A</v>
      </c>
      <c r="K79" s="53" t="e">
        <f>VLOOKUP($B79,[2]Sheet2!$D:$J,4,0)</f>
        <v>#N/A</v>
      </c>
      <c r="L79" s="53" t="e">
        <f>VLOOKUP($B79,[2]Sheet2!$D:$J,2,0)</f>
        <v>#N/A</v>
      </c>
      <c r="M79" s="53">
        <v>1.92</v>
      </c>
      <c r="N79" s="110">
        <f t="shared" si="14"/>
        <v>1.92</v>
      </c>
      <c r="P79" s="53" t="e">
        <f>VLOOKUP($B79,[2]Sheet2!$D:$J,5,0)</f>
        <v>#N/A</v>
      </c>
      <c r="Q79" s="53" t="e">
        <f>VLOOKUP($B79,[2]Sheet2!$D:$J,6,0)</f>
        <v>#N/A</v>
      </c>
      <c r="R79" s="53" t="e">
        <f>VLOOKUP($B79,[2]Sheet2!$D:$J,7,0)</f>
        <v>#N/A</v>
      </c>
      <c r="S79" s="182" t="s">
        <v>37</v>
      </c>
    </row>
    <row r="80" spans="1:19" x14ac:dyDescent="0.25">
      <c r="A80" s="100">
        <v>38</v>
      </c>
      <c r="B80" s="179">
        <v>10100017076</v>
      </c>
      <c r="C80" s="118" t="s">
        <v>402</v>
      </c>
      <c r="D80" s="118" t="s">
        <v>403</v>
      </c>
      <c r="E80" s="118" t="s">
        <v>305</v>
      </c>
      <c r="F80" s="177">
        <v>1</v>
      </c>
      <c r="G80" s="241" t="s">
        <v>404</v>
      </c>
      <c r="H80" s="118" t="s">
        <v>291</v>
      </c>
      <c r="I80" s="74"/>
      <c r="J80" s="53">
        <f>VLOOKUP($B80,[2]Sheet2!$D:$J,3,0)</f>
        <v>6.9499999999999996E-3</v>
      </c>
      <c r="K80" s="53" t="str">
        <f>VLOOKUP($B80,[2]Sheet2!$D:$J,4,0)</f>
        <v>CNY</v>
      </c>
      <c r="L80" s="53" t="str">
        <f>VLOOKUP($B80,[2]Sheet2!$D:$J,2,0)</f>
        <v>东莞华科电子有限公司</v>
      </c>
      <c r="M80" s="53">
        <f t="shared" ref="M80:M84" si="15">J80</f>
        <v>6.9499999999999996E-3</v>
      </c>
      <c r="P80" s="53" t="str">
        <f>VLOOKUP($B80,[2]Sheet2!$D:$J,5,0)</f>
        <v>70</v>
      </c>
      <c r="Q80" s="53" t="str">
        <f>VLOOKUP($B80,[2]Sheet2!$D:$J,6,0)</f>
        <v>5,000.000</v>
      </c>
      <c r="R80" s="53" t="str">
        <f>VLOOKUP($B80,[2]Sheet2!$D:$J,7,0)</f>
        <v>5,000.000</v>
      </c>
    </row>
    <row r="81" spans="1:19" x14ac:dyDescent="0.25">
      <c r="A81" s="177"/>
      <c r="B81" s="179">
        <v>10100023928</v>
      </c>
      <c r="C81" s="118" t="s">
        <v>402</v>
      </c>
      <c r="D81" s="118" t="s">
        <v>405</v>
      </c>
      <c r="E81" s="118" t="s">
        <v>406</v>
      </c>
      <c r="F81" s="177">
        <v>1</v>
      </c>
      <c r="G81" s="241" t="s">
        <v>404</v>
      </c>
      <c r="H81" s="118" t="s">
        <v>291</v>
      </c>
      <c r="I81" s="74"/>
      <c r="J81" s="53">
        <f>VLOOKUP($B81,[2]Sheet2!$D:$J,3,0)</f>
        <v>6.7799999999999996E-3</v>
      </c>
      <c r="K81" s="53" t="str">
        <f>VLOOKUP($B81,[2]Sheet2!$D:$J,4,0)</f>
        <v>CNY</v>
      </c>
      <c r="L81" s="53" t="str">
        <f>VLOOKUP($B81,[2]Sheet2!$D:$J,2,0)</f>
        <v>厚声国际贸易（昆山）有限公司深圳分公司</v>
      </c>
      <c r="M81" s="53">
        <f t="shared" si="15"/>
        <v>6.7799999999999996E-3</v>
      </c>
      <c r="P81" s="53" t="str">
        <f>VLOOKUP($B81,[2]Sheet2!$D:$J,5,0)</f>
        <v>42</v>
      </c>
      <c r="Q81" s="53" t="str">
        <f>VLOOKUP($B81,[2]Sheet2!$D:$J,6,0)</f>
        <v>5,000.000</v>
      </c>
      <c r="R81" s="53" t="str">
        <f>VLOOKUP($B81,[2]Sheet2!$D:$J,7,0)</f>
        <v>5,000.000</v>
      </c>
    </row>
    <row r="82" spans="1:19" x14ac:dyDescent="0.25">
      <c r="A82" s="177"/>
      <c r="B82" s="179">
        <v>10100023933</v>
      </c>
      <c r="C82" s="118" t="s">
        <v>402</v>
      </c>
      <c r="D82" s="118" t="s">
        <v>407</v>
      </c>
      <c r="E82" s="118" t="s">
        <v>307</v>
      </c>
      <c r="F82" s="177">
        <v>1</v>
      </c>
      <c r="G82" s="241" t="s">
        <v>404</v>
      </c>
      <c r="H82" s="118" t="s">
        <v>291</v>
      </c>
      <c r="I82" s="74"/>
      <c r="J82" s="53">
        <f>VLOOKUP($B82,[2]Sheet2!$D:$J,3,0)</f>
        <v>6.3699999999999998E-3</v>
      </c>
      <c r="K82" s="53" t="str">
        <f>VLOOKUP($B82,[2]Sheet2!$D:$J,4,0)</f>
        <v>CNY</v>
      </c>
      <c r="L82" s="53" t="str">
        <f>VLOOKUP($B82,[2]Sheet2!$D:$J,2,0)</f>
        <v>广东风华高新科技股份有限公司</v>
      </c>
      <c r="M82" s="53">
        <f t="shared" si="15"/>
        <v>6.3699999999999998E-3</v>
      </c>
      <c r="P82" s="53" t="str">
        <f>VLOOKUP($B82,[2]Sheet2!$D:$J,5,0)</f>
        <v>56</v>
      </c>
      <c r="Q82" s="53" t="str">
        <f>VLOOKUP($B82,[2]Sheet2!$D:$J,6,0)</f>
        <v>5,000.000</v>
      </c>
      <c r="R82" s="53" t="str">
        <f>VLOOKUP($B82,[2]Sheet2!$D:$J,7,0)</f>
        <v>5,000.000</v>
      </c>
    </row>
    <row r="83" spans="1:19" x14ac:dyDescent="0.25">
      <c r="A83" s="177"/>
      <c r="B83" s="179">
        <v>10100023938</v>
      </c>
      <c r="C83" s="118" t="s">
        <v>402</v>
      </c>
      <c r="D83" s="118" t="s">
        <v>408</v>
      </c>
      <c r="E83" s="118" t="s">
        <v>303</v>
      </c>
      <c r="F83" s="177">
        <v>1</v>
      </c>
      <c r="G83" s="241" t="s">
        <v>404</v>
      </c>
      <c r="H83" s="118"/>
      <c r="I83" s="74"/>
      <c r="J83" s="53">
        <f>VLOOKUP($B83,[2]Sheet2!$D:$J,3,0)</f>
        <v>8.0000000000000002E-3</v>
      </c>
      <c r="K83" s="53" t="str">
        <f>VLOOKUP($B83,[2]Sheet2!$D:$J,4,0)</f>
        <v>CNY</v>
      </c>
      <c r="L83" s="53" t="str">
        <f>VLOOKUP($B83,[2]Sheet2!$D:$J,2,0)</f>
        <v>深圳市超利维实业有限公司</v>
      </c>
      <c r="M83" s="53">
        <f t="shared" si="15"/>
        <v>8.0000000000000002E-3</v>
      </c>
      <c r="P83" s="53" t="str">
        <f>VLOOKUP($B83,[2]Sheet2!$D:$J,5,0)</f>
        <v>84</v>
      </c>
      <c r="Q83" s="53" t="str">
        <f>VLOOKUP($B83,[2]Sheet2!$D:$J,6,0)</f>
        <v>5,000.000</v>
      </c>
      <c r="R83" s="53" t="str">
        <f>VLOOKUP($B83,[2]Sheet2!$D:$J,7,0)</f>
        <v>5,000.000</v>
      </c>
      <c r="S83" s="110"/>
    </row>
    <row r="84" spans="1:19" x14ac:dyDescent="0.25">
      <c r="A84" s="177"/>
      <c r="B84" s="179">
        <v>10100024044</v>
      </c>
      <c r="C84" s="118" t="s">
        <v>402</v>
      </c>
      <c r="D84" s="118" t="s">
        <v>409</v>
      </c>
      <c r="E84" s="118" t="s">
        <v>410</v>
      </c>
      <c r="F84" s="177">
        <v>1</v>
      </c>
      <c r="G84" s="241" t="s">
        <v>404</v>
      </c>
      <c r="H84" s="118" t="s">
        <v>291</v>
      </c>
      <c r="I84" s="74"/>
      <c r="J84" s="53">
        <f>VLOOKUP($B84,[2]Sheet2!$D:$J,3,0)</f>
        <v>5.5999999999999999E-3</v>
      </c>
      <c r="K84" s="53" t="str">
        <f>VLOOKUP($B84,[2]Sheet2!$D:$J,4,0)</f>
        <v>CNY</v>
      </c>
      <c r="L84" s="53" t="str">
        <f>VLOOKUP($B84,[2]Sheet2!$D:$J,2,0)</f>
        <v>南充溢辉电子科技有限公司</v>
      </c>
      <c r="M84" s="53">
        <f t="shared" si="15"/>
        <v>5.5999999999999999E-3</v>
      </c>
      <c r="N84" s="110">
        <f>M84*F84</f>
        <v>5.5999999999999999E-3</v>
      </c>
      <c r="P84" s="53" t="str">
        <f>VLOOKUP($B84,[2]Sheet2!$D:$J,5,0)</f>
        <v>35</v>
      </c>
      <c r="Q84" s="53" t="str">
        <f>VLOOKUP($B84,[2]Sheet2!$D:$J,6,0)</f>
        <v>5,000.000</v>
      </c>
      <c r="R84" s="53" t="str">
        <f>VLOOKUP($B84,[2]Sheet2!$D:$J,7,0)</f>
        <v>5,000.000</v>
      </c>
      <c r="S84" s="182" t="s">
        <v>37</v>
      </c>
    </row>
    <row r="85" spans="1:19" x14ac:dyDescent="0.25">
      <c r="A85" s="177">
        <v>39</v>
      </c>
      <c r="B85" s="177" t="s">
        <v>287</v>
      </c>
      <c r="C85" s="118" t="s">
        <v>411</v>
      </c>
      <c r="D85" s="118" t="s">
        <v>412</v>
      </c>
      <c r="E85" s="118" t="s">
        <v>318</v>
      </c>
      <c r="F85" s="177">
        <v>1</v>
      </c>
      <c r="G85" s="241" t="s">
        <v>263</v>
      </c>
      <c r="H85" s="118"/>
      <c r="I85" s="74"/>
      <c r="J85" s="53" t="e">
        <f>VLOOKUP($B85,[2]Sheet2!$D:$J,3,0)</f>
        <v>#N/A</v>
      </c>
      <c r="K85" s="53" t="e">
        <f>VLOOKUP($B85,[2]Sheet2!$D:$J,4,0)</f>
        <v>#N/A</v>
      </c>
      <c r="L85" s="53" t="e">
        <f>VLOOKUP($B85,[2]Sheet2!$D:$J,2,0)</f>
        <v>#N/A</v>
      </c>
      <c r="M85" s="120">
        <v>0.24145</v>
      </c>
      <c r="N85" s="110">
        <f>M85*F85</f>
        <v>0.24145</v>
      </c>
      <c r="O85" s="120"/>
      <c r="P85" s="53" t="e">
        <f>VLOOKUP($B85,[2]Sheet2!$D:$J,5,0)</f>
        <v>#N/A</v>
      </c>
      <c r="Q85" s="53" t="e">
        <f>VLOOKUP($B85,[2]Sheet2!$D:$J,6,0)</f>
        <v>#N/A</v>
      </c>
      <c r="R85" s="53" t="e">
        <f>VLOOKUP($B85,[2]Sheet2!$D:$J,7,0)</f>
        <v>#N/A</v>
      </c>
      <c r="S85" s="182" t="s">
        <v>37</v>
      </c>
    </row>
    <row r="86" spans="1:19" x14ac:dyDescent="0.25">
      <c r="A86" s="177"/>
      <c r="B86" s="177">
        <v>10100026860</v>
      </c>
      <c r="C86" s="118" t="s">
        <v>413</v>
      </c>
      <c r="D86" s="118" t="s">
        <v>414</v>
      </c>
      <c r="E86" s="178" t="s">
        <v>415</v>
      </c>
      <c r="F86" s="177">
        <v>1</v>
      </c>
      <c r="G86" s="241" t="s">
        <v>263</v>
      </c>
      <c r="H86" s="118" t="s">
        <v>291</v>
      </c>
      <c r="I86" s="74"/>
      <c r="J86" s="53">
        <f>VLOOKUP($B86,[2]Sheet2!$D:$J,3,0)</f>
        <v>0.25</v>
      </c>
      <c r="K86" s="53" t="str">
        <f>VLOOKUP($B86,[2]Sheet2!$D:$J,4,0)</f>
        <v>CNY</v>
      </c>
      <c r="L86" s="53" t="str">
        <f>VLOOKUP($B86,[2]Sheet2!$D:$J,2,0)</f>
        <v>深圳安培龙科技股份有限公司</v>
      </c>
      <c r="M86" s="53">
        <f t="shared" ref="M86:M93" si="16">J86</f>
        <v>0.25</v>
      </c>
      <c r="P86" s="53" t="str">
        <f>VLOOKUP($B86,[2]Sheet2!$D:$J,5,0)</f>
        <v>28</v>
      </c>
      <c r="Q86" s="53" t="str">
        <f>VLOOKUP($B86,[2]Sheet2!$D:$J,6,0)</f>
        <v>5,000.000</v>
      </c>
      <c r="R86" s="53" t="str">
        <f>VLOOKUP($B86,[2]Sheet2!$D:$J,7,0)</f>
        <v>500.000</v>
      </c>
      <c r="S86" s="110"/>
    </row>
    <row r="87" spans="1:19" x14ac:dyDescent="0.25">
      <c r="A87" s="177">
        <v>40</v>
      </c>
      <c r="B87" s="179">
        <v>10100003511</v>
      </c>
      <c r="C87" s="118" t="s">
        <v>402</v>
      </c>
      <c r="D87" s="118" t="s">
        <v>416</v>
      </c>
      <c r="E87" s="118" t="s">
        <v>303</v>
      </c>
      <c r="F87" s="177">
        <v>2</v>
      </c>
      <c r="G87" s="241" t="s">
        <v>417</v>
      </c>
      <c r="H87" s="118"/>
      <c r="I87" s="74"/>
      <c r="J87" s="53">
        <f>VLOOKUP($B87,[2]Sheet2!$D:$J,3,0)</f>
        <v>8.0000000000000002E-3</v>
      </c>
      <c r="K87" s="53" t="str">
        <f>VLOOKUP($B87,[2]Sheet2!$D:$J,4,0)</f>
        <v>CNY</v>
      </c>
      <c r="L87" s="53" t="str">
        <f>VLOOKUP($B87,[2]Sheet2!$D:$J,2,0)</f>
        <v>深圳市欧尔法电子有限公司</v>
      </c>
      <c r="M87" s="53">
        <f t="shared" si="16"/>
        <v>8.0000000000000002E-3</v>
      </c>
      <c r="P87" s="53" t="str">
        <f>VLOOKUP($B87,[2]Sheet2!$D:$J,5,0)</f>
        <v>56</v>
      </c>
      <c r="Q87" s="53" t="str">
        <f>VLOOKUP($B87,[2]Sheet2!$D:$J,6,0)</f>
        <v>5,000.000</v>
      </c>
      <c r="R87" s="53" t="str">
        <f>VLOOKUP($B87,[2]Sheet2!$D:$J,7,0)</f>
        <v>5,000.000</v>
      </c>
    </row>
    <row r="88" spans="1:19" x14ac:dyDescent="0.25">
      <c r="A88" s="177"/>
      <c r="B88" s="179">
        <v>10100006398</v>
      </c>
      <c r="C88" s="118" t="s">
        <v>402</v>
      </c>
      <c r="D88" s="118" t="s">
        <v>418</v>
      </c>
      <c r="E88" s="118" t="s">
        <v>307</v>
      </c>
      <c r="F88" s="177">
        <v>2</v>
      </c>
      <c r="G88" s="241" t="s">
        <v>417</v>
      </c>
      <c r="H88" s="118" t="s">
        <v>291</v>
      </c>
      <c r="I88" s="74"/>
      <c r="J88" s="53">
        <f>VLOOKUP($B88,[2]Sheet2!$D:$J,3,0)</f>
        <v>6.3699999999999998E-3</v>
      </c>
      <c r="K88" s="53" t="str">
        <f>VLOOKUP($B88,[2]Sheet2!$D:$J,4,0)</f>
        <v>CNY</v>
      </c>
      <c r="L88" s="53" t="str">
        <f>VLOOKUP($B88,[2]Sheet2!$D:$J,2,0)</f>
        <v>广东风华高新科技股份有限公司</v>
      </c>
      <c r="M88" s="53">
        <f t="shared" si="16"/>
        <v>6.3699999999999998E-3</v>
      </c>
      <c r="P88" s="53" t="str">
        <f>VLOOKUP($B88,[2]Sheet2!$D:$J,5,0)</f>
        <v>42</v>
      </c>
      <c r="Q88" s="53" t="str">
        <f>VLOOKUP($B88,[2]Sheet2!$D:$J,6,0)</f>
        <v>4,000.000</v>
      </c>
      <c r="R88" s="53" t="str">
        <f>VLOOKUP($B88,[2]Sheet2!$D:$J,7,0)</f>
        <v>4,000.000</v>
      </c>
    </row>
    <row r="89" spans="1:19" x14ac:dyDescent="0.25">
      <c r="A89" s="177"/>
      <c r="B89" s="179">
        <v>10100007174</v>
      </c>
      <c r="C89" s="118" t="s">
        <v>402</v>
      </c>
      <c r="D89" s="118" t="s">
        <v>419</v>
      </c>
      <c r="E89" s="118" t="s">
        <v>305</v>
      </c>
      <c r="F89" s="177">
        <v>2</v>
      </c>
      <c r="G89" s="241" t="s">
        <v>417</v>
      </c>
      <c r="H89" s="118" t="s">
        <v>291</v>
      </c>
      <c r="I89" s="74"/>
      <c r="J89" s="53">
        <f>VLOOKUP($B89,[2]Sheet2!$D:$J,3,0)</f>
        <v>6.9499999999999996E-3</v>
      </c>
      <c r="K89" s="53" t="str">
        <f>VLOOKUP($B89,[2]Sheet2!$D:$J,4,0)</f>
        <v>CNY</v>
      </c>
      <c r="L89" s="53" t="str">
        <f>VLOOKUP($B89,[2]Sheet2!$D:$J,2,0)</f>
        <v>东莞华科电子有限公司</v>
      </c>
      <c r="M89" s="53">
        <f t="shared" si="16"/>
        <v>6.9499999999999996E-3</v>
      </c>
      <c r="P89" s="53" t="str">
        <f>VLOOKUP($B89,[2]Sheet2!$D:$J,5,0)</f>
        <v>56</v>
      </c>
      <c r="Q89" s="53" t="str">
        <f>VLOOKUP($B89,[2]Sheet2!$D:$J,6,0)</f>
        <v>5,000.000</v>
      </c>
      <c r="R89" s="53" t="str">
        <f>VLOOKUP($B89,[2]Sheet2!$D:$J,7,0)</f>
        <v>5,000.000</v>
      </c>
    </row>
    <row r="90" spans="1:19" x14ac:dyDescent="0.25">
      <c r="A90" s="177"/>
      <c r="B90" s="179">
        <v>10100011096</v>
      </c>
      <c r="C90" s="118" t="s">
        <v>402</v>
      </c>
      <c r="D90" s="118" t="s">
        <v>420</v>
      </c>
      <c r="E90" s="118" t="s">
        <v>406</v>
      </c>
      <c r="F90" s="177">
        <v>2</v>
      </c>
      <c r="G90" s="241" t="s">
        <v>417</v>
      </c>
      <c r="H90" s="118" t="s">
        <v>291</v>
      </c>
      <c r="I90" s="74"/>
      <c r="J90" s="53">
        <f>VLOOKUP($B90,[2]Sheet2!$D:$J,3,0)</f>
        <v>6.7799999999999996E-3</v>
      </c>
      <c r="K90" s="53" t="str">
        <f>VLOOKUP($B90,[2]Sheet2!$D:$J,4,0)</f>
        <v>CNY</v>
      </c>
      <c r="L90" s="53" t="str">
        <f>VLOOKUP($B90,[2]Sheet2!$D:$J,2,0)</f>
        <v>厚声国际贸易（昆山）有限公司深圳分公司</v>
      </c>
      <c r="M90" s="53">
        <f t="shared" si="16"/>
        <v>6.7799999999999996E-3</v>
      </c>
      <c r="P90" s="53" t="str">
        <f>VLOOKUP($B90,[2]Sheet2!$D:$J,5,0)</f>
        <v>42</v>
      </c>
      <c r="Q90" s="53" t="str">
        <f>VLOOKUP($B90,[2]Sheet2!$D:$J,6,0)</f>
        <v>5,000.000</v>
      </c>
      <c r="R90" s="53" t="str">
        <f>VLOOKUP($B90,[2]Sheet2!$D:$J,7,0)</f>
        <v>5,000.000</v>
      </c>
    </row>
    <row r="91" spans="1:19" x14ac:dyDescent="0.25">
      <c r="A91" s="177"/>
      <c r="B91" s="179">
        <v>10100017551</v>
      </c>
      <c r="C91" s="118" t="s">
        <v>402</v>
      </c>
      <c r="D91" s="118" t="s">
        <v>421</v>
      </c>
      <c r="E91" s="118" t="s">
        <v>410</v>
      </c>
      <c r="F91" s="177">
        <v>2</v>
      </c>
      <c r="G91" s="241" t="s">
        <v>417</v>
      </c>
      <c r="H91" s="118" t="s">
        <v>291</v>
      </c>
      <c r="I91" s="74"/>
      <c r="J91" s="53">
        <f>VLOOKUP($B91,[2]Sheet2!$D:$J,3,0)</f>
        <v>5.5999999999999999E-3</v>
      </c>
      <c r="K91" s="53" t="str">
        <f>VLOOKUP($B91,[2]Sheet2!$D:$J,4,0)</f>
        <v>CNY</v>
      </c>
      <c r="L91" s="53" t="str">
        <f>VLOOKUP($B91,[2]Sheet2!$D:$J,2,0)</f>
        <v>南充溢辉电子科技有限公司</v>
      </c>
      <c r="M91" s="53">
        <f t="shared" si="16"/>
        <v>5.5999999999999999E-3</v>
      </c>
      <c r="N91" s="110">
        <f>M91*F91</f>
        <v>1.12E-2</v>
      </c>
      <c r="P91" s="53" t="str">
        <f>VLOOKUP($B91,[2]Sheet2!$D:$J,5,0)</f>
        <v>35</v>
      </c>
      <c r="Q91" s="53" t="str">
        <f>VLOOKUP($B91,[2]Sheet2!$D:$J,6,0)</f>
        <v>5,000.000</v>
      </c>
      <c r="R91" s="53" t="str">
        <f>VLOOKUP($B91,[2]Sheet2!$D:$J,7,0)</f>
        <v>5,000.000</v>
      </c>
      <c r="S91" s="110" t="s">
        <v>37</v>
      </c>
    </row>
    <row r="92" spans="1:19" x14ac:dyDescent="0.25">
      <c r="A92" s="177" t="s">
        <v>422</v>
      </c>
      <c r="B92" s="179">
        <v>10100008776</v>
      </c>
      <c r="C92" s="118" t="s">
        <v>402</v>
      </c>
      <c r="D92" s="118" t="s">
        <v>120</v>
      </c>
      <c r="E92" s="118" t="s">
        <v>307</v>
      </c>
      <c r="F92" s="177">
        <v>3</v>
      </c>
      <c r="G92" s="241" t="s">
        <v>423</v>
      </c>
      <c r="H92" s="118" t="s">
        <v>291</v>
      </c>
      <c r="I92" s="74"/>
      <c r="J92" s="53">
        <f>VLOOKUP($B92,[2]Sheet2!$D:$J,3,0)</f>
        <v>2.0799999999999998E-3</v>
      </c>
      <c r="K92" s="53" t="str">
        <f>VLOOKUP($B92,[2]Sheet2!$D:$J,4,0)</f>
        <v>CNY</v>
      </c>
      <c r="L92" s="53" t="str">
        <f>VLOOKUP($B92,[2]Sheet2!$D:$J,2,0)</f>
        <v>广东风华高新科技股份有限公司</v>
      </c>
      <c r="M92" s="53">
        <f t="shared" si="16"/>
        <v>2.0799999999999998E-3</v>
      </c>
      <c r="P92" s="53" t="str">
        <f>VLOOKUP($B92,[2]Sheet2!$D:$J,5,0)</f>
        <v>42</v>
      </c>
      <c r="Q92" s="53" t="str">
        <f>VLOOKUP($B92,[2]Sheet2!$D:$J,6,0)</f>
        <v>5,000.000</v>
      </c>
      <c r="R92" s="53" t="str">
        <f>VLOOKUP($B92,[2]Sheet2!$D:$J,7,0)</f>
        <v>5,000.000</v>
      </c>
    </row>
    <row r="93" spans="1:19" x14ac:dyDescent="0.25">
      <c r="A93" s="177"/>
      <c r="B93" s="179">
        <v>10100024100</v>
      </c>
      <c r="C93" s="118" t="s">
        <v>402</v>
      </c>
      <c r="D93" s="118" t="s">
        <v>120</v>
      </c>
      <c r="E93" s="118" t="s">
        <v>307</v>
      </c>
      <c r="F93" s="177">
        <v>3</v>
      </c>
      <c r="G93" s="241" t="s">
        <v>423</v>
      </c>
      <c r="H93" s="118" t="s">
        <v>291</v>
      </c>
      <c r="I93" s="74"/>
      <c r="J93" s="53">
        <f>VLOOKUP($B93,[2]Sheet2!$D:$J,3,0)</f>
        <v>2.0799999999999998E-3</v>
      </c>
      <c r="K93" s="53" t="str">
        <f>VLOOKUP($B93,[2]Sheet2!$D:$J,4,0)</f>
        <v>CNY</v>
      </c>
      <c r="L93" s="53" t="str">
        <f>VLOOKUP($B93,[2]Sheet2!$D:$J,2,0)</f>
        <v>广东风华高新科技股份有限公司</v>
      </c>
      <c r="M93" s="53">
        <f t="shared" si="16"/>
        <v>2.0799999999999998E-3</v>
      </c>
      <c r="N93" s="110">
        <f>M93*F93</f>
        <v>6.239999999999999E-3</v>
      </c>
      <c r="P93" s="53" t="str">
        <f>VLOOKUP($B93,[2]Sheet2!$D:$J,5,0)</f>
        <v>42</v>
      </c>
      <c r="Q93" s="53" t="str">
        <f>VLOOKUP($B93,[2]Sheet2!$D:$J,6,0)</f>
        <v>5,000.000</v>
      </c>
      <c r="R93" s="53" t="str">
        <f>VLOOKUP($B93,[2]Sheet2!$D:$J,7,0)</f>
        <v>5,000.000</v>
      </c>
      <c r="S93" s="182" t="s">
        <v>37</v>
      </c>
    </row>
    <row r="94" spans="1:19" x14ac:dyDescent="0.25">
      <c r="A94" s="177"/>
      <c r="B94" s="177" t="s">
        <v>38</v>
      </c>
      <c r="C94" s="118" t="s">
        <v>119</v>
      </c>
      <c r="D94" s="118" t="s">
        <v>123</v>
      </c>
      <c r="E94" s="118" t="s">
        <v>124</v>
      </c>
      <c r="F94" s="177">
        <v>3</v>
      </c>
      <c r="G94" s="241" t="s">
        <v>423</v>
      </c>
      <c r="H94" s="118" t="s">
        <v>291</v>
      </c>
      <c r="I94" s="74"/>
      <c r="J94" s="53" t="e">
        <f>VLOOKUP($B94,[2]Sheet2!$D:$J,3,0)</f>
        <v>#N/A</v>
      </c>
      <c r="K94" s="53" t="e">
        <f>VLOOKUP($B94,[2]Sheet2!$D:$J,4,0)</f>
        <v>#N/A</v>
      </c>
      <c r="L94" s="53" t="e">
        <f>VLOOKUP($B94,[2]Sheet2!$D:$J,2,0)</f>
        <v>#N/A</v>
      </c>
      <c r="M94" s="120">
        <v>2.0999999999999999E-3</v>
      </c>
      <c r="O94" s="120"/>
      <c r="P94" s="53" t="e">
        <f>VLOOKUP($B94,[2]Sheet2!$D:$J,5,0)</f>
        <v>#N/A</v>
      </c>
      <c r="Q94" s="53" t="e">
        <f>VLOOKUP($B94,[2]Sheet2!$D:$J,6,0)</f>
        <v>#N/A</v>
      </c>
      <c r="R94" s="53" t="e">
        <f>VLOOKUP($B94,[2]Sheet2!$D:$J,7,0)</f>
        <v>#N/A</v>
      </c>
    </row>
    <row r="95" spans="1:19" x14ac:dyDescent="0.25">
      <c r="A95" s="177">
        <v>42</v>
      </c>
      <c r="B95" s="179">
        <v>10100007615</v>
      </c>
      <c r="C95" s="118" t="s">
        <v>402</v>
      </c>
      <c r="D95" s="118" t="s">
        <v>138</v>
      </c>
      <c r="E95" s="118" t="s">
        <v>303</v>
      </c>
      <c r="F95" s="177">
        <v>15</v>
      </c>
      <c r="G95" s="118" t="s">
        <v>424</v>
      </c>
      <c r="H95" s="118"/>
      <c r="I95" s="74"/>
      <c r="J95" s="53">
        <f>VLOOKUP($B95,[2]Sheet2!$D:$J,3,0)</f>
        <v>1.4E-3</v>
      </c>
      <c r="K95" s="53" t="str">
        <f>VLOOKUP($B95,[2]Sheet2!$D:$J,4,0)</f>
        <v>CNY</v>
      </c>
      <c r="L95" s="53" t="str">
        <f>VLOOKUP($B95,[2]Sheet2!$D:$J,2,0)</f>
        <v>深圳市超利维实业有限公司</v>
      </c>
      <c r="M95" s="53">
        <f t="shared" ref="M95:M118" si="17">J95</f>
        <v>1.4E-3</v>
      </c>
      <c r="P95" s="53" t="str">
        <f>VLOOKUP($B95,[2]Sheet2!$D:$J,5,0)</f>
        <v>84</v>
      </c>
      <c r="Q95" s="53" t="str">
        <f>VLOOKUP($B95,[2]Sheet2!$D:$J,6,0)</f>
        <v>10,000.000</v>
      </c>
      <c r="R95" s="53" t="str">
        <f>VLOOKUP($B95,[2]Sheet2!$D:$J,7,0)</f>
        <v>10,000.000</v>
      </c>
    </row>
    <row r="96" spans="1:19" x14ac:dyDescent="0.25">
      <c r="A96" s="177"/>
      <c r="B96" s="179">
        <v>10100008302</v>
      </c>
      <c r="C96" s="118" t="s">
        <v>402</v>
      </c>
      <c r="D96" s="118" t="s">
        <v>140</v>
      </c>
      <c r="E96" s="118" t="s">
        <v>305</v>
      </c>
      <c r="F96" s="177">
        <v>15</v>
      </c>
      <c r="G96" s="118" t="s">
        <v>424</v>
      </c>
      <c r="H96" s="118" t="s">
        <v>291</v>
      </c>
      <c r="I96" s="74"/>
      <c r="J96" s="53">
        <f>VLOOKUP($B96,[2]Sheet2!$D:$J,3,0)</f>
        <v>1.17E-3</v>
      </c>
      <c r="K96" s="53" t="str">
        <f>VLOOKUP($B96,[2]Sheet2!$D:$J,4,0)</f>
        <v>CNY</v>
      </c>
      <c r="L96" s="53" t="str">
        <f>VLOOKUP($B96,[2]Sheet2!$D:$J,2,0)</f>
        <v>东莞华科电子有限公司</v>
      </c>
      <c r="M96" s="53">
        <f t="shared" si="17"/>
        <v>1.17E-3</v>
      </c>
      <c r="P96" s="53" t="str">
        <f>VLOOKUP($B96,[2]Sheet2!$D:$J,5,0)</f>
        <v>56</v>
      </c>
      <c r="Q96" s="53" t="str">
        <f>VLOOKUP($B96,[2]Sheet2!$D:$J,6,0)</f>
        <v>10,000.000</v>
      </c>
      <c r="R96" s="53" t="str">
        <f>VLOOKUP($B96,[2]Sheet2!$D:$J,7,0)</f>
        <v>10,000.000</v>
      </c>
      <c r="S96" s="110"/>
    </row>
    <row r="97" spans="1:19" x14ac:dyDescent="0.25">
      <c r="A97" s="177"/>
      <c r="B97" s="179">
        <v>10100013093</v>
      </c>
      <c r="C97" s="118" t="s">
        <v>402</v>
      </c>
      <c r="D97" s="118" t="s">
        <v>141</v>
      </c>
      <c r="E97" s="118" t="s">
        <v>406</v>
      </c>
      <c r="F97" s="177">
        <v>15</v>
      </c>
      <c r="G97" s="118" t="s">
        <v>424</v>
      </c>
      <c r="H97" s="118" t="s">
        <v>291</v>
      </c>
      <c r="I97" s="74"/>
      <c r="J97" s="53">
        <f>VLOOKUP($B97,[2]Sheet2!$D:$J,3,0)</f>
        <v>1.09E-3</v>
      </c>
      <c r="K97" s="53" t="str">
        <f>VLOOKUP($B97,[2]Sheet2!$D:$J,4,0)</f>
        <v>CNY</v>
      </c>
      <c r="L97" s="53" t="str">
        <f>VLOOKUP($B97,[2]Sheet2!$D:$J,2,0)</f>
        <v>厚声国际贸易（昆山）有限公司深圳分公司</v>
      </c>
      <c r="M97" s="53">
        <f t="shared" si="17"/>
        <v>1.09E-3</v>
      </c>
      <c r="P97" s="53" t="str">
        <f>VLOOKUP($B97,[2]Sheet2!$D:$J,5,0)</f>
        <v>42</v>
      </c>
      <c r="Q97" s="53" t="str">
        <f>VLOOKUP($B97,[2]Sheet2!$D:$J,6,0)</f>
        <v>10,000.000</v>
      </c>
      <c r="R97" s="53" t="str">
        <f>VLOOKUP($B97,[2]Sheet2!$D:$J,7,0)</f>
        <v>10,000.000</v>
      </c>
    </row>
    <row r="98" spans="1:19" x14ac:dyDescent="0.25">
      <c r="A98" s="177"/>
      <c r="B98" s="179">
        <v>10100013936</v>
      </c>
      <c r="C98" s="118" t="s">
        <v>402</v>
      </c>
      <c r="D98" s="118" t="s">
        <v>142</v>
      </c>
      <c r="E98" s="118" t="s">
        <v>307</v>
      </c>
      <c r="F98" s="177">
        <v>15</v>
      </c>
      <c r="G98" s="118" t="s">
        <v>424</v>
      </c>
      <c r="H98" s="118" t="s">
        <v>291</v>
      </c>
      <c r="I98" s="74"/>
      <c r="J98" s="53">
        <f>VLOOKUP($B98,[2]Sheet2!$D:$J,3,0)</f>
        <v>1.1000000000000001E-3</v>
      </c>
      <c r="K98" s="53" t="str">
        <f>VLOOKUP($B98,[2]Sheet2!$D:$J,4,0)</f>
        <v>CNY</v>
      </c>
      <c r="L98" s="53" t="str">
        <f>VLOOKUP($B98,[2]Sheet2!$D:$J,2,0)</f>
        <v>广东风华高新科技股份有限公司</v>
      </c>
      <c r="M98" s="53">
        <f t="shared" si="17"/>
        <v>1.1000000000000001E-3</v>
      </c>
      <c r="P98" s="53" t="str">
        <f>VLOOKUP($B98,[2]Sheet2!$D:$J,5,0)</f>
        <v>42</v>
      </c>
      <c r="Q98" s="53" t="str">
        <f>VLOOKUP($B98,[2]Sheet2!$D:$J,6,0)</f>
        <v>10,000.000</v>
      </c>
      <c r="R98" s="53" t="str">
        <f>VLOOKUP($B98,[2]Sheet2!$D:$J,7,0)</f>
        <v>10,000.000</v>
      </c>
      <c r="S98" s="110"/>
    </row>
    <row r="99" spans="1:19" x14ac:dyDescent="0.25">
      <c r="A99" s="177"/>
      <c r="B99" s="179">
        <v>10100017616</v>
      </c>
      <c r="C99" s="118" t="s">
        <v>402</v>
      </c>
      <c r="D99" s="118" t="s">
        <v>143</v>
      </c>
      <c r="E99" s="118" t="s">
        <v>410</v>
      </c>
      <c r="F99" s="177">
        <v>15</v>
      </c>
      <c r="G99" s="118" t="s">
        <v>424</v>
      </c>
      <c r="H99" s="118" t="s">
        <v>291</v>
      </c>
      <c r="I99" s="74"/>
      <c r="J99" s="53">
        <f>VLOOKUP($B99,[2]Sheet2!$D:$J,3,0)</f>
        <v>9.7999999999999997E-4</v>
      </c>
      <c r="K99" s="53" t="str">
        <f>VLOOKUP($B99,[2]Sheet2!$D:$J,4,0)</f>
        <v>CNY</v>
      </c>
      <c r="L99" s="53" t="str">
        <f>VLOOKUP($B99,[2]Sheet2!$D:$J,2,0)</f>
        <v>恒辉电阻（益阳）有限公司</v>
      </c>
      <c r="M99" s="53">
        <f t="shared" si="17"/>
        <v>9.7999999999999997E-4</v>
      </c>
      <c r="N99" s="110">
        <f>M99*F99</f>
        <v>1.47E-2</v>
      </c>
      <c r="P99" s="53" t="str">
        <f>VLOOKUP($B99,[2]Sheet2!$D:$J,5,0)</f>
        <v>42</v>
      </c>
      <c r="Q99" s="53" t="str">
        <f>VLOOKUP($B99,[2]Sheet2!$D:$J,6,0)</f>
        <v>10,000.000</v>
      </c>
      <c r="R99" s="53" t="str">
        <f>VLOOKUP($B99,[2]Sheet2!$D:$J,7,0)</f>
        <v>10,000.000</v>
      </c>
      <c r="S99" s="182" t="s">
        <v>37</v>
      </c>
    </row>
    <row r="100" spans="1:19" x14ac:dyDescent="0.25">
      <c r="A100" s="177">
        <v>43</v>
      </c>
      <c r="B100" s="179">
        <v>10100002715</v>
      </c>
      <c r="C100" s="118" t="s">
        <v>402</v>
      </c>
      <c r="D100" s="118" t="s">
        <v>425</v>
      </c>
      <c r="E100" s="118" t="s">
        <v>303</v>
      </c>
      <c r="F100" s="177">
        <v>1</v>
      </c>
      <c r="G100" s="241" t="s">
        <v>426</v>
      </c>
      <c r="H100" s="118"/>
      <c r="I100" s="74"/>
      <c r="J100" s="53">
        <f>VLOOKUP($B100,[2]Sheet2!$D:$J,3,0)</f>
        <v>4.7999999999999996E-3</v>
      </c>
      <c r="K100" s="53" t="str">
        <f>VLOOKUP($B100,[2]Sheet2!$D:$J,4,0)</f>
        <v>CNY</v>
      </c>
      <c r="L100" s="53" t="str">
        <f>VLOOKUP($B100,[2]Sheet2!$D:$J,2,0)</f>
        <v>深圳市欧尔法电子有限公司</v>
      </c>
      <c r="M100" s="53">
        <f t="shared" si="17"/>
        <v>4.7999999999999996E-3</v>
      </c>
      <c r="P100" s="53" t="str">
        <f>VLOOKUP($B100,[2]Sheet2!$D:$J,5,0)</f>
        <v>70</v>
      </c>
      <c r="Q100" s="53" t="str">
        <f>VLOOKUP($B100,[2]Sheet2!$D:$J,6,0)</f>
        <v>5,000.000</v>
      </c>
      <c r="R100" s="53" t="str">
        <f>VLOOKUP($B100,[2]Sheet2!$D:$J,7,0)</f>
        <v>5,000.000</v>
      </c>
      <c r="S100" s="110"/>
    </row>
    <row r="101" spans="1:19" x14ac:dyDescent="0.25">
      <c r="A101" s="177"/>
      <c r="B101" s="179">
        <v>10100005503</v>
      </c>
      <c r="C101" s="118" t="s">
        <v>402</v>
      </c>
      <c r="D101" s="118" t="s">
        <v>427</v>
      </c>
      <c r="E101" s="118" t="s">
        <v>406</v>
      </c>
      <c r="F101" s="177">
        <v>1</v>
      </c>
      <c r="G101" s="241" t="s">
        <v>426</v>
      </c>
      <c r="H101" s="118" t="s">
        <v>291</v>
      </c>
      <c r="I101" s="74"/>
      <c r="J101" s="53">
        <f>VLOOKUP($B101,[2]Sheet2!$D:$J,3,0)</f>
        <v>3.8E-3</v>
      </c>
      <c r="K101" s="53" t="str">
        <f>VLOOKUP($B101,[2]Sheet2!$D:$J,4,0)</f>
        <v>CNY</v>
      </c>
      <c r="L101" s="53" t="str">
        <f>VLOOKUP($B101,[2]Sheet2!$D:$J,2,0)</f>
        <v>厚声国际贸易（昆山）有限公司深圳分公司</v>
      </c>
      <c r="M101" s="53">
        <f t="shared" si="17"/>
        <v>3.8E-3</v>
      </c>
      <c r="P101" s="53" t="str">
        <f>VLOOKUP($B101,[2]Sheet2!$D:$J,5,0)</f>
        <v>56</v>
      </c>
      <c r="Q101" s="53" t="str">
        <f>VLOOKUP($B101,[2]Sheet2!$D:$J,6,0)</f>
        <v>5,000.000</v>
      </c>
      <c r="R101" s="53" t="str">
        <f>VLOOKUP($B101,[2]Sheet2!$D:$J,7,0)</f>
        <v>5,000.000</v>
      </c>
    </row>
    <row r="102" spans="1:19" x14ac:dyDescent="0.25">
      <c r="A102" s="177"/>
      <c r="B102" s="179">
        <v>10100006627</v>
      </c>
      <c r="C102" s="118" t="s">
        <v>402</v>
      </c>
      <c r="D102" s="118" t="s">
        <v>428</v>
      </c>
      <c r="E102" s="118" t="s">
        <v>307</v>
      </c>
      <c r="F102" s="177">
        <v>1</v>
      </c>
      <c r="G102" s="241" t="s">
        <v>426</v>
      </c>
      <c r="H102" s="118" t="s">
        <v>291</v>
      </c>
      <c r="I102" s="74"/>
      <c r="J102" s="53">
        <f>VLOOKUP($B102,[2]Sheet2!$D:$J,3,0)</f>
        <v>3.7200000000000002E-3</v>
      </c>
      <c r="K102" s="53" t="str">
        <f>VLOOKUP($B102,[2]Sheet2!$D:$J,4,0)</f>
        <v>CNY</v>
      </c>
      <c r="L102" s="53" t="str">
        <f>VLOOKUP($B102,[2]Sheet2!$D:$J,2,0)</f>
        <v>广东风华高新科技股份有限公司</v>
      </c>
      <c r="M102" s="53">
        <f t="shared" si="17"/>
        <v>3.7200000000000002E-3</v>
      </c>
      <c r="P102" s="53" t="str">
        <f>VLOOKUP($B102,[2]Sheet2!$D:$J,5,0)</f>
        <v>42</v>
      </c>
      <c r="Q102" s="53" t="str">
        <f>VLOOKUP($B102,[2]Sheet2!$D:$J,6,0)</f>
        <v>5,000.000</v>
      </c>
      <c r="R102" s="53" t="str">
        <f>VLOOKUP($B102,[2]Sheet2!$D:$J,7,0)</f>
        <v>5,000.000</v>
      </c>
    </row>
    <row r="103" spans="1:19" x14ac:dyDescent="0.25">
      <c r="A103" s="177"/>
      <c r="B103" s="179">
        <v>10100007109</v>
      </c>
      <c r="C103" s="118" t="s">
        <v>402</v>
      </c>
      <c r="D103" s="118" t="s">
        <v>429</v>
      </c>
      <c r="E103" s="118" t="s">
        <v>305</v>
      </c>
      <c r="F103" s="177">
        <v>1</v>
      </c>
      <c r="G103" s="241" t="s">
        <v>426</v>
      </c>
      <c r="H103" s="118" t="s">
        <v>291</v>
      </c>
      <c r="I103" s="74"/>
      <c r="J103" s="53">
        <f>VLOOKUP($B103,[2]Sheet2!$D:$J,3,0)</f>
        <v>3.8800000000000002E-3</v>
      </c>
      <c r="K103" s="53" t="str">
        <f>VLOOKUP($B103,[2]Sheet2!$D:$J,4,0)</f>
        <v>CNY</v>
      </c>
      <c r="L103" s="53" t="str">
        <f>VLOOKUP($B103,[2]Sheet2!$D:$J,2,0)</f>
        <v>东莞华科电子有限公司</v>
      </c>
      <c r="M103" s="53">
        <f t="shared" si="17"/>
        <v>3.8800000000000002E-3</v>
      </c>
      <c r="P103" s="53" t="str">
        <f>VLOOKUP($B103,[2]Sheet2!$D:$J,5,0)</f>
        <v>56</v>
      </c>
      <c r="Q103" s="53" t="str">
        <f>VLOOKUP($B103,[2]Sheet2!$D:$J,6,0)</f>
        <v>5,000.000</v>
      </c>
      <c r="R103" s="53" t="str">
        <f>VLOOKUP($B103,[2]Sheet2!$D:$J,7,0)</f>
        <v>5,000.000</v>
      </c>
    </row>
    <row r="104" spans="1:19" x14ac:dyDescent="0.25">
      <c r="A104" s="177"/>
      <c r="B104" s="179">
        <v>10100018253</v>
      </c>
      <c r="C104" s="118" t="s">
        <v>402</v>
      </c>
      <c r="D104" s="118" t="s">
        <v>430</v>
      </c>
      <c r="E104" s="118" t="s">
        <v>410</v>
      </c>
      <c r="F104" s="177">
        <v>1</v>
      </c>
      <c r="G104" s="241" t="s">
        <v>426</v>
      </c>
      <c r="H104" s="118" t="s">
        <v>291</v>
      </c>
      <c r="I104" s="74"/>
      <c r="J104" s="53">
        <f>VLOOKUP($B104,[2]Sheet2!$D:$J,3,0)</f>
        <v>3.3500000000000001E-3</v>
      </c>
      <c r="K104" s="53" t="str">
        <f>VLOOKUP($B104,[2]Sheet2!$D:$J,4,0)</f>
        <v>CNY</v>
      </c>
      <c r="L104" s="53" t="str">
        <f>VLOOKUP($B104,[2]Sheet2!$D:$J,2,0)</f>
        <v>恒辉电阻（益阳）有限公司</v>
      </c>
      <c r="M104" s="53">
        <f t="shared" si="17"/>
        <v>3.3500000000000001E-3</v>
      </c>
      <c r="N104" s="110">
        <f>M104*F104</f>
        <v>3.3500000000000001E-3</v>
      </c>
      <c r="P104" s="53" t="str">
        <f>VLOOKUP($B104,[2]Sheet2!$D:$J,5,0)</f>
        <v>42</v>
      </c>
      <c r="Q104" s="53" t="str">
        <f>VLOOKUP($B104,[2]Sheet2!$D:$J,6,0)</f>
        <v>5,000.000</v>
      </c>
      <c r="R104" s="53" t="str">
        <f>VLOOKUP($B104,[2]Sheet2!$D:$J,7,0)</f>
        <v>5,000.000</v>
      </c>
      <c r="S104" s="182" t="s">
        <v>37</v>
      </c>
    </row>
    <row r="105" spans="1:19" x14ac:dyDescent="0.25">
      <c r="A105" s="177">
        <v>44</v>
      </c>
      <c r="B105" s="177">
        <v>10100011726</v>
      </c>
      <c r="C105" s="118" t="s">
        <v>431</v>
      </c>
      <c r="D105" s="118" t="s">
        <v>145</v>
      </c>
      <c r="E105" s="118" t="s">
        <v>303</v>
      </c>
      <c r="F105" s="177">
        <v>11</v>
      </c>
      <c r="G105" s="118" t="s">
        <v>432</v>
      </c>
      <c r="H105" s="118"/>
      <c r="I105" s="74"/>
      <c r="J105" s="53">
        <f>VLOOKUP($B105,[2]Sheet2!$D:$J,3,0)</f>
        <v>1.39E-3</v>
      </c>
      <c r="K105" s="53" t="str">
        <f>VLOOKUP($B105,[2]Sheet2!$D:$J,4,0)</f>
        <v>CNY</v>
      </c>
      <c r="L105" s="53" t="str">
        <f>VLOOKUP($B105,[2]Sheet2!$D:$J,2,0)</f>
        <v>深圳市欧尔法电子有限公司</v>
      </c>
      <c r="M105" s="53">
        <f t="shared" si="17"/>
        <v>1.39E-3</v>
      </c>
      <c r="P105" s="53" t="str">
        <f>VLOOKUP($B105,[2]Sheet2!$D:$J,5,0)</f>
        <v>56</v>
      </c>
      <c r="Q105" s="53" t="str">
        <f>VLOOKUP($B105,[2]Sheet2!$D:$J,6,0)</f>
        <v>10,000.000</v>
      </c>
      <c r="R105" s="53" t="str">
        <f>VLOOKUP($B105,[2]Sheet2!$D:$J,7,0)</f>
        <v>10,000.000</v>
      </c>
      <c r="S105" s="110"/>
    </row>
    <row r="106" spans="1:19" x14ac:dyDescent="0.25">
      <c r="A106" s="177"/>
      <c r="B106" s="177">
        <v>10100011993</v>
      </c>
      <c r="C106" s="118" t="s">
        <v>431</v>
      </c>
      <c r="D106" s="118" t="s">
        <v>148</v>
      </c>
      <c r="E106" s="118" t="s">
        <v>307</v>
      </c>
      <c r="F106" s="177">
        <v>11</v>
      </c>
      <c r="G106" s="118" t="s">
        <v>432</v>
      </c>
      <c r="H106" s="118" t="s">
        <v>291</v>
      </c>
      <c r="I106" s="74"/>
      <c r="J106" s="53">
        <f>VLOOKUP($B106,[2]Sheet2!$D:$J,3,0)</f>
        <v>1.1000000000000001E-3</v>
      </c>
      <c r="K106" s="53" t="str">
        <f>VLOOKUP($B106,[2]Sheet2!$D:$J,4,0)</f>
        <v>CNY</v>
      </c>
      <c r="L106" s="53" t="str">
        <f>VLOOKUP($B106,[2]Sheet2!$D:$J,2,0)</f>
        <v>广东风华高新科技股份有限公司</v>
      </c>
      <c r="M106" s="53">
        <f t="shared" si="17"/>
        <v>1.1000000000000001E-3</v>
      </c>
      <c r="P106" s="53" t="str">
        <f>VLOOKUP($B106,[2]Sheet2!$D:$J,5,0)</f>
        <v>42</v>
      </c>
      <c r="Q106" s="53" t="str">
        <f>VLOOKUP($B106,[2]Sheet2!$D:$J,6,0)</f>
        <v>10,000.000</v>
      </c>
      <c r="R106" s="53" t="str">
        <f>VLOOKUP($B106,[2]Sheet2!$D:$J,7,0)</f>
        <v>10,000.000</v>
      </c>
    </row>
    <row r="107" spans="1:19" x14ac:dyDescent="0.25">
      <c r="A107" s="177"/>
      <c r="B107" s="177">
        <v>10100017738</v>
      </c>
      <c r="C107" s="118" t="s">
        <v>402</v>
      </c>
      <c r="D107" s="118" t="s">
        <v>149</v>
      </c>
      <c r="E107" s="118" t="s">
        <v>410</v>
      </c>
      <c r="F107" s="177">
        <v>11</v>
      </c>
      <c r="G107" s="118" t="s">
        <v>432</v>
      </c>
      <c r="H107" s="118" t="s">
        <v>291</v>
      </c>
      <c r="I107" s="74"/>
      <c r="J107" s="53">
        <f>VLOOKUP($B107,[2]Sheet2!$D:$J,3,0)</f>
        <v>9.7999999999999997E-4</v>
      </c>
      <c r="K107" s="53" t="str">
        <f>VLOOKUP($B107,[2]Sheet2!$D:$J,4,0)</f>
        <v>CNY</v>
      </c>
      <c r="L107" s="53" t="str">
        <f>VLOOKUP($B107,[2]Sheet2!$D:$J,2,0)</f>
        <v>恒辉电阻（益阳）有限公司</v>
      </c>
      <c r="M107" s="53">
        <f t="shared" si="17"/>
        <v>9.7999999999999997E-4</v>
      </c>
      <c r="N107" s="110">
        <f>M107*F107</f>
        <v>1.078E-2</v>
      </c>
      <c r="P107" s="53" t="str">
        <f>VLOOKUP($B107,[2]Sheet2!$D:$J,5,0)</f>
        <v>42</v>
      </c>
      <c r="Q107" s="53" t="str">
        <f>VLOOKUP($B107,[2]Sheet2!$D:$J,6,0)</f>
        <v>10,000.000</v>
      </c>
      <c r="R107" s="53" t="str">
        <f>VLOOKUP($B107,[2]Sheet2!$D:$J,7,0)</f>
        <v>10,000.000</v>
      </c>
      <c r="S107" s="182" t="s">
        <v>37</v>
      </c>
    </row>
    <row r="108" spans="1:19" x14ac:dyDescent="0.25">
      <c r="A108" s="177">
        <v>45</v>
      </c>
      <c r="B108" s="179">
        <v>10100008057</v>
      </c>
      <c r="C108" s="118" t="s">
        <v>402</v>
      </c>
      <c r="D108" s="118" t="s">
        <v>433</v>
      </c>
      <c r="E108" s="118" t="s">
        <v>307</v>
      </c>
      <c r="F108" s="177">
        <v>4</v>
      </c>
      <c r="G108" s="118" t="s">
        <v>434</v>
      </c>
      <c r="H108" s="118" t="s">
        <v>291</v>
      </c>
      <c r="I108" s="74"/>
      <c r="J108" s="53">
        <f>VLOOKUP($B108,[2]Sheet2!$D:$J,3,0)</f>
        <v>1.1000000000000001E-3</v>
      </c>
      <c r="K108" s="53" t="str">
        <f>VLOOKUP($B108,[2]Sheet2!$D:$J,4,0)</f>
        <v>CNY</v>
      </c>
      <c r="L108" s="53" t="str">
        <f>VLOOKUP($B108,[2]Sheet2!$D:$J,2,0)</f>
        <v>广东风华高新科技股份有限公司</v>
      </c>
      <c r="M108" s="53">
        <f t="shared" si="17"/>
        <v>1.1000000000000001E-3</v>
      </c>
      <c r="P108" s="53" t="str">
        <f>VLOOKUP($B108,[2]Sheet2!$D:$J,5,0)</f>
        <v>42</v>
      </c>
      <c r="Q108" s="53" t="str">
        <f>VLOOKUP($B108,[2]Sheet2!$D:$J,6,0)</f>
        <v>10,000.000</v>
      </c>
      <c r="R108" s="53" t="str">
        <f>VLOOKUP($B108,[2]Sheet2!$D:$J,7,0)</f>
        <v>10,000.000</v>
      </c>
    </row>
    <row r="109" spans="1:19" x14ac:dyDescent="0.25">
      <c r="A109" s="177"/>
      <c r="B109" s="179">
        <v>10100008069</v>
      </c>
      <c r="C109" s="118" t="s">
        <v>402</v>
      </c>
      <c r="D109" s="118" t="s">
        <v>435</v>
      </c>
      <c r="E109" s="118" t="s">
        <v>305</v>
      </c>
      <c r="F109" s="177">
        <v>4</v>
      </c>
      <c r="G109" s="118" t="s">
        <v>434</v>
      </c>
      <c r="H109" s="118" t="s">
        <v>291</v>
      </c>
      <c r="I109" s="74"/>
      <c r="J109" s="53">
        <f>VLOOKUP($B109,[2]Sheet2!$D:$J,3,0)</f>
        <v>1.17E-3</v>
      </c>
      <c r="K109" s="53" t="str">
        <f>VLOOKUP($B109,[2]Sheet2!$D:$J,4,0)</f>
        <v>CNY</v>
      </c>
      <c r="L109" s="53" t="str">
        <f>VLOOKUP($B109,[2]Sheet2!$D:$J,2,0)</f>
        <v>东莞华科电子有限公司</v>
      </c>
      <c r="M109" s="53">
        <f t="shared" si="17"/>
        <v>1.17E-3</v>
      </c>
      <c r="P109" s="53" t="str">
        <f>VLOOKUP($B109,[2]Sheet2!$D:$J,5,0)</f>
        <v>56</v>
      </c>
      <c r="Q109" s="53" t="str">
        <f>VLOOKUP($B109,[2]Sheet2!$D:$J,6,0)</f>
        <v>10,000.000</v>
      </c>
      <c r="R109" s="53" t="str">
        <f>VLOOKUP($B109,[2]Sheet2!$D:$J,7,0)</f>
        <v>10,000.000</v>
      </c>
      <c r="S109" s="110"/>
    </row>
    <row r="110" spans="1:19" x14ac:dyDescent="0.25">
      <c r="A110" s="177"/>
      <c r="B110" s="179">
        <v>10100008075</v>
      </c>
      <c r="C110" s="118" t="s">
        <v>402</v>
      </c>
      <c r="D110" s="118" t="s">
        <v>436</v>
      </c>
      <c r="E110" s="118" t="s">
        <v>303</v>
      </c>
      <c r="F110" s="177">
        <v>4</v>
      </c>
      <c r="G110" s="118" t="s">
        <v>434</v>
      </c>
      <c r="H110" s="118"/>
      <c r="I110" s="74"/>
      <c r="J110" s="53">
        <f>VLOOKUP($B110,[2]Sheet2!$D:$J,3,0)</f>
        <v>1.4E-3</v>
      </c>
      <c r="K110" s="53" t="str">
        <f>VLOOKUP($B110,[2]Sheet2!$D:$J,4,0)</f>
        <v>CNY</v>
      </c>
      <c r="L110" s="53" t="str">
        <f>VLOOKUP($B110,[2]Sheet2!$D:$J,2,0)</f>
        <v>深圳市超利维实业有限公司</v>
      </c>
      <c r="M110" s="53">
        <f t="shared" si="17"/>
        <v>1.4E-3</v>
      </c>
      <c r="P110" s="53" t="str">
        <f>VLOOKUP($B110,[2]Sheet2!$D:$J,5,0)</f>
        <v>56</v>
      </c>
      <c r="Q110" s="53" t="str">
        <f>VLOOKUP($B110,[2]Sheet2!$D:$J,6,0)</f>
        <v>10,000.000</v>
      </c>
      <c r="R110" s="53" t="str">
        <f>VLOOKUP($B110,[2]Sheet2!$D:$J,7,0)</f>
        <v>10,000.000</v>
      </c>
    </row>
    <row r="111" spans="1:19" x14ac:dyDescent="0.25">
      <c r="A111" s="177"/>
      <c r="B111" s="179">
        <v>10100017335</v>
      </c>
      <c r="C111" s="118" t="s">
        <v>402</v>
      </c>
      <c r="D111" s="118" t="s">
        <v>437</v>
      </c>
      <c r="E111" s="118" t="s">
        <v>406</v>
      </c>
      <c r="F111" s="177">
        <v>4</v>
      </c>
      <c r="G111" s="118" t="s">
        <v>434</v>
      </c>
      <c r="H111" s="118" t="s">
        <v>291</v>
      </c>
      <c r="I111" s="74"/>
      <c r="J111" s="53">
        <f>VLOOKUP($B111,[2]Sheet2!$D:$J,3,0)</f>
        <v>1.09E-3</v>
      </c>
      <c r="K111" s="53" t="str">
        <f>VLOOKUP($B111,[2]Sheet2!$D:$J,4,0)</f>
        <v>CNY</v>
      </c>
      <c r="L111" s="53" t="str">
        <f>VLOOKUP($B111,[2]Sheet2!$D:$J,2,0)</f>
        <v>厚声国际贸易（昆山）有限公司深圳分公司</v>
      </c>
      <c r="M111" s="53">
        <f t="shared" si="17"/>
        <v>1.09E-3</v>
      </c>
      <c r="P111" s="53" t="str">
        <f>VLOOKUP($B111,[2]Sheet2!$D:$J,5,0)</f>
        <v>42</v>
      </c>
      <c r="Q111" s="53" t="str">
        <f>VLOOKUP($B111,[2]Sheet2!$D:$J,6,0)</f>
        <v>10,000.000</v>
      </c>
      <c r="R111" s="53" t="str">
        <f>VLOOKUP($B111,[2]Sheet2!$D:$J,7,0)</f>
        <v>10,000.000</v>
      </c>
    </row>
    <row r="112" spans="1:19" x14ac:dyDescent="0.25">
      <c r="A112" s="177"/>
      <c r="B112" s="179">
        <v>10100017664</v>
      </c>
      <c r="C112" s="118" t="s">
        <v>402</v>
      </c>
      <c r="D112" s="118" t="s">
        <v>438</v>
      </c>
      <c r="E112" s="118" t="s">
        <v>410</v>
      </c>
      <c r="F112" s="177">
        <v>4</v>
      </c>
      <c r="G112" s="118" t="s">
        <v>434</v>
      </c>
      <c r="H112" s="118" t="s">
        <v>291</v>
      </c>
      <c r="I112" s="74"/>
      <c r="J112" s="53">
        <f>VLOOKUP($B112,[2]Sheet2!$D:$J,3,0)</f>
        <v>9.7999999999999997E-4</v>
      </c>
      <c r="K112" s="53" t="str">
        <f>VLOOKUP($B112,[2]Sheet2!$D:$J,4,0)</f>
        <v>CNY</v>
      </c>
      <c r="L112" s="53" t="str">
        <f>VLOOKUP($B112,[2]Sheet2!$D:$J,2,0)</f>
        <v>恒辉电阻（益阳）有限公司</v>
      </c>
      <c r="M112" s="53">
        <f t="shared" si="17"/>
        <v>9.7999999999999997E-4</v>
      </c>
      <c r="N112" s="110">
        <f>M112*F112</f>
        <v>3.9199999999999999E-3</v>
      </c>
      <c r="P112" s="53" t="str">
        <f>VLOOKUP($B112,[2]Sheet2!$D:$J,5,0)</f>
        <v>42</v>
      </c>
      <c r="Q112" s="53" t="str">
        <f>VLOOKUP($B112,[2]Sheet2!$D:$J,6,0)</f>
        <v>10,000.000</v>
      </c>
      <c r="R112" s="53" t="str">
        <f>VLOOKUP($B112,[2]Sheet2!$D:$J,7,0)</f>
        <v>10,000.000</v>
      </c>
      <c r="S112" s="182" t="s">
        <v>37</v>
      </c>
    </row>
    <row r="113" spans="1:19" x14ac:dyDescent="0.25">
      <c r="A113" s="177">
        <v>46</v>
      </c>
      <c r="B113" s="177">
        <v>10100005703</v>
      </c>
      <c r="C113" s="118" t="s">
        <v>431</v>
      </c>
      <c r="D113" s="118" t="s">
        <v>439</v>
      </c>
      <c r="E113" s="118" t="s">
        <v>303</v>
      </c>
      <c r="F113" s="177">
        <v>5</v>
      </c>
      <c r="G113" s="118" t="s">
        <v>440</v>
      </c>
      <c r="H113" s="118"/>
      <c r="I113" s="74"/>
      <c r="J113" s="53">
        <f>VLOOKUP($B113,[2]Sheet2!$D:$J,3,0)</f>
        <v>1.4E-3</v>
      </c>
      <c r="K113" s="53" t="str">
        <f>VLOOKUP($B113,[2]Sheet2!$D:$J,4,0)</f>
        <v>CNY</v>
      </c>
      <c r="L113" s="53" t="str">
        <f>VLOOKUP($B113,[2]Sheet2!$D:$J,2,0)</f>
        <v>深圳市超利维实业有限公司</v>
      </c>
      <c r="M113" s="53">
        <f t="shared" si="17"/>
        <v>1.4E-3</v>
      </c>
      <c r="P113" s="53" t="str">
        <f>VLOOKUP($B113,[2]Sheet2!$D:$J,5,0)</f>
        <v>84</v>
      </c>
      <c r="Q113" s="53" t="str">
        <f>VLOOKUP($B113,[2]Sheet2!$D:$J,6,0)</f>
        <v>10,000.000</v>
      </c>
      <c r="R113" s="53" t="str">
        <f>VLOOKUP($B113,[2]Sheet2!$D:$J,7,0)</f>
        <v>10,000.000</v>
      </c>
    </row>
    <row r="114" spans="1:19" x14ac:dyDescent="0.25">
      <c r="A114" s="177"/>
      <c r="B114" s="177">
        <v>10100005718</v>
      </c>
      <c r="C114" s="118" t="s">
        <v>431</v>
      </c>
      <c r="D114" s="118" t="s">
        <v>441</v>
      </c>
      <c r="E114" s="118" t="s">
        <v>307</v>
      </c>
      <c r="F114" s="177">
        <v>5</v>
      </c>
      <c r="G114" s="118" t="s">
        <v>440</v>
      </c>
      <c r="H114" s="118" t="s">
        <v>291</v>
      </c>
      <c r="I114" s="74"/>
      <c r="J114" s="53">
        <f>VLOOKUP($B114,[2]Sheet2!$D:$J,3,0)</f>
        <v>1.1000000000000001E-3</v>
      </c>
      <c r="K114" s="53" t="str">
        <f>VLOOKUP($B114,[2]Sheet2!$D:$J,4,0)</f>
        <v>CNY</v>
      </c>
      <c r="L114" s="53" t="str">
        <f>VLOOKUP($B114,[2]Sheet2!$D:$J,2,0)</f>
        <v>广东风华高新科技股份有限公司</v>
      </c>
      <c r="M114" s="53">
        <f t="shared" si="17"/>
        <v>1.1000000000000001E-3</v>
      </c>
      <c r="P114" s="53" t="str">
        <f>VLOOKUP($B114,[2]Sheet2!$D:$J,5,0)</f>
        <v>42</v>
      </c>
      <c r="Q114" s="53" t="str">
        <f>VLOOKUP($B114,[2]Sheet2!$D:$J,6,0)</f>
        <v>10,000.000</v>
      </c>
      <c r="R114" s="53" t="str">
        <f>VLOOKUP($B114,[2]Sheet2!$D:$J,7,0)</f>
        <v>10,000.000</v>
      </c>
      <c r="S114" s="110"/>
    </row>
    <row r="115" spans="1:19" x14ac:dyDescent="0.25">
      <c r="A115" s="177"/>
      <c r="B115" s="177">
        <v>10100006711</v>
      </c>
      <c r="C115" s="118" t="s">
        <v>431</v>
      </c>
      <c r="D115" s="118" t="s">
        <v>442</v>
      </c>
      <c r="E115" s="118" t="s">
        <v>305</v>
      </c>
      <c r="F115" s="177">
        <v>5</v>
      </c>
      <c r="G115" s="118" t="s">
        <v>440</v>
      </c>
      <c r="H115" s="118" t="s">
        <v>291</v>
      </c>
      <c r="I115" s="74"/>
      <c r="J115" s="53">
        <f>VLOOKUP($B115,[2]Sheet2!$D:$J,3,0)</f>
        <v>1.17E-3</v>
      </c>
      <c r="K115" s="53" t="str">
        <f>VLOOKUP($B115,[2]Sheet2!$D:$J,4,0)</f>
        <v>CNY</v>
      </c>
      <c r="L115" s="53" t="str">
        <f>VLOOKUP($B115,[2]Sheet2!$D:$J,2,0)</f>
        <v>东莞华科电子有限公司</v>
      </c>
      <c r="M115" s="53">
        <f t="shared" si="17"/>
        <v>1.17E-3</v>
      </c>
      <c r="P115" s="53" t="str">
        <f>VLOOKUP($B115,[2]Sheet2!$D:$J,5,0)</f>
        <v>56</v>
      </c>
      <c r="Q115" s="53" t="str">
        <f>VLOOKUP($B115,[2]Sheet2!$D:$J,6,0)</f>
        <v>10,000.000</v>
      </c>
      <c r="R115" s="53" t="str">
        <f>VLOOKUP($B115,[2]Sheet2!$D:$J,7,0)</f>
        <v>10,000.000</v>
      </c>
    </row>
    <row r="116" spans="1:19" x14ac:dyDescent="0.25">
      <c r="A116" s="177"/>
      <c r="B116" s="177">
        <v>10100013040</v>
      </c>
      <c r="C116" s="118" t="s">
        <v>402</v>
      </c>
      <c r="D116" s="118" t="s">
        <v>443</v>
      </c>
      <c r="E116" s="118" t="s">
        <v>406</v>
      </c>
      <c r="F116" s="177">
        <v>5</v>
      </c>
      <c r="G116" s="118" t="s">
        <v>440</v>
      </c>
      <c r="H116" s="118" t="s">
        <v>291</v>
      </c>
      <c r="I116" s="74"/>
      <c r="J116" s="53">
        <f>VLOOKUP($B116,[2]Sheet2!$D:$J,3,0)</f>
        <v>1.09E-3</v>
      </c>
      <c r="K116" s="53" t="str">
        <f>VLOOKUP($B116,[2]Sheet2!$D:$J,4,0)</f>
        <v>CNY</v>
      </c>
      <c r="L116" s="53" t="str">
        <f>VLOOKUP($B116,[2]Sheet2!$D:$J,2,0)</f>
        <v>厚声国际贸易（昆山）有限公司深圳分公司</v>
      </c>
      <c r="M116" s="53">
        <f t="shared" si="17"/>
        <v>1.09E-3</v>
      </c>
      <c r="P116" s="53" t="str">
        <f>VLOOKUP($B116,[2]Sheet2!$D:$J,5,0)</f>
        <v>56</v>
      </c>
      <c r="Q116" s="53" t="str">
        <f>VLOOKUP($B116,[2]Sheet2!$D:$J,6,0)</f>
        <v>10,000.000</v>
      </c>
      <c r="R116" s="53" t="str">
        <f>VLOOKUP($B116,[2]Sheet2!$D:$J,7,0)</f>
        <v>10,000.000</v>
      </c>
    </row>
    <row r="117" spans="1:19" x14ac:dyDescent="0.25">
      <c r="A117" s="177"/>
      <c r="B117" s="177">
        <v>10100017642</v>
      </c>
      <c r="C117" s="118" t="s">
        <v>402</v>
      </c>
      <c r="D117" s="118" t="s">
        <v>444</v>
      </c>
      <c r="E117" s="118" t="s">
        <v>410</v>
      </c>
      <c r="F117" s="177">
        <v>5</v>
      </c>
      <c r="G117" s="118" t="s">
        <v>440</v>
      </c>
      <c r="H117" s="118" t="s">
        <v>291</v>
      </c>
      <c r="I117" s="74"/>
      <c r="J117" s="53">
        <f>VLOOKUP($B117,[2]Sheet2!$D:$J,3,0)</f>
        <v>9.7999999999999997E-4</v>
      </c>
      <c r="K117" s="53" t="str">
        <f>VLOOKUP($B117,[2]Sheet2!$D:$J,4,0)</f>
        <v>CNY</v>
      </c>
      <c r="L117" s="53" t="str">
        <f>VLOOKUP($B117,[2]Sheet2!$D:$J,2,0)</f>
        <v>恒辉电阻（益阳）有限公司</v>
      </c>
      <c r="M117" s="53">
        <f t="shared" si="17"/>
        <v>9.7999999999999997E-4</v>
      </c>
      <c r="N117" s="110">
        <f>M117*F117</f>
        <v>4.8999999999999998E-3</v>
      </c>
      <c r="P117" s="53" t="str">
        <f>VLOOKUP($B117,[2]Sheet2!$D:$J,5,0)</f>
        <v>42</v>
      </c>
      <c r="Q117" s="53" t="str">
        <f>VLOOKUP($B117,[2]Sheet2!$D:$J,6,0)</f>
        <v>10,000.000</v>
      </c>
      <c r="R117" s="53" t="str">
        <f>VLOOKUP($B117,[2]Sheet2!$D:$J,7,0)</f>
        <v>10,000.000</v>
      </c>
      <c r="S117" s="182" t="s">
        <v>37</v>
      </c>
    </row>
    <row r="118" spans="1:19" x14ac:dyDescent="0.25">
      <c r="A118" s="177">
        <v>47</v>
      </c>
      <c r="B118" s="179">
        <v>10100025239</v>
      </c>
      <c r="C118" s="118" t="s">
        <v>119</v>
      </c>
      <c r="D118" s="118" t="s">
        <v>445</v>
      </c>
      <c r="E118" s="118" t="s">
        <v>46</v>
      </c>
      <c r="F118" s="177">
        <v>3</v>
      </c>
      <c r="G118" s="118" t="s">
        <v>267</v>
      </c>
      <c r="H118" s="118"/>
      <c r="I118" s="74"/>
      <c r="J118" s="53">
        <f>VLOOKUP($B118,[2]Sheet2!$D:$J,3,0)</f>
        <v>0.19</v>
      </c>
      <c r="K118" s="53" t="str">
        <f>VLOOKUP($B118,[2]Sheet2!$D:$J,4,0)</f>
        <v>CNY</v>
      </c>
      <c r="L118" s="53" t="str">
        <f>VLOOKUP($B118,[2]Sheet2!$D:$J,2,0)</f>
        <v>广州盛中电子有限公司</v>
      </c>
      <c r="M118" s="53">
        <f t="shared" si="17"/>
        <v>0.19</v>
      </c>
      <c r="P118" s="53" t="str">
        <f>VLOOKUP($B118,[2]Sheet2!$D:$J,5,0)</f>
        <v>112</v>
      </c>
      <c r="Q118" s="53" t="str">
        <f>VLOOKUP($B118,[2]Sheet2!$D:$J,6,0)</f>
        <v>4,000.000</v>
      </c>
      <c r="R118" s="53" t="str">
        <f>VLOOKUP($B118,[2]Sheet2!$D:$J,7,0)</f>
        <v>4,000.000</v>
      </c>
    </row>
    <row r="119" spans="1:19" x14ac:dyDescent="0.25">
      <c r="A119" s="177"/>
      <c r="B119" s="177" t="s">
        <v>287</v>
      </c>
      <c r="C119" s="118" t="s">
        <v>119</v>
      </c>
      <c r="D119" s="118" t="s">
        <v>265</v>
      </c>
      <c r="E119" s="178" t="s">
        <v>266</v>
      </c>
      <c r="F119" s="177">
        <v>3</v>
      </c>
      <c r="G119" s="118" t="s">
        <v>267</v>
      </c>
      <c r="H119" s="118" t="s">
        <v>291</v>
      </c>
      <c r="I119" s="74"/>
      <c r="J119" s="53" t="e">
        <f>VLOOKUP($B119,[2]Sheet2!$D:$J,3,0)</f>
        <v>#N/A</v>
      </c>
      <c r="K119" s="53" t="e">
        <f>VLOOKUP($B119,[2]Sheet2!$D:$J,4,0)</f>
        <v>#N/A</v>
      </c>
      <c r="L119" s="53" t="e">
        <f>VLOOKUP($B119,[2]Sheet2!$D:$J,2,0)</f>
        <v>#N/A</v>
      </c>
      <c r="M119" s="120">
        <v>0.15</v>
      </c>
      <c r="N119" s="110">
        <f>M119*F119</f>
        <v>0.45</v>
      </c>
      <c r="O119" s="120"/>
      <c r="P119" s="53" t="e">
        <f>VLOOKUP($B119,[2]Sheet2!$D:$J,5,0)</f>
        <v>#N/A</v>
      </c>
      <c r="Q119" s="53" t="e">
        <f>VLOOKUP($B119,[2]Sheet2!$D:$J,6,0)</f>
        <v>#N/A</v>
      </c>
      <c r="R119" s="53" t="e">
        <f>VLOOKUP($B119,[2]Sheet2!$D:$J,7,0)</f>
        <v>#N/A</v>
      </c>
      <c r="S119" s="110" t="s">
        <v>37</v>
      </c>
    </row>
    <row r="120" spans="1:19" x14ac:dyDescent="0.25">
      <c r="A120" s="177">
        <v>48</v>
      </c>
      <c r="B120" s="179">
        <v>10100002122</v>
      </c>
      <c r="C120" s="118" t="s">
        <v>402</v>
      </c>
      <c r="D120" s="118" t="s">
        <v>446</v>
      </c>
      <c r="E120" s="118" t="s">
        <v>303</v>
      </c>
      <c r="F120" s="177">
        <v>2</v>
      </c>
      <c r="G120" s="241" t="s">
        <v>447</v>
      </c>
      <c r="H120" s="118"/>
      <c r="I120" s="74"/>
      <c r="J120" s="53">
        <f>VLOOKUP($B120,[2]Sheet2!$D:$J,3,0)</f>
        <v>4.7999999999999996E-3</v>
      </c>
      <c r="K120" s="53" t="str">
        <f>VLOOKUP($B120,[2]Sheet2!$D:$J,4,0)</f>
        <v>CNY</v>
      </c>
      <c r="L120" s="53" t="str">
        <f>VLOOKUP($B120,[2]Sheet2!$D:$J,2,0)</f>
        <v>深圳市欧尔法电子有限公司</v>
      </c>
      <c r="M120" s="53">
        <f t="shared" ref="M120:M172" si="18">J120</f>
        <v>4.7999999999999996E-3</v>
      </c>
      <c r="P120" s="53" t="str">
        <f>VLOOKUP($B120,[2]Sheet2!$D:$J,5,0)</f>
        <v>56</v>
      </c>
      <c r="Q120" s="53" t="str">
        <f>VLOOKUP($B120,[2]Sheet2!$D:$J,6,0)</f>
        <v>5,000.000</v>
      </c>
      <c r="R120" s="53" t="str">
        <f>VLOOKUP($B120,[2]Sheet2!$D:$J,7,0)</f>
        <v>5,000.000</v>
      </c>
    </row>
    <row r="121" spans="1:19" x14ac:dyDescent="0.25">
      <c r="A121" s="177"/>
      <c r="B121" s="179">
        <v>10100002123</v>
      </c>
      <c r="C121" s="118" t="s">
        <v>402</v>
      </c>
      <c r="D121" s="118" t="s">
        <v>448</v>
      </c>
      <c r="E121" s="118" t="s">
        <v>307</v>
      </c>
      <c r="F121" s="177">
        <v>2</v>
      </c>
      <c r="G121" s="241" t="s">
        <v>447</v>
      </c>
      <c r="H121" s="118" t="s">
        <v>291</v>
      </c>
      <c r="I121" s="74"/>
      <c r="J121" s="53">
        <f>VLOOKUP($B121,[2]Sheet2!$D:$J,3,0)</f>
        <v>3.7200000000000002E-3</v>
      </c>
      <c r="K121" s="53" t="str">
        <f>VLOOKUP($B121,[2]Sheet2!$D:$J,4,0)</f>
        <v>CNY</v>
      </c>
      <c r="L121" s="53" t="str">
        <f>VLOOKUP($B121,[2]Sheet2!$D:$J,2,0)</f>
        <v>广东风华高新科技股份有限公司</v>
      </c>
      <c r="M121" s="53">
        <f t="shared" si="18"/>
        <v>3.7200000000000002E-3</v>
      </c>
      <c r="P121" s="53" t="str">
        <f>VLOOKUP($B121,[2]Sheet2!$D:$J,5,0)</f>
        <v>42</v>
      </c>
      <c r="Q121" s="53" t="str">
        <f>VLOOKUP($B121,[2]Sheet2!$D:$J,6,0)</f>
        <v>5,000.000</v>
      </c>
      <c r="R121" s="53" t="str">
        <f>VLOOKUP($B121,[2]Sheet2!$D:$J,7,0)</f>
        <v>5,000.000</v>
      </c>
    </row>
    <row r="122" spans="1:19" x14ac:dyDescent="0.25">
      <c r="A122" s="177"/>
      <c r="B122" s="179">
        <v>10100004833</v>
      </c>
      <c r="C122" s="118" t="s">
        <v>402</v>
      </c>
      <c r="D122" s="118" t="s">
        <v>449</v>
      </c>
      <c r="E122" s="118" t="s">
        <v>305</v>
      </c>
      <c r="F122" s="177">
        <v>2</v>
      </c>
      <c r="G122" s="241" t="s">
        <v>447</v>
      </c>
      <c r="H122" s="118" t="s">
        <v>291</v>
      </c>
      <c r="I122" s="74"/>
      <c r="J122" s="53">
        <f>VLOOKUP($B122,[2]Sheet2!$D:$J,3,0)</f>
        <v>3.8800000000000002E-3</v>
      </c>
      <c r="K122" s="53" t="str">
        <f>VLOOKUP($B122,[2]Sheet2!$D:$J,4,0)</f>
        <v>CNY</v>
      </c>
      <c r="L122" s="53" t="str">
        <f>VLOOKUP($B122,[2]Sheet2!$D:$J,2,0)</f>
        <v>东莞华科电子有限公司</v>
      </c>
      <c r="M122" s="53">
        <f t="shared" si="18"/>
        <v>3.8800000000000002E-3</v>
      </c>
      <c r="P122" s="53" t="str">
        <f>VLOOKUP($B122,[2]Sheet2!$D:$J,5,0)</f>
        <v>56</v>
      </c>
      <c r="Q122" s="53" t="str">
        <f>VLOOKUP($B122,[2]Sheet2!$D:$J,6,0)</f>
        <v>5,000.000</v>
      </c>
      <c r="R122" s="53" t="str">
        <f>VLOOKUP($B122,[2]Sheet2!$D:$J,7,0)</f>
        <v>5,000.000</v>
      </c>
    </row>
    <row r="123" spans="1:19" x14ac:dyDescent="0.25">
      <c r="A123" s="177"/>
      <c r="B123" s="179">
        <v>10100005487</v>
      </c>
      <c r="C123" s="118" t="s">
        <v>402</v>
      </c>
      <c r="D123" s="118" t="s">
        <v>450</v>
      </c>
      <c r="E123" s="118" t="s">
        <v>406</v>
      </c>
      <c r="F123" s="177">
        <v>2</v>
      </c>
      <c r="G123" s="241" t="s">
        <v>447</v>
      </c>
      <c r="H123" s="118" t="s">
        <v>291</v>
      </c>
      <c r="I123" s="74"/>
      <c r="J123" s="53">
        <f>VLOOKUP($B123,[2]Sheet2!$D:$J,3,0)</f>
        <v>3.8E-3</v>
      </c>
      <c r="K123" s="53" t="str">
        <f>VLOOKUP($B123,[2]Sheet2!$D:$J,4,0)</f>
        <v>CNY</v>
      </c>
      <c r="L123" s="53" t="str">
        <f>VLOOKUP($B123,[2]Sheet2!$D:$J,2,0)</f>
        <v>厚声国际贸易（昆山）有限公司深圳分公司</v>
      </c>
      <c r="M123" s="53">
        <f t="shared" si="18"/>
        <v>3.8E-3</v>
      </c>
      <c r="P123" s="53" t="str">
        <f>VLOOKUP($B123,[2]Sheet2!$D:$J,5,0)</f>
        <v>56</v>
      </c>
      <c r="Q123" s="53" t="str">
        <f>VLOOKUP($B123,[2]Sheet2!$D:$J,6,0)</f>
        <v>5,000.000</v>
      </c>
      <c r="R123" s="53" t="str">
        <f>VLOOKUP($B123,[2]Sheet2!$D:$J,7,0)</f>
        <v>5,000.000</v>
      </c>
    </row>
    <row r="124" spans="1:19" x14ac:dyDescent="0.25">
      <c r="A124" s="177"/>
      <c r="B124" s="179">
        <v>10100018109</v>
      </c>
      <c r="C124" s="118" t="s">
        <v>402</v>
      </c>
      <c r="D124" s="118" t="s">
        <v>451</v>
      </c>
      <c r="E124" s="118" t="s">
        <v>410</v>
      </c>
      <c r="F124" s="177">
        <v>2</v>
      </c>
      <c r="G124" s="241" t="s">
        <v>447</v>
      </c>
      <c r="H124" s="118" t="s">
        <v>291</v>
      </c>
      <c r="I124" s="74"/>
      <c r="J124" s="53">
        <f>VLOOKUP($B124,[2]Sheet2!$D:$J,3,0)</f>
        <v>3.3500000000000001E-3</v>
      </c>
      <c r="K124" s="53" t="str">
        <f>VLOOKUP($B124,[2]Sheet2!$D:$J,4,0)</f>
        <v>CNY</v>
      </c>
      <c r="L124" s="53" t="str">
        <f>VLOOKUP($B124,[2]Sheet2!$D:$J,2,0)</f>
        <v>恒辉电阻（益阳）有限公司</v>
      </c>
      <c r="M124" s="53">
        <f t="shared" si="18"/>
        <v>3.3500000000000001E-3</v>
      </c>
      <c r="N124" s="110">
        <f>M124*F124</f>
        <v>6.7000000000000002E-3</v>
      </c>
      <c r="P124" s="53" t="str">
        <f>VLOOKUP($B124,[2]Sheet2!$D:$J,5,0)</f>
        <v>42</v>
      </c>
      <c r="Q124" s="53" t="str">
        <f>VLOOKUP($B124,[2]Sheet2!$D:$J,6,0)</f>
        <v>5,000.000</v>
      </c>
      <c r="R124" s="53" t="str">
        <f>VLOOKUP($B124,[2]Sheet2!$D:$J,7,0)</f>
        <v>5,000.000</v>
      </c>
      <c r="S124" s="110" t="s">
        <v>37</v>
      </c>
    </row>
    <row r="125" spans="1:19" x14ac:dyDescent="0.25">
      <c r="A125" s="177">
        <v>49</v>
      </c>
      <c r="B125" s="179">
        <v>10100009721</v>
      </c>
      <c r="C125" s="118" t="s">
        <v>402</v>
      </c>
      <c r="D125" s="118" t="s">
        <v>452</v>
      </c>
      <c r="E125" s="118" t="s">
        <v>303</v>
      </c>
      <c r="F125" s="177">
        <v>2</v>
      </c>
      <c r="G125" s="241" t="s">
        <v>453</v>
      </c>
      <c r="H125" s="118"/>
      <c r="I125" s="74"/>
      <c r="J125" s="53">
        <f>VLOOKUP($B125,[2]Sheet2!$D:$J,3,0)</f>
        <v>1.4E-3</v>
      </c>
      <c r="K125" s="53" t="str">
        <f>VLOOKUP($B125,[2]Sheet2!$D:$J,4,0)</f>
        <v>CNY</v>
      </c>
      <c r="L125" s="53" t="str">
        <f>VLOOKUP($B125,[2]Sheet2!$D:$J,2,0)</f>
        <v>深圳市超利维实业有限公司</v>
      </c>
      <c r="M125" s="53">
        <f t="shared" si="18"/>
        <v>1.4E-3</v>
      </c>
      <c r="P125" s="53" t="str">
        <f>VLOOKUP($B125,[2]Sheet2!$D:$J,5,0)</f>
        <v>84</v>
      </c>
      <c r="Q125" s="53" t="str">
        <f>VLOOKUP($B125,[2]Sheet2!$D:$J,6,0)</f>
        <v>10,000.000</v>
      </c>
      <c r="R125" s="53" t="str">
        <f>VLOOKUP($B125,[2]Sheet2!$D:$J,7,0)</f>
        <v>10,000.000</v>
      </c>
    </row>
    <row r="126" spans="1:19" x14ac:dyDescent="0.25">
      <c r="A126" s="177"/>
      <c r="B126" s="179">
        <v>10100009722</v>
      </c>
      <c r="C126" s="118" t="s">
        <v>402</v>
      </c>
      <c r="D126" s="118" t="s">
        <v>454</v>
      </c>
      <c r="E126" s="118" t="s">
        <v>305</v>
      </c>
      <c r="F126" s="177">
        <v>2</v>
      </c>
      <c r="G126" s="241" t="s">
        <v>453</v>
      </c>
      <c r="H126" s="118" t="s">
        <v>291</v>
      </c>
      <c r="I126" s="74"/>
      <c r="J126" s="53">
        <f>VLOOKUP($B126,[2]Sheet2!$D:$J,3,0)</f>
        <v>1.17E-3</v>
      </c>
      <c r="K126" s="53" t="str">
        <f>VLOOKUP($B126,[2]Sheet2!$D:$J,4,0)</f>
        <v>CNY</v>
      </c>
      <c r="L126" s="53" t="str">
        <f>VLOOKUP($B126,[2]Sheet2!$D:$J,2,0)</f>
        <v>东莞华科电子有限公司</v>
      </c>
      <c r="M126" s="53">
        <f t="shared" si="18"/>
        <v>1.17E-3</v>
      </c>
      <c r="P126" s="53" t="str">
        <f>VLOOKUP($B126,[2]Sheet2!$D:$J,5,0)</f>
        <v>56</v>
      </c>
      <c r="Q126" s="53" t="str">
        <f>VLOOKUP($B126,[2]Sheet2!$D:$J,6,0)</f>
        <v>10,000.000</v>
      </c>
      <c r="R126" s="53" t="str">
        <f>VLOOKUP($B126,[2]Sheet2!$D:$J,7,0)</f>
        <v>10,000.000</v>
      </c>
    </row>
    <row r="127" spans="1:19" x14ac:dyDescent="0.25">
      <c r="A127" s="177"/>
      <c r="B127" s="179">
        <v>10100019134</v>
      </c>
      <c r="C127" s="118" t="s">
        <v>402</v>
      </c>
      <c r="D127" s="118" t="s">
        <v>455</v>
      </c>
      <c r="E127" s="118" t="s">
        <v>456</v>
      </c>
      <c r="F127" s="177">
        <v>2</v>
      </c>
      <c r="G127" s="241" t="s">
        <v>453</v>
      </c>
      <c r="H127" s="118" t="s">
        <v>291</v>
      </c>
      <c r="I127" s="74"/>
      <c r="J127" s="53">
        <f>VLOOKUP($B127,[2]Sheet2!$D:$J,3,0)</f>
        <v>9.7999999999999997E-4</v>
      </c>
      <c r="K127" s="53" t="str">
        <f>VLOOKUP($B127,[2]Sheet2!$D:$J,4,0)</f>
        <v>CNY</v>
      </c>
      <c r="L127" s="53" t="str">
        <f>VLOOKUP($B127,[2]Sheet2!$D:$J,2,0)</f>
        <v>恒辉电阻（益阳）有限公司</v>
      </c>
      <c r="M127" s="53">
        <f t="shared" si="18"/>
        <v>9.7999999999999997E-4</v>
      </c>
      <c r="N127" s="110">
        <f>M127*F127</f>
        <v>1.9599999999999999E-3</v>
      </c>
      <c r="P127" s="53" t="str">
        <f>VLOOKUP($B127,[2]Sheet2!$D:$J,5,0)</f>
        <v>42</v>
      </c>
      <c r="Q127" s="53" t="str">
        <f>VLOOKUP($B127,[2]Sheet2!$D:$J,6,0)</f>
        <v>10,000.000</v>
      </c>
      <c r="R127" s="53" t="str">
        <f>VLOOKUP($B127,[2]Sheet2!$D:$J,7,0)</f>
        <v>10,000.000</v>
      </c>
      <c r="S127" s="182" t="s">
        <v>37</v>
      </c>
    </row>
    <row r="128" spans="1:19" x14ac:dyDescent="0.25">
      <c r="A128" s="177"/>
      <c r="B128" s="179">
        <v>10100022516</v>
      </c>
      <c r="C128" s="118" t="s">
        <v>402</v>
      </c>
      <c r="D128" s="118" t="s">
        <v>457</v>
      </c>
      <c r="E128" s="118" t="s">
        <v>406</v>
      </c>
      <c r="F128" s="177">
        <v>2</v>
      </c>
      <c r="G128" s="241" t="s">
        <v>453</v>
      </c>
      <c r="H128" s="118" t="s">
        <v>291</v>
      </c>
      <c r="I128" s="74"/>
      <c r="J128" s="53">
        <f>VLOOKUP($B128,[2]Sheet2!$D:$J,3,0)</f>
        <v>1.09E-3</v>
      </c>
      <c r="K128" s="53" t="str">
        <f>VLOOKUP($B128,[2]Sheet2!$D:$J,4,0)</f>
        <v>CNY</v>
      </c>
      <c r="L128" s="53" t="str">
        <f>VLOOKUP($B128,[2]Sheet2!$D:$J,2,0)</f>
        <v>厚声国际贸易（昆山）有限公司深圳分公司</v>
      </c>
      <c r="M128" s="53">
        <f t="shared" si="18"/>
        <v>1.09E-3</v>
      </c>
      <c r="P128" s="53" t="str">
        <f>VLOOKUP($B128,[2]Sheet2!$D:$J,5,0)</f>
        <v>42</v>
      </c>
      <c r="Q128" s="53" t="str">
        <f>VLOOKUP($B128,[2]Sheet2!$D:$J,6,0)</f>
        <v>10,000.000</v>
      </c>
      <c r="R128" s="53" t="str">
        <f>VLOOKUP($B128,[2]Sheet2!$D:$J,7,0)</f>
        <v>10,000.000</v>
      </c>
      <c r="S128" s="110"/>
    </row>
    <row r="129" spans="1:19" x14ac:dyDescent="0.25">
      <c r="A129" s="177">
        <v>50</v>
      </c>
      <c r="B129" s="179">
        <v>10100007852</v>
      </c>
      <c r="C129" s="118" t="s">
        <v>402</v>
      </c>
      <c r="D129" s="118" t="s">
        <v>458</v>
      </c>
      <c r="E129" s="118" t="s">
        <v>303</v>
      </c>
      <c r="F129" s="177">
        <v>3</v>
      </c>
      <c r="G129" s="241" t="s">
        <v>459</v>
      </c>
      <c r="H129" s="118"/>
      <c r="I129" s="74"/>
      <c r="J129" s="53">
        <f>VLOOKUP($B129,[2]Sheet2!$D:$J,3,0)</f>
        <v>8.0000000000000002E-3</v>
      </c>
      <c r="K129" s="53" t="str">
        <f>VLOOKUP($B129,[2]Sheet2!$D:$J,4,0)</f>
        <v>CNY</v>
      </c>
      <c r="L129" s="53" t="str">
        <f>VLOOKUP($B129,[2]Sheet2!$D:$J,2,0)</f>
        <v>深圳市欧尔法电子有限公司</v>
      </c>
      <c r="M129" s="53">
        <f t="shared" si="18"/>
        <v>8.0000000000000002E-3</v>
      </c>
      <c r="P129" s="53" t="str">
        <f>VLOOKUP($B129,[2]Sheet2!$D:$J,5,0)</f>
        <v>70</v>
      </c>
      <c r="Q129" s="53" t="str">
        <f>VLOOKUP($B129,[2]Sheet2!$D:$J,6,0)</f>
        <v>5,000.000</v>
      </c>
      <c r="R129" s="53" t="str">
        <f>VLOOKUP($B129,[2]Sheet2!$D:$J,7,0)</f>
        <v>5,000.000</v>
      </c>
    </row>
    <row r="130" spans="1:19" x14ac:dyDescent="0.25">
      <c r="A130" s="177"/>
      <c r="B130" s="179">
        <v>10100014304</v>
      </c>
      <c r="C130" s="118" t="s">
        <v>402</v>
      </c>
      <c r="D130" s="118" t="s">
        <v>460</v>
      </c>
      <c r="E130" s="118" t="s">
        <v>305</v>
      </c>
      <c r="F130" s="177">
        <v>3</v>
      </c>
      <c r="G130" s="241" t="s">
        <v>459</v>
      </c>
      <c r="H130" s="118" t="s">
        <v>291</v>
      </c>
      <c r="I130" s="74"/>
      <c r="J130" s="53">
        <f>VLOOKUP($B130,[2]Sheet2!$D:$J,3,0)</f>
        <v>6.9499999999999996E-3</v>
      </c>
      <c r="K130" s="53" t="str">
        <f>VLOOKUP($B130,[2]Sheet2!$D:$J,4,0)</f>
        <v>CNY</v>
      </c>
      <c r="L130" s="53" t="str">
        <f>VLOOKUP($B130,[2]Sheet2!$D:$J,2,0)</f>
        <v>东莞华科电子有限公司</v>
      </c>
      <c r="M130" s="53">
        <f t="shared" si="18"/>
        <v>6.9499999999999996E-3</v>
      </c>
      <c r="P130" s="53" t="str">
        <f>VLOOKUP($B130,[2]Sheet2!$D:$J,5,0)</f>
        <v>70</v>
      </c>
      <c r="Q130" s="53" t="str">
        <f>VLOOKUP($B130,[2]Sheet2!$D:$J,6,0)</f>
        <v>5,000.000</v>
      </c>
      <c r="R130" s="53" t="str">
        <f>VLOOKUP($B130,[2]Sheet2!$D:$J,7,0)</f>
        <v>5,000.000</v>
      </c>
    </row>
    <row r="131" spans="1:19" x14ac:dyDescent="0.25">
      <c r="A131" s="177"/>
      <c r="B131" s="179">
        <v>10100017206</v>
      </c>
      <c r="C131" s="118" t="s">
        <v>402</v>
      </c>
      <c r="D131" s="118" t="s">
        <v>461</v>
      </c>
      <c r="E131" s="118" t="s">
        <v>406</v>
      </c>
      <c r="F131" s="177">
        <v>3</v>
      </c>
      <c r="G131" s="241" t="s">
        <v>459</v>
      </c>
      <c r="H131" s="118" t="s">
        <v>291</v>
      </c>
      <c r="I131" s="74"/>
      <c r="J131" s="53">
        <f>VLOOKUP($B131,[2]Sheet2!$D:$J,3,0)</f>
        <v>6.7799999999999996E-3</v>
      </c>
      <c r="K131" s="53" t="str">
        <f>VLOOKUP($B131,[2]Sheet2!$D:$J,4,0)</f>
        <v>CNY</v>
      </c>
      <c r="L131" s="53" t="str">
        <f>VLOOKUP($B131,[2]Sheet2!$D:$J,2,0)</f>
        <v>厚声国际贸易（昆山）有限公司深圳分公司</v>
      </c>
      <c r="M131" s="53">
        <f t="shared" si="18"/>
        <v>6.7799999999999996E-3</v>
      </c>
      <c r="P131" s="53" t="str">
        <f>VLOOKUP($B131,[2]Sheet2!$D:$J,5,0)</f>
        <v>42</v>
      </c>
      <c r="Q131" s="53" t="str">
        <f>VLOOKUP($B131,[2]Sheet2!$D:$J,6,0)</f>
        <v>5,000.000</v>
      </c>
      <c r="R131" s="53" t="str">
        <f>VLOOKUP($B131,[2]Sheet2!$D:$J,7,0)</f>
        <v>5,000.000</v>
      </c>
    </row>
    <row r="132" spans="1:19" x14ac:dyDescent="0.25">
      <c r="A132" s="177"/>
      <c r="B132" s="179">
        <v>10100017511</v>
      </c>
      <c r="C132" s="118" t="s">
        <v>402</v>
      </c>
      <c r="D132" s="118" t="s">
        <v>462</v>
      </c>
      <c r="E132" s="118" t="s">
        <v>410</v>
      </c>
      <c r="F132" s="177">
        <v>3</v>
      </c>
      <c r="G132" s="241" t="s">
        <v>459</v>
      </c>
      <c r="H132" s="118" t="s">
        <v>291</v>
      </c>
      <c r="I132" s="74"/>
      <c r="J132" s="53">
        <f>VLOOKUP($B132,[2]Sheet2!$D:$J,3,0)</f>
        <v>5.5999999999999999E-3</v>
      </c>
      <c r="K132" s="53" t="str">
        <f>VLOOKUP($B132,[2]Sheet2!$D:$J,4,0)</f>
        <v>CNY</v>
      </c>
      <c r="L132" s="53" t="str">
        <f>VLOOKUP($B132,[2]Sheet2!$D:$J,2,0)</f>
        <v>恒辉电阻（益阳）有限公司</v>
      </c>
      <c r="M132" s="53">
        <f t="shared" si="18"/>
        <v>5.5999999999999999E-3</v>
      </c>
      <c r="N132" s="110">
        <f>M132*F132</f>
        <v>1.6799999999999999E-2</v>
      </c>
      <c r="P132" s="53" t="str">
        <f>VLOOKUP($B132,[2]Sheet2!$D:$J,5,0)</f>
        <v>42</v>
      </c>
      <c r="Q132" s="53" t="str">
        <f>VLOOKUP($B132,[2]Sheet2!$D:$J,6,0)</f>
        <v>5,000.000</v>
      </c>
      <c r="R132" s="53" t="str">
        <f>VLOOKUP($B132,[2]Sheet2!$D:$J,7,0)</f>
        <v>5,000.000</v>
      </c>
      <c r="S132" s="182" t="s">
        <v>37</v>
      </c>
    </row>
    <row r="133" spans="1:19" x14ac:dyDescent="0.25">
      <c r="A133" s="177"/>
      <c r="B133" s="179">
        <v>10100026554</v>
      </c>
      <c r="C133" s="118" t="s">
        <v>402</v>
      </c>
      <c r="D133" s="118" t="s">
        <v>463</v>
      </c>
      <c r="E133" s="118" t="s">
        <v>307</v>
      </c>
      <c r="F133" s="177">
        <v>3</v>
      </c>
      <c r="G133" s="241" t="s">
        <v>459</v>
      </c>
      <c r="H133" s="118" t="s">
        <v>291</v>
      </c>
      <c r="I133" s="74"/>
      <c r="J133" s="53">
        <f>VLOOKUP($B133,[2]Sheet2!$D:$J,3,0)</f>
        <v>6.4999999999999997E-3</v>
      </c>
      <c r="K133" s="53" t="str">
        <f>VLOOKUP($B133,[2]Sheet2!$D:$J,4,0)</f>
        <v>CNY</v>
      </c>
      <c r="L133" s="53" t="str">
        <f>VLOOKUP($B133,[2]Sheet2!$D:$J,2,0)</f>
        <v>广东风华高新科技股份有限公司</v>
      </c>
      <c r="M133" s="53">
        <f t="shared" si="18"/>
        <v>6.4999999999999997E-3</v>
      </c>
      <c r="P133" s="53" t="str">
        <f>VLOOKUP($B133,[2]Sheet2!$D:$J,5,0)</f>
        <v>42</v>
      </c>
      <c r="Q133" s="53" t="str">
        <f>VLOOKUP($B133,[2]Sheet2!$D:$J,6,0)</f>
        <v>5,000.000</v>
      </c>
      <c r="R133" s="53" t="str">
        <f>VLOOKUP($B133,[2]Sheet2!$D:$J,7,0)</f>
        <v>5,000.000</v>
      </c>
      <c r="S133" s="110"/>
    </row>
    <row r="134" spans="1:19" x14ac:dyDescent="0.25">
      <c r="A134" s="177">
        <v>51</v>
      </c>
      <c r="B134" s="179">
        <v>10100008827</v>
      </c>
      <c r="C134" s="118" t="s">
        <v>402</v>
      </c>
      <c r="D134" s="118" t="s">
        <v>464</v>
      </c>
      <c r="E134" s="118" t="s">
        <v>305</v>
      </c>
      <c r="F134" s="177">
        <v>2</v>
      </c>
      <c r="G134" s="241" t="s">
        <v>465</v>
      </c>
      <c r="H134" s="118" t="s">
        <v>291</v>
      </c>
      <c r="I134" s="74"/>
      <c r="J134" s="53">
        <f>VLOOKUP($B134,[2]Sheet2!$D:$J,3,0)</f>
        <v>1.17E-3</v>
      </c>
      <c r="K134" s="53" t="str">
        <f>VLOOKUP($B134,[2]Sheet2!$D:$J,4,0)</f>
        <v>CNY</v>
      </c>
      <c r="L134" s="53" t="str">
        <f>VLOOKUP($B134,[2]Sheet2!$D:$J,2,0)</f>
        <v>东莞华科电子有限公司</v>
      </c>
      <c r="M134" s="53">
        <f t="shared" si="18"/>
        <v>1.17E-3</v>
      </c>
      <c r="P134" s="53" t="str">
        <f>VLOOKUP($B134,[2]Sheet2!$D:$J,5,0)</f>
        <v>56</v>
      </c>
      <c r="Q134" s="53" t="str">
        <f>VLOOKUP($B134,[2]Sheet2!$D:$J,6,0)</f>
        <v>10,000.000</v>
      </c>
      <c r="R134" s="53" t="str">
        <f>VLOOKUP($B134,[2]Sheet2!$D:$J,7,0)</f>
        <v>10,000.000</v>
      </c>
    </row>
    <row r="135" spans="1:19" x14ac:dyDescent="0.25">
      <c r="A135" s="177"/>
      <c r="B135" s="179">
        <v>10100008830</v>
      </c>
      <c r="C135" s="118" t="s">
        <v>402</v>
      </c>
      <c r="D135" s="118" t="s">
        <v>466</v>
      </c>
      <c r="E135" s="118" t="s">
        <v>303</v>
      </c>
      <c r="F135" s="177">
        <v>2</v>
      </c>
      <c r="G135" s="241" t="s">
        <v>465</v>
      </c>
      <c r="H135" s="118"/>
      <c r="I135" s="74"/>
      <c r="J135" s="53">
        <f>VLOOKUP($B135,[2]Sheet2!$D:$J,3,0)</f>
        <v>1.39E-3</v>
      </c>
      <c r="K135" s="53" t="str">
        <f>VLOOKUP($B135,[2]Sheet2!$D:$J,4,0)</f>
        <v>CNY</v>
      </c>
      <c r="L135" s="53" t="str">
        <f>VLOOKUP($B135,[2]Sheet2!$D:$J,2,0)</f>
        <v>深圳市欧尔法电子有限公司</v>
      </c>
      <c r="M135" s="53">
        <f t="shared" si="18"/>
        <v>1.39E-3</v>
      </c>
      <c r="P135" s="53" t="str">
        <f>VLOOKUP($B135,[2]Sheet2!$D:$J,5,0)</f>
        <v>56</v>
      </c>
      <c r="Q135" s="53" t="str">
        <f>VLOOKUP($B135,[2]Sheet2!$D:$J,6,0)</f>
        <v>10,000.000</v>
      </c>
      <c r="R135" s="53" t="str">
        <f>VLOOKUP($B135,[2]Sheet2!$D:$J,7,0)</f>
        <v>10,000.000</v>
      </c>
    </row>
    <row r="136" spans="1:19" x14ac:dyDescent="0.25">
      <c r="A136" s="177"/>
      <c r="B136" s="179">
        <v>10100011886</v>
      </c>
      <c r="C136" s="118" t="s">
        <v>402</v>
      </c>
      <c r="D136" s="118" t="s">
        <v>467</v>
      </c>
      <c r="E136" s="118" t="s">
        <v>406</v>
      </c>
      <c r="F136" s="177">
        <v>2</v>
      </c>
      <c r="G136" s="241" t="s">
        <v>465</v>
      </c>
      <c r="H136" s="118" t="s">
        <v>291</v>
      </c>
      <c r="I136" s="74"/>
      <c r="J136" s="53">
        <f>VLOOKUP($B136,[2]Sheet2!$D:$J,3,0)</f>
        <v>1.09E-3</v>
      </c>
      <c r="K136" s="53" t="str">
        <f>VLOOKUP($B136,[2]Sheet2!$D:$J,4,0)</f>
        <v>CNY</v>
      </c>
      <c r="L136" s="53" t="str">
        <f>VLOOKUP($B136,[2]Sheet2!$D:$J,2,0)</f>
        <v>厚声国际贸易（昆山）有限公司深圳分公司</v>
      </c>
      <c r="M136" s="53">
        <f t="shared" si="18"/>
        <v>1.09E-3</v>
      </c>
      <c r="P136" s="53" t="str">
        <f>VLOOKUP($B136,[2]Sheet2!$D:$J,5,0)</f>
        <v>56</v>
      </c>
      <c r="Q136" s="53" t="str">
        <f>VLOOKUP($B136,[2]Sheet2!$D:$J,6,0)</f>
        <v>10,000.000</v>
      </c>
      <c r="R136" s="53" t="str">
        <f>VLOOKUP($B136,[2]Sheet2!$D:$J,7,0)</f>
        <v>10,000.000</v>
      </c>
    </row>
    <row r="137" spans="1:19" x14ac:dyDescent="0.25">
      <c r="A137" s="177"/>
      <c r="B137" s="179">
        <v>10100011996</v>
      </c>
      <c r="C137" s="118" t="s">
        <v>402</v>
      </c>
      <c r="D137" s="118" t="s">
        <v>468</v>
      </c>
      <c r="E137" s="118" t="s">
        <v>307</v>
      </c>
      <c r="F137" s="177">
        <v>2</v>
      </c>
      <c r="G137" s="241" t="s">
        <v>465</v>
      </c>
      <c r="H137" s="118" t="s">
        <v>291</v>
      </c>
      <c r="I137" s="74"/>
      <c r="J137" s="53">
        <f>VLOOKUP($B137,[2]Sheet2!$D:$J,3,0)</f>
        <v>1.1000000000000001E-3</v>
      </c>
      <c r="K137" s="53" t="str">
        <f>VLOOKUP($B137,[2]Sheet2!$D:$J,4,0)</f>
        <v>CNY</v>
      </c>
      <c r="L137" s="53" t="str">
        <f>VLOOKUP($B137,[2]Sheet2!$D:$J,2,0)</f>
        <v>广东风华高新科技股份有限公司</v>
      </c>
      <c r="M137" s="53">
        <f t="shared" si="18"/>
        <v>1.1000000000000001E-3</v>
      </c>
      <c r="P137" s="53" t="str">
        <f>VLOOKUP($B137,[2]Sheet2!$D:$J,5,0)</f>
        <v>42</v>
      </c>
      <c r="Q137" s="53" t="str">
        <f>VLOOKUP($B137,[2]Sheet2!$D:$J,6,0)</f>
        <v>10,000.000</v>
      </c>
      <c r="R137" s="53" t="str">
        <f>VLOOKUP($B137,[2]Sheet2!$D:$J,7,0)</f>
        <v>10,000.000</v>
      </c>
    </row>
    <row r="138" spans="1:19" x14ac:dyDescent="0.25">
      <c r="A138" s="177"/>
      <c r="B138" s="179">
        <v>10100017764</v>
      </c>
      <c r="C138" s="118" t="s">
        <v>402</v>
      </c>
      <c r="D138" s="118" t="s">
        <v>469</v>
      </c>
      <c r="E138" s="118" t="s">
        <v>410</v>
      </c>
      <c r="F138" s="177">
        <v>2</v>
      </c>
      <c r="G138" s="241" t="s">
        <v>465</v>
      </c>
      <c r="H138" s="118" t="s">
        <v>291</v>
      </c>
      <c r="I138" s="74"/>
      <c r="J138" s="53">
        <f>VLOOKUP($B138,[2]Sheet2!$D:$J,3,0)</f>
        <v>9.7999999999999997E-4</v>
      </c>
      <c r="K138" s="53" t="str">
        <f>VLOOKUP($B138,[2]Sheet2!$D:$J,4,0)</f>
        <v>CNY</v>
      </c>
      <c r="L138" s="53" t="str">
        <f>VLOOKUP($B138,[2]Sheet2!$D:$J,2,0)</f>
        <v>恒辉电阻（益阳）有限公司</v>
      </c>
      <c r="M138" s="53">
        <f t="shared" si="18"/>
        <v>9.7999999999999997E-4</v>
      </c>
      <c r="N138" s="110">
        <f>M138*F138</f>
        <v>1.9599999999999999E-3</v>
      </c>
      <c r="P138" s="53" t="str">
        <f>VLOOKUP($B138,[2]Sheet2!$D:$J,5,0)</f>
        <v>42</v>
      </c>
      <c r="Q138" s="53" t="str">
        <f>VLOOKUP($B138,[2]Sheet2!$D:$J,6,0)</f>
        <v>10,000.000</v>
      </c>
      <c r="R138" s="53" t="str">
        <f>VLOOKUP($B138,[2]Sheet2!$D:$J,7,0)</f>
        <v>10,000.000</v>
      </c>
      <c r="S138" s="110" t="s">
        <v>37</v>
      </c>
    </row>
    <row r="139" spans="1:19" x14ac:dyDescent="0.25">
      <c r="A139" s="177">
        <v>52</v>
      </c>
      <c r="B139" s="177">
        <v>10100005795</v>
      </c>
      <c r="C139" s="118" t="s">
        <v>431</v>
      </c>
      <c r="D139" s="118" t="s">
        <v>127</v>
      </c>
      <c r="E139" s="118" t="s">
        <v>307</v>
      </c>
      <c r="F139" s="177">
        <v>7</v>
      </c>
      <c r="G139" s="118" t="s">
        <v>470</v>
      </c>
      <c r="H139" s="118" t="s">
        <v>291</v>
      </c>
      <c r="I139" s="74"/>
      <c r="J139" s="53">
        <f>VLOOKUP($B139,[2]Sheet2!$D:$J,3,0)</f>
        <v>1.1000000000000001E-3</v>
      </c>
      <c r="K139" s="53" t="str">
        <f>VLOOKUP($B139,[2]Sheet2!$D:$J,4,0)</f>
        <v>CNY</v>
      </c>
      <c r="L139" s="53" t="str">
        <f>VLOOKUP($B139,[2]Sheet2!$D:$J,2,0)</f>
        <v>广东风华高新科技股份有限公司</v>
      </c>
      <c r="M139" s="53">
        <f t="shared" si="18"/>
        <v>1.1000000000000001E-3</v>
      </c>
      <c r="P139" s="53" t="str">
        <f>VLOOKUP($B139,[2]Sheet2!$D:$J,5,0)</f>
        <v>42</v>
      </c>
      <c r="Q139" s="53" t="str">
        <f>VLOOKUP($B139,[2]Sheet2!$D:$J,6,0)</f>
        <v>10,000.000</v>
      </c>
      <c r="R139" s="53" t="str">
        <f>VLOOKUP($B139,[2]Sheet2!$D:$J,7,0)</f>
        <v>10,000.000</v>
      </c>
    </row>
    <row r="140" spans="1:19" x14ac:dyDescent="0.25">
      <c r="A140" s="177"/>
      <c r="B140" s="177">
        <v>10100009838</v>
      </c>
      <c r="C140" s="118" t="s">
        <v>431</v>
      </c>
      <c r="D140" s="118" t="s">
        <v>128</v>
      </c>
      <c r="E140" s="118" t="s">
        <v>406</v>
      </c>
      <c r="F140" s="177">
        <v>7</v>
      </c>
      <c r="G140" s="118" t="s">
        <v>470</v>
      </c>
      <c r="H140" s="118" t="s">
        <v>291</v>
      </c>
      <c r="I140" s="74"/>
      <c r="J140" s="53">
        <f>VLOOKUP($B140,[2]Sheet2!$D:$J,3,0)</f>
        <v>1.09E-3</v>
      </c>
      <c r="K140" s="53" t="str">
        <f>VLOOKUP($B140,[2]Sheet2!$D:$J,4,0)</f>
        <v>CNY</v>
      </c>
      <c r="L140" s="53" t="str">
        <f>VLOOKUP($B140,[2]Sheet2!$D:$J,2,0)</f>
        <v>厚声国际贸易（昆山）有限公司深圳分公司</v>
      </c>
      <c r="M140" s="53">
        <f t="shared" si="18"/>
        <v>1.09E-3</v>
      </c>
      <c r="P140" s="53" t="str">
        <f>VLOOKUP($B140,[2]Sheet2!$D:$J,5,0)</f>
        <v>56</v>
      </c>
      <c r="Q140" s="53" t="str">
        <f>VLOOKUP($B140,[2]Sheet2!$D:$J,6,0)</f>
        <v>10,000.000</v>
      </c>
      <c r="R140" s="53" t="str">
        <f>VLOOKUP($B140,[2]Sheet2!$D:$J,7,0)</f>
        <v>10,000.000</v>
      </c>
    </row>
    <row r="141" spans="1:19" x14ac:dyDescent="0.25">
      <c r="A141" s="177"/>
      <c r="B141" s="177">
        <v>10100010045</v>
      </c>
      <c r="C141" s="118" t="s">
        <v>431</v>
      </c>
      <c r="D141" s="118" t="s">
        <v>131</v>
      </c>
      <c r="E141" s="118" t="s">
        <v>305</v>
      </c>
      <c r="F141" s="177">
        <v>7</v>
      </c>
      <c r="G141" s="118" t="s">
        <v>470</v>
      </c>
      <c r="H141" s="118" t="s">
        <v>291</v>
      </c>
      <c r="I141" s="74"/>
      <c r="J141" s="53">
        <f>VLOOKUP($B141,[2]Sheet2!$D:$J,3,0)</f>
        <v>1.17E-3</v>
      </c>
      <c r="K141" s="53" t="str">
        <f>VLOOKUP($B141,[2]Sheet2!$D:$J,4,0)</f>
        <v>CNY</v>
      </c>
      <c r="L141" s="53" t="str">
        <f>VLOOKUP($B141,[2]Sheet2!$D:$J,2,0)</f>
        <v>东莞华科电子有限公司</v>
      </c>
      <c r="M141" s="53">
        <f t="shared" si="18"/>
        <v>1.17E-3</v>
      </c>
      <c r="P141" s="53" t="str">
        <f>VLOOKUP($B141,[2]Sheet2!$D:$J,5,0)</f>
        <v>56</v>
      </c>
      <c r="Q141" s="53" t="str">
        <f>VLOOKUP($B141,[2]Sheet2!$D:$J,6,0)</f>
        <v>10,000.000</v>
      </c>
      <c r="R141" s="53" t="str">
        <f>VLOOKUP($B141,[2]Sheet2!$D:$J,7,0)</f>
        <v>10,000.000</v>
      </c>
      <c r="S141" s="110"/>
    </row>
    <row r="142" spans="1:19" x14ac:dyDescent="0.25">
      <c r="A142" s="177"/>
      <c r="B142" s="177">
        <v>10100017618</v>
      </c>
      <c r="C142" s="118" t="s">
        <v>402</v>
      </c>
      <c r="D142" s="118" t="s">
        <v>132</v>
      </c>
      <c r="E142" s="118" t="s">
        <v>410</v>
      </c>
      <c r="F142" s="177">
        <v>7</v>
      </c>
      <c r="G142" s="118" t="s">
        <v>470</v>
      </c>
      <c r="H142" s="118" t="s">
        <v>291</v>
      </c>
      <c r="I142" s="74"/>
      <c r="J142" s="53">
        <f>VLOOKUP($B142,[2]Sheet2!$D:$J,3,0)</f>
        <v>9.7999999999999997E-4</v>
      </c>
      <c r="K142" s="53" t="str">
        <f>VLOOKUP($B142,[2]Sheet2!$D:$J,4,0)</f>
        <v>CNY</v>
      </c>
      <c r="L142" s="53" t="str">
        <f>VLOOKUP($B142,[2]Sheet2!$D:$J,2,0)</f>
        <v>恒辉电阻（益阳）有限公司</v>
      </c>
      <c r="M142" s="53">
        <f t="shared" si="18"/>
        <v>9.7999999999999997E-4</v>
      </c>
      <c r="N142" s="110">
        <f>M142*F142</f>
        <v>6.8599999999999998E-3</v>
      </c>
      <c r="P142" s="53" t="str">
        <f>VLOOKUP($B142,[2]Sheet2!$D:$J,5,0)</f>
        <v>42</v>
      </c>
      <c r="Q142" s="53" t="str">
        <f>VLOOKUP($B142,[2]Sheet2!$D:$J,6,0)</f>
        <v>10,000.000</v>
      </c>
      <c r="R142" s="53" t="str">
        <f>VLOOKUP($B142,[2]Sheet2!$D:$J,7,0)</f>
        <v>10,000.000</v>
      </c>
      <c r="S142" s="182" t="s">
        <v>37</v>
      </c>
    </row>
    <row r="143" spans="1:19" x14ac:dyDescent="0.25">
      <c r="A143" s="177">
        <v>53</v>
      </c>
      <c r="B143" s="179">
        <v>10100003500</v>
      </c>
      <c r="C143" s="118" t="s">
        <v>402</v>
      </c>
      <c r="D143" s="118" t="s">
        <v>471</v>
      </c>
      <c r="E143" s="118" t="s">
        <v>303</v>
      </c>
      <c r="F143" s="177">
        <v>1</v>
      </c>
      <c r="G143" s="241" t="s">
        <v>472</v>
      </c>
      <c r="H143" s="118"/>
      <c r="I143" s="74"/>
      <c r="J143" s="53">
        <f>VLOOKUP($B143,[2]Sheet2!$D:$J,3,0)</f>
        <v>2.5999999999999999E-3</v>
      </c>
      <c r="K143" s="53" t="str">
        <f>VLOOKUP($B143,[2]Sheet2!$D:$J,4,0)</f>
        <v>CNY</v>
      </c>
      <c r="L143" s="53" t="str">
        <f>VLOOKUP($B143,[2]Sheet2!$D:$J,2,0)</f>
        <v>深圳市超利维实业有限公司</v>
      </c>
      <c r="M143" s="53">
        <f t="shared" si="18"/>
        <v>2.5999999999999999E-3</v>
      </c>
      <c r="P143" s="53" t="str">
        <f>VLOOKUP($B143,[2]Sheet2!$D:$J,5,0)</f>
        <v>56</v>
      </c>
      <c r="Q143" s="53" t="str">
        <f>VLOOKUP($B143,[2]Sheet2!$D:$J,6,0)</f>
        <v>5,000.000</v>
      </c>
      <c r="R143" s="53" t="str">
        <f>VLOOKUP($B143,[2]Sheet2!$D:$J,7,0)</f>
        <v>5,000.000</v>
      </c>
    </row>
    <row r="144" spans="1:19" x14ac:dyDescent="0.25">
      <c r="A144" s="177"/>
      <c r="B144" s="179">
        <v>10100006507</v>
      </c>
      <c r="C144" s="118" t="s">
        <v>402</v>
      </c>
      <c r="D144" s="118" t="s">
        <v>473</v>
      </c>
      <c r="E144" s="118" t="s">
        <v>307</v>
      </c>
      <c r="F144" s="177">
        <v>1</v>
      </c>
      <c r="G144" s="241" t="s">
        <v>472</v>
      </c>
      <c r="H144" s="118" t="s">
        <v>291</v>
      </c>
      <c r="I144" s="74"/>
      <c r="J144" s="53">
        <f>VLOOKUP($B144,[2]Sheet2!$D:$J,3,0)</f>
        <v>2.0799999999999998E-3</v>
      </c>
      <c r="K144" s="53" t="str">
        <f>VLOOKUP($B144,[2]Sheet2!$D:$J,4,0)</f>
        <v>CNY</v>
      </c>
      <c r="L144" s="53" t="str">
        <f>VLOOKUP($B144,[2]Sheet2!$D:$J,2,0)</f>
        <v>广东风华高新科技股份有限公司</v>
      </c>
      <c r="M144" s="53">
        <f t="shared" si="18"/>
        <v>2.0799999999999998E-3</v>
      </c>
      <c r="P144" s="53" t="str">
        <f>VLOOKUP($B144,[2]Sheet2!$D:$J,5,0)</f>
        <v>42</v>
      </c>
      <c r="Q144" s="53" t="str">
        <f>VLOOKUP($B144,[2]Sheet2!$D:$J,6,0)</f>
        <v>5,000.000</v>
      </c>
      <c r="R144" s="53" t="str">
        <f>VLOOKUP($B144,[2]Sheet2!$D:$J,7,0)</f>
        <v>5,000.000</v>
      </c>
    </row>
    <row r="145" spans="1:19" x14ac:dyDescent="0.25">
      <c r="A145" s="177"/>
      <c r="B145" s="179">
        <v>10100006845</v>
      </c>
      <c r="C145" s="118" t="s">
        <v>402</v>
      </c>
      <c r="D145" s="118" t="s">
        <v>474</v>
      </c>
      <c r="E145" s="118" t="s">
        <v>305</v>
      </c>
      <c r="F145" s="177">
        <v>1</v>
      </c>
      <c r="G145" s="241" t="s">
        <v>472</v>
      </c>
      <c r="H145" s="118" t="s">
        <v>291</v>
      </c>
      <c r="I145" s="74"/>
      <c r="J145" s="53">
        <f>VLOOKUP($B145,[2]Sheet2!$D:$J,3,0)</f>
        <v>2.2200000000000002E-3</v>
      </c>
      <c r="K145" s="53" t="str">
        <f>VLOOKUP($B145,[2]Sheet2!$D:$J,4,0)</f>
        <v>CNY</v>
      </c>
      <c r="L145" s="53" t="str">
        <f>VLOOKUP($B145,[2]Sheet2!$D:$J,2,0)</f>
        <v>东莞华科电子有限公司</v>
      </c>
      <c r="M145" s="53">
        <f t="shared" si="18"/>
        <v>2.2200000000000002E-3</v>
      </c>
      <c r="P145" s="53" t="str">
        <f>VLOOKUP($B145,[2]Sheet2!$D:$J,5,0)</f>
        <v>56</v>
      </c>
      <c r="Q145" s="53" t="str">
        <f>VLOOKUP($B145,[2]Sheet2!$D:$J,6,0)</f>
        <v>5,000.000</v>
      </c>
      <c r="R145" s="53" t="str">
        <f>VLOOKUP($B145,[2]Sheet2!$D:$J,7,0)</f>
        <v>5,000.000</v>
      </c>
      <c r="S145" s="110"/>
    </row>
    <row r="146" spans="1:19" x14ac:dyDescent="0.25">
      <c r="A146" s="177"/>
      <c r="B146" s="179">
        <v>10100011090</v>
      </c>
      <c r="C146" s="118" t="s">
        <v>402</v>
      </c>
      <c r="D146" s="118" t="s">
        <v>475</v>
      </c>
      <c r="E146" s="118" t="s">
        <v>406</v>
      </c>
      <c r="F146" s="177">
        <v>1</v>
      </c>
      <c r="G146" s="241" t="s">
        <v>472</v>
      </c>
      <c r="H146" s="118" t="s">
        <v>291</v>
      </c>
      <c r="I146" s="74"/>
      <c r="J146" s="53">
        <f>VLOOKUP($B146,[2]Sheet2!$D:$J,3,0)</f>
        <v>2.0999999999999999E-3</v>
      </c>
      <c r="K146" s="53" t="str">
        <f>VLOOKUP($B146,[2]Sheet2!$D:$J,4,0)</f>
        <v>CNY</v>
      </c>
      <c r="L146" s="53" t="str">
        <f>VLOOKUP($B146,[2]Sheet2!$D:$J,2,0)</f>
        <v>厚声国际贸易（昆山）有限公司深圳分公司</v>
      </c>
      <c r="M146" s="53">
        <f t="shared" si="18"/>
        <v>2.0999999999999999E-3</v>
      </c>
      <c r="P146" s="53" t="str">
        <f>VLOOKUP($B146,[2]Sheet2!$D:$J,5,0)</f>
        <v>56</v>
      </c>
      <c r="Q146" s="53" t="str">
        <f>VLOOKUP($B146,[2]Sheet2!$D:$J,6,0)</f>
        <v>5,000.000</v>
      </c>
      <c r="R146" s="53" t="str">
        <f>VLOOKUP($B146,[2]Sheet2!$D:$J,7,0)</f>
        <v>5,000.000</v>
      </c>
    </row>
    <row r="147" spans="1:19" x14ac:dyDescent="0.25">
      <c r="A147" s="177"/>
      <c r="B147" s="179">
        <v>10100017970</v>
      </c>
      <c r="C147" s="118" t="s">
        <v>402</v>
      </c>
      <c r="D147" s="118" t="s">
        <v>476</v>
      </c>
      <c r="E147" s="118" t="s">
        <v>410</v>
      </c>
      <c r="F147" s="177">
        <v>1</v>
      </c>
      <c r="G147" s="241" t="s">
        <v>472</v>
      </c>
      <c r="H147" s="118" t="s">
        <v>291</v>
      </c>
      <c r="I147" s="74"/>
      <c r="J147" s="53">
        <f>VLOOKUP($B147,[2]Sheet2!$D:$J,3,0)</f>
        <v>1.8500000000000001E-3</v>
      </c>
      <c r="K147" s="53" t="str">
        <f>VLOOKUP($B147,[2]Sheet2!$D:$J,4,0)</f>
        <v>CNY</v>
      </c>
      <c r="L147" s="53" t="str">
        <f>VLOOKUP($B147,[2]Sheet2!$D:$J,2,0)</f>
        <v>恒辉电阻（益阳）有限公司</v>
      </c>
      <c r="M147" s="53">
        <f t="shared" si="18"/>
        <v>1.8500000000000001E-3</v>
      </c>
      <c r="N147" s="110">
        <f>M147*F147</f>
        <v>1.8500000000000001E-3</v>
      </c>
      <c r="P147" s="53" t="str">
        <f>VLOOKUP($B147,[2]Sheet2!$D:$J,5,0)</f>
        <v>42</v>
      </c>
      <c r="Q147" s="53" t="str">
        <f>VLOOKUP($B147,[2]Sheet2!$D:$J,6,0)</f>
        <v>5,000.000</v>
      </c>
      <c r="R147" s="53" t="str">
        <f>VLOOKUP($B147,[2]Sheet2!$D:$J,7,0)</f>
        <v>5,000.000</v>
      </c>
      <c r="S147" s="182" t="s">
        <v>37</v>
      </c>
    </row>
    <row r="148" spans="1:19" x14ac:dyDescent="0.25">
      <c r="A148" s="177">
        <v>54</v>
      </c>
      <c r="B148" s="179">
        <v>10100002752</v>
      </c>
      <c r="C148" s="118" t="s">
        <v>402</v>
      </c>
      <c r="D148" s="118" t="s">
        <v>477</v>
      </c>
      <c r="E148" s="118" t="s">
        <v>303</v>
      </c>
      <c r="F148" s="177">
        <v>1</v>
      </c>
      <c r="G148" s="241" t="s">
        <v>478</v>
      </c>
      <c r="H148" s="118"/>
      <c r="I148" s="74"/>
      <c r="J148" s="53">
        <f>VLOOKUP($B148,[2]Sheet2!$D:$J,3,0)</f>
        <v>4.7999999999999996E-3</v>
      </c>
      <c r="K148" s="53" t="str">
        <f>VLOOKUP($B148,[2]Sheet2!$D:$J,4,0)</f>
        <v>CNY</v>
      </c>
      <c r="L148" s="53" t="str">
        <f>VLOOKUP($B148,[2]Sheet2!$D:$J,2,0)</f>
        <v>深圳市欧尔法电子有限公司</v>
      </c>
      <c r="M148" s="53">
        <f t="shared" si="18"/>
        <v>4.7999999999999996E-3</v>
      </c>
      <c r="P148" s="53" t="str">
        <f>VLOOKUP($B148,[2]Sheet2!$D:$J,5,0)</f>
        <v>70</v>
      </c>
      <c r="Q148" s="53" t="str">
        <f>VLOOKUP($B148,[2]Sheet2!$D:$J,6,0)</f>
        <v>5,000.000</v>
      </c>
      <c r="R148" s="53" t="str">
        <f>VLOOKUP($B148,[2]Sheet2!$D:$J,7,0)</f>
        <v>5,000.000</v>
      </c>
    </row>
    <row r="149" spans="1:19" x14ac:dyDescent="0.25">
      <c r="A149" s="177"/>
      <c r="B149" s="179">
        <v>10100006625</v>
      </c>
      <c r="C149" s="118" t="s">
        <v>402</v>
      </c>
      <c r="D149" s="118" t="s">
        <v>479</v>
      </c>
      <c r="E149" s="118" t="s">
        <v>307</v>
      </c>
      <c r="F149" s="177">
        <v>1</v>
      </c>
      <c r="G149" s="241" t="s">
        <v>478</v>
      </c>
      <c r="H149" s="118" t="s">
        <v>291</v>
      </c>
      <c r="I149" s="74"/>
      <c r="J149" s="53">
        <f>VLOOKUP($B149,[2]Sheet2!$D:$J,3,0)</f>
        <v>3.7599999999999999E-3</v>
      </c>
      <c r="K149" s="53" t="str">
        <f>VLOOKUP($B149,[2]Sheet2!$D:$J,4,0)</f>
        <v>CNY</v>
      </c>
      <c r="L149" s="53" t="str">
        <f>VLOOKUP($B149,[2]Sheet2!$D:$J,2,0)</f>
        <v>广东风华高新科技股份有限公司</v>
      </c>
      <c r="M149" s="53">
        <f t="shared" si="18"/>
        <v>3.7599999999999999E-3</v>
      </c>
      <c r="P149" s="53" t="str">
        <f>VLOOKUP($B149,[2]Sheet2!$D:$J,5,0)</f>
        <v>42</v>
      </c>
      <c r="Q149" s="53" t="str">
        <f>VLOOKUP($B149,[2]Sheet2!$D:$J,6,0)</f>
        <v>5,000.000</v>
      </c>
      <c r="R149" s="53" t="str">
        <f>VLOOKUP($B149,[2]Sheet2!$D:$J,7,0)</f>
        <v>5,000.000</v>
      </c>
    </row>
    <row r="150" spans="1:19" x14ac:dyDescent="0.25">
      <c r="A150" s="177"/>
      <c r="B150" s="179">
        <v>10100007120</v>
      </c>
      <c r="C150" s="118" t="s">
        <v>402</v>
      </c>
      <c r="D150" s="118" t="s">
        <v>480</v>
      </c>
      <c r="E150" s="118" t="s">
        <v>305</v>
      </c>
      <c r="F150" s="177">
        <v>1</v>
      </c>
      <c r="G150" s="241" t="s">
        <v>478</v>
      </c>
      <c r="H150" s="118" t="s">
        <v>291</v>
      </c>
      <c r="I150" s="74"/>
      <c r="J150" s="53">
        <f>VLOOKUP($B150,[2]Sheet2!$D:$J,3,0)</f>
        <v>3.8800000000000002E-3</v>
      </c>
      <c r="K150" s="53" t="str">
        <f>VLOOKUP($B150,[2]Sheet2!$D:$J,4,0)</f>
        <v>CNY</v>
      </c>
      <c r="L150" s="53" t="str">
        <f>VLOOKUP($B150,[2]Sheet2!$D:$J,2,0)</f>
        <v>东莞华科电子有限公司</v>
      </c>
      <c r="M150" s="53">
        <f t="shared" si="18"/>
        <v>3.8800000000000002E-3</v>
      </c>
      <c r="P150" s="53" t="str">
        <f>VLOOKUP($B150,[2]Sheet2!$D:$J,5,0)</f>
        <v>56</v>
      </c>
      <c r="Q150" s="53" t="str">
        <f>VLOOKUP($B150,[2]Sheet2!$D:$J,6,0)</f>
        <v>5,000.000</v>
      </c>
      <c r="R150" s="53" t="str">
        <f>VLOOKUP($B150,[2]Sheet2!$D:$J,7,0)</f>
        <v>5,000.000</v>
      </c>
      <c r="S150" s="110"/>
    </row>
    <row r="151" spans="1:19" x14ac:dyDescent="0.25">
      <c r="A151" s="177"/>
      <c r="B151" s="179">
        <v>10100010325</v>
      </c>
      <c r="C151" s="118" t="s">
        <v>402</v>
      </c>
      <c r="D151" s="118" t="s">
        <v>481</v>
      </c>
      <c r="E151" s="118" t="s">
        <v>406</v>
      </c>
      <c r="F151" s="177">
        <v>1</v>
      </c>
      <c r="G151" s="241" t="s">
        <v>478</v>
      </c>
      <c r="H151" s="118" t="s">
        <v>291</v>
      </c>
      <c r="I151" s="74"/>
      <c r="J151" s="53">
        <f>VLOOKUP($B151,[2]Sheet2!$D:$J,3,0)</f>
        <v>3.8E-3</v>
      </c>
      <c r="K151" s="53" t="str">
        <f>VLOOKUP($B151,[2]Sheet2!$D:$J,4,0)</f>
        <v>CNY</v>
      </c>
      <c r="L151" s="53" t="str">
        <f>VLOOKUP($B151,[2]Sheet2!$D:$J,2,0)</f>
        <v>厚声国际贸易（昆山）有限公司深圳分公司</v>
      </c>
      <c r="M151" s="53">
        <f t="shared" si="18"/>
        <v>3.8E-3</v>
      </c>
      <c r="P151" s="53" t="str">
        <f>VLOOKUP($B151,[2]Sheet2!$D:$J,5,0)</f>
        <v>56</v>
      </c>
      <c r="Q151" s="53" t="str">
        <f>VLOOKUP($B151,[2]Sheet2!$D:$J,6,0)</f>
        <v>5,000.000</v>
      </c>
      <c r="R151" s="53" t="str">
        <f>VLOOKUP($B151,[2]Sheet2!$D:$J,7,0)</f>
        <v>5,000.000</v>
      </c>
    </row>
    <row r="152" spans="1:19" x14ac:dyDescent="0.25">
      <c r="A152" s="177"/>
      <c r="B152" s="179">
        <v>10100018256</v>
      </c>
      <c r="C152" s="118" t="s">
        <v>402</v>
      </c>
      <c r="D152" s="118" t="s">
        <v>482</v>
      </c>
      <c r="E152" s="118" t="s">
        <v>410</v>
      </c>
      <c r="F152" s="177">
        <v>1</v>
      </c>
      <c r="G152" s="241" t="s">
        <v>478</v>
      </c>
      <c r="H152" s="118" t="s">
        <v>291</v>
      </c>
      <c r="I152" s="74"/>
      <c r="J152" s="53">
        <f>VLOOKUP($B152,[2]Sheet2!$D:$J,3,0)</f>
        <v>3.3500000000000001E-3</v>
      </c>
      <c r="K152" s="53" t="str">
        <f>VLOOKUP($B152,[2]Sheet2!$D:$J,4,0)</f>
        <v>CNY</v>
      </c>
      <c r="L152" s="53" t="str">
        <f>VLOOKUP($B152,[2]Sheet2!$D:$J,2,0)</f>
        <v>恒辉电阻（益阳）有限公司</v>
      </c>
      <c r="M152" s="53">
        <f t="shared" si="18"/>
        <v>3.3500000000000001E-3</v>
      </c>
      <c r="N152" s="110">
        <f>M152*F152</f>
        <v>3.3500000000000001E-3</v>
      </c>
      <c r="P152" s="53" t="str">
        <f>VLOOKUP($B152,[2]Sheet2!$D:$J,5,0)</f>
        <v>42</v>
      </c>
      <c r="Q152" s="53" t="str">
        <f>VLOOKUP($B152,[2]Sheet2!$D:$J,6,0)</f>
        <v>5,000.000</v>
      </c>
      <c r="R152" s="53" t="str">
        <f>VLOOKUP($B152,[2]Sheet2!$D:$J,7,0)</f>
        <v>5,000.000</v>
      </c>
      <c r="S152" s="182" t="s">
        <v>37</v>
      </c>
    </row>
    <row r="153" spans="1:19" x14ac:dyDescent="0.25">
      <c r="A153" s="177">
        <v>55</v>
      </c>
      <c r="B153" s="179">
        <v>10100022846</v>
      </c>
      <c r="C153" s="118" t="s">
        <v>402</v>
      </c>
      <c r="D153" s="118" t="s">
        <v>483</v>
      </c>
      <c r="E153" s="118" t="s">
        <v>303</v>
      </c>
      <c r="F153" s="177">
        <v>1</v>
      </c>
      <c r="G153" s="241" t="s">
        <v>484</v>
      </c>
      <c r="H153" s="118"/>
      <c r="I153" s="74"/>
      <c r="J153" s="53">
        <f>VLOOKUP($B153,[2]Sheet2!$D:$J,3,0)</f>
        <v>1.4E-3</v>
      </c>
      <c r="K153" s="53" t="str">
        <f>VLOOKUP($B153,[2]Sheet2!$D:$J,4,0)</f>
        <v>CNY</v>
      </c>
      <c r="L153" s="53" t="str">
        <f>VLOOKUP($B153,[2]Sheet2!$D:$J,2,0)</f>
        <v>深圳市超利维实业有限公司</v>
      </c>
      <c r="M153" s="53">
        <f t="shared" si="18"/>
        <v>1.4E-3</v>
      </c>
      <c r="P153" s="53" t="str">
        <f>VLOOKUP($B153,[2]Sheet2!$D:$J,5,0)</f>
        <v>84</v>
      </c>
      <c r="Q153" s="53" t="str">
        <f>VLOOKUP($B153,[2]Sheet2!$D:$J,6,0)</f>
        <v>10,000.000</v>
      </c>
      <c r="R153" s="53" t="str">
        <f>VLOOKUP($B153,[2]Sheet2!$D:$J,7,0)</f>
        <v>10,000.000</v>
      </c>
    </row>
    <row r="154" spans="1:19" x14ac:dyDescent="0.25">
      <c r="A154" s="177"/>
      <c r="B154" s="179">
        <v>10100022852</v>
      </c>
      <c r="C154" s="118" t="s">
        <v>402</v>
      </c>
      <c r="D154" s="118" t="s">
        <v>485</v>
      </c>
      <c r="E154" s="118" t="s">
        <v>305</v>
      </c>
      <c r="F154" s="177">
        <v>1</v>
      </c>
      <c r="G154" s="241" t="s">
        <v>484</v>
      </c>
      <c r="H154" s="118" t="s">
        <v>291</v>
      </c>
      <c r="I154" s="74"/>
      <c r="J154" s="53">
        <f>VLOOKUP($B154,[2]Sheet2!$D:$J,3,0)</f>
        <v>1.17E-3</v>
      </c>
      <c r="K154" s="53" t="str">
        <f>VLOOKUP($B154,[2]Sheet2!$D:$J,4,0)</f>
        <v>CNY</v>
      </c>
      <c r="L154" s="53" t="str">
        <f>VLOOKUP($B154,[2]Sheet2!$D:$J,2,0)</f>
        <v>东莞华科电子有限公司</v>
      </c>
      <c r="M154" s="53">
        <f t="shared" si="18"/>
        <v>1.17E-3</v>
      </c>
      <c r="P154" s="53" t="str">
        <f>VLOOKUP($B154,[2]Sheet2!$D:$J,5,0)</f>
        <v>56</v>
      </c>
      <c r="Q154" s="53" t="str">
        <f>VLOOKUP($B154,[2]Sheet2!$D:$J,6,0)</f>
        <v>10,000.000</v>
      </c>
      <c r="R154" s="53" t="str">
        <f>VLOOKUP($B154,[2]Sheet2!$D:$J,7,0)</f>
        <v>10,000.000</v>
      </c>
    </row>
    <row r="155" spans="1:19" x14ac:dyDescent="0.25">
      <c r="A155" s="177"/>
      <c r="B155" s="179">
        <v>10100022856</v>
      </c>
      <c r="C155" s="118" t="s">
        <v>402</v>
      </c>
      <c r="D155" s="118" t="s">
        <v>486</v>
      </c>
      <c r="E155" s="118" t="s">
        <v>406</v>
      </c>
      <c r="F155" s="177">
        <v>1</v>
      </c>
      <c r="G155" s="241" t="s">
        <v>484</v>
      </c>
      <c r="H155" s="118" t="s">
        <v>291</v>
      </c>
      <c r="I155" s="74"/>
      <c r="J155" s="53">
        <f>VLOOKUP($B155,[2]Sheet2!$D:$J,3,0)</f>
        <v>1.09E-3</v>
      </c>
      <c r="K155" s="53" t="str">
        <f>VLOOKUP($B155,[2]Sheet2!$D:$J,4,0)</f>
        <v>CNY</v>
      </c>
      <c r="L155" s="53" t="str">
        <f>VLOOKUP($B155,[2]Sheet2!$D:$J,2,0)</f>
        <v>厚声国际贸易（昆山）有限公司深圳分公司</v>
      </c>
      <c r="M155" s="53">
        <f t="shared" si="18"/>
        <v>1.09E-3</v>
      </c>
      <c r="N155" s="110">
        <f>M155*F155</f>
        <v>1.09E-3</v>
      </c>
      <c r="P155" s="53" t="str">
        <f>VLOOKUP($B155,[2]Sheet2!$D:$J,5,0)</f>
        <v>42</v>
      </c>
      <c r="Q155" s="53" t="str">
        <f>VLOOKUP($B155,[2]Sheet2!$D:$J,6,0)</f>
        <v>10,000.000</v>
      </c>
      <c r="R155" s="53" t="str">
        <f>VLOOKUP($B155,[2]Sheet2!$D:$J,7,0)</f>
        <v>10,000.000</v>
      </c>
      <c r="S155" s="110" t="s">
        <v>37</v>
      </c>
    </row>
    <row r="156" spans="1:19" x14ac:dyDescent="0.25">
      <c r="A156" s="177"/>
      <c r="B156" s="179">
        <v>10100022860</v>
      </c>
      <c r="C156" s="118" t="s">
        <v>402</v>
      </c>
      <c r="D156" s="118" t="s">
        <v>487</v>
      </c>
      <c r="E156" s="118" t="s">
        <v>307</v>
      </c>
      <c r="F156" s="177">
        <v>1</v>
      </c>
      <c r="G156" s="241" t="s">
        <v>484</v>
      </c>
      <c r="H156" s="118" t="s">
        <v>291</v>
      </c>
      <c r="I156" s="74"/>
      <c r="J156" s="53">
        <f>VLOOKUP($B156,[2]Sheet2!$D:$J,3,0)</f>
        <v>1.1000000000000001E-3</v>
      </c>
      <c r="K156" s="53" t="str">
        <f>VLOOKUP($B156,[2]Sheet2!$D:$J,4,0)</f>
        <v>CNY</v>
      </c>
      <c r="L156" s="53" t="str">
        <f>VLOOKUP($B156,[2]Sheet2!$D:$J,2,0)</f>
        <v>广东风华高新科技股份有限公司</v>
      </c>
      <c r="M156" s="53">
        <f t="shared" si="18"/>
        <v>1.1000000000000001E-3</v>
      </c>
      <c r="P156" s="53" t="str">
        <f>VLOOKUP($B156,[2]Sheet2!$D:$J,5,0)</f>
        <v>42</v>
      </c>
      <c r="Q156" s="53" t="str">
        <f>VLOOKUP($B156,[2]Sheet2!$D:$J,6,0)</f>
        <v>10,000.000</v>
      </c>
      <c r="R156" s="53" t="str">
        <f>VLOOKUP($B156,[2]Sheet2!$D:$J,7,0)</f>
        <v>10,000.000</v>
      </c>
      <c r="S156" s="110"/>
    </row>
    <row r="157" spans="1:19" x14ac:dyDescent="0.25">
      <c r="A157" s="177">
        <v>56</v>
      </c>
      <c r="B157" s="179">
        <v>10100008807</v>
      </c>
      <c r="C157" s="118" t="s">
        <v>402</v>
      </c>
      <c r="D157" s="118" t="s">
        <v>488</v>
      </c>
      <c r="E157" s="118" t="s">
        <v>305</v>
      </c>
      <c r="F157" s="177">
        <v>2</v>
      </c>
      <c r="G157" s="241" t="s">
        <v>489</v>
      </c>
      <c r="H157" s="118" t="s">
        <v>291</v>
      </c>
      <c r="I157" s="74"/>
      <c r="J157" s="53">
        <f>VLOOKUP($B157,[2]Sheet2!$D:$J,3,0)</f>
        <v>1.17E-3</v>
      </c>
      <c r="K157" s="53" t="str">
        <f>VLOOKUP($B157,[2]Sheet2!$D:$J,4,0)</f>
        <v>CNY</v>
      </c>
      <c r="L157" s="53" t="str">
        <f>VLOOKUP($B157,[2]Sheet2!$D:$J,2,0)</f>
        <v>东莞华科电子有限公司</v>
      </c>
      <c r="M157" s="53">
        <f t="shared" si="18"/>
        <v>1.17E-3</v>
      </c>
      <c r="P157" s="53" t="str">
        <f>VLOOKUP($B157,[2]Sheet2!$D:$J,5,0)</f>
        <v>56</v>
      </c>
      <c r="Q157" s="53" t="str">
        <f>VLOOKUP($B157,[2]Sheet2!$D:$J,6,0)</f>
        <v>10,000.000</v>
      </c>
      <c r="R157" s="53" t="str">
        <f>VLOOKUP($B157,[2]Sheet2!$D:$J,7,0)</f>
        <v>10,000.000</v>
      </c>
    </row>
    <row r="158" spans="1:19" x14ac:dyDescent="0.25">
      <c r="A158" s="177"/>
      <c r="B158" s="179">
        <v>10100008809</v>
      </c>
      <c r="C158" s="118" t="s">
        <v>402</v>
      </c>
      <c r="D158" s="118" t="s">
        <v>490</v>
      </c>
      <c r="E158" s="118" t="s">
        <v>307</v>
      </c>
      <c r="F158" s="177">
        <v>2</v>
      </c>
      <c r="G158" s="241" t="s">
        <v>489</v>
      </c>
      <c r="H158" s="118" t="s">
        <v>291</v>
      </c>
      <c r="I158" s="74"/>
      <c r="J158" s="53">
        <f>VLOOKUP($B158,[2]Sheet2!$D:$J,3,0)</f>
        <v>1.1000000000000001E-3</v>
      </c>
      <c r="K158" s="53" t="str">
        <f>VLOOKUP($B158,[2]Sheet2!$D:$J,4,0)</f>
        <v>CNY</v>
      </c>
      <c r="L158" s="53" t="str">
        <f>VLOOKUP($B158,[2]Sheet2!$D:$J,2,0)</f>
        <v>广东风华高新科技股份有限公司</v>
      </c>
      <c r="M158" s="53">
        <f t="shared" si="18"/>
        <v>1.1000000000000001E-3</v>
      </c>
      <c r="P158" s="53" t="str">
        <f>VLOOKUP($B158,[2]Sheet2!$D:$J,5,0)</f>
        <v>42</v>
      </c>
      <c r="Q158" s="53" t="str">
        <f>VLOOKUP($B158,[2]Sheet2!$D:$J,6,0)</f>
        <v>10,000.000</v>
      </c>
      <c r="R158" s="53" t="str">
        <f>VLOOKUP($B158,[2]Sheet2!$D:$J,7,0)</f>
        <v>10,000.000</v>
      </c>
    </row>
    <row r="159" spans="1:19" x14ac:dyDescent="0.25">
      <c r="A159" s="177"/>
      <c r="B159" s="179">
        <v>10100014263</v>
      </c>
      <c r="C159" s="118" t="s">
        <v>402</v>
      </c>
      <c r="D159" s="118" t="s">
        <v>491</v>
      </c>
      <c r="E159" s="118" t="s">
        <v>303</v>
      </c>
      <c r="F159" s="177">
        <v>2</v>
      </c>
      <c r="G159" s="241" t="s">
        <v>489</v>
      </c>
      <c r="H159" s="118"/>
      <c r="I159" s="74"/>
      <c r="J159" s="53">
        <f>VLOOKUP($B159,[2]Sheet2!$D:$J,3,0)</f>
        <v>1.4E-3</v>
      </c>
      <c r="K159" s="53" t="str">
        <f>VLOOKUP($B159,[2]Sheet2!$D:$J,4,0)</f>
        <v>CNY</v>
      </c>
      <c r="L159" s="53" t="str">
        <f>VLOOKUP($B159,[2]Sheet2!$D:$J,2,0)</f>
        <v>深圳市超利维实业有限公司</v>
      </c>
      <c r="M159" s="53">
        <f t="shared" si="18"/>
        <v>1.4E-3</v>
      </c>
      <c r="P159" s="53" t="str">
        <f>VLOOKUP($B159,[2]Sheet2!$D:$J,5,0)</f>
        <v>56</v>
      </c>
      <c r="Q159" s="53" t="str">
        <f>VLOOKUP($B159,[2]Sheet2!$D:$J,6,0)</f>
        <v>10,000.000</v>
      </c>
      <c r="R159" s="53" t="str">
        <f>VLOOKUP($B159,[2]Sheet2!$D:$J,7,0)</f>
        <v>10,000.000</v>
      </c>
    </row>
    <row r="160" spans="1:19" x14ac:dyDescent="0.25">
      <c r="A160" s="177"/>
      <c r="B160" s="179">
        <v>10100018399</v>
      </c>
      <c r="C160" s="118" t="s">
        <v>402</v>
      </c>
      <c r="D160" s="118" t="s">
        <v>492</v>
      </c>
      <c r="E160" s="118" t="s">
        <v>410</v>
      </c>
      <c r="F160" s="177">
        <v>2</v>
      </c>
      <c r="G160" s="241" t="s">
        <v>489</v>
      </c>
      <c r="H160" s="118" t="s">
        <v>291</v>
      </c>
      <c r="I160" s="74"/>
      <c r="J160" s="53">
        <f>VLOOKUP($B160,[2]Sheet2!$D:$J,3,0)</f>
        <v>9.7999999999999997E-4</v>
      </c>
      <c r="K160" s="53" t="str">
        <f>VLOOKUP($B160,[2]Sheet2!$D:$J,4,0)</f>
        <v>CNY</v>
      </c>
      <c r="L160" s="53" t="str">
        <f>VLOOKUP($B160,[2]Sheet2!$D:$J,2,0)</f>
        <v>恒辉电阻（益阳）有限公司</v>
      </c>
      <c r="M160" s="53">
        <f t="shared" si="18"/>
        <v>9.7999999999999997E-4</v>
      </c>
      <c r="N160" s="110">
        <f>M160*F160</f>
        <v>1.9599999999999999E-3</v>
      </c>
      <c r="P160" s="53" t="str">
        <f>VLOOKUP($B160,[2]Sheet2!$D:$J,5,0)</f>
        <v>42</v>
      </c>
      <c r="Q160" s="53" t="str">
        <f>VLOOKUP($B160,[2]Sheet2!$D:$J,6,0)</f>
        <v>10,000.000</v>
      </c>
      <c r="R160" s="53" t="str">
        <f>VLOOKUP($B160,[2]Sheet2!$D:$J,7,0)</f>
        <v>10,000.000</v>
      </c>
      <c r="S160" s="110" t="s">
        <v>37</v>
      </c>
    </row>
    <row r="161" spans="1:19" x14ac:dyDescent="0.25">
      <c r="A161" s="177"/>
      <c r="B161" s="179">
        <v>10100019075</v>
      </c>
      <c r="C161" s="118" t="s">
        <v>402</v>
      </c>
      <c r="D161" s="118" t="s">
        <v>493</v>
      </c>
      <c r="E161" s="118" t="s">
        <v>406</v>
      </c>
      <c r="F161" s="177">
        <v>2</v>
      </c>
      <c r="G161" s="241" t="s">
        <v>489</v>
      </c>
      <c r="H161" s="118" t="s">
        <v>291</v>
      </c>
      <c r="I161" s="74"/>
      <c r="J161" s="53">
        <f>VLOOKUP($B161,[2]Sheet2!$D:$J,3,0)</f>
        <v>1.09E-3</v>
      </c>
      <c r="K161" s="53" t="str">
        <f>VLOOKUP($B161,[2]Sheet2!$D:$J,4,0)</f>
        <v>CNY</v>
      </c>
      <c r="L161" s="53" t="str">
        <f>VLOOKUP($B161,[2]Sheet2!$D:$J,2,0)</f>
        <v>厚声国际贸易（昆山）有限公司深圳分公司</v>
      </c>
      <c r="M161" s="53">
        <f t="shared" si="18"/>
        <v>1.09E-3</v>
      </c>
      <c r="P161" s="53" t="str">
        <f>VLOOKUP($B161,[2]Sheet2!$D:$J,5,0)</f>
        <v>42</v>
      </c>
      <c r="Q161" s="53" t="str">
        <f>VLOOKUP($B161,[2]Sheet2!$D:$J,6,0)</f>
        <v>10,000.000</v>
      </c>
      <c r="R161" s="53" t="str">
        <f>VLOOKUP($B161,[2]Sheet2!$D:$J,7,0)</f>
        <v>10,000.000</v>
      </c>
    </row>
    <row r="162" spans="1:19" x14ac:dyDescent="0.25">
      <c r="A162" s="177">
        <v>57</v>
      </c>
      <c r="B162" s="179">
        <v>10100002133</v>
      </c>
      <c r="C162" s="118" t="s">
        <v>119</v>
      </c>
      <c r="D162" s="118" t="s">
        <v>494</v>
      </c>
      <c r="E162" s="118" t="s">
        <v>495</v>
      </c>
      <c r="F162" s="177">
        <v>3</v>
      </c>
      <c r="G162" s="241" t="s">
        <v>496</v>
      </c>
      <c r="H162" s="118" t="s">
        <v>291</v>
      </c>
      <c r="I162" s="74"/>
      <c r="J162" s="53">
        <f>VLOOKUP($B162,[2]Sheet2!$D:$J,3,0)</f>
        <v>3.2699999999999999E-3</v>
      </c>
      <c r="K162" s="53" t="str">
        <f>VLOOKUP($B162,[2]Sheet2!$D:$J,4,0)</f>
        <v>CNY</v>
      </c>
      <c r="L162" s="53" t="str">
        <f>VLOOKUP($B162,[2]Sheet2!$D:$J,2,0)</f>
        <v>广东风华高新科技股份有限公司</v>
      </c>
      <c r="M162" s="53">
        <f t="shared" si="18"/>
        <v>3.2699999999999999E-3</v>
      </c>
      <c r="N162" s="110">
        <f t="shared" ref="N162:N167" si="19">M162*F162</f>
        <v>9.8099999999999993E-3</v>
      </c>
      <c r="P162" s="53" t="str">
        <f>VLOOKUP($B162,[2]Sheet2!$D:$J,5,0)</f>
        <v>42</v>
      </c>
      <c r="Q162" s="53" t="str">
        <f>VLOOKUP($B162,[2]Sheet2!$D:$J,6,0)</f>
        <v>5,000.000</v>
      </c>
      <c r="R162" s="53" t="str">
        <f>VLOOKUP($B162,[2]Sheet2!$D:$J,7,0)</f>
        <v>5,000.000</v>
      </c>
      <c r="S162" s="182" t="s">
        <v>37</v>
      </c>
    </row>
    <row r="163" spans="1:19" x14ac:dyDescent="0.25">
      <c r="A163" s="177">
        <v>58</v>
      </c>
      <c r="B163" s="177">
        <v>10100009092</v>
      </c>
      <c r="C163" s="118" t="s">
        <v>431</v>
      </c>
      <c r="D163" s="118" t="s">
        <v>188</v>
      </c>
      <c r="E163" s="118" t="s">
        <v>303</v>
      </c>
      <c r="F163" s="177">
        <v>1</v>
      </c>
      <c r="G163" s="118" t="s">
        <v>497</v>
      </c>
      <c r="H163" s="118"/>
      <c r="I163" s="74"/>
      <c r="J163" s="53">
        <f>VLOOKUP($B163,[2]Sheet2!$D:$J,3,0)</f>
        <v>1.2999999999999999E-3</v>
      </c>
      <c r="K163" s="53" t="str">
        <f>VLOOKUP($B163,[2]Sheet2!$D:$J,4,0)</f>
        <v>CNY</v>
      </c>
      <c r="L163" s="53" t="str">
        <f>VLOOKUP($B163,[2]Sheet2!$D:$J,2,0)</f>
        <v>深圳市奥特高科电子有限公司</v>
      </c>
      <c r="M163" s="53">
        <f t="shared" si="18"/>
        <v>1.2999999999999999E-3</v>
      </c>
      <c r="P163" s="53" t="str">
        <f>VLOOKUP($B163,[2]Sheet2!$D:$J,5,0)</f>
        <v>84</v>
      </c>
      <c r="Q163" s="53" t="str">
        <f>VLOOKUP($B163,[2]Sheet2!$D:$J,6,0)</f>
        <v>10,000.000</v>
      </c>
      <c r="R163" s="53" t="str">
        <f>VLOOKUP($B163,[2]Sheet2!$D:$J,7,0)</f>
        <v>10,000.000</v>
      </c>
    </row>
    <row r="164" spans="1:19" x14ac:dyDescent="0.25">
      <c r="A164" s="177"/>
      <c r="B164" s="177">
        <v>10100009093</v>
      </c>
      <c r="C164" s="118" t="s">
        <v>431</v>
      </c>
      <c r="D164" s="118" t="s">
        <v>190</v>
      </c>
      <c r="E164" s="118" t="s">
        <v>305</v>
      </c>
      <c r="F164" s="177">
        <v>1</v>
      </c>
      <c r="G164" s="118" t="s">
        <v>497</v>
      </c>
      <c r="H164" s="118" t="s">
        <v>291</v>
      </c>
      <c r="I164" s="74"/>
      <c r="J164" s="53">
        <f>VLOOKUP($B164,[2]Sheet2!$D:$J,3,0)</f>
        <v>1.17E-3</v>
      </c>
      <c r="K164" s="53" t="str">
        <f>VLOOKUP($B164,[2]Sheet2!$D:$J,4,0)</f>
        <v>CNY</v>
      </c>
      <c r="L164" s="53" t="str">
        <f>VLOOKUP($B164,[2]Sheet2!$D:$J,2,0)</f>
        <v>东莞华科电子有限公司</v>
      </c>
      <c r="M164" s="53">
        <f t="shared" si="18"/>
        <v>1.17E-3</v>
      </c>
      <c r="P164" s="53" t="str">
        <f>VLOOKUP($B164,[2]Sheet2!$D:$J,5,0)</f>
        <v>56</v>
      </c>
      <c r="Q164" s="53" t="str">
        <f>VLOOKUP($B164,[2]Sheet2!$D:$J,6,0)</f>
        <v>10,000.000</v>
      </c>
      <c r="R164" s="53" t="str">
        <f>VLOOKUP($B164,[2]Sheet2!$D:$J,7,0)</f>
        <v>10,000.000</v>
      </c>
    </row>
    <row r="165" spans="1:19" x14ac:dyDescent="0.25">
      <c r="A165" s="177"/>
      <c r="B165" s="177">
        <v>10100014735</v>
      </c>
      <c r="C165" s="118" t="s">
        <v>402</v>
      </c>
      <c r="D165" s="118" t="s">
        <v>191</v>
      </c>
      <c r="E165" s="118" t="s">
        <v>406</v>
      </c>
      <c r="F165" s="177">
        <v>1</v>
      </c>
      <c r="G165" s="118" t="s">
        <v>497</v>
      </c>
      <c r="H165" s="118" t="s">
        <v>291</v>
      </c>
      <c r="I165" s="74"/>
      <c r="J165" s="53">
        <f>VLOOKUP($B165,[2]Sheet2!$D:$J,3,0)</f>
        <v>1.09E-3</v>
      </c>
      <c r="K165" s="53" t="str">
        <f>VLOOKUP($B165,[2]Sheet2!$D:$J,4,0)</f>
        <v>CNY</v>
      </c>
      <c r="L165" s="53" t="str">
        <f>VLOOKUP($B165,[2]Sheet2!$D:$J,2,0)</f>
        <v>厚声国际贸易（昆山）有限公司深圳分公司</v>
      </c>
      <c r="M165" s="53">
        <f t="shared" si="18"/>
        <v>1.09E-3</v>
      </c>
      <c r="P165" s="53" t="str">
        <f>VLOOKUP($B165,[2]Sheet2!$D:$J,5,0)</f>
        <v>56</v>
      </c>
      <c r="Q165" s="53" t="str">
        <f>VLOOKUP($B165,[2]Sheet2!$D:$J,6,0)</f>
        <v>10,000.000</v>
      </c>
      <c r="R165" s="53" t="str">
        <f>VLOOKUP($B165,[2]Sheet2!$D:$J,7,0)</f>
        <v>10,000.000</v>
      </c>
      <c r="S165" s="110"/>
    </row>
    <row r="166" spans="1:19" x14ac:dyDescent="0.25">
      <c r="A166" s="177"/>
      <c r="B166" s="177">
        <v>10100017679</v>
      </c>
      <c r="C166" s="118" t="s">
        <v>402</v>
      </c>
      <c r="D166" s="118" t="s">
        <v>192</v>
      </c>
      <c r="E166" s="118" t="s">
        <v>410</v>
      </c>
      <c r="F166" s="177">
        <v>1</v>
      </c>
      <c r="G166" s="118" t="s">
        <v>497</v>
      </c>
      <c r="H166" s="118" t="s">
        <v>291</v>
      </c>
      <c r="I166" s="74"/>
      <c r="J166" s="53">
        <f>VLOOKUP($B166,[2]Sheet2!$D:$J,3,0)</f>
        <v>9.7999999999999997E-4</v>
      </c>
      <c r="K166" s="53" t="str">
        <f>VLOOKUP($B166,[2]Sheet2!$D:$J,4,0)</f>
        <v>CNY</v>
      </c>
      <c r="L166" s="53" t="str">
        <f>VLOOKUP($B166,[2]Sheet2!$D:$J,2,0)</f>
        <v>恒辉电阻（益阳）有限公司</v>
      </c>
      <c r="M166" s="53">
        <f t="shared" si="18"/>
        <v>9.7999999999999997E-4</v>
      </c>
      <c r="N166" s="110">
        <f t="shared" si="19"/>
        <v>9.7999999999999997E-4</v>
      </c>
      <c r="P166" s="53" t="str">
        <f>VLOOKUP($B166,[2]Sheet2!$D:$J,5,0)</f>
        <v>42</v>
      </c>
      <c r="Q166" s="53" t="str">
        <f>VLOOKUP($B166,[2]Sheet2!$D:$J,6,0)</f>
        <v>10,000.000</v>
      </c>
      <c r="R166" s="53" t="str">
        <f>VLOOKUP($B166,[2]Sheet2!$D:$J,7,0)</f>
        <v>10,000.000</v>
      </c>
      <c r="S166" s="182" t="s">
        <v>37</v>
      </c>
    </row>
    <row r="167" spans="1:19" x14ac:dyDescent="0.25">
      <c r="A167" s="177">
        <v>59</v>
      </c>
      <c r="B167" s="179">
        <v>10100008735</v>
      </c>
      <c r="C167" s="118" t="s">
        <v>119</v>
      </c>
      <c r="D167" s="118" t="s">
        <v>498</v>
      </c>
      <c r="E167" s="118" t="s">
        <v>495</v>
      </c>
      <c r="F167" s="177">
        <v>3</v>
      </c>
      <c r="G167" s="118" t="s">
        <v>499</v>
      </c>
      <c r="H167" s="118" t="s">
        <v>291</v>
      </c>
      <c r="I167" s="74"/>
      <c r="J167" s="53">
        <f>VLOOKUP($B167,[2]Sheet2!$D:$J,3,0)</f>
        <v>1.1000000000000001E-3</v>
      </c>
      <c r="K167" s="53" t="str">
        <f>VLOOKUP($B167,[2]Sheet2!$D:$J,4,0)</f>
        <v>CNY</v>
      </c>
      <c r="L167" s="53" t="str">
        <f>VLOOKUP($B167,[2]Sheet2!$D:$J,2,0)</f>
        <v>广东风华高新科技股份有限公司</v>
      </c>
      <c r="M167" s="53">
        <f t="shared" si="18"/>
        <v>1.1000000000000001E-3</v>
      </c>
      <c r="N167" s="110">
        <f t="shared" si="19"/>
        <v>3.3E-3</v>
      </c>
      <c r="P167" s="53" t="str">
        <f>VLOOKUP($B167,[2]Sheet2!$D:$J,5,0)</f>
        <v>42</v>
      </c>
      <c r="Q167" s="53" t="str">
        <f>VLOOKUP($B167,[2]Sheet2!$D:$J,6,0)</f>
        <v>10,000.000</v>
      </c>
      <c r="R167" s="53" t="str">
        <f>VLOOKUP($B167,[2]Sheet2!$D:$J,7,0)</f>
        <v>10,000.000</v>
      </c>
      <c r="S167" s="182" t="s">
        <v>37</v>
      </c>
    </row>
    <row r="168" spans="1:19" x14ac:dyDescent="0.25">
      <c r="A168" s="177">
        <v>60</v>
      </c>
      <c r="B168" s="179">
        <v>10100016358</v>
      </c>
      <c r="C168" s="118" t="s">
        <v>119</v>
      </c>
      <c r="D168" s="118" t="s">
        <v>500</v>
      </c>
      <c r="E168" s="118" t="s">
        <v>46</v>
      </c>
      <c r="F168" s="177">
        <v>6</v>
      </c>
      <c r="G168" s="118" t="s">
        <v>501</v>
      </c>
      <c r="H168" s="118"/>
      <c r="I168" s="74"/>
      <c r="J168" s="53">
        <f>VLOOKUP($B168,[2]Sheet2!$D:$J,3,0)</f>
        <v>1.4E-3</v>
      </c>
      <c r="K168" s="53" t="str">
        <f>VLOOKUP($B168,[2]Sheet2!$D:$J,4,0)</f>
        <v>CNY</v>
      </c>
      <c r="L168" s="53" t="str">
        <f>VLOOKUP($B168,[2]Sheet2!$D:$J,2,0)</f>
        <v>深圳市超利维实业有限公司</v>
      </c>
      <c r="M168" s="53">
        <f t="shared" si="18"/>
        <v>1.4E-3</v>
      </c>
      <c r="P168" s="53" t="str">
        <f>VLOOKUP($B168,[2]Sheet2!$D:$J,5,0)</f>
        <v>56</v>
      </c>
      <c r="Q168" s="53" t="str">
        <f>VLOOKUP($B168,[2]Sheet2!$D:$J,6,0)</f>
        <v>10,000.000</v>
      </c>
      <c r="R168" s="53" t="str">
        <f>VLOOKUP($B168,[2]Sheet2!$D:$J,7,0)</f>
        <v>10,000.000</v>
      </c>
    </row>
    <row r="169" spans="1:19" x14ac:dyDescent="0.25">
      <c r="A169" s="177"/>
      <c r="B169" s="179">
        <v>10100016798</v>
      </c>
      <c r="C169" s="118" t="s">
        <v>119</v>
      </c>
      <c r="D169" s="118" t="s">
        <v>502</v>
      </c>
      <c r="E169" s="118" t="s">
        <v>77</v>
      </c>
      <c r="F169" s="177">
        <v>6</v>
      </c>
      <c r="G169" s="118" t="s">
        <v>501</v>
      </c>
      <c r="H169" s="118" t="s">
        <v>291</v>
      </c>
      <c r="I169" s="74"/>
      <c r="J169" s="53">
        <f>VLOOKUP($B169,[2]Sheet2!$D:$J,3,0)</f>
        <v>1E-3</v>
      </c>
      <c r="K169" s="53" t="str">
        <f>VLOOKUP($B169,[2]Sheet2!$D:$J,4,0)</f>
        <v>CNY</v>
      </c>
      <c r="L169" s="53" t="str">
        <f>VLOOKUP($B169,[2]Sheet2!$D:$J,2,0)</f>
        <v>东莞华科电子有限公司</v>
      </c>
      <c r="M169" s="53">
        <f t="shared" si="18"/>
        <v>1E-3</v>
      </c>
      <c r="P169" s="53" t="str">
        <f>VLOOKUP($B169,[2]Sheet2!$D:$J,5,0)</f>
        <v>56</v>
      </c>
      <c r="Q169" s="53" t="str">
        <f>VLOOKUP($B169,[2]Sheet2!$D:$J,6,0)</f>
        <v>10,000.000</v>
      </c>
      <c r="R169" s="53" t="str">
        <f>VLOOKUP($B169,[2]Sheet2!$D:$J,7,0)</f>
        <v>10,000.000</v>
      </c>
    </row>
    <row r="170" spans="1:19" x14ac:dyDescent="0.25">
      <c r="A170" s="177"/>
      <c r="B170" s="179">
        <v>10100020950</v>
      </c>
      <c r="C170" s="118" t="s">
        <v>119</v>
      </c>
      <c r="D170" s="118" t="s">
        <v>503</v>
      </c>
      <c r="E170" s="118" t="s">
        <v>129</v>
      </c>
      <c r="F170" s="177">
        <v>6</v>
      </c>
      <c r="G170" s="118" t="s">
        <v>501</v>
      </c>
      <c r="H170" s="118" t="s">
        <v>291</v>
      </c>
      <c r="I170" s="74"/>
      <c r="J170" s="53">
        <f>VLOOKUP($B170,[2]Sheet2!$D:$J,3,0)</f>
        <v>1.09E-3</v>
      </c>
      <c r="K170" s="53" t="str">
        <f>VLOOKUP($B170,[2]Sheet2!$D:$J,4,0)</f>
        <v>CNY</v>
      </c>
      <c r="L170" s="53" t="str">
        <f>VLOOKUP($B170,[2]Sheet2!$D:$J,2,0)</f>
        <v>厚声国际贸易（昆山）有限公司深圳分公司</v>
      </c>
      <c r="M170" s="53">
        <f t="shared" si="18"/>
        <v>1.09E-3</v>
      </c>
      <c r="P170" s="53" t="str">
        <f>VLOOKUP($B170,[2]Sheet2!$D:$J,5,0)</f>
        <v>42</v>
      </c>
      <c r="Q170" s="53" t="str">
        <f>VLOOKUP($B170,[2]Sheet2!$D:$J,6,0)</f>
        <v>10,000.000</v>
      </c>
      <c r="R170" s="53" t="str">
        <f>VLOOKUP($B170,[2]Sheet2!$D:$J,7,0)</f>
        <v>10,000.000</v>
      </c>
      <c r="S170" s="110"/>
    </row>
    <row r="171" spans="1:19" x14ac:dyDescent="0.25">
      <c r="A171" s="177"/>
      <c r="B171" s="179">
        <v>10100033903</v>
      </c>
      <c r="C171" s="118" t="s">
        <v>119</v>
      </c>
      <c r="D171" s="118" t="s">
        <v>504</v>
      </c>
      <c r="E171" s="118" t="s">
        <v>505</v>
      </c>
      <c r="F171" s="177">
        <v>6</v>
      </c>
      <c r="G171" s="118" t="s">
        <v>501</v>
      </c>
      <c r="H171" s="118" t="s">
        <v>291</v>
      </c>
      <c r="I171" s="74"/>
      <c r="J171" s="53">
        <f>VLOOKUP($B171,[2]Sheet2!$D:$J,3,0)</f>
        <v>9.7999999999999997E-4</v>
      </c>
      <c r="K171" s="53" t="str">
        <f>VLOOKUP($B171,[2]Sheet2!$D:$J,4,0)</f>
        <v>CNY</v>
      </c>
      <c r="L171" s="53" t="str">
        <f>VLOOKUP($B171,[2]Sheet2!$D:$J,2,0)</f>
        <v>恒辉电阻（益阳）有限公司</v>
      </c>
      <c r="M171" s="53">
        <f t="shared" si="18"/>
        <v>9.7999999999999997E-4</v>
      </c>
      <c r="N171" s="110">
        <f t="shared" ref="N171:N177" si="20">M171*F171</f>
        <v>5.8799999999999998E-3</v>
      </c>
      <c r="P171" s="53" t="str">
        <f>VLOOKUP($B171,[2]Sheet2!$D:$J,5,0)</f>
        <v>42</v>
      </c>
      <c r="Q171" s="53" t="str">
        <f>VLOOKUP($B171,[2]Sheet2!$D:$J,6,0)</f>
        <v>10,000.000</v>
      </c>
      <c r="R171" s="53" t="str">
        <f>VLOOKUP($B171,[2]Sheet2!$D:$J,7,0)</f>
        <v>10,000.000</v>
      </c>
      <c r="S171" s="110" t="s">
        <v>37</v>
      </c>
    </row>
    <row r="172" spans="1:19" x14ac:dyDescent="0.25">
      <c r="A172" s="177"/>
      <c r="B172" s="179">
        <v>10100034109</v>
      </c>
      <c r="C172" s="118" t="s">
        <v>119</v>
      </c>
      <c r="D172" s="118" t="s">
        <v>506</v>
      </c>
      <c r="E172" s="118" t="s">
        <v>53</v>
      </c>
      <c r="F172" s="177">
        <v>6</v>
      </c>
      <c r="G172" s="118" t="s">
        <v>501</v>
      </c>
      <c r="H172" s="118" t="s">
        <v>291</v>
      </c>
      <c r="I172" s="74"/>
      <c r="J172" s="53">
        <f>VLOOKUP($B172,[2]Sheet2!$D:$J,3,0)</f>
        <v>1.1000000000000001E-3</v>
      </c>
      <c r="K172" s="53" t="str">
        <f>VLOOKUP($B172,[2]Sheet2!$D:$J,4,0)</f>
        <v>CNY</v>
      </c>
      <c r="L172" s="53" t="str">
        <f>VLOOKUP($B172,[2]Sheet2!$D:$J,2,0)</f>
        <v>广东风华高新科技股份有限公司</v>
      </c>
      <c r="M172" s="53">
        <f t="shared" si="18"/>
        <v>1.1000000000000001E-3</v>
      </c>
      <c r="P172" s="53" t="str">
        <f>VLOOKUP($B172,[2]Sheet2!$D:$J,5,0)</f>
        <v>42</v>
      </c>
      <c r="Q172" s="53" t="str">
        <f>VLOOKUP($B172,[2]Sheet2!$D:$J,6,0)</f>
        <v>10,000.000</v>
      </c>
      <c r="R172" s="53" t="str">
        <f>VLOOKUP($B172,[2]Sheet2!$D:$J,7,0)</f>
        <v>10,000.000</v>
      </c>
    </row>
    <row r="173" spans="1:19" x14ac:dyDescent="0.25">
      <c r="A173" s="177">
        <v>62</v>
      </c>
      <c r="B173" s="177" t="s">
        <v>38</v>
      </c>
      <c r="C173" s="118" t="s">
        <v>268</v>
      </c>
      <c r="D173" s="118" t="s">
        <v>507</v>
      </c>
      <c r="E173" s="118" t="s">
        <v>262</v>
      </c>
      <c r="F173" s="177">
        <v>1</v>
      </c>
      <c r="G173" s="241" t="s">
        <v>270</v>
      </c>
      <c r="H173" s="118"/>
      <c r="I173" s="74"/>
      <c r="J173" s="53" t="e">
        <f>VLOOKUP($B173,[2]Sheet2!$D:$J,3,0)</f>
        <v>#N/A</v>
      </c>
      <c r="K173" s="53" t="e">
        <f>VLOOKUP($B173,[2]Sheet2!$D:$J,4,0)</f>
        <v>#N/A</v>
      </c>
      <c r="L173" s="53" t="e">
        <f>VLOOKUP($B173,[2]Sheet2!$D:$J,2,0)</f>
        <v>#N/A</v>
      </c>
      <c r="M173" s="120">
        <v>0.31</v>
      </c>
      <c r="N173" s="110">
        <f t="shared" si="20"/>
        <v>0.31</v>
      </c>
      <c r="O173" s="120" t="s">
        <v>271</v>
      </c>
      <c r="P173" s="53" t="e">
        <f>VLOOKUP($B173,[2]Sheet2!$D:$J,5,0)</f>
        <v>#N/A</v>
      </c>
      <c r="Q173" s="53" t="e">
        <f>VLOOKUP($B173,[2]Sheet2!$D:$J,6,0)</f>
        <v>#N/A</v>
      </c>
      <c r="R173" s="53" t="e">
        <f>VLOOKUP($B173,[2]Sheet2!$D:$J,7,0)</f>
        <v>#N/A</v>
      </c>
      <c r="S173" s="110" t="s">
        <v>37</v>
      </c>
    </row>
    <row r="174" spans="1:19" x14ac:dyDescent="0.25">
      <c r="A174" s="177"/>
      <c r="B174" s="177">
        <v>10100030065</v>
      </c>
      <c r="C174" s="118" t="s">
        <v>268</v>
      </c>
      <c r="D174" s="118" t="s">
        <v>508</v>
      </c>
      <c r="E174" s="178" t="s">
        <v>509</v>
      </c>
      <c r="F174" s="177">
        <v>1</v>
      </c>
      <c r="G174" s="241" t="s">
        <v>270</v>
      </c>
      <c r="H174" s="118" t="s">
        <v>291</v>
      </c>
      <c r="I174" s="74"/>
      <c r="J174" s="53">
        <f>VLOOKUP($B174,[2]Sheet2!$D:$J,3,0)</f>
        <v>0.47</v>
      </c>
      <c r="K174" s="53" t="str">
        <f>VLOOKUP($B174,[2]Sheet2!$D:$J,4,0)</f>
        <v>CNY</v>
      </c>
      <c r="L174" s="53" t="str">
        <f>VLOOKUP($B174,[2]Sheet2!$D:$J,2,0)</f>
        <v>成都铁达电子股份有限公司</v>
      </c>
      <c r="M174" s="53">
        <f t="shared" ref="M174:M182" si="21">J174</f>
        <v>0.47</v>
      </c>
      <c r="P174" s="53" t="str">
        <f>VLOOKUP($B174,[2]Sheet2!$D:$J,5,0)</f>
        <v>15</v>
      </c>
      <c r="Q174" s="53" t="str">
        <f>VLOOKUP($B174,[2]Sheet2!$D:$J,6,0)</f>
        <v>1,600.000</v>
      </c>
      <c r="R174" s="53" t="str">
        <f>VLOOKUP($B174,[2]Sheet2!$D:$J,7,0)</f>
        <v>400.000</v>
      </c>
      <c r="S174" s="110"/>
    </row>
    <row r="175" spans="1:19" x14ac:dyDescent="0.25">
      <c r="A175" s="177">
        <v>63</v>
      </c>
      <c r="B175" s="177">
        <v>1021</v>
      </c>
      <c r="C175" s="118" t="s">
        <v>150</v>
      </c>
      <c r="D175" s="118" t="s">
        <v>151</v>
      </c>
      <c r="E175" s="118" t="s">
        <v>152</v>
      </c>
      <c r="F175" s="177">
        <v>2</v>
      </c>
      <c r="G175" s="118" t="s">
        <v>195</v>
      </c>
      <c r="H175" s="118"/>
      <c r="I175" s="74"/>
      <c r="J175" s="53" t="e">
        <f>VLOOKUP($B175,[2]Sheet2!$D:$J,3,0)</f>
        <v>#N/A</v>
      </c>
      <c r="K175" s="53" t="e">
        <f>VLOOKUP($B175,[2]Sheet2!$D:$J,4,0)</f>
        <v>#N/A</v>
      </c>
      <c r="L175" s="53" t="e">
        <f>VLOOKUP($B175,[2]Sheet2!$D:$J,2,0)</f>
        <v>#N/A</v>
      </c>
      <c r="M175" s="53">
        <v>0.08</v>
      </c>
      <c r="N175" s="110">
        <f t="shared" si="20"/>
        <v>0.16</v>
      </c>
      <c r="P175" s="53" t="e">
        <f>VLOOKUP($B175,[2]Sheet2!$D:$J,5,0)</f>
        <v>#N/A</v>
      </c>
      <c r="Q175" s="53" t="e">
        <f>VLOOKUP($B175,[2]Sheet2!$D:$J,6,0)</f>
        <v>#N/A</v>
      </c>
      <c r="R175" s="53" t="e">
        <f>VLOOKUP($B175,[2]Sheet2!$D:$J,7,0)</f>
        <v>#N/A</v>
      </c>
      <c r="S175" s="110" t="s">
        <v>37</v>
      </c>
    </row>
    <row r="176" spans="1:19" x14ac:dyDescent="0.25">
      <c r="A176" s="177">
        <v>64</v>
      </c>
      <c r="B176" s="177">
        <v>1015</v>
      </c>
      <c r="C176" s="118" t="s">
        <v>510</v>
      </c>
      <c r="D176" s="118" t="s">
        <v>511</v>
      </c>
      <c r="E176" s="118" t="s">
        <v>512</v>
      </c>
      <c r="F176" s="177">
        <v>1</v>
      </c>
      <c r="G176" s="118" t="s">
        <v>160</v>
      </c>
      <c r="H176" s="118" t="s">
        <v>118</v>
      </c>
      <c r="I176" s="74"/>
      <c r="J176" s="53" t="e">
        <f>VLOOKUP($B176,[2]Sheet2!$D:$J,3,0)</f>
        <v>#N/A</v>
      </c>
      <c r="K176" s="53" t="e">
        <f>VLOOKUP($B176,[2]Sheet2!$D:$J,4,0)</f>
        <v>#N/A</v>
      </c>
      <c r="L176" s="53" t="e">
        <f>VLOOKUP($B176,[2]Sheet2!$D:$J,2,0)</f>
        <v>#N/A</v>
      </c>
      <c r="M176" s="53">
        <v>0.94</v>
      </c>
      <c r="N176" s="110">
        <f t="shared" si="20"/>
        <v>0.94</v>
      </c>
      <c r="P176" s="53" t="e">
        <f>VLOOKUP($B176,[2]Sheet2!$D:$J,5,0)</f>
        <v>#N/A</v>
      </c>
      <c r="Q176" s="53" t="e">
        <f>VLOOKUP($B176,[2]Sheet2!$D:$J,6,0)</f>
        <v>#N/A</v>
      </c>
      <c r="R176" s="53" t="e">
        <f>VLOOKUP($B176,[2]Sheet2!$D:$J,7,0)</f>
        <v>#N/A</v>
      </c>
      <c r="S176" s="182" t="s">
        <v>37</v>
      </c>
    </row>
    <row r="177" spans="1:19" x14ac:dyDescent="0.25">
      <c r="A177" s="177">
        <v>65</v>
      </c>
      <c r="B177" s="177">
        <v>10140012358</v>
      </c>
      <c r="C177" s="118" t="s">
        <v>513</v>
      </c>
      <c r="D177" s="118" t="s">
        <v>514</v>
      </c>
      <c r="E177" s="118" t="s">
        <v>515</v>
      </c>
      <c r="F177" s="177">
        <v>3</v>
      </c>
      <c r="G177" s="118" t="s">
        <v>516</v>
      </c>
      <c r="H177" s="118"/>
      <c r="I177" s="74"/>
      <c r="J177" s="53">
        <f>VLOOKUP($B177,[2]Sheet2!$D:$J,3,0)</f>
        <v>3.3000000000000002E-2</v>
      </c>
      <c r="K177" s="53" t="str">
        <f>VLOOKUP($B177,[2]Sheet2!$D:$J,4,0)</f>
        <v>CNY</v>
      </c>
      <c r="L177" s="53" t="str">
        <f>VLOOKUP($B177,[2]Sheet2!$D:$J,2,0)</f>
        <v>东莞市意中半导体有限公司</v>
      </c>
      <c r="M177" s="53">
        <f t="shared" si="21"/>
        <v>3.3000000000000002E-2</v>
      </c>
      <c r="N177" s="110">
        <f t="shared" si="20"/>
        <v>9.9000000000000005E-2</v>
      </c>
      <c r="P177" s="53" t="str">
        <f>VLOOKUP($B177,[2]Sheet2!$D:$J,5,0)</f>
        <v>60</v>
      </c>
      <c r="Q177" s="53" t="str">
        <f>VLOOKUP($B177,[2]Sheet2!$D:$J,6,0)</f>
        <v>5,000.000</v>
      </c>
      <c r="R177" s="53" t="str">
        <f>VLOOKUP($B177,[2]Sheet2!$D:$J,7,0)</f>
        <v>5,000.000</v>
      </c>
      <c r="S177" s="182" t="s">
        <v>37</v>
      </c>
    </row>
    <row r="178" spans="1:19" x14ac:dyDescent="0.25">
      <c r="A178" s="177"/>
      <c r="B178" s="177">
        <v>10140003381</v>
      </c>
      <c r="C178" s="118" t="s">
        <v>513</v>
      </c>
      <c r="D178" s="118" t="s">
        <v>517</v>
      </c>
      <c r="E178" s="118" t="s">
        <v>518</v>
      </c>
      <c r="F178" s="177">
        <v>3</v>
      </c>
      <c r="G178" s="118" t="s">
        <v>516</v>
      </c>
      <c r="H178" s="118" t="s">
        <v>291</v>
      </c>
      <c r="I178" s="74"/>
      <c r="J178" s="53">
        <f>VLOOKUP($B178,[2]Sheet2!$D:$J,3,0)</f>
        <v>3.3599999999999998E-2</v>
      </c>
      <c r="K178" s="53" t="str">
        <f>VLOOKUP($B178,[2]Sheet2!$D:$J,4,0)</f>
        <v>CNY</v>
      </c>
      <c r="L178" s="53" t="str">
        <f>VLOOKUP($B178,[2]Sheet2!$D:$J,2,0)</f>
        <v>深圳南丰电子股份有限公司</v>
      </c>
      <c r="M178" s="53">
        <f t="shared" si="21"/>
        <v>3.3599999999999998E-2</v>
      </c>
      <c r="P178" s="53" t="str">
        <f>VLOOKUP($B178,[2]Sheet2!$D:$J,5,0)</f>
        <v>70</v>
      </c>
      <c r="Q178" s="53" t="str">
        <f>VLOOKUP($B178,[2]Sheet2!$D:$J,6,0)</f>
        <v>7,500.000</v>
      </c>
      <c r="R178" s="53" t="str">
        <f>VLOOKUP($B178,[2]Sheet2!$D:$J,7,0)</f>
        <v>7,500.000</v>
      </c>
    </row>
    <row r="179" spans="1:19" x14ac:dyDescent="0.25">
      <c r="A179" s="177"/>
      <c r="B179" s="177">
        <v>10140002743</v>
      </c>
      <c r="C179" s="118" t="s">
        <v>513</v>
      </c>
      <c r="D179" s="118" t="s">
        <v>519</v>
      </c>
      <c r="E179" s="118" t="s">
        <v>520</v>
      </c>
      <c r="F179" s="177">
        <v>3</v>
      </c>
      <c r="G179" s="118" t="s">
        <v>516</v>
      </c>
      <c r="H179" s="118" t="s">
        <v>291</v>
      </c>
      <c r="I179" s="74"/>
      <c r="J179" s="53">
        <f>VLOOKUP($B179,[2]Sheet2!$D:$J,3,0)</f>
        <v>0.04</v>
      </c>
      <c r="K179" s="53" t="str">
        <f>VLOOKUP($B179,[2]Sheet2!$D:$J,4,0)</f>
        <v>CNY</v>
      </c>
      <c r="L179" s="53" t="str">
        <f>VLOOKUP($B179,[2]Sheet2!$D:$J,2,0)</f>
        <v>深圳市驰顺科技有限公司</v>
      </c>
      <c r="M179" s="53">
        <f t="shared" si="21"/>
        <v>0.04</v>
      </c>
      <c r="P179" s="53" t="str">
        <f>VLOOKUP($B179,[2]Sheet2!$D:$J,5,0)</f>
        <v>90</v>
      </c>
      <c r="Q179" s="53" t="str">
        <f>VLOOKUP($B179,[2]Sheet2!$D:$J,6,0)</f>
        <v>7,500.000</v>
      </c>
      <c r="R179" s="53" t="str">
        <f>VLOOKUP($B179,[2]Sheet2!$D:$J,7,0)</f>
        <v>7,500.000</v>
      </c>
      <c r="S179" s="110"/>
    </row>
    <row r="180" spans="1:19" x14ac:dyDescent="0.25">
      <c r="A180" s="177"/>
      <c r="B180" s="177">
        <v>10140000397</v>
      </c>
      <c r="C180" s="118" t="s">
        <v>513</v>
      </c>
      <c r="D180" s="118" t="s">
        <v>521</v>
      </c>
      <c r="E180" s="118" t="s">
        <v>522</v>
      </c>
      <c r="F180" s="177">
        <v>3</v>
      </c>
      <c r="G180" s="118" t="s">
        <v>516</v>
      </c>
      <c r="H180" s="118" t="s">
        <v>291</v>
      </c>
      <c r="I180" s="74"/>
      <c r="J180" s="53">
        <f>VLOOKUP($B180,[2]Sheet2!$D:$J,3,0)</f>
        <v>7.4999999999999997E-2</v>
      </c>
      <c r="K180" s="53" t="str">
        <f>VLOOKUP($B180,[2]Sheet2!$D:$J,4,0)</f>
        <v>CNY</v>
      </c>
      <c r="L180" s="53" t="str">
        <f>VLOOKUP($B180,[2]Sheet2!$D:$J,2,0)</f>
        <v>深圳市合信昌科技有限公司</v>
      </c>
      <c r="M180" s="53">
        <f t="shared" si="21"/>
        <v>7.4999999999999997E-2</v>
      </c>
      <c r="P180" s="53" t="str">
        <f>VLOOKUP($B180,[2]Sheet2!$D:$J,5,0)</f>
        <v>70</v>
      </c>
      <c r="Q180" s="53" t="str">
        <f>VLOOKUP($B180,[2]Sheet2!$D:$J,6,0)</f>
        <v>1,800.000</v>
      </c>
      <c r="R180" s="53" t="str">
        <f>VLOOKUP($B180,[2]Sheet2!$D:$J,7,0)</f>
        <v>1,800.000</v>
      </c>
      <c r="S180" s="110"/>
    </row>
    <row r="181" spans="1:19" x14ac:dyDescent="0.25">
      <c r="A181" s="177">
        <v>66</v>
      </c>
      <c r="B181" s="177">
        <v>10140006310</v>
      </c>
      <c r="C181" s="118" t="s">
        <v>523</v>
      </c>
      <c r="D181" s="118" t="s">
        <v>524</v>
      </c>
      <c r="E181" s="118" t="s">
        <v>525</v>
      </c>
      <c r="F181" s="177">
        <v>1</v>
      </c>
      <c r="G181" s="241" t="s">
        <v>526</v>
      </c>
      <c r="H181" s="118"/>
      <c r="I181" s="74"/>
      <c r="J181" s="53">
        <f>VLOOKUP($B181,[2]Sheet2!$D:$J,3,0)</f>
        <v>4.8000000000000001E-2</v>
      </c>
      <c r="K181" s="53" t="str">
        <f>VLOOKUP($B181,[2]Sheet2!$D:$J,4,0)</f>
        <v>CNY</v>
      </c>
      <c r="L181" s="53" t="str">
        <f>VLOOKUP($B181,[2]Sheet2!$D:$J,2,0)</f>
        <v>深圳翰世宇科技有限公司</v>
      </c>
      <c r="M181" s="53">
        <f t="shared" si="21"/>
        <v>4.8000000000000001E-2</v>
      </c>
      <c r="P181" s="53" t="str">
        <f>VLOOKUP($B181,[2]Sheet2!$D:$J,5,0)</f>
        <v>56</v>
      </c>
      <c r="Q181" s="53" t="str">
        <f>VLOOKUP($B181,[2]Sheet2!$D:$J,6,0)</f>
        <v>3,000.000</v>
      </c>
      <c r="R181" s="53" t="str">
        <f>VLOOKUP($B181,[2]Sheet2!$D:$J,7,0)</f>
        <v>3,000.000</v>
      </c>
    </row>
    <row r="182" spans="1:19" x14ac:dyDescent="0.25">
      <c r="A182" s="177"/>
      <c r="B182" s="177">
        <v>10140002123</v>
      </c>
      <c r="C182" s="118" t="s">
        <v>523</v>
      </c>
      <c r="D182" s="118" t="s">
        <v>527</v>
      </c>
      <c r="E182" s="118" t="s">
        <v>528</v>
      </c>
      <c r="F182" s="177">
        <v>1</v>
      </c>
      <c r="G182" s="241" t="s">
        <v>526</v>
      </c>
      <c r="H182" s="118" t="s">
        <v>291</v>
      </c>
      <c r="I182" s="74"/>
      <c r="J182" s="53">
        <f>VLOOKUP($B182,[2]Sheet2!$D:$J,3,0)</f>
        <v>3.4500000000000003E-2</v>
      </c>
      <c r="K182" s="53" t="str">
        <f>VLOOKUP($B182,[2]Sheet2!$D:$J,4,0)</f>
        <v>CNY</v>
      </c>
      <c r="L182" s="53" t="str">
        <f>VLOOKUP($B182,[2]Sheet2!$D:$J,2,0)</f>
        <v>利尔达科技集团股份有限公司</v>
      </c>
      <c r="M182" s="53">
        <f t="shared" si="21"/>
        <v>3.4500000000000003E-2</v>
      </c>
      <c r="N182" s="110">
        <f t="shared" ref="N182:N185" si="22">M182*F182</f>
        <v>3.4500000000000003E-2</v>
      </c>
      <c r="P182" s="53" t="str">
        <f>VLOOKUP($B182,[2]Sheet2!$D:$J,5,0)</f>
        <v>56</v>
      </c>
      <c r="Q182" s="53" t="str">
        <f>VLOOKUP($B182,[2]Sheet2!$D:$J,6,0)</f>
        <v>3,000.000</v>
      </c>
      <c r="R182" s="53" t="str">
        <f>VLOOKUP($B182,[2]Sheet2!$D:$J,7,0)</f>
        <v>3,000.000</v>
      </c>
      <c r="S182" s="110" t="s">
        <v>37</v>
      </c>
    </row>
    <row r="183" spans="1:19" x14ac:dyDescent="0.25">
      <c r="A183" s="177">
        <v>67</v>
      </c>
      <c r="B183" s="177" t="s">
        <v>38</v>
      </c>
      <c r="C183" s="118" t="s">
        <v>272</v>
      </c>
      <c r="D183" s="118" t="s">
        <v>529</v>
      </c>
      <c r="E183" s="118" t="s">
        <v>274</v>
      </c>
      <c r="F183" s="177">
        <v>1</v>
      </c>
      <c r="G183" s="118" t="s">
        <v>275</v>
      </c>
      <c r="H183" s="118" t="s">
        <v>118</v>
      </c>
      <c r="I183" s="74"/>
      <c r="J183" s="53" t="e">
        <f>VLOOKUP($B183,[2]Sheet2!$D:$J,3,0)</f>
        <v>#N/A</v>
      </c>
      <c r="K183" s="53" t="e">
        <f>VLOOKUP($B183,[2]Sheet2!$D:$J,4,0)</f>
        <v>#N/A</v>
      </c>
      <c r="L183" s="53" t="e">
        <f>VLOOKUP($B183,[2]Sheet2!$D:$J,2,0)</f>
        <v>#N/A</v>
      </c>
      <c r="M183" s="53">
        <v>0.3</v>
      </c>
      <c r="N183" s="110">
        <f t="shared" si="22"/>
        <v>0.3</v>
      </c>
      <c r="P183" s="53" t="e">
        <f>VLOOKUP($B183,[2]Sheet2!$D:$J,5,0)</f>
        <v>#N/A</v>
      </c>
      <c r="Q183" s="53" t="e">
        <f>VLOOKUP($B183,[2]Sheet2!$D:$J,6,0)</f>
        <v>#N/A</v>
      </c>
      <c r="R183" s="53" t="e">
        <f>VLOOKUP($B183,[2]Sheet2!$D:$J,7,0)</f>
        <v>#N/A</v>
      </c>
      <c r="S183" s="110" t="s">
        <v>37</v>
      </c>
    </row>
    <row r="184" spans="1:19" x14ac:dyDescent="0.25">
      <c r="A184" s="177">
        <v>69</v>
      </c>
      <c r="B184" s="179">
        <v>10140014223</v>
      </c>
      <c r="C184" s="118" t="s">
        <v>530</v>
      </c>
      <c r="D184" s="118" t="s">
        <v>531</v>
      </c>
      <c r="E184" s="178" t="s">
        <v>532</v>
      </c>
      <c r="F184" s="177">
        <v>1</v>
      </c>
      <c r="G184" s="241" t="s">
        <v>533</v>
      </c>
      <c r="H184" s="118" t="s">
        <v>291</v>
      </c>
      <c r="I184" s="74"/>
      <c r="J184" s="53">
        <f>VLOOKUP($B184,[2]Sheet2!$D:$J,3,0)</f>
        <v>0.19500000000000001</v>
      </c>
      <c r="K184" s="53" t="str">
        <f>VLOOKUP($B184,[2]Sheet2!$D:$J,4,0)</f>
        <v>CNY</v>
      </c>
      <c r="L184" s="53" t="str">
        <f>VLOOKUP($B184,[2]Sheet2!$D:$J,2,0)</f>
        <v>深圳翰世宇科技有限公司</v>
      </c>
      <c r="M184" s="53">
        <f>J184</f>
        <v>0.19500000000000001</v>
      </c>
      <c r="N184" s="110">
        <f t="shared" si="22"/>
        <v>0.19500000000000001</v>
      </c>
      <c r="P184" s="53" t="str">
        <f>VLOOKUP($B184,[2]Sheet2!$D:$J,5,0)</f>
        <v>56</v>
      </c>
      <c r="Q184" s="53" t="str">
        <f>VLOOKUP($B184,[2]Sheet2!$D:$J,6,0)</f>
        <v>5,000.000</v>
      </c>
      <c r="R184" s="53" t="str">
        <f>VLOOKUP($B184,[2]Sheet2!$D:$J,7,0)</f>
        <v>5,000.000</v>
      </c>
      <c r="S184" s="110" t="s">
        <v>37</v>
      </c>
    </row>
    <row r="185" spans="1:19" x14ac:dyDescent="0.25">
      <c r="A185" s="177">
        <v>70</v>
      </c>
      <c r="B185" s="177">
        <v>1023</v>
      </c>
      <c r="C185" s="118" t="s">
        <v>534</v>
      </c>
      <c r="D185" s="241" t="s">
        <v>535</v>
      </c>
      <c r="E185" s="118" t="s">
        <v>536</v>
      </c>
      <c r="F185" s="177">
        <v>1</v>
      </c>
      <c r="G185" s="241" t="s">
        <v>164</v>
      </c>
      <c r="H185" s="118"/>
      <c r="I185" s="74"/>
      <c r="J185" s="53" t="e">
        <f>VLOOKUP($B185,[2]Sheet2!$D:$J,3,0)</f>
        <v>#N/A</v>
      </c>
      <c r="K185" s="53" t="e">
        <f>VLOOKUP($B185,[2]Sheet2!$D:$J,4,0)</f>
        <v>#N/A</v>
      </c>
      <c r="L185" s="53" t="e">
        <f>VLOOKUP($B185,[2]Sheet2!$D:$J,2,0)</f>
        <v>#N/A</v>
      </c>
      <c r="M185" s="53">
        <f>0.46*1.05</f>
        <v>0.48299999999999998</v>
      </c>
      <c r="N185" s="110">
        <f t="shared" si="22"/>
        <v>0.48299999999999998</v>
      </c>
      <c r="P185" s="53" t="e">
        <f>VLOOKUP($B185,[2]Sheet2!$D:$J,5,0)</f>
        <v>#N/A</v>
      </c>
      <c r="Q185" s="53" t="e">
        <f>VLOOKUP($B185,[2]Sheet2!$D:$J,6,0)</f>
        <v>#N/A</v>
      </c>
      <c r="R185" s="53" t="e">
        <f>VLOOKUP($B185,[2]Sheet2!$D:$J,7,0)</f>
        <v>#N/A</v>
      </c>
      <c r="S185" s="110" t="s">
        <v>37</v>
      </c>
    </row>
    <row r="186" spans="1:19" x14ac:dyDescent="0.25">
      <c r="N186" s="53">
        <f>SUM(N1:N185)</f>
        <v>26.888520000000007</v>
      </c>
      <c r="O186" s="120"/>
    </row>
  </sheetData>
  <phoneticPr fontId="5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48576"/>
  <sheetViews>
    <sheetView workbookViewId="0">
      <selection activeCell="P36" sqref="P36"/>
    </sheetView>
  </sheetViews>
  <sheetFormatPr defaultColWidth="9" defaultRowHeight="10.8" x14ac:dyDescent="0.25"/>
  <cols>
    <col min="1" max="3" width="9" style="154"/>
    <col min="4" max="6" width="9" style="152"/>
    <col min="7" max="7" width="9" style="154"/>
    <col min="8" max="8" width="9" style="155"/>
    <col min="9" max="16384" width="9" style="152"/>
  </cols>
  <sheetData>
    <row r="1" spans="1:20" ht="21.6" x14ac:dyDescent="0.25">
      <c r="A1" s="156" t="s">
        <v>20</v>
      </c>
      <c r="B1" s="156"/>
      <c r="C1" s="156" t="s">
        <v>21</v>
      </c>
      <c r="D1" s="157" t="s">
        <v>22</v>
      </c>
      <c r="E1" s="158" t="s">
        <v>23</v>
      </c>
      <c r="F1" s="157" t="s">
        <v>24</v>
      </c>
      <c r="G1" s="156" t="s">
        <v>25</v>
      </c>
      <c r="H1" s="159" t="s">
        <v>26</v>
      </c>
      <c r="I1" s="157" t="s">
        <v>27</v>
      </c>
      <c r="J1" s="157" t="s">
        <v>28</v>
      </c>
      <c r="K1" s="152" t="s">
        <v>29</v>
      </c>
      <c r="L1" s="152" t="s">
        <v>30</v>
      </c>
      <c r="M1" s="152" t="s">
        <v>31</v>
      </c>
      <c r="N1" s="152" t="s">
        <v>32</v>
      </c>
      <c r="O1" s="152" t="s">
        <v>33</v>
      </c>
      <c r="P1" s="152" t="s">
        <v>27</v>
      </c>
      <c r="Q1" s="152" t="s">
        <v>34</v>
      </c>
      <c r="R1" s="152" t="s">
        <v>35</v>
      </c>
      <c r="S1" s="152" t="s">
        <v>36</v>
      </c>
      <c r="T1" s="152" t="s">
        <v>37</v>
      </c>
    </row>
    <row r="2" spans="1:20" x14ac:dyDescent="0.25">
      <c r="A2" s="160">
        <v>1</v>
      </c>
      <c r="B2" s="160">
        <v>1</v>
      </c>
      <c r="C2" s="160" t="s">
        <v>38</v>
      </c>
      <c r="D2" s="161" t="s">
        <v>39</v>
      </c>
      <c r="E2" s="161" t="s">
        <v>197</v>
      </c>
      <c r="F2" s="161" t="s">
        <v>41</v>
      </c>
      <c r="G2" s="160">
        <v>1</v>
      </c>
      <c r="H2" s="162" t="s">
        <v>39</v>
      </c>
      <c r="I2" s="161" t="s">
        <v>42</v>
      </c>
      <c r="J2" s="167" t="s">
        <v>43</v>
      </c>
      <c r="K2" s="152" t="e">
        <v>#N/A</v>
      </c>
      <c r="L2" s="152" t="e">
        <v>#N/A</v>
      </c>
      <c r="M2" s="152" t="e">
        <v>#N/A</v>
      </c>
      <c r="N2" s="152">
        <v>3.1809599999999998</v>
      </c>
      <c r="O2" s="152">
        <v>3.1809599999999998</v>
      </c>
      <c r="Q2" s="152" t="e">
        <v>#N/A</v>
      </c>
      <c r="R2" s="152" t="e">
        <v>#N/A</v>
      </c>
      <c r="S2" s="152" t="e">
        <v>#N/A</v>
      </c>
    </row>
    <row r="3" spans="1:20" x14ac:dyDescent="0.25">
      <c r="A3" s="160">
        <v>2</v>
      </c>
      <c r="B3" s="160">
        <v>2</v>
      </c>
      <c r="C3" s="160">
        <v>1015</v>
      </c>
      <c r="D3" s="161" t="s">
        <v>198</v>
      </c>
      <c r="E3" s="161" t="s">
        <v>199</v>
      </c>
      <c r="F3" s="161" t="s">
        <v>200</v>
      </c>
      <c r="G3" s="160">
        <v>1</v>
      </c>
      <c r="H3" s="162" t="s">
        <v>201</v>
      </c>
      <c r="I3" s="161" t="s">
        <v>118</v>
      </c>
      <c r="J3" s="161"/>
      <c r="K3" s="152" t="e">
        <v>#N/A</v>
      </c>
      <c r="L3" s="152" t="e">
        <v>#N/A</v>
      </c>
      <c r="M3" s="152" t="e">
        <v>#N/A</v>
      </c>
      <c r="N3" s="152">
        <v>5.89</v>
      </c>
      <c r="O3" s="152">
        <v>5.89</v>
      </c>
      <c r="Q3" s="152" t="e">
        <v>#N/A</v>
      </c>
      <c r="R3" s="152" t="e">
        <v>#N/A</v>
      </c>
      <c r="S3" s="152" t="e">
        <v>#N/A</v>
      </c>
    </row>
    <row r="4" spans="1:20" x14ac:dyDescent="0.25">
      <c r="A4" s="160">
        <v>3</v>
      </c>
      <c r="B4" s="160">
        <v>3</v>
      </c>
      <c r="C4" s="160">
        <v>1015</v>
      </c>
      <c r="D4" s="161" t="s">
        <v>293</v>
      </c>
      <c r="E4" s="161" t="s">
        <v>294</v>
      </c>
      <c r="F4" s="161" t="s">
        <v>295</v>
      </c>
      <c r="G4" s="160">
        <v>1</v>
      </c>
      <c r="H4" s="162" t="s">
        <v>537</v>
      </c>
      <c r="I4" s="161" t="s">
        <v>118</v>
      </c>
      <c r="J4" s="161"/>
      <c r="K4" s="152" t="e">
        <v>#N/A</v>
      </c>
      <c r="L4" s="152" t="e">
        <v>#N/A</v>
      </c>
      <c r="M4" s="152" t="e">
        <v>#N/A</v>
      </c>
      <c r="N4" s="152">
        <v>0.14000000000000001</v>
      </c>
      <c r="O4" s="152">
        <v>0.14000000000000001</v>
      </c>
      <c r="Q4" s="152" t="e">
        <v>#N/A</v>
      </c>
      <c r="R4" s="152" t="e">
        <v>#N/A</v>
      </c>
      <c r="S4" s="152" t="e">
        <v>#N/A</v>
      </c>
    </row>
    <row r="5" spans="1:20" x14ac:dyDescent="0.25">
      <c r="A5" s="160">
        <v>5</v>
      </c>
      <c r="B5" s="160">
        <v>5</v>
      </c>
      <c r="C5" s="160" t="s">
        <v>38</v>
      </c>
      <c r="D5" s="161" t="s">
        <v>202</v>
      </c>
      <c r="E5" s="161" t="s">
        <v>203</v>
      </c>
      <c r="F5" s="161" t="s">
        <v>204</v>
      </c>
      <c r="G5" s="160">
        <v>4</v>
      </c>
      <c r="H5" s="162" t="s">
        <v>205</v>
      </c>
      <c r="I5" s="161" t="s">
        <v>42</v>
      </c>
      <c r="J5" s="161"/>
      <c r="K5" s="152" t="e">
        <v>#N/A</v>
      </c>
      <c r="L5" s="152" t="e">
        <v>#N/A</v>
      </c>
      <c r="M5" s="152" t="e">
        <v>#N/A</v>
      </c>
      <c r="N5" s="168">
        <v>0.188</v>
      </c>
      <c r="O5" s="152">
        <v>0.752</v>
      </c>
      <c r="P5" s="168" t="s">
        <v>206</v>
      </c>
      <c r="Q5" s="152" t="e">
        <v>#N/A</v>
      </c>
      <c r="R5" s="152" t="e">
        <v>#N/A</v>
      </c>
      <c r="S5" s="152" t="e">
        <v>#N/A</v>
      </c>
    </row>
    <row r="6" spans="1:20" x14ac:dyDescent="0.25">
      <c r="A6" s="160">
        <v>7</v>
      </c>
      <c r="B6" s="160">
        <v>7</v>
      </c>
      <c r="C6" s="160" t="s">
        <v>38</v>
      </c>
      <c r="D6" s="161" t="s">
        <v>207</v>
      </c>
      <c r="E6" s="244" t="s">
        <v>208</v>
      </c>
      <c r="F6" s="161" t="s">
        <v>209</v>
      </c>
      <c r="G6" s="160">
        <v>3</v>
      </c>
      <c r="H6" s="245" t="s">
        <v>210</v>
      </c>
      <c r="I6" s="161" t="s">
        <v>42</v>
      </c>
      <c r="J6" s="161"/>
      <c r="K6" s="152" t="e">
        <v>#N/A</v>
      </c>
      <c r="L6" s="152" t="e">
        <v>#N/A</v>
      </c>
      <c r="M6" s="152" t="e">
        <v>#N/A</v>
      </c>
      <c r="N6" s="152">
        <v>0.73450000000000004</v>
      </c>
      <c r="O6" s="152">
        <v>2.2035</v>
      </c>
      <c r="P6" s="152" t="s">
        <v>538</v>
      </c>
      <c r="Q6" s="152" t="e">
        <v>#N/A</v>
      </c>
      <c r="R6" s="152" t="e">
        <v>#N/A</v>
      </c>
      <c r="S6" s="152" t="e">
        <v>#N/A</v>
      </c>
    </row>
    <row r="7" spans="1:20" x14ac:dyDescent="0.25">
      <c r="A7" s="160">
        <v>9</v>
      </c>
      <c r="B7" s="160">
        <v>9</v>
      </c>
      <c r="C7" s="160" t="s">
        <v>38</v>
      </c>
      <c r="D7" s="244" t="s">
        <v>212</v>
      </c>
      <c r="E7" s="244" t="s">
        <v>213</v>
      </c>
      <c r="F7" s="163" t="s">
        <v>214</v>
      </c>
      <c r="G7" s="160">
        <v>1</v>
      </c>
      <c r="H7" s="162" t="s">
        <v>215</v>
      </c>
      <c r="I7" s="161" t="s">
        <v>42</v>
      </c>
      <c r="J7" s="161"/>
      <c r="K7" s="152" t="e">
        <v>#N/A</v>
      </c>
      <c r="L7" s="152" t="e">
        <v>#N/A</v>
      </c>
      <c r="M7" s="152" t="e">
        <v>#N/A</v>
      </c>
      <c r="N7" s="152">
        <v>1.5820000000000001</v>
      </c>
      <c r="O7" s="152">
        <v>1.5820000000000001</v>
      </c>
      <c r="Q7" s="152" t="e">
        <v>#N/A</v>
      </c>
      <c r="R7" s="152" t="e">
        <v>#N/A</v>
      </c>
      <c r="S7" s="152" t="e">
        <v>#N/A</v>
      </c>
    </row>
    <row r="8" spans="1:20" x14ac:dyDescent="0.25">
      <c r="A8" s="160">
        <v>11</v>
      </c>
      <c r="B8" s="160">
        <v>11</v>
      </c>
      <c r="C8" s="160" t="s">
        <v>38</v>
      </c>
      <c r="D8" s="244" t="s">
        <v>216</v>
      </c>
      <c r="E8" s="244" t="s">
        <v>217</v>
      </c>
      <c r="F8" s="163" t="s">
        <v>214</v>
      </c>
      <c r="G8" s="160">
        <v>2</v>
      </c>
      <c r="H8" s="162" t="s">
        <v>218</v>
      </c>
      <c r="I8" s="161" t="s">
        <v>42</v>
      </c>
      <c r="J8" s="161"/>
      <c r="K8" s="152" t="e">
        <v>#N/A</v>
      </c>
      <c r="L8" s="152" t="e">
        <v>#N/A</v>
      </c>
      <c r="M8" s="152" t="e">
        <v>#N/A</v>
      </c>
      <c r="N8" s="152">
        <v>0.17515</v>
      </c>
      <c r="O8" s="152">
        <v>0.3503</v>
      </c>
      <c r="Q8" s="152" t="e">
        <v>#N/A</v>
      </c>
      <c r="R8" s="152" t="e">
        <v>#N/A</v>
      </c>
      <c r="S8" s="152" t="e">
        <v>#N/A</v>
      </c>
    </row>
    <row r="9" spans="1:20" x14ac:dyDescent="0.25">
      <c r="A9" s="160">
        <v>12</v>
      </c>
      <c r="B9" s="160">
        <v>12</v>
      </c>
      <c r="C9" s="160" t="s">
        <v>38</v>
      </c>
      <c r="D9" s="244" t="s">
        <v>216</v>
      </c>
      <c r="E9" s="161" t="s">
        <v>539</v>
      </c>
      <c r="F9" s="163" t="s">
        <v>214</v>
      </c>
      <c r="G9" s="160">
        <v>1</v>
      </c>
      <c r="H9" s="245" t="s">
        <v>220</v>
      </c>
      <c r="I9" s="161" t="s">
        <v>42</v>
      </c>
      <c r="J9" s="161"/>
      <c r="K9" s="152" t="e">
        <v>#N/A</v>
      </c>
      <c r="L9" s="152" t="e">
        <v>#N/A</v>
      </c>
      <c r="M9" s="152" t="e">
        <v>#N/A</v>
      </c>
      <c r="N9" s="152">
        <v>0.49154999999999999</v>
      </c>
      <c r="O9" s="152">
        <v>0.49154999999999999</v>
      </c>
      <c r="Q9" s="152" t="e">
        <v>#N/A</v>
      </c>
      <c r="R9" s="152" t="e">
        <v>#N/A</v>
      </c>
      <c r="S9" s="152" t="e">
        <v>#N/A</v>
      </c>
    </row>
    <row r="10" spans="1:20" x14ac:dyDescent="0.25">
      <c r="A10" s="160">
        <v>20</v>
      </c>
      <c r="B10" s="160">
        <v>20</v>
      </c>
      <c r="C10" s="160" t="s">
        <v>38</v>
      </c>
      <c r="D10" s="161" t="s">
        <v>202</v>
      </c>
      <c r="E10" s="161" t="s">
        <v>361</v>
      </c>
      <c r="F10" s="161" t="s">
        <v>362</v>
      </c>
      <c r="G10" s="160">
        <v>1</v>
      </c>
      <c r="H10" s="162" t="s">
        <v>540</v>
      </c>
      <c r="I10" s="161" t="s">
        <v>42</v>
      </c>
      <c r="J10" s="161"/>
      <c r="K10" s="152" t="e">
        <v>#N/A</v>
      </c>
      <c r="L10" s="152" t="e">
        <v>#N/A</v>
      </c>
      <c r="M10" s="152" t="e">
        <v>#N/A</v>
      </c>
      <c r="N10" s="169">
        <v>9.6100000000000005E-3</v>
      </c>
      <c r="O10" s="169">
        <v>9.6100000000000005E-3</v>
      </c>
      <c r="P10" s="169"/>
      <c r="Q10" s="152" t="e">
        <v>#N/A</v>
      </c>
      <c r="R10" s="152" t="e">
        <v>#N/A</v>
      </c>
      <c r="S10" s="152" t="e">
        <v>#N/A</v>
      </c>
    </row>
    <row r="11" spans="1:20" x14ac:dyDescent="0.25">
      <c r="A11" s="160">
        <v>22</v>
      </c>
      <c r="B11" s="160">
        <v>21</v>
      </c>
      <c r="C11" s="160">
        <v>1015</v>
      </c>
      <c r="D11" s="161" t="s">
        <v>293</v>
      </c>
      <c r="E11" s="161" t="s">
        <v>541</v>
      </c>
      <c r="F11" s="161" t="s">
        <v>295</v>
      </c>
      <c r="G11" s="160">
        <v>1</v>
      </c>
      <c r="H11" s="245" t="s">
        <v>542</v>
      </c>
      <c r="I11" s="161"/>
      <c r="J11" s="161"/>
      <c r="K11" s="152" t="e">
        <v>#N/A</v>
      </c>
      <c r="L11" s="152" t="e">
        <v>#N/A</v>
      </c>
      <c r="M11" s="152" t="e">
        <v>#N/A</v>
      </c>
      <c r="N11" s="152">
        <v>0.92</v>
      </c>
      <c r="O11" s="152">
        <v>0.92</v>
      </c>
      <c r="Q11" s="152" t="e">
        <v>#N/A</v>
      </c>
      <c r="R11" s="152" t="e">
        <v>#N/A</v>
      </c>
      <c r="S11" s="152" t="e">
        <v>#N/A</v>
      </c>
    </row>
    <row r="12" spans="1:20" x14ac:dyDescent="0.25">
      <c r="A12" s="160"/>
      <c r="B12" s="160">
        <v>22</v>
      </c>
      <c r="C12" s="160" t="s">
        <v>38</v>
      </c>
      <c r="D12" s="161" t="s">
        <v>221</v>
      </c>
      <c r="E12" s="161" t="s">
        <v>222</v>
      </c>
      <c r="F12" s="161" t="s">
        <v>223</v>
      </c>
      <c r="G12" s="160">
        <v>1</v>
      </c>
      <c r="H12" s="245" t="s">
        <v>224</v>
      </c>
      <c r="I12" s="161"/>
      <c r="J12" s="161"/>
      <c r="K12" s="152" t="e">
        <v>#N/A</v>
      </c>
      <c r="L12" s="152" t="e">
        <v>#N/A</v>
      </c>
      <c r="M12" s="152" t="e">
        <v>#N/A</v>
      </c>
      <c r="N12" s="152">
        <v>0.1009</v>
      </c>
      <c r="O12" s="152" t="s">
        <v>225</v>
      </c>
      <c r="Q12" s="152" t="e">
        <v>#N/A</v>
      </c>
      <c r="R12" s="152" t="e">
        <v>#N/A</v>
      </c>
      <c r="S12" s="152" t="e">
        <v>#N/A</v>
      </c>
    </row>
    <row r="13" spans="1:20" x14ac:dyDescent="0.25">
      <c r="A13" s="160">
        <v>24</v>
      </c>
      <c r="B13" s="160">
        <v>23</v>
      </c>
      <c r="C13" s="160">
        <v>1020</v>
      </c>
      <c r="D13" s="161" t="s">
        <v>226</v>
      </c>
      <c r="E13" s="161" t="s">
        <v>543</v>
      </c>
      <c r="F13" s="161" t="s">
        <v>228</v>
      </c>
      <c r="G13" s="160">
        <v>1</v>
      </c>
      <c r="H13" s="245" t="s">
        <v>229</v>
      </c>
      <c r="I13" s="161" t="s">
        <v>118</v>
      </c>
      <c r="J13" s="161"/>
      <c r="K13" s="152" t="e">
        <v>#N/A</v>
      </c>
      <c r="L13" s="152" t="e">
        <v>#N/A</v>
      </c>
      <c r="M13" s="152" t="e">
        <v>#N/A</v>
      </c>
      <c r="N13" s="152">
        <v>1.62</v>
      </c>
      <c r="O13" s="152">
        <v>1.62</v>
      </c>
      <c r="Q13" s="152" t="e">
        <v>#N/A</v>
      </c>
      <c r="R13" s="152" t="e">
        <v>#N/A</v>
      </c>
      <c r="S13" s="152" t="e">
        <v>#N/A</v>
      </c>
    </row>
    <row r="14" spans="1:20" x14ac:dyDescent="0.25">
      <c r="A14" s="160">
        <v>25</v>
      </c>
      <c r="B14" s="160">
        <v>24</v>
      </c>
      <c r="C14" s="160" t="s">
        <v>38</v>
      </c>
      <c r="D14" s="161" t="s">
        <v>230</v>
      </c>
      <c r="E14" s="161" t="s">
        <v>231</v>
      </c>
      <c r="F14" s="161" t="s">
        <v>232</v>
      </c>
      <c r="G14" s="160">
        <v>1</v>
      </c>
      <c r="H14" s="162" t="s">
        <v>233</v>
      </c>
      <c r="I14" s="161" t="s">
        <v>118</v>
      </c>
      <c r="J14" s="161"/>
      <c r="K14" s="152" t="e">
        <v>#N/A</v>
      </c>
      <c r="L14" s="152" t="e">
        <v>#N/A</v>
      </c>
      <c r="M14" s="152" t="e">
        <v>#N/A</v>
      </c>
      <c r="N14" s="152">
        <v>0.5</v>
      </c>
      <c r="O14" s="152">
        <v>0.5</v>
      </c>
      <c r="P14" s="152" t="s">
        <v>234</v>
      </c>
      <c r="Q14" s="152" t="e">
        <v>#N/A</v>
      </c>
      <c r="R14" s="152" t="e">
        <v>#N/A</v>
      </c>
      <c r="S14" s="152" t="e">
        <v>#N/A</v>
      </c>
    </row>
    <row r="15" spans="1:20" x14ac:dyDescent="0.25">
      <c r="A15" s="160">
        <v>26</v>
      </c>
      <c r="B15" s="160">
        <v>25</v>
      </c>
      <c r="C15" s="160" t="s">
        <v>38</v>
      </c>
      <c r="D15" s="161" t="s">
        <v>235</v>
      </c>
      <c r="E15" s="161" t="s">
        <v>236</v>
      </c>
      <c r="F15" s="161" t="s">
        <v>232</v>
      </c>
      <c r="G15" s="160">
        <v>1</v>
      </c>
      <c r="H15" s="162" t="s">
        <v>237</v>
      </c>
      <c r="I15" s="161" t="s">
        <v>118</v>
      </c>
      <c r="J15" s="161"/>
      <c r="K15" s="152" t="e">
        <v>#N/A</v>
      </c>
      <c r="L15" s="152" t="e">
        <v>#N/A</v>
      </c>
      <c r="M15" s="152" t="e">
        <v>#N/A</v>
      </c>
      <c r="N15" s="152">
        <v>1.0289999999999999</v>
      </c>
      <c r="O15" s="152">
        <v>1.0289999999999999</v>
      </c>
      <c r="P15" s="152" t="s">
        <v>238</v>
      </c>
      <c r="Q15" s="152" t="e">
        <v>#N/A</v>
      </c>
      <c r="R15" s="152" t="e">
        <v>#N/A</v>
      </c>
      <c r="S15" s="152" t="e">
        <v>#N/A</v>
      </c>
    </row>
    <row r="16" spans="1:20" s="153" customFormat="1" x14ac:dyDescent="0.25">
      <c r="A16" s="164"/>
      <c r="B16" s="160">
        <v>26</v>
      </c>
      <c r="C16" s="164" t="s">
        <v>38</v>
      </c>
      <c r="D16" s="163" t="s">
        <v>89</v>
      </c>
      <c r="E16" s="163" t="s">
        <v>390</v>
      </c>
      <c r="F16" s="163" t="s">
        <v>105</v>
      </c>
      <c r="G16" s="164">
        <v>14</v>
      </c>
      <c r="H16" s="165" t="s">
        <v>389</v>
      </c>
      <c r="I16" s="163"/>
      <c r="J16" s="161"/>
      <c r="K16" s="152" t="e">
        <v>#N/A</v>
      </c>
      <c r="L16" s="152" t="e">
        <v>#N/A</v>
      </c>
      <c r="M16" s="152" t="e">
        <v>#N/A</v>
      </c>
      <c r="N16" s="152">
        <v>4.8000000000000001E-2</v>
      </c>
      <c r="O16" s="152"/>
      <c r="P16" s="152"/>
      <c r="Q16" s="152" t="e">
        <v>#N/A</v>
      </c>
      <c r="R16" s="152" t="e">
        <v>#N/A</v>
      </c>
      <c r="S16" s="152" t="e">
        <v>#N/A</v>
      </c>
      <c r="T16" s="152"/>
    </row>
    <row r="17" spans="1:20" s="153" customFormat="1" ht="13.2" x14ac:dyDescent="0.25">
      <c r="A17" s="164"/>
      <c r="B17" s="160">
        <v>27</v>
      </c>
      <c r="C17" s="160" t="s">
        <v>38</v>
      </c>
      <c r="D17" s="244" t="s">
        <v>103</v>
      </c>
      <c r="E17" s="244" t="s">
        <v>104</v>
      </c>
      <c r="F17" s="161" t="s">
        <v>105</v>
      </c>
      <c r="G17" s="160">
        <v>3</v>
      </c>
      <c r="H17" s="162" t="s">
        <v>108</v>
      </c>
      <c r="I17" s="161"/>
      <c r="J17" s="170"/>
      <c r="K17" s="152" t="e">
        <v>#N/A</v>
      </c>
      <c r="L17" s="152" t="e">
        <v>#N/A</v>
      </c>
      <c r="M17" s="152" t="e">
        <v>#N/A</v>
      </c>
      <c r="N17" s="152">
        <v>3.5000000000000003E-2</v>
      </c>
      <c r="O17" s="152"/>
      <c r="P17" s="171"/>
      <c r="Q17" s="152" t="e">
        <v>#N/A</v>
      </c>
      <c r="R17" s="152" t="e">
        <v>#N/A</v>
      </c>
      <c r="S17" s="152" t="e">
        <v>#N/A</v>
      </c>
      <c r="T17" s="152"/>
    </row>
    <row r="18" spans="1:20" s="153" customFormat="1" x14ac:dyDescent="0.25">
      <c r="A18" s="164"/>
      <c r="B18" s="160">
        <v>27</v>
      </c>
      <c r="C18" s="160" t="s">
        <v>544</v>
      </c>
      <c r="D18" s="161" t="s">
        <v>97</v>
      </c>
      <c r="E18" s="161" t="s">
        <v>240</v>
      </c>
      <c r="F18" s="161" t="s">
        <v>105</v>
      </c>
      <c r="G18" s="160">
        <v>3</v>
      </c>
      <c r="H18" s="162" t="s">
        <v>108</v>
      </c>
      <c r="I18" s="163"/>
      <c r="J18" s="163"/>
      <c r="K18" s="152" t="e">
        <v>#N/A</v>
      </c>
      <c r="L18" s="152" t="e">
        <v>#N/A</v>
      </c>
      <c r="M18" s="152" t="e">
        <v>#N/A</v>
      </c>
      <c r="N18" s="152">
        <v>4.4999999999999998E-2</v>
      </c>
      <c r="O18" s="152" t="s">
        <v>225</v>
      </c>
      <c r="P18" s="152"/>
      <c r="Q18" s="152" t="e">
        <v>#N/A</v>
      </c>
      <c r="R18" s="152" t="e">
        <v>#N/A</v>
      </c>
      <c r="S18" s="152" t="e">
        <v>#N/A</v>
      </c>
      <c r="T18" s="152"/>
    </row>
    <row r="19" spans="1:20" s="153" customFormat="1" x14ac:dyDescent="0.25">
      <c r="A19" s="164">
        <v>30</v>
      </c>
      <c r="B19" s="160">
        <v>28</v>
      </c>
      <c r="C19" s="160">
        <v>1015</v>
      </c>
      <c r="D19" s="161" t="s">
        <v>242</v>
      </c>
      <c r="E19" s="161" t="s">
        <v>243</v>
      </c>
      <c r="F19" s="161" t="s">
        <v>244</v>
      </c>
      <c r="G19" s="160">
        <v>1</v>
      </c>
      <c r="H19" s="245" t="s">
        <v>183</v>
      </c>
      <c r="I19" s="161" t="s">
        <v>118</v>
      </c>
      <c r="J19" s="163"/>
      <c r="K19" s="152" t="e">
        <v>#N/A</v>
      </c>
      <c r="L19" s="152" t="e">
        <v>#N/A</v>
      </c>
      <c r="M19" s="152" t="e">
        <v>#N/A</v>
      </c>
      <c r="N19" s="152">
        <v>0.73</v>
      </c>
      <c r="O19" s="152">
        <v>0.73</v>
      </c>
      <c r="P19" s="152"/>
      <c r="Q19" s="152" t="e">
        <v>#N/A</v>
      </c>
      <c r="R19" s="152" t="e">
        <v>#N/A</v>
      </c>
      <c r="S19" s="152" t="e">
        <v>#N/A</v>
      </c>
      <c r="T19" s="152"/>
    </row>
    <row r="20" spans="1:20" x14ac:dyDescent="0.25">
      <c r="A20" s="164">
        <v>32</v>
      </c>
      <c r="B20" s="160">
        <v>30</v>
      </c>
      <c r="C20" s="160">
        <v>1015</v>
      </c>
      <c r="D20" s="161" t="s">
        <v>245</v>
      </c>
      <c r="E20" s="244" t="s">
        <v>246</v>
      </c>
      <c r="F20" s="161" t="s">
        <v>247</v>
      </c>
      <c r="G20" s="160">
        <v>1</v>
      </c>
      <c r="H20" s="245" t="s">
        <v>248</v>
      </c>
      <c r="I20" s="161" t="s">
        <v>118</v>
      </c>
      <c r="J20" s="161"/>
      <c r="K20" s="152" t="e">
        <v>#N/A</v>
      </c>
      <c r="L20" s="152" t="e">
        <v>#N/A</v>
      </c>
      <c r="M20" s="152" t="e">
        <v>#N/A</v>
      </c>
      <c r="N20" s="152">
        <v>0.35</v>
      </c>
      <c r="O20" s="152">
        <v>0.35</v>
      </c>
      <c r="Q20" s="152" t="e">
        <v>#N/A</v>
      </c>
      <c r="R20" s="152" t="e">
        <v>#N/A</v>
      </c>
      <c r="S20" s="152" t="e">
        <v>#N/A</v>
      </c>
    </row>
    <row r="21" spans="1:20" x14ac:dyDescent="0.25">
      <c r="A21" s="164">
        <v>33</v>
      </c>
      <c r="B21" s="160">
        <v>31</v>
      </c>
      <c r="C21" s="160">
        <v>1015</v>
      </c>
      <c r="D21" s="161" t="s">
        <v>249</v>
      </c>
      <c r="E21" s="161" t="s">
        <v>250</v>
      </c>
      <c r="F21" s="161" t="s">
        <v>247</v>
      </c>
      <c r="G21" s="160">
        <v>1</v>
      </c>
      <c r="H21" s="245" t="s">
        <v>251</v>
      </c>
      <c r="I21" s="161" t="s">
        <v>118</v>
      </c>
      <c r="J21" s="161"/>
      <c r="K21" s="152" t="e">
        <v>#N/A</v>
      </c>
      <c r="L21" s="152" t="e">
        <v>#N/A</v>
      </c>
      <c r="M21" s="152" t="e">
        <v>#N/A</v>
      </c>
      <c r="N21" s="152">
        <v>0.33</v>
      </c>
      <c r="O21" s="152">
        <v>0.33</v>
      </c>
      <c r="Q21" s="152" t="e">
        <v>#N/A</v>
      </c>
      <c r="R21" s="152" t="e">
        <v>#N/A</v>
      </c>
      <c r="S21" s="152" t="e">
        <v>#N/A</v>
      </c>
    </row>
    <row r="22" spans="1:20" x14ac:dyDescent="0.25">
      <c r="A22" s="164">
        <v>34</v>
      </c>
      <c r="B22" s="160">
        <v>32</v>
      </c>
      <c r="C22" s="160">
        <v>1015</v>
      </c>
      <c r="D22" s="161" t="s">
        <v>252</v>
      </c>
      <c r="E22" s="161" t="s">
        <v>253</v>
      </c>
      <c r="F22" s="161" t="s">
        <v>545</v>
      </c>
      <c r="G22" s="160">
        <v>1</v>
      </c>
      <c r="H22" s="245" t="s">
        <v>255</v>
      </c>
      <c r="I22" s="161" t="s">
        <v>42</v>
      </c>
      <c r="J22" s="161"/>
      <c r="K22" s="152" t="e">
        <v>#N/A</v>
      </c>
      <c r="L22" s="152" t="e">
        <v>#N/A</v>
      </c>
      <c r="M22" s="152" t="e">
        <v>#N/A</v>
      </c>
      <c r="N22" s="152">
        <v>0.22</v>
      </c>
      <c r="O22" s="152">
        <v>0.22</v>
      </c>
      <c r="Q22" s="152" t="e">
        <v>#N/A</v>
      </c>
      <c r="R22" s="152" t="e">
        <v>#N/A</v>
      </c>
      <c r="S22" s="152" t="e">
        <v>#N/A</v>
      </c>
    </row>
    <row r="23" spans="1:20" x14ac:dyDescent="0.25">
      <c r="A23" s="164">
        <v>35</v>
      </c>
      <c r="B23" s="160">
        <v>33</v>
      </c>
      <c r="C23" s="160">
        <v>1015</v>
      </c>
      <c r="D23" s="161" t="s">
        <v>114</v>
      </c>
      <c r="E23" s="161" t="s">
        <v>115</v>
      </c>
      <c r="F23" s="161" t="s">
        <v>116</v>
      </c>
      <c r="G23" s="160">
        <v>1</v>
      </c>
      <c r="H23" s="162" t="s">
        <v>117</v>
      </c>
      <c r="I23" s="161" t="s">
        <v>118</v>
      </c>
      <c r="J23" s="161"/>
      <c r="K23" s="152" t="e">
        <v>#N/A</v>
      </c>
      <c r="L23" s="152" t="e">
        <v>#N/A</v>
      </c>
      <c r="M23" s="152" t="e">
        <v>#N/A</v>
      </c>
      <c r="N23" s="152">
        <v>0.2</v>
      </c>
      <c r="O23" s="152">
        <v>0.2</v>
      </c>
      <c r="Q23" s="152" t="e">
        <v>#N/A</v>
      </c>
      <c r="R23" s="152" t="e">
        <v>#N/A</v>
      </c>
      <c r="S23" s="152" t="e">
        <v>#N/A</v>
      </c>
    </row>
    <row r="24" spans="1:20" x14ac:dyDescent="0.25">
      <c r="A24" s="164">
        <v>36</v>
      </c>
      <c r="B24" s="160">
        <v>34</v>
      </c>
      <c r="C24" s="166">
        <v>10150010419</v>
      </c>
      <c r="D24" s="161" t="s">
        <v>256</v>
      </c>
      <c r="E24" s="161" t="s">
        <v>257</v>
      </c>
      <c r="F24" s="161" t="s">
        <v>258</v>
      </c>
      <c r="G24" s="160">
        <v>1</v>
      </c>
      <c r="H24" s="245" t="s">
        <v>259</v>
      </c>
      <c r="I24" s="161" t="s">
        <v>118</v>
      </c>
      <c r="J24" s="161"/>
      <c r="K24" s="152" t="e">
        <v>#N/A</v>
      </c>
      <c r="L24" s="152" t="e">
        <v>#N/A</v>
      </c>
      <c r="M24" s="152" t="e">
        <v>#N/A</v>
      </c>
      <c r="N24" s="152">
        <v>1.92</v>
      </c>
      <c r="O24" s="152">
        <v>1.92</v>
      </c>
      <c r="Q24" s="152" t="e">
        <v>#N/A</v>
      </c>
      <c r="R24" s="152" t="e">
        <v>#N/A</v>
      </c>
      <c r="S24" s="152" t="e">
        <v>#N/A</v>
      </c>
    </row>
    <row r="25" spans="1:20" x14ac:dyDescent="0.25">
      <c r="A25" s="160">
        <v>38</v>
      </c>
      <c r="B25" s="160">
        <v>36</v>
      </c>
      <c r="C25" s="160" t="s">
        <v>38</v>
      </c>
      <c r="D25" s="161" t="s">
        <v>260</v>
      </c>
      <c r="E25" s="161" t="s">
        <v>261</v>
      </c>
      <c r="F25" s="161" t="s">
        <v>262</v>
      </c>
      <c r="G25" s="160">
        <v>1</v>
      </c>
      <c r="H25" s="245" t="s">
        <v>263</v>
      </c>
      <c r="I25" s="161"/>
      <c r="J25" s="161"/>
      <c r="K25" s="152" t="e">
        <v>#N/A</v>
      </c>
      <c r="L25" s="152" t="e">
        <v>#N/A</v>
      </c>
      <c r="M25" s="152" t="e">
        <v>#N/A</v>
      </c>
      <c r="N25" s="152">
        <v>0.24145</v>
      </c>
      <c r="O25" s="152" t="s">
        <v>225</v>
      </c>
      <c r="Q25" s="152" t="e">
        <v>#N/A</v>
      </c>
      <c r="R25" s="152" t="e">
        <v>#N/A</v>
      </c>
      <c r="S25" s="152" t="e">
        <v>#N/A</v>
      </c>
    </row>
    <row r="26" spans="1:20" x14ac:dyDescent="0.25">
      <c r="A26" s="160"/>
      <c r="B26" s="160">
        <v>38</v>
      </c>
      <c r="C26" s="160" t="s">
        <v>38</v>
      </c>
      <c r="D26" s="161" t="s">
        <v>119</v>
      </c>
      <c r="E26" s="161" t="s">
        <v>123</v>
      </c>
      <c r="F26" s="161" t="s">
        <v>124</v>
      </c>
      <c r="G26" s="160">
        <v>3</v>
      </c>
      <c r="H26" s="245" t="s">
        <v>264</v>
      </c>
      <c r="I26" s="161" t="s">
        <v>42</v>
      </c>
      <c r="J26" s="161"/>
      <c r="K26" s="152" t="e">
        <v>#N/A</v>
      </c>
      <c r="L26" s="152" t="e">
        <v>#N/A</v>
      </c>
      <c r="M26" s="152" t="e">
        <v>#N/A</v>
      </c>
      <c r="N26" s="152">
        <v>2.0999999999999999E-3</v>
      </c>
      <c r="O26" s="152" t="s">
        <v>225</v>
      </c>
      <c r="Q26" s="152" t="e">
        <v>#N/A</v>
      </c>
      <c r="R26" s="152" t="e">
        <v>#N/A</v>
      </c>
      <c r="S26" s="152" t="e">
        <v>#N/A</v>
      </c>
    </row>
    <row r="27" spans="1:20" x14ac:dyDescent="0.25">
      <c r="A27" s="160"/>
      <c r="B27" s="160">
        <v>44</v>
      </c>
      <c r="C27" s="160" t="s">
        <v>38</v>
      </c>
      <c r="D27" s="161" t="s">
        <v>119</v>
      </c>
      <c r="E27" s="161" t="s">
        <v>265</v>
      </c>
      <c r="F27" s="161" t="s">
        <v>266</v>
      </c>
      <c r="G27" s="160">
        <v>3</v>
      </c>
      <c r="H27" s="245" t="s">
        <v>267</v>
      </c>
      <c r="I27" s="161" t="s">
        <v>42</v>
      </c>
      <c r="J27" s="161"/>
      <c r="K27" s="152" t="e">
        <v>#N/A</v>
      </c>
      <c r="L27" s="152" t="e">
        <v>#N/A</v>
      </c>
      <c r="M27" s="152" t="e">
        <v>#N/A</v>
      </c>
      <c r="N27" s="152">
        <v>0.15</v>
      </c>
      <c r="O27" s="152" t="s">
        <v>225</v>
      </c>
      <c r="Q27" s="152" t="e">
        <v>#N/A</v>
      </c>
      <c r="R27" s="152" t="e">
        <v>#N/A</v>
      </c>
      <c r="S27" s="152" t="e">
        <v>#N/A</v>
      </c>
    </row>
    <row r="28" spans="1:20" ht="13.8" x14ac:dyDescent="0.25">
      <c r="A28" s="160">
        <v>64</v>
      </c>
      <c r="B28" s="160">
        <v>61</v>
      </c>
      <c r="C28" s="160" t="s">
        <v>38</v>
      </c>
      <c r="D28" s="161" t="s">
        <v>268</v>
      </c>
      <c r="E28" s="161" t="s">
        <v>269</v>
      </c>
      <c r="F28" s="161" t="s">
        <v>262</v>
      </c>
      <c r="G28" s="160">
        <v>1</v>
      </c>
      <c r="H28" s="245" t="s">
        <v>270</v>
      </c>
      <c r="I28" s="161"/>
      <c r="J28" s="161"/>
      <c r="K28" s="152" t="e">
        <v>#N/A</v>
      </c>
      <c r="L28" s="152" t="e">
        <v>#N/A</v>
      </c>
      <c r="M28" s="152" t="e">
        <v>#N/A</v>
      </c>
      <c r="N28" s="152">
        <v>0.31</v>
      </c>
      <c r="O28" s="152" t="s">
        <v>225</v>
      </c>
      <c r="P28" s="172" t="s">
        <v>271</v>
      </c>
      <c r="Q28" s="152" t="e">
        <v>#N/A</v>
      </c>
      <c r="R28" s="152" t="e">
        <v>#N/A</v>
      </c>
      <c r="S28" s="152" t="e">
        <v>#N/A</v>
      </c>
    </row>
    <row r="29" spans="1:20" x14ac:dyDescent="0.25">
      <c r="A29" s="160">
        <v>65</v>
      </c>
      <c r="B29" s="160">
        <v>62</v>
      </c>
      <c r="C29" s="160">
        <v>1021</v>
      </c>
      <c r="D29" s="161" t="s">
        <v>150</v>
      </c>
      <c r="E29" s="161" t="s">
        <v>151</v>
      </c>
      <c r="F29" s="161" t="s">
        <v>152</v>
      </c>
      <c r="G29" s="160">
        <v>2</v>
      </c>
      <c r="H29" s="162" t="s">
        <v>195</v>
      </c>
      <c r="I29" s="161"/>
      <c r="J29" s="161"/>
      <c r="K29" s="152" t="e">
        <v>#N/A</v>
      </c>
      <c r="L29" s="152" t="e">
        <v>#N/A</v>
      </c>
      <c r="M29" s="152" t="e">
        <v>#N/A</v>
      </c>
      <c r="N29" s="152">
        <v>0.08</v>
      </c>
      <c r="O29" s="152">
        <v>0.16</v>
      </c>
      <c r="Q29" s="152" t="e">
        <v>#N/A</v>
      </c>
      <c r="R29" s="152" t="e">
        <v>#N/A</v>
      </c>
      <c r="S29" s="152" t="e">
        <v>#N/A</v>
      </c>
    </row>
    <row r="30" spans="1:20" x14ac:dyDescent="0.25">
      <c r="A30" s="160">
        <v>68</v>
      </c>
      <c r="B30" s="160">
        <v>65</v>
      </c>
      <c r="C30" s="160">
        <v>1014</v>
      </c>
      <c r="D30" s="161" t="s">
        <v>272</v>
      </c>
      <c r="E30" s="161" t="s">
        <v>273</v>
      </c>
      <c r="F30" s="161" t="s">
        <v>274</v>
      </c>
      <c r="G30" s="160">
        <v>1</v>
      </c>
      <c r="H30" s="162" t="s">
        <v>275</v>
      </c>
      <c r="I30" s="161" t="s">
        <v>118</v>
      </c>
      <c r="J30" s="161"/>
      <c r="K30" s="152" t="e">
        <v>#N/A</v>
      </c>
      <c r="L30" s="152" t="e">
        <v>#N/A</v>
      </c>
      <c r="M30" s="152" t="e">
        <v>#N/A</v>
      </c>
      <c r="N30" s="152">
        <v>0.3</v>
      </c>
      <c r="O30" s="152">
        <v>0.3</v>
      </c>
      <c r="Q30" s="152" t="e">
        <v>#N/A</v>
      </c>
      <c r="R30" s="152" t="e">
        <v>#N/A</v>
      </c>
      <c r="S30" s="152" t="e">
        <v>#N/A</v>
      </c>
    </row>
    <row r="31" spans="1:20" x14ac:dyDescent="0.25">
      <c r="A31" s="160">
        <v>71</v>
      </c>
      <c r="B31" s="160">
        <v>67</v>
      </c>
      <c r="C31" s="160">
        <v>1014</v>
      </c>
      <c r="D31" s="161" t="s">
        <v>546</v>
      </c>
      <c r="E31" s="244" t="s">
        <v>547</v>
      </c>
      <c r="F31" s="161" t="s">
        <v>548</v>
      </c>
      <c r="G31" s="160">
        <v>2</v>
      </c>
      <c r="H31" s="245" t="s">
        <v>549</v>
      </c>
      <c r="I31" s="161" t="s">
        <v>42</v>
      </c>
      <c r="J31" s="161"/>
      <c r="K31" s="152" t="e">
        <v>#N/A</v>
      </c>
      <c r="L31" s="152" t="e">
        <v>#N/A</v>
      </c>
      <c r="M31" s="152" t="e">
        <v>#N/A</v>
      </c>
      <c r="N31" s="152">
        <v>0.03</v>
      </c>
      <c r="O31" s="152">
        <v>0.06</v>
      </c>
      <c r="Q31" s="152" t="e">
        <v>#N/A</v>
      </c>
      <c r="R31" s="152" t="e">
        <v>#N/A</v>
      </c>
      <c r="S31" s="152" t="e">
        <v>#N/A</v>
      </c>
    </row>
    <row r="32" spans="1:20" x14ac:dyDescent="0.25">
      <c r="A32" s="160">
        <v>73</v>
      </c>
      <c r="B32" s="160">
        <v>69</v>
      </c>
      <c r="C32" s="160">
        <v>1023</v>
      </c>
      <c r="D32" s="161" t="s">
        <v>276</v>
      </c>
      <c r="E32" s="244" t="s">
        <v>277</v>
      </c>
      <c r="F32" s="161" t="s">
        <v>163</v>
      </c>
      <c r="G32" s="160">
        <v>1</v>
      </c>
      <c r="H32" s="245" t="s">
        <v>164</v>
      </c>
      <c r="I32" s="161"/>
      <c r="J32" s="161"/>
      <c r="K32" s="152" t="e">
        <v>#N/A</v>
      </c>
      <c r="L32" s="152" t="e">
        <v>#N/A</v>
      </c>
      <c r="M32" s="152" t="e">
        <v>#N/A</v>
      </c>
      <c r="N32" s="152">
        <v>0.48299999999999998</v>
      </c>
      <c r="O32" s="152">
        <v>0.48299999999999998</v>
      </c>
      <c r="Q32" s="152" t="e">
        <v>#N/A</v>
      </c>
      <c r="R32" s="152" t="e">
        <v>#N/A</v>
      </c>
      <c r="S32" s="152" t="e">
        <v>#N/A</v>
      </c>
    </row>
    <row r="33" spans="15:15" x14ac:dyDescent="0.25">
      <c r="O33" s="152">
        <f>SUM(O2:O32)</f>
        <v>23.42192</v>
      </c>
    </row>
    <row r="1048413" customFormat="1" ht="14.4" x14ac:dyDescent="0.25"/>
    <row r="1048414" customFormat="1" ht="14.4" x14ac:dyDescent="0.25"/>
    <row r="1048415" customFormat="1" ht="14.4" x14ac:dyDescent="0.25"/>
    <row r="1048416" customFormat="1" ht="14.4" x14ac:dyDescent="0.25"/>
    <row r="1048417" customFormat="1" ht="14.4" x14ac:dyDescent="0.25"/>
    <row r="1048418" customFormat="1" ht="14.4" x14ac:dyDescent="0.25"/>
    <row r="1048419" customFormat="1" ht="14.4" x14ac:dyDescent="0.25"/>
    <row r="1048420" customFormat="1" ht="14.4" x14ac:dyDescent="0.25"/>
    <row r="1048421" customFormat="1" ht="14.4" x14ac:dyDescent="0.25"/>
    <row r="1048422" customFormat="1" ht="14.4" x14ac:dyDescent="0.25"/>
    <row r="1048423" customFormat="1" ht="14.4" x14ac:dyDescent="0.25"/>
    <row r="1048424" customFormat="1" ht="14.4" x14ac:dyDescent="0.25"/>
    <row r="1048425" customFormat="1" ht="14.4" x14ac:dyDescent="0.25"/>
    <row r="1048426" customFormat="1" ht="14.4" x14ac:dyDescent="0.25"/>
    <row r="1048427" customFormat="1" ht="14.4" x14ac:dyDescent="0.25"/>
    <row r="1048428" customFormat="1" ht="14.4" x14ac:dyDescent="0.25"/>
    <row r="1048429" customFormat="1" ht="14.4" x14ac:dyDescent="0.25"/>
    <row r="1048430" customFormat="1" ht="14.4" x14ac:dyDescent="0.25"/>
    <row r="1048431" customFormat="1" ht="14.4" x14ac:dyDescent="0.25"/>
    <row r="1048432" customFormat="1" ht="14.4" x14ac:dyDescent="0.25"/>
    <row r="1048433" customFormat="1" ht="14.4" x14ac:dyDescent="0.25"/>
    <row r="1048434" customFormat="1" ht="14.4" x14ac:dyDescent="0.25"/>
    <row r="1048435" customFormat="1" ht="14.4" x14ac:dyDescent="0.25"/>
    <row r="1048436" customFormat="1" ht="14.4" x14ac:dyDescent="0.25"/>
    <row r="1048437" customFormat="1" ht="14.4" x14ac:dyDescent="0.25"/>
    <row r="1048438" customFormat="1" ht="14.4" x14ac:dyDescent="0.25"/>
    <row r="1048439" customFormat="1" ht="14.4" x14ac:dyDescent="0.25"/>
    <row r="1048440" customFormat="1" ht="14.4" x14ac:dyDescent="0.25"/>
    <row r="1048441" customFormat="1" ht="14.4" x14ac:dyDescent="0.25"/>
    <row r="1048442" customFormat="1" ht="14.4" x14ac:dyDescent="0.25"/>
    <row r="1048443" customFormat="1" ht="14.4" x14ac:dyDescent="0.25"/>
    <row r="1048444" customFormat="1" ht="14.4" x14ac:dyDescent="0.25"/>
    <row r="1048445" customFormat="1" ht="14.4" x14ac:dyDescent="0.25"/>
    <row r="1048446" customFormat="1" ht="14.4" x14ac:dyDescent="0.25"/>
    <row r="1048447" customFormat="1" ht="14.4" x14ac:dyDescent="0.25"/>
    <row r="1048448" customFormat="1" ht="14.4" x14ac:dyDescent="0.25"/>
    <row r="1048449" customFormat="1" ht="14.4" x14ac:dyDescent="0.25"/>
    <row r="1048450" customFormat="1" ht="14.4" x14ac:dyDescent="0.25"/>
    <row r="1048451" customFormat="1" ht="14.4" x14ac:dyDescent="0.25"/>
    <row r="1048452" customFormat="1" ht="14.4" x14ac:dyDescent="0.25"/>
    <row r="1048453" customFormat="1" ht="14.4" x14ac:dyDescent="0.25"/>
    <row r="1048454" customFormat="1" ht="14.4" x14ac:dyDescent="0.25"/>
    <row r="1048455" customFormat="1" ht="14.4" x14ac:dyDescent="0.25"/>
    <row r="1048456" customFormat="1" ht="14.4" x14ac:dyDescent="0.25"/>
    <row r="1048457" customFormat="1" ht="14.4" x14ac:dyDescent="0.25"/>
    <row r="1048458" customFormat="1" ht="14.4" x14ac:dyDescent="0.25"/>
    <row r="1048459" customFormat="1" ht="14.4" x14ac:dyDescent="0.25"/>
    <row r="1048460" customFormat="1" ht="14.4" x14ac:dyDescent="0.25"/>
    <row r="1048461" customFormat="1" ht="14.4" x14ac:dyDescent="0.25"/>
    <row r="1048462" customFormat="1" ht="14.4" x14ac:dyDescent="0.25"/>
    <row r="1048463" customFormat="1" ht="14.4" x14ac:dyDescent="0.25"/>
    <row r="1048464" customFormat="1" ht="14.4" x14ac:dyDescent="0.25"/>
    <row r="1048465" customFormat="1" ht="14.4" x14ac:dyDescent="0.25"/>
    <row r="1048466" customFormat="1" ht="14.4" x14ac:dyDescent="0.25"/>
    <row r="1048467" customFormat="1" ht="14.4" x14ac:dyDescent="0.25"/>
    <row r="1048468" customFormat="1" ht="14.4" x14ac:dyDescent="0.25"/>
    <row r="1048469" customFormat="1" ht="14.4" x14ac:dyDescent="0.25"/>
    <row r="1048470" customFormat="1" ht="14.4" x14ac:dyDescent="0.25"/>
    <row r="1048471" customFormat="1" ht="14.4" x14ac:dyDescent="0.25"/>
    <row r="1048472" customFormat="1" ht="14.4" x14ac:dyDescent="0.25"/>
    <row r="1048473" customFormat="1" ht="14.4" x14ac:dyDescent="0.25"/>
    <row r="1048474" customFormat="1" ht="14.4" x14ac:dyDescent="0.25"/>
    <row r="1048475" customFormat="1" ht="14.4" x14ac:dyDescent="0.25"/>
    <row r="1048476" customFormat="1" ht="14.4" x14ac:dyDescent="0.25"/>
    <row r="1048477" customFormat="1" ht="14.4" x14ac:dyDescent="0.25"/>
    <row r="1048478" customFormat="1" ht="14.4" x14ac:dyDescent="0.25"/>
    <row r="1048479" customFormat="1" ht="14.4" x14ac:dyDescent="0.25"/>
    <row r="1048480" customFormat="1" ht="14.4" x14ac:dyDescent="0.25"/>
    <row r="1048481" customFormat="1" ht="14.4" x14ac:dyDescent="0.25"/>
    <row r="1048482" customFormat="1" ht="14.4" x14ac:dyDescent="0.25"/>
    <row r="1048483" customFormat="1" ht="14.4" x14ac:dyDescent="0.25"/>
    <row r="1048484" customFormat="1" ht="14.4" x14ac:dyDescent="0.25"/>
    <row r="1048485" customFormat="1" ht="14.4" x14ac:dyDescent="0.25"/>
    <row r="1048486" customFormat="1" ht="14.4" x14ac:dyDescent="0.25"/>
    <row r="1048487" customFormat="1" ht="14.4" x14ac:dyDescent="0.25"/>
    <row r="1048488" customFormat="1" ht="14.4" x14ac:dyDescent="0.25"/>
    <row r="1048489" customFormat="1" ht="14.4" x14ac:dyDescent="0.25"/>
    <row r="1048490" customFormat="1" ht="14.4" x14ac:dyDescent="0.25"/>
    <row r="1048491" customFormat="1" ht="14.4" x14ac:dyDescent="0.25"/>
    <row r="1048492" customFormat="1" ht="14.4" x14ac:dyDescent="0.25"/>
    <row r="1048493" customFormat="1" ht="14.4" x14ac:dyDescent="0.25"/>
    <row r="1048494" customFormat="1" ht="14.4" x14ac:dyDescent="0.25"/>
    <row r="1048495" customFormat="1" ht="14.4" x14ac:dyDescent="0.25"/>
    <row r="1048496" customFormat="1" ht="14.4" x14ac:dyDescent="0.25"/>
    <row r="1048497" customFormat="1" ht="14.4" x14ac:dyDescent="0.25"/>
    <row r="1048498" customFormat="1" ht="14.4" x14ac:dyDescent="0.25"/>
    <row r="1048499" customFormat="1" ht="14.4" x14ac:dyDescent="0.25"/>
    <row r="1048500" customFormat="1" ht="14.4" x14ac:dyDescent="0.25"/>
    <row r="1048501" customFormat="1" ht="14.4" x14ac:dyDescent="0.25"/>
    <row r="1048502" customFormat="1" ht="14.4" x14ac:dyDescent="0.25"/>
    <row r="1048503" customFormat="1" ht="14.4" x14ac:dyDescent="0.25"/>
    <row r="1048504" customFormat="1" ht="14.4" x14ac:dyDescent="0.25"/>
    <row r="1048505" customFormat="1" ht="14.4" x14ac:dyDescent="0.25"/>
    <row r="1048506" customFormat="1" ht="14.4" x14ac:dyDescent="0.25"/>
    <row r="1048507" customFormat="1" ht="14.4" x14ac:dyDescent="0.25"/>
    <row r="1048508" customFormat="1" ht="14.4" x14ac:dyDescent="0.25"/>
    <row r="1048509" customFormat="1" ht="14.4" x14ac:dyDescent="0.25"/>
    <row r="1048510" customFormat="1" ht="14.4" x14ac:dyDescent="0.25"/>
    <row r="1048511" customFormat="1" ht="14.4" x14ac:dyDescent="0.25"/>
    <row r="1048512" customFormat="1" ht="14.4" x14ac:dyDescent="0.25"/>
    <row r="1048513" customFormat="1" ht="14.4" x14ac:dyDescent="0.25"/>
    <row r="1048514" customFormat="1" ht="14.4" x14ac:dyDescent="0.25"/>
    <row r="1048515" customFormat="1" ht="14.4" x14ac:dyDescent="0.25"/>
    <row r="1048516" customFormat="1" ht="14.4" x14ac:dyDescent="0.25"/>
    <row r="1048517" customFormat="1" ht="14.4" x14ac:dyDescent="0.25"/>
    <row r="1048518" customFormat="1" ht="14.4" x14ac:dyDescent="0.25"/>
    <row r="1048519" customFormat="1" ht="14.4" x14ac:dyDescent="0.25"/>
    <row r="1048520" customFormat="1" ht="14.4" x14ac:dyDescent="0.25"/>
    <row r="1048521" customFormat="1" ht="14.4" x14ac:dyDescent="0.25"/>
    <row r="1048522" customFormat="1" ht="14.4" x14ac:dyDescent="0.25"/>
    <row r="1048523" customFormat="1" ht="14.4" x14ac:dyDescent="0.25"/>
    <row r="1048524" customFormat="1" ht="14.4" x14ac:dyDescent="0.25"/>
    <row r="1048525" customFormat="1" ht="14.4" x14ac:dyDescent="0.25"/>
    <row r="1048526" customFormat="1" ht="14.4" x14ac:dyDescent="0.25"/>
    <row r="1048527" customFormat="1" ht="14.4" x14ac:dyDescent="0.25"/>
    <row r="1048528" customFormat="1" ht="14.4" x14ac:dyDescent="0.25"/>
    <row r="1048529" customFormat="1" ht="14.4" x14ac:dyDescent="0.25"/>
    <row r="1048530" customFormat="1" ht="14.4" x14ac:dyDescent="0.25"/>
    <row r="1048531" customFormat="1" ht="14.4" x14ac:dyDescent="0.25"/>
    <row r="1048532" customFormat="1" ht="14.4" x14ac:dyDescent="0.25"/>
    <row r="1048533" customFormat="1" ht="14.4" x14ac:dyDescent="0.25"/>
    <row r="1048534" customFormat="1" ht="14.4" x14ac:dyDescent="0.25"/>
    <row r="1048535" customFormat="1" ht="14.4" x14ac:dyDescent="0.25"/>
    <row r="1048536" customFormat="1" ht="14.4" x14ac:dyDescent="0.25"/>
    <row r="1048537" customFormat="1" ht="14.4" x14ac:dyDescent="0.25"/>
    <row r="1048538" customFormat="1" ht="14.4" x14ac:dyDescent="0.25"/>
    <row r="1048539" customFormat="1" ht="14.4" x14ac:dyDescent="0.25"/>
    <row r="1048540" customFormat="1" ht="14.4" x14ac:dyDescent="0.25"/>
    <row r="1048541" customFormat="1" ht="14.4" x14ac:dyDescent="0.25"/>
    <row r="1048542" customFormat="1" ht="14.4" x14ac:dyDescent="0.25"/>
    <row r="1048543" customFormat="1" ht="14.4" x14ac:dyDescent="0.25"/>
    <row r="1048544" customFormat="1" ht="14.4" x14ac:dyDescent="0.25"/>
    <row r="1048545" customFormat="1" ht="14.4" x14ac:dyDescent="0.25"/>
    <row r="1048546" customFormat="1" ht="14.4" x14ac:dyDescent="0.25"/>
    <row r="1048547" customFormat="1" ht="14.4" x14ac:dyDescent="0.25"/>
    <row r="1048548" customFormat="1" ht="14.4" x14ac:dyDescent="0.25"/>
    <row r="1048549" customFormat="1" ht="14.4" x14ac:dyDescent="0.25"/>
    <row r="1048550" customFormat="1" ht="14.4" x14ac:dyDescent="0.25"/>
    <row r="1048551" customFormat="1" ht="14.4" x14ac:dyDescent="0.25"/>
    <row r="1048552" customFormat="1" ht="14.4" x14ac:dyDescent="0.25"/>
    <row r="1048553" customFormat="1" ht="14.4" x14ac:dyDescent="0.25"/>
    <row r="1048554" customFormat="1" ht="14.4" x14ac:dyDescent="0.25"/>
    <row r="1048555" customFormat="1" ht="14.4" x14ac:dyDescent="0.25"/>
    <row r="1048556" customFormat="1" ht="14.4" x14ac:dyDescent="0.25"/>
    <row r="1048557" customFormat="1" ht="14.4" x14ac:dyDescent="0.25"/>
    <row r="1048558" customFormat="1" ht="14.4" x14ac:dyDescent="0.25"/>
    <row r="1048559" customFormat="1" ht="14.4" x14ac:dyDescent="0.25"/>
    <row r="1048560" customFormat="1" ht="14.4" x14ac:dyDescent="0.25"/>
    <row r="1048561" customFormat="1" ht="14.4" x14ac:dyDescent="0.25"/>
    <row r="1048562" customFormat="1" ht="14.4" x14ac:dyDescent="0.25"/>
    <row r="1048563" customFormat="1" ht="14.4" x14ac:dyDescent="0.25"/>
    <row r="1048564" customFormat="1" ht="14.4" x14ac:dyDescent="0.25"/>
    <row r="1048565" customFormat="1" ht="14.4" x14ac:dyDescent="0.25"/>
    <row r="1048566" customFormat="1" ht="14.4" x14ac:dyDescent="0.25"/>
    <row r="1048567" customFormat="1" ht="14.4" x14ac:dyDescent="0.25"/>
    <row r="1048568" customFormat="1" ht="14.4" x14ac:dyDescent="0.25"/>
    <row r="1048569" customFormat="1" ht="14.4" x14ac:dyDescent="0.25"/>
    <row r="1048570" customFormat="1" ht="14.4" x14ac:dyDescent="0.25"/>
    <row r="1048571" customFormat="1" ht="14.4" x14ac:dyDescent="0.25"/>
    <row r="1048572" customFormat="1" ht="14.4" x14ac:dyDescent="0.25"/>
    <row r="1048573" customFormat="1" ht="14.4" x14ac:dyDescent="0.25"/>
    <row r="1048574" customFormat="1" ht="14.4" x14ac:dyDescent="0.25"/>
    <row r="1048575" customFormat="1" ht="14.4" x14ac:dyDescent="0.25"/>
    <row r="1048576" customFormat="1" ht="14.4" x14ac:dyDescent="0.25"/>
  </sheetData>
  <phoneticPr fontId="5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74"/>
  <sheetViews>
    <sheetView topLeftCell="A97" workbookViewId="0">
      <selection activeCell="N164" sqref="N164"/>
    </sheetView>
  </sheetViews>
  <sheetFormatPr defaultColWidth="9" defaultRowHeight="13.2" x14ac:dyDescent="0.25"/>
  <cols>
    <col min="1" max="1" width="5.77734375" style="123" customWidth="1"/>
    <col min="2" max="2" width="12.6640625" style="124" customWidth="1"/>
    <col min="3" max="3" width="11.21875" style="125" customWidth="1"/>
    <col min="4" max="4" width="42.5546875" style="125" customWidth="1"/>
    <col min="5" max="5" width="9.5546875" style="126" customWidth="1"/>
    <col min="6" max="6" width="10" style="124" customWidth="1"/>
    <col min="7" max="7" width="10.21875" style="125" customWidth="1"/>
    <col min="8" max="8" width="9" style="127" customWidth="1"/>
    <col min="9" max="9" width="6.109375" style="122" customWidth="1"/>
    <col min="10" max="11" width="9" style="122" customWidth="1"/>
    <col min="12" max="12" width="9" style="128" customWidth="1"/>
    <col min="13" max="13" width="9" style="122"/>
    <col min="14" max="14" width="9" style="122" customWidth="1"/>
    <col min="15" max="15" width="9" style="128" customWidth="1"/>
    <col min="16" max="18" width="9" style="122" customWidth="1"/>
    <col min="19" max="19" width="9.44140625" style="129"/>
    <col min="20" max="16384" width="9" style="122"/>
  </cols>
  <sheetData>
    <row r="1" spans="1:19" ht="36" x14ac:dyDescent="0.25">
      <c r="A1" s="130" t="s">
        <v>20</v>
      </c>
      <c r="B1" s="130" t="s">
        <v>21</v>
      </c>
      <c r="C1" s="131" t="s">
        <v>22</v>
      </c>
      <c r="D1" s="132" t="s">
        <v>23</v>
      </c>
      <c r="E1" s="131" t="s">
        <v>24</v>
      </c>
      <c r="F1" s="130" t="s">
        <v>25</v>
      </c>
      <c r="G1" s="132" t="s">
        <v>26</v>
      </c>
      <c r="H1" s="131" t="s">
        <v>27</v>
      </c>
      <c r="I1" s="131" t="s">
        <v>28</v>
      </c>
      <c r="J1" s="142" t="s">
        <v>29</v>
      </c>
      <c r="K1" s="142" t="s">
        <v>30</v>
      </c>
      <c r="L1" s="142" t="s">
        <v>31</v>
      </c>
      <c r="M1" s="142" t="s">
        <v>32</v>
      </c>
      <c r="N1" s="142" t="s">
        <v>33</v>
      </c>
      <c r="O1" s="142" t="s">
        <v>27</v>
      </c>
      <c r="P1" s="142" t="s">
        <v>286</v>
      </c>
      <c r="Q1" s="142" t="s">
        <v>35</v>
      </c>
      <c r="R1" s="142" t="s">
        <v>36</v>
      </c>
      <c r="S1" s="148" t="s">
        <v>37</v>
      </c>
    </row>
    <row r="2" spans="1:19" ht="39.6" x14ac:dyDescent="0.25">
      <c r="A2" s="133">
        <v>1</v>
      </c>
      <c r="B2" s="134" t="s">
        <v>38</v>
      </c>
      <c r="C2" s="135" t="s">
        <v>550</v>
      </c>
      <c r="D2" s="135" t="s">
        <v>551</v>
      </c>
      <c r="E2" s="136" t="s">
        <v>41</v>
      </c>
      <c r="F2" s="134">
        <v>1</v>
      </c>
      <c r="G2" s="135" t="s">
        <v>550</v>
      </c>
      <c r="H2" s="135" t="s">
        <v>42</v>
      </c>
      <c r="I2" s="140" t="s">
        <v>43</v>
      </c>
      <c r="J2" s="143" t="e">
        <f>VLOOKUP($B2,[3]SAP!$D:$X,12,0)</f>
        <v>#N/A</v>
      </c>
      <c r="K2" s="143" t="e">
        <f>VLOOKUP($B2,[3]SAP!$D:$X,19,0)</f>
        <v>#N/A</v>
      </c>
      <c r="L2" s="128" t="e">
        <f>VLOOKUP($B2,[3]SAP!$D:$X,8,0)</f>
        <v>#N/A</v>
      </c>
      <c r="M2" s="143">
        <f>157*103*282/1000000</f>
        <v>4.5602220000000004</v>
      </c>
      <c r="N2" s="143">
        <f>M2*F2</f>
        <v>4.5602220000000004</v>
      </c>
      <c r="O2" s="143"/>
      <c r="P2" s="143" t="e">
        <f>VLOOKUP($B2,[3]SAP!$D:$X,17,0)</f>
        <v>#N/A</v>
      </c>
      <c r="Q2" s="143" t="e">
        <f>VLOOKUP($B2,[3]SAP!$D:$X,21,0)</f>
        <v>#N/A</v>
      </c>
      <c r="R2" s="143" t="e">
        <f>VLOOKUP($B2,[3]SAP!$D:$X,20,0)</f>
        <v>#N/A</v>
      </c>
      <c r="S2" s="86" t="s">
        <v>37</v>
      </c>
    </row>
    <row r="3" spans="1:19" ht="14.4" x14ac:dyDescent="0.25">
      <c r="A3" s="133">
        <v>2</v>
      </c>
      <c r="B3" s="134">
        <v>1015</v>
      </c>
      <c r="C3" s="135" t="s">
        <v>198</v>
      </c>
      <c r="D3" s="135" t="s">
        <v>199</v>
      </c>
      <c r="E3" s="137" t="s">
        <v>200</v>
      </c>
      <c r="F3" s="134">
        <v>1</v>
      </c>
      <c r="G3" s="246" t="s">
        <v>201</v>
      </c>
      <c r="H3" s="138" t="s">
        <v>118</v>
      </c>
      <c r="I3" s="140"/>
      <c r="J3" s="143" t="e">
        <f>VLOOKUP($B3,[3]SAP!$D:$X,12,0)</f>
        <v>#N/A</v>
      </c>
      <c r="K3" s="143" t="e">
        <f>VLOOKUP($B3,[3]SAP!$D:$X,19,0)</f>
        <v>#N/A</v>
      </c>
      <c r="L3" s="128" t="e">
        <f>VLOOKUP($B3,[3]SAP!$D:$X,8,0)</f>
        <v>#N/A</v>
      </c>
      <c r="M3" s="143">
        <v>5.89</v>
      </c>
      <c r="N3" s="143">
        <f>M3*F3</f>
        <v>5.89</v>
      </c>
      <c r="O3" s="143"/>
      <c r="P3" s="143" t="e">
        <f>VLOOKUP($B3,[3]SAP!$D:$X,17,0)</f>
        <v>#N/A</v>
      </c>
      <c r="Q3" s="143" t="e">
        <f>VLOOKUP($B3,[3]SAP!$D:$X,21,0)</f>
        <v>#N/A</v>
      </c>
      <c r="R3" s="143" t="e">
        <f>VLOOKUP($B3,[3]SAP!$D:$X,20,0)</f>
        <v>#N/A</v>
      </c>
      <c r="S3" s="86" t="s">
        <v>37</v>
      </c>
    </row>
    <row r="4" spans="1:19" ht="14.4" x14ac:dyDescent="0.25">
      <c r="A4" s="133">
        <v>3</v>
      </c>
      <c r="B4" s="134" t="s">
        <v>38</v>
      </c>
      <c r="C4" s="135" t="s">
        <v>272</v>
      </c>
      <c r="D4" s="135" t="s">
        <v>552</v>
      </c>
      <c r="E4" s="137" t="s">
        <v>274</v>
      </c>
      <c r="F4" s="134">
        <v>1</v>
      </c>
      <c r="G4" s="246" t="s">
        <v>553</v>
      </c>
      <c r="H4" s="138" t="s">
        <v>118</v>
      </c>
      <c r="I4" s="140"/>
      <c r="J4" s="143" t="e">
        <f>VLOOKUP($B4,[3]SAP!$D:$X,12,0)</f>
        <v>#N/A</v>
      </c>
      <c r="K4" s="143" t="e">
        <f>VLOOKUP($B4,[3]SAP!$D:$X,19,0)</f>
        <v>#N/A</v>
      </c>
      <c r="L4" s="128" t="e">
        <f>VLOOKUP($B4,[3]SAP!$D:$X,8,0)</f>
        <v>#N/A</v>
      </c>
      <c r="M4" s="143">
        <v>0.3</v>
      </c>
      <c r="N4" s="143">
        <f t="shared" ref="N4:N9" si="0">M4*F4</f>
        <v>0.3</v>
      </c>
      <c r="O4" s="143"/>
      <c r="P4" s="143" t="e">
        <f>VLOOKUP($B4,[3]SAP!$D:$X,17,0)</f>
        <v>#N/A</v>
      </c>
      <c r="Q4" s="143" t="e">
        <f>VLOOKUP($B4,[3]SAP!$D:$X,21,0)</f>
        <v>#N/A</v>
      </c>
      <c r="R4" s="143" t="e">
        <f>VLOOKUP($B4,[3]SAP!$D:$X,20,0)</f>
        <v>#N/A</v>
      </c>
      <c r="S4" s="86" t="s">
        <v>37</v>
      </c>
    </row>
    <row r="5" spans="1:19" ht="14.4" x14ac:dyDescent="0.25">
      <c r="A5" s="133">
        <v>4</v>
      </c>
      <c r="B5" s="139">
        <v>10110016349</v>
      </c>
      <c r="C5" s="135" t="s">
        <v>44</v>
      </c>
      <c r="D5" s="135" t="s">
        <v>298</v>
      </c>
      <c r="E5" s="137" t="s">
        <v>57</v>
      </c>
      <c r="F5" s="134">
        <v>22</v>
      </c>
      <c r="G5" s="135" t="s">
        <v>554</v>
      </c>
      <c r="H5" s="135" t="s">
        <v>42</v>
      </c>
      <c r="I5" s="140"/>
      <c r="J5" s="143">
        <f>VLOOKUP($B5,[3]SAP!$D:$X,12,0)</f>
        <v>4.0899999999999999E-3</v>
      </c>
      <c r="K5" s="143" t="str">
        <f>VLOOKUP($B5,[3]SAP!$D:$X,19,0)</f>
        <v>CNY</v>
      </c>
      <c r="L5" s="128" t="str">
        <f>VLOOKUP($B5,[3]SAP!$D:$X,8,0)</f>
        <v>广东顺德集财电子有限公司</v>
      </c>
      <c r="M5" s="143">
        <f t="shared" ref="M5:M8" si="1">J5</f>
        <v>4.0899999999999999E-3</v>
      </c>
      <c r="N5" s="143">
        <f t="shared" si="0"/>
        <v>8.9980000000000004E-2</v>
      </c>
      <c r="O5" s="143"/>
      <c r="P5" s="143">
        <f>VLOOKUP($B5,[3]SAP!$D:$X,17,0)</f>
        <v>56</v>
      </c>
      <c r="Q5" s="143">
        <f>VLOOKUP($B5,[3]SAP!$D:$X,21,0)</f>
        <v>10000</v>
      </c>
      <c r="R5" s="143">
        <f>VLOOKUP($B5,[3]SAP!$D:$X,20,0)</f>
        <v>10000</v>
      </c>
      <c r="S5" s="86" t="s">
        <v>37</v>
      </c>
    </row>
    <row r="6" spans="1:19" ht="39.6" x14ac:dyDescent="0.25">
      <c r="A6" s="133"/>
      <c r="B6" s="139">
        <v>10110006771</v>
      </c>
      <c r="C6" s="135" t="s">
        <v>172</v>
      </c>
      <c r="D6" s="135" t="s">
        <v>302</v>
      </c>
      <c r="E6" s="137" t="s">
        <v>46</v>
      </c>
      <c r="F6" s="134">
        <v>22</v>
      </c>
      <c r="G6" s="135" t="s">
        <v>554</v>
      </c>
      <c r="H6" s="138"/>
      <c r="I6" s="140"/>
      <c r="J6" s="143">
        <f>VLOOKUP($B6,[3]SAP!$D:$X,12,0)</f>
        <v>4.9500000000000004E-3</v>
      </c>
      <c r="K6" s="143" t="str">
        <f>VLOOKUP($B6,[3]SAP!$D:$X,19,0)</f>
        <v>CNY</v>
      </c>
      <c r="L6" s="128" t="str">
        <f>VLOOKUP($B6,[3]SAP!$D:$X,8,0)</f>
        <v>深圳市奥特高科电子有限公司</v>
      </c>
      <c r="M6" s="143">
        <f t="shared" si="1"/>
        <v>4.9500000000000004E-3</v>
      </c>
      <c r="N6" s="143"/>
      <c r="O6" s="143"/>
      <c r="P6" s="143">
        <f>VLOOKUP($B6,[3]SAP!$D:$X,17,0)</f>
        <v>56</v>
      </c>
      <c r="Q6" s="143">
        <f>VLOOKUP($B6,[3]SAP!$D:$X,21,0)</f>
        <v>10000</v>
      </c>
      <c r="R6" s="143">
        <f>VLOOKUP($B6,[3]SAP!$D:$X,20,0)</f>
        <v>10000</v>
      </c>
      <c r="S6" s="86" t="s">
        <v>225</v>
      </c>
    </row>
    <row r="7" spans="1:19" ht="26.4" x14ac:dyDescent="0.25">
      <c r="A7" s="133"/>
      <c r="B7" s="139">
        <v>10110008257</v>
      </c>
      <c r="C7" s="135" t="s">
        <v>44</v>
      </c>
      <c r="D7" s="135" t="s">
        <v>304</v>
      </c>
      <c r="E7" s="137" t="s">
        <v>77</v>
      </c>
      <c r="F7" s="134">
        <v>22</v>
      </c>
      <c r="G7" s="135" t="s">
        <v>554</v>
      </c>
      <c r="H7" s="135" t="s">
        <v>42</v>
      </c>
      <c r="I7" s="140"/>
      <c r="J7" s="143">
        <f>VLOOKUP($B7,[3]SAP!$D:$X,12,0)</f>
        <v>4.5999999999999999E-3</v>
      </c>
      <c r="K7" s="143" t="str">
        <f>VLOOKUP($B7,[3]SAP!$D:$X,19,0)</f>
        <v>CNY</v>
      </c>
      <c r="L7" s="128" t="str">
        <f>VLOOKUP($B7,[3]SAP!$D:$X,8,0)</f>
        <v>深圳市兴鸿宇科技有限公司</v>
      </c>
      <c r="M7" s="143">
        <f t="shared" si="1"/>
        <v>4.5999999999999999E-3</v>
      </c>
      <c r="N7" s="143"/>
      <c r="O7" s="143"/>
      <c r="P7" s="143">
        <f>VLOOKUP($B7,[3]SAP!$D:$X,17,0)</f>
        <v>56</v>
      </c>
      <c r="Q7" s="143">
        <f>VLOOKUP($B7,[3]SAP!$D:$X,21,0)</f>
        <v>10000</v>
      </c>
      <c r="R7" s="143">
        <f>VLOOKUP($B7,[3]SAP!$D:$X,20,0)</f>
        <v>10000</v>
      </c>
      <c r="S7" s="86" t="s">
        <v>225</v>
      </c>
    </row>
    <row r="8" spans="1:19" ht="14.4" x14ac:dyDescent="0.25">
      <c r="A8" s="133"/>
      <c r="B8" s="139">
        <v>10110008724</v>
      </c>
      <c r="C8" s="135" t="s">
        <v>44</v>
      </c>
      <c r="D8" s="135" t="s">
        <v>306</v>
      </c>
      <c r="E8" s="137" t="s">
        <v>60</v>
      </c>
      <c r="F8" s="134">
        <v>22</v>
      </c>
      <c r="G8" s="135" t="s">
        <v>554</v>
      </c>
      <c r="H8" s="138"/>
      <c r="I8" s="140"/>
      <c r="J8" s="143">
        <f>VLOOKUP($B8,[3]SAP!$D:$X,12,0)</f>
        <v>4.1000000000000003E-3</v>
      </c>
      <c r="K8" s="143" t="str">
        <f>VLOOKUP($B8,[3]SAP!$D:$X,19,0)</f>
        <v>CNY</v>
      </c>
      <c r="L8" s="128" t="str">
        <f>VLOOKUP($B8,[3]SAP!$D:$X,8,0)</f>
        <v>广东顺德集财电子有限公司</v>
      </c>
      <c r="M8" s="143">
        <f t="shared" si="1"/>
        <v>4.1000000000000003E-3</v>
      </c>
      <c r="N8" s="143"/>
      <c r="O8" s="143"/>
      <c r="P8" s="143">
        <f>VLOOKUP($B8,[3]SAP!$D:$X,17,0)</f>
        <v>56</v>
      </c>
      <c r="Q8" s="143">
        <f>VLOOKUP($B8,[3]SAP!$D:$X,21,0)</f>
        <v>10000</v>
      </c>
      <c r="R8" s="143">
        <f>VLOOKUP($B8,[3]SAP!$D:$X,20,0)</f>
        <v>10000</v>
      </c>
      <c r="S8" s="86" t="s">
        <v>225</v>
      </c>
    </row>
    <row r="9" spans="1:19" ht="14.4" x14ac:dyDescent="0.25">
      <c r="A9" s="133">
        <v>5</v>
      </c>
      <c r="B9" s="134" t="s">
        <v>38</v>
      </c>
      <c r="C9" s="135" t="s">
        <v>202</v>
      </c>
      <c r="D9" s="135" t="s">
        <v>203</v>
      </c>
      <c r="E9" s="135" t="s">
        <v>204</v>
      </c>
      <c r="F9" s="134">
        <v>4</v>
      </c>
      <c r="G9" s="135" t="s">
        <v>205</v>
      </c>
      <c r="H9" s="135" t="s">
        <v>42</v>
      </c>
      <c r="I9" s="140"/>
      <c r="J9" s="143" t="e">
        <f>VLOOKUP($B9,[3]SAP!$D:$X,12,0)</f>
        <v>#N/A</v>
      </c>
      <c r="K9" s="143" t="e">
        <f>VLOOKUP($B9,[3]SAP!$D:$X,19,0)</f>
        <v>#N/A</v>
      </c>
      <c r="L9" s="128" t="e">
        <f>VLOOKUP($B9,[3]SAP!$D:$X,8,0)</f>
        <v>#N/A</v>
      </c>
      <c r="M9" s="143">
        <v>0.188</v>
      </c>
      <c r="N9" s="143">
        <f t="shared" si="0"/>
        <v>0.752</v>
      </c>
      <c r="O9" s="128" t="s">
        <v>206</v>
      </c>
      <c r="P9" s="143" t="e">
        <f>VLOOKUP($B9,[3]SAP!$D:$X,17,0)</f>
        <v>#N/A</v>
      </c>
      <c r="Q9" s="143" t="e">
        <f>VLOOKUP($B9,[3]SAP!$D:$X,21,0)</f>
        <v>#N/A</v>
      </c>
      <c r="R9" s="143" t="e">
        <f>VLOOKUP($B9,[3]SAP!$D:$X,20,0)</f>
        <v>#N/A</v>
      </c>
      <c r="S9" s="86" t="s">
        <v>37</v>
      </c>
    </row>
    <row r="10" spans="1:19" ht="14.4" x14ac:dyDescent="0.25">
      <c r="A10" s="133">
        <v>6</v>
      </c>
      <c r="B10" s="139">
        <v>10110008934</v>
      </c>
      <c r="C10" s="135" t="s">
        <v>44</v>
      </c>
      <c r="D10" s="135" t="s">
        <v>309</v>
      </c>
      <c r="E10" s="137" t="s">
        <v>60</v>
      </c>
      <c r="F10" s="134">
        <v>1</v>
      </c>
      <c r="G10" s="246" t="s">
        <v>310</v>
      </c>
      <c r="H10" s="138"/>
      <c r="I10" s="140"/>
      <c r="J10" s="143">
        <f>VLOOKUP($B10,[3]SAP!$D:$X,12,0)</f>
        <v>9.8000000000000004E-2</v>
      </c>
      <c r="K10" s="143" t="str">
        <f>VLOOKUP($B10,[3]SAP!$D:$X,19,0)</f>
        <v>CNY</v>
      </c>
      <c r="L10" s="128" t="str">
        <f>VLOOKUP($B10,[3]SAP!$D:$X,8,0)</f>
        <v>广东顺德集财电子有限公司</v>
      </c>
      <c r="M10" s="143">
        <f t="shared" ref="M10:M12" si="2">J10</f>
        <v>9.8000000000000004E-2</v>
      </c>
      <c r="N10" s="143"/>
      <c r="O10" s="143"/>
      <c r="P10" s="143">
        <f>VLOOKUP($B10,[3]SAP!$D:$X,17,0)</f>
        <v>56</v>
      </c>
      <c r="Q10" s="143">
        <f>VLOOKUP($B10,[3]SAP!$D:$X,21,0)</f>
        <v>2000</v>
      </c>
      <c r="R10" s="143">
        <f>VLOOKUP($B10,[3]SAP!$D:$X,20,0)</f>
        <v>2000</v>
      </c>
      <c r="S10" s="86" t="s">
        <v>225</v>
      </c>
    </row>
    <row r="11" spans="1:19" ht="26.4" x14ac:dyDescent="0.25">
      <c r="A11" s="133"/>
      <c r="B11" s="139">
        <v>10110009071</v>
      </c>
      <c r="C11" s="135" t="s">
        <v>44</v>
      </c>
      <c r="D11" s="135" t="s">
        <v>311</v>
      </c>
      <c r="E11" s="137" t="s">
        <v>77</v>
      </c>
      <c r="F11" s="134">
        <v>1</v>
      </c>
      <c r="G11" s="246" t="s">
        <v>310</v>
      </c>
      <c r="H11" s="135" t="s">
        <v>42</v>
      </c>
      <c r="I11" s="140"/>
      <c r="J11" s="143">
        <f>VLOOKUP($B11,[3]SAP!$D:$X,12,0)</f>
        <v>0.16964000000000001</v>
      </c>
      <c r="K11" s="143" t="str">
        <f>VLOOKUP($B11,[3]SAP!$D:$X,19,0)</f>
        <v>CNY</v>
      </c>
      <c r="L11" s="128" t="str">
        <f>VLOOKUP($B11,[3]SAP!$D:$X,8,0)</f>
        <v>东莞华科电子有限公司</v>
      </c>
      <c r="M11" s="143">
        <f t="shared" si="2"/>
        <v>0.16964000000000001</v>
      </c>
      <c r="N11" s="143"/>
      <c r="O11" s="143"/>
      <c r="P11" s="143">
        <f>VLOOKUP($B11,[3]SAP!$D:$X,17,0)</f>
        <v>84</v>
      </c>
      <c r="Q11" s="143">
        <f>VLOOKUP($B11,[3]SAP!$D:$X,21,0)</f>
        <v>3000</v>
      </c>
      <c r="R11" s="143">
        <f>VLOOKUP($B11,[3]SAP!$D:$X,20,0)</f>
        <v>3000</v>
      </c>
      <c r="S11" s="86" t="s">
        <v>225</v>
      </c>
    </row>
    <row r="12" spans="1:19" ht="14.4" x14ac:dyDescent="0.25">
      <c r="A12" s="133"/>
      <c r="B12" s="139">
        <v>10110024666</v>
      </c>
      <c r="C12" s="135" t="s">
        <v>44</v>
      </c>
      <c r="D12" s="135" t="s">
        <v>312</v>
      </c>
      <c r="E12" s="137" t="s">
        <v>555</v>
      </c>
      <c r="F12" s="134">
        <v>1</v>
      </c>
      <c r="G12" s="246" t="s">
        <v>310</v>
      </c>
      <c r="H12" s="135" t="s">
        <v>42</v>
      </c>
      <c r="I12" s="140"/>
      <c r="J12" s="143">
        <f>VLOOKUP($B12,[3]SAP!$D:$X,12,0)</f>
        <v>6.7000000000000004E-2</v>
      </c>
      <c r="K12" s="143" t="str">
        <f>VLOOKUP($B12,[3]SAP!$D:$X,19,0)</f>
        <v>CNY</v>
      </c>
      <c r="L12" s="128" t="str">
        <f>VLOOKUP($B12,[3]SAP!$D:$X,8,0)</f>
        <v>深圳市阳和通电子有限公司</v>
      </c>
      <c r="M12" s="143">
        <f t="shared" si="2"/>
        <v>6.7000000000000004E-2</v>
      </c>
      <c r="N12" s="143">
        <f t="shared" ref="N12:N17" si="3">M12*F12</f>
        <v>6.7000000000000004E-2</v>
      </c>
      <c r="O12" s="143"/>
      <c r="P12" s="143">
        <f>VLOOKUP($B12,[3]SAP!$D:$X,17,0)</f>
        <v>56</v>
      </c>
      <c r="Q12" s="143">
        <f>VLOOKUP($B12,[3]SAP!$D:$X,21,0)</f>
        <v>2000</v>
      </c>
      <c r="R12" s="143">
        <f>VLOOKUP($B12,[3]SAP!$D:$X,20,0)</f>
        <v>2000</v>
      </c>
      <c r="S12" s="86" t="s">
        <v>37</v>
      </c>
    </row>
    <row r="13" spans="1:19" ht="14.4" x14ac:dyDescent="0.25">
      <c r="A13" s="133">
        <v>7</v>
      </c>
      <c r="B13" s="134" t="s">
        <v>38</v>
      </c>
      <c r="C13" s="135" t="s">
        <v>207</v>
      </c>
      <c r="D13" s="246" t="s">
        <v>208</v>
      </c>
      <c r="E13" s="135" t="s">
        <v>209</v>
      </c>
      <c r="F13" s="134">
        <v>3</v>
      </c>
      <c r="G13" s="246" t="s">
        <v>556</v>
      </c>
      <c r="H13" s="135" t="s">
        <v>42</v>
      </c>
      <c r="I13" s="140"/>
      <c r="J13" s="143" t="e">
        <f>VLOOKUP($B13,[3]SAP!$D:$X,12,0)</f>
        <v>#N/A</v>
      </c>
      <c r="K13" s="143" t="e">
        <f>VLOOKUP($B13,[3]SAP!$D:$X,19,0)</f>
        <v>#N/A</v>
      </c>
      <c r="L13" s="128" t="e">
        <f>VLOOKUP($B13,[3]SAP!$D:$X,8,0)</f>
        <v>#N/A</v>
      </c>
      <c r="M13" s="143">
        <v>0.73450000000000004</v>
      </c>
      <c r="N13" s="143">
        <f t="shared" si="3"/>
        <v>2.2035</v>
      </c>
      <c r="O13" s="128" t="s">
        <v>538</v>
      </c>
      <c r="P13" s="143" t="e">
        <f>VLOOKUP($B13,[3]SAP!$D:$X,17,0)</f>
        <v>#N/A</v>
      </c>
      <c r="Q13" s="143" t="e">
        <f>VLOOKUP($B13,[3]SAP!$D:$X,21,0)</f>
        <v>#N/A</v>
      </c>
      <c r="R13" s="143" t="e">
        <f>VLOOKUP($B13,[3]SAP!$D:$X,20,0)</f>
        <v>#N/A</v>
      </c>
      <c r="S13" s="86" t="s">
        <v>37</v>
      </c>
    </row>
    <row r="14" spans="1:19" ht="14.4" x14ac:dyDescent="0.25">
      <c r="A14" s="133">
        <v>8</v>
      </c>
      <c r="B14" s="139">
        <v>10110014746</v>
      </c>
      <c r="C14" s="135" t="s">
        <v>557</v>
      </c>
      <c r="D14" s="135" t="s">
        <v>558</v>
      </c>
      <c r="E14" s="137" t="s">
        <v>262</v>
      </c>
      <c r="F14" s="134">
        <v>2</v>
      </c>
      <c r="G14" s="246" t="s">
        <v>319</v>
      </c>
      <c r="H14" s="138"/>
      <c r="I14" s="140"/>
      <c r="J14" s="143">
        <f>VLOOKUP($B14,[3]SAP!$D:$X,12,0)</f>
        <v>0.23311999999999999</v>
      </c>
      <c r="K14" s="143" t="str">
        <f>VLOOKUP($B14,[3]SAP!$D:$X,19,0)</f>
        <v>CNY</v>
      </c>
      <c r="L14" s="128" t="str">
        <f>VLOOKUP($B14,[3]SAP!$D:$X,8,0)</f>
        <v>汕头保税区松田电子科技有限公司</v>
      </c>
      <c r="M14" s="143">
        <f t="shared" ref="M14:M32" si="4">J14</f>
        <v>0.23311999999999999</v>
      </c>
      <c r="N14" s="143">
        <f t="shared" si="3"/>
        <v>0.46623999999999999</v>
      </c>
      <c r="O14" s="143"/>
      <c r="P14" s="143">
        <f>VLOOKUP($B14,[3]SAP!$D:$X,17,0)</f>
        <v>28</v>
      </c>
      <c r="Q14" s="143">
        <f>VLOOKUP($B14,[3]SAP!$D:$X,21,0)</f>
        <v>1000</v>
      </c>
      <c r="R14" s="143">
        <f>VLOOKUP($B14,[3]SAP!$D:$X,20,0)</f>
        <v>1000</v>
      </c>
      <c r="S14" s="86" t="s">
        <v>37</v>
      </c>
    </row>
    <row r="15" spans="1:19" ht="14.4" x14ac:dyDescent="0.25">
      <c r="A15" s="133">
        <v>9</v>
      </c>
      <c r="B15" s="134" t="s">
        <v>38</v>
      </c>
      <c r="C15" s="246" t="s">
        <v>212</v>
      </c>
      <c r="D15" s="246" t="s">
        <v>559</v>
      </c>
      <c r="E15" s="138" t="s">
        <v>214</v>
      </c>
      <c r="F15" s="134">
        <v>2</v>
      </c>
      <c r="G15" s="246" t="s">
        <v>560</v>
      </c>
      <c r="H15" s="135" t="s">
        <v>42</v>
      </c>
      <c r="I15" s="140"/>
      <c r="J15" s="143" t="e">
        <f>VLOOKUP($B15,[3]SAP!$D:$X,12,0)</f>
        <v>#N/A</v>
      </c>
      <c r="K15" s="143" t="e">
        <f>VLOOKUP($B15,[3]SAP!$D:$X,19,0)</f>
        <v>#N/A</v>
      </c>
      <c r="L15" s="128" t="e">
        <f>VLOOKUP($B15,[3]SAP!$D:$X,8,0)</f>
        <v>#N/A</v>
      </c>
      <c r="M15" s="143">
        <v>2.2374000000000001</v>
      </c>
      <c r="N15" s="143">
        <f t="shared" si="3"/>
        <v>4.4748000000000001</v>
      </c>
      <c r="P15" s="143" t="e">
        <f>VLOOKUP($B15,[3]SAP!$D:$X,17,0)</f>
        <v>#N/A</v>
      </c>
      <c r="Q15" s="143" t="e">
        <f>VLOOKUP($B15,[3]SAP!$D:$X,21,0)</f>
        <v>#N/A</v>
      </c>
      <c r="R15" s="143" t="e">
        <f>VLOOKUP($B15,[3]SAP!$D:$X,20,0)</f>
        <v>#N/A</v>
      </c>
      <c r="S15" s="86" t="s">
        <v>37</v>
      </c>
    </row>
    <row r="16" spans="1:19" ht="14.4" x14ac:dyDescent="0.25">
      <c r="A16" s="133">
        <v>10</v>
      </c>
      <c r="B16" s="134" t="s">
        <v>38</v>
      </c>
      <c r="C16" s="246" t="s">
        <v>216</v>
      </c>
      <c r="D16" s="246" t="s">
        <v>217</v>
      </c>
      <c r="E16" s="138" t="s">
        <v>214</v>
      </c>
      <c r="F16" s="134">
        <v>1</v>
      </c>
      <c r="G16" s="246" t="s">
        <v>561</v>
      </c>
      <c r="H16" s="135" t="s">
        <v>42</v>
      </c>
      <c r="I16" s="140"/>
      <c r="J16" s="143" t="e">
        <f>VLOOKUP($B16,[3]SAP!$D:$X,12,0)</f>
        <v>#N/A</v>
      </c>
      <c r="K16" s="143" t="e">
        <f>VLOOKUP($B16,[3]SAP!$D:$X,19,0)</f>
        <v>#N/A</v>
      </c>
      <c r="L16" s="128" t="e">
        <f>VLOOKUP($B16,[3]SAP!$D:$X,8,0)</f>
        <v>#N/A</v>
      </c>
      <c r="M16" s="143">
        <v>0.17515</v>
      </c>
      <c r="N16" s="143">
        <f t="shared" si="3"/>
        <v>0.17515</v>
      </c>
      <c r="P16" s="143" t="e">
        <f>VLOOKUP($B16,[3]SAP!$D:$X,17,0)</f>
        <v>#N/A</v>
      </c>
      <c r="Q16" s="143" t="e">
        <f>VLOOKUP($B16,[3]SAP!$D:$X,21,0)</f>
        <v>#N/A</v>
      </c>
      <c r="R16" s="143" t="e">
        <f>VLOOKUP($B16,[3]SAP!$D:$X,20,0)</f>
        <v>#N/A</v>
      </c>
      <c r="S16" s="86" t="s">
        <v>37</v>
      </c>
    </row>
    <row r="17" spans="1:19" ht="14.4" x14ac:dyDescent="0.25">
      <c r="A17" s="133">
        <v>11</v>
      </c>
      <c r="B17" s="134" t="s">
        <v>38</v>
      </c>
      <c r="C17" s="246" t="s">
        <v>216</v>
      </c>
      <c r="D17" s="135" t="s">
        <v>219</v>
      </c>
      <c r="E17" s="138" t="s">
        <v>214</v>
      </c>
      <c r="F17" s="134">
        <v>1</v>
      </c>
      <c r="G17" s="246" t="s">
        <v>220</v>
      </c>
      <c r="H17" s="135" t="s">
        <v>42</v>
      </c>
      <c r="I17" s="140"/>
      <c r="J17" s="143" t="e">
        <f>VLOOKUP($B17,[3]SAP!$D:$X,12,0)</f>
        <v>#N/A</v>
      </c>
      <c r="K17" s="143" t="e">
        <f>VLOOKUP($B17,[3]SAP!$D:$X,19,0)</f>
        <v>#N/A</v>
      </c>
      <c r="L17" s="128" t="e">
        <f>VLOOKUP($B17,[3]SAP!$D:$X,8,0)</f>
        <v>#N/A</v>
      </c>
      <c r="M17" s="143">
        <v>0.49154999999999999</v>
      </c>
      <c r="N17" s="143">
        <f t="shared" si="3"/>
        <v>0.49154999999999999</v>
      </c>
      <c r="P17" s="143" t="e">
        <f>VLOOKUP($B17,[3]SAP!$D:$X,17,0)</f>
        <v>#N/A</v>
      </c>
      <c r="Q17" s="143" t="e">
        <f>VLOOKUP($B17,[3]SAP!$D:$X,21,0)</f>
        <v>#N/A</v>
      </c>
      <c r="R17" s="143" t="e">
        <f>VLOOKUP($B17,[3]SAP!$D:$X,20,0)</f>
        <v>#N/A</v>
      </c>
      <c r="S17" s="86" t="s">
        <v>37</v>
      </c>
    </row>
    <row r="18" spans="1:19" ht="14.4" x14ac:dyDescent="0.25">
      <c r="A18" s="133">
        <v>12</v>
      </c>
      <c r="B18" s="139">
        <v>10110008742</v>
      </c>
      <c r="C18" s="135" t="s">
        <v>44</v>
      </c>
      <c r="D18" s="135" t="s">
        <v>335</v>
      </c>
      <c r="E18" s="137" t="s">
        <v>60</v>
      </c>
      <c r="F18" s="134">
        <v>3</v>
      </c>
      <c r="G18" s="135" t="s">
        <v>336</v>
      </c>
      <c r="H18" s="135"/>
      <c r="I18" s="140"/>
      <c r="J18" s="143">
        <f>VLOOKUP($B18,[3]SAP!$D:$X,12,0)</f>
        <v>2.1900000000000001E-3</v>
      </c>
      <c r="K18" s="143" t="str">
        <f>VLOOKUP($B18,[3]SAP!$D:$X,19,0)</f>
        <v>CNY</v>
      </c>
      <c r="L18" s="128" t="str">
        <f>VLOOKUP($B18,[3]SAP!$D:$X,8,0)</f>
        <v>广东风华高新科技股份有限公司</v>
      </c>
      <c r="M18" s="143">
        <f t="shared" si="4"/>
        <v>2.1900000000000001E-3</v>
      </c>
      <c r="N18" s="143"/>
      <c r="O18" s="143"/>
      <c r="P18" s="143">
        <f>VLOOKUP($B18,[3]SAP!$D:$X,17,0)</f>
        <v>42</v>
      </c>
      <c r="Q18" s="143">
        <f>VLOOKUP($B18,[3]SAP!$D:$X,21,0)</f>
        <v>10000</v>
      </c>
      <c r="R18" s="143">
        <f>VLOOKUP($B18,[3]SAP!$D:$X,20,0)</f>
        <v>10000</v>
      </c>
      <c r="S18" s="86" t="s">
        <v>225</v>
      </c>
    </row>
    <row r="19" spans="1:19" ht="26.4" x14ac:dyDescent="0.25">
      <c r="A19" s="133"/>
      <c r="B19" s="139">
        <v>10110008993</v>
      </c>
      <c r="C19" s="135" t="s">
        <v>44</v>
      </c>
      <c r="D19" s="135" t="s">
        <v>337</v>
      </c>
      <c r="E19" s="137" t="s">
        <v>77</v>
      </c>
      <c r="F19" s="134">
        <v>3</v>
      </c>
      <c r="G19" s="135" t="s">
        <v>336</v>
      </c>
      <c r="H19" s="135" t="s">
        <v>42</v>
      </c>
      <c r="I19" s="140"/>
      <c r="J19" s="143">
        <f>VLOOKUP($B19,[3]SAP!$D:$X,12,0)</f>
        <v>3.0500000000000002E-3</v>
      </c>
      <c r="K19" s="143" t="str">
        <f>VLOOKUP($B19,[3]SAP!$D:$X,19,0)</f>
        <v>CNY</v>
      </c>
      <c r="L19" s="128" t="str">
        <f>VLOOKUP($B19,[3]SAP!$D:$X,8,0)</f>
        <v>东莞华科电子有限公司</v>
      </c>
      <c r="M19" s="143">
        <f t="shared" si="4"/>
        <v>3.0500000000000002E-3</v>
      </c>
      <c r="N19" s="143"/>
      <c r="O19" s="143"/>
      <c r="P19" s="143">
        <f>VLOOKUP($B19,[3]SAP!$D:$X,17,0)</f>
        <v>70</v>
      </c>
      <c r="Q19" s="143">
        <f>VLOOKUP($B19,[3]SAP!$D:$X,21,0)</f>
        <v>1000</v>
      </c>
      <c r="R19" s="143">
        <f>VLOOKUP($B19,[3]SAP!$D:$X,20,0)</f>
        <v>10000</v>
      </c>
      <c r="S19" s="86" t="s">
        <v>225</v>
      </c>
    </row>
    <row r="20" spans="1:19" ht="26.4" x14ac:dyDescent="0.25">
      <c r="A20" s="133"/>
      <c r="B20" s="139">
        <v>10110010638</v>
      </c>
      <c r="C20" s="135" t="s">
        <v>44</v>
      </c>
      <c r="D20" s="135" t="s">
        <v>338</v>
      </c>
      <c r="E20" s="137" t="s">
        <v>176</v>
      </c>
      <c r="F20" s="134">
        <v>3</v>
      </c>
      <c r="G20" s="135" t="s">
        <v>336</v>
      </c>
      <c r="H20" s="135" t="s">
        <v>42</v>
      </c>
      <c r="I20" s="140"/>
      <c r="J20" s="143">
        <f>VLOOKUP($B20,[3]SAP!$D:$X,12,0)</f>
        <v>7.3699999999999998E-3</v>
      </c>
      <c r="K20" s="143" t="str">
        <f>VLOOKUP($B20,[3]SAP!$D:$X,19,0)</f>
        <v>CNY</v>
      </c>
      <c r="L20" s="128" t="str">
        <f>VLOOKUP($B20,[3]SAP!$D:$X,8,0)</f>
        <v>深圳市宏昌鑫科技有限责任公司</v>
      </c>
      <c r="M20" s="143">
        <f t="shared" si="4"/>
        <v>7.3699999999999998E-3</v>
      </c>
      <c r="N20" s="143"/>
      <c r="O20" s="143"/>
      <c r="P20" s="143">
        <f>VLOOKUP($B20,[3]SAP!$D:$X,17,0)</f>
        <v>140</v>
      </c>
      <c r="Q20" s="143">
        <f>VLOOKUP($B20,[3]SAP!$D:$X,21,0)</f>
        <v>10000</v>
      </c>
      <c r="R20" s="143">
        <f>VLOOKUP($B20,[3]SAP!$D:$X,20,0)</f>
        <v>10000</v>
      </c>
      <c r="S20" s="86" t="s">
        <v>225</v>
      </c>
    </row>
    <row r="21" spans="1:19" ht="14.4" x14ac:dyDescent="0.25">
      <c r="A21" s="133"/>
      <c r="B21" s="139">
        <v>10110015893</v>
      </c>
      <c r="C21" s="135" t="s">
        <v>44</v>
      </c>
      <c r="D21" s="135" t="s">
        <v>340</v>
      </c>
      <c r="E21" s="137" t="s">
        <v>57</v>
      </c>
      <c r="F21" s="134">
        <v>3</v>
      </c>
      <c r="G21" s="135" t="s">
        <v>336</v>
      </c>
      <c r="H21" s="135" t="s">
        <v>42</v>
      </c>
      <c r="I21" s="140"/>
      <c r="J21" s="143">
        <f>VLOOKUP($B21,[3]SAP!$D:$X,12,0)</f>
        <v>1.8600000000000001E-3</v>
      </c>
      <c r="K21" s="143" t="str">
        <f>VLOOKUP($B21,[3]SAP!$D:$X,19,0)</f>
        <v>CNY</v>
      </c>
      <c r="L21" s="128" t="str">
        <f>VLOOKUP($B21,[3]SAP!$D:$X,8,0)</f>
        <v>潮州三环（集团）股份有限公司</v>
      </c>
      <c r="M21" s="143">
        <f t="shared" si="4"/>
        <v>1.8600000000000001E-3</v>
      </c>
      <c r="N21" s="143">
        <f>M21*F21</f>
        <v>5.5799999999999999E-3</v>
      </c>
      <c r="O21" s="143"/>
      <c r="P21" s="143">
        <f>VLOOKUP($B21,[3]SAP!$D:$X,17,0)</f>
        <v>56</v>
      </c>
      <c r="Q21" s="143">
        <f>VLOOKUP($B21,[3]SAP!$D:$X,21,0)</f>
        <v>10000</v>
      </c>
      <c r="R21" s="143">
        <f>VLOOKUP($B21,[3]SAP!$D:$X,20,0)</f>
        <v>10000</v>
      </c>
      <c r="S21" s="86" t="s">
        <v>37</v>
      </c>
    </row>
    <row r="22" spans="1:19" ht="39.6" x14ac:dyDescent="0.25">
      <c r="A22" s="133"/>
      <c r="B22" s="139">
        <v>10110016198</v>
      </c>
      <c r="C22" s="135" t="s">
        <v>44</v>
      </c>
      <c r="D22" s="135" t="s">
        <v>341</v>
      </c>
      <c r="E22" s="137" t="s">
        <v>46</v>
      </c>
      <c r="F22" s="134">
        <v>3</v>
      </c>
      <c r="G22" s="135" t="s">
        <v>336</v>
      </c>
      <c r="H22" s="138"/>
      <c r="I22" s="140"/>
      <c r="J22" s="143">
        <f>VLOOKUP($B22,[3]SAP!$D:$X,12,0)</f>
        <v>2.3E-3</v>
      </c>
      <c r="K22" s="143" t="str">
        <f>VLOOKUP($B22,[3]SAP!$D:$X,19,0)</f>
        <v>CNY</v>
      </c>
      <c r="L22" s="128" t="str">
        <f>VLOOKUP($B22,[3]SAP!$D:$X,8,0)</f>
        <v>深圳市奥特高科电子有限公司</v>
      </c>
      <c r="M22" s="143">
        <f t="shared" si="4"/>
        <v>2.3E-3</v>
      </c>
      <c r="N22" s="143"/>
      <c r="O22" s="143"/>
      <c r="P22" s="143">
        <f>VLOOKUP($B22,[3]SAP!$D:$X,17,0)</f>
        <v>56</v>
      </c>
      <c r="Q22" s="143">
        <f>VLOOKUP($B22,[3]SAP!$D:$X,21,0)</f>
        <v>10000</v>
      </c>
      <c r="R22" s="143">
        <f>VLOOKUP($B22,[3]SAP!$D:$X,20,0)</f>
        <v>10000</v>
      </c>
      <c r="S22" s="86" t="s">
        <v>225</v>
      </c>
    </row>
    <row r="23" spans="1:19" ht="14.4" x14ac:dyDescent="0.25">
      <c r="A23" s="133">
        <v>13</v>
      </c>
      <c r="B23" s="139">
        <v>10110011269</v>
      </c>
      <c r="C23" s="135" t="s">
        <v>172</v>
      </c>
      <c r="D23" s="135" t="s">
        <v>342</v>
      </c>
      <c r="E23" s="137" t="s">
        <v>57</v>
      </c>
      <c r="F23" s="134">
        <v>3</v>
      </c>
      <c r="G23" s="135" t="s">
        <v>343</v>
      </c>
      <c r="H23" s="135" t="s">
        <v>42</v>
      </c>
      <c r="I23" s="140"/>
      <c r="J23" s="143">
        <f>VLOOKUP($B23,[3]SAP!$D:$X,12,0)</f>
        <v>1.8500000000000001E-3</v>
      </c>
      <c r="K23" s="143" t="str">
        <f>VLOOKUP($B23,[3]SAP!$D:$X,19,0)</f>
        <v>CNY</v>
      </c>
      <c r="L23" s="128" t="str">
        <f>VLOOKUP($B23,[3]SAP!$D:$X,8,0)</f>
        <v>潮州三环（集团）股份有限公司</v>
      </c>
      <c r="M23" s="143">
        <f t="shared" si="4"/>
        <v>1.8500000000000001E-3</v>
      </c>
      <c r="N23" s="143">
        <f>M23*F23</f>
        <v>5.5500000000000002E-3</v>
      </c>
      <c r="O23" s="143"/>
      <c r="P23" s="143">
        <f>VLOOKUP($B23,[3]SAP!$D:$X,17,0)</f>
        <v>56</v>
      </c>
      <c r="Q23" s="143">
        <f>VLOOKUP($B23,[3]SAP!$D:$X,21,0)</f>
        <v>10000</v>
      </c>
      <c r="R23" s="143">
        <f>VLOOKUP($B23,[3]SAP!$D:$X,20,0)</f>
        <v>10000</v>
      </c>
      <c r="S23" s="86" t="s">
        <v>37</v>
      </c>
    </row>
    <row r="24" spans="1:19" ht="14.4" x14ac:dyDescent="0.25">
      <c r="A24" s="133"/>
      <c r="B24" s="139">
        <v>10110008729</v>
      </c>
      <c r="C24" s="135" t="s">
        <v>44</v>
      </c>
      <c r="D24" s="135" t="s">
        <v>344</v>
      </c>
      <c r="E24" s="137" t="s">
        <v>60</v>
      </c>
      <c r="F24" s="134">
        <v>3</v>
      </c>
      <c r="G24" s="135" t="s">
        <v>343</v>
      </c>
      <c r="H24" s="138"/>
      <c r="I24" s="140"/>
      <c r="J24" s="143">
        <f>VLOOKUP($B24,[3]SAP!$D:$X,12,0)</f>
        <v>2.0999999999999999E-3</v>
      </c>
      <c r="K24" s="143" t="str">
        <f>VLOOKUP($B24,[3]SAP!$D:$X,19,0)</f>
        <v>CNY</v>
      </c>
      <c r="L24" s="128" t="str">
        <f>VLOOKUP($B24,[3]SAP!$D:$X,8,0)</f>
        <v>广东风华高新科技股份有限公司</v>
      </c>
      <c r="M24" s="143">
        <f t="shared" si="4"/>
        <v>2.0999999999999999E-3</v>
      </c>
      <c r="N24" s="143"/>
      <c r="O24" s="143"/>
      <c r="P24" s="143">
        <f>VLOOKUP($B24,[3]SAP!$D:$X,17,0)</f>
        <v>56</v>
      </c>
      <c r="Q24" s="143">
        <f>VLOOKUP($B24,[3]SAP!$D:$X,21,0)</f>
        <v>10000</v>
      </c>
      <c r="R24" s="143">
        <f>VLOOKUP($B24,[3]SAP!$D:$X,20,0)</f>
        <v>10000</v>
      </c>
      <c r="S24" s="86" t="s">
        <v>225</v>
      </c>
    </row>
    <row r="25" spans="1:19" ht="26.4" x14ac:dyDescent="0.25">
      <c r="A25" s="133"/>
      <c r="B25" s="139">
        <v>10110004676</v>
      </c>
      <c r="C25" s="135" t="s">
        <v>172</v>
      </c>
      <c r="D25" s="135" t="s">
        <v>345</v>
      </c>
      <c r="E25" s="137" t="s">
        <v>77</v>
      </c>
      <c r="F25" s="134">
        <v>3</v>
      </c>
      <c r="G25" s="135" t="s">
        <v>343</v>
      </c>
      <c r="H25" s="135" t="s">
        <v>42</v>
      </c>
      <c r="I25" s="140"/>
      <c r="J25" s="143">
        <f>VLOOKUP($B25,[3]SAP!$D:$X,12,0)</f>
        <v>1.98E-3</v>
      </c>
      <c r="K25" s="143" t="str">
        <f>VLOOKUP($B25,[3]SAP!$D:$X,19,0)</f>
        <v>CNY</v>
      </c>
      <c r="L25" s="128" t="str">
        <f>VLOOKUP($B25,[3]SAP!$D:$X,8,0)</f>
        <v>东莞华科电子有限公司</v>
      </c>
      <c r="M25" s="143">
        <f t="shared" si="4"/>
        <v>1.98E-3</v>
      </c>
      <c r="N25" s="143"/>
      <c r="O25" s="143"/>
      <c r="P25" s="143">
        <f>VLOOKUP($B25,[3]SAP!$D:$X,17,0)</f>
        <v>56</v>
      </c>
      <c r="Q25" s="143">
        <f>VLOOKUP($B25,[3]SAP!$D:$X,21,0)</f>
        <v>10000</v>
      </c>
      <c r="R25" s="143">
        <f>VLOOKUP($B25,[3]SAP!$D:$X,20,0)</f>
        <v>10000</v>
      </c>
      <c r="S25" s="86" t="s">
        <v>225</v>
      </c>
    </row>
    <row r="26" spans="1:19" ht="39.6" x14ac:dyDescent="0.25">
      <c r="A26" s="133"/>
      <c r="B26" s="139">
        <v>10110003897</v>
      </c>
      <c r="C26" s="135" t="s">
        <v>172</v>
      </c>
      <c r="D26" s="135" t="s">
        <v>346</v>
      </c>
      <c r="E26" s="137" t="s">
        <v>46</v>
      </c>
      <c r="F26" s="134">
        <v>3</v>
      </c>
      <c r="G26" s="135" t="s">
        <v>343</v>
      </c>
      <c r="H26" s="138"/>
      <c r="I26" s="140"/>
      <c r="J26" s="143">
        <f>VLOOKUP($B26,[3]SAP!$D:$X,12,0)</f>
        <v>2.2000000000000001E-3</v>
      </c>
      <c r="K26" s="143" t="str">
        <f>VLOOKUP($B26,[3]SAP!$D:$X,19,0)</f>
        <v>CNY</v>
      </c>
      <c r="L26" s="128" t="str">
        <f>VLOOKUP($B26,[3]SAP!$D:$X,8,0)</f>
        <v>深圳市奥特高科电子有限公司</v>
      </c>
      <c r="M26" s="143">
        <f t="shared" si="4"/>
        <v>2.2000000000000001E-3</v>
      </c>
      <c r="N26" s="143"/>
      <c r="O26" s="143"/>
      <c r="P26" s="143">
        <f>VLOOKUP($B26,[3]SAP!$D:$X,17,0)</f>
        <v>56</v>
      </c>
      <c r="Q26" s="143">
        <f>VLOOKUP($B26,[3]SAP!$D:$X,21,0)</f>
        <v>10000</v>
      </c>
      <c r="R26" s="143">
        <f>VLOOKUP($B26,[3]SAP!$D:$X,20,0)</f>
        <v>10000</v>
      </c>
      <c r="S26" s="86" t="s">
        <v>225</v>
      </c>
    </row>
    <row r="27" spans="1:19" ht="26.4" x14ac:dyDescent="0.25">
      <c r="A27" s="133"/>
      <c r="B27" s="139">
        <v>10110007139</v>
      </c>
      <c r="C27" s="135" t="s">
        <v>44</v>
      </c>
      <c r="D27" s="135" t="s">
        <v>347</v>
      </c>
      <c r="E27" s="137" t="s">
        <v>176</v>
      </c>
      <c r="F27" s="134">
        <v>3</v>
      </c>
      <c r="G27" s="135" t="s">
        <v>343</v>
      </c>
      <c r="H27" s="135" t="s">
        <v>42</v>
      </c>
      <c r="I27" s="140"/>
      <c r="J27" s="143">
        <f>VLOOKUP($B27,[3]SAP!$D:$X,12,0)</f>
        <v>2.2000000000000001E-3</v>
      </c>
      <c r="K27" s="143" t="str">
        <f>VLOOKUP($B27,[3]SAP!$D:$X,19,0)</f>
        <v>CNY</v>
      </c>
      <c r="L27" s="128" t="str">
        <f>VLOOKUP($B27,[3]SAP!$D:$X,8,0)</f>
        <v>深圳市天河星供应链有限公司</v>
      </c>
      <c r="M27" s="143">
        <f t="shared" si="4"/>
        <v>2.2000000000000001E-3</v>
      </c>
      <c r="N27" s="143"/>
      <c r="O27" s="143"/>
      <c r="P27" s="143">
        <f>VLOOKUP($B27,[3]SAP!$D:$X,17,0)</f>
        <v>56</v>
      </c>
      <c r="Q27" s="143">
        <f>VLOOKUP($B27,[3]SAP!$D:$X,21,0)</f>
        <v>1000</v>
      </c>
      <c r="R27" s="143">
        <f>VLOOKUP($B27,[3]SAP!$D:$X,20,0)</f>
        <v>10000</v>
      </c>
      <c r="S27" s="86" t="s">
        <v>225</v>
      </c>
    </row>
    <row r="28" spans="1:19" ht="14.4" x14ac:dyDescent="0.25">
      <c r="A28" s="133">
        <v>14</v>
      </c>
      <c r="B28" s="139">
        <v>10110012149</v>
      </c>
      <c r="C28" s="135" t="s">
        <v>44</v>
      </c>
      <c r="D28" s="135" t="s">
        <v>169</v>
      </c>
      <c r="E28" s="137" t="s">
        <v>57</v>
      </c>
      <c r="F28" s="134">
        <v>4</v>
      </c>
      <c r="G28" s="135" t="s">
        <v>562</v>
      </c>
      <c r="H28" s="135" t="s">
        <v>42</v>
      </c>
      <c r="I28" s="140"/>
      <c r="J28" s="143">
        <f>VLOOKUP($B28,[3]SAP!$D:$X,12,0)</f>
        <v>1.8500000000000001E-3</v>
      </c>
      <c r="K28" s="143" t="str">
        <f>VLOOKUP($B28,[3]SAP!$D:$X,19,0)</f>
        <v>CNY</v>
      </c>
      <c r="L28" s="128" t="str">
        <f>VLOOKUP($B28,[3]SAP!$D:$X,8,0)</f>
        <v>潮州三环（集团）股份有限公司</v>
      </c>
      <c r="M28" s="143">
        <f t="shared" si="4"/>
        <v>1.8500000000000001E-3</v>
      </c>
      <c r="N28" s="143">
        <f>M28*F28</f>
        <v>7.4000000000000003E-3</v>
      </c>
      <c r="O28" s="143"/>
      <c r="P28" s="143">
        <f>VLOOKUP($B28,[3]SAP!$D:$X,17,0)</f>
        <v>56</v>
      </c>
      <c r="Q28" s="143">
        <f>VLOOKUP($B28,[3]SAP!$D:$X,21,0)</f>
        <v>10000</v>
      </c>
      <c r="R28" s="143">
        <f>VLOOKUP($B28,[3]SAP!$D:$X,20,0)</f>
        <v>10000</v>
      </c>
      <c r="S28" s="86" t="s">
        <v>37</v>
      </c>
    </row>
    <row r="29" spans="1:19" ht="14.4" x14ac:dyDescent="0.25">
      <c r="A29" s="133"/>
      <c r="B29" s="139">
        <v>10110008734</v>
      </c>
      <c r="C29" s="135" t="s">
        <v>44</v>
      </c>
      <c r="D29" s="135" t="s">
        <v>171</v>
      </c>
      <c r="E29" s="137" t="s">
        <v>60</v>
      </c>
      <c r="F29" s="134">
        <v>4</v>
      </c>
      <c r="G29" s="135" t="s">
        <v>562</v>
      </c>
      <c r="H29" s="138"/>
      <c r="I29" s="140"/>
      <c r="J29" s="143">
        <f>VLOOKUP($B29,[3]SAP!$D:$X,12,0)</f>
        <v>2.0999999999999999E-3</v>
      </c>
      <c r="K29" s="143" t="str">
        <f>VLOOKUP($B29,[3]SAP!$D:$X,19,0)</f>
        <v>CNY</v>
      </c>
      <c r="L29" s="128" t="str">
        <f>VLOOKUP($B29,[3]SAP!$D:$X,8,0)</f>
        <v>广东风华高新科技股份有限公司</v>
      </c>
      <c r="M29" s="143">
        <f t="shared" si="4"/>
        <v>2.0999999999999999E-3</v>
      </c>
      <c r="N29" s="143"/>
      <c r="O29" s="143"/>
      <c r="P29" s="143">
        <f>VLOOKUP($B29,[3]SAP!$D:$X,17,0)</f>
        <v>56</v>
      </c>
      <c r="Q29" s="143">
        <f>VLOOKUP($B29,[3]SAP!$D:$X,21,0)</f>
        <v>10000</v>
      </c>
      <c r="R29" s="143">
        <f>VLOOKUP($B29,[3]SAP!$D:$X,20,0)</f>
        <v>10000</v>
      </c>
      <c r="S29" s="86" t="s">
        <v>225</v>
      </c>
    </row>
    <row r="30" spans="1:19" ht="26.4" x14ac:dyDescent="0.25">
      <c r="A30" s="133"/>
      <c r="B30" s="139">
        <v>10110005817</v>
      </c>
      <c r="C30" s="135" t="s">
        <v>172</v>
      </c>
      <c r="D30" s="135" t="s">
        <v>173</v>
      </c>
      <c r="E30" s="137" t="s">
        <v>77</v>
      </c>
      <c r="F30" s="134">
        <v>4</v>
      </c>
      <c r="G30" s="135" t="s">
        <v>562</v>
      </c>
      <c r="H30" s="135" t="s">
        <v>42</v>
      </c>
      <c r="I30" s="140"/>
      <c r="J30" s="143">
        <f>VLOOKUP($B30,[3]SAP!$D:$X,12,0)</f>
        <v>1.98E-3</v>
      </c>
      <c r="K30" s="143" t="str">
        <f>VLOOKUP($B30,[3]SAP!$D:$X,19,0)</f>
        <v>CNY</v>
      </c>
      <c r="L30" s="128" t="str">
        <f>VLOOKUP($B30,[3]SAP!$D:$X,8,0)</f>
        <v>东莞华科电子有限公司</v>
      </c>
      <c r="M30" s="143">
        <f t="shared" si="4"/>
        <v>1.98E-3</v>
      </c>
      <c r="N30" s="143"/>
      <c r="O30" s="143"/>
      <c r="P30" s="143">
        <f>VLOOKUP($B30,[3]SAP!$D:$X,17,0)</f>
        <v>56</v>
      </c>
      <c r="Q30" s="143">
        <f>VLOOKUP($B30,[3]SAP!$D:$X,21,0)</f>
        <v>10000</v>
      </c>
      <c r="R30" s="143">
        <f>VLOOKUP($B30,[3]SAP!$D:$X,20,0)</f>
        <v>10000</v>
      </c>
      <c r="S30" s="86" t="s">
        <v>225</v>
      </c>
    </row>
    <row r="31" spans="1:19" ht="39.6" x14ac:dyDescent="0.25">
      <c r="A31" s="133"/>
      <c r="B31" s="139">
        <v>10110003896</v>
      </c>
      <c r="C31" s="135" t="s">
        <v>172</v>
      </c>
      <c r="D31" s="135" t="s">
        <v>174</v>
      </c>
      <c r="E31" s="137" t="s">
        <v>46</v>
      </c>
      <c r="F31" s="134">
        <v>4</v>
      </c>
      <c r="G31" s="135" t="s">
        <v>562</v>
      </c>
      <c r="H31" s="138"/>
      <c r="I31" s="140"/>
      <c r="J31" s="143">
        <f>VLOOKUP($B31,[3]SAP!$D:$X,12,0)</f>
        <v>2.3E-3</v>
      </c>
      <c r="K31" s="143" t="str">
        <f>VLOOKUP($B31,[3]SAP!$D:$X,19,0)</f>
        <v>CNY</v>
      </c>
      <c r="L31" s="128" t="str">
        <f>VLOOKUP($B31,[3]SAP!$D:$X,8,0)</f>
        <v>深圳市奥特高科电子有限公司</v>
      </c>
      <c r="M31" s="143">
        <f t="shared" si="4"/>
        <v>2.3E-3</v>
      </c>
      <c r="N31" s="143"/>
      <c r="O31" s="143"/>
      <c r="P31" s="143">
        <f>VLOOKUP($B31,[3]SAP!$D:$X,17,0)</f>
        <v>56</v>
      </c>
      <c r="Q31" s="143">
        <f>VLOOKUP($B31,[3]SAP!$D:$X,21,0)</f>
        <v>10000</v>
      </c>
      <c r="R31" s="143">
        <f>VLOOKUP($B31,[3]SAP!$D:$X,20,0)</f>
        <v>10000</v>
      </c>
      <c r="S31" s="86" t="s">
        <v>225</v>
      </c>
    </row>
    <row r="32" spans="1:19" ht="26.4" x14ac:dyDescent="0.25">
      <c r="A32" s="133"/>
      <c r="B32" s="139">
        <v>10110007822</v>
      </c>
      <c r="C32" s="135" t="s">
        <v>44</v>
      </c>
      <c r="D32" s="135" t="s">
        <v>175</v>
      </c>
      <c r="E32" s="137" t="s">
        <v>176</v>
      </c>
      <c r="F32" s="134">
        <v>4</v>
      </c>
      <c r="G32" s="135" t="s">
        <v>562</v>
      </c>
      <c r="H32" s="135" t="s">
        <v>42</v>
      </c>
      <c r="I32" s="140"/>
      <c r="J32" s="143">
        <f>VLOOKUP($B32,[3]SAP!$D:$X,12,0)</f>
        <v>2.3999999999999998E-3</v>
      </c>
      <c r="K32" s="143" t="str">
        <f>VLOOKUP($B32,[3]SAP!$D:$X,19,0)</f>
        <v>CNY</v>
      </c>
      <c r="L32" s="128" t="str">
        <f>VLOOKUP($B32,[3]SAP!$D:$X,8,0)</f>
        <v>广东顺德集财电子有限公司</v>
      </c>
      <c r="M32" s="143">
        <f t="shared" si="4"/>
        <v>2.3999999999999998E-3</v>
      </c>
      <c r="N32" s="143"/>
      <c r="O32" s="143"/>
      <c r="P32" s="143">
        <f>VLOOKUP($B32,[3]SAP!$D:$X,17,0)</f>
        <v>56</v>
      </c>
      <c r="Q32" s="143">
        <f>VLOOKUP($B32,[3]SAP!$D:$X,21,0)</f>
        <v>10000</v>
      </c>
      <c r="R32" s="143">
        <f>VLOOKUP($B32,[3]SAP!$D:$X,20,0)</f>
        <v>10000</v>
      </c>
      <c r="S32" s="86" t="s">
        <v>225</v>
      </c>
    </row>
    <row r="33" spans="1:19" ht="14.4" x14ac:dyDescent="0.25">
      <c r="A33" s="133">
        <v>15</v>
      </c>
      <c r="B33" s="139">
        <v>10110007154</v>
      </c>
      <c r="C33" s="135" t="s">
        <v>44</v>
      </c>
      <c r="D33" s="135" t="s">
        <v>71</v>
      </c>
      <c r="E33" s="135" t="s">
        <v>563</v>
      </c>
      <c r="F33" s="134">
        <v>2</v>
      </c>
      <c r="G33" s="135" t="s">
        <v>564</v>
      </c>
      <c r="H33" s="135" t="s">
        <v>42</v>
      </c>
      <c r="I33" s="140"/>
      <c r="J33" s="143" t="e">
        <f>VLOOKUP($B33,[3]SAP!$D:$X,12,0)</f>
        <v>#N/A</v>
      </c>
      <c r="K33" s="143" t="e">
        <f>VLOOKUP($B33,[3]SAP!$D:$X,19,0)</f>
        <v>#N/A</v>
      </c>
      <c r="L33" s="128" t="e">
        <f>VLOOKUP($B33,[3]SAP!$D:$X,8,0)</f>
        <v>#N/A</v>
      </c>
      <c r="M33" s="144">
        <v>0.23599999999999999</v>
      </c>
      <c r="N33" s="144">
        <f>M33*F33</f>
        <v>0.47199999999999998</v>
      </c>
      <c r="O33" s="78" t="s">
        <v>73</v>
      </c>
      <c r="P33" s="143" t="e">
        <f>VLOOKUP($B33,[3]SAP!$D:$X,17,0)</f>
        <v>#N/A</v>
      </c>
      <c r="Q33" s="143" t="e">
        <f>VLOOKUP($B33,[3]SAP!$D:$X,21,0)</f>
        <v>#N/A</v>
      </c>
      <c r="R33" s="143" t="e">
        <f>VLOOKUP($B33,[3]SAP!$D:$X,20,0)</f>
        <v>#N/A</v>
      </c>
      <c r="S33" s="86" t="s">
        <v>37</v>
      </c>
    </row>
    <row r="34" spans="1:19" ht="14.4" x14ac:dyDescent="0.25">
      <c r="A34" s="133">
        <v>16</v>
      </c>
      <c r="B34" s="139">
        <v>10110012147</v>
      </c>
      <c r="C34" s="135" t="s">
        <v>44</v>
      </c>
      <c r="D34" s="135" t="s">
        <v>349</v>
      </c>
      <c r="E34" s="137" t="s">
        <v>57</v>
      </c>
      <c r="F34" s="134">
        <v>2</v>
      </c>
      <c r="G34" s="135" t="s">
        <v>78</v>
      </c>
      <c r="H34" s="135" t="s">
        <v>42</v>
      </c>
      <c r="I34" s="140"/>
      <c r="J34" s="143">
        <f>VLOOKUP($B34,[3]SAP!$D:$X,12,0)</f>
        <v>1.9499999999999999E-3</v>
      </c>
      <c r="K34" s="143" t="str">
        <f>VLOOKUP($B34,[3]SAP!$D:$X,19,0)</f>
        <v>CNY</v>
      </c>
      <c r="L34" s="128" t="str">
        <f>VLOOKUP($B34,[3]SAP!$D:$X,8,0)</f>
        <v>潮州三环（集团）股份有限公司</v>
      </c>
      <c r="M34" s="143">
        <f t="shared" ref="M34:M41" si="5">J34</f>
        <v>1.9499999999999999E-3</v>
      </c>
      <c r="N34" s="143">
        <f>M34*F34</f>
        <v>3.8999999999999998E-3</v>
      </c>
      <c r="O34" s="143"/>
      <c r="P34" s="143">
        <f>VLOOKUP($B34,[3]SAP!$D:$X,17,0)</f>
        <v>56</v>
      </c>
      <c r="Q34" s="143">
        <f>VLOOKUP($B34,[3]SAP!$D:$X,21,0)</f>
        <v>10000</v>
      </c>
      <c r="R34" s="143">
        <f>VLOOKUP($B34,[3]SAP!$D:$X,20,0)</f>
        <v>10000</v>
      </c>
      <c r="S34" s="86" t="s">
        <v>37</v>
      </c>
    </row>
    <row r="35" spans="1:19" ht="14.4" x14ac:dyDescent="0.25">
      <c r="A35" s="133"/>
      <c r="B35" s="139">
        <v>10110008726</v>
      </c>
      <c r="C35" s="135" t="s">
        <v>44</v>
      </c>
      <c r="D35" s="135" t="s">
        <v>351</v>
      </c>
      <c r="E35" s="137" t="s">
        <v>60</v>
      </c>
      <c r="F35" s="134">
        <v>2</v>
      </c>
      <c r="G35" s="135" t="s">
        <v>78</v>
      </c>
      <c r="H35" s="138"/>
      <c r="I35" s="140"/>
      <c r="J35" s="143">
        <f>VLOOKUP($B35,[3]SAP!$D:$X,12,0)</f>
        <v>2.2000000000000001E-3</v>
      </c>
      <c r="K35" s="143" t="str">
        <f>VLOOKUP($B35,[3]SAP!$D:$X,19,0)</f>
        <v>CNY</v>
      </c>
      <c r="L35" s="128" t="str">
        <f>VLOOKUP($B35,[3]SAP!$D:$X,8,0)</f>
        <v>深圳市天河星供应链有限公司</v>
      </c>
      <c r="M35" s="143">
        <f t="shared" si="5"/>
        <v>2.2000000000000001E-3</v>
      </c>
      <c r="N35" s="143"/>
      <c r="O35" s="143"/>
      <c r="P35" s="143">
        <f>VLOOKUP($B35,[3]SAP!$D:$X,17,0)</f>
        <v>56</v>
      </c>
      <c r="Q35" s="143">
        <f>VLOOKUP($B35,[3]SAP!$D:$X,21,0)</f>
        <v>10000</v>
      </c>
      <c r="R35" s="143">
        <f>VLOOKUP($B35,[3]SAP!$D:$X,20,0)</f>
        <v>10000</v>
      </c>
      <c r="S35" s="86" t="s">
        <v>225</v>
      </c>
    </row>
    <row r="36" spans="1:19" ht="26.4" x14ac:dyDescent="0.25">
      <c r="A36" s="133"/>
      <c r="B36" s="139">
        <v>10110005377</v>
      </c>
      <c r="C36" s="135" t="s">
        <v>172</v>
      </c>
      <c r="D36" s="135" t="s">
        <v>352</v>
      </c>
      <c r="E36" s="137" t="s">
        <v>77</v>
      </c>
      <c r="F36" s="134">
        <v>2</v>
      </c>
      <c r="G36" s="135" t="s">
        <v>78</v>
      </c>
      <c r="H36" s="135" t="s">
        <v>42</v>
      </c>
      <c r="I36" s="140"/>
      <c r="J36" s="143">
        <f>VLOOKUP($B36,[3]SAP!$D:$X,12,0)</f>
        <v>2.98E-3</v>
      </c>
      <c r="K36" s="143" t="str">
        <f>VLOOKUP($B36,[3]SAP!$D:$X,19,0)</f>
        <v>CNY</v>
      </c>
      <c r="L36" s="128" t="str">
        <f>VLOOKUP($B36,[3]SAP!$D:$X,8,0)</f>
        <v>深圳市巨新科电子有限公司</v>
      </c>
      <c r="M36" s="143">
        <f t="shared" si="5"/>
        <v>2.98E-3</v>
      </c>
      <c r="N36" s="143"/>
      <c r="O36" s="143"/>
      <c r="P36" s="143">
        <f>VLOOKUP($B36,[3]SAP!$D:$X,17,0)</f>
        <v>90</v>
      </c>
      <c r="Q36" s="143">
        <f>VLOOKUP($B36,[3]SAP!$D:$X,21,0)</f>
        <v>10000</v>
      </c>
      <c r="R36" s="143">
        <f>VLOOKUP($B36,[3]SAP!$D:$X,20,0)</f>
        <v>10000</v>
      </c>
      <c r="S36" s="86" t="s">
        <v>225</v>
      </c>
    </row>
    <row r="37" spans="1:19" ht="39.6" x14ac:dyDescent="0.25">
      <c r="A37" s="133"/>
      <c r="B37" s="139">
        <v>10110005378</v>
      </c>
      <c r="C37" s="135" t="s">
        <v>172</v>
      </c>
      <c r="D37" s="135" t="s">
        <v>353</v>
      </c>
      <c r="E37" s="137" t="s">
        <v>46</v>
      </c>
      <c r="F37" s="134">
        <v>2</v>
      </c>
      <c r="G37" s="135" t="s">
        <v>78</v>
      </c>
      <c r="H37" s="138"/>
      <c r="I37" s="140"/>
      <c r="J37" s="143">
        <f>VLOOKUP($B37,[3]SAP!$D:$X,12,0)</f>
        <v>2.3999999999999998E-3</v>
      </c>
      <c r="K37" s="143" t="str">
        <f>VLOOKUP($B37,[3]SAP!$D:$X,19,0)</f>
        <v>CNY</v>
      </c>
      <c r="L37" s="128" t="str">
        <f>VLOOKUP($B37,[3]SAP!$D:$X,8,0)</f>
        <v>深圳市吉利通电子有限公司</v>
      </c>
      <c r="M37" s="143">
        <f t="shared" si="5"/>
        <v>2.3999999999999998E-3</v>
      </c>
      <c r="N37" s="143"/>
      <c r="O37" s="143"/>
      <c r="P37" s="143">
        <f>VLOOKUP($B37,[3]SAP!$D:$X,17,0)</f>
        <v>168</v>
      </c>
      <c r="Q37" s="143">
        <f>VLOOKUP($B37,[3]SAP!$D:$X,21,0)</f>
        <v>10000</v>
      </c>
      <c r="R37" s="143">
        <f>VLOOKUP($B37,[3]SAP!$D:$X,20,0)</f>
        <v>10000</v>
      </c>
      <c r="S37" s="86" t="s">
        <v>225</v>
      </c>
    </row>
    <row r="38" spans="1:19" ht="26.4" x14ac:dyDescent="0.25">
      <c r="A38" s="133"/>
      <c r="B38" s="139">
        <v>10110009749</v>
      </c>
      <c r="C38" s="135" t="s">
        <v>172</v>
      </c>
      <c r="D38" s="135" t="s">
        <v>354</v>
      </c>
      <c r="E38" s="137" t="s">
        <v>176</v>
      </c>
      <c r="F38" s="134">
        <v>2</v>
      </c>
      <c r="G38" s="135" t="s">
        <v>78</v>
      </c>
      <c r="H38" s="135" t="s">
        <v>42</v>
      </c>
      <c r="I38" s="140"/>
      <c r="J38" s="143">
        <f>VLOOKUP($B38,[3]SAP!$D:$X,12,0)</f>
        <v>9.5499999999999995E-3</v>
      </c>
      <c r="K38" s="143" t="str">
        <f>VLOOKUP($B38,[3]SAP!$D:$X,19,0)</f>
        <v>CNY</v>
      </c>
      <c r="L38" s="128" t="str">
        <f>VLOOKUP($B38,[3]SAP!$D:$X,8,0)</f>
        <v>深圳市欧亚达电子有限公司</v>
      </c>
      <c r="M38" s="143">
        <f t="shared" si="5"/>
        <v>9.5499999999999995E-3</v>
      </c>
      <c r="N38" s="143"/>
      <c r="O38" s="143"/>
      <c r="P38" s="143">
        <f>VLOOKUP($B38,[3]SAP!$D:$X,17,0)</f>
        <v>84</v>
      </c>
      <c r="Q38" s="143">
        <f>VLOOKUP($B38,[3]SAP!$D:$X,21,0)</f>
        <v>10000</v>
      </c>
      <c r="R38" s="143">
        <f>VLOOKUP($B38,[3]SAP!$D:$X,20,0)</f>
        <v>10000</v>
      </c>
      <c r="S38" s="86" t="s">
        <v>225</v>
      </c>
    </row>
    <row r="39" spans="1:19" ht="39.6" x14ac:dyDescent="0.25">
      <c r="A39" s="133" t="s">
        <v>565</v>
      </c>
      <c r="B39" s="139">
        <v>10110020767</v>
      </c>
      <c r="C39" s="135" t="s">
        <v>44</v>
      </c>
      <c r="D39" s="135" t="s">
        <v>45</v>
      </c>
      <c r="E39" s="137" t="s">
        <v>46</v>
      </c>
      <c r="F39" s="134">
        <v>2</v>
      </c>
      <c r="G39" s="246" t="s">
        <v>566</v>
      </c>
      <c r="H39" s="138"/>
      <c r="I39" s="140"/>
      <c r="J39" s="143">
        <f>VLOOKUP($B39,[3]SAP!$D:$X,12,0)</f>
        <v>5.5399999999999998E-2</v>
      </c>
      <c r="K39" s="143" t="str">
        <f>VLOOKUP($B39,[3]SAP!$D:$X,19,0)</f>
        <v>CNY</v>
      </c>
      <c r="L39" s="128" t="str">
        <f>VLOOKUP($B39,[3]SAP!$D:$X,8,0)</f>
        <v>广东顺德集财电子有限公司</v>
      </c>
      <c r="M39" s="143">
        <f t="shared" si="5"/>
        <v>5.5399999999999998E-2</v>
      </c>
      <c r="N39" s="143"/>
      <c r="O39" s="143"/>
      <c r="P39" s="143">
        <f>VLOOKUP($B39,[3]SAP!$D:$X,17,0)</f>
        <v>84</v>
      </c>
      <c r="Q39" s="143">
        <f>VLOOKUP($B39,[3]SAP!$D:$X,21,0)</f>
        <v>10000</v>
      </c>
      <c r="R39" s="143">
        <f>VLOOKUP($B39,[3]SAP!$D:$X,20,0)</f>
        <v>10000</v>
      </c>
      <c r="S39" s="86" t="s">
        <v>225</v>
      </c>
    </row>
    <row r="40" spans="1:19" ht="14.4" x14ac:dyDescent="0.25">
      <c r="A40" s="133"/>
      <c r="B40" s="139">
        <v>10110027253</v>
      </c>
      <c r="C40" s="135" t="s">
        <v>44</v>
      </c>
      <c r="D40" s="135" t="s">
        <v>52</v>
      </c>
      <c r="E40" s="137" t="s">
        <v>53</v>
      </c>
      <c r="F40" s="134">
        <v>2</v>
      </c>
      <c r="G40" s="246" t="s">
        <v>566</v>
      </c>
      <c r="H40" s="138"/>
      <c r="I40" s="140"/>
      <c r="J40" s="143">
        <f>VLOOKUP($B40,[3]SAP!$D:$X,12,0)</f>
        <v>1.6E-2</v>
      </c>
      <c r="K40" s="143" t="str">
        <f>VLOOKUP($B40,[3]SAP!$D:$X,19,0)</f>
        <v>CNY</v>
      </c>
      <c r="L40" s="128" t="str">
        <f>VLOOKUP($B40,[3]SAP!$D:$X,8,0)</f>
        <v>广东风华高新科技股份有限公司</v>
      </c>
      <c r="M40" s="143">
        <f t="shared" si="5"/>
        <v>1.6E-2</v>
      </c>
      <c r="N40" s="143">
        <f t="shared" ref="N40:N44" si="6">M40*F40</f>
        <v>3.2000000000000001E-2</v>
      </c>
      <c r="O40" s="143"/>
      <c r="P40" s="143">
        <f>VLOOKUP($B40,[3]SAP!$D:$X,17,0)</f>
        <v>42</v>
      </c>
      <c r="Q40" s="143">
        <f>VLOOKUP($B40,[3]SAP!$D:$X,21,0)</f>
        <v>10000</v>
      </c>
      <c r="R40" s="143">
        <f>VLOOKUP($B40,[3]SAP!$D:$X,20,0)</f>
        <v>10000</v>
      </c>
      <c r="S40" s="86" t="s">
        <v>37</v>
      </c>
    </row>
    <row r="41" spans="1:19" ht="26.4" x14ac:dyDescent="0.25">
      <c r="A41" s="133">
        <v>19</v>
      </c>
      <c r="B41" s="139">
        <v>10110019208</v>
      </c>
      <c r="C41" s="135" t="s">
        <v>567</v>
      </c>
      <c r="D41" s="135" t="s">
        <v>568</v>
      </c>
      <c r="E41" s="137" t="s">
        <v>77</v>
      </c>
      <c r="F41" s="134">
        <v>1</v>
      </c>
      <c r="G41" s="246" t="s">
        <v>569</v>
      </c>
      <c r="H41" s="135" t="s">
        <v>42</v>
      </c>
      <c r="I41" s="140"/>
      <c r="J41" s="143">
        <f>VLOOKUP($B41,[3]SAP!$D:$X,12,0)</f>
        <v>0.12429999999999999</v>
      </c>
      <c r="K41" s="143" t="str">
        <f>VLOOKUP($B41,[3]SAP!$D:$X,19,0)</f>
        <v>CNY</v>
      </c>
      <c r="L41" s="128" t="str">
        <f>VLOOKUP($B41,[3]SAP!$D:$X,8,0)</f>
        <v>东莞华科电子有限公司</v>
      </c>
      <c r="M41" s="143">
        <f t="shared" si="5"/>
        <v>0.12429999999999999</v>
      </c>
      <c r="N41" s="143">
        <f t="shared" si="6"/>
        <v>0.12429999999999999</v>
      </c>
      <c r="O41" s="143"/>
      <c r="P41" s="143">
        <f>VLOOKUP($B41,[3]SAP!$D:$X,17,0)</f>
        <v>56</v>
      </c>
      <c r="Q41" s="143">
        <f>VLOOKUP($B41,[3]SAP!$D:$X,21,0)</f>
        <v>1000</v>
      </c>
      <c r="R41" s="143">
        <f>VLOOKUP($B41,[3]SAP!$D:$X,20,0)</f>
        <v>10000</v>
      </c>
      <c r="S41" s="86" t="s">
        <v>37</v>
      </c>
    </row>
    <row r="42" spans="1:19" ht="14.4" x14ac:dyDescent="0.25">
      <c r="A42" s="133"/>
      <c r="B42" s="134" t="s">
        <v>38</v>
      </c>
      <c r="C42" s="135" t="s">
        <v>567</v>
      </c>
      <c r="D42" s="135" t="s">
        <v>570</v>
      </c>
      <c r="E42" s="137" t="s">
        <v>262</v>
      </c>
      <c r="F42" s="134">
        <v>1</v>
      </c>
      <c r="G42" s="246" t="s">
        <v>569</v>
      </c>
      <c r="H42" s="138"/>
      <c r="I42" s="140"/>
      <c r="J42" s="143" t="e">
        <f>VLOOKUP($B42,[3]SAP!$D:$X,12,0)</f>
        <v>#N/A</v>
      </c>
      <c r="K42" s="143" t="e">
        <f>VLOOKUP($B42,[3]SAP!$D:$X,19,0)</f>
        <v>#N/A</v>
      </c>
      <c r="L42" s="128" t="e">
        <f>VLOOKUP($B42,[3]SAP!$D:$X,8,0)</f>
        <v>#N/A</v>
      </c>
      <c r="M42" s="143">
        <v>0.14499999999999999</v>
      </c>
      <c r="N42" s="143"/>
      <c r="P42" s="143" t="e">
        <f>VLOOKUP($B42,[3]SAP!$D:$X,17,0)</f>
        <v>#N/A</v>
      </c>
      <c r="Q42" s="143" t="e">
        <f>VLOOKUP($B42,[3]SAP!$D:$X,21,0)</f>
        <v>#N/A</v>
      </c>
      <c r="R42" s="143" t="e">
        <f>VLOOKUP($B42,[3]SAP!$D:$X,20,0)</f>
        <v>#N/A</v>
      </c>
      <c r="S42" s="86" t="s">
        <v>225</v>
      </c>
    </row>
    <row r="43" spans="1:19" ht="14.4" x14ac:dyDescent="0.25">
      <c r="A43" s="133">
        <v>20</v>
      </c>
      <c r="B43" s="139">
        <v>10190001176</v>
      </c>
      <c r="C43" s="135" t="s">
        <v>221</v>
      </c>
      <c r="D43" s="135" t="s">
        <v>571</v>
      </c>
      <c r="E43" s="137" t="s">
        <v>378</v>
      </c>
      <c r="F43" s="134">
        <v>1</v>
      </c>
      <c r="G43" s="135" t="s">
        <v>224</v>
      </c>
      <c r="H43" s="135" t="s">
        <v>42</v>
      </c>
      <c r="I43" s="140"/>
      <c r="J43" s="143">
        <f>VLOOKUP($B43,[3]SAP!$D:$X,12,0)</f>
        <v>9.5000000000000001E-2</v>
      </c>
      <c r="K43" s="143" t="str">
        <f>VLOOKUP($B43,[3]SAP!$D:$X,19,0)</f>
        <v>CNY</v>
      </c>
      <c r="L43" s="128" t="str">
        <f>VLOOKUP($B43,[3]SAP!$D:$X,8,0)</f>
        <v>东莞市贝特电子科技股份有限公司</v>
      </c>
      <c r="M43" s="143">
        <f t="shared" ref="M43:M45" si="7">J43</f>
        <v>9.5000000000000001E-2</v>
      </c>
      <c r="N43" s="143"/>
      <c r="O43" s="143"/>
      <c r="P43" s="143">
        <f>VLOOKUP($B43,[3]SAP!$D:$X,17,0)</f>
        <v>21</v>
      </c>
      <c r="Q43" s="143">
        <f>VLOOKUP($B43,[3]SAP!$D:$X,21,0)</f>
        <v>1000</v>
      </c>
      <c r="R43" s="143">
        <f>VLOOKUP($B43,[3]SAP!$D:$X,20,0)</f>
        <v>1000</v>
      </c>
      <c r="S43" s="86" t="s">
        <v>225</v>
      </c>
    </row>
    <row r="44" spans="1:19" ht="39.6" x14ac:dyDescent="0.25">
      <c r="A44" s="133"/>
      <c r="B44" s="139">
        <v>10190000675</v>
      </c>
      <c r="C44" s="135" t="s">
        <v>221</v>
      </c>
      <c r="D44" s="135" t="s">
        <v>379</v>
      </c>
      <c r="E44" s="137" t="s">
        <v>380</v>
      </c>
      <c r="F44" s="134">
        <v>1</v>
      </c>
      <c r="G44" s="135" t="s">
        <v>224</v>
      </c>
      <c r="H44" s="135" t="s">
        <v>42</v>
      </c>
      <c r="I44" s="140"/>
      <c r="J44" s="143">
        <f>VLOOKUP($B44,[3]SAP!$D:$X,12,0)</f>
        <v>8.3000000000000004E-2</v>
      </c>
      <c r="K44" s="143" t="str">
        <f>VLOOKUP($B44,[3]SAP!$D:$X,19,0)</f>
        <v>CNY</v>
      </c>
      <c r="L44" s="128" t="str">
        <f>VLOOKUP($B44,[3]SAP!$D:$X,8,0)</f>
        <v>好利来（厦门）电路保护科技有限公司</v>
      </c>
      <c r="M44" s="143">
        <f t="shared" si="7"/>
        <v>8.3000000000000004E-2</v>
      </c>
      <c r="N44" s="143">
        <f t="shared" si="6"/>
        <v>8.3000000000000004E-2</v>
      </c>
      <c r="O44" s="143"/>
      <c r="P44" s="143">
        <f>VLOOKUP($B44,[3]SAP!$D:$X,17,0)</f>
        <v>45</v>
      </c>
      <c r="Q44" s="143">
        <f>VLOOKUP($B44,[3]SAP!$D:$X,21,0)</f>
        <v>1000</v>
      </c>
      <c r="R44" s="143">
        <f>VLOOKUP($B44,[3]SAP!$D:$X,20,0)</f>
        <v>1000</v>
      </c>
      <c r="S44" s="86" t="s">
        <v>37</v>
      </c>
    </row>
    <row r="45" spans="1:19" ht="26.4" x14ac:dyDescent="0.25">
      <c r="A45" s="133"/>
      <c r="B45" s="124">
        <v>10190002307</v>
      </c>
      <c r="C45" s="125" t="s">
        <v>221</v>
      </c>
      <c r="D45" s="125" t="s">
        <v>572</v>
      </c>
      <c r="E45" s="126" t="s">
        <v>382</v>
      </c>
      <c r="F45" s="124">
        <v>1</v>
      </c>
      <c r="G45" s="125" t="s">
        <v>224</v>
      </c>
      <c r="H45" s="135" t="s">
        <v>42</v>
      </c>
      <c r="I45" s="140"/>
      <c r="J45" s="143">
        <f>VLOOKUP($B45,[3]SAP!$D:$X,12,0)</f>
        <v>0.155</v>
      </c>
      <c r="K45" s="143" t="str">
        <f>VLOOKUP($B45,[3]SAP!$D:$X,19,0)</f>
        <v>CNY</v>
      </c>
      <c r="L45" s="128" t="str">
        <f>VLOOKUP($B45,[3]SAP!$D:$X,8,0)</f>
        <v>青岛宝融电子有限公司</v>
      </c>
      <c r="M45" s="143">
        <f t="shared" si="7"/>
        <v>0.155</v>
      </c>
      <c r="N45" s="143"/>
      <c r="O45" s="143"/>
      <c r="P45" s="143">
        <f>VLOOKUP($B45,[3]SAP!$D:$X,17,0)</f>
        <v>112</v>
      </c>
      <c r="Q45" s="143">
        <f>VLOOKUP($B45,[3]SAP!$D:$X,21,0)</f>
        <v>1400</v>
      </c>
      <c r="R45" s="143">
        <f>VLOOKUP($B45,[3]SAP!$D:$X,20,0)</f>
        <v>1400</v>
      </c>
      <c r="S45" s="86" t="s">
        <v>225</v>
      </c>
    </row>
    <row r="46" spans="1:19" ht="14.4" x14ac:dyDescent="0.25">
      <c r="A46" s="133"/>
      <c r="B46" s="134" t="s">
        <v>38</v>
      </c>
      <c r="C46" s="246" t="s">
        <v>573</v>
      </c>
      <c r="D46" s="135" t="s">
        <v>222</v>
      </c>
      <c r="E46" s="137" t="s">
        <v>223</v>
      </c>
      <c r="F46" s="134">
        <v>1</v>
      </c>
      <c r="G46" s="246" t="s">
        <v>224</v>
      </c>
      <c r="H46" s="138"/>
      <c r="I46" s="140"/>
      <c r="J46" s="143" t="e">
        <f>VLOOKUP($B46,[3]SAP!$D:$X,12,0)</f>
        <v>#N/A</v>
      </c>
      <c r="K46" s="143" t="e">
        <f>VLOOKUP($B46,[3]SAP!$D:$X,19,0)</f>
        <v>#N/A</v>
      </c>
      <c r="L46" s="128" t="e">
        <f>VLOOKUP($B46,[3]SAP!$D:$X,8,0)</f>
        <v>#N/A</v>
      </c>
      <c r="M46" s="143">
        <v>0.1009</v>
      </c>
      <c r="N46" s="143"/>
      <c r="P46" s="143" t="e">
        <f>VLOOKUP($B46,[3]SAP!$D:$X,17,0)</f>
        <v>#N/A</v>
      </c>
      <c r="Q46" s="143" t="e">
        <f>VLOOKUP($B46,[3]SAP!$D:$X,21,0)</f>
        <v>#N/A</v>
      </c>
      <c r="R46" s="143" t="e">
        <f>VLOOKUP($B46,[3]SAP!$D:$X,20,0)</f>
        <v>#N/A</v>
      </c>
      <c r="S46" s="86" t="s">
        <v>225</v>
      </c>
    </row>
    <row r="47" spans="1:19" ht="14.4" x14ac:dyDescent="0.25">
      <c r="A47" s="133">
        <v>21</v>
      </c>
      <c r="B47" s="134" t="s">
        <v>38</v>
      </c>
      <c r="C47" s="135" t="s">
        <v>226</v>
      </c>
      <c r="D47" s="135" t="s">
        <v>574</v>
      </c>
      <c r="E47" s="135" t="s">
        <v>228</v>
      </c>
      <c r="F47" s="134">
        <v>2</v>
      </c>
      <c r="G47" s="246" t="s">
        <v>575</v>
      </c>
      <c r="H47" s="138" t="s">
        <v>118</v>
      </c>
      <c r="I47" s="140"/>
      <c r="J47" s="143" t="e">
        <f>VLOOKUP($B47,[3]SAP!$D:$X,12,0)</f>
        <v>#N/A</v>
      </c>
      <c r="K47" s="143" t="e">
        <f>VLOOKUP($B47,[3]SAP!$D:$X,19,0)</f>
        <v>#N/A</v>
      </c>
      <c r="L47" s="128" t="e">
        <f>VLOOKUP($B47,[3]SAP!$D:$X,8,0)</f>
        <v>#N/A</v>
      </c>
      <c r="M47" s="143">
        <v>1.62</v>
      </c>
      <c r="N47" s="143">
        <f t="shared" ref="N47:N54" si="8">M47*F47</f>
        <v>3.24</v>
      </c>
      <c r="P47" s="143" t="e">
        <f>VLOOKUP($B47,[3]SAP!$D:$X,17,0)</f>
        <v>#N/A</v>
      </c>
      <c r="Q47" s="143" t="e">
        <f>VLOOKUP($B47,[3]SAP!$D:$X,21,0)</f>
        <v>#N/A</v>
      </c>
      <c r="R47" s="143" t="e">
        <f>VLOOKUP($B47,[3]SAP!$D:$X,20,0)</f>
        <v>#N/A</v>
      </c>
      <c r="S47" s="86" t="s">
        <v>37</v>
      </c>
    </row>
    <row r="48" spans="1:19" ht="14.4" x14ac:dyDescent="0.25">
      <c r="A48" s="133">
        <v>22</v>
      </c>
      <c r="B48" s="134" t="s">
        <v>38</v>
      </c>
      <c r="C48" s="135" t="s">
        <v>576</v>
      </c>
      <c r="D48" s="135" t="s">
        <v>577</v>
      </c>
      <c r="E48" s="137" t="s">
        <v>578</v>
      </c>
      <c r="F48" s="134">
        <v>1</v>
      </c>
      <c r="G48" s="135" t="s">
        <v>233</v>
      </c>
      <c r="H48" s="138"/>
      <c r="I48" s="140"/>
      <c r="J48" s="143" t="e">
        <f>VLOOKUP($B48,[3]SAP!$D:$X,12,0)</f>
        <v>#N/A</v>
      </c>
      <c r="K48" s="143" t="e">
        <f>VLOOKUP($B48,[3]SAP!$D:$X,19,0)</f>
        <v>#N/A</v>
      </c>
      <c r="L48" s="128" t="e">
        <f>VLOOKUP($B48,[3]SAP!$D:$X,8,0)</f>
        <v>#N/A</v>
      </c>
      <c r="M48" s="144">
        <v>0.5</v>
      </c>
      <c r="N48" s="144">
        <f t="shared" si="8"/>
        <v>0.5</v>
      </c>
      <c r="O48" s="145" t="s">
        <v>234</v>
      </c>
      <c r="P48" s="143" t="e">
        <f>VLOOKUP($B48,[3]SAP!$D:$X,17,0)</f>
        <v>#N/A</v>
      </c>
      <c r="Q48" s="143" t="e">
        <f>VLOOKUP($B48,[3]SAP!$D:$X,21,0)</f>
        <v>#N/A</v>
      </c>
      <c r="R48" s="143" t="e">
        <f>VLOOKUP($B48,[3]SAP!$D:$X,20,0)</f>
        <v>#N/A</v>
      </c>
      <c r="S48" s="86" t="s">
        <v>37</v>
      </c>
    </row>
    <row r="49" spans="1:19" ht="26.4" x14ac:dyDescent="0.25">
      <c r="A49" s="133"/>
      <c r="B49" s="139">
        <v>10120003513</v>
      </c>
      <c r="C49" s="135" t="s">
        <v>579</v>
      </c>
      <c r="D49" s="135" t="s">
        <v>580</v>
      </c>
      <c r="E49" s="137" t="s">
        <v>581</v>
      </c>
      <c r="F49" s="134">
        <v>1</v>
      </c>
      <c r="G49" s="135" t="s">
        <v>233</v>
      </c>
      <c r="H49" s="140" t="s">
        <v>42</v>
      </c>
      <c r="I49" s="140"/>
      <c r="J49" s="143">
        <f>VLOOKUP($B49,[3]SAP!$D:$X,12,0)</f>
        <v>1.52</v>
      </c>
      <c r="K49" s="143" t="str">
        <f>VLOOKUP($B49,[3]SAP!$D:$X,19,0)</f>
        <v>CNY</v>
      </c>
      <c r="L49" s="128" t="str">
        <f>VLOOKUP($B49,[3]SAP!$D:$X,8,0)</f>
        <v>伍尔特(天津)电子有限公司</v>
      </c>
      <c r="M49" s="143">
        <f t="shared" ref="M49:M55" si="9">J49</f>
        <v>1.52</v>
      </c>
      <c r="N49" s="143"/>
      <c r="O49" s="143"/>
      <c r="P49" s="143">
        <f>VLOOKUP($B49,[3]SAP!$D:$X,17,0)</f>
        <v>70</v>
      </c>
      <c r="Q49" s="143">
        <f>VLOOKUP($B49,[3]SAP!$D:$X,21,0)</f>
        <v>700</v>
      </c>
      <c r="R49" s="143">
        <f>VLOOKUP($B49,[3]SAP!$D:$X,20,0)</f>
        <v>2800</v>
      </c>
      <c r="S49" s="86" t="s">
        <v>225</v>
      </c>
    </row>
    <row r="50" spans="1:19" ht="14.4" x14ac:dyDescent="0.25">
      <c r="A50" s="133"/>
      <c r="B50" s="139">
        <v>10120003563</v>
      </c>
      <c r="C50" s="135" t="s">
        <v>579</v>
      </c>
      <c r="D50" s="135" t="s">
        <v>582</v>
      </c>
      <c r="E50" s="137" t="s">
        <v>583</v>
      </c>
      <c r="F50" s="134">
        <v>1</v>
      </c>
      <c r="G50" s="135" t="s">
        <v>233</v>
      </c>
      <c r="H50" s="140" t="s">
        <v>42</v>
      </c>
      <c r="I50" s="140"/>
      <c r="J50" s="143">
        <f>VLOOKUP($B50,[3]SAP!$D:$X,12,0)</f>
        <v>0.61760000000000004</v>
      </c>
      <c r="K50" s="143" t="str">
        <f>VLOOKUP($B50,[3]SAP!$D:$X,19,0)</f>
        <v>CNY</v>
      </c>
      <c r="L50" s="128" t="str">
        <f>VLOOKUP($B50,[3]SAP!$D:$X,8,0)</f>
        <v>武汉三乐益电子有限公司</v>
      </c>
      <c r="M50" s="143">
        <f t="shared" si="9"/>
        <v>0.61760000000000004</v>
      </c>
      <c r="N50" s="143"/>
      <c r="O50" s="143"/>
      <c r="P50" s="143">
        <f>VLOOKUP($B50,[3]SAP!$D:$X,17,0)</f>
        <v>50</v>
      </c>
      <c r="Q50" s="143">
        <f>VLOOKUP($B50,[3]SAP!$D:$X,21,0)</f>
        <v>700</v>
      </c>
      <c r="R50" s="143">
        <f>VLOOKUP($B50,[3]SAP!$D:$X,20,0)</f>
        <v>700</v>
      </c>
      <c r="S50" s="86" t="s">
        <v>225</v>
      </c>
    </row>
    <row r="51" spans="1:19" ht="26.4" x14ac:dyDescent="0.25">
      <c r="A51" s="133"/>
      <c r="B51" s="139">
        <v>10120009551</v>
      </c>
      <c r="C51" s="135" t="s">
        <v>579</v>
      </c>
      <c r="D51" s="135" t="s">
        <v>584</v>
      </c>
      <c r="E51" s="137" t="s">
        <v>585</v>
      </c>
      <c r="F51" s="134">
        <v>1</v>
      </c>
      <c r="G51" s="135" t="s">
        <v>233</v>
      </c>
      <c r="H51" s="140" t="s">
        <v>42</v>
      </c>
      <c r="I51" s="140"/>
      <c r="J51" s="143" t="e">
        <f>VLOOKUP($B51,[3]SAP!$D:$X,12,0)</f>
        <v>#N/A</v>
      </c>
      <c r="K51" s="143" t="e">
        <f>VLOOKUP($B51,[3]SAP!$D:$X,19,0)</f>
        <v>#N/A</v>
      </c>
      <c r="L51" s="128" t="e">
        <f>VLOOKUP($B51,[3]SAP!$D:$X,8,0)</f>
        <v>#N/A</v>
      </c>
      <c r="M51" s="146">
        <v>0.64</v>
      </c>
      <c r="N51" s="143"/>
      <c r="O51" s="147"/>
      <c r="P51" s="143" t="e">
        <f>VLOOKUP($B51,[3]SAP!$D:$X,17,0)</f>
        <v>#N/A</v>
      </c>
      <c r="Q51" s="143" t="e">
        <f>VLOOKUP($B51,[3]SAP!$D:$X,21,0)</f>
        <v>#N/A</v>
      </c>
      <c r="R51" s="143" t="e">
        <f>VLOOKUP($B51,[3]SAP!$D:$X,20,0)</f>
        <v>#N/A</v>
      </c>
      <c r="S51" s="86" t="s">
        <v>225</v>
      </c>
    </row>
    <row r="52" spans="1:19" ht="14.4" x14ac:dyDescent="0.25">
      <c r="A52" s="133">
        <v>23</v>
      </c>
      <c r="B52" s="134" t="s">
        <v>38</v>
      </c>
      <c r="C52" s="135" t="s">
        <v>586</v>
      </c>
      <c r="D52" s="135" t="s">
        <v>587</v>
      </c>
      <c r="E52" s="137" t="s">
        <v>578</v>
      </c>
      <c r="F52" s="134">
        <v>1</v>
      </c>
      <c r="G52" s="135" t="s">
        <v>588</v>
      </c>
      <c r="H52" s="138" t="s">
        <v>118</v>
      </c>
      <c r="I52" s="140"/>
      <c r="J52" s="143" t="e">
        <f>VLOOKUP($B52,[3]SAP!$D:$X,12,0)</f>
        <v>#N/A</v>
      </c>
      <c r="K52" s="143" t="e">
        <f>VLOOKUP($B52,[3]SAP!$D:$X,19,0)</f>
        <v>#N/A</v>
      </c>
      <c r="L52" s="128" t="e">
        <f>VLOOKUP($B52,[3]SAP!$D:$X,8,0)</f>
        <v>#N/A</v>
      </c>
      <c r="M52" s="146">
        <v>5.25</v>
      </c>
      <c r="N52" s="143">
        <f t="shared" si="8"/>
        <v>5.25</v>
      </c>
      <c r="O52" s="147" t="s">
        <v>238</v>
      </c>
      <c r="P52" s="143" t="e">
        <f>VLOOKUP($B52,[3]SAP!$D:$X,17,0)</f>
        <v>#N/A</v>
      </c>
      <c r="Q52" s="143" t="e">
        <f>VLOOKUP($B52,[3]SAP!$D:$X,21,0)</f>
        <v>#N/A</v>
      </c>
      <c r="R52" s="143" t="e">
        <f>VLOOKUP($B52,[3]SAP!$D:$X,20,0)</f>
        <v>#N/A</v>
      </c>
      <c r="S52" s="86" t="s">
        <v>37</v>
      </c>
    </row>
    <row r="53" spans="1:19" ht="14.4" x14ac:dyDescent="0.25">
      <c r="A53" s="133">
        <v>24</v>
      </c>
      <c r="B53" s="134" t="s">
        <v>38</v>
      </c>
      <c r="C53" s="135" t="s">
        <v>235</v>
      </c>
      <c r="D53" s="135" t="s">
        <v>589</v>
      </c>
      <c r="E53" s="137" t="s">
        <v>578</v>
      </c>
      <c r="F53" s="134">
        <v>1</v>
      </c>
      <c r="G53" s="141" t="s">
        <v>237</v>
      </c>
      <c r="H53" s="138" t="s">
        <v>118</v>
      </c>
      <c r="I53" s="140"/>
      <c r="J53" s="143" t="e">
        <f>VLOOKUP($B53,[3]SAP!$D:$X,12,0)</f>
        <v>#N/A</v>
      </c>
      <c r="K53" s="143" t="e">
        <f>VLOOKUP($B53,[3]SAP!$D:$X,19,0)</f>
        <v>#N/A</v>
      </c>
      <c r="L53" s="128" t="e">
        <f>VLOOKUP($B53,[3]SAP!$D:$X,8,0)</f>
        <v>#N/A</v>
      </c>
      <c r="M53" s="146">
        <v>1.5854999999999999</v>
      </c>
      <c r="N53" s="143">
        <f t="shared" si="8"/>
        <v>1.5854999999999999</v>
      </c>
      <c r="O53" s="147" t="s">
        <v>238</v>
      </c>
      <c r="P53" s="143" t="e">
        <f>VLOOKUP($B53,[3]SAP!$D:$X,17,0)</f>
        <v>#N/A</v>
      </c>
      <c r="Q53" s="143" t="e">
        <f>VLOOKUP($B53,[3]SAP!$D:$X,21,0)</f>
        <v>#N/A</v>
      </c>
      <c r="R53" s="143" t="e">
        <f>VLOOKUP($B53,[3]SAP!$D:$X,20,0)</f>
        <v>#N/A</v>
      </c>
      <c r="S53" s="86" t="s">
        <v>37</v>
      </c>
    </row>
    <row r="54" spans="1:19" ht="14.4" x14ac:dyDescent="0.25">
      <c r="A54" s="133" t="s">
        <v>590</v>
      </c>
      <c r="B54" s="134">
        <v>10160007865</v>
      </c>
      <c r="C54" s="135" t="s">
        <v>97</v>
      </c>
      <c r="D54" s="135" t="s">
        <v>107</v>
      </c>
      <c r="E54" s="137" t="s">
        <v>99</v>
      </c>
      <c r="F54" s="134">
        <v>2</v>
      </c>
      <c r="G54" s="135" t="s">
        <v>241</v>
      </c>
      <c r="H54" s="135" t="s">
        <v>42</v>
      </c>
      <c r="I54" s="140" t="s">
        <v>93</v>
      </c>
      <c r="J54" s="143">
        <f>VLOOKUP($B54,[3]SAP!$D:$X,12,0)</f>
        <v>2.75E-2</v>
      </c>
      <c r="K54" s="143" t="str">
        <f>VLOOKUP($B54,[3]SAP!$D:$X,19,0)</f>
        <v>CNY</v>
      </c>
      <c r="L54" s="128" t="str">
        <f>VLOOKUP($B54,[3]SAP!$D:$X,8,0)</f>
        <v>广东长利光电科技有限公司</v>
      </c>
      <c r="M54" s="143">
        <f t="shared" si="9"/>
        <v>2.75E-2</v>
      </c>
      <c r="N54" s="143">
        <f t="shared" si="8"/>
        <v>5.5E-2</v>
      </c>
      <c r="O54" s="143"/>
      <c r="P54" s="143">
        <f>VLOOKUP($B54,[3]SAP!$D:$X,17,0)</f>
        <v>10</v>
      </c>
      <c r="Q54" s="143">
        <f>VLOOKUP($B54,[3]SAP!$D:$X,21,0)</f>
        <v>4000</v>
      </c>
      <c r="R54" s="143">
        <f>VLOOKUP($B54,[3]SAP!$D:$X,20,0)</f>
        <v>4000</v>
      </c>
      <c r="S54" s="86" t="s">
        <v>37</v>
      </c>
    </row>
    <row r="55" spans="1:19" ht="14.4" x14ac:dyDescent="0.25">
      <c r="A55" s="133"/>
      <c r="B55" s="134">
        <v>10160006989</v>
      </c>
      <c r="C55" s="135" t="s">
        <v>97</v>
      </c>
      <c r="D55" s="135" t="s">
        <v>110</v>
      </c>
      <c r="E55" s="137" t="s">
        <v>111</v>
      </c>
      <c r="F55" s="134">
        <v>2</v>
      </c>
      <c r="G55" s="135" t="s">
        <v>241</v>
      </c>
      <c r="H55" s="135" t="s">
        <v>42</v>
      </c>
      <c r="I55" s="140" t="s">
        <v>100</v>
      </c>
      <c r="J55" s="143">
        <f>VLOOKUP($B55,[3]SAP!$D:$X,12,0)</f>
        <v>4.8399999999999999E-2</v>
      </c>
      <c r="K55" s="143" t="str">
        <f>VLOOKUP($B55,[3]SAP!$D:$X,19,0)</f>
        <v>CNY</v>
      </c>
      <c r="L55" s="128" t="str">
        <f>VLOOKUP($B55,[3]SAP!$D:$X,8,0)</f>
        <v>浙江瑞丰光电有限公司</v>
      </c>
      <c r="M55" s="143">
        <f t="shared" si="9"/>
        <v>4.8399999999999999E-2</v>
      </c>
      <c r="N55" s="143"/>
      <c r="O55" s="143"/>
      <c r="P55" s="143">
        <f>VLOOKUP($B55,[3]SAP!$D:$X,17,0)</f>
        <v>28</v>
      </c>
      <c r="Q55" s="143">
        <f>VLOOKUP($B55,[3]SAP!$D:$X,21,0)</f>
        <v>4000</v>
      </c>
      <c r="R55" s="143">
        <f>VLOOKUP($B55,[3]SAP!$D:$X,20,0)</f>
        <v>60000</v>
      </c>
      <c r="S55" s="86" t="s">
        <v>225</v>
      </c>
    </row>
    <row r="56" spans="1:19" ht="14.4" x14ac:dyDescent="0.25">
      <c r="A56" s="133"/>
      <c r="B56" s="134" t="s">
        <v>38</v>
      </c>
      <c r="C56" s="135" t="s">
        <v>97</v>
      </c>
      <c r="D56" s="135" t="s">
        <v>240</v>
      </c>
      <c r="E56" s="137" t="s">
        <v>105</v>
      </c>
      <c r="F56" s="134">
        <v>2</v>
      </c>
      <c r="G56" s="135" t="s">
        <v>241</v>
      </c>
      <c r="H56" s="140"/>
      <c r="I56" s="140"/>
      <c r="J56" s="143" t="e">
        <f>VLOOKUP($B56,[3]SAP!$D:$X,12,0)</f>
        <v>#N/A</v>
      </c>
      <c r="K56" s="143" t="e">
        <f>VLOOKUP($B56,[3]SAP!$D:$X,19,0)</f>
        <v>#N/A</v>
      </c>
      <c r="L56" s="128" t="e">
        <f>VLOOKUP($B56,[3]SAP!$D:$X,8,0)</f>
        <v>#N/A</v>
      </c>
      <c r="M56" s="143">
        <v>4.4999999999999998E-2</v>
      </c>
      <c r="N56" s="143"/>
      <c r="P56" s="143" t="e">
        <f>VLOOKUP($B56,[3]SAP!$D:$X,17,0)</f>
        <v>#N/A</v>
      </c>
      <c r="Q56" s="143" t="e">
        <f>VLOOKUP($B56,[3]SAP!$D:$X,21,0)</f>
        <v>#N/A</v>
      </c>
      <c r="R56" s="143" t="e">
        <f>VLOOKUP($B56,[3]SAP!$D:$X,20,0)</f>
        <v>#N/A</v>
      </c>
      <c r="S56" s="86" t="s">
        <v>225</v>
      </c>
    </row>
    <row r="57" spans="1:19" ht="14.4" x14ac:dyDescent="0.25">
      <c r="A57" s="133">
        <v>26</v>
      </c>
      <c r="B57" s="134">
        <v>1015</v>
      </c>
      <c r="C57" s="135" t="s">
        <v>242</v>
      </c>
      <c r="D57" s="135" t="s">
        <v>243</v>
      </c>
      <c r="E57" s="137" t="s">
        <v>244</v>
      </c>
      <c r="F57" s="134">
        <v>1</v>
      </c>
      <c r="G57" s="246" t="s">
        <v>183</v>
      </c>
      <c r="H57" s="138" t="s">
        <v>118</v>
      </c>
      <c r="I57" s="140"/>
      <c r="J57" s="143" t="e">
        <f>VLOOKUP($B57,[3]SAP!$D:$X,12,0)</f>
        <v>#N/A</v>
      </c>
      <c r="K57" s="143" t="e">
        <f>VLOOKUP($B57,[3]SAP!$D:$X,19,0)</f>
        <v>#N/A</v>
      </c>
      <c r="L57" s="128" t="e">
        <f>VLOOKUP($B57,[3]SAP!$D:$X,8,0)</f>
        <v>#N/A</v>
      </c>
      <c r="M57" s="143">
        <v>0.73</v>
      </c>
      <c r="N57" s="143">
        <f t="shared" ref="N57:N62" si="10">M57*F57</f>
        <v>0.73</v>
      </c>
      <c r="O57" s="143"/>
      <c r="P57" s="143" t="e">
        <f>VLOOKUP($B57,[3]SAP!$D:$X,17,0)</f>
        <v>#N/A</v>
      </c>
      <c r="Q57" s="143">
        <v>4000</v>
      </c>
      <c r="R57" s="143" t="e">
        <f>VLOOKUP($B57,[3]SAP!$D:$X,20,0)</f>
        <v>#N/A</v>
      </c>
      <c r="S57" s="86" t="s">
        <v>37</v>
      </c>
    </row>
    <row r="58" spans="1:19" ht="14.4" x14ac:dyDescent="0.25">
      <c r="A58" s="133">
        <v>27</v>
      </c>
      <c r="B58" s="134">
        <v>10150011020</v>
      </c>
      <c r="C58" s="135" t="s">
        <v>591</v>
      </c>
      <c r="D58" s="135" t="s">
        <v>395</v>
      </c>
      <c r="E58" s="137" t="s">
        <v>247</v>
      </c>
      <c r="F58" s="134">
        <v>1</v>
      </c>
      <c r="G58" s="246" t="s">
        <v>396</v>
      </c>
      <c r="H58" s="138" t="s">
        <v>118</v>
      </c>
      <c r="I58" s="140"/>
      <c r="J58" s="143">
        <f>VLOOKUP($B58,[3]SAP!$D:$X,12,0)</f>
        <v>0.56999999999999995</v>
      </c>
      <c r="K58" s="143" t="str">
        <f>VLOOKUP($B58,[3]SAP!$D:$X,19,0)</f>
        <v>CNY</v>
      </c>
      <c r="L58" s="128" t="str">
        <f>VLOOKUP($B58,[3]SAP!$D:$X,8,0)</f>
        <v>深圳市几度创想科技有限公司</v>
      </c>
      <c r="M58" s="143">
        <f>J58</f>
        <v>0.56999999999999995</v>
      </c>
      <c r="N58" s="143">
        <f t="shared" si="10"/>
        <v>0.56999999999999995</v>
      </c>
      <c r="O58" s="143"/>
      <c r="P58" s="143">
        <f>VLOOKUP($B58,[3]SAP!$D:$X,17,0)</f>
        <v>56</v>
      </c>
      <c r="Q58" s="143">
        <f>VLOOKUP($B58,[3]SAP!$D:$X,21,0)</f>
        <v>2500</v>
      </c>
      <c r="R58" s="143">
        <f>VLOOKUP($B58,[3]SAP!$D:$X,20,0)</f>
        <v>2500</v>
      </c>
      <c r="S58" s="86" t="s">
        <v>37</v>
      </c>
    </row>
    <row r="59" spans="1:19" ht="14.4" x14ac:dyDescent="0.25">
      <c r="A59" s="133">
        <v>28</v>
      </c>
      <c r="B59" s="134">
        <v>1015</v>
      </c>
      <c r="C59" s="135" t="s">
        <v>245</v>
      </c>
      <c r="D59" s="246" t="s">
        <v>246</v>
      </c>
      <c r="E59" s="137" t="s">
        <v>247</v>
      </c>
      <c r="F59" s="134">
        <v>1</v>
      </c>
      <c r="G59" s="246" t="s">
        <v>248</v>
      </c>
      <c r="H59" s="138" t="s">
        <v>118</v>
      </c>
      <c r="I59" s="140"/>
      <c r="J59" s="143" t="e">
        <f>VLOOKUP($B59,[3]SAP!$D:$X,12,0)</f>
        <v>#N/A</v>
      </c>
      <c r="K59" s="143" t="e">
        <f>VLOOKUP($B59,[3]SAP!$D:$X,19,0)</f>
        <v>#N/A</v>
      </c>
      <c r="L59" s="128" t="e">
        <f>VLOOKUP($B59,[3]SAP!$D:$X,8,0)</f>
        <v>#N/A</v>
      </c>
      <c r="M59" s="143">
        <v>0.35</v>
      </c>
      <c r="N59" s="143">
        <f t="shared" si="10"/>
        <v>0.35</v>
      </c>
      <c r="O59" s="143"/>
      <c r="P59" s="143" t="e">
        <f>VLOOKUP($B59,[3]SAP!$D:$X,17,0)</f>
        <v>#N/A</v>
      </c>
      <c r="Q59" s="143">
        <v>4000</v>
      </c>
      <c r="R59" s="143" t="e">
        <f>VLOOKUP($B59,[3]SAP!$D:$X,20,0)</f>
        <v>#N/A</v>
      </c>
      <c r="S59" s="86" t="s">
        <v>37</v>
      </c>
    </row>
    <row r="60" spans="1:19" ht="14.4" x14ac:dyDescent="0.25">
      <c r="A60" s="133">
        <v>29</v>
      </c>
      <c r="B60" s="134">
        <v>1015</v>
      </c>
      <c r="C60" s="135" t="s">
        <v>249</v>
      </c>
      <c r="D60" s="135" t="s">
        <v>250</v>
      </c>
      <c r="E60" s="137" t="s">
        <v>247</v>
      </c>
      <c r="F60" s="134">
        <v>1</v>
      </c>
      <c r="G60" s="246" t="s">
        <v>251</v>
      </c>
      <c r="H60" s="138" t="s">
        <v>118</v>
      </c>
      <c r="I60" s="140"/>
      <c r="J60" s="143" t="e">
        <f>VLOOKUP($B60,[3]SAP!$D:$X,12,0)</f>
        <v>#N/A</v>
      </c>
      <c r="K60" s="143" t="e">
        <f>VLOOKUP($B60,[3]SAP!$D:$X,19,0)</f>
        <v>#N/A</v>
      </c>
      <c r="L60" s="128" t="e">
        <f>VLOOKUP($B60,[3]SAP!$D:$X,8,0)</f>
        <v>#N/A</v>
      </c>
      <c r="M60" s="143">
        <v>0.33</v>
      </c>
      <c r="N60" s="143">
        <f t="shared" si="10"/>
        <v>0.33</v>
      </c>
      <c r="O60" s="143"/>
      <c r="P60" s="143" t="e">
        <f>VLOOKUP($B60,[3]SAP!$D:$X,17,0)</f>
        <v>#N/A</v>
      </c>
      <c r="Q60" s="143">
        <v>450</v>
      </c>
      <c r="R60" s="143" t="e">
        <f>VLOOKUP($B60,[3]SAP!$D:$X,20,0)</f>
        <v>#N/A</v>
      </c>
      <c r="S60" s="86" t="s">
        <v>37</v>
      </c>
    </row>
    <row r="61" spans="1:19" ht="52.8" x14ac:dyDescent="0.25">
      <c r="A61" s="133">
        <v>30</v>
      </c>
      <c r="B61" s="134">
        <v>1015</v>
      </c>
      <c r="C61" s="135" t="s">
        <v>252</v>
      </c>
      <c r="D61" s="135" t="s">
        <v>253</v>
      </c>
      <c r="E61" s="137" t="s">
        <v>254</v>
      </c>
      <c r="F61" s="134">
        <v>1</v>
      </c>
      <c r="G61" s="246" t="s">
        <v>255</v>
      </c>
      <c r="H61" s="135" t="s">
        <v>42</v>
      </c>
      <c r="I61" s="140"/>
      <c r="J61" s="143" t="e">
        <f>VLOOKUP($B61,[3]SAP!$D:$X,12,0)</f>
        <v>#N/A</v>
      </c>
      <c r="K61" s="143" t="e">
        <f>VLOOKUP($B61,[3]SAP!$D:$X,19,0)</f>
        <v>#N/A</v>
      </c>
      <c r="L61" s="128" t="e">
        <f>VLOOKUP($B61,[3]SAP!$D:$X,8,0)</f>
        <v>#N/A</v>
      </c>
      <c r="M61" s="143">
        <v>0.22</v>
      </c>
      <c r="N61" s="143">
        <f t="shared" si="10"/>
        <v>0.22</v>
      </c>
      <c r="O61" s="143"/>
      <c r="P61" s="143">
        <v>14</v>
      </c>
      <c r="Q61" s="143">
        <v>3000</v>
      </c>
      <c r="R61" s="143">
        <v>3000</v>
      </c>
      <c r="S61" s="86" t="s">
        <v>37</v>
      </c>
    </row>
    <row r="62" spans="1:19" ht="26.4" x14ac:dyDescent="0.25">
      <c r="A62" s="133">
        <v>31</v>
      </c>
      <c r="B62" s="139">
        <v>10150010419</v>
      </c>
      <c r="C62" s="135" t="s">
        <v>256</v>
      </c>
      <c r="D62" s="135" t="s">
        <v>257</v>
      </c>
      <c r="E62" s="137" t="s">
        <v>258</v>
      </c>
      <c r="F62" s="134">
        <v>1</v>
      </c>
      <c r="G62" s="246" t="s">
        <v>259</v>
      </c>
      <c r="H62" s="138" t="s">
        <v>118</v>
      </c>
      <c r="I62" s="140"/>
      <c r="J62" s="143" t="e">
        <f>VLOOKUP($B62,[3]SAP!$D:$X,12,0)</f>
        <v>#N/A</v>
      </c>
      <c r="K62" s="143" t="e">
        <f>VLOOKUP($B62,[3]SAP!$D:$X,19,0)</f>
        <v>#N/A</v>
      </c>
      <c r="L62" s="128" t="e">
        <f>VLOOKUP($B62,[3]SAP!$D:$X,8,0)</f>
        <v>#N/A</v>
      </c>
      <c r="M62" s="143">
        <v>1.92</v>
      </c>
      <c r="N62" s="143">
        <f t="shared" si="10"/>
        <v>1.92</v>
      </c>
      <c r="O62" s="143"/>
      <c r="P62" s="143" t="e">
        <f>VLOOKUP($B62,[3]SAP!$D:$X,17,0)</f>
        <v>#N/A</v>
      </c>
      <c r="Q62" s="143">
        <v>3000</v>
      </c>
      <c r="R62" s="143">
        <v>3000</v>
      </c>
      <c r="S62" s="86" t="s">
        <v>37</v>
      </c>
    </row>
    <row r="63" spans="1:19" ht="26.4" x14ac:dyDescent="0.25">
      <c r="A63" s="133">
        <v>32</v>
      </c>
      <c r="B63" s="139">
        <v>10100017076</v>
      </c>
      <c r="C63" s="135" t="s">
        <v>119</v>
      </c>
      <c r="D63" s="135" t="s">
        <v>403</v>
      </c>
      <c r="E63" s="137" t="s">
        <v>77</v>
      </c>
      <c r="F63" s="134">
        <v>2</v>
      </c>
      <c r="G63" s="246" t="s">
        <v>592</v>
      </c>
      <c r="H63" s="135" t="s">
        <v>42</v>
      </c>
      <c r="I63" s="140"/>
      <c r="J63" s="143">
        <f>VLOOKUP($B63,[3]SAP!$D:$X,12,0)</f>
        <v>6.9499999999999996E-3</v>
      </c>
      <c r="K63" s="143" t="str">
        <f>VLOOKUP($B63,[3]SAP!$D:$X,19,0)</f>
        <v>CNY</v>
      </c>
      <c r="L63" s="128" t="str">
        <f>VLOOKUP($B63,[3]SAP!$D:$X,8,0)</f>
        <v>东莞华科电子有限公司</v>
      </c>
      <c r="M63" s="143">
        <f t="shared" ref="M63:M67" si="11">J63</f>
        <v>6.9499999999999996E-3</v>
      </c>
      <c r="N63" s="143"/>
      <c r="O63" s="143"/>
      <c r="P63" s="143">
        <f>VLOOKUP($B63,[3]SAP!$D:$X,17,0)</f>
        <v>70</v>
      </c>
      <c r="Q63" s="143">
        <f>VLOOKUP($B63,[3]SAP!$D:$X,21,0)</f>
        <v>5000</v>
      </c>
      <c r="R63" s="143">
        <f>VLOOKUP($B63,[3]SAP!$D:$X,20,0)</f>
        <v>5000</v>
      </c>
      <c r="S63" s="86" t="s">
        <v>225</v>
      </c>
    </row>
    <row r="64" spans="1:19" ht="26.4" x14ac:dyDescent="0.25">
      <c r="A64" s="133"/>
      <c r="B64" s="139">
        <v>10100023928</v>
      </c>
      <c r="C64" s="135" t="s">
        <v>119</v>
      </c>
      <c r="D64" s="135" t="s">
        <v>405</v>
      </c>
      <c r="E64" s="137" t="s">
        <v>129</v>
      </c>
      <c r="F64" s="134">
        <v>2</v>
      </c>
      <c r="G64" s="246" t="s">
        <v>592</v>
      </c>
      <c r="H64" s="135" t="s">
        <v>42</v>
      </c>
      <c r="I64" s="140"/>
      <c r="J64" s="143">
        <f>VLOOKUP($B64,[3]SAP!$D:$X,12,0)</f>
        <v>6.7799999999999996E-3</v>
      </c>
      <c r="K64" s="143" t="str">
        <f>VLOOKUP($B64,[3]SAP!$D:$X,19,0)</f>
        <v>CNY</v>
      </c>
      <c r="L64" s="128" t="str">
        <f>VLOOKUP($B64,[3]SAP!$D:$X,8,0)</f>
        <v>厚声国际贸易（昆山）有限公司深圳分公司</v>
      </c>
      <c r="M64" s="143">
        <f t="shared" si="11"/>
        <v>6.7799999999999996E-3</v>
      </c>
      <c r="N64" s="143"/>
      <c r="O64" s="143"/>
      <c r="P64" s="143">
        <f>VLOOKUP($B64,[3]SAP!$D:$X,17,0)</f>
        <v>42</v>
      </c>
      <c r="Q64" s="143">
        <f>VLOOKUP($B64,[3]SAP!$D:$X,21,0)</f>
        <v>5000</v>
      </c>
      <c r="R64" s="143">
        <f>VLOOKUP($B64,[3]SAP!$D:$X,20,0)</f>
        <v>5000</v>
      </c>
      <c r="S64" s="86" t="s">
        <v>225</v>
      </c>
    </row>
    <row r="65" spans="1:19" ht="14.4" x14ac:dyDescent="0.25">
      <c r="A65" s="133"/>
      <c r="B65" s="139">
        <v>10100023933</v>
      </c>
      <c r="C65" s="135" t="s">
        <v>119</v>
      </c>
      <c r="D65" s="135" t="s">
        <v>407</v>
      </c>
      <c r="E65" s="137" t="s">
        <v>60</v>
      </c>
      <c r="F65" s="134">
        <v>2</v>
      </c>
      <c r="G65" s="246" t="s">
        <v>592</v>
      </c>
      <c r="H65" s="135" t="s">
        <v>42</v>
      </c>
      <c r="I65" s="140"/>
      <c r="J65" s="143">
        <f>VLOOKUP($B65,[3]SAP!$D:$X,12,0)</f>
        <v>6.3699999999999998E-3</v>
      </c>
      <c r="K65" s="143" t="str">
        <f>VLOOKUP($B65,[3]SAP!$D:$X,19,0)</f>
        <v>CNY</v>
      </c>
      <c r="L65" s="128" t="str">
        <f>VLOOKUP($B65,[3]SAP!$D:$X,8,0)</f>
        <v>广东风华高新科技股份有限公司</v>
      </c>
      <c r="M65" s="143">
        <f t="shared" si="11"/>
        <v>6.3699999999999998E-3</v>
      </c>
      <c r="N65" s="143"/>
      <c r="O65" s="143"/>
      <c r="P65" s="143">
        <f>VLOOKUP($B65,[3]SAP!$D:$X,17,0)</f>
        <v>56</v>
      </c>
      <c r="Q65" s="143">
        <f>VLOOKUP($B65,[3]SAP!$D:$X,21,0)</f>
        <v>5000</v>
      </c>
      <c r="R65" s="143">
        <f>VLOOKUP($B65,[3]SAP!$D:$X,20,0)</f>
        <v>5000</v>
      </c>
      <c r="S65" s="86" t="s">
        <v>225</v>
      </c>
    </row>
    <row r="66" spans="1:19" ht="39.6" x14ac:dyDescent="0.25">
      <c r="A66" s="133"/>
      <c r="B66" s="139">
        <v>10100023938</v>
      </c>
      <c r="C66" s="135" t="s">
        <v>119</v>
      </c>
      <c r="D66" s="135" t="s">
        <v>408</v>
      </c>
      <c r="E66" s="137" t="s">
        <v>46</v>
      </c>
      <c r="F66" s="134">
        <v>2</v>
      </c>
      <c r="G66" s="246" t="s">
        <v>592</v>
      </c>
      <c r="H66" s="138"/>
      <c r="I66" s="140"/>
      <c r="J66" s="143">
        <f>VLOOKUP($B66,[3]SAP!$D:$X,12,0)</f>
        <v>8.0000000000000002E-3</v>
      </c>
      <c r="K66" s="143" t="str">
        <f>VLOOKUP($B66,[3]SAP!$D:$X,19,0)</f>
        <v>CNY</v>
      </c>
      <c r="L66" s="128" t="str">
        <f>VLOOKUP($B66,[3]SAP!$D:$X,8,0)</f>
        <v>深圳市超利维实业有限公司</v>
      </c>
      <c r="M66" s="143">
        <f t="shared" si="11"/>
        <v>8.0000000000000002E-3</v>
      </c>
      <c r="N66" s="143"/>
      <c r="O66" s="143"/>
      <c r="P66" s="143">
        <f>VLOOKUP($B66,[3]SAP!$D:$X,17,0)</f>
        <v>84</v>
      </c>
      <c r="Q66" s="143">
        <f>VLOOKUP($B66,[3]SAP!$D:$X,21,0)</f>
        <v>5000</v>
      </c>
      <c r="R66" s="143">
        <f>VLOOKUP($B66,[3]SAP!$D:$X,20,0)</f>
        <v>5000</v>
      </c>
      <c r="S66" s="86" t="s">
        <v>225</v>
      </c>
    </row>
    <row r="67" spans="1:19" ht="14.4" x14ac:dyDescent="0.25">
      <c r="A67" s="133"/>
      <c r="B67" s="139">
        <v>10100024044</v>
      </c>
      <c r="C67" s="135" t="s">
        <v>119</v>
      </c>
      <c r="D67" s="135" t="s">
        <v>409</v>
      </c>
      <c r="E67" s="137" t="s">
        <v>133</v>
      </c>
      <c r="F67" s="134">
        <v>2</v>
      </c>
      <c r="G67" s="246" t="s">
        <v>592</v>
      </c>
      <c r="H67" s="135" t="s">
        <v>42</v>
      </c>
      <c r="I67" s="140"/>
      <c r="J67" s="143">
        <f>VLOOKUP($B67,[3]SAP!$D:$X,12,0)</f>
        <v>5.5999999999999999E-3</v>
      </c>
      <c r="K67" s="143" t="str">
        <f>VLOOKUP($B67,[3]SAP!$D:$X,19,0)</f>
        <v>CNY</v>
      </c>
      <c r="L67" s="128" t="str">
        <f>VLOOKUP($B67,[3]SAP!$D:$X,8,0)</f>
        <v>南充溢辉电子科技有限公司</v>
      </c>
      <c r="M67" s="143">
        <f t="shared" si="11"/>
        <v>5.5999999999999999E-3</v>
      </c>
      <c r="N67" s="143">
        <f>M67*F67</f>
        <v>1.12E-2</v>
      </c>
      <c r="O67" s="143"/>
      <c r="P67" s="143">
        <f>VLOOKUP($B67,[3]SAP!$D:$X,17,0)</f>
        <v>35</v>
      </c>
      <c r="Q67" s="143">
        <f>VLOOKUP($B67,[3]SAP!$D:$X,21,0)</f>
        <v>5000</v>
      </c>
      <c r="R67" s="143">
        <f>VLOOKUP($B67,[3]SAP!$D:$X,20,0)</f>
        <v>5000</v>
      </c>
      <c r="S67" s="86" t="s">
        <v>37</v>
      </c>
    </row>
    <row r="68" spans="1:19" ht="14.4" x14ac:dyDescent="0.25">
      <c r="A68" s="133">
        <v>33</v>
      </c>
      <c r="B68" s="139" t="s">
        <v>38</v>
      </c>
      <c r="C68" s="135" t="s">
        <v>260</v>
      </c>
      <c r="D68" s="135" t="s">
        <v>261</v>
      </c>
      <c r="E68" s="137" t="s">
        <v>262</v>
      </c>
      <c r="F68" s="134">
        <v>1</v>
      </c>
      <c r="G68" s="246" t="s">
        <v>263</v>
      </c>
      <c r="H68" s="138"/>
      <c r="I68" s="140"/>
      <c r="J68" s="143" t="e">
        <f>VLOOKUP($B68,[3]SAP!$D:$X,12,0)</f>
        <v>#N/A</v>
      </c>
      <c r="K68" s="143" t="e">
        <f>VLOOKUP($B68,[3]SAP!$D:$X,19,0)</f>
        <v>#N/A</v>
      </c>
      <c r="L68" s="128" t="e">
        <f>VLOOKUP($B68,[3]SAP!$D:$X,8,0)</f>
        <v>#N/A</v>
      </c>
      <c r="M68" s="146">
        <v>0.24145</v>
      </c>
      <c r="N68" s="143">
        <f>M68*F68</f>
        <v>0.24145</v>
      </c>
      <c r="O68" s="147"/>
      <c r="P68" s="143" t="e">
        <f>VLOOKUP($B68,[3]SAP!$D:$X,17,0)</f>
        <v>#N/A</v>
      </c>
      <c r="Q68" s="143" t="e">
        <f>VLOOKUP($B68,[3]SAP!$D:$X,21,0)</f>
        <v>#N/A</v>
      </c>
      <c r="R68" s="143" t="e">
        <f>VLOOKUP($B68,[3]SAP!$D:$X,20,0)</f>
        <v>#N/A</v>
      </c>
      <c r="S68" s="86" t="s">
        <v>37</v>
      </c>
    </row>
    <row r="69" spans="1:19" ht="26.4" x14ac:dyDescent="0.25">
      <c r="A69" s="133"/>
      <c r="B69" s="139">
        <v>10100026860</v>
      </c>
      <c r="C69" s="135" t="s">
        <v>593</v>
      </c>
      <c r="D69" s="135" t="s">
        <v>414</v>
      </c>
      <c r="E69" s="137" t="s">
        <v>594</v>
      </c>
      <c r="F69" s="134">
        <v>1</v>
      </c>
      <c r="G69" s="246" t="s">
        <v>263</v>
      </c>
      <c r="H69" s="135" t="s">
        <v>42</v>
      </c>
      <c r="I69" s="140"/>
      <c r="J69" s="143">
        <f>VLOOKUP($B69,[3]SAP!$D:$X,12,0)</f>
        <v>0.25</v>
      </c>
      <c r="K69" s="143" t="str">
        <f>VLOOKUP($B69,[3]SAP!$D:$X,19,0)</f>
        <v>CNY</v>
      </c>
      <c r="L69" s="128" t="str">
        <f>VLOOKUP($B69,[3]SAP!$D:$X,8,0)</f>
        <v>深圳安培龙科技股份有限公司</v>
      </c>
      <c r="M69" s="143">
        <f t="shared" ref="M69:M76" si="12">J69</f>
        <v>0.25</v>
      </c>
      <c r="N69" s="143"/>
      <c r="O69" s="143"/>
      <c r="P69" s="143">
        <f>VLOOKUP($B69,[3]SAP!$D:$X,17,0)</f>
        <v>28</v>
      </c>
      <c r="Q69" s="143">
        <f>VLOOKUP($B69,[3]SAP!$D:$X,21,0)</f>
        <v>500</v>
      </c>
      <c r="R69" s="143">
        <f>VLOOKUP($B69,[3]SAP!$D:$X,20,0)</f>
        <v>5000</v>
      </c>
      <c r="S69" s="86" t="s">
        <v>225</v>
      </c>
    </row>
    <row r="70" spans="1:19" ht="39.6" x14ac:dyDescent="0.25">
      <c r="A70" s="133">
        <v>34</v>
      </c>
      <c r="B70" s="139">
        <v>10100003511</v>
      </c>
      <c r="C70" s="135" t="s">
        <v>119</v>
      </c>
      <c r="D70" s="135" t="s">
        <v>416</v>
      </c>
      <c r="E70" s="137" t="s">
        <v>46</v>
      </c>
      <c r="F70" s="134">
        <v>2</v>
      </c>
      <c r="G70" s="246" t="s">
        <v>417</v>
      </c>
      <c r="H70" s="138"/>
      <c r="I70" s="140"/>
      <c r="J70" s="143">
        <f>VLOOKUP($B70,[3]SAP!$D:$X,12,0)</f>
        <v>8.0000000000000002E-3</v>
      </c>
      <c r="K70" s="143" t="str">
        <f>VLOOKUP($B70,[3]SAP!$D:$X,19,0)</f>
        <v>CNY</v>
      </c>
      <c r="L70" s="128" t="str">
        <f>VLOOKUP($B70,[3]SAP!$D:$X,8,0)</f>
        <v>深圳市欧尔法电子有限公司</v>
      </c>
      <c r="M70" s="143">
        <f t="shared" si="12"/>
        <v>8.0000000000000002E-3</v>
      </c>
      <c r="N70" s="143"/>
      <c r="O70" s="143"/>
      <c r="P70" s="143">
        <f>VLOOKUP($B70,[3]SAP!$D:$X,17,0)</f>
        <v>56</v>
      </c>
      <c r="Q70" s="143">
        <f>VLOOKUP($B70,[3]SAP!$D:$X,21,0)</f>
        <v>5000</v>
      </c>
      <c r="R70" s="143">
        <f>VLOOKUP($B70,[3]SAP!$D:$X,20,0)</f>
        <v>5000</v>
      </c>
      <c r="S70" s="86" t="s">
        <v>225</v>
      </c>
    </row>
    <row r="71" spans="1:19" ht="14.4" x14ac:dyDescent="0.25">
      <c r="A71" s="133"/>
      <c r="B71" s="139">
        <v>10100006398</v>
      </c>
      <c r="C71" s="135" t="s">
        <v>119</v>
      </c>
      <c r="D71" s="135" t="s">
        <v>418</v>
      </c>
      <c r="E71" s="137" t="s">
        <v>60</v>
      </c>
      <c r="F71" s="134">
        <v>2</v>
      </c>
      <c r="G71" s="246" t="s">
        <v>417</v>
      </c>
      <c r="H71" s="135" t="s">
        <v>42</v>
      </c>
      <c r="I71" s="140"/>
      <c r="J71" s="143">
        <f>VLOOKUP($B71,[3]SAP!$D:$X,12,0)</f>
        <v>6.3699999999999998E-3</v>
      </c>
      <c r="K71" s="143" t="str">
        <f>VLOOKUP($B71,[3]SAP!$D:$X,19,0)</f>
        <v>CNY</v>
      </c>
      <c r="L71" s="128" t="str">
        <f>VLOOKUP($B71,[3]SAP!$D:$X,8,0)</f>
        <v>广东风华高新科技股份有限公司</v>
      </c>
      <c r="M71" s="143">
        <f t="shared" si="12"/>
        <v>6.3699999999999998E-3</v>
      </c>
      <c r="N71" s="143"/>
      <c r="O71" s="143"/>
      <c r="P71" s="143">
        <f>VLOOKUP($B71,[3]SAP!$D:$X,17,0)</f>
        <v>42</v>
      </c>
      <c r="Q71" s="143">
        <f>VLOOKUP($B71,[3]SAP!$D:$X,21,0)</f>
        <v>4000</v>
      </c>
      <c r="R71" s="143">
        <f>VLOOKUP($B71,[3]SAP!$D:$X,20,0)</f>
        <v>4000</v>
      </c>
      <c r="S71" s="86" t="s">
        <v>225</v>
      </c>
    </row>
    <row r="72" spans="1:19" ht="26.4" x14ac:dyDescent="0.25">
      <c r="A72" s="133"/>
      <c r="B72" s="139">
        <v>10100007174</v>
      </c>
      <c r="C72" s="135" t="s">
        <v>119</v>
      </c>
      <c r="D72" s="135" t="s">
        <v>419</v>
      </c>
      <c r="E72" s="137" t="s">
        <v>77</v>
      </c>
      <c r="F72" s="134">
        <v>2</v>
      </c>
      <c r="G72" s="246" t="s">
        <v>417</v>
      </c>
      <c r="H72" s="135" t="s">
        <v>42</v>
      </c>
      <c r="I72" s="140"/>
      <c r="J72" s="143">
        <f>VLOOKUP($B72,[3]SAP!$D:$X,12,0)</f>
        <v>6.9499999999999996E-3</v>
      </c>
      <c r="K72" s="143" t="str">
        <f>VLOOKUP($B72,[3]SAP!$D:$X,19,0)</f>
        <v>CNY</v>
      </c>
      <c r="L72" s="128" t="str">
        <f>VLOOKUP($B72,[3]SAP!$D:$X,8,0)</f>
        <v>东莞华科电子有限公司</v>
      </c>
      <c r="M72" s="143">
        <f t="shared" si="12"/>
        <v>6.9499999999999996E-3</v>
      </c>
      <c r="N72" s="143"/>
      <c r="O72" s="143"/>
      <c r="P72" s="143">
        <f>VLOOKUP($B72,[3]SAP!$D:$X,17,0)</f>
        <v>56</v>
      </c>
      <c r="Q72" s="143">
        <f>VLOOKUP($B72,[3]SAP!$D:$X,21,0)</f>
        <v>5000</v>
      </c>
      <c r="R72" s="143">
        <f>VLOOKUP($B72,[3]SAP!$D:$X,20,0)</f>
        <v>5000</v>
      </c>
      <c r="S72" s="86" t="s">
        <v>225</v>
      </c>
    </row>
    <row r="73" spans="1:19" ht="26.4" x14ac:dyDescent="0.25">
      <c r="A73" s="133"/>
      <c r="B73" s="139">
        <v>10100011096</v>
      </c>
      <c r="C73" s="135" t="s">
        <v>119</v>
      </c>
      <c r="D73" s="135" t="s">
        <v>420</v>
      </c>
      <c r="E73" s="137" t="s">
        <v>129</v>
      </c>
      <c r="F73" s="134">
        <v>2</v>
      </c>
      <c r="G73" s="246" t="s">
        <v>417</v>
      </c>
      <c r="H73" s="135" t="s">
        <v>42</v>
      </c>
      <c r="I73" s="140"/>
      <c r="J73" s="143">
        <f>VLOOKUP($B73,[3]SAP!$D:$X,12,0)</f>
        <v>6.7799999999999996E-3</v>
      </c>
      <c r="K73" s="143" t="str">
        <f>VLOOKUP($B73,[3]SAP!$D:$X,19,0)</f>
        <v>CNY</v>
      </c>
      <c r="L73" s="128" t="str">
        <f>VLOOKUP($B73,[3]SAP!$D:$X,8,0)</f>
        <v>厚声国际贸易（昆山）有限公司深圳分公司</v>
      </c>
      <c r="M73" s="143">
        <f t="shared" si="12"/>
        <v>6.7799999999999996E-3</v>
      </c>
      <c r="N73" s="143"/>
      <c r="O73" s="143"/>
      <c r="P73" s="143">
        <f>VLOOKUP($B73,[3]SAP!$D:$X,17,0)</f>
        <v>42</v>
      </c>
      <c r="Q73" s="143">
        <f>VLOOKUP($B73,[3]SAP!$D:$X,21,0)</f>
        <v>5000</v>
      </c>
      <c r="R73" s="143">
        <f>VLOOKUP($B73,[3]SAP!$D:$X,20,0)</f>
        <v>5000</v>
      </c>
      <c r="S73" s="86" t="s">
        <v>225</v>
      </c>
    </row>
    <row r="74" spans="1:19" ht="14.4" x14ac:dyDescent="0.25">
      <c r="A74" s="133"/>
      <c r="B74" s="139">
        <v>10100017551</v>
      </c>
      <c r="C74" s="135" t="s">
        <v>119</v>
      </c>
      <c r="D74" s="135" t="s">
        <v>421</v>
      </c>
      <c r="E74" s="137" t="s">
        <v>133</v>
      </c>
      <c r="F74" s="134">
        <v>2</v>
      </c>
      <c r="G74" s="246" t="s">
        <v>417</v>
      </c>
      <c r="H74" s="135" t="s">
        <v>42</v>
      </c>
      <c r="I74" s="140"/>
      <c r="J74" s="143">
        <f>VLOOKUP($B74,[3]SAP!$D:$X,12,0)</f>
        <v>5.5999999999999999E-3</v>
      </c>
      <c r="K74" s="143" t="str">
        <f>VLOOKUP($B74,[3]SAP!$D:$X,19,0)</f>
        <v>CNY</v>
      </c>
      <c r="L74" s="128" t="str">
        <f>VLOOKUP($B74,[3]SAP!$D:$X,8,0)</f>
        <v>南充溢辉电子科技有限公司</v>
      </c>
      <c r="M74" s="143">
        <f t="shared" si="12"/>
        <v>5.5999999999999999E-3</v>
      </c>
      <c r="N74" s="143">
        <f>M74*F74</f>
        <v>1.12E-2</v>
      </c>
      <c r="O74" s="143"/>
      <c r="P74" s="143">
        <f>VLOOKUP($B74,[3]SAP!$D:$X,17,0)</f>
        <v>35</v>
      </c>
      <c r="Q74" s="143">
        <f>VLOOKUP($B74,[3]SAP!$D:$X,21,0)</f>
        <v>5000</v>
      </c>
      <c r="R74" s="143">
        <f>VLOOKUP($B74,[3]SAP!$D:$X,20,0)</f>
        <v>5000</v>
      </c>
      <c r="S74" s="86" t="s">
        <v>37</v>
      </c>
    </row>
    <row r="75" spans="1:19" ht="14.4" x14ac:dyDescent="0.25">
      <c r="A75" s="133">
        <v>35</v>
      </c>
      <c r="B75" s="139">
        <v>10100008776</v>
      </c>
      <c r="C75" s="135" t="s">
        <v>119</v>
      </c>
      <c r="D75" s="135" t="s">
        <v>120</v>
      </c>
      <c r="E75" s="137" t="s">
        <v>60</v>
      </c>
      <c r="F75" s="134">
        <v>1</v>
      </c>
      <c r="G75" s="135" t="s">
        <v>595</v>
      </c>
      <c r="H75" s="135" t="s">
        <v>42</v>
      </c>
      <c r="I75" s="140"/>
      <c r="J75" s="143">
        <f>VLOOKUP($B75,[3]SAP!$D:$X,12,0)</f>
        <v>2.0799999999999998E-3</v>
      </c>
      <c r="K75" s="143" t="str">
        <f>VLOOKUP($B75,[3]SAP!$D:$X,19,0)</f>
        <v>CNY</v>
      </c>
      <c r="L75" s="128" t="str">
        <f>VLOOKUP($B75,[3]SAP!$D:$X,8,0)</f>
        <v>广东风华高新科技股份有限公司</v>
      </c>
      <c r="M75" s="143">
        <f t="shared" si="12"/>
        <v>2.0799999999999998E-3</v>
      </c>
      <c r="N75" s="143">
        <f>M75*F75</f>
        <v>2.0799999999999998E-3</v>
      </c>
      <c r="O75" s="143"/>
      <c r="P75" s="143">
        <f>VLOOKUP($B75,[3]SAP!$D:$X,17,0)</f>
        <v>42</v>
      </c>
      <c r="Q75" s="143">
        <f>VLOOKUP($B75,[3]SAP!$D:$X,21,0)</f>
        <v>5000</v>
      </c>
      <c r="R75" s="143">
        <f>VLOOKUP($B75,[3]SAP!$D:$X,20,0)</f>
        <v>5000</v>
      </c>
      <c r="S75" s="86" t="s">
        <v>37</v>
      </c>
    </row>
    <row r="76" spans="1:19" ht="14.4" x14ac:dyDescent="0.25">
      <c r="A76" s="133"/>
      <c r="B76" s="139">
        <v>10100024100</v>
      </c>
      <c r="C76" s="135" t="s">
        <v>119</v>
      </c>
      <c r="D76" s="135" t="s">
        <v>120</v>
      </c>
      <c r="E76" s="137" t="s">
        <v>60</v>
      </c>
      <c r="F76" s="134">
        <v>1</v>
      </c>
      <c r="G76" s="135" t="s">
        <v>595</v>
      </c>
      <c r="H76" s="135" t="s">
        <v>42</v>
      </c>
      <c r="I76" s="140"/>
      <c r="J76" s="143">
        <f>VLOOKUP($B76,[3]SAP!$D:$X,12,0)</f>
        <v>2.0799999999999998E-3</v>
      </c>
      <c r="K76" s="143" t="str">
        <f>VLOOKUP($B76,[3]SAP!$D:$X,19,0)</f>
        <v>CNY</v>
      </c>
      <c r="L76" s="128" t="str">
        <f>VLOOKUP($B76,[3]SAP!$D:$X,8,0)</f>
        <v>广东风华高新科技股份有限公司</v>
      </c>
      <c r="M76" s="143">
        <f t="shared" si="12"/>
        <v>2.0799999999999998E-3</v>
      </c>
      <c r="N76" s="143"/>
      <c r="O76" s="143"/>
      <c r="P76" s="143">
        <f>VLOOKUP($B76,[3]SAP!$D:$X,17,0)</f>
        <v>42</v>
      </c>
      <c r="Q76" s="143">
        <f>VLOOKUP($B76,[3]SAP!$D:$X,21,0)</f>
        <v>5000</v>
      </c>
      <c r="R76" s="143">
        <f>VLOOKUP($B76,[3]SAP!$D:$X,20,0)</f>
        <v>5000</v>
      </c>
      <c r="S76" s="86"/>
    </row>
    <row r="77" spans="1:19" ht="14.4" x14ac:dyDescent="0.25">
      <c r="A77" s="133"/>
      <c r="B77" s="139" t="s">
        <v>38</v>
      </c>
      <c r="C77" s="135" t="s">
        <v>119</v>
      </c>
      <c r="D77" s="135" t="s">
        <v>123</v>
      </c>
      <c r="E77" s="135" t="s">
        <v>124</v>
      </c>
      <c r="F77" s="134">
        <v>1</v>
      </c>
      <c r="G77" s="135" t="s">
        <v>595</v>
      </c>
      <c r="H77" s="135" t="s">
        <v>42</v>
      </c>
      <c r="I77" s="140"/>
      <c r="J77" s="143" t="e">
        <f>VLOOKUP($B77,[3]SAP!$D:$X,12,0)</f>
        <v>#N/A</v>
      </c>
      <c r="K77" s="143" t="e">
        <f>VLOOKUP($B77,[3]SAP!$D:$X,19,0)</f>
        <v>#N/A</v>
      </c>
      <c r="L77" s="128" t="e">
        <f>VLOOKUP($B77,[3]SAP!$D:$X,8,0)</f>
        <v>#N/A</v>
      </c>
      <c r="M77" s="146">
        <v>2.0999999999999999E-3</v>
      </c>
      <c r="N77" s="143"/>
      <c r="O77" s="147"/>
      <c r="P77" s="143" t="e">
        <f>VLOOKUP($B77,[3]SAP!$D:$X,17,0)</f>
        <v>#N/A</v>
      </c>
      <c r="Q77" s="143" t="e">
        <f>VLOOKUP($B77,[3]SAP!$D:$X,21,0)</f>
        <v>#N/A</v>
      </c>
      <c r="R77" s="143" t="e">
        <f>VLOOKUP($B77,[3]SAP!$D:$X,20,0)</f>
        <v>#N/A</v>
      </c>
      <c r="S77" s="86" t="s">
        <v>225</v>
      </c>
    </row>
    <row r="78" spans="1:19" ht="39.6" x14ac:dyDescent="0.25">
      <c r="A78" s="133">
        <v>36</v>
      </c>
      <c r="B78" s="139">
        <v>10100007615</v>
      </c>
      <c r="C78" s="135" t="s">
        <v>119</v>
      </c>
      <c r="D78" s="135" t="s">
        <v>138</v>
      </c>
      <c r="E78" s="137" t="s">
        <v>46</v>
      </c>
      <c r="F78" s="134">
        <v>13</v>
      </c>
      <c r="G78" s="135" t="s">
        <v>596</v>
      </c>
      <c r="H78" s="138"/>
      <c r="I78" s="140"/>
      <c r="J78" s="143">
        <f>VLOOKUP($B78,[3]SAP!$D:$X,12,0)</f>
        <v>1.4E-3</v>
      </c>
      <c r="K78" s="143" t="str">
        <f>VLOOKUP($B78,[3]SAP!$D:$X,19,0)</f>
        <v>CNY</v>
      </c>
      <c r="L78" s="128" t="str">
        <f>VLOOKUP($B78,[3]SAP!$D:$X,8,0)</f>
        <v>深圳市超利维实业有限公司</v>
      </c>
      <c r="M78" s="143">
        <f t="shared" ref="M78:M100" si="13">J78</f>
        <v>1.4E-3</v>
      </c>
      <c r="N78" s="143"/>
      <c r="O78" s="143"/>
      <c r="P78" s="143">
        <f>VLOOKUP($B78,[3]SAP!$D:$X,17,0)</f>
        <v>84</v>
      </c>
      <c r="Q78" s="143">
        <f>VLOOKUP($B78,[3]SAP!$D:$X,21,0)</f>
        <v>10000</v>
      </c>
      <c r="R78" s="143">
        <f>VLOOKUP($B78,[3]SAP!$D:$X,20,0)</f>
        <v>10000</v>
      </c>
      <c r="S78" s="86" t="s">
        <v>225</v>
      </c>
    </row>
    <row r="79" spans="1:19" ht="26.4" x14ac:dyDescent="0.25">
      <c r="A79" s="133"/>
      <c r="B79" s="139">
        <v>10100008302</v>
      </c>
      <c r="C79" s="135" t="s">
        <v>119</v>
      </c>
      <c r="D79" s="135" t="s">
        <v>140</v>
      </c>
      <c r="E79" s="137" t="s">
        <v>77</v>
      </c>
      <c r="F79" s="134">
        <v>13</v>
      </c>
      <c r="G79" s="135" t="s">
        <v>596</v>
      </c>
      <c r="H79" s="135" t="s">
        <v>42</v>
      </c>
      <c r="I79" s="140"/>
      <c r="J79" s="143">
        <f>VLOOKUP($B79,[3]SAP!$D:$X,12,0)</f>
        <v>1.17E-3</v>
      </c>
      <c r="K79" s="143" t="str">
        <f>VLOOKUP($B79,[3]SAP!$D:$X,19,0)</f>
        <v>CNY</v>
      </c>
      <c r="L79" s="128" t="str">
        <f>VLOOKUP($B79,[3]SAP!$D:$X,8,0)</f>
        <v>东莞华科电子有限公司</v>
      </c>
      <c r="M79" s="143">
        <f t="shared" si="13"/>
        <v>1.17E-3</v>
      </c>
      <c r="N79" s="143"/>
      <c r="O79" s="143"/>
      <c r="P79" s="143">
        <f>VLOOKUP($B79,[3]SAP!$D:$X,17,0)</f>
        <v>56</v>
      </c>
      <c r="Q79" s="143">
        <f>VLOOKUP($B79,[3]SAP!$D:$X,21,0)</f>
        <v>10000</v>
      </c>
      <c r="R79" s="143">
        <f>VLOOKUP($B79,[3]SAP!$D:$X,20,0)</f>
        <v>10000</v>
      </c>
      <c r="S79" s="86" t="s">
        <v>225</v>
      </c>
    </row>
    <row r="80" spans="1:19" ht="26.4" x14ac:dyDescent="0.25">
      <c r="A80" s="133"/>
      <c r="B80" s="139">
        <v>10100013093</v>
      </c>
      <c r="C80" s="135" t="s">
        <v>119</v>
      </c>
      <c r="D80" s="135" t="s">
        <v>141</v>
      </c>
      <c r="E80" s="137" t="s">
        <v>129</v>
      </c>
      <c r="F80" s="134">
        <v>13</v>
      </c>
      <c r="G80" s="135" t="s">
        <v>596</v>
      </c>
      <c r="H80" s="135" t="s">
        <v>42</v>
      </c>
      <c r="I80" s="140"/>
      <c r="J80" s="143">
        <f>VLOOKUP($B80,[3]SAP!$D:$X,12,0)</f>
        <v>1.09E-3</v>
      </c>
      <c r="K80" s="143" t="str">
        <f>VLOOKUP($B80,[3]SAP!$D:$X,19,0)</f>
        <v>CNY</v>
      </c>
      <c r="L80" s="128" t="str">
        <f>VLOOKUP($B80,[3]SAP!$D:$X,8,0)</f>
        <v>厚声国际贸易（昆山）有限公司深圳分公司</v>
      </c>
      <c r="M80" s="143">
        <f t="shared" si="13"/>
        <v>1.09E-3</v>
      </c>
      <c r="N80" s="143"/>
      <c r="O80" s="143"/>
      <c r="P80" s="143">
        <f>VLOOKUP($B80,[3]SAP!$D:$X,17,0)</f>
        <v>42</v>
      </c>
      <c r="Q80" s="143">
        <f>VLOOKUP($B80,[3]SAP!$D:$X,21,0)</f>
        <v>10000</v>
      </c>
      <c r="R80" s="143">
        <f>VLOOKUP($B80,[3]SAP!$D:$X,20,0)</f>
        <v>10000</v>
      </c>
      <c r="S80" s="86" t="s">
        <v>225</v>
      </c>
    </row>
    <row r="81" spans="1:19" ht="14.4" x14ac:dyDescent="0.25">
      <c r="A81" s="133"/>
      <c r="B81" s="139">
        <v>10100013936</v>
      </c>
      <c r="C81" s="135" t="s">
        <v>119</v>
      </c>
      <c r="D81" s="135" t="s">
        <v>142</v>
      </c>
      <c r="E81" s="137" t="s">
        <v>60</v>
      </c>
      <c r="F81" s="134">
        <v>13</v>
      </c>
      <c r="G81" s="135" t="s">
        <v>596</v>
      </c>
      <c r="H81" s="135" t="s">
        <v>42</v>
      </c>
      <c r="I81" s="140"/>
      <c r="J81" s="143">
        <f>VLOOKUP($B81,[3]SAP!$D:$X,12,0)</f>
        <v>1.1000000000000001E-3</v>
      </c>
      <c r="K81" s="143" t="str">
        <f>VLOOKUP($B81,[3]SAP!$D:$X,19,0)</f>
        <v>CNY</v>
      </c>
      <c r="L81" s="128" t="str">
        <f>VLOOKUP($B81,[3]SAP!$D:$X,8,0)</f>
        <v>广东风华高新科技股份有限公司</v>
      </c>
      <c r="M81" s="143">
        <f t="shared" si="13"/>
        <v>1.1000000000000001E-3</v>
      </c>
      <c r="N81" s="143"/>
      <c r="O81" s="143"/>
      <c r="P81" s="143">
        <f>VLOOKUP($B81,[3]SAP!$D:$X,17,0)</f>
        <v>42</v>
      </c>
      <c r="Q81" s="143">
        <f>VLOOKUP($B81,[3]SAP!$D:$X,21,0)</f>
        <v>10000</v>
      </c>
      <c r="R81" s="143">
        <f>VLOOKUP($B81,[3]SAP!$D:$X,20,0)</f>
        <v>10000</v>
      </c>
      <c r="S81" s="86" t="s">
        <v>225</v>
      </c>
    </row>
    <row r="82" spans="1:19" ht="14.4" x14ac:dyDescent="0.25">
      <c r="A82" s="133"/>
      <c r="B82" s="139">
        <v>10100017616</v>
      </c>
      <c r="C82" s="135" t="s">
        <v>119</v>
      </c>
      <c r="D82" s="135" t="s">
        <v>143</v>
      </c>
      <c r="E82" s="137" t="s">
        <v>133</v>
      </c>
      <c r="F82" s="134">
        <v>13</v>
      </c>
      <c r="G82" s="135" t="s">
        <v>596</v>
      </c>
      <c r="H82" s="135" t="s">
        <v>42</v>
      </c>
      <c r="I82" s="140"/>
      <c r="J82" s="143">
        <f>VLOOKUP($B82,[3]SAP!$D:$X,12,0)</f>
        <v>9.7999999999999997E-4</v>
      </c>
      <c r="K82" s="143" t="str">
        <f>VLOOKUP($B82,[3]SAP!$D:$X,19,0)</f>
        <v>CNY</v>
      </c>
      <c r="L82" s="128" t="str">
        <f>VLOOKUP($B82,[3]SAP!$D:$X,8,0)</f>
        <v>恒辉电阻（益阳）有限公司</v>
      </c>
      <c r="M82" s="143">
        <f t="shared" si="13"/>
        <v>9.7999999999999997E-4</v>
      </c>
      <c r="N82" s="143">
        <f>M82*F82</f>
        <v>1.274E-2</v>
      </c>
      <c r="O82" s="143"/>
      <c r="P82" s="143">
        <f>VLOOKUP($B82,[3]SAP!$D:$X,17,0)</f>
        <v>42</v>
      </c>
      <c r="Q82" s="143">
        <f>VLOOKUP($B82,[3]SAP!$D:$X,21,0)</f>
        <v>10000</v>
      </c>
      <c r="R82" s="143">
        <f>VLOOKUP($B82,[3]SAP!$D:$X,20,0)</f>
        <v>10000</v>
      </c>
      <c r="S82" s="86" t="s">
        <v>37</v>
      </c>
    </row>
    <row r="83" spans="1:19" ht="39.6" x14ac:dyDescent="0.25">
      <c r="A83" s="133">
        <v>37</v>
      </c>
      <c r="B83" s="139">
        <v>10100002715</v>
      </c>
      <c r="C83" s="135" t="s">
        <v>119</v>
      </c>
      <c r="D83" s="135" t="s">
        <v>425</v>
      </c>
      <c r="E83" s="137" t="s">
        <v>46</v>
      </c>
      <c r="F83" s="134">
        <v>1</v>
      </c>
      <c r="G83" s="246" t="s">
        <v>426</v>
      </c>
      <c r="H83" s="138"/>
      <c r="I83" s="140"/>
      <c r="J83" s="143">
        <f>VLOOKUP($B83,[3]SAP!$D:$X,12,0)</f>
        <v>4.7999999999999996E-3</v>
      </c>
      <c r="K83" s="143" t="str">
        <f>VLOOKUP($B83,[3]SAP!$D:$X,19,0)</f>
        <v>CNY</v>
      </c>
      <c r="L83" s="128" t="str">
        <f>VLOOKUP($B83,[3]SAP!$D:$X,8,0)</f>
        <v>深圳市欧尔法电子有限公司</v>
      </c>
      <c r="M83" s="143">
        <f t="shared" si="13"/>
        <v>4.7999999999999996E-3</v>
      </c>
      <c r="N83" s="143"/>
      <c r="O83" s="143"/>
      <c r="P83" s="143">
        <f>VLOOKUP($B83,[3]SAP!$D:$X,17,0)</f>
        <v>70</v>
      </c>
      <c r="Q83" s="143">
        <f>VLOOKUP($B83,[3]SAP!$D:$X,21,0)</f>
        <v>5000</v>
      </c>
      <c r="R83" s="143">
        <f>VLOOKUP($B83,[3]SAP!$D:$X,20,0)</f>
        <v>5000</v>
      </c>
      <c r="S83" s="86" t="s">
        <v>225</v>
      </c>
    </row>
    <row r="84" spans="1:19" ht="26.4" x14ac:dyDescent="0.25">
      <c r="A84" s="133"/>
      <c r="B84" s="139">
        <v>10100005503</v>
      </c>
      <c r="C84" s="135" t="s">
        <v>119</v>
      </c>
      <c r="D84" s="135" t="s">
        <v>427</v>
      </c>
      <c r="E84" s="137" t="s">
        <v>129</v>
      </c>
      <c r="F84" s="134">
        <v>1</v>
      </c>
      <c r="G84" s="246" t="s">
        <v>426</v>
      </c>
      <c r="H84" s="135" t="s">
        <v>42</v>
      </c>
      <c r="I84" s="140"/>
      <c r="J84" s="143">
        <f>VLOOKUP($B84,[3]SAP!$D:$X,12,0)</f>
        <v>3.8E-3</v>
      </c>
      <c r="K84" s="143" t="str">
        <f>VLOOKUP($B84,[3]SAP!$D:$X,19,0)</f>
        <v>CNY</v>
      </c>
      <c r="L84" s="128" t="str">
        <f>VLOOKUP($B84,[3]SAP!$D:$X,8,0)</f>
        <v>厚声国际贸易（昆山）有限公司深圳分公司</v>
      </c>
      <c r="M84" s="143">
        <f t="shared" si="13"/>
        <v>3.8E-3</v>
      </c>
      <c r="N84" s="143"/>
      <c r="O84" s="143"/>
      <c r="P84" s="143">
        <f>VLOOKUP($B84,[3]SAP!$D:$X,17,0)</f>
        <v>56</v>
      </c>
      <c r="Q84" s="143">
        <f>VLOOKUP($B84,[3]SAP!$D:$X,21,0)</f>
        <v>5000</v>
      </c>
      <c r="R84" s="143">
        <f>VLOOKUP($B84,[3]SAP!$D:$X,20,0)</f>
        <v>5000</v>
      </c>
      <c r="S84" s="86" t="s">
        <v>225</v>
      </c>
    </row>
    <row r="85" spans="1:19" ht="14.4" x14ac:dyDescent="0.25">
      <c r="A85" s="133"/>
      <c r="B85" s="139">
        <v>10100006627</v>
      </c>
      <c r="C85" s="135" t="s">
        <v>119</v>
      </c>
      <c r="D85" s="135" t="s">
        <v>428</v>
      </c>
      <c r="E85" s="137" t="s">
        <v>60</v>
      </c>
      <c r="F85" s="134">
        <v>1</v>
      </c>
      <c r="G85" s="246" t="s">
        <v>426</v>
      </c>
      <c r="H85" s="135" t="s">
        <v>42</v>
      </c>
      <c r="I85" s="140"/>
      <c r="J85" s="143">
        <f>VLOOKUP($B85,[3]SAP!$D:$X,12,0)</f>
        <v>3.7200000000000002E-3</v>
      </c>
      <c r="K85" s="143" t="str">
        <f>VLOOKUP($B85,[3]SAP!$D:$X,19,0)</f>
        <v>CNY</v>
      </c>
      <c r="L85" s="128" t="str">
        <f>VLOOKUP($B85,[3]SAP!$D:$X,8,0)</f>
        <v>广东风华高新科技股份有限公司</v>
      </c>
      <c r="M85" s="143">
        <f t="shared" si="13"/>
        <v>3.7200000000000002E-3</v>
      </c>
      <c r="N85" s="143"/>
      <c r="O85" s="143"/>
      <c r="P85" s="143">
        <f>VLOOKUP($B85,[3]SAP!$D:$X,17,0)</f>
        <v>42</v>
      </c>
      <c r="Q85" s="143">
        <f>VLOOKUP($B85,[3]SAP!$D:$X,21,0)</f>
        <v>5000</v>
      </c>
      <c r="R85" s="143">
        <f>VLOOKUP($B85,[3]SAP!$D:$X,20,0)</f>
        <v>5000</v>
      </c>
      <c r="S85" s="86" t="s">
        <v>225</v>
      </c>
    </row>
    <row r="86" spans="1:19" ht="26.4" x14ac:dyDescent="0.25">
      <c r="A86" s="133"/>
      <c r="B86" s="139">
        <v>10100007109</v>
      </c>
      <c r="C86" s="135" t="s">
        <v>119</v>
      </c>
      <c r="D86" s="135" t="s">
        <v>429</v>
      </c>
      <c r="E86" s="137" t="s">
        <v>77</v>
      </c>
      <c r="F86" s="134">
        <v>1</v>
      </c>
      <c r="G86" s="246" t="s">
        <v>426</v>
      </c>
      <c r="H86" s="135" t="s">
        <v>42</v>
      </c>
      <c r="I86" s="140"/>
      <c r="J86" s="143">
        <f>VLOOKUP($B86,[3]SAP!$D:$X,12,0)</f>
        <v>3.8800000000000002E-3</v>
      </c>
      <c r="K86" s="143" t="str">
        <f>VLOOKUP($B86,[3]SAP!$D:$X,19,0)</f>
        <v>CNY</v>
      </c>
      <c r="L86" s="128" t="str">
        <f>VLOOKUP($B86,[3]SAP!$D:$X,8,0)</f>
        <v>东莞华科电子有限公司</v>
      </c>
      <c r="M86" s="143">
        <f t="shared" si="13"/>
        <v>3.8800000000000002E-3</v>
      </c>
      <c r="N86" s="143"/>
      <c r="O86" s="143"/>
      <c r="P86" s="143">
        <f>VLOOKUP($B86,[3]SAP!$D:$X,17,0)</f>
        <v>56</v>
      </c>
      <c r="Q86" s="143">
        <f>VLOOKUP($B86,[3]SAP!$D:$X,21,0)</f>
        <v>5000</v>
      </c>
      <c r="R86" s="143">
        <f>VLOOKUP($B86,[3]SAP!$D:$X,20,0)</f>
        <v>5000</v>
      </c>
      <c r="S86" s="86" t="s">
        <v>225</v>
      </c>
    </row>
    <row r="87" spans="1:19" ht="14.4" x14ac:dyDescent="0.25">
      <c r="A87" s="133"/>
      <c r="B87" s="139">
        <v>10100018253</v>
      </c>
      <c r="C87" s="135" t="s">
        <v>119</v>
      </c>
      <c r="D87" s="135" t="s">
        <v>430</v>
      </c>
      <c r="E87" s="137" t="s">
        <v>133</v>
      </c>
      <c r="F87" s="134">
        <v>1</v>
      </c>
      <c r="G87" s="246" t="s">
        <v>426</v>
      </c>
      <c r="H87" s="135" t="s">
        <v>42</v>
      </c>
      <c r="I87" s="140"/>
      <c r="J87" s="143">
        <f>VLOOKUP($B87,[3]SAP!$D:$X,12,0)</f>
        <v>3.3500000000000001E-3</v>
      </c>
      <c r="K87" s="143" t="str">
        <f>VLOOKUP($B87,[3]SAP!$D:$X,19,0)</f>
        <v>CNY</v>
      </c>
      <c r="L87" s="128" t="str">
        <f>VLOOKUP($B87,[3]SAP!$D:$X,8,0)</f>
        <v>恒辉电阻（益阳）有限公司</v>
      </c>
      <c r="M87" s="143">
        <f t="shared" si="13"/>
        <v>3.3500000000000001E-3</v>
      </c>
      <c r="N87" s="143">
        <f>M87*F87</f>
        <v>3.3500000000000001E-3</v>
      </c>
      <c r="O87" s="143"/>
      <c r="P87" s="143">
        <f>VLOOKUP($B87,[3]SAP!$D:$X,17,0)</f>
        <v>42</v>
      </c>
      <c r="Q87" s="143">
        <f>VLOOKUP($B87,[3]SAP!$D:$X,21,0)</f>
        <v>5000</v>
      </c>
      <c r="R87" s="143">
        <f>VLOOKUP($B87,[3]SAP!$D:$X,20,0)</f>
        <v>5000</v>
      </c>
      <c r="S87" s="86" t="s">
        <v>37</v>
      </c>
    </row>
    <row r="88" spans="1:19" ht="39.6" x14ac:dyDescent="0.25">
      <c r="A88" s="133">
        <v>38</v>
      </c>
      <c r="B88" s="139">
        <v>10100011726</v>
      </c>
      <c r="C88" s="135" t="s">
        <v>144</v>
      </c>
      <c r="D88" s="135" t="s">
        <v>145</v>
      </c>
      <c r="E88" s="137" t="s">
        <v>46</v>
      </c>
      <c r="F88" s="134">
        <v>7</v>
      </c>
      <c r="G88" s="135" t="s">
        <v>597</v>
      </c>
      <c r="H88" s="138"/>
      <c r="I88" s="140"/>
      <c r="J88" s="143">
        <f>VLOOKUP($B88,[3]SAP!$D:$X,12,0)</f>
        <v>1.39E-3</v>
      </c>
      <c r="K88" s="143" t="str">
        <f>VLOOKUP($B88,[3]SAP!$D:$X,19,0)</f>
        <v>CNY</v>
      </c>
      <c r="L88" s="128" t="str">
        <f>VLOOKUP($B88,[3]SAP!$D:$X,8,0)</f>
        <v>深圳市欧尔法电子有限公司</v>
      </c>
      <c r="M88" s="143">
        <f t="shared" si="13"/>
        <v>1.39E-3</v>
      </c>
      <c r="N88" s="143"/>
      <c r="O88" s="143"/>
      <c r="P88" s="143">
        <f>VLOOKUP($B88,[3]SAP!$D:$X,17,0)</f>
        <v>56</v>
      </c>
      <c r="Q88" s="143">
        <f>VLOOKUP($B88,[3]SAP!$D:$X,21,0)</f>
        <v>10000</v>
      </c>
      <c r="R88" s="143">
        <f>VLOOKUP($B88,[3]SAP!$D:$X,20,0)</f>
        <v>10000</v>
      </c>
      <c r="S88" s="86" t="s">
        <v>225</v>
      </c>
    </row>
    <row r="89" spans="1:19" ht="14.4" x14ac:dyDescent="0.25">
      <c r="A89" s="133"/>
      <c r="B89" s="139">
        <v>10100011993</v>
      </c>
      <c r="C89" s="135" t="s">
        <v>144</v>
      </c>
      <c r="D89" s="135" t="s">
        <v>148</v>
      </c>
      <c r="E89" s="137" t="s">
        <v>60</v>
      </c>
      <c r="F89" s="134">
        <v>7</v>
      </c>
      <c r="G89" s="135" t="s">
        <v>597</v>
      </c>
      <c r="H89" s="135" t="s">
        <v>42</v>
      </c>
      <c r="I89" s="140"/>
      <c r="J89" s="143">
        <f>VLOOKUP($B89,[3]SAP!$D:$X,12,0)</f>
        <v>1.1000000000000001E-3</v>
      </c>
      <c r="K89" s="143" t="str">
        <f>VLOOKUP($B89,[3]SAP!$D:$X,19,0)</f>
        <v>CNY</v>
      </c>
      <c r="L89" s="128" t="str">
        <f>VLOOKUP($B89,[3]SAP!$D:$X,8,0)</f>
        <v>广东风华高新科技股份有限公司</v>
      </c>
      <c r="M89" s="143">
        <f t="shared" si="13"/>
        <v>1.1000000000000001E-3</v>
      </c>
      <c r="N89" s="143"/>
      <c r="O89" s="143"/>
      <c r="P89" s="143">
        <f>VLOOKUP($B89,[3]SAP!$D:$X,17,0)</f>
        <v>42</v>
      </c>
      <c r="Q89" s="143">
        <f>VLOOKUP($B89,[3]SAP!$D:$X,21,0)</f>
        <v>10000</v>
      </c>
      <c r="R89" s="143">
        <f>VLOOKUP($B89,[3]SAP!$D:$X,20,0)</f>
        <v>10000</v>
      </c>
      <c r="S89" s="86" t="s">
        <v>225</v>
      </c>
    </row>
    <row r="90" spans="1:19" ht="14.4" x14ac:dyDescent="0.25">
      <c r="A90" s="133"/>
      <c r="B90" s="139">
        <v>10100017738</v>
      </c>
      <c r="C90" s="135" t="s">
        <v>119</v>
      </c>
      <c r="D90" s="135" t="s">
        <v>149</v>
      </c>
      <c r="E90" s="137" t="s">
        <v>133</v>
      </c>
      <c r="F90" s="134">
        <v>7</v>
      </c>
      <c r="G90" s="135" t="s">
        <v>597</v>
      </c>
      <c r="H90" s="135" t="s">
        <v>42</v>
      </c>
      <c r="I90" s="140"/>
      <c r="J90" s="143">
        <f>VLOOKUP($B90,[3]SAP!$D:$X,12,0)</f>
        <v>9.7999999999999997E-4</v>
      </c>
      <c r="K90" s="143" t="str">
        <f>VLOOKUP($B90,[3]SAP!$D:$X,19,0)</f>
        <v>CNY</v>
      </c>
      <c r="L90" s="128" t="str">
        <f>VLOOKUP($B90,[3]SAP!$D:$X,8,0)</f>
        <v>恒辉电阻（益阳）有限公司</v>
      </c>
      <c r="M90" s="143">
        <f t="shared" si="13"/>
        <v>9.7999999999999997E-4</v>
      </c>
      <c r="N90" s="143">
        <f>M90*F90</f>
        <v>6.8599999999999998E-3</v>
      </c>
      <c r="O90" s="143"/>
      <c r="P90" s="143">
        <f>VLOOKUP($B90,[3]SAP!$D:$X,17,0)</f>
        <v>42</v>
      </c>
      <c r="Q90" s="143">
        <f>VLOOKUP($B90,[3]SAP!$D:$X,21,0)</f>
        <v>10000</v>
      </c>
      <c r="R90" s="143">
        <f>VLOOKUP($B90,[3]SAP!$D:$X,20,0)</f>
        <v>10000</v>
      </c>
      <c r="S90" s="86" t="s">
        <v>37</v>
      </c>
    </row>
    <row r="91" spans="1:19" ht="14.4" x14ac:dyDescent="0.25">
      <c r="A91" s="133">
        <v>39</v>
      </c>
      <c r="B91" s="139">
        <v>10100008057</v>
      </c>
      <c r="C91" s="135" t="s">
        <v>119</v>
      </c>
      <c r="D91" s="135" t="s">
        <v>433</v>
      </c>
      <c r="E91" s="137" t="s">
        <v>60</v>
      </c>
      <c r="F91" s="134">
        <v>4</v>
      </c>
      <c r="G91" s="135" t="s">
        <v>434</v>
      </c>
      <c r="H91" s="135" t="s">
        <v>42</v>
      </c>
      <c r="I91" s="140"/>
      <c r="J91" s="143">
        <f>VLOOKUP($B91,[3]SAP!$D:$X,12,0)</f>
        <v>1.1000000000000001E-3</v>
      </c>
      <c r="K91" s="143" t="str">
        <f>VLOOKUP($B91,[3]SAP!$D:$X,19,0)</f>
        <v>CNY</v>
      </c>
      <c r="L91" s="128" t="str">
        <f>VLOOKUP($B91,[3]SAP!$D:$X,8,0)</f>
        <v>广东风华高新科技股份有限公司</v>
      </c>
      <c r="M91" s="143">
        <f t="shared" si="13"/>
        <v>1.1000000000000001E-3</v>
      </c>
      <c r="N91" s="143"/>
      <c r="O91" s="143"/>
      <c r="P91" s="143">
        <f>VLOOKUP($B91,[3]SAP!$D:$X,17,0)</f>
        <v>42</v>
      </c>
      <c r="Q91" s="143">
        <f>VLOOKUP($B91,[3]SAP!$D:$X,21,0)</f>
        <v>10000</v>
      </c>
      <c r="R91" s="143">
        <f>VLOOKUP($B91,[3]SAP!$D:$X,20,0)</f>
        <v>10000</v>
      </c>
      <c r="S91" s="86" t="s">
        <v>225</v>
      </c>
    </row>
    <row r="92" spans="1:19" ht="26.4" x14ac:dyDescent="0.25">
      <c r="A92" s="133"/>
      <c r="B92" s="139">
        <v>10100008069</v>
      </c>
      <c r="C92" s="135" t="s">
        <v>119</v>
      </c>
      <c r="D92" s="135" t="s">
        <v>435</v>
      </c>
      <c r="E92" s="137" t="s">
        <v>77</v>
      </c>
      <c r="F92" s="134">
        <v>4</v>
      </c>
      <c r="G92" s="135" t="s">
        <v>434</v>
      </c>
      <c r="H92" s="135" t="s">
        <v>42</v>
      </c>
      <c r="I92" s="140"/>
      <c r="J92" s="143">
        <f>VLOOKUP($B92,[3]SAP!$D:$X,12,0)</f>
        <v>1.17E-3</v>
      </c>
      <c r="K92" s="143" t="str">
        <f>VLOOKUP($B92,[3]SAP!$D:$X,19,0)</f>
        <v>CNY</v>
      </c>
      <c r="L92" s="128" t="str">
        <f>VLOOKUP($B92,[3]SAP!$D:$X,8,0)</f>
        <v>东莞华科电子有限公司</v>
      </c>
      <c r="M92" s="143">
        <f t="shared" si="13"/>
        <v>1.17E-3</v>
      </c>
      <c r="N92" s="143"/>
      <c r="O92" s="143"/>
      <c r="P92" s="143">
        <f>VLOOKUP($B92,[3]SAP!$D:$X,17,0)</f>
        <v>56</v>
      </c>
      <c r="Q92" s="143">
        <f>VLOOKUP($B92,[3]SAP!$D:$X,21,0)</f>
        <v>10000</v>
      </c>
      <c r="R92" s="143">
        <f>VLOOKUP($B92,[3]SAP!$D:$X,20,0)</f>
        <v>10000</v>
      </c>
      <c r="S92" s="86" t="s">
        <v>225</v>
      </c>
    </row>
    <row r="93" spans="1:19" ht="39.6" x14ac:dyDescent="0.25">
      <c r="A93" s="133"/>
      <c r="B93" s="139">
        <v>10100008075</v>
      </c>
      <c r="C93" s="135" t="s">
        <v>119</v>
      </c>
      <c r="D93" s="135" t="s">
        <v>436</v>
      </c>
      <c r="E93" s="137" t="s">
        <v>46</v>
      </c>
      <c r="F93" s="134">
        <v>4</v>
      </c>
      <c r="G93" s="135" t="s">
        <v>434</v>
      </c>
      <c r="H93" s="138"/>
      <c r="I93" s="140"/>
      <c r="J93" s="143">
        <f>VLOOKUP($B93,[3]SAP!$D:$X,12,0)</f>
        <v>1.4E-3</v>
      </c>
      <c r="K93" s="143" t="str">
        <f>VLOOKUP($B93,[3]SAP!$D:$X,19,0)</f>
        <v>CNY</v>
      </c>
      <c r="L93" s="128" t="str">
        <f>VLOOKUP($B93,[3]SAP!$D:$X,8,0)</f>
        <v>深圳市超利维实业有限公司</v>
      </c>
      <c r="M93" s="143">
        <f t="shared" si="13"/>
        <v>1.4E-3</v>
      </c>
      <c r="N93" s="143"/>
      <c r="O93" s="143"/>
      <c r="P93" s="143">
        <f>VLOOKUP($B93,[3]SAP!$D:$X,17,0)</f>
        <v>56</v>
      </c>
      <c r="Q93" s="143">
        <f>VLOOKUP($B93,[3]SAP!$D:$X,21,0)</f>
        <v>10000</v>
      </c>
      <c r="R93" s="143">
        <f>VLOOKUP($B93,[3]SAP!$D:$X,20,0)</f>
        <v>10000</v>
      </c>
      <c r="S93" s="86" t="s">
        <v>225</v>
      </c>
    </row>
    <row r="94" spans="1:19" ht="26.4" x14ac:dyDescent="0.25">
      <c r="A94" s="133"/>
      <c r="B94" s="139">
        <v>10100017335</v>
      </c>
      <c r="C94" s="135" t="s">
        <v>119</v>
      </c>
      <c r="D94" s="135" t="s">
        <v>437</v>
      </c>
      <c r="E94" s="137" t="s">
        <v>129</v>
      </c>
      <c r="F94" s="134">
        <v>4</v>
      </c>
      <c r="G94" s="135" t="s">
        <v>434</v>
      </c>
      <c r="H94" s="135" t="s">
        <v>42</v>
      </c>
      <c r="I94" s="140"/>
      <c r="J94" s="143">
        <f>VLOOKUP($B94,[3]SAP!$D:$X,12,0)</f>
        <v>1.09E-3</v>
      </c>
      <c r="K94" s="143" t="str">
        <f>VLOOKUP($B94,[3]SAP!$D:$X,19,0)</f>
        <v>CNY</v>
      </c>
      <c r="L94" s="128" t="str">
        <f>VLOOKUP($B94,[3]SAP!$D:$X,8,0)</f>
        <v>厚声国际贸易（昆山）有限公司深圳分公司</v>
      </c>
      <c r="M94" s="143">
        <f t="shared" si="13"/>
        <v>1.09E-3</v>
      </c>
      <c r="N94" s="143"/>
      <c r="O94" s="143"/>
      <c r="P94" s="143">
        <f>VLOOKUP($B94,[3]SAP!$D:$X,17,0)</f>
        <v>42</v>
      </c>
      <c r="Q94" s="143">
        <f>VLOOKUP($B94,[3]SAP!$D:$X,21,0)</f>
        <v>10000</v>
      </c>
      <c r="R94" s="143">
        <f>VLOOKUP($B94,[3]SAP!$D:$X,20,0)</f>
        <v>10000</v>
      </c>
      <c r="S94" s="86" t="s">
        <v>225</v>
      </c>
    </row>
    <row r="95" spans="1:19" ht="14.4" x14ac:dyDescent="0.25">
      <c r="A95" s="133"/>
      <c r="B95" s="139">
        <v>10100017664</v>
      </c>
      <c r="C95" s="135" t="s">
        <v>119</v>
      </c>
      <c r="D95" s="135" t="s">
        <v>438</v>
      </c>
      <c r="E95" s="137" t="s">
        <v>133</v>
      </c>
      <c r="F95" s="134">
        <v>4</v>
      </c>
      <c r="G95" s="135" t="s">
        <v>434</v>
      </c>
      <c r="H95" s="135" t="s">
        <v>42</v>
      </c>
      <c r="I95" s="140"/>
      <c r="J95" s="143">
        <f>VLOOKUP($B95,[3]SAP!$D:$X,12,0)</f>
        <v>9.7999999999999997E-4</v>
      </c>
      <c r="K95" s="143" t="str">
        <f>VLOOKUP($B95,[3]SAP!$D:$X,19,0)</f>
        <v>CNY</v>
      </c>
      <c r="L95" s="128" t="str">
        <f>VLOOKUP($B95,[3]SAP!$D:$X,8,0)</f>
        <v>恒辉电阻（益阳）有限公司</v>
      </c>
      <c r="M95" s="143">
        <f t="shared" si="13"/>
        <v>9.7999999999999997E-4</v>
      </c>
      <c r="N95" s="143">
        <f>M95*F95</f>
        <v>3.9199999999999999E-3</v>
      </c>
      <c r="O95" s="143"/>
      <c r="P95" s="143">
        <f>VLOOKUP($B95,[3]SAP!$D:$X,17,0)</f>
        <v>42</v>
      </c>
      <c r="Q95" s="143">
        <f>VLOOKUP($B95,[3]SAP!$D:$X,21,0)</f>
        <v>10000</v>
      </c>
      <c r="R95" s="143">
        <f>VLOOKUP($B95,[3]SAP!$D:$X,20,0)</f>
        <v>10000</v>
      </c>
      <c r="S95" s="86" t="s">
        <v>37</v>
      </c>
    </row>
    <row r="96" spans="1:19" ht="39.6" x14ac:dyDescent="0.25">
      <c r="A96" s="133">
        <v>40</v>
      </c>
      <c r="B96" s="139">
        <v>10100002122</v>
      </c>
      <c r="C96" s="135" t="s">
        <v>119</v>
      </c>
      <c r="D96" s="135" t="s">
        <v>446</v>
      </c>
      <c r="E96" s="137" t="s">
        <v>46</v>
      </c>
      <c r="F96" s="134">
        <v>1</v>
      </c>
      <c r="G96" s="246" t="s">
        <v>598</v>
      </c>
      <c r="H96" s="138"/>
      <c r="I96" s="140"/>
      <c r="J96" s="143">
        <f>VLOOKUP($B96,[3]SAP!$D:$X,12,0)</f>
        <v>4.7999999999999996E-3</v>
      </c>
      <c r="K96" s="143" t="str">
        <f>VLOOKUP($B96,[3]SAP!$D:$X,19,0)</f>
        <v>CNY</v>
      </c>
      <c r="L96" s="128" t="str">
        <f>VLOOKUP($B96,[3]SAP!$D:$X,8,0)</f>
        <v>深圳市欧尔法电子有限公司</v>
      </c>
      <c r="M96" s="143">
        <f t="shared" si="13"/>
        <v>4.7999999999999996E-3</v>
      </c>
      <c r="N96" s="143"/>
      <c r="O96" s="143"/>
      <c r="P96" s="143">
        <f>VLOOKUP($B96,[3]SAP!$D:$X,17,0)</f>
        <v>56</v>
      </c>
      <c r="Q96" s="143">
        <f>VLOOKUP($B96,[3]SAP!$D:$X,21,0)</f>
        <v>5000</v>
      </c>
      <c r="R96" s="143">
        <f>VLOOKUP($B96,[3]SAP!$D:$X,20,0)</f>
        <v>5000</v>
      </c>
      <c r="S96" s="86" t="s">
        <v>225</v>
      </c>
    </row>
    <row r="97" spans="1:19" ht="14.4" x14ac:dyDescent="0.25">
      <c r="A97" s="133"/>
      <c r="B97" s="139">
        <v>10100002123</v>
      </c>
      <c r="C97" s="135" t="s">
        <v>119</v>
      </c>
      <c r="D97" s="135" t="s">
        <v>448</v>
      </c>
      <c r="E97" s="137" t="s">
        <v>60</v>
      </c>
      <c r="F97" s="134">
        <v>1</v>
      </c>
      <c r="G97" s="246" t="s">
        <v>598</v>
      </c>
      <c r="H97" s="135" t="s">
        <v>42</v>
      </c>
      <c r="I97" s="140"/>
      <c r="J97" s="143">
        <f>VLOOKUP($B97,[3]SAP!$D:$X,12,0)</f>
        <v>3.7200000000000002E-3</v>
      </c>
      <c r="K97" s="143" t="str">
        <f>VLOOKUP($B97,[3]SAP!$D:$X,19,0)</f>
        <v>CNY</v>
      </c>
      <c r="L97" s="128" t="str">
        <f>VLOOKUP($B97,[3]SAP!$D:$X,8,0)</f>
        <v>广东风华高新科技股份有限公司</v>
      </c>
      <c r="M97" s="143">
        <f t="shared" si="13"/>
        <v>3.7200000000000002E-3</v>
      </c>
      <c r="N97" s="143"/>
      <c r="O97" s="143"/>
      <c r="P97" s="143">
        <f>VLOOKUP($B97,[3]SAP!$D:$X,17,0)</f>
        <v>42</v>
      </c>
      <c r="Q97" s="143">
        <f>VLOOKUP($B97,[3]SAP!$D:$X,21,0)</f>
        <v>5000</v>
      </c>
      <c r="R97" s="143">
        <f>VLOOKUP($B97,[3]SAP!$D:$X,20,0)</f>
        <v>5000</v>
      </c>
      <c r="S97" s="86" t="s">
        <v>225</v>
      </c>
    </row>
    <row r="98" spans="1:19" ht="26.4" x14ac:dyDescent="0.25">
      <c r="A98" s="133"/>
      <c r="B98" s="139">
        <v>10100004833</v>
      </c>
      <c r="C98" s="135" t="s">
        <v>119</v>
      </c>
      <c r="D98" s="135" t="s">
        <v>449</v>
      </c>
      <c r="E98" s="137" t="s">
        <v>77</v>
      </c>
      <c r="F98" s="134">
        <v>1</v>
      </c>
      <c r="G98" s="246" t="s">
        <v>598</v>
      </c>
      <c r="H98" s="135" t="s">
        <v>42</v>
      </c>
      <c r="I98" s="140"/>
      <c r="J98" s="143">
        <f>VLOOKUP($B98,[3]SAP!$D:$X,12,0)</f>
        <v>3.8800000000000002E-3</v>
      </c>
      <c r="K98" s="143" t="str">
        <f>VLOOKUP($B98,[3]SAP!$D:$X,19,0)</f>
        <v>CNY</v>
      </c>
      <c r="L98" s="128" t="str">
        <f>VLOOKUP($B98,[3]SAP!$D:$X,8,0)</f>
        <v>东莞华科电子有限公司</v>
      </c>
      <c r="M98" s="143">
        <f t="shared" si="13"/>
        <v>3.8800000000000002E-3</v>
      </c>
      <c r="N98" s="143"/>
      <c r="O98" s="143"/>
      <c r="P98" s="143">
        <f>VLOOKUP($B98,[3]SAP!$D:$X,17,0)</f>
        <v>56</v>
      </c>
      <c r="Q98" s="143">
        <f>VLOOKUP($B98,[3]SAP!$D:$X,21,0)</f>
        <v>5000</v>
      </c>
      <c r="R98" s="143">
        <f>VLOOKUP($B98,[3]SAP!$D:$X,20,0)</f>
        <v>5000</v>
      </c>
      <c r="S98" s="86" t="s">
        <v>225</v>
      </c>
    </row>
    <row r="99" spans="1:19" ht="26.4" x14ac:dyDescent="0.25">
      <c r="A99" s="133"/>
      <c r="B99" s="139">
        <v>10100005487</v>
      </c>
      <c r="C99" s="135" t="s">
        <v>119</v>
      </c>
      <c r="D99" s="135" t="s">
        <v>450</v>
      </c>
      <c r="E99" s="137" t="s">
        <v>129</v>
      </c>
      <c r="F99" s="134">
        <v>1</v>
      </c>
      <c r="G99" s="246" t="s">
        <v>598</v>
      </c>
      <c r="H99" s="135" t="s">
        <v>42</v>
      </c>
      <c r="I99" s="140"/>
      <c r="J99" s="143">
        <f>VLOOKUP($B99,[3]SAP!$D:$X,12,0)</f>
        <v>3.8E-3</v>
      </c>
      <c r="K99" s="143" t="str">
        <f>VLOOKUP($B99,[3]SAP!$D:$X,19,0)</f>
        <v>CNY</v>
      </c>
      <c r="L99" s="128" t="str">
        <f>VLOOKUP($B99,[3]SAP!$D:$X,8,0)</f>
        <v>厚声国际贸易（昆山）有限公司深圳分公司</v>
      </c>
      <c r="M99" s="143">
        <f t="shared" si="13"/>
        <v>3.8E-3</v>
      </c>
      <c r="N99" s="143"/>
      <c r="O99" s="143"/>
      <c r="P99" s="143">
        <f>VLOOKUP($B99,[3]SAP!$D:$X,17,0)</f>
        <v>56</v>
      </c>
      <c r="Q99" s="143">
        <f>VLOOKUP($B99,[3]SAP!$D:$X,21,0)</f>
        <v>5000</v>
      </c>
      <c r="R99" s="143">
        <f>VLOOKUP($B99,[3]SAP!$D:$X,20,0)</f>
        <v>5000</v>
      </c>
      <c r="S99" s="86" t="s">
        <v>225</v>
      </c>
    </row>
    <row r="100" spans="1:19" ht="14.4" x14ac:dyDescent="0.25">
      <c r="A100" s="133"/>
      <c r="B100" s="139">
        <v>10100018109</v>
      </c>
      <c r="C100" s="135" t="s">
        <v>119</v>
      </c>
      <c r="D100" s="135" t="s">
        <v>451</v>
      </c>
      <c r="E100" s="137" t="s">
        <v>133</v>
      </c>
      <c r="F100" s="134">
        <v>1</v>
      </c>
      <c r="G100" s="246" t="s">
        <v>598</v>
      </c>
      <c r="H100" s="135" t="s">
        <v>42</v>
      </c>
      <c r="I100" s="140"/>
      <c r="J100" s="143">
        <f>VLOOKUP($B100,[3]SAP!$D:$X,12,0)</f>
        <v>3.3500000000000001E-3</v>
      </c>
      <c r="K100" s="143" t="str">
        <f>VLOOKUP($B100,[3]SAP!$D:$X,19,0)</f>
        <v>CNY</v>
      </c>
      <c r="L100" s="128" t="str">
        <f>VLOOKUP($B100,[3]SAP!$D:$X,8,0)</f>
        <v>恒辉电阻（益阳）有限公司</v>
      </c>
      <c r="M100" s="143">
        <f t="shared" si="13"/>
        <v>3.3500000000000001E-3</v>
      </c>
      <c r="N100" s="143">
        <f>M100*F100</f>
        <v>3.3500000000000001E-3</v>
      </c>
      <c r="O100" s="143"/>
      <c r="P100" s="143">
        <f>VLOOKUP($B100,[3]SAP!$D:$X,17,0)</f>
        <v>42</v>
      </c>
      <c r="Q100" s="143">
        <f>VLOOKUP($B100,[3]SAP!$D:$X,21,0)</f>
        <v>5000</v>
      </c>
      <c r="R100" s="143">
        <f>VLOOKUP($B100,[3]SAP!$D:$X,20,0)</f>
        <v>5000</v>
      </c>
      <c r="S100" s="86" t="s">
        <v>37</v>
      </c>
    </row>
    <row r="101" spans="1:19" ht="14.4" x14ac:dyDescent="0.25">
      <c r="A101" s="133">
        <v>41</v>
      </c>
      <c r="B101" s="139" t="s">
        <v>38</v>
      </c>
      <c r="C101" s="135" t="s">
        <v>599</v>
      </c>
      <c r="D101" s="135" t="s">
        <v>600</v>
      </c>
      <c r="E101" s="135" t="s">
        <v>601</v>
      </c>
      <c r="F101" s="134">
        <v>3</v>
      </c>
      <c r="G101" s="135" t="s">
        <v>267</v>
      </c>
      <c r="H101" s="135" t="s">
        <v>42</v>
      </c>
      <c r="I101" s="140"/>
      <c r="J101" s="143" t="e">
        <f>VLOOKUP($B101,[3]SAP!$D:$X,12,0)</f>
        <v>#N/A</v>
      </c>
      <c r="K101" s="143" t="e">
        <f>VLOOKUP($B101,[3]SAP!$D:$X,19,0)</f>
        <v>#N/A</v>
      </c>
      <c r="L101" s="128" t="e">
        <f>VLOOKUP($B101,[3]SAP!$D:$X,8,0)</f>
        <v>#N/A</v>
      </c>
      <c r="M101" s="146">
        <v>0.15</v>
      </c>
      <c r="N101" s="143">
        <f>M101*F101</f>
        <v>0.45</v>
      </c>
      <c r="O101" s="147"/>
      <c r="P101" s="143" t="e">
        <f>VLOOKUP($B101,[3]SAP!$D:$X,17,0)</f>
        <v>#N/A</v>
      </c>
      <c r="Q101" s="143" t="e">
        <f>VLOOKUP($B101,[3]SAP!$D:$X,21,0)</f>
        <v>#N/A</v>
      </c>
      <c r="R101" s="143" t="e">
        <f>VLOOKUP($B101,[3]SAP!$D:$X,20,0)</f>
        <v>#N/A</v>
      </c>
      <c r="S101" s="86" t="s">
        <v>37</v>
      </c>
    </row>
    <row r="102" spans="1:19" ht="39.6" x14ac:dyDescent="0.25">
      <c r="A102" s="133">
        <v>42</v>
      </c>
      <c r="B102" s="139">
        <v>10100005703</v>
      </c>
      <c r="C102" s="135" t="s">
        <v>144</v>
      </c>
      <c r="D102" s="135" t="s">
        <v>439</v>
      </c>
      <c r="E102" s="137" t="s">
        <v>46</v>
      </c>
      <c r="F102" s="134">
        <v>5</v>
      </c>
      <c r="G102" s="135" t="s">
        <v>602</v>
      </c>
      <c r="H102" s="138"/>
      <c r="I102" s="140"/>
      <c r="J102" s="143">
        <f>VLOOKUP($B102,[3]SAP!$D:$X,12,0)</f>
        <v>1.4E-3</v>
      </c>
      <c r="K102" s="143" t="str">
        <f>VLOOKUP($B102,[3]SAP!$D:$X,19,0)</f>
        <v>CNY</v>
      </c>
      <c r="L102" s="128" t="str">
        <f>VLOOKUP($B102,[3]SAP!$D:$X,8,0)</f>
        <v>深圳市超利维实业有限公司</v>
      </c>
      <c r="M102" s="143">
        <f t="shared" ref="M102:M147" si="14">J102</f>
        <v>1.4E-3</v>
      </c>
      <c r="N102" s="143"/>
      <c r="O102" s="143"/>
      <c r="P102" s="143">
        <f>VLOOKUP($B102,[3]SAP!$D:$X,17,0)</f>
        <v>84</v>
      </c>
      <c r="Q102" s="143">
        <f>VLOOKUP($B102,[3]SAP!$D:$X,21,0)</f>
        <v>10000</v>
      </c>
      <c r="R102" s="143">
        <f>VLOOKUP($B102,[3]SAP!$D:$X,20,0)</f>
        <v>10000</v>
      </c>
      <c r="S102" s="86" t="s">
        <v>225</v>
      </c>
    </row>
    <row r="103" spans="1:19" ht="14.4" x14ac:dyDescent="0.25">
      <c r="A103" s="133"/>
      <c r="B103" s="139">
        <v>10100005718</v>
      </c>
      <c r="C103" s="135" t="s">
        <v>144</v>
      </c>
      <c r="D103" s="135" t="s">
        <v>441</v>
      </c>
      <c r="E103" s="137" t="s">
        <v>60</v>
      </c>
      <c r="F103" s="134">
        <v>5</v>
      </c>
      <c r="G103" s="135" t="s">
        <v>602</v>
      </c>
      <c r="H103" s="135" t="s">
        <v>42</v>
      </c>
      <c r="I103" s="140"/>
      <c r="J103" s="143">
        <f>VLOOKUP($B103,[3]SAP!$D:$X,12,0)</f>
        <v>1.1000000000000001E-3</v>
      </c>
      <c r="K103" s="143" t="str">
        <f>VLOOKUP($B103,[3]SAP!$D:$X,19,0)</f>
        <v>CNY</v>
      </c>
      <c r="L103" s="128" t="str">
        <f>VLOOKUP($B103,[3]SAP!$D:$X,8,0)</f>
        <v>广东风华高新科技股份有限公司</v>
      </c>
      <c r="M103" s="143">
        <f t="shared" si="14"/>
        <v>1.1000000000000001E-3</v>
      </c>
      <c r="N103" s="143"/>
      <c r="O103" s="143"/>
      <c r="P103" s="143">
        <f>VLOOKUP($B103,[3]SAP!$D:$X,17,0)</f>
        <v>42</v>
      </c>
      <c r="Q103" s="143">
        <f>VLOOKUP($B103,[3]SAP!$D:$X,21,0)</f>
        <v>10000</v>
      </c>
      <c r="R103" s="143">
        <f>VLOOKUP($B103,[3]SAP!$D:$X,20,0)</f>
        <v>10000</v>
      </c>
      <c r="S103" s="86" t="s">
        <v>225</v>
      </c>
    </row>
    <row r="104" spans="1:19" ht="26.4" x14ac:dyDescent="0.25">
      <c r="A104" s="133"/>
      <c r="B104" s="139">
        <v>10100006711</v>
      </c>
      <c r="C104" s="135" t="s">
        <v>144</v>
      </c>
      <c r="D104" s="135" t="s">
        <v>442</v>
      </c>
      <c r="E104" s="137" t="s">
        <v>77</v>
      </c>
      <c r="F104" s="134">
        <v>5</v>
      </c>
      <c r="G104" s="135" t="s">
        <v>602</v>
      </c>
      <c r="H104" s="135" t="s">
        <v>42</v>
      </c>
      <c r="I104" s="140"/>
      <c r="J104" s="143">
        <f>VLOOKUP($B104,[3]SAP!$D:$X,12,0)</f>
        <v>1.17E-3</v>
      </c>
      <c r="K104" s="143" t="str">
        <f>VLOOKUP($B104,[3]SAP!$D:$X,19,0)</f>
        <v>CNY</v>
      </c>
      <c r="L104" s="128" t="str">
        <f>VLOOKUP($B104,[3]SAP!$D:$X,8,0)</f>
        <v>东莞华科电子有限公司</v>
      </c>
      <c r="M104" s="143">
        <f t="shared" si="14"/>
        <v>1.17E-3</v>
      </c>
      <c r="N104" s="143"/>
      <c r="O104" s="143"/>
      <c r="P104" s="143">
        <f>VLOOKUP($B104,[3]SAP!$D:$X,17,0)</f>
        <v>56</v>
      </c>
      <c r="Q104" s="143">
        <f>VLOOKUP($B104,[3]SAP!$D:$X,21,0)</f>
        <v>10000</v>
      </c>
      <c r="R104" s="143">
        <f>VLOOKUP($B104,[3]SAP!$D:$X,20,0)</f>
        <v>10000</v>
      </c>
      <c r="S104" s="86" t="s">
        <v>225</v>
      </c>
    </row>
    <row r="105" spans="1:19" ht="26.4" x14ac:dyDescent="0.25">
      <c r="A105" s="133"/>
      <c r="B105" s="139">
        <v>10100013040</v>
      </c>
      <c r="C105" s="135" t="s">
        <v>119</v>
      </c>
      <c r="D105" s="135" t="s">
        <v>443</v>
      </c>
      <c r="E105" s="137" t="s">
        <v>129</v>
      </c>
      <c r="F105" s="134">
        <v>5</v>
      </c>
      <c r="G105" s="135" t="s">
        <v>602</v>
      </c>
      <c r="H105" s="135" t="s">
        <v>42</v>
      </c>
      <c r="I105" s="140"/>
      <c r="J105" s="143">
        <f>VLOOKUP($B105,[3]SAP!$D:$X,12,0)</f>
        <v>1.09E-3</v>
      </c>
      <c r="K105" s="143" t="str">
        <f>VLOOKUP($B105,[3]SAP!$D:$X,19,0)</f>
        <v>CNY</v>
      </c>
      <c r="L105" s="128" t="str">
        <f>VLOOKUP($B105,[3]SAP!$D:$X,8,0)</f>
        <v>厚声国际贸易（昆山）有限公司深圳分公司</v>
      </c>
      <c r="M105" s="143">
        <f t="shared" si="14"/>
        <v>1.09E-3</v>
      </c>
      <c r="N105" s="143"/>
      <c r="O105" s="143"/>
      <c r="P105" s="143">
        <f>VLOOKUP($B105,[3]SAP!$D:$X,17,0)</f>
        <v>56</v>
      </c>
      <c r="Q105" s="143">
        <f>VLOOKUP($B105,[3]SAP!$D:$X,21,0)</f>
        <v>10000</v>
      </c>
      <c r="R105" s="143">
        <f>VLOOKUP($B105,[3]SAP!$D:$X,20,0)</f>
        <v>10000</v>
      </c>
      <c r="S105" s="86" t="s">
        <v>225</v>
      </c>
    </row>
    <row r="106" spans="1:19" ht="14.4" x14ac:dyDescent="0.25">
      <c r="A106" s="133"/>
      <c r="B106" s="139">
        <v>10100017642</v>
      </c>
      <c r="C106" s="135" t="s">
        <v>119</v>
      </c>
      <c r="D106" s="135" t="s">
        <v>444</v>
      </c>
      <c r="E106" s="137" t="s">
        <v>133</v>
      </c>
      <c r="F106" s="134">
        <v>5</v>
      </c>
      <c r="G106" s="135" t="s">
        <v>602</v>
      </c>
      <c r="H106" s="135" t="s">
        <v>42</v>
      </c>
      <c r="I106" s="140"/>
      <c r="J106" s="143">
        <f>VLOOKUP($B106,[3]SAP!$D:$X,12,0)</f>
        <v>9.7999999999999997E-4</v>
      </c>
      <c r="K106" s="143" t="str">
        <f>VLOOKUP($B106,[3]SAP!$D:$X,19,0)</f>
        <v>CNY</v>
      </c>
      <c r="L106" s="128" t="str">
        <f>VLOOKUP($B106,[3]SAP!$D:$X,8,0)</f>
        <v>恒辉电阻（益阳）有限公司</v>
      </c>
      <c r="M106" s="143">
        <f t="shared" si="14"/>
        <v>9.7999999999999997E-4</v>
      </c>
      <c r="N106" s="143">
        <f>M106*F106</f>
        <v>4.8999999999999998E-3</v>
      </c>
      <c r="O106" s="143"/>
      <c r="P106" s="143">
        <f>VLOOKUP($B106,[3]SAP!$D:$X,17,0)</f>
        <v>42</v>
      </c>
      <c r="Q106" s="143">
        <f>VLOOKUP($B106,[3]SAP!$D:$X,21,0)</f>
        <v>10000</v>
      </c>
      <c r="R106" s="143">
        <f>VLOOKUP($B106,[3]SAP!$D:$X,20,0)</f>
        <v>10000</v>
      </c>
      <c r="S106" s="86" t="s">
        <v>37</v>
      </c>
    </row>
    <row r="107" spans="1:19" ht="39.6" x14ac:dyDescent="0.25">
      <c r="A107" s="133">
        <v>43</v>
      </c>
      <c r="B107" s="139">
        <v>10100009721</v>
      </c>
      <c r="C107" s="135" t="s">
        <v>119</v>
      </c>
      <c r="D107" s="135" t="s">
        <v>452</v>
      </c>
      <c r="E107" s="137" t="s">
        <v>46</v>
      </c>
      <c r="F107" s="134">
        <v>2</v>
      </c>
      <c r="G107" s="246" t="s">
        <v>453</v>
      </c>
      <c r="H107" s="138"/>
      <c r="I107" s="140"/>
      <c r="J107" s="143">
        <f>VLOOKUP($B107,[3]SAP!$D:$X,12,0)</f>
        <v>1.4E-3</v>
      </c>
      <c r="K107" s="143" t="str">
        <f>VLOOKUP($B107,[3]SAP!$D:$X,19,0)</f>
        <v>CNY</v>
      </c>
      <c r="L107" s="128" t="str">
        <f>VLOOKUP($B107,[3]SAP!$D:$X,8,0)</f>
        <v>深圳市超利维实业有限公司</v>
      </c>
      <c r="M107" s="143">
        <f t="shared" si="14"/>
        <v>1.4E-3</v>
      </c>
      <c r="N107" s="143"/>
      <c r="O107" s="143"/>
      <c r="P107" s="143">
        <f>VLOOKUP($B107,[3]SAP!$D:$X,17,0)</f>
        <v>84</v>
      </c>
      <c r="Q107" s="143">
        <f>VLOOKUP($B107,[3]SAP!$D:$X,21,0)</f>
        <v>10000</v>
      </c>
      <c r="R107" s="143">
        <f>VLOOKUP($B107,[3]SAP!$D:$X,20,0)</f>
        <v>10000</v>
      </c>
      <c r="S107" s="86" t="s">
        <v>225</v>
      </c>
    </row>
    <row r="108" spans="1:19" ht="26.4" x14ac:dyDescent="0.25">
      <c r="A108" s="133"/>
      <c r="B108" s="139">
        <v>10100009722</v>
      </c>
      <c r="C108" s="135" t="s">
        <v>119</v>
      </c>
      <c r="D108" s="135" t="s">
        <v>454</v>
      </c>
      <c r="E108" s="137" t="s">
        <v>77</v>
      </c>
      <c r="F108" s="134">
        <v>2</v>
      </c>
      <c r="G108" s="246" t="s">
        <v>453</v>
      </c>
      <c r="H108" s="135" t="s">
        <v>42</v>
      </c>
      <c r="I108" s="140"/>
      <c r="J108" s="143">
        <f>VLOOKUP($B108,[3]SAP!$D:$X,12,0)</f>
        <v>1.17E-3</v>
      </c>
      <c r="K108" s="143" t="str">
        <f>VLOOKUP($B108,[3]SAP!$D:$X,19,0)</f>
        <v>CNY</v>
      </c>
      <c r="L108" s="128" t="str">
        <f>VLOOKUP($B108,[3]SAP!$D:$X,8,0)</f>
        <v>东莞华科电子有限公司</v>
      </c>
      <c r="M108" s="143">
        <f t="shared" si="14"/>
        <v>1.17E-3</v>
      </c>
      <c r="N108" s="143"/>
      <c r="O108" s="143"/>
      <c r="P108" s="143">
        <f>VLOOKUP($B108,[3]SAP!$D:$X,17,0)</f>
        <v>56</v>
      </c>
      <c r="Q108" s="143">
        <f>VLOOKUP($B108,[3]SAP!$D:$X,21,0)</f>
        <v>10000</v>
      </c>
      <c r="R108" s="143">
        <f>VLOOKUP($B108,[3]SAP!$D:$X,20,0)</f>
        <v>10000</v>
      </c>
      <c r="S108" s="86" t="s">
        <v>225</v>
      </c>
    </row>
    <row r="109" spans="1:19" ht="26.4" x14ac:dyDescent="0.25">
      <c r="A109" s="133"/>
      <c r="B109" s="139">
        <v>10100019134</v>
      </c>
      <c r="C109" s="135" t="s">
        <v>119</v>
      </c>
      <c r="D109" s="135" t="s">
        <v>455</v>
      </c>
      <c r="E109" s="137" t="s">
        <v>603</v>
      </c>
      <c r="F109" s="134">
        <v>2</v>
      </c>
      <c r="G109" s="246" t="s">
        <v>453</v>
      </c>
      <c r="H109" s="135" t="s">
        <v>42</v>
      </c>
      <c r="I109" s="140"/>
      <c r="J109" s="143">
        <f>VLOOKUP($B109,[3]SAP!$D:$X,12,0)</f>
        <v>9.7999999999999997E-4</v>
      </c>
      <c r="K109" s="143" t="str">
        <f>VLOOKUP($B109,[3]SAP!$D:$X,19,0)</f>
        <v>CNY</v>
      </c>
      <c r="L109" s="128" t="str">
        <f>VLOOKUP($B109,[3]SAP!$D:$X,8,0)</f>
        <v>恒辉电阻（益阳）有限公司</v>
      </c>
      <c r="M109" s="143">
        <f t="shared" si="14"/>
        <v>9.7999999999999997E-4</v>
      </c>
      <c r="N109" s="143">
        <f>M109*F109</f>
        <v>1.9599999999999999E-3</v>
      </c>
      <c r="O109" s="143"/>
      <c r="P109" s="143">
        <f>VLOOKUP($B109,[3]SAP!$D:$X,17,0)</f>
        <v>42</v>
      </c>
      <c r="Q109" s="143">
        <f>VLOOKUP($B109,[3]SAP!$D:$X,21,0)</f>
        <v>10000</v>
      </c>
      <c r="R109" s="143">
        <f>VLOOKUP($B109,[3]SAP!$D:$X,20,0)</f>
        <v>10000</v>
      </c>
      <c r="S109" s="86" t="s">
        <v>37</v>
      </c>
    </row>
    <row r="110" spans="1:19" ht="26.4" x14ac:dyDescent="0.25">
      <c r="A110" s="133"/>
      <c r="B110" s="139">
        <v>10100022516</v>
      </c>
      <c r="C110" s="135" t="s">
        <v>119</v>
      </c>
      <c r="D110" s="135" t="s">
        <v>457</v>
      </c>
      <c r="E110" s="137" t="s">
        <v>129</v>
      </c>
      <c r="F110" s="134">
        <v>2</v>
      </c>
      <c r="G110" s="246" t="s">
        <v>453</v>
      </c>
      <c r="H110" s="135" t="s">
        <v>42</v>
      </c>
      <c r="I110" s="140"/>
      <c r="J110" s="143">
        <f>VLOOKUP($B110,[3]SAP!$D:$X,12,0)</f>
        <v>1.09E-3</v>
      </c>
      <c r="K110" s="143" t="str">
        <f>VLOOKUP($B110,[3]SAP!$D:$X,19,0)</f>
        <v>CNY</v>
      </c>
      <c r="L110" s="128" t="str">
        <f>VLOOKUP($B110,[3]SAP!$D:$X,8,0)</f>
        <v>厚声国际贸易（昆山）有限公司深圳分公司</v>
      </c>
      <c r="M110" s="143">
        <f t="shared" si="14"/>
        <v>1.09E-3</v>
      </c>
      <c r="N110" s="143"/>
      <c r="O110" s="143"/>
      <c r="P110" s="143">
        <f>VLOOKUP($B110,[3]SAP!$D:$X,17,0)</f>
        <v>42</v>
      </c>
      <c r="Q110" s="143">
        <f>VLOOKUP($B110,[3]SAP!$D:$X,21,0)</f>
        <v>10000</v>
      </c>
      <c r="R110" s="143">
        <f>VLOOKUP($B110,[3]SAP!$D:$X,20,0)</f>
        <v>10000</v>
      </c>
      <c r="S110" s="86" t="s">
        <v>225</v>
      </c>
    </row>
    <row r="111" spans="1:19" ht="39.6" x14ac:dyDescent="0.25">
      <c r="A111" s="133">
        <v>44</v>
      </c>
      <c r="B111" s="139">
        <v>10100007852</v>
      </c>
      <c r="C111" s="135" t="s">
        <v>119</v>
      </c>
      <c r="D111" s="135" t="s">
        <v>458</v>
      </c>
      <c r="E111" s="137" t="s">
        <v>46</v>
      </c>
      <c r="F111" s="134">
        <v>3</v>
      </c>
      <c r="G111" s="246" t="s">
        <v>459</v>
      </c>
      <c r="H111" s="138"/>
      <c r="I111" s="140"/>
      <c r="J111" s="143">
        <f>VLOOKUP($B111,[3]SAP!$D:$X,12,0)</f>
        <v>8.0000000000000002E-3</v>
      </c>
      <c r="K111" s="143" t="str">
        <f>VLOOKUP($B111,[3]SAP!$D:$X,19,0)</f>
        <v>CNY</v>
      </c>
      <c r="L111" s="128" t="str">
        <f>VLOOKUP($B111,[3]SAP!$D:$X,8,0)</f>
        <v>深圳市欧尔法电子有限公司</v>
      </c>
      <c r="M111" s="143">
        <f t="shared" si="14"/>
        <v>8.0000000000000002E-3</v>
      </c>
      <c r="N111" s="143"/>
      <c r="O111" s="143"/>
      <c r="P111" s="143">
        <f>VLOOKUP($B111,[3]SAP!$D:$X,17,0)</f>
        <v>70</v>
      </c>
      <c r="Q111" s="143">
        <f>VLOOKUP($B111,[3]SAP!$D:$X,21,0)</f>
        <v>5000</v>
      </c>
      <c r="R111" s="143">
        <f>VLOOKUP($B111,[3]SAP!$D:$X,20,0)</f>
        <v>5000</v>
      </c>
      <c r="S111" s="86" t="s">
        <v>225</v>
      </c>
    </row>
    <row r="112" spans="1:19" ht="26.4" x14ac:dyDescent="0.25">
      <c r="A112" s="133"/>
      <c r="B112" s="139">
        <v>10100014304</v>
      </c>
      <c r="C112" s="135" t="s">
        <v>119</v>
      </c>
      <c r="D112" s="135" t="s">
        <v>460</v>
      </c>
      <c r="E112" s="137" t="s">
        <v>77</v>
      </c>
      <c r="F112" s="134">
        <v>3</v>
      </c>
      <c r="G112" s="246" t="s">
        <v>459</v>
      </c>
      <c r="H112" s="135" t="s">
        <v>42</v>
      </c>
      <c r="I112" s="140"/>
      <c r="J112" s="143">
        <f>VLOOKUP($B112,[3]SAP!$D:$X,12,0)</f>
        <v>6.9499999999999996E-3</v>
      </c>
      <c r="K112" s="143" t="str">
        <f>VLOOKUP($B112,[3]SAP!$D:$X,19,0)</f>
        <v>CNY</v>
      </c>
      <c r="L112" s="128" t="str">
        <f>VLOOKUP($B112,[3]SAP!$D:$X,8,0)</f>
        <v>东莞华科电子有限公司</v>
      </c>
      <c r="M112" s="143">
        <f t="shared" si="14"/>
        <v>6.9499999999999996E-3</v>
      </c>
      <c r="N112" s="143"/>
      <c r="O112" s="143"/>
      <c r="P112" s="143">
        <f>VLOOKUP($B112,[3]SAP!$D:$X,17,0)</f>
        <v>70</v>
      </c>
      <c r="Q112" s="143">
        <f>VLOOKUP($B112,[3]SAP!$D:$X,21,0)</f>
        <v>5000</v>
      </c>
      <c r="R112" s="143">
        <f>VLOOKUP($B112,[3]SAP!$D:$X,20,0)</f>
        <v>5000</v>
      </c>
      <c r="S112" s="86" t="s">
        <v>225</v>
      </c>
    </row>
    <row r="113" spans="1:19" ht="26.4" x14ac:dyDescent="0.25">
      <c r="A113" s="133"/>
      <c r="B113" s="139">
        <v>10100017206</v>
      </c>
      <c r="C113" s="135" t="s">
        <v>119</v>
      </c>
      <c r="D113" s="135" t="s">
        <v>461</v>
      </c>
      <c r="E113" s="137" t="s">
        <v>129</v>
      </c>
      <c r="F113" s="134">
        <v>3</v>
      </c>
      <c r="G113" s="246" t="s">
        <v>459</v>
      </c>
      <c r="H113" s="135" t="s">
        <v>42</v>
      </c>
      <c r="I113" s="140"/>
      <c r="J113" s="143">
        <f>VLOOKUP($B113,[3]SAP!$D:$X,12,0)</f>
        <v>6.7799999999999996E-3</v>
      </c>
      <c r="K113" s="143" t="str">
        <f>VLOOKUP($B113,[3]SAP!$D:$X,19,0)</f>
        <v>CNY</v>
      </c>
      <c r="L113" s="128" t="str">
        <f>VLOOKUP($B113,[3]SAP!$D:$X,8,0)</f>
        <v>厚声国际贸易（昆山）有限公司深圳分公司</v>
      </c>
      <c r="M113" s="143">
        <f t="shared" si="14"/>
        <v>6.7799999999999996E-3</v>
      </c>
      <c r="N113" s="143"/>
      <c r="O113" s="143"/>
      <c r="P113" s="143">
        <f>VLOOKUP($B113,[3]SAP!$D:$X,17,0)</f>
        <v>42</v>
      </c>
      <c r="Q113" s="143">
        <f>VLOOKUP($B113,[3]SAP!$D:$X,21,0)</f>
        <v>5000</v>
      </c>
      <c r="R113" s="143">
        <f>VLOOKUP($B113,[3]SAP!$D:$X,20,0)</f>
        <v>5000</v>
      </c>
      <c r="S113" s="86" t="s">
        <v>225</v>
      </c>
    </row>
    <row r="114" spans="1:19" ht="14.4" x14ac:dyDescent="0.25">
      <c r="A114" s="133"/>
      <c r="B114" s="139">
        <v>10100017511</v>
      </c>
      <c r="C114" s="135" t="s">
        <v>119</v>
      </c>
      <c r="D114" s="135" t="s">
        <v>462</v>
      </c>
      <c r="E114" s="137" t="s">
        <v>133</v>
      </c>
      <c r="F114" s="134">
        <v>3</v>
      </c>
      <c r="G114" s="246" t="s">
        <v>459</v>
      </c>
      <c r="H114" s="135" t="s">
        <v>42</v>
      </c>
      <c r="I114" s="140"/>
      <c r="J114" s="143">
        <f>VLOOKUP($B114,[3]SAP!$D:$X,12,0)</f>
        <v>5.5999999999999999E-3</v>
      </c>
      <c r="K114" s="143" t="str">
        <f>VLOOKUP($B114,[3]SAP!$D:$X,19,0)</f>
        <v>CNY</v>
      </c>
      <c r="L114" s="128" t="str">
        <f>VLOOKUP($B114,[3]SAP!$D:$X,8,0)</f>
        <v>恒辉电阻（益阳）有限公司</v>
      </c>
      <c r="M114" s="143">
        <f t="shared" si="14"/>
        <v>5.5999999999999999E-3</v>
      </c>
      <c r="N114" s="143">
        <f>M114*F114</f>
        <v>1.6799999999999999E-2</v>
      </c>
      <c r="O114" s="143"/>
      <c r="P114" s="143">
        <f>VLOOKUP($B114,[3]SAP!$D:$X,17,0)</f>
        <v>42</v>
      </c>
      <c r="Q114" s="143">
        <f>VLOOKUP($B114,[3]SAP!$D:$X,21,0)</f>
        <v>5000</v>
      </c>
      <c r="R114" s="143">
        <f>VLOOKUP($B114,[3]SAP!$D:$X,20,0)</f>
        <v>5000</v>
      </c>
      <c r="S114" s="86" t="s">
        <v>37</v>
      </c>
    </row>
    <row r="115" spans="1:19" ht="14.4" x14ac:dyDescent="0.25">
      <c r="A115" s="133"/>
      <c r="B115" s="139">
        <v>10100026554</v>
      </c>
      <c r="C115" s="135" t="s">
        <v>119</v>
      </c>
      <c r="D115" s="135" t="s">
        <v>463</v>
      </c>
      <c r="E115" s="137" t="s">
        <v>60</v>
      </c>
      <c r="F115" s="134">
        <v>3</v>
      </c>
      <c r="G115" s="246" t="s">
        <v>459</v>
      </c>
      <c r="H115" s="135" t="s">
        <v>42</v>
      </c>
      <c r="I115" s="140"/>
      <c r="J115" s="143">
        <f>VLOOKUP($B115,[3]SAP!$D:$X,12,0)</f>
        <v>6.4999999999999997E-3</v>
      </c>
      <c r="K115" s="143" t="str">
        <f>VLOOKUP($B115,[3]SAP!$D:$X,19,0)</f>
        <v>CNY</v>
      </c>
      <c r="L115" s="128" t="str">
        <f>VLOOKUP($B115,[3]SAP!$D:$X,8,0)</f>
        <v>广东风华高新科技股份有限公司</v>
      </c>
      <c r="M115" s="143">
        <f t="shared" si="14"/>
        <v>6.4999999999999997E-3</v>
      </c>
      <c r="N115" s="143"/>
      <c r="O115" s="143"/>
      <c r="P115" s="143">
        <f>VLOOKUP($B115,[3]SAP!$D:$X,17,0)</f>
        <v>42</v>
      </c>
      <c r="Q115" s="143">
        <f>VLOOKUP($B115,[3]SAP!$D:$X,21,0)</f>
        <v>5000</v>
      </c>
      <c r="R115" s="143">
        <f>VLOOKUP($B115,[3]SAP!$D:$X,20,0)</f>
        <v>5000</v>
      </c>
      <c r="S115" s="86" t="s">
        <v>225</v>
      </c>
    </row>
    <row r="116" spans="1:19" ht="26.4" x14ac:dyDescent="0.25">
      <c r="A116" s="133">
        <v>45</v>
      </c>
      <c r="B116" s="139">
        <v>10100008827</v>
      </c>
      <c r="C116" s="135" t="s">
        <v>119</v>
      </c>
      <c r="D116" s="135" t="s">
        <v>464</v>
      </c>
      <c r="E116" s="137" t="s">
        <v>77</v>
      </c>
      <c r="F116" s="134">
        <v>2</v>
      </c>
      <c r="G116" s="246" t="s">
        <v>465</v>
      </c>
      <c r="H116" s="135" t="s">
        <v>42</v>
      </c>
      <c r="I116" s="140"/>
      <c r="J116" s="143">
        <f>VLOOKUP($B116,[3]SAP!$D:$X,12,0)</f>
        <v>1.17E-3</v>
      </c>
      <c r="K116" s="143" t="str">
        <f>VLOOKUP($B116,[3]SAP!$D:$X,19,0)</f>
        <v>CNY</v>
      </c>
      <c r="L116" s="128" t="str">
        <f>VLOOKUP($B116,[3]SAP!$D:$X,8,0)</f>
        <v>东莞华科电子有限公司</v>
      </c>
      <c r="M116" s="143">
        <f t="shared" si="14"/>
        <v>1.17E-3</v>
      </c>
      <c r="N116" s="143"/>
      <c r="O116" s="143"/>
      <c r="P116" s="143">
        <f>VLOOKUP($B116,[3]SAP!$D:$X,17,0)</f>
        <v>56</v>
      </c>
      <c r="Q116" s="143">
        <f>VLOOKUP($B116,[3]SAP!$D:$X,21,0)</f>
        <v>10000</v>
      </c>
      <c r="R116" s="143">
        <f>VLOOKUP($B116,[3]SAP!$D:$X,20,0)</f>
        <v>10000</v>
      </c>
      <c r="S116" s="86" t="s">
        <v>225</v>
      </c>
    </row>
    <row r="117" spans="1:19" ht="39.6" x14ac:dyDescent="0.25">
      <c r="A117" s="133"/>
      <c r="B117" s="139">
        <v>10100008830</v>
      </c>
      <c r="C117" s="135" t="s">
        <v>119</v>
      </c>
      <c r="D117" s="135" t="s">
        <v>466</v>
      </c>
      <c r="E117" s="137" t="s">
        <v>46</v>
      </c>
      <c r="F117" s="134">
        <v>2</v>
      </c>
      <c r="G117" s="246" t="s">
        <v>465</v>
      </c>
      <c r="H117" s="138"/>
      <c r="I117" s="140"/>
      <c r="J117" s="143">
        <f>VLOOKUP($B117,[3]SAP!$D:$X,12,0)</f>
        <v>1.39E-3</v>
      </c>
      <c r="K117" s="143" t="str">
        <f>VLOOKUP($B117,[3]SAP!$D:$X,19,0)</f>
        <v>CNY</v>
      </c>
      <c r="L117" s="128" t="str">
        <f>VLOOKUP($B117,[3]SAP!$D:$X,8,0)</f>
        <v>深圳市欧尔法电子有限公司</v>
      </c>
      <c r="M117" s="143">
        <f t="shared" si="14"/>
        <v>1.39E-3</v>
      </c>
      <c r="N117" s="143"/>
      <c r="O117" s="143"/>
      <c r="P117" s="143">
        <f>VLOOKUP($B117,[3]SAP!$D:$X,17,0)</f>
        <v>56</v>
      </c>
      <c r="Q117" s="143">
        <f>VLOOKUP($B117,[3]SAP!$D:$X,21,0)</f>
        <v>10000</v>
      </c>
      <c r="R117" s="143">
        <f>VLOOKUP($B117,[3]SAP!$D:$X,20,0)</f>
        <v>10000</v>
      </c>
      <c r="S117" s="86" t="s">
        <v>225</v>
      </c>
    </row>
    <row r="118" spans="1:19" ht="26.4" x14ac:dyDescent="0.25">
      <c r="A118" s="133"/>
      <c r="B118" s="139">
        <v>10100011886</v>
      </c>
      <c r="C118" s="135" t="s">
        <v>119</v>
      </c>
      <c r="D118" s="135" t="s">
        <v>467</v>
      </c>
      <c r="E118" s="137" t="s">
        <v>129</v>
      </c>
      <c r="F118" s="134">
        <v>2</v>
      </c>
      <c r="G118" s="246" t="s">
        <v>465</v>
      </c>
      <c r="H118" s="135" t="s">
        <v>42</v>
      </c>
      <c r="I118" s="140"/>
      <c r="J118" s="143">
        <f>VLOOKUP($B118,[3]SAP!$D:$X,12,0)</f>
        <v>1.09E-3</v>
      </c>
      <c r="K118" s="143" t="str">
        <f>VLOOKUP($B118,[3]SAP!$D:$X,19,0)</f>
        <v>CNY</v>
      </c>
      <c r="L118" s="128" t="str">
        <f>VLOOKUP($B118,[3]SAP!$D:$X,8,0)</f>
        <v>厚声国际贸易（昆山）有限公司深圳分公司</v>
      </c>
      <c r="M118" s="143">
        <f t="shared" si="14"/>
        <v>1.09E-3</v>
      </c>
      <c r="N118" s="143"/>
      <c r="O118" s="143"/>
      <c r="P118" s="143">
        <f>VLOOKUP($B118,[3]SAP!$D:$X,17,0)</f>
        <v>56</v>
      </c>
      <c r="Q118" s="143">
        <f>VLOOKUP($B118,[3]SAP!$D:$X,21,0)</f>
        <v>10000</v>
      </c>
      <c r="R118" s="143">
        <f>VLOOKUP($B118,[3]SAP!$D:$X,20,0)</f>
        <v>10000</v>
      </c>
      <c r="S118" s="86" t="s">
        <v>225</v>
      </c>
    </row>
    <row r="119" spans="1:19" ht="14.4" x14ac:dyDescent="0.25">
      <c r="A119" s="133"/>
      <c r="B119" s="139">
        <v>10100011996</v>
      </c>
      <c r="C119" s="135" t="s">
        <v>119</v>
      </c>
      <c r="D119" s="135" t="s">
        <v>468</v>
      </c>
      <c r="E119" s="137" t="s">
        <v>60</v>
      </c>
      <c r="F119" s="134">
        <v>2</v>
      </c>
      <c r="G119" s="246" t="s">
        <v>465</v>
      </c>
      <c r="H119" s="135" t="s">
        <v>42</v>
      </c>
      <c r="I119" s="140"/>
      <c r="J119" s="143">
        <f>VLOOKUP($B119,[3]SAP!$D:$X,12,0)</f>
        <v>1.1000000000000001E-3</v>
      </c>
      <c r="K119" s="143" t="str">
        <f>VLOOKUP($B119,[3]SAP!$D:$X,19,0)</f>
        <v>CNY</v>
      </c>
      <c r="L119" s="128" t="str">
        <f>VLOOKUP($B119,[3]SAP!$D:$X,8,0)</f>
        <v>广东风华高新科技股份有限公司</v>
      </c>
      <c r="M119" s="143">
        <f t="shared" si="14"/>
        <v>1.1000000000000001E-3</v>
      </c>
      <c r="N119" s="143"/>
      <c r="O119" s="143"/>
      <c r="P119" s="143">
        <f>VLOOKUP($B119,[3]SAP!$D:$X,17,0)</f>
        <v>42</v>
      </c>
      <c r="Q119" s="143">
        <f>VLOOKUP($B119,[3]SAP!$D:$X,21,0)</f>
        <v>10000</v>
      </c>
      <c r="R119" s="143">
        <f>VLOOKUP($B119,[3]SAP!$D:$X,20,0)</f>
        <v>10000</v>
      </c>
      <c r="S119" s="86" t="s">
        <v>225</v>
      </c>
    </row>
    <row r="120" spans="1:19" ht="14.4" x14ac:dyDescent="0.25">
      <c r="A120" s="133"/>
      <c r="B120" s="139">
        <v>10100017764</v>
      </c>
      <c r="C120" s="135" t="s">
        <v>119</v>
      </c>
      <c r="D120" s="135" t="s">
        <v>469</v>
      </c>
      <c r="E120" s="137" t="s">
        <v>133</v>
      </c>
      <c r="F120" s="134">
        <v>2</v>
      </c>
      <c r="G120" s="246" t="s">
        <v>465</v>
      </c>
      <c r="H120" s="135" t="s">
        <v>42</v>
      </c>
      <c r="I120" s="140"/>
      <c r="J120" s="143">
        <f>VLOOKUP($B120,[3]SAP!$D:$X,12,0)</f>
        <v>9.7999999999999997E-4</v>
      </c>
      <c r="K120" s="143" t="str">
        <f>VLOOKUP($B120,[3]SAP!$D:$X,19,0)</f>
        <v>CNY</v>
      </c>
      <c r="L120" s="128" t="str">
        <f>VLOOKUP($B120,[3]SAP!$D:$X,8,0)</f>
        <v>恒辉电阻（益阳）有限公司</v>
      </c>
      <c r="M120" s="143">
        <f t="shared" si="14"/>
        <v>9.7999999999999997E-4</v>
      </c>
      <c r="N120" s="143">
        <f>M120*F120</f>
        <v>1.9599999999999999E-3</v>
      </c>
      <c r="O120" s="143"/>
      <c r="P120" s="143">
        <f>VLOOKUP($B120,[3]SAP!$D:$X,17,0)</f>
        <v>42</v>
      </c>
      <c r="Q120" s="143">
        <f>VLOOKUP($B120,[3]SAP!$D:$X,21,0)</f>
        <v>10000</v>
      </c>
      <c r="R120" s="143">
        <f>VLOOKUP($B120,[3]SAP!$D:$X,20,0)</f>
        <v>10000</v>
      </c>
      <c r="S120" s="86" t="s">
        <v>37</v>
      </c>
    </row>
    <row r="121" spans="1:19" ht="14.4" x14ac:dyDescent="0.25">
      <c r="A121" s="133">
        <v>46</v>
      </c>
      <c r="B121" s="139">
        <v>10100005795</v>
      </c>
      <c r="C121" s="135" t="s">
        <v>144</v>
      </c>
      <c r="D121" s="135" t="s">
        <v>127</v>
      </c>
      <c r="E121" s="137" t="s">
        <v>60</v>
      </c>
      <c r="F121" s="134">
        <v>3</v>
      </c>
      <c r="G121" s="135" t="s">
        <v>604</v>
      </c>
      <c r="H121" s="135" t="s">
        <v>42</v>
      </c>
      <c r="I121" s="140"/>
      <c r="J121" s="143">
        <f>VLOOKUP($B121,[3]SAP!$D:$X,12,0)</f>
        <v>1.1000000000000001E-3</v>
      </c>
      <c r="K121" s="143" t="str">
        <f>VLOOKUP($B121,[3]SAP!$D:$X,19,0)</f>
        <v>CNY</v>
      </c>
      <c r="L121" s="128" t="str">
        <f>VLOOKUP($B121,[3]SAP!$D:$X,8,0)</f>
        <v>广东风华高新科技股份有限公司</v>
      </c>
      <c r="M121" s="143">
        <f t="shared" si="14"/>
        <v>1.1000000000000001E-3</v>
      </c>
      <c r="N121" s="143"/>
      <c r="O121" s="143"/>
      <c r="P121" s="143">
        <f>VLOOKUP($B121,[3]SAP!$D:$X,17,0)</f>
        <v>42</v>
      </c>
      <c r="Q121" s="143">
        <f>VLOOKUP($B121,[3]SAP!$D:$X,21,0)</f>
        <v>10000</v>
      </c>
      <c r="R121" s="143">
        <f>VLOOKUP($B121,[3]SAP!$D:$X,20,0)</f>
        <v>10000</v>
      </c>
      <c r="S121" s="86" t="s">
        <v>225</v>
      </c>
    </row>
    <row r="122" spans="1:19" ht="26.4" x14ac:dyDescent="0.25">
      <c r="A122" s="133"/>
      <c r="B122" s="139">
        <v>10100009838</v>
      </c>
      <c r="C122" s="135" t="s">
        <v>144</v>
      </c>
      <c r="D122" s="135" t="s">
        <v>128</v>
      </c>
      <c r="E122" s="137" t="s">
        <v>129</v>
      </c>
      <c r="F122" s="134">
        <v>3</v>
      </c>
      <c r="G122" s="135" t="s">
        <v>604</v>
      </c>
      <c r="H122" s="135" t="s">
        <v>42</v>
      </c>
      <c r="I122" s="140"/>
      <c r="J122" s="143">
        <f>VLOOKUP($B122,[3]SAP!$D:$X,12,0)</f>
        <v>1.09E-3</v>
      </c>
      <c r="K122" s="143" t="str">
        <f>VLOOKUP($B122,[3]SAP!$D:$X,19,0)</f>
        <v>CNY</v>
      </c>
      <c r="L122" s="128" t="str">
        <f>VLOOKUP($B122,[3]SAP!$D:$X,8,0)</f>
        <v>厚声国际贸易（昆山）有限公司深圳分公司</v>
      </c>
      <c r="M122" s="143">
        <f t="shared" si="14"/>
        <v>1.09E-3</v>
      </c>
      <c r="N122" s="143"/>
      <c r="O122" s="143"/>
      <c r="P122" s="143">
        <f>VLOOKUP($B122,[3]SAP!$D:$X,17,0)</f>
        <v>56</v>
      </c>
      <c r="Q122" s="143">
        <f>VLOOKUP($B122,[3]SAP!$D:$X,21,0)</f>
        <v>10000</v>
      </c>
      <c r="R122" s="143">
        <f>VLOOKUP($B122,[3]SAP!$D:$X,20,0)</f>
        <v>10000</v>
      </c>
      <c r="S122" s="86" t="s">
        <v>225</v>
      </c>
    </row>
    <row r="123" spans="1:19" ht="26.4" x14ac:dyDescent="0.25">
      <c r="A123" s="133"/>
      <c r="B123" s="139">
        <v>10100010045</v>
      </c>
      <c r="C123" s="135" t="s">
        <v>144</v>
      </c>
      <c r="D123" s="135" t="s">
        <v>131</v>
      </c>
      <c r="E123" s="137" t="s">
        <v>77</v>
      </c>
      <c r="F123" s="134">
        <v>3</v>
      </c>
      <c r="G123" s="135" t="s">
        <v>604</v>
      </c>
      <c r="H123" s="135" t="s">
        <v>42</v>
      </c>
      <c r="I123" s="140"/>
      <c r="J123" s="143">
        <f>VLOOKUP($B123,[3]SAP!$D:$X,12,0)</f>
        <v>1.17E-3</v>
      </c>
      <c r="K123" s="143" t="str">
        <f>VLOOKUP($B123,[3]SAP!$D:$X,19,0)</f>
        <v>CNY</v>
      </c>
      <c r="L123" s="128" t="str">
        <f>VLOOKUP($B123,[3]SAP!$D:$X,8,0)</f>
        <v>东莞华科电子有限公司</v>
      </c>
      <c r="M123" s="143">
        <f t="shared" si="14"/>
        <v>1.17E-3</v>
      </c>
      <c r="N123" s="143"/>
      <c r="O123" s="143"/>
      <c r="P123" s="143">
        <f>VLOOKUP($B123,[3]SAP!$D:$X,17,0)</f>
        <v>56</v>
      </c>
      <c r="Q123" s="143">
        <f>VLOOKUP($B123,[3]SAP!$D:$X,21,0)</f>
        <v>10000</v>
      </c>
      <c r="R123" s="143">
        <f>VLOOKUP($B123,[3]SAP!$D:$X,20,0)</f>
        <v>10000</v>
      </c>
      <c r="S123" s="86" t="s">
        <v>225</v>
      </c>
    </row>
    <row r="124" spans="1:19" ht="14.4" x14ac:dyDescent="0.25">
      <c r="A124" s="133"/>
      <c r="B124" s="139">
        <v>10100017618</v>
      </c>
      <c r="C124" s="135" t="s">
        <v>119</v>
      </c>
      <c r="D124" s="135" t="s">
        <v>132</v>
      </c>
      <c r="E124" s="137" t="s">
        <v>133</v>
      </c>
      <c r="F124" s="134">
        <v>3</v>
      </c>
      <c r="G124" s="135" t="s">
        <v>604</v>
      </c>
      <c r="H124" s="135" t="s">
        <v>42</v>
      </c>
      <c r="I124" s="140"/>
      <c r="J124" s="143">
        <f>VLOOKUP($B124,[3]SAP!$D:$X,12,0)</f>
        <v>9.7999999999999997E-4</v>
      </c>
      <c r="K124" s="143" t="str">
        <f>VLOOKUP($B124,[3]SAP!$D:$X,19,0)</f>
        <v>CNY</v>
      </c>
      <c r="L124" s="128" t="str">
        <f>VLOOKUP($B124,[3]SAP!$D:$X,8,0)</f>
        <v>恒辉电阻（益阳）有限公司</v>
      </c>
      <c r="M124" s="143">
        <f t="shared" si="14"/>
        <v>9.7999999999999997E-4</v>
      </c>
      <c r="N124" s="143">
        <f>M124*F124</f>
        <v>2.9399999999999999E-3</v>
      </c>
      <c r="O124" s="143"/>
      <c r="P124" s="143">
        <f>VLOOKUP($B124,[3]SAP!$D:$X,17,0)</f>
        <v>42</v>
      </c>
      <c r="Q124" s="143">
        <f>VLOOKUP($B124,[3]SAP!$D:$X,21,0)</f>
        <v>10000</v>
      </c>
      <c r="R124" s="143">
        <f>VLOOKUP($B124,[3]SAP!$D:$X,20,0)</f>
        <v>10000</v>
      </c>
      <c r="S124" s="86" t="s">
        <v>37</v>
      </c>
    </row>
    <row r="125" spans="1:19" ht="39.6" x14ac:dyDescent="0.25">
      <c r="A125" s="133">
        <v>47</v>
      </c>
      <c r="B125" s="139">
        <v>10100003500</v>
      </c>
      <c r="C125" s="135" t="s">
        <v>119</v>
      </c>
      <c r="D125" s="135" t="s">
        <v>471</v>
      </c>
      <c r="E125" s="137" t="s">
        <v>46</v>
      </c>
      <c r="F125" s="134">
        <v>1</v>
      </c>
      <c r="G125" s="246" t="s">
        <v>472</v>
      </c>
      <c r="H125" s="138"/>
      <c r="I125" s="140"/>
      <c r="J125" s="143">
        <f>VLOOKUP($B125,[3]SAP!$D:$X,12,0)</f>
        <v>2.5999999999999999E-3</v>
      </c>
      <c r="K125" s="143" t="str">
        <f>VLOOKUP($B125,[3]SAP!$D:$X,19,0)</f>
        <v>CNY</v>
      </c>
      <c r="L125" s="128" t="str">
        <f>VLOOKUP($B125,[3]SAP!$D:$X,8,0)</f>
        <v>深圳市超利维实业有限公司</v>
      </c>
      <c r="M125" s="143">
        <f t="shared" si="14"/>
        <v>2.5999999999999999E-3</v>
      </c>
      <c r="N125" s="143"/>
      <c r="O125" s="143"/>
      <c r="P125" s="143">
        <f>VLOOKUP($B125,[3]SAP!$D:$X,17,0)</f>
        <v>56</v>
      </c>
      <c r="Q125" s="143">
        <f>VLOOKUP($B125,[3]SAP!$D:$X,21,0)</f>
        <v>5000</v>
      </c>
      <c r="R125" s="143">
        <f>VLOOKUP($B125,[3]SAP!$D:$X,20,0)</f>
        <v>5000</v>
      </c>
      <c r="S125" s="86" t="s">
        <v>225</v>
      </c>
    </row>
    <row r="126" spans="1:19" ht="14.4" x14ac:dyDescent="0.25">
      <c r="A126" s="133"/>
      <c r="B126" s="139">
        <v>10100006507</v>
      </c>
      <c r="C126" s="135" t="s">
        <v>119</v>
      </c>
      <c r="D126" s="135" t="s">
        <v>473</v>
      </c>
      <c r="E126" s="137" t="s">
        <v>60</v>
      </c>
      <c r="F126" s="134">
        <v>1</v>
      </c>
      <c r="G126" s="246" t="s">
        <v>472</v>
      </c>
      <c r="H126" s="135" t="s">
        <v>42</v>
      </c>
      <c r="I126" s="140"/>
      <c r="J126" s="143">
        <f>VLOOKUP($B126,[3]SAP!$D:$X,12,0)</f>
        <v>2.0799999999999998E-3</v>
      </c>
      <c r="K126" s="143" t="str">
        <f>VLOOKUP($B126,[3]SAP!$D:$X,19,0)</f>
        <v>CNY</v>
      </c>
      <c r="L126" s="128" t="str">
        <f>VLOOKUP($B126,[3]SAP!$D:$X,8,0)</f>
        <v>广东风华高新科技股份有限公司</v>
      </c>
      <c r="M126" s="143">
        <f t="shared" si="14"/>
        <v>2.0799999999999998E-3</v>
      </c>
      <c r="N126" s="143"/>
      <c r="O126" s="143"/>
      <c r="P126" s="143">
        <f>VLOOKUP($B126,[3]SAP!$D:$X,17,0)</f>
        <v>42</v>
      </c>
      <c r="Q126" s="143">
        <f>VLOOKUP($B126,[3]SAP!$D:$X,21,0)</f>
        <v>5000</v>
      </c>
      <c r="R126" s="143">
        <f>VLOOKUP($B126,[3]SAP!$D:$X,20,0)</f>
        <v>5000</v>
      </c>
      <c r="S126" s="86" t="s">
        <v>225</v>
      </c>
    </row>
    <row r="127" spans="1:19" ht="26.4" x14ac:dyDescent="0.25">
      <c r="A127" s="133"/>
      <c r="B127" s="139">
        <v>10100006845</v>
      </c>
      <c r="C127" s="135" t="s">
        <v>119</v>
      </c>
      <c r="D127" s="135" t="s">
        <v>474</v>
      </c>
      <c r="E127" s="137" t="s">
        <v>77</v>
      </c>
      <c r="F127" s="134">
        <v>1</v>
      </c>
      <c r="G127" s="246" t="s">
        <v>472</v>
      </c>
      <c r="H127" s="135" t="s">
        <v>42</v>
      </c>
      <c r="I127" s="140"/>
      <c r="J127" s="143">
        <f>VLOOKUP($B127,[3]SAP!$D:$X,12,0)</f>
        <v>2.2200000000000002E-3</v>
      </c>
      <c r="K127" s="143" t="str">
        <f>VLOOKUP($B127,[3]SAP!$D:$X,19,0)</f>
        <v>CNY</v>
      </c>
      <c r="L127" s="128" t="str">
        <f>VLOOKUP($B127,[3]SAP!$D:$X,8,0)</f>
        <v>东莞华科电子有限公司</v>
      </c>
      <c r="M127" s="143">
        <f t="shared" si="14"/>
        <v>2.2200000000000002E-3</v>
      </c>
      <c r="N127" s="143"/>
      <c r="O127" s="143"/>
      <c r="P127" s="143">
        <f>VLOOKUP($B127,[3]SAP!$D:$X,17,0)</f>
        <v>56</v>
      </c>
      <c r="Q127" s="143">
        <f>VLOOKUP($B127,[3]SAP!$D:$X,21,0)</f>
        <v>5000</v>
      </c>
      <c r="R127" s="143">
        <f>VLOOKUP($B127,[3]SAP!$D:$X,20,0)</f>
        <v>5000</v>
      </c>
      <c r="S127" s="86" t="s">
        <v>225</v>
      </c>
    </row>
    <row r="128" spans="1:19" ht="26.4" x14ac:dyDescent="0.25">
      <c r="A128" s="133"/>
      <c r="B128" s="139">
        <v>10100011090</v>
      </c>
      <c r="C128" s="135" t="s">
        <v>119</v>
      </c>
      <c r="D128" s="135" t="s">
        <v>475</v>
      </c>
      <c r="E128" s="137" t="s">
        <v>129</v>
      </c>
      <c r="F128" s="134">
        <v>1</v>
      </c>
      <c r="G128" s="246" t="s">
        <v>472</v>
      </c>
      <c r="H128" s="135" t="s">
        <v>42</v>
      </c>
      <c r="I128" s="140"/>
      <c r="J128" s="143">
        <f>VLOOKUP($B128,[3]SAP!$D:$X,12,0)</f>
        <v>2.0999999999999999E-3</v>
      </c>
      <c r="K128" s="143" t="str">
        <f>VLOOKUP($B128,[3]SAP!$D:$X,19,0)</f>
        <v>CNY</v>
      </c>
      <c r="L128" s="128" t="str">
        <f>VLOOKUP($B128,[3]SAP!$D:$X,8,0)</f>
        <v>厚声国际贸易（昆山）有限公司深圳分公司</v>
      </c>
      <c r="M128" s="143">
        <f t="shared" si="14"/>
        <v>2.0999999999999999E-3</v>
      </c>
      <c r="N128" s="143"/>
      <c r="O128" s="143"/>
      <c r="P128" s="143">
        <f>VLOOKUP($B128,[3]SAP!$D:$X,17,0)</f>
        <v>56</v>
      </c>
      <c r="Q128" s="143">
        <f>VLOOKUP($B128,[3]SAP!$D:$X,21,0)</f>
        <v>5000</v>
      </c>
      <c r="R128" s="143">
        <f>VLOOKUP($B128,[3]SAP!$D:$X,20,0)</f>
        <v>5000</v>
      </c>
      <c r="S128" s="86" t="s">
        <v>225</v>
      </c>
    </row>
    <row r="129" spans="1:19" ht="14.4" x14ac:dyDescent="0.25">
      <c r="A129" s="133"/>
      <c r="B129" s="139">
        <v>10100017970</v>
      </c>
      <c r="C129" s="135" t="s">
        <v>119</v>
      </c>
      <c r="D129" s="135" t="s">
        <v>476</v>
      </c>
      <c r="E129" s="137" t="s">
        <v>133</v>
      </c>
      <c r="F129" s="134">
        <v>1</v>
      </c>
      <c r="G129" s="246" t="s">
        <v>472</v>
      </c>
      <c r="H129" s="135" t="s">
        <v>42</v>
      </c>
      <c r="I129" s="140"/>
      <c r="J129" s="143">
        <f>VLOOKUP($B129,[3]SAP!$D:$X,12,0)</f>
        <v>1.8500000000000001E-3</v>
      </c>
      <c r="K129" s="143" t="str">
        <f>VLOOKUP($B129,[3]SAP!$D:$X,19,0)</f>
        <v>CNY</v>
      </c>
      <c r="L129" s="128" t="str">
        <f>VLOOKUP($B129,[3]SAP!$D:$X,8,0)</f>
        <v>恒辉电阻（益阳）有限公司</v>
      </c>
      <c r="M129" s="143">
        <f t="shared" si="14"/>
        <v>1.8500000000000001E-3</v>
      </c>
      <c r="N129" s="143">
        <f>M129*F129</f>
        <v>1.8500000000000001E-3</v>
      </c>
      <c r="O129" s="143"/>
      <c r="P129" s="143">
        <f>VLOOKUP($B129,[3]SAP!$D:$X,17,0)</f>
        <v>42</v>
      </c>
      <c r="Q129" s="143">
        <f>VLOOKUP($B129,[3]SAP!$D:$X,21,0)</f>
        <v>5000</v>
      </c>
      <c r="R129" s="143">
        <f>VLOOKUP($B129,[3]SAP!$D:$X,20,0)</f>
        <v>5000</v>
      </c>
      <c r="S129" s="86" t="s">
        <v>37</v>
      </c>
    </row>
    <row r="130" spans="1:19" ht="39.6" x14ac:dyDescent="0.25">
      <c r="A130" s="133">
        <v>48</v>
      </c>
      <c r="B130" s="139">
        <v>10100009843</v>
      </c>
      <c r="C130" s="135" t="s">
        <v>119</v>
      </c>
      <c r="D130" s="135" t="s">
        <v>605</v>
      </c>
      <c r="E130" s="137" t="s">
        <v>46</v>
      </c>
      <c r="F130" s="134">
        <v>1</v>
      </c>
      <c r="G130" s="246" t="s">
        <v>478</v>
      </c>
      <c r="H130" s="138"/>
      <c r="I130" s="140"/>
      <c r="J130" s="143">
        <f>VLOOKUP($B130,[3]SAP!$D:$X,12,0)</f>
        <v>1.4E-3</v>
      </c>
      <c r="K130" s="143" t="str">
        <f>VLOOKUP($B130,[3]SAP!$D:$X,19,0)</f>
        <v>CNY</v>
      </c>
      <c r="L130" s="128" t="str">
        <f>VLOOKUP($B130,[3]SAP!$D:$X,8,0)</f>
        <v>深圳市超利维实业有限公司</v>
      </c>
      <c r="M130" s="143">
        <f t="shared" si="14"/>
        <v>1.4E-3</v>
      </c>
      <c r="N130" s="143"/>
      <c r="O130" s="143"/>
      <c r="P130" s="143">
        <f>VLOOKUP($B130,[3]SAP!$D:$X,17,0)</f>
        <v>84</v>
      </c>
      <c r="Q130" s="143">
        <f>VLOOKUP($B130,[3]SAP!$D:$X,21,0)</f>
        <v>10000</v>
      </c>
      <c r="R130" s="143">
        <f>VLOOKUP($B130,[3]SAP!$D:$X,20,0)</f>
        <v>10000</v>
      </c>
      <c r="S130" s="86" t="s">
        <v>225</v>
      </c>
    </row>
    <row r="131" spans="1:19" ht="26.4" x14ac:dyDescent="0.25">
      <c r="A131" s="133"/>
      <c r="B131" s="139">
        <v>10100011343</v>
      </c>
      <c r="C131" s="135" t="s">
        <v>119</v>
      </c>
      <c r="D131" s="135" t="s">
        <v>606</v>
      </c>
      <c r="E131" s="137" t="s">
        <v>77</v>
      </c>
      <c r="F131" s="134">
        <v>1</v>
      </c>
      <c r="G131" s="246" t="s">
        <v>478</v>
      </c>
      <c r="H131" s="135" t="s">
        <v>42</v>
      </c>
      <c r="I131" s="140"/>
      <c r="J131" s="143">
        <f>VLOOKUP($B131,[3]SAP!$D:$X,12,0)</f>
        <v>1.17E-3</v>
      </c>
      <c r="K131" s="143" t="str">
        <f>VLOOKUP($B131,[3]SAP!$D:$X,19,0)</f>
        <v>CNY</v>
      </c>
      <c r="L131" s="128" t="str">
        <f>VLOOKUP($B131,[3]SAP!$D:$X,8,0)</f>
        <v>东莞华科电子有限公司</v>
      </c>
      <c r="M131" s="143">
        <f t="shared" si="14"/>
        <v>1.17E-3</v>
      </c>
      <c r="N131" s="143"/>
      <c r="O131" s="143"/>
      <c r="P131" s="143">
        <f>VLOOKUP($B131,[3]SAP!$D:$X,17,0)</f>
        <v>56</v>
      </c>
      <c r="Q131" s="143">
        <f>VLOOKUP($B131,[3]SAP!$D:$X,21,0)</f>
        <v>10000</v>
      </c>
      <c r="R131" s="143">
        <f>VLOOKUP($B131,[3]SAP!$D:$X,20,0)</f>
        <v>10000</v>
      </c>
      <c r="S131" s="86" t="s">
        <v>225</v>
      </c>
    </row>
    <row r="132" spans="1:19" ht="14.4" x14ac:dyDescent="0.25">
      <c r="A132" s="133"/>
      <c r="B132" s="139">
        <v>10100011621</v>
      </c>
      <c r="C132" s="135" t="s">
        <v>119</v>
      </c>
      <c r="D132" s="135" t="s">
        <v>607</v>
      </c>
      <c r="E132" s="137" t="s">
        <v>60</v>
      </c>
      <c r="F132" s="134">
        <v>1</v>
      </c>
      <c r="G132" s="246" t="s">
        <v>478</v>
      </c>
      <c r="H132" s="135" t="s">
        <v>42</v>
      </c>
      <c r="I132" s="140"/>
      <c r="J132" s="143">
        <f>VLOOKUP($B132,[3]SAP!$D:$X,12,0)</f>
        <v>1.1000000000000001E-3</v>
      </c>
      <c r="K132" s="143" t="str">
        <f>VLOOKUP($B132,[3]SAP!$D:$X,19,0)</f>
        <v>CNY</v>
      </c>
      <c r="L132" s="128" t="str">
        <f>VLOOKUP($B132,[3]SAP!$D:$X,8,0)</f>
        <v>广东风华高新科技股份有限公司</v>
      </c>
      <c r="M132" s="143">
        <f t="shared" si="14"/>
        <v>1.1000000000000001E-3</v>
      </c>
      <c r="N132" s="143"/>
      <c r="O132" s="143"/>
      <c r="P132" s="143">
        <f>VLOOKUP($B132,[3]SAP!$D:$X,17,0)</f>
        <v>45</v>
      </c>
      <c r="Q132" s="143">
        <f>VLOOKUP($B132,[3]SAP!$D:$X,21,0)</f>
        <v>10000</v>
      </c>
      <c r="R132" s="143">
        <f>VLOOKUP($B132,[3]SAP!$D:$X,20,0)</f>
        <v>10000</v>
      </c>
      <c r="S132" s="86" t="s">
        <v>225</v>
      </c>
    </row>
    <row r="133" spans="1:19" ht="26.4" x14ac:dyDescent="0.25">
      <c r="A133" s="133"/>
      <c r="B133" s="139">
        <v>10100015676</v>
      </c>
      <c r="C133" s="135" t="s">
        <v>119</v>
      </c>
      <c r="D133" s="135" t="s">
        <v>608</v>
      </c>
      <c r="E133" s="137" t="s">
        <v>129</v>
      </c>
      <c r="F133" s="134">
        <v>1</v>
      </c>
      <c r="G133" s="246" t="s">
        <v>478</v>
      </c>
      <c r="H133" s="135" t="s">
        <v>42</v>
      </c>
      <c r="I133" s="140"/>
      <c r="J133" s="143">
        <f>VLOOKUP($B133,[3]SAP!$D:$X,12,0)</f>
        <v>1.09E-3</v>
      </c>
      <c r="K133" s="143" t="str">
        <f>VLOOKUP($B133,[3]SAP!$D:$X,19,0)</f>
        <v>CNY</v>
      </c>
      <c r="L133" s="128" t="str">
        <f>VLOOKUP($B133,[3]SAP!$D:$X,8,0)</f>
        <v>厚声国际贸易（昆山）有限公司深圳分公司</v>
      </c>
      <c r="M133" s="143">
        <f t="shared" si="14"/>
        <v>1.09E-3</v>
      </c>
      <c r="N133" s="143"/>
      <c r="O133" s="143"/>
      <c r="P133" s="143">
        <f>VLOOKUP($B133,[3]SAP!$D:$X,17,0)</f>
        <v>42</v>
      </c>
      <c r="Q133" s="143">
        <f>VLOOKUP($B133,[3]SAP!$D:$X,21,0)</f>
        <v>10000</v>
      </c>
      <c r="R133" s="143">
        <f>VLOOKUP($B133,[3]SAP!$D:$X,20,0)</f>
        <v>10000</v>
      </c>
      <c r="S133" s="86" t="s">
        <v>225</v>
      </c>
    </row>
    <row r="134" spans="1:19" ht="14.4" x14ac:dyDescent="0.25">
      <c r="A134" s="133"/>
      <c r="B134" s="139">
        <v>10100017741</v>
      </c>
      <c r="C134" s="135" t="s">
        <v>119</v>
      </c>
      <c r="D134" s="135" t="s">
        <v>609</v>
      </c>
      <c r="E134" s="137" t="s">
        <v>133</v>
      </c>
      <c r="F134" s="134">
        <v>1</v>
      </c>
      <c r="G134" s="246" t="s">
        <v>478</v>
      </c>
      <c r="H134" s="135" t="s">
        <v>42</v>
      </c>
      <c r="I134" s="140"/>
      <c r="J134" s="143">
        <f>VLOOKUP($B134,[3]SAP!$D:$X,12,0)</f>
        <v>9.7999999999999997E-4</v>
      </c>
      <c r="K134" s="143" t="str">
        <f>VLOOKUP($B134,[3]SAP!$D:$X,19,0)</f>
        <v>CNY</v>
      </c>
      <c r="L134" s="128" t="str">
        <f>VLOOKUP($B134,[3]SAP!$D:$X,8,0)</f>
        <v>恒辉电阻（益阳）有限公司</v>
      </c>
      <c r="M134" s="143">
        <f t="shared" si="14"/>
        <v>9.7999999999999997E-4</v>
      </c>
      <c r="N134" s="143">
        <f>M134*F134</f>
        <v>9.7999999999999997E-4</v>
      </c>
      <c r="O134" s="143"/>
      <c r="P134" s="143">
        <f>VLOOKUP($B134,[3]SAP!$D:$X,17,0)</f>
        <v>42</v>
      </c>
      <c r="Q134" s="143">
        <f>VLOOKUP($B134,[3]SAP!$D:$X,21,0)</f>
        <v>10000</v>
      </c>
      <c r="R134" s="143">
        <f>VLOOKUP($B134,[3]SAP!$D:$X,20,0)</f>
        <v>10000</v>
      </c>
      <c r="S134" s="86" t="s">
        <v>37</v>
      </c>
    </row>
    <row r="135" spans="1:19" ht="39.6" x14ac:dyDescent="0.25">
      <c r="A135" s="133">
        <v>49</v>
      </c>
      <c r="B135" s="139">
        <v>10100022846</v>
      </c>
      <c r="C135" s="135" t="s">
        <v>119</v>
      </c>
      <c r="D135" s="135" t="s">
        <v>483</v>
      </c>
      <c r="E135" s="137" t="s">
        <v>46</v>
      </c>
      <c r="F135" s="134">
        <v>1</v>
      </c>
      <c r="G135" s="246" t="s">
        <v>484</v>
      </c>
      <c r="H135" s="138"/>
      <c r="I135" s="140"/>
      <c r="J135" s="143">
        <f>VLOOKUP($B135,[3]SAP!$D:$X,12,0)</f>
        <v>1.4E-3</v>
      </c>
      <c r="K135" s="143" t="str">
        <f>VLOOKUP($B135,[3]SAP!$D:$X,19,0)</f>
        <v>CNY</v>
      </c>
      <c r="L135" s="128" t="str">
        <f>VLOOKUP($B135,[3]SAP!$D:$X,8,0)</f>
        <v>深圳市超利维实业有限公司</v>
      </c>
      <c r="M135" s="143">
        <f t="shared" si="14"/>
        <v>1.4E-3</v>
      </c>
      <c r="N135" s="143"/>
      <c r="O135" s="143"/>
      <c r="P135" s="143">
        <f>VLOOKUP($B135,[3]SAP!$D:$X,17,0)</f>
        <v>84</v>
      </c>
      <c r="Q135" s="143">
        <f>VLOOKUP($B135,[3]SAP!$D:$X,21,0)</f>
        <v>10000</v>
      </c>
      <c r="R135" s="143">
        <f>VLOOKUP($B135,[3]SAP!$D:$X,20,0)</f>
        <v>10000</v>
      </c>
      <c r="S135" s="86" t="s">
        <v>225</v>
      </c>
    </row>
    <row r="136" spans="1:19" ht="26.4" x14ac:dyDescent="0.25">
      <c r="A136" s="133"/>
      <c r="B136" s="139">
        <v>10100022852</v>
      </c>
      <c r="C136" s="135" t="s">
        <v>119</v>
      </c>
      <c r="D136" s="135" t="s">
        <v>485</v>
      </c>
      <c r="E136" s="137" t="s">
        <v>77</v>
      </c>
      <c r="F136" s="134">
        <v>1</v>
      </c>
      <c r="G136" s="246" t="s">
        <v>484</v>
      </c>
      <c r="H136" s="135" t="s">
        <v>42</v>
      </c>
      <c r="I136" s="140"/>
      <c r="J136" s="143">
        <f>VLOOKUP($B136,[3]SAP!$D:$X,12,0)</f>
        <v>1.17E-3</v>
      </c>
      <c r="K136" s="143" t="str">
        <f>VLOOKUP($B136,[3]SAP!$D:$X,19,0)</f>
        <v>CNY</v>
      </c>
      <c r="L136" s="128" t="str">
        <f>VLOOKUP($B136,[3]SAP!$D:$X,8,0)</f>
        <v>东莞华科电子有限公司</v>
      </c>
      <c r="M136" s="143">
        <f t="shared" si="14"/>
        <v>1.17E-3</v>
      </c>
      <c r="N136" s="143"/>
      <c r="O136" s="143"/>
      <c r="P136" s="143">
        <f>VLOOKUP($B136,[3]SAP!$D:$X,17,0)</f>
        <v>56</v>
      </c>
      <c r="Q136" s="143">
        <f>VLOOKUP($B136,[3]SAP!$D:$X,21,0)</f>
        <v>10000</v>
      </c>
      <c r="R136" s="143">
        <f>VLOOKUP($B136,[3]SAP!$D:$X,20,0)</f>
        <v>10000</v>
      </c>
      <c r="S136" s="86" t="s">
        <v>225</v>
      </c>
    </row>
    <row r="137" spans="1:19" ht="26.4" x14ac:dyDescent="0.25">
      <c r="A137" s="133"/>
      <c r="B137" s="139">
        <v>10100022856</v>
      </c>
      <c r="C137" s="135" t="s">
        <v>119</v>
      </c>
      <c r="D137" s="135" t="s">
        <v>486</v>
      </c>
      <c r="E137" s="137" t="s">
        <v>129</v>
      </c>
      <c r="F137" s="134">
        <v>1</v>
      </c>
      <c r="G137" s="246" t="s">
        <v>484</v>
      </c>
      <c r="H137" s="135" t="s">
        <v>42</v>
      </c>
      <c r="I137" s="140"/>
      <c r="J137" s="143">
        <f>VLOOKUP($B137,[3]SAP!$D:$X,12,0)</f>
        <v>1.09E-3</v>
      </c>
      <c r="K137" s="143" t="str">
        <f>VLOOKUP($B137,[3]SAP!$D:$X,19,0)</f>
        <v>CNY</v>
      </c>
      <c r="L137" s="128" t="str">
        <f>VLOOKUP($B137,[3]SAP!$D:$X,8,0)</f>
        <v>厚声国际贸易（昆山）有限公司深圳分公司</v>
      </c>
      <c r="M137" s="143">
        <f t="shared" si="14"/>
        <v>1.09E-3</v>
      </c>
      <c r="N137" s="143">
        <f>M137*F137</f>
        <v>1.09E-3</v>
      </c>
      <c r="O137" s="143"/>
      <c r="P137" s="143">
        <f>VLOOKUP($B137,[3]SAP!$D:$X,17,0)</f>
        <v>42</v>
      </c>
      <c r="Q137" s="143">
        <f>VLOOKUP($B137,[3]SAP!$D:$X,21,0)</f>
        <v>10000</v>
      </c>
      <c r="R137" s="143">
        <f>VLOOKUP($B137,[3]SAP!$D:$X,20,0)</f>
        <v>10000</v>
      </c>
      <c r="S137" s="86" t="s">
        <v>37</v>
      </c>
    </row>
    <row r="138" spans="1:19" ht="14.4" x14ac:dyDescent="0.25">
      <c r="A138" s="133"/>
      <c r="B138" s="139">
        <v>10100022860</v>
      </c>
      <c r="C138" s="135" t="s">
        <v>119</v>
      </c>
      <c r="D138" s="135" t="s">
        <v>487</v>
      </c>
      <c r="E138" s="137" t="s">
        <v>60</v>
      </c>
      <c r="F138" s="134">
        <v>1</v>
      </c>
      <c r="G138" s="246" t="s">
        <v>484</v>
      </c>
      <c r="H138" s="135" t="s">
        <v>42</v>
      </c>
      <c r="I138" s="140"/>
      <c r="J138" s="143">
        <f>VLOOKUP($B138,[3]SAP!$D:$X,12,0)</f>
        <v>1.1000000000000001E-3</v>
      </c>
      <c r="K138" s="143" t="str">
        <f>VLOOKUP($B138,[3]SAP!$D:$X,19,0)</f>
        <v>CNY</v>
      </c>
      <c r="L138" s="128" t="str">
        <f>VLOOKUP($B138,[3]SAP!$D:$X,8,0)</f>
        <v>广东风华高新科技股份有限公司</v>
      </c>
      <c r="M138" s="143">
        <f t="shared" si="14"/>
        <v>1.1000000000000001E-3</v>
      </c>
      <c r="N138" s="143"/>
      <c r="O138" s="143"/>
      <c r="P138" s="143">
        <f>VLOOKUP($B138,[3]SAP!$D:$X,17,0)</f>
        <v>42</v>
      </c>
      <c r="Q138" s="143">
        <f>VLOOKUP($B138,[3]SAP!$D:$X,21,0)</f>
        <v>10000</v>
      </c>
      <c r="R138" s="143">
        <f>VLOOKUP($B138,[3]SAP!$D:$X,20,0)</f>
        <v>10000</v>
      </c>
      <c r="S138" s="86" t="s">
        <v>225</v>
      </c>
    </row>
    <row r="139" spans="1:19" ht="26.4" x14ac:dyDescent="0.25">
      <c r="A139" s="133">
        <v>50</v>
      </c>
      <c r="B139" s="139">
        <v>10100008807</v>
      </c>
      <c r="C139" s="135" t="s">
        <v>119</v>
      </c>
      <c r="D139" s="135" t="s">
        <v>488</v>
      </c>
      <c r="E139" s="137" t="s">
        <v>77</v>
      </c>
      <c r="F139" s="134">
        <v>2</v>
      </c>
      <c r="G139" s="246" t="s">
        <v>489</v>
      </c>
      <c r="H139" s="135" t="s">
        <v>42</v>
      </c>
      <c r="I139" s="140"/>
      <c r="J139" s="143">
        <f>VLOOKUP($B139,[3]SAP!$D:$X,12,0)</f>
        <v>1.17E-3</v>
      </c>
      <c r="K139" s="143" t="str">
        <f>VLOOKUP($B139,[3]SAP!$D:$X,19,0)</f>
        <v>CNY</v>
      </c>
      <c r="L139" s="128" t="str">
        <f>VLOOKUP($B139,[3]SAP!$D:$X,8,0)</f>
        <v>东莞华科电子有限公司</v>
      </c>
      <c r="M139" s="143">
        <f t="shared" si="14"/>
        <v>1.17E-3</v>
      </c>
      <c r="N139" s="143"/>
      <c r="O139" s="143"/>
      <c r="P139" s="143">
        <f>VLOOKUP($B139,[3]SAP!$D:$X,17,0)</f>
        <v>56</v>
      </c>
      <c r="Q139" s="143">
        <f>VLOOKUP($B139,[3]SAP!$D:$X,21,0)</f>
        <v>10000</v>
      </c>
      <c r="R139" s="143">
        <f>VLOOKUP($B139,[3]SAP!$D:$X,20,0)</f>
        <v>10000</v>
      </c>
      <c r="S139" s="86" t="s">
        <v>225</v>
      </c>
    </row>
    <row r="140" spans="1:19" ht="14.4" x14ac:dyDescent="0.25">
      <c r="A140" s="133"/>
      <c r="B140" s="139">
        <v>10100008809</v>
      </c>
      <c r="C140" s="135" t="s">
        <v>119</v>
      </c>
      <c r="D140" s="135" t="s">
        <v>490</v>
      </c>
      <c r="E140" s="137" t="s">
        <v>60</v>
      </c>
      <c r="F140" s="134">
        <v>2</v>
      </c>
      <c r="G140" s="246" t="s">
        <v>489</v>
      </c>
      <c r="H140" s="135" t="s">
        <v>42</v>
      </c>
      <c r="I140" s="140"/>
      <c r="J140" s="143">
        <f>VLOOKUP($B140,[3]SAP!$D:$X,12,0)</f>
        <v>1.1000000000000001E-3</v>
      </c>
      <c r="K140" s="143" t="str">
        <f>VLOOKUP($B140,[3]SAP!$D:$X,19,0)</f>
        <v>CNY</v>
      </c>
      <c r="L140" s="128" t="str">
        <f>VLOOKUP($B140,[3]SAP!$D:$X,8,0)</f>
        <v>广东风华高新科技股份有限公司</v>
      </c>
      <c r="M140" s="143">
        <f t="shared" si="14"/>
        <v>1.1000000000000001E-3</v>
      </c>
      <c r="N140" s="143"/>
      <c r="O140" s="143"/>
      <c r="P140" s="143">
        <f>VLOOKUP($B140,[3]SAP!$D:$X,17,0)</f>
        <v>42</v>
      </c>
      <c r="Q140" s="143">
        <f>VLOOKUP($B140,[3]SAP!$D:$X,21,0)</f>
        <v>10000</v>
      </c>
      <c r="R140" s="143">
        <f>VLOOKUP($B140,[3]SAP!$D:$X,20,0)</f>
        <v>10000</v>
      </c>
      <c r="S140" s="86" t="s">
        <v>225</v>
      </c>
    </row>
    <row r="141" spans="1:19" ht="39.6" x14ac:dyDescent="0.25">
      <c r="A141" s="133"/>
      <c r="B141" s="139">
        <v>10100014263</v>
      </c>
      <c r="C141" s="135" t="s">
        <v>119</v>
      </c>
      <c r="D141" s="135" t="s">
        <v>491</v>
      </c>
      <c r="E141" s="137" t="s">
        <v>46</v>
      </c>
      <c r="F141" s="134">
        <v>2</v>
      </c>
      <c r="G141" s="246" t="s">
        <v>489</v>
      </c>
      <c r="H141" s="138"/>
      <c r="I141" s="140"/>
      <c r="J141" s="143">
        <f>VLOOKUP($B141,[3]SAP!$D:$X,12,0)</f>
        <v>1.4E-3</v>
      </c>
      <c r="K141" s="143" t="str">
        <f>VLOOKUP($B141,[3]SAP!$D:$X,19,0)</f>
        <v>CNY</v>
      </c>
      <c r="L141" s="128" t="str">
        <f>VLOOKUP($B141,[3]SAP!$D:$X,8,0)</f>
        <v>深圳市超利维实业有限公司</v>
      </c>
      <c r="M141" s="143">
        <f t="shared" si="14"/>
        <v>1.4E-3</v>
      </c>
      <c r="N141" s="143"/>
      <c r="O141" s="143"/>
      <c r="P141" s="143">
        <f>VLOOKUP($B141,[3]SAP!$D:$X,17,0)</f>
        <v>56</v>
      </c>
      <c r="Q141" s="143">
        <f>VLOOKUP($B141,[3]SAP!$D:$X,21,0)</f>
        <v>10000</v>
      </c>
      <c r="R141" s="143">
        <f>VLOOKUP($B141,[3]SAP!$D:$X,20,0)</f>
        <v>10000</v>
      </c>
      <c r="S141" s="86" t="s">
        <v>225</v>
      </c>
    </row>
    <row r="142" spans="1:19" ht="14.4" x14ac:dyDescent="0.25">
      <c r="A142" s="133"/>
      <c r="B142" s="139">
        <v>10100018399</v>
      </c>
      <c r="C142" s="135" t="s">
        <v>119</v>
      </c>
      <c r="D142" s="135" t="s">
        <v>492</v>
      </c>
      <c r="E142" s="137" t="s">
        <v>133</v>
      </c>
      <c r="F142" s="134">
        <v>2</v>
      </c>
      <c r="G142" s="246" t="s">
        <v>489</v>
      </c>
      <c r="H142" s="135" t="s">
        <v>42</v>
      </c>
      <c r="I142" s="140"/>
      <c r="J142" s="143">
        <f>VLOOKUP($B142,[3]SAP!$D:$X,12,0)</f>
        <v>9.7999999999999997E-4</v>
      </c>
      <c r="K142" s="143" t="str">
        <f>VLOOKUP($B142,[3]SAP!$D:$X,19,0)</f>
        <v>CNY</v>
      </c>
      <c r="L142" s="128" t="str">
        <f>VLOOKUP($B142,[3]SAP!$D:$X,8,0)</f>
        <v>恒辉电阻（益阳）有限公司</v>
      </c>
      <c r="M142" s="143">
        <f t="shared" si="14"/>
        <v>9.7999999999999997E-4</v>
      </c>
      <c r="N142" s="143">
        <f>M142*F142</f>
        <v>1.9599999999999999E-3</v>
      </c>
      <c r="O142" s="143"/>
      <c r="P142" s="143">
        <f>VLOOKUP($B142,[3]SAP!$D:$X,17,0)</f>
        <v>42</v>
      </c>
      <c r="Q142" s="143">
        <f>VLOOKUP($B142,[3]SAP!$D:$X,21,0)</f>
        <v>10000</v>
      </c>
      <c r="R142" s="143">
        <f>VLOOKUP($B142,[3]SAP!$D:$X,20,0)</f>
        <v>10000</v>
      </c>
      <c r="S142" s="86" t="s">
        <v>37</v>
      </c>
    </row>
    <row r="143" spans="1:19" ht="26.4" x14ac:dyDescent="0.25">
      <c r="A143" s="133"/>
      <c r="B143" s="139">
        <v>10100019075</v>
      </c>
      <c r="C143" s="135" t="s">
        <v>119</v>
      </c>
      <c r="D143" s="135" t="s">
        <v>493</v>
      </c>
      <c r="E143" s="137" t="s">
        <v>129</v>
      </c>
      <c r="F143" s="134">
        <v>2</v>
      </c>
      <c r="G143" s="246" t="s">
        <v>489</v>
      </c>
      <c r="H143" s="135" t="s">
        <v>42</v>
      </c>
      <c r="I143" s="140"/>
      <c r="J143" s="143">
        <f>VLOOKUP($B143,[3]SAP!$D:$X,12,0)</f>
        <v>1.09E-3</v>
      </c>
      <c r="K143" s="143" t="str">
        <f>VLOOKUP($B143,[3]SAP!$D:$X,19,0)</f>
        <v>CNY</v>
      </c>
      <c r="L143" s="128" t="str">
        <f>VLOOKUP($B143,[3]SAP!$D:$X,8,0)</f>
        <v>厚声国际贸易（昆山）有限公司深圳分公司</v>
      </c>
      <c r="M143" s="143">
        <f t="shared" si="14"/>
        <v>1.09E-3</v>
      </c>
      <c r="N143" s="143"/>
      <c r="O143" s="143"/>
      <c r="P143" s="143">
        <f>VLOOKUP($B143,[3]SAP!$D:$X,17,0)</f>
        <v>42</v>
      </c>
      <c r="Q143" s="143">
        <f>VLOOKUP($B143,[3]SAP!$D:$X,21,0)</f>
        <v>10000</v>
      </c>
      <c r="R143" s="143">
        <f>VLOOKUP($B143,[3]SAP!$D:$X,20,0)</f>
        <v>10000</v>
      </c>
      <c r="S143" s="86" t="s">
        <v>225</v>
      </c>
    </row>
    <row r="144" spans="1:19" ht="39.6" x14ac:dyDescent="0.25">
      <c r="A144" s="133">
        <v>51</v>
      </c>
      <c r="B144" s="139">
        <v>10100009092</v>
      </c>
      <c r="C144" s="135" t="s">
        <v>144</v>
      </c>
      <c r="D144" s="135" t="s">
        <v>188</v>
      </c>
      <c r="E144" s="137" t="s">
        <v>46</v>
      </c>
      <c r="F144" s="134">
        <v>1</v>
      </c>
      <c r="G144" s="135" t="s">
        <v>497</v>
      </c>
      <c r="H144" s="138"/>
      <c r="I144" s="140"/>
      <c r="J144" s="143">
        <f>VLOOKUP($B144,[3]SAP!$D:$X,12,0)</f>
        <v>1.2999999999999999E-3</v>
      </c>
      <c r="K144" s="143" t="str">
        <f>VLOOKUP($B144,[3]SAP!$D:$X,19,0)</f>
        <v>CNY</v>
      </c>
      <c r="L144" s="128" t="str">
        <f>VLOOKUP($B144,[3]SAP!$D:$X,8,0)</f>
        <v>深圳市奥特高科电子有限公司</v>
      </c>
      <c r="M144" s="143">
        <f t="shared" si="14"/>
        <v>1.2999999999999999E-3</v>
      </c>
      <c r="N144" s="143"/>
      <c r="O144" s="143"/>
      <c r="P144" s="143">
        <f>VLOOKUP($B144,[3]SAP!$D:$X,17,0)</f>
        <v>84</v>
      </c>
      <c r="Q144" s="143">
        <f>VLOOKUP($B144,[3]SAP!$D:$X,21,0)</f>
        <v>10000</v>
      </c>
      <c r="R144" s="143">
        <f>VLOOKUP($B144,[3]SAP!$D:$X,20,0)</f>
        <v>10000</v>
      </c>
      <c r="S144" s="86" t="s">
        <v>225</v>
      </c>
    </row>
    <row r="145" spans="1:19" ht="26.4" x14ac:dyDescent="0.25">
      <c r="A145" s="133"/>
      <c r="B145" s="139">
        <v>10100009093</v>
      </c>
      <c r="C145" s="135" t="s">
        <v>144</v>
      </c>
      <c r="D145" s="135" t="s">
        <v>190</v>
      </c>
      <c r="E145" s="137" t="s">
        <v>77</v>
      </c>
      <c r="F145" s="134">
        <v>1</v>
      </c>
      <c r="G145" s="135" t="s">
        <v>497</v>
      </c>
      <c r="H145" s="135" t="s">
        <v>42</v>
      </c>
      <c r="I145" s="140"/>
      <c r="J145" s="143">
        <f>VLOOKUP($B145,[3]SAP!$D:$X,12,0)</f>
        <v>1.17E-3</v>
      </c>
      <c r="K145" s="143" t="str">
        <f>VLOOKUP($B145,[3]SAP!$D:$X,19,0)</f>
        <v>CNY</v>
      </c>
      <c r="L145" s="128" t="str">
        <f>VLOOKUP($B145,[3]SAP!$D:$X,8,0)</f>
        <v>东莞华科电子有限公司</v>
      </c>
      <c r="M145" s="143">
        <f t="shared" si="14"/>
        <v>1.17E-3</v>
      </c>
      <c r="N145" s="143"/>
      <c r="O145" s="143"/>
      <c r="P145" s="143">
        <f>VLOOKUP($B145,[3]SAP!$D:$X,17,0)</f>
        <v>56</v>
      </c>
      <c r="Q145" s="143">
        <f>VLOOKUP($B145,[3]SAP!$D:$X,21,0)</f>
        <v>10000</v>
      </c>
      <c r="R145" s="143">
        <f>VLOOKUP($B145,[3]SAP!$D:$X,20,0)</f>
        <v>10000</v>
      </c>
      <c r="S145" s="86" t="s">
        <v>225</v>
      </c>
    </row>
    <row r="146" spans="1:19" ht="26.4" x14ac:dyDescent="0.25">
      <c r="A146" s="133"/>
      <c r="B146" s="139">
        <v>10100014735</v>
      </c>
      <c r="C146" s="135" t="s">
        <v>119</v>
      </c>
      <c r="D146" s="135" t="s">
        <v>191</v>
      </c>
      <c r="E146" s="137" t="s">
        <v>129</v>
      </c>
      <c r="F146" s="134">
        <v>1</v>
      </c>
      <c r="G146" s="135" t="s">
        <v>497</v>
      </c>
      <c r="H146" s="135" t="s">
        <v>42</v>
      </c>
      <c r="I146" s="140"/>
      <c r="J146" s="143">
        <f>VLOOKUP($B146,[3]SAP!$D:$X,12,0)</f>
        <v>1.09E-3</v>
      </c>
      <c r="K146" s="143" t="str">
        <f>VLOOKUP($B146,[3]SAP!$D:$X,19,0)</f>
        <v>CNY</v>
      </c>
      <c r="L146" s="128" t="str">
        <f>VLOOKUP($B146,[3]SAP!$D:$X,8,0)</f>
        <v>厚声国际贸易（昆山）有限公司深圳分公司</v>
      </c>
      <c r="M146" s="143">
        <f t="shared" si="14"/>
        <v>1.09E-3</v>
      </c>
      <c r="N146" s="143"/>
      <c r="O146" s="143"/>
      <c r="P146" s="143">
        <f>VLOOKUP($B146,[3]SAP!$D:$X,17,0)</f>
        <v>56</v>
      </c>
      <c r="Q146" s="143">
        <f>VLOOKUP($B146,[3]SAP!$D:$X,21,0)</f>
        <v>10000</v>
      </c>
      <c r="R146" s="143">
        <f>VLOOKUP($B146,[3]SAP!$D:$X,20,0)</f>
        <v>10000</v>
      </c>
      <c r="S146" s="86" t="s">
        <v>225</v>
      </c>
    </row>
    <row r="147" spans="1:19" ht="14.4" x14ac:dyDescent="0.25">
      <c r="A147" s="133"/>
      <c r="B147" s="139">
        <v>10100017679</v>
      </c>
      <c r="C147" s="135" t="s">
        <v>119</v>
      </c>
      <c r="D147" s="135" t="s">
        <v>192</v>
      </c>
      <c r="E147" s="137" t="s">
        <v>133</v>
      </c>
      <c r="F147" s="134">
        <v>1</v>
      </c>
      <c r="G147" s="135" t="s">
        <v>497</v>
      </c>
      <c r="H147" s="135" t="s">
        <v>42</v>
      </c>
      <c r="I147" s="140"/>
      <c r="J147" s="143">
        <f>VLOOKUP($B147,[3]SAP!$D:$X,12,0)</f>
        <v>9.7999999999999997E-4</v>
      </c>
      <c r="K147" s="143" t="str">
        <f>VLOOKUP($B147,[3]SAP!$D:$X,19,0)</f>
        <v>CNY</v>
      </c>
      <c r="L147" s="128" t="str">
        <f>VLOOKUP($B147,[3]SAP!$D:$X,8,0)</f>
        <v>恒辉电阻（益阳）有限公司</v>
      </c>
      <c r="M147" s="143">
        <f t="shared" si="14"/>
        <v>9.7999999999999997E-4</v>
      </c>
      <c r="N147" s="143">
        <f t="shared" ref="N147:N150" si="15">M147*F147</f>
        <v>9.7999999999999997E-4</v>
      </c>
      <c r="O147" s="143"/>
      <c r="P147" s="143">
        <f>VLOOKUP($B147,[3]SAP!$D:$X,17,0)</f>
        <v>42</v>
      </c>
      <c r="Q147" s="143">
        <f>VLOOKUP($B147,[3]SAP!$D:$X,21,0)</f>
        <v>10000</v>
      </c>
      <c r="R147" s="143">
        <f>VLOOKUP($B147,[3]SAP!$D:$X,20,0)</f>
        <v>10000</v>
      </c>
      <c r="S147" s="86" t="s">
        <v>37</v>
      </c>
    </row>
    <row r="148" spans="1:19" ht="14.4" x14ac:dyDescent="0.25">
      <c r="A148" s="133">
        <v>52</v>
      </c>
      <c r="B148" s="139" t="s">
        <v>38</v>
      </c>
      <c r="C148" s="135" t="s">
        <v>268</v>
      </c>
      <c r="D148" s="135" t="s">
        <v>269</v>
      </c>
      <c r="E148" s="137" t="s">
        <v>262</v>
      </c>
      <c r="F148" s="134">
        <v>1</v>
      </c>
      <c r="G148" s="246" t="s">
        <v>270</v>
      </c>
      <c r="H148" s="138"/>
      <c r="I148" s="140"/>
      <c r="J148" s="143" t="e">
        <f>VLOOKUP($B148,[3]SAP!$D:$X,12,0)</f>
        <v>#N/A</v>
      </c>
      <c r="K148" s="143" t="e">
        <f>VLOOKUP($B148,[3]SAP!$D:$X,19,0)</f>
        <v>#N/A</v>
      </c>
      <c r="L148" s="128" t="e">
        <f>VLOOKUP($B148,[3]SAP!$D:$X,8,0)</f>
        <v>#N/A</v>
      </c>
      <c r="M148" s="146">
        <v>0.31</v>
      </c>
      <c r="N148" s="143">
        <f t="shared" si="15"/>
        <v>0.31</v>
      </c>
      <c r="O148" s="147" t="s">
        <v>271</v>
      </c>
      <c r="P148" s="143" t="e">
        <f>VLOOKUP($B148,[3]SAP!$D:$X,17,0)</f>
        <v>#N/A</v>
      </c>
      <c r="Q148" s="143" t="e">
        <f>VLOOKUP($B148,[3]SAP!$D:$X,21,0)</f>
        <v>#N/A</v>
      </c>
      <c r="R148" s="143" t="e">
        <f>VLOOKUP($B148,[3]SAP!$D:$X,20,0)</f>
        <v>#N/A</v>
      </c>
      <c r="S148" s="86" t="s">
        <v>37</v>
      </c>
    </row>
    <row r="149" spans="1:19" ht="14.4" x14ac:dyDescent="0.25">
      <c r="A149" s="133"/>
      <c r="B149" s="139">
        <v>10100030065</v>
      </c>
      <c r="C149" s="135" t="s">
        <v>268</v>
      </c>
      <c r="D149" s="135" t="s">
        <v>610</v>
      </c>
      <c r="E149" s="137" t="s">
        <v>509</v>
      </c>
      <c r="F149" s="134">
        <v>1</v>
      </c>
      <c r="G149" s="246" t="s">
        <v>270</v>
      </c>
      <c r="H149" s="135" t="s">
        <v>42</v>
      </c>
      <c r="I149" s="140"/>
      <c r="J149" s="143">
        <f>VLOOKUP($B149,[3]SAP!$D:$X,12,0)</f>
        <v>0.47</v>
      </c>
      <c r="K149" s="143" t="str">
        <f>VLOOKUP($B149,[3]SAP!$D:$X,19,0)</f>
        <v>CNY</v>
      </c>
      <c r="L149" s="128" t="str">
        <f>VLOOKUP($B149,[3]SAP!$D:$X,8,0)</f>
        <v>成都铁达电子股份有限公司</v>
      </c>
      <c r="M149" s="143">
        <f t="shared" ref="M149:M158" si="16">J149</f>
        <v>0.47</v>
      </c>
      <c r="N149" s="143"/>
      <c r="O149" s="143"/>
      <c r="P149" s="143">
        <f>VLOOKUP($B149,[3]SAP!$D:$X,17,0)</f>
        <v>15</v>
      </c>
      <c r="Q149" s="143">
        <f>VLOOKUP($B149,[3]SAP!$D:$X,21,0)</f>
        <v>400</v>
      </c>
      <c r="R149" s="143">
        <f>VLOOKUP($B149,[3]SAP!$D:$X,20,0)</f>
        <v>1600</v>
      </c>
      <c r="S149" s="86" t="s">
        <v>225</v>
      </c>
    </row>
    <row r="150" spans="1:19" ht="14.4" x14ac:dyDescent="0.25">
      <c r="A150" s="133">
        <v>53</v>
      </c>
      <c r="B150" s="139">
        <v>10140012358</v>
      </c>
      <c r="C150" s="135" t="s">
        <v>513</v>
      </c>
      <c r="D150" s="135" t="s">
        <v>514</v>
      </c>
      <c r="E150" s="137" t="s">
        <v>515</v>
      </c>
      <c r="F150" s="134">
        <v>3</v>
      </c>
      <c r="G150" s="135" t="s">
        <v>611</v>
      </c>
      <c r="H150" s="138"/>
      <c r="I150" s="140"/>
      <c r="J150" s="143">
        <f>VLOOKUP($B150,[3]SAP!$D:$X,12,0)</f>
        <v>3.3000000000000002E-2</v>
      </c>
      <c r="K150" s="143" t="str">
        <f>VLOOKUP($B150,[3]SAP!$D:$X,19,0)</f>
        <v>CNY</v>
      </c>
      <c r="L150" s="128" t="str">
        <f>VLOOKUP($B150,[3]SAP!$D:$X,8,0)</f>
        <v>东莞市意中半导体有限公司</v>
      </c>
      <c r="M150" s="143">
        <f t="shared" si="16"/>
        <v>3.3000000000000002E-2</v>
      </c>
      <c r="N150" s="143">
        <f t="shared" si="15"/>
        <v>9.9000000000000005E-2</v>
      </c>
      <c r="O150" s="143"/>
      <c r="P150" s="143">
        <f>VLOOKUP($B150,[3]SAP!$D:$X,17,0)</f>
        <v>60</v>
      </c>
      <c r="Q150" s="143">
        <f>VLOOKUP($B150,[3]SAP!$D:$X,21,0)</f>
        <v>5000</v>
      </c>
      <c r="R150" s="143">
        <f>VLOOKUP($B150,[3]SAP!$D:$X,20,0)</f>
        <v>5000</v>
      </c>
      <c r="S150" s="86" t="s">
        <v>37</v>
      </c>
    </row>
    <row r="151" spans="1:19" ht="14.4" x14ac:dyDescent="0.25">
      <c r="A151" s="133"/>
      <c r="B151" s="139">
        <v>10140003381</v>
      </c>
      <c r="C151" s="135" t="s">
        <v>513</v>
      </c>
      <c r="D151" s="135" t="s">
        <v>517</v>
      </c>
      <c r="E151" s="137" t="s">
        <v>518</v>
      </c>
      <c r="F151" s="134">
        <v>3</v>
      </c>
      <c r="G151" s="135" t="s">
        <v>611</v>
      </c>
      <c r="H151" s="135" t="s">
        <v>42</v>
      </c>
      <c r="I151" s="140"/>
      <c r="J151" s="143">
        <f>VLOOKUP($B151,[3]SAP!$D:$X,12,0)</f>
        <v>3.3599999999999998E-2</v>
      </c>
      <c r="K151" s="143" t="str">
        <f>VLOOKUP($B151,[3]SAP!$D:$X,19,0)</f>
        <v>CNY</v>
      </c>
      <c r="L151" s="128" t="str">
        <f>VLOOKUP($B151,[3]SAP!$D:$X,8,0)</f>
        <v>深圳南丰电子股份有限公司</v>
      </c>
      <c r="M151" s="143">
        <f t="shared" si="16"/>
        <v>3.3599999999999998E-2</v>
      </c>
      <c r="N151" s="143"/>
      <c r="O151" s="143"/>
      <c r="P151" s="143">
        <f>VLOOKUP($B151,[3]SAP!$D:$X,17,0)</f>
        <v>70</v>
      </c>
      <c r="Q151" s="143">
        <f>VLOOKUP($B151,[3]SAP!$D:$X,21,0)</f>
        <v>7500</v>
      </c>
      <c r="R151" s="143">
        <f>VLOOKUP($B151,[3]SAP!$D:$X,20,0)</f>
        <v>7500</v>
      </c>
      <c r="S151" s="86" t="s">
        <v>225</v>
      </c>
    </row>
    <row r="152" spans="1:19" ht="14.4" x14ac:dyDescent="0.25">
      <c r="A152" s="133"/>
      <c r="B152" s="139">
        <v>10140002743</v>
      </c>
      <c r="C152" s="135" t="s">
        <v>513</v>
      </c>
      <c r="D152" s="135" t="s">
        <v>519</v>
      </c>
      <c r="E152" s="137" t="s">
        <v>520</v>
      </c>
      <c r="F152" s="134">
        <v>3</v>
      </c>
      <c r="G152" s="135" t="s">
        <v>611</v>
      </c>
      <c r="H152" s="135" t="s">
        <v>42</v>
      </c>
      <c r="I152" s="140"/>
      <c r="J152" s="143">
        <f>VLOOKUP($B152,[3]SAP!$D:$X,12,0)</f>
        <v>0.04</v>
      </c>
      <c r="K152" s="143" t="str">
        <f>VLOOKUP($B152,[3]SAP!$D:$X,19,0)</f>
        <v>CNY</v>
      </c>
      <c r="L152" s="128" t="str">
        <f>VLOOKUP($B152,[3]SAP!$D:$X,8,0)</f>
        <v>深圳市驰顺科技有限公司</v>
      </c>
      <c r="M152" s="143">
        <f t="shared" si="16"/>
        <v>0.04</v>
      </c>
      <c r="N152" s="143"/>
      <c r="O152" s="143"/>
      <c r="P152" s="143">
        <f>VLOOKUP($B152,[3]SAP!$D:$X,17,0)</f>
        <v>90</v>
      </c>
      <c r="Q152" s="143">
        <f>VLOOKUP($B152,[3]SAP!$D:$X,21,0)</f>
        <v>7500</v>
      </c>
      <c r="R152" s="143">
        <f>VLOOKUP($B152,[3]SAP!$D:$X,20,0)</f>
        <v>7500</v>
      </c>
      <c r="S152" s="86" t="s">
        <v>225</v>
      </c>
    </row>
    <row r="153" spans="1:19" ht="14.4" x14ac:dyDescent="0.25">
      <c r="A153" s="133"/>
      <c r="B153" s="139">
        <v>10140000397</v>
      </c>
      <c r="C153" s="135" t="s">
        <v>513</v>
      </c>
      <c r="D153" s="135" t="s">
        <v>521</v>
      </c>
      <c r="E153" s="137" t="s">
        <v>522</v>
      </c>
      <c r="F153" s="134">
        <v>3</v>
      </c>
      <c r="G153" s="135" t="s">
        <v>611</v>
      </c>
      <c r="H153" s="135" t="s">
        <v>42</v>
      </c>
      <c r="I153" s="140"/>
      <c r="J153" s="143">
        <f>VLOOKUP($B153,[3]SAP!$D:$X,12,0)</f>
        <v>7.4999999999999997E-2</v>
      </c>
      <c r="K153" s="143" t="str">
        <f>VLOOKUP($B153,[3]SAP!$D:$X,19,0)</f>
        <v>CNY</v>
      </c>
      <c r="L153" s="128" t="str">
        <f>VLOOKUP($B153,[3]SAP!$D:$X,8,0)</f>
        <v>深圳市合信昌科技有限公司</v>
      </c>
      <c r="M153" s="143">
        <f t="shared" si="16"/>
        <v>7.4999999999999997E-2</v>
      </c>
      <c r="N153" s="143"/>
      <c r="O153" s="143"/>
      <c r="P153" s="143">
        <f>VLOOKUP($B153,[3]SAP!$D:$X,17,0)</f>
        <v>70</v>
      </c>
      <c r="Q153" s="143">
        <f>VLOOKUP($B153,[3]SAP!$D:$X,21,0)</f>
        <v>1800</v>
      </c>
      <c r="R153" s="143">
        <f>VLOOKUP($B153,[3]SAP!$D:$X,20,0)</f>
        <v>1800</v>
      </c>
      <c r="S153" s="86" t="s">
        <v>225</v>
      </c>
    </row>
    <row r="154" spans="1:19" ht="14.4" x14ac:dyDescent="0.25">
      <c r="A154" s="133">
        <v>54</v>
      </c>
      <c r="B154" s="139">
        <v>10140009195</v>
      </c>
      <c r="C154" s="135" t="s">
        <v>612</v>
      </c>
      <c r="D154" s="135" t="s">
        <v>613</v>
      </c>
      <c r="E154" s="137" t="s">
        <v>522</v>
      </c>
      <c r="F154" s="149">
        <v>1</v>
      </c>
      <c r="G154" s="135" t="s">
        <v>614</v>
      </c>
      <c r="H154" s="135" t="s">
        <v>42</v>
      </c>
      <c r="I154" s="140"/>
      <c r="J154" s="143">
        <f>VLOOKUP($B154,[3]SAP!$D:$X,12,0)</f>
        <v>0.1105</v>
      </c>
      <c r="K154" s="143" t="str">
        <f>VLOOKUP($B154,[3]SAP!$D:$X,19,0)</f>
        <v>CNY</v>
      </c>
      <c r="L154" s="128" t="str">
        <f>VLOOKUP($B154,[3]SAP!$D:$X,8,0)</f>
        <v>深圳市铭祥达电子有限公司</v>
      </c>
      <c r="M154" s="143">
        <f t="shared" si="16"/>
        <v>0.1105</v>
      </c>
      <c r="N154" s="143"/>
      <c r="O154" s="143"/>
      <c r="P154" s="143">
        <f>VLOOKUP($B154,[3]SAP!$D:$X,17,0)</f>
        <v>98</v>
      </c>
      <c r="Q154" s="143">
        <f>VLOOKUP($B154,[3]SAP!$D:$X,21,0)</f>
        <v>1800</v>
      </c>
      <c r="R154" s="143">
        <f>VLOOKUP($B154,[3]SAP!$D:$X,20,0)</f>
        <v>7200</v>
      </c>
      <c r="S154" s="86" t="s">
        <v>225</v>
      </c>
    </row>
    <row r="155" spans="1:19" ht="14.4" x14ac:dyDescent="0.25">
      <c r="A155" s="133"/>
      <c r="B155" s="139">
        <v>10140013896</v>
      </c>
      <c r="C155" s="135" t="s">
        <v>612</v>
      </c>
      <c r="D155" s="135" t="s">
        <v>615</v>
      </c>
      <c r="E155" s="137" t="s">
        <v>616</v>
      </c>
      <c r="F155" s="149">
        <v>1</v>
      </c>
      <c r="G155" s="135" t="s">
        <v>614</v>
      </c>
      <c r="H155" s="135"/>
      <c r="I155" s="140"/>
      <c r="J155" s="143">
        <f>VLOOKUP($B155,[3]SAP!$D:$X,12,0)</f>
        <v>5.8000000000000003E-2</v>
      </c>
      <c r="K155" s="143" t="str">
        <f>VLOOKUP($B155,[3]SAP!$D:$X,19,0)</f>
        <v>CNY</v>
      </c>
      <c r="L155" s="128" t="str">
        <f>VLOOKUP($B155,[3]SAP!$D:$X,8,0)</f>
        <v>深圳翰世宇科技有限公司</v>
      </c>
      <c r="M155" s="143">
        <f t="shared" si="16"/>
        <v>5.8000000000000003E-2</v>
      </c>
      <c r="N155" s="143">
        <f t="shared" ref="N155:N159" si="17">M155*F155</f>
        <v>5.8000000000000003E-2</v>
      </c>
      <c r="O155" s="143"/>
      <c r="P155" s="143">
        <f>VLOOKUP($B155,[3]SAP!$D:$X,17,0)</f>
        <v>56</v>
      </c>
      <c r="Q155" s="143">
        <f>VLOOKUP($B155,[3]SAP!$D:$X,21,0)</f>
        <v>5000</v>
      </c>
      <c r="R155" s="143">
        <f>VLOOKUP($B155,[3]SAP!$D:$X,20,0)</f>
        <v>5000</v>
      </c>
      <c r="S155" s="86" t="s">
        <v>37</v>
      </c>
    </row>
    <row r="156" spans="1:19" ht="14.4" x14ac:dyDescent="0.25">
      <c r="A156" s="133">
        <v>55</v>
      </c>
      <c r="B156" s="139">
        <v>10140006310</v>
      </c>
      <c r="C156" s="135" t="s">
        <v>617</v>
      </c>
      <c r="D156" s="135" t="s">
        <v>524</v>
      </c>
      <c r="E156" s="137" t="s">
        <v>616</v>
      </c>
      <c r="F156" s="134">
        <v>2</v>
      </c>
      <c r="G156" s="246" t="s">
        <v>618</v>
      </c>
      <c r="H156" s="138"/>
      <c r="I156" s="140"/>
      <c r="J156" s="143">
        <f>VLOOKUP($B156,[3]SAP!$D:$X,12,0)</f>
        <v>4.8000000000000001E-2</v>
      </c>
      <c r="K156" s="143" t="str">
        <f>VLOOKUP($B156,[3]SAP!$D:$X,19,0)</f>
        <v>CNY</v>
      </c>
      <c r="L156" s="128" t="str">
        <f>VLOOKUP($B156,[3]SAP!$D:$X,8,0)</f>
        <v>深圳翰世宇科技有限公司</v>
      </c>
      <c r="M156" s="143">
        <f t="shared" si="16"/>
        <v>4.8000000000000001E-2</v>
      </c>
      <c r="N156" s="143"/>
      <c r="O156" s="143"/>
      <c r="P156" s="143">
        <f>VLOOKUP($B156,[3]SAP!$D:$X,17,0)</f>
        <v>56</v>
      </c>
      <c r="Q156" s="143">
        <f>VLOOKUP($B156,[3]SAP!$D:$X,21,0)</f>
        <v>3000</v>
      </c>
      <c r="R156" s="143">
        <f>VLOOKUP($B156,[3]SAP!$D:$X,20,0)</f>
        <v>3000</v>
      </c>
      <c r="S156" s="86" t="s">
        <v>225</v>
      </c>
    </row>
    <row r="157" spans="1:19" ht="26.4" x14ac:dyDescent="0.25">
      <c r="A157" s="133"/>
      <c r="B157" s="139">
        <v>10140002123</v>
      </c>
      <c r="C157" s="135" t="s">
        <v>617</v>
      </c>
      <c r="D157" s="135" t="s">
        <v>527</v>
      </c>
      <c r="E157" s="137" t="s">
        <v>619</v>
      </c>
      <c r="F157" s="134">
        <v>2</v>
      </c>
      <c r="G157" s="246" t="s">
        <v>618</v>
      </c>
      <c r="H157" s="135" t="s">
        <v>42</v>
      </c>
      <c r="I157" s="140"/>
      <c r="J157" s="143">
        <f>VLOOKUP($B157,[3]SAP!$D:$X,12,0)</f>
        <v>3.4500000000000003E-2</v>
      </c>
      <c r="K157" s="143" t="str">
        <f>VLOOKUP($B157,[3]SAP!$D:$X,19,0)</f>
        <v>CNY</v>
      </c>
      <c r="L157" s="128" t="str">
        <f>VLOOKUP($B157,[3]SAP!$D:$X,8,0)</f>
        <v>利尔达科技集团股份有限公司</v>
      </c>
      <c r="M157" s="143">
        <f t="shared" si="16"/>
        <v>3.4500000000000003E-2</v>
      </c>
      <c r="N157" s="143">
        <f t="shared" si="17"/>
        <v>6.9000000000000006E-2</v>
      </c>
      <c r="O157" s="143"/>
      <c r="P157" s="143">
        <f>VLOOKUP($B157,[3]SAP!$D:$X,17,0)</f>
        <v>56</v>
      </c>
      <c r="Q157" s="143">
        <f>VLOOKUP($B157,[3]SAP!$D:$X,21,0)</f>
        <v>3000</v>
      </c>
      <c r="R157" s="143">
        <f>VLOOKUP($B157,[3]SAP!$D:$X,20,0)</f>
        <v>3000</v>
      </c>
      <c r="S157" s="86" t="s">
        <v>37</v>
      </c>
    </row>
    <row r="158" spans="1:19" ht="39.6" x14ac:dyDescent="0.25">
      <c r="A158" s="133">
        <v>57</v>
      </c>
      <c r="B158" s="139">
        <v>10140014223</v>
      </c>
      <c r="C158" s="135" t="s">
        <v>620</v>
      </c>
      <c r="D158" s="135" t="s">
        <v>531</v>
      </c>
      <c r="E158" s="137" t="s">
        <v>548</v>
      </c>
      <c r="F158" s="134">
        <v>1</v>
      </c>
      <c r="G158" s="135" t="s">
        <v>533</v>
      </c>
      <c r="H158" s="135" t="s">
        <v>42</v>
      </c>
      <c r="I158" s="140"/>
      <c r="J158" s="143">
        <f>VLOOKUP($B158,[3]SAP!$D:$X,12,0)</f>
        <v>0.19500000000000001</v>
      </c>
      <c r="K158" s="143" t="str">
        <f>VLOOKUP($B158,[3]SAP!$D:$X,19,0)</f>
        <v>CNY</v>
      </c>
      <c r="L158" s="128" t="str">
        <f>VLOOKUP($B158,[3]SAP!$D:$X,8,0)</f>
        <v>深圳翰世宇科技有限公司</v>
      </c>
      <c r="M158" s="143">
        <f t="shared" si="16"/>
        <v>0.19500000000000001</v>
      </c>
      <c r="N158" s="143">
        <f t="shared" si="17"/>
        <v>0.19500000000000001</v>
      </c>
      <c r="O158" s="143"/>
      <c r="P158" s="143">
        <f>VLOOKUP($B158,[3]SAP!$D:$X,17,0)</f>
        <v>56</v>
      </c>
      <c r="Q158" s="143">
        <f>VLOOKUP($B158,[3]SAP!$D:$X,21,0)</f>
        <v>5000</v>
      </c>
      <c r="R158" s="143">
        <f>VLOOKUP($B158,[3]SAP!$D:$X,20,0)</f>
        <v>5000</v>
      </c>
      <c r="S158" s="86" t="s">
        <v>37</v>
      </c>
    </row>
    <row r="159" spans="1:19" ht="26.4" x14ac:dyDescent="0.25">
      <c r="A159" s="133">
        <v>58</v>
      </c>
      <c r="B159" s="149">
        <v>1023</v>
      </c>
      <c r="C159" s="140" t="s">
        <v>276</v>
      </c>
      <c r="D159" s="239" t="s">
        <v>277</v>
      </c>
      <c r="E159" s="136" t="s">
        <v>163</v>
      </c>
      <c r="F159" s="149">
        <v>1</v>
      </c>
      <c r="G159" s="239" t="s">
        <v>164</v>
      </c>
      <c r="H159" s="138"/>
      <c r="I159" s="140"/>
      <c r="J159" s="143" t="e">
        <f>VLOOKUP($B159,[3]SAP!$D:$X,12,0)</f>
        <v>#N/A</v>
      </c>
      <c r="K159" s="143" t="e">
        <f>VLOOKUP($B159,[3]SAP!$D:$X,19,0)</f>
        <v>#N/A</v>
      </c>
      <c r="L159" s="128" t="e">
        <f>VLOOKUP($B159,[3]SAP!$D:$X,8,0)</f>
        <v>#N/A</v>
      </c>
      <c r="M159" s="143">
        <f>0.46*1.05</f>
        <v>0.48299999999999998</v>
      </c>
      <c r="N159" s="143">
        <f t="shared" si="17"/>
        <v>0.48299999999999998</v>
      </c>
      <c r="O159" s="143"/>
      <c r="P159" s="143">
        <v>15</v>
      </c>
      <c r="Q159" s="143">
        <v>1500</v>
      </c>
      <c r="R159" s="143">
        <v>1500</v>
      </c>
      <c r="S159" s="86" t="s">
        <v>37</v>
      </c>
    </row>
    <row r="160" spans="1:19" x14ac:dyDescent="0.25">
      <c r="A160" s="133"/>
      <c r="B160" s="139"/>
      <c r="C160" s="135"/>
      <c r="D160" s="135"/>
      <c r="E160" s="137"/>
      <c r="F160" s="134"/>
      <c r="G160" s="135"/>
      <c r="H160" s="138"/>
      <c r="I160" s="140"/>
      <c r="N160" s="122">
        <f>SUM(N2:N159)</f>
        <v>36.950241999999996</v>
      </c>
    </row>
    <row r="161" spans="1:9" x14ac:dyDescent="0.25">
      <c r="A161" s="150"/>
      <c r="B161" s="139"/>
      <c r="C161" s="135"/>
      <c r="D161" s="135"/>
      <c r="E161" s="137"/>
      <c r="F161" s="134"/>
      <c r="G161" s="135"/>
      <c r="H161" s="138"/>
      <c r="I161" s="140"/>
    </row>
    <row r="162" spans="1:9" x14ac:dyDescent="0.25">
      <c r="A162" s="133"/>
      <c r="B162" s="139"/>
      <c r="C162" s="135"/>
      <c r="D162" s="135"/>
      <c r="E162" s="137"/>
      <c r="F162" s="134"/>
      <c r="G162" s="135"/>
      <c r="H162" s="138"/>
      <c r="I162" s="140"/>
    </row>
    <row r="163" spans="1:9" x14ac:dyDescent="0.25">
      <c r="A163" s="133"/>
      <c r="B163" s="139"/>
      <c r="C163" s="135"/>
      <c r="D163" s="135"/>
      <c r="E163" s="137"/>
      <c r="F163" s="134"/>
      <c r="G163" s="135"/>
      <c r="H163" s="138"/>
      <c r="I163" s="140"/>
    </row>
    <row r="164" spans="1:9" x14ac:dyDescent="0.25">
      <c r="A164" s="133"/>
      <c r="B164" s="139"/>
      <c r="C164" s="135"/>
      <c r="D164" s="135"/>
      <c r="E164" s="137"/>
      <c r="F164" s="134"/>
      <c r="G164" s="135"/>
      <c r="H164" s="138"/>
      <c r="I164" s="140"/>
    </row>
    <row r="165" spans="1:9" x14ac:dyDescent="0.25">
      <c r="A165" s="150"/>
      <c r="B165" s="139"/>
      <c r="C165" s="135"/>
      <c r="D165" s="135"/>
      <c r="E165" s="137"/>
      <c r="F165" s="134"/>
      <c r="G165" s="135"/>
      <c r="H165" s="138"/>
      <c r="I165" s="140"/>
    </row>
    <row r="166" spans="1:9" x14ac:dyDescent="0.25">
      <c r="A166" s="133"/>
      <c r="B166" s="139"/>
      <c r="C166" s="135"/>
      <c r="D166" s="135"/>
      <c r="E166" s="137"/>
      <c r="F166" s="134"/>
      <c r="G166" s="135"/>
      <c r="H166" s="138"/>
      <c r="I166" s="140"/>
    </row>
    <row r="167" spans="1:9" x14ac:dyDescent="0.25">
      <c r="A167" s="133"/>
      <c r="B167" s="139"/>
      <c r="C167" s="135"/>
      <c r="D167" s="135"/>
      <c r="E167" s="137"/>
      <c r="F167" s="134"/>
      <c r="G167" s="135"/>
      <c r="H167" s="138"/>
      <c r="I167" s="140"/>
    </row>
    <row r="168" spans="1:9" x14ac:dyDescent="0.25">
      <c r="A168" s="133"/>
      <c r="B168" s="139"/>
      <c r="C168" s="135"/>
      <c r="D168" s="135"/>
      <c r="E168" s="137"/>
      <c r="F168" s="134"/>
      <c r="G168" s="135"/>
      <c r="H168" s="138"/>
      <c r="I168" s="140"/>
    </row>
    <row r="169" spans="1:9" x14ac:dyDescent="0.25">
      <c r="A169" s="133"/>
      <c r="B169" s="139"/>
      <c r="C169" s="135"/>
      <c r="D169" s="135"/>
      <c r="E169" s="137"/>
      <c r="F169" s="134"/>
      <c r="G169" s="135"/>
      <c r="H169" s="138"/>
      <c r="I169" s="140"/>
    </row>
    <row r="170" spans="1:9" x14ac:dyDescent="0.25">
      <c r="A170" s="133"/>
      <c r="B170" s="134"/>
      <c r="C170" s="135"/>
      <c r="D170" s="135"/>
      <c r="E170" s="137"/>
      <c r="F170" s="134"/>
      <c r="G170" s="135"/>
      <c r="H170" s="138"/>
      <c r="I170" s="140"/>
    </row>
    <row r="171" spans="1:9" x14ac:dyDescent="0.25">
      <c r="A171" s="133"/>
      <c r="B171" s="134"/>
      <c r="C171" s="135"/>
      <c r="D171" s="135"/>
      <c r="E171" s="137"/>
      <c r="F171" s="134"/>
      <c r="G171" s="135"/>
      <c r="H171" s="138"/>
      <c r="I171" s="140"/>
    </row>
    <row r="172" spans="1:9" x14ac:dyDescent="0.25">
      <c r="A172" s="133"/>
      <c r="B172" s="139"/>
      <c r="C172" s="135"/>
      <c r="D172" s="135"/>
      <c r="E172" s="137"/>
      <c r="F172" s="134"/>
      <c r="G172" s="135"/>
      <c r="H172" s="138"/>
      <c r="I172" s="140"/>
    </row>
    <row r="173" spans="1:9" x14ac:dyDescent="0.25">
      <c r="A173" s="133"/>
      <c r="B173" s="134"/>
      <c r="C173" s="135"/>
      <c r="D173" s="135"/>
      <c r="E173" s="137"/>
      <c r="F173" s="134"/>
      <c r="G173" s="135"/>
      <c r="H173" s="138"/>
      <c r="I173" s="140"/>
    </row>
    <row r="174" spans="1:9" x14ac:dyDescent="0.25">
      <c r="A174" s="133"/>
      <c r="B174" s="134"/>
      <c r="C174" s="135"/>
      <c r="D174" s="135"/>
      <c r="E174" s="137"/>
      <c r="F174" s="134"/>
      <c r="G174" s="135"/>
      <c r="H174" s="138"/>
      <c r="I174" s="140"/>
    </row>
    <row r="175" spans="1:9" x14ac:dyDescent="0.25">
      <c r="A175" s="133"/>
      <c r="B175" s="139"/>
      <c r="C175" s="135"/>
      <c r="D175" s="135"/>
      <c r="E175" s="137"/>
      <c r="F175" s="134"/>
      <c r="G175" s="135"/>
      <c r="H175" s="138"/>
      <c r="I175" s="140"/>
    </row>
    <row r="176" spans="1:9" x14ac:dyDescent="0.25">
      <c r="A176" s="133"/>
      <c r="B176" s="139"/>
      <c r="C176" s="135"/>
      <c r="D176" s="135"/>
      <c r="E176" s="137"/>
      <c r="F176" s="134"/>
      <c r="G176" s="135"/>
      <c r="H176" s="138"/>
      <c r="I176" s="140"/>
    </row>
    <row r="177" spans="1:9" x14ac:dyDescent="0.25">
      <c r="A177" s="133"/>
      <c r="B177" s="139"/>
      <c r="C177" s="135"/>
      <c r="D177" s="135"/>
      <c r="E177" s="137"/>
      <c r="F177" s="134"/>
      <c r="G177" s="135"/>
      <c r="H177" s="138"/>
      <c r="I177" s="140"/>
    </row>
    <row r="178" spans="1:9" x14ac:dyDescent="0.25">
      <c r="A178" s="133"/>
      <c r="B178" s="139"/>
      <c r="C178" s="135"/>
      <c r="D178" s="135"/>
      <c r="E178" s="137"/>
      <c r="F178" s="134"/>
      <c r="G178" s="135"/>
      <c r="H178" s="138"/>
      <c r="I178" s="140"/>
    </row>
    <row r="179" spans="1:9" x14ac:dyDescent="0.25">
      <c r="A179" s="133"/>
      <c r="B179" s="134"/>
      <c r="C179" s="135"/>
      <c r="D179" s="135"/>
      <c r="E179" s="137"/>
      <c r="F179" s="134"/>
      <c r="G179" s="135"/>
      <c r="H179" s="138"/>
      <c r="I179" s="140"/>
    </row>
    <row r="180" spans="1:9" x14ac:dyDescent="0.25">
      <c r="A180" s="133"/>
      <c r="B180" s="134"/>
      <c r="C180" s="135"/>
      <c r="D180" s="135"/>
      <c r="E180" s="137"/>
      <c r="F180" s="134"/>
      <c r="G180" s="135"/>
      <c r="H180" s="138"/>
      <c r="I180" s="140"/>
    </row>
    <row r="181" spans="1:9" x14ac:dyDescent="0.25">
      <c r="A181" s="133"/>
      <c r="B181" s="139"/>
      <c r="C181" s="135"/>
      <c r="D181" s="135"/>
      <c r="E181" s="137"/>
      <c r="F181" s="134"/>
      <c r="G181" s="135"/>
      <c r="H181" s="138"/>
      <c r="I181" s="140"/>
    </row>
    <row r="182" spans="1:9" x14ac:dyDescent="0.25">
      <c r="A182" s="133"/>
      <c r="B182" s="139"/>
      <c r="C182" s="135"/>
      <c r="D182" s="135"/>
      <c r="E182" s="137"/>
      <c r="F182" s="134"/>
      <c r="G182" s="135"/>
      <c r="H182" s="138"/>
      <c r="I182" s="140"/>
    </row>
    <row r="183" spans="1:9" x14ac:dyDescent="0.25">
      <c r="A183" s="133"/>
      <c r="B183" s="139"/>
      <c r="C183" s="135"/>
      <c r="D183" s="135"/>
      <c r="E183" s="137"/>
      <c r="F183" s="134"/>
      <c r="G183" s="135"/>
      <c r="H183" s="138"/>
      <c r="I183" s="140"/>
    </row>
    <row r="184" spans="1:9" x14ac:dyDescent="0.25">
      <c r="A184" s="150"/>
      <c r="B184" s="134"/>
      <c r="C184" s="135"/>
      <c r="D184" s="135"/>
      <c r="E184" s="137"/>
      <c r="F184" s="134"/>
      <c r="G184" s="135"/>
      <c r="H184" s="138"/>
      <c r="I184" s="140"/>
    </row>
    <row r="185" spans="1:9" x14ac:dyDescent="0.25">
      <c r="A185" s="150"/>
      <c r="B185" s="139"/>
      <c r="C185" s="135"/>
      <c r="D185" s="135"/>
      <c r="E185" s="137"/>
      <c r="F185" s="134"/>
      <c r="G185" s="135"/>
      <c r="H185" s="138"/>
      <c r="I185" s="140"/>
    </row>
    <row r="186" spans="1:9" x14ac:dyDescent="0.25">
      <c r="A186" s="150"/>
      <c r="B186" s="139"/>
      <c r="C186" s="135"/>
      <c r="D186" s="135"/>
      <c r="E186" s="137"/>
      <c r="F186" s="134"/>
      <c r="G186" s="135"/>
      <c r="H186" s="138"/>
      <c r="I186" s="140"/>
    </row>
    <row r="187" spans="1:9" x14ac:dyDescent="0.25">
      <c r="A187" s="133"/>
      <c r="B187" s="139"/>
      <c r="C187" s="135"/>
      <c r="D187" s="135"/>
      <c r="E187" s="137"/>
      <c r="F187" s="134"/>
      <c r="G187" s="135"/>
      <c r="H187" s="138"/>
      <c r="I187" s="140"/>
    </row>
    <row r="188" spans="1:9" x14ac:dyDescent="0.25">
      <c r="A188" s="133"/>
      <c r="B188" s="139"/>
      <c r="C188" s="135"/>
      <c r="D188" s="135"/>
      <c r="E188" s="137"/>
      <c r="F188" s="134"/>
      <c r="G188" s="135"/>
      <c r="H188" s="138"/>
      <c r="I188" s="140"/>
    </row>
    <row r="189" spans="1:9" x14ac:dyDescent="0.25">
      <c r="A189" s="133"/>
      <c r="B189" s="139"/>
      <c r="C189" s="135"/>
      <c r="D189" s="135"/>
      <c r="E189" s="137"/>
      <c r="F189" s="134"/>
      <c r="G189" s="135"/>
      <c r="H189" s="138"/>
      <c r="I189" s="140"/>
    </row>
    <row r="190" spans="1:9" x14ac:dyDescent="0.25">
      <c r="A190" s="133"/>
      <c r="B190" s="134"/>
      <c r="C190" s="135"/>
      <c r="D190" s="135"/>
      <c r="E190" s="137"/>
      <c r="F190" s="134"/>
      <c r="G190" s="135"/>
      <c r="H190" s="138"/>
      <c r="I190" s="140"/>
    </row>
    <row r="191" spans="1:9" x14ac:dyDescent="0.25">
      <c r="A191" s="133"/>
      <c r="B191" s="139"/>
      <c r="C191" s="135"/>
      <c r="D191" s="135"/>
      <c r="E191" s="137"/>
      <c r="F191" s="134"/>
      <c r="G191" s="135"/>
      <c r="H191" s="138"/>
      <c r="I191" s="140"/>
    </row>
    <row r="192" spans="1:9" x14ac:dyDescent="0.25">
      <c r="A192" s="133"/>
      <c r="B192" s="139"/>
      <c r="C192" s="135"/>
      <c r="D192" s="135"/>
      <c r="E192" s="137"/>
      <c r="F192" s="134"/>
      <c r="G192" s="135"/>
      <c r="H192" s="138"/>
      <c r="I192" s="140"/>
    </row>
    <row r="193" spans="1:9" x14ac:dyDescent="0.25">
      <c r="A193" s="133"/>
      <c r="B193" s="139"/>
      <c r="C193" s="135"/>
      <c r="D193" s="135"/>
      <c r="E193" s="137"/>
      <c r="F193" s="134"/>
      <c r="G193" s="135"/>
      <c r="H193" s="138"/>
      <c r="I193" s="140"/>
    </row>
    <row r="194" spans="1:9" x14ac:dyDescent="0.25">
      <c r="A194" s="133"/>
      <c r="B194" s="139"/>
      <c r="C194" s="135"/>
      <c r="D194" s="135"/>
      <c r="E194" s="137"/>
      <c r="F194" s="134"/>
      <c r="G194" s="135"/>
      <c r="H194" s="138"/>
      <c r="I194" s="140"/>
    </row>
    <row r="195" spans="1:9" x14ac:dyDescent="0.25">
      <c r="A195" s="133"/>
      <c r="B195" s="139"/>
      <c r="C195" s="135"/>
      <c r="D195" s="135"/>
      <c r="E195" s="137"/>
      <c r="F195" s="134"/>
      <c r="G195" s="135"/>
      <c r="H195" s="138"/>
      <c r="I195" s="140"/>
    </row>
    <row r="196" spans="1:9" x14ac:dyDescent="0.25">
      <c r="A196" s="133"/>
      <c r="B196" s="139"/>
      <c r="C196" s="135"/>
      <c r="D196" s="135"/>
      <c r="E196" s="137"/>
      <c r="F196" s="134"/>
      <c r="G196" s="135"/>
      <c r="H196" s="138"/>
      <c r="I196" s="140"/>
    </row>
    <row r="197" spans="1:9" x14ac:dyDescent="0.25">
      <c r="A197" s="133"/>
      <c r="B197" s="139"/>
      <c r="C197" s="135"/>
      <c r="D197" s="135"/>
      <c r="E197" s="137"/>
      <c r="F197" s="134"/>
      <c r="G197" s="135"/>
      <c r="H197" s="138"/>
      <c r="I197" s="140"/>
    </row>
    <row r="198" spans="1:9" x14ac:dyDescent="0.25">
      <c r="A198" s="133"/>
      <c r="B198" s="139"/>
      <c r="C198" s="135"/>
      <c r="D198" s="135"/>
      <c r="E198" s="137"/>
      <c r="F198" s="134"/>
      <c r="G198" s="135"/>
      <c r="H198" s="138"/>
      <c r="I198" s="140"/>
    </row>
    <row r="199" spans="1:9" x14ac:dyDescent="0.25">
      <c r="A199" s="133"/>
      <c r="B199" s="139"/>
      <c r="C199" s="135"/>
      <c r="D199" s="135"/>
      <c r="E199" s="137"/>
      <c r="F199" s="134"/>
      <c r="G199" s="135"/>
      <c r="H199" s="138"/>
      <c r="I199" s="140"/>
    </row>
    <row r="200" spans="1:9" x14ac:dyDescent="0.25">
      <c r="A200" s="133"/>
      <c r="B200" s="139"/>
      <c r="C200" s="135"/>
      <c r="D200" s="135"/>
      <c r="E200" s="137"/>
      <c r="F200" s="134"/>
      <c r="G200" s="135"/>
      <c r="H200" s="138"/>
      <c r="I200" s="140"/>
    </row>
    <row r="201" spans="1:9" x14ac:dyDescent="0.25">
      <c r="A201" s="133"/>
      <c r="B201" s="139"/>
      <c r="C201" s="135"/>
      <c r="D201" s="135"/>
      <c r="E201" s="137"/>
      <c r="F201" s="134"/>
      <c r="G201" s="135"/>
      <c r="H201" s="138"/>
      <c r="I201" s="140"/>
    </row>
    <row r="202" spans="1:9" x14ac:dyDescent="0.25">
      <c r="A202" s="133"/>
      <c r="B202" s="139"/>
      <c r="C202" s="135"/>
      <c r="D202" s="135"/>
      <c r="E202" s="137"/>
      <c r="F202" s="134"/>
      <c r="G202" s="135"/>
      <c r="H202" s="138"/>
      <c r="I202" s="140"/>
    </row>
    <row r="203" spans="1:9" x14ac:dyDescent="0.25">
      <c r="A203" s="133"/>
      <c r="B203" s="139"/>
      <c r="C203" s="135"/>
      <c r="D203" s="135"/>
      <c r="E203" s="137"/>
      <c r="F203" s="134"/>
      <c r="G203" s="135"/>
      <c r="H203" s="138"/>
      <c r="I203" s="140"/>
    </row>
    <row r="204" spans="1:9" x14ac:dyDescent="0.25">
      <c r="A204" s="133"/>
      <c r="B204" s="139"/>
      <c r="C204" s="135"/>
      <c r="D204" s="135"/>
      <c r="E204" s="137"/>
      <c r="F204" s="134"/>
      <c r="G204" s="135"/>
      <c r="H204" s="138"/>
      <c r="I204" s="140"/>
    </row>
    <row r="205" spans="1:9" x14ac:dyDescent="0.25">
      <c r="A205" s="133"/>
      <c r="B205" s="139"/>
      <c r="C205" s="135"/>
      <c r="D205" s="135"/>
      <c r="E205" s="137"/>
      <c r="F205" s="134"/>
      <c r="G205" s="135"/>
      <c r="H205" s="138"/>
      <c r="I205" s="140"/>
    </row>
    <row r="206" spans="1:9" x14ac:dyDescent="0.25">
      <c r="A206" s="133"/>
      <c r="B206" s="139"/>
      <c r="C206" s="135"/>
      <c r="D206" s="135"/>
      <c r="E206" s="137"/>
      <c r="F206" s="134"/>
      <c r="G206" s="135"/>
      <c r="H206" s="138"/>
      <c r="I206" s="140"/>
    </row>
    <row r="207" spans="1:9" x14ac:dyDescent="0.25">
      <c r="A207" s="133"/>
      <c r="B207" s="134"/>
      <c r="C207" s="135"/>
      <c r="D207" s="135"/>
      <c r="E207" s="137"/>
      <c r="F207" s="134"/>
      <c r="G207" s="135"/>
      <c r="H207" s="138"/>
      <c r="I207" s="140"/>
    </row>
    <row r="208" spans="1:9" x14ac:dyDescent="0.25">
      <c r="A208" s="133"/>
      <c r="B208" s="134"/>
      <c r="C208" s="135"/>
      <c r="D208" s="135"/>
      <c r="E208" s="137"/>
      <c r="F208" s="134"/>
      <c r="G208" s="135"/>
      <c r="H208" s="138"/>
      <c r="I208" s="140"/>
    </row>
    <row r="209" spans="1:9" x14ac:dyDescent="0.25">
      <c r="A209" s="133"/>
      <c r="B209" s="139"/>
      <c r="C209" s="135"/>
      <c r="D209" s="135"/>
      <c r="E209" s="137"/>
      <c r="F209" s="134"/>
      <c r="G209" s="135"/>
      <c r="H209" s="138"/>
      <c r="I209" s="140"/>
    </row>
    <row r="210" spans="1:9" x14ac:dyDescent="0.25">
      <c r="A210" s="133"/>
      <c r="B210" s="134"/>
      <c r="C210" s="135"/>
      <c r="D210" s="135"/>
      <c r="E210" s="137"/>
      <c r="F210" s="134"/>
      <c r="G210" s="135"/>
      <c r="H210" s="138"/>
      <c r="I210" s="140"/>
    </row>
    <row r="211" spans="1:9" x14ac:dyDescent="0.25">
      <c r="A211" s="133"/>
      <c r="B211" s="139"/>
      <c r="C211" s="135"/>
      <c r="D211" s="135"/>
      <c r="E211" s="137"/>
      <c r="F211" s="134"/>
      <c r="G211" s="135"/>
      <c r="H211" s="138"/>
      <c r="I211" s="140"/>
    </row>
    <row r="212" spans="1:9" x14ac:dyDescent="0.25">
      <c r="A212" s="133"/>
      <c r="B212" s="139"/>
      <c r="C212" s="135"/>
      <c r="D212" s="135"/>
      <c r="E212" s="137"/>
      <c r="F212" s="134"/>
      <c r="G212" s="135"/>
      <c r="H212" s="138"/>
      <c r="I212" s="140"/>
    </row>
    <row r="213" spans="1:9" x14ac:dyDescent="0.25">
      <c r="A213" s="133"/>
      <c r="B213" s="139"/>
      <c r="C213" s="135"/>
      <c r="D213" s="135"/>
      <c r="E213" s="137"/>
      <c r="F213" s="134"/>
      <c r="G213" s="135"/>
      <c r="H213" s="138"/>
      <c r="I213" s="140"/>
    </row>
    <row r="214" spans="1:9" x14ac:dyDescent="0.25">
      <c r="A214" s="133"/>
      <c r="B214" s="139"/>
      <c r="C214" s="135"/>
      <c r="D214" s="135"/>
      <c r="E214" s="137"/>
      <c r="F214" s="134"/>
      <c r="G214" s="135"/>
      <c r="H214" s="138"/>
      <c r="I214" s="140"/>
    </row>
    <row r="215" spans="1:9" x14ac:dyDescent="0.25">
      <c r="A215" s="133"/>
      <c r="B215" s="139"/>
      <c r="C215" s="135"/>
      <c r="D215" s="135"/>
      <c r="E215" s="137"/>
      <c r="F215" s="134"/>
      <c r="G215" s="135"/>
      <c r="H215" s="138"/>
      <c r="I215" s="140"/>
    </row>
    <row r="216" spans="1:9" x14ac:dyDescent="0.25">
      <c r="A216" s="133"/>
      <c r="B216" s="139"/>
      <c r="C216" s="135"/>
      <c r="D216" s="135"/>
      <c r="E216" s="137"/>
      <c r="F216" s="134"/>
      <c r="G216" s="135"/>
      <c r="H216" s="138"/>
      <c r="I216" s="140"/>
    </row>
    <row r="217" spans="1:9" x14ac:dyDescent="0.25">
      <c r="A217" s="133"/>
      <c r="B217" s="139"/>
      <c r="C217" s="135"/>
      <c r="D217" s="135"/>
      <c r="E217" s="137"/>
      <c r="F217" s="134"/>
      <c r="G217" s="135"/>
      <c r="H217" s="138"/>
      <c r="I217" s="140"/>
    </row>
    <row r="218" spans="1:9" x14ac:dyDescent="0.25">
      <c r="A218" s="133"/>
      <c r="B218" s="139"/>
      <c r="C218" s="135"/>
      <c r="D218" s="135"/>
      <c r="E218" s="137"/>
      <c r="F218" s="134"/>
      <c r="G218" s="135"/>
      <c r="H218" s="138"/>
      <c r="I218" s="140"/>
    </row>
    <row r="219" spans="1:9" x14ac:dyDescent="0.25">
      <c r="A219" s="133"/>
      <c r="B219" s="139"/>
      <c r="C219" s="135"/>
      <c r="D219" s="135"/>
      <c r="E219" s="137"/>
      <c r="F219" s="134"/>
      <c r="G219" s="135"/>
      <c r="H219" s="138"/>
      <c r="I219" s="140"/>
    </row>
    <row r="220" spans="1:9" x14ac:dyDescent="0.25">
      <c r="A220" s="133"/>
      <c r="B220" s="139"/>
      <c r="C220" s="135"/>
      <c r="D220" s="135"/>
      <c r="E220" s="137"/>
      <c r="F220" s="134"/>
      <c r="G220" s="135"/>
      <c r="H220" s="138"/>
      <c r="I220" s="140"/>
    </row>
    <row r="221" spans="1:9" x14ac:dyDescent="0.25">
      <c r="A221" s="133"/>
      <c r="B221" s="139"/>
      <c r="C221" s="135"/>
      <c r="D221" s="135"/>
      <c r="E221" s="137"/>
      <c r="F221" s="134"/>
      <c r="G221" s="135"/>
      <c r="H221" s="138"/>
      <c r="I221" s="140"/>
    </row>
    <row r="222" spans="1:9" x14ac:dyDescent="0.25">
      <c r="A222" s="133"/>
      <c r="B222" s="139"/>
      <c r="C222" s="135"/>
      <c r="D222" s="135"/>
      <c r="E222" s="137"/>
      <c r="F222" s="134"/>
      <c r="G222" s="135"/>
      <c r="H222" s="138"/>
      <c r="I222" s="140"/>
    </row>
    <row r="223" spans="1:9" x14ac:dyDescent="0.25">
      <c r="A223" s="133"/>
      <c r="B223" s="139"/>
      <c r="C223" s="135"/>
      <c r="D223" s="135"/>
      <c r="E223" s="137"/>
      <c r="F223" s="134"/>
      <c r="G223" s="135"/>
      <c r="H223" s="138"/>
      <c r="I223" s="140"/>
    </row>
    <row r="224" spans="1:9" x14ac:dyDescent="0.25">
      <c r="A224" s="133"/>
      <c r="B224" s="139"/>
      <c r="C224" s="135"/>
      <c r="D224" s="135"/>
      <c r="E224" s="137"/>
      <c r="F224" s="134"/>
      <c r="G224" s="135"/>
      <c r="H224" s="138"/>
      <c r="I224" s="140"/>
    </row>
    <row r="225" spans="1:9" x14ac:dyDescent="0.25">
      <c r="A225" s="133"/>
      <c r="B225" s="134"/>
      <c r="C225" s="135"/>
      <c r="D225" s="135"/>
      <c r="E225" s="137"/>
      <c r="F225" s="134"/>
      <c r="G225" s="135"/>
      <c r="H225" s="138"/>
      <c r="I225" s="140"/>
    </row>
    <row r="226" spans="1:9" x14ac:dyDescent="0.25">
      <c r="A226" s="133"/>
      <c r="B226" s="134"/>
      <c r="C226" s="135"/>
      <c r="D226" s="135"/>
      <c r="E226" s="137"/>
      <c r="F226" s="134"/>
      <c r="G226" s="135"/>
      <c r="H226" s="138"/>
      <c r="I226" s="140"/>
    </row>
    <row r="227" spans="1:9" x14ac:dyDescent="0.25">
      <c r="A227" s="133"/>
      <c r="B227" s="134"/>
      <c r="C227" s="135"/>
      <c r="D227" s="135"/>
      <c r="E227" s="137"/>
      <c r="F227" s="134"/>
      <c r="G227" s="135"/>
      <c r="H227" s="138"/>
      <c r="I227" s="140"/>
    </row>
    <row r="228" spans="1:9" x14ac:dyDescent="0.25">
      <c r="A228" s="133"/>
      <c r="B228" s="134"/>
      <c r="C228" s="135"/>
      <c r="D228" s="135"/>
      <c r="E228" s="137"/>
      <c r="F228" s="134"/>
      <c r="G228" s="135"/>
      <c r="H228" s="138"/>
      <c r="I228" s="140"/>
    </row>
    <row r="229" spans="1:9" x14ac:dyDescent="0.25">
      <c r="A229" s="133"/>
      <c r="B229" s="134"/>
      <c r="C229" s="135"/>
      <c r="D229" s="137"/>
      <c r="E229" s="137"/>
      <c r="F229" s="134"/>
      <c r="G229" s="135"/>
      <c r="H229" s="138"/>
      <c r="I229" s="140"/>
    </row>
    <row r="230" spans="1:9" x14ac:dyDescent="0.25">
      <c r="A230" s="133"/>
      <c r="B230" s="139"/>
      <c r="C230" s="135"/>
      <c r="D230" s="135"/>
      <c r="E230" s="137"/>
      <c r="F230" s="134"/>
      <c r="G230" s="135"/>
      <c r="H230" s="137"/>
      <c r="I230" s="140"/>
    </row>
    <row r="231" spans="1:9" x14ac:dyDescent="0.25">
      <c r="A231" s="133"/>
      <c r="B231" s="134"/>
      <c r="C231" s="135"/>
      <c r="D231" s="135"/>
      <c r="E231" s="137"/>
      <c r="F231" s="134"/>
      <c r="G231" s="135"/>
      <c r="H231" s="137"/>
      <c r="I231" s="140"/>
    </row>
    <row r="232" spans="1:9" x14ac:dyDescent="0.25">
      <c r="A232" s="133"/>
      <c r="B232" s="139"/>
      <c r="C232" s="135"/>
      <c r="D232" s="135"/>
      <c r="E232" s="137"/>
      <c r="F232" s="134"/>
      <c r="G232" s="135"/>
      <c r="H232" s="138"/>
      <c r="I232" s="140"/>
    </row>
    <row r="233" spans="1:9" x14ac:dyDescent="0.25">
      <c r="A233" s="133"/>
      <c r="B233" s="139"/>
      <c r="C233" s="135"/>
      <c r="D233" s="135"/>
      <c r="E233" s="137"/>
      <c r="F233" s="134"/>
      <c r="G233" s="135"/>
      <c r="H233" s="138"/>
      <c r="I233" s="140"/>
    </row>
    <row r="234" spans="1:9" x14ac:dyDescent="0.25">
      <c r="A234" s="133"/>
      <c r="B234" s="139"/>
      <c r="C234" s="135"/>
      <c r="D234" s="135"/>
      <c r="E234" s="137"/>
      <c r="F234" s="134"/>
      <c r="G234" s="135"/>
      <c r="H234" s="138"/>
      <c r="I234" s="140"/>
    </row>
    <row r="235" spans="1:9" x14ac:dyDescent="0.25">
      <c r="A235" s="133"/>
      <c r="B235" s="139"/>
      <c r="C235" s="135"/>
      <c r="D235" s="135"/>
      <c r="E235" s="137"/>
      <c r="F235" s="134"/>
      <c r="G235" s="135"/>
      <c r="H235" s="138"/>
      <c r="I235" s="140"/>
    </row>
    <row r="236" spans="1:9" x14ac:dyDescent="0.25">
      <c r="A236" s="133"/>
      <c r="B236" s="139"/>
      <c r="C236" s="135"/>
      <c r="D236" s="135"/>
      <c r="E236" s="137"/>
      <c r="F236" s="134"/>
      <c r="G236" s="135"/>
      <c r="H236" s="138"/>
      <c r="I236" s="140"/>
    </row>
    <row r="237" spans="1:9" x14ac:dyDescent="0.25">
      <c r="A237" s="133"/>
      <c r="B237" s="134"/>
      <c r="C237" s="135"/>
      <c r="D237" s="135"/>
      <c r="E237" s="137"/>
      <c r="F237" s="134"/>
      <c r="G237" s="135"/>
      <c r="H237" s="138"/>
      <c r="I237" s="140"/>
    </row>
    <row r="238" spans="1:9" x14ac:dyDescent="0.25">
      <c r="A238" s="133"/>
      <c r="B238" s="134"/>
      <c r="C238" s="135"/>
      <c r="D238" s="135"/>
      <c r="E238" s="137"/>
      <c r="F238" s="134"/>
      <c r="G238" s="135"/>
      <c r="H238" s="138"/>
      <c r="I238" s="140"/>
    </row>
    <row r="239" spans="1:9" x14ac:dyDescent="0.25">
      <c r="A239" s="133"/>
      <c r="B239" s="139"/>
      <c r="C239" s="135"/>
      <c r="D239" s="135"/>
      <c r="E239" s="137"/>
      <c r="F239" s="134"/>
      <c r="G239" s="135"/>
      <c r="H239" s="138"/>
      <c r="I239" s="140"/>
    </row>
    <row r="240" spans="1:9" x14ac:dyDescent="0.25">
      <c r="A240" s="133"/>
      <c r="B240" s="139"/>
      <c r="C240" s="135"/>
      <c r="D240" s="135"/>
      <c r="E240" s="137"/>
      <c r="F240" s="134"/>
      <c r="G240" s="135"/>
      <c r="H240" s="138"/>
      <c r="I240" s="140"/>
    </row>
    <row r="241" spans="1:9" x14ac:dyDescent="0.25">
      <c r="A241" s="133"/>
      <c r="B241" s="139"/>
      <c r="C241" s="135"/>
      <c r="D241" s="135"/>
      <c r="E241" s="137"/>
      <c r="F241" s="134"/>
      <c r="G241" s="135"/>
      <c r="H241" s="138"/>
      <c r="I241" s="140"/>
    </row>
    <row r="242" spans="1:9" x14ac:dyDescent="0.25">
      <c r="A242" s="133"/>
      <c r="B242" s="139"/>
      <c r="C242" s="135"/>
      <c r="D242" s="135"/>
      <c r="E242" s="137"/>
      <c r="F242" s="134"/>
      <c r="G242" s="135"/>
      <c r="H242" s="138"/>
      <c r="I242" s="140"/>
    </row>
    <row r="243" spans="1:9" x14ac:dyDescent="0.25">
      <c r="A243" s="133"/>
      <c r="B243" s="139"/>
      <c r="C243" s="135"/>
      <c r="D243" s="135"/>
      <c r="E243" s="137"/>
      <c r="F243" s="134"/>
      <c r="G243" s="135"/>
      <c r="H243" s="138"/>
      <c r="I243" s="140"/>
    </row>
    <row r="244" spans="1:9" x14ac:dyDescent="0.25">
      <c r="A244" s="133"/>
      <c r="B244" s="139"/>
      <c r="C244" s="135"/>
      <c r="D244" s="135"/>
      <c r="E244" s="137"/>
      <c r="F244" s="134"/>
      <c r="G244" s="135"/>
      <c r="H244" s="138"/>
      <c r="I244" s="140"/>
    </row>
    <row r="245" spans="1:9" x14ac:dyDescent="0.25">
      <c r="A245" s="133"/>
      <c r="B245" s="139"/>
      <c r="C245" s="135"/>
      <c r="D245" s="135"/>
      <c r="E245" s="137"/>
      <c r="F245" s="134"/>
      <c r="G245" s="135"/>
      <c r="H245" s="138"/>
      <c r="I245" s="140"/>
    </row>
    <row r="246" spans="1:9" x14ac:dyDescent="0.25">
      <c r="A246" s="133"/>
      <c r="B246" s="139"/>
      <c r="C246" s="135"/>
      <c r="D246" s="135"/>
      <c r="E246" s="137"/>
      <c r="F246" s="134"/>
      <c r="G246" s="135"/>
      <c r="H246" s="138"/>
      <c r="I246" s="140"/>
    </row>
    <row r="247" spans="1:9" x14ac:dyDescent="0.25">
      <c r="A247" s="133"/>
      <c r="B247" s="139"/>
      <c r="C247" s="135"/>
      <c r="D247" s="135"/>
      <c r="E247" s="137"/>
      <c r="F247" s="134"/>
      <c r="G247" s="135"/>
      <c r="H247" s="138"/>
      <c r="I247" s="140"/>
    </row>
    <row r="248" spans="1:9" x14ac:dyDescent="0.25">
      <c r="A248" s="133"/>
      <c r="B248" s="139"/>
      <c r="C248" s="135"/>
      <c r="D248" s="135"/>
      <c r="E248" s="137"/>
      <c r="F248" s="134"/>
      <c r="G248" s="135"/>
      <c r="H248" s="138"/>
      <c r="I248" s="140"/>
    </row>
    <row r="249" spans="1:9" x14ac:dyDescent="0.25">
      <c r="A249" s="133"/>
      <c r="B249" s="139"/>
      <c r="C249" s="135"/>
      <c r="D249" s="135"/>
      <c r="E249" s="137"/>
      <c r="F249" s="134"/>
      <c r="G249" s="135"/>
      <c r="H249" s="138"/>
      <c r="I249" s="140"/>
    </row>
    <row r="250" spans="1:9" x14ac:dyDescent="0.25">
      <c r="A250" s="133"/>
      <c r="B250" s="139"/>
      <c r="C250" s="135"/>
      <c r="D250" s="135"/>
      <c r="E250" s="137"/>
      <c r="F250" s="134"/>
      <c r="G250" s="135"/>
      <c r="H250" s="138"/>
      <c r="I250" s="140"/>
    </row>
    <row r="251" spans="1:9" x14ac:dyDescent="0.25">
      <c r="A251" s="133"/>
      <c r="B251" s="139"/>
      <c r="C251" s="135"/>
      <c r="D251" s="135"/>
      <c r="E251" s="137"/>
      <c r="F251" s="134"/>
      <c r="G251" s="135"/>
      <c r="H251" s="138"/>
      <c r="I251" s="140"/>
    </row>
    <row r="252" spans="1:9" x14ac:dyDescent="0.25">
      <c r="A252" s="133"/>
      <c r="B252" s="139"/>
      <c r="C252" s="135"/>
      <c r="D252" s="135"/>
      <c r="E252" s="137"/>
      <c r="F252" s="134"/>
      <c r="G252" s="135"/>
      <c r="H252" s="138"/>
      <c r="I252" s="140"/>
    </row>
    <row r="253" spans="1:9" x14ac:dyDescent="0.25">
      <c r="A253" s="133"/>
      <c r="B253" s="139"/>
      <c r="C253" s="135"/>
      <c r="D253" s="135"/>
      <c r="E253" s="137"/>
      <c r="F253" s="134"/>
      <c r="G253" s="135"/>
      <c r="H253" s="138"/>
      <c r="I253" s="140"/>
    </row>
    <row r="254" spans="1:9" x14ac:dyDescent="0.25">
      <c r="A254" s="133"/>
      <c r="B254" s="134"/>
      <c r="C254" s="135"/>
      <c r="D254" s="135"/>
      <c r="E254" s="137"/>
      <c r="F254" s="134"/>
      <c r="G254" s="135"/>
      <c r="H254" s="138"/>
      <c r="I254" s="140"/>
    </row>
    <row r="255" spans="1:9" x14ac:dyDescent="0.25">
      <c r="A255" s="133"/>
      <c r="B255" s="139"/>
      <c r="C255" s="135"/>
      <c r="D255" s="135"/>
      <c r="E255" s="137"/>
      <c r="F255" s="134"/>
      <c r="G255" s="135"/>
      <c r="H255" s="138"/>
      <c r="I255" s="140"/>
    </row>
    <row r="256" spans="1:9" x14ac:dyDescent="0.25">
      <c r="A256" s="133"/>
      <c r="B256" s="139"/>
      <c r="C256" s="135"/>
      <c r="D256" s="135"/>
      <c r="E256" s="137"/>
      <c r="F256" s="134"/>
      <c r="G256" s="135"/>
      <c r="H256" s="138"/>
      <c r="I256" s="140"/>
    </row>
    <row r="257" spans="1:9" x14ac:dyDescent="0.25">
      <c r="A257" s="133"/>
      <c r="B257" s="139"/>
      <c r="C257" s="135"/>
      <c r="D257" s="135"/>
      <c r="E257" s="137"/>
      <c r="F257" s="134"/>
      <c r="G257" s="135"/>
      <c r="H257" s="138"/>
      <c r="I257" s="140"/>
    </row>
    <row r="258" spans="1:9" x14ac:dyDescent="0.25">
      <c r="A258" s="133"/>
      <c r="B258" s="139"/>
      <c r="C258" s="135"/>
      <c r="D258" s="135"/>
      <c r="E258" s="137"/>
      <c r="F258" s="134"/>
      <c r="G258" s="135"/>
      <c r="H258" s="138"/>
      <c r="I258" s="140"/>
    </row>
    <row r="259" spans="1:9" x14ac:dyDescent="0.25">
      <c r="A259" s="133"/>
      <c r="B259" s="134"/>
      <c r="C259" s="135"/>
      <c r="D259" s="135"/>
      <c r="E259" s="137"/>
      <c r="F259" s="134"/>
      <c r="G259" s="135"/>
      <c r="H259" s="138"/>
      <c r="I259" s="140"/>
    </row>
    <row r="260" spans="1:9" x14ac:dyDescent="0.25">
      <c r="A260" s="133"/>
      <c r="B260" s="134"/>
      <c r="C260" s="135"/>
      <c r="D260" s="135"/>
      <c r="E260" s="137"/>
      <c r="F260" s="134"/>
      <c r="G260" s="135"/>
      <c r="H260" s="138"/>
      <c r="I260" s="140"/>
    </row>
    <row r="261" spans="1:9" x14ac:dyDescent="0.25">
      <c r="A261" s="133"/>
      <c r="B261" s="139"/>
      <c r="C261" s="135"/>
      <c r="D261" s="135"/>
      <c r="E261" s="137"/>
      <c r="F261" s="134"/>
      <c r="G261" s="135"/>
      <c r="H261" s="138"/>
      <c r="I261" s="140"/>
    </row>
    <row r="262" spans="1:9" x14ac:dyDescent="0.25">
      <c r="A262" s="133"/>
      <c r="B262" s="139"/>
      <c r="C262" s="135"/>
      <c r="D262" s="135"/>
      <c r="E262" s="137"/>
      <c r="F262" s="134"/>
      <c r="G262" s="135"/>
      <c r="H262" s="138"/>
      <c r="I262" s="140"/>
    </row>
    <row r="263" spans="1:9" x14ac:dyDescent="0.25">
      <c r="A263" s="133"/>
      <c r="B263" s="139"/>
      <c r="C263" s="135"/>
      <c r="D263" s="135"/>
      <c r="E263" s="137"/>
      <c r="F263" s="134"/>
      <c r="G263" s="135"/>
      <c r="H263" s="138"/>
      <c r="I263" s="140"/>
    </row>
    <row r="264" spans="1:9" x14ac:dyDescent="0.25">
      <c r="A264" s="133"/>
      <c r="B264" s="134"/>
      <c r="C264" s="135"/>
      <c r="D264" s="135"/>
      <c r="E264" s="137"/>
      <c r="F264" s="133"/>
      <c r="G264" s="135"/>
      <c r="H264" s="138"/>
      <c r="I264" s="140"/>
    </row>
    <row r="265" spans="1:9" x14ac:dyDescent="0.25">
      <c r="A265" s="133"/>
      <c r="B265" s="139"/>
      <c r="C265" s="135"/>
      <c r="D265" s="135"/>
      <c r="E265" s="137"/>
      <c r="F265" s="134"/>
      <c r="G265" s="135"/>
      <c r="H265" s="138"/>
      <c r="I265" s="140"/>
    </row>
    <row r="266" spans="1:9" x14ac:dyDescent="0.25">
      <c r="A266" s="133"/>
      <c r="B266" s="139"/>
      <c r="C266" s="135"/>
      <c r="D266" s="135"/>
      <c r="E266" s="137"/>
      <c r="F266" s="134"/>
      <c r="G266" s="135"/>
      <c r="H266" s="138"/>
      <c r="I266" s="140"/>
    </row>
    <row r="267" spans="1:9" x14ac:dyDescent="0.25">
      <c r="A267" s="133"/>
      <c r="B267" s="139"/>
      <c r="C267" s="135"/>
      <c r="D267" s="135"/>
      <c r="E267" s="137"/>
      <c r="F267" s="134"/>
      <c r="G267" s="135"/>
      <c r="H267" s="138"/>
      <c r="I267" s="140"/>
    </row>
    <row r="268" spans="1:9" x14ac:dyDescent="0.25">
      <c r="A268" s="133"/>
      <c r="B268" s="139"/>
      <c r="C268" s="135"/>
      <c r="D268" s="135"/>
      <c r="E268" s="137"/>
      <c r="F268" s="134"/>
      <c r="G268" s="135"/>
      <c r="H268" s="138"/>
      <c r="I268" s="140"/>
    </row>
    <row r="269" spans="1:9" x14ac:dyDescent="0.25">
      <c r="A269" s="133"/>
      <c r="B269" s="134"/>
      <c r="C269" s="135"/>
      <c r="D269" s="135"/>
      <c r="E269" s="137"/>
      <c r="F269" s="134"/>
      <c r="G269" s="135"/>
      <c r="H269" s="138"/>
      <c r="I269" s="140"/>
    </row>
    <row r="270" spans="1:9" x14ac:dyDescent="0.25">
      <c r="A270" s="133"/>
      <c r="B270" s="134"/>
      <c r="C270" s="135"/>
      <c r="D270" s="135"/>
      <c r="E270" s="137"/>
      <c r="F270" s="134"/>
      <c r="G270" s="135"/>
      <c r="H270" s="138"/>
      <c r="I270" s="140"/>
    </row>
    <row r="271" spans="1:9" x14ac:dyDescent="0.25">
      <c r="A271" s="133"/>
      <c r="B271" s="134"/>
      <c r="C271" s="135"/>
      <c r="D271" s="135"/>
      <c r="E271" s="137"/>
      <c r="F271" s="134"/>
      <c r="G271" s="135"/>
      <c r="H271" s="138"/>
      <c r="I271" s="140"/>
    </row>
    <row r="272" spans="1:9" x14ac:dyDescent="0.25">
      <c r="A272" s="133"/>
      <c r="B272" s="139"/>
      <c r="C272" s="135"/>
      <c r="D272" s="135"/>
      <c r="E272" s="137"/>
      <c r="F272" s="134"/>
      <c r="G272" s="135"/>
      <c r="H272" s="138"/>
      <c r="I272" s="140"/>
    </row>
    <row r="273" spans="1:9" x14ac:dyDescent="0.25">
      <c r="A273" s="133"/>
      <c r="B273" s="139"/>
      <c r="C273" s="135"/>
      <c r="D273" s="135"/>
      <c r="E273" s="137"/>
      <c r="F273" s="134"/>
      <c r="G273" s="135"/>
      <c r="H273" s="138"/>
      <c r="I273" s="140"/>
    </row>
    <row r="274" spans="1:9" x14ac:dyDescent="0.25">
      <c r="A274" s="133"/>
      <c r="B274" s="139"/>
      <c r="C274" s="135"/>
      <c r="D274" s="135"/>
      <c r="E274" s="137"/>
      <c r="F274" s="134"/>
      <c r="G274" s="135"/>
      <c r="H274" s="138"/>
      <c r="I274" s="140"/>
    </row>
    <row r="275" spans="1:9" x14ac:dyDescent="0.25">
      <c r="A275" s="133"/>
      <c r="B275" s="139"/>
      <c r="C275" s="135"/>
      <c r="D275" s="135"/>
      <c r="E275" s="137"/>
      <c r="F275" s="134"/>
      <c r="G275" s="135"/>
      <c r="H275" s="138"/>
      <c r="I275" s="140"/>
    </row>
    <row r="276" spans="1:9" x14ac:dyDescent="0.25">
      <c r="A276" s="133"/>
      <c r="B276" s="139"/>
      <c r="C276" s="135"/>
      <c r="D276" s="135"/>
      <c r="E276" s="137"/>
      <c r="F276" s="134"/>
      <c r="G276" s="135"/>
      <c r="H276" s="138"/>
      <c r="I276" s="140"/>
    </row>
    <row r="277" spans="1:9" x14ac:dyDescent="0.25">
      <c r="A277" s="133"/>
      <c r="B277" s="139"/>
      <c r="C277" s="135"/>
      <c r="D277" s="135"/>
      <c r="E277" s="137"/>
      <c r="F277" s="134"/>
      <c r="G277" s="135"/>
      <c r="H277" s="138"/>
      <c r="I277" s="140"/>
    </row>
    <row r="278" spans="1:9" x14ac:dyDescent="0.25">
      <c r="A278" s="133"/>
      <c r="B278" s="139"/>
      <c r="C278" s="135"/>
      <c r="D278" s="135"/>
      <c r="E278" s="137"/>
      <c r="F278" s="134"/>
      <c r="G278" s="135"/>
      <c r="H278" s="138"/>
      <c r="I278" s="140"/>
    </row>
    <row r="279" spans="1:9" x14ac:dyDescent="0.25">
      <c r="A279" s="133"/>
      <c r="B279" s="139"/>
      <c r="C279" s="135"/>
      <c r="D279" s="135"/>
      <c r="E279" s="137"/>
      <c r="F279" s="134"/>
      <c r="G279" s="135"/>
      <c r="H279" s="138"/>
      <c r="I279" s="140"/>
    </row>
    <row r="280" spans="1:9" x14ac:dyDescent="0.25">
      <c r="A280" s="133"/>
      <c r="B280" s="139"/>
      <c r="C280" s="135"/>
      <c r="D280" s="135"/>
      <c r="E280" s="137"/>
      <c r="F280" s="134"/>
      <c r="G280" s="135"/>
      <c r="H280" s="138"/>
      <c r="I280" s="140"/>
    </row>
    <row r="281" spans="1:9" x14ac:dyDescent="0.25">
      <c r="A281" s="133"/>
      <c r="B281" s="139"/>
      <c r="C281" s="135"/>
      <c r="D281" s="135"/>
      <c r="E281" s="137"/>
      <c r="F281" s="134"/>
      <c r="G281" s="135"/>
      <c r="H281" s="138"/>
      <c r="I281" s="140"/>
    </row>
    <row r="282" spans="1:9" x14ac:dyDescent="0.25">
      <c r="A282" s="133"/>
      <c r="B282" s="139"/>
      <c r="C282" s="135"/>
      <c r="D282" s="135"/>
      <c r="E282" s="137"/>
      <c r="F282" s="134"/>
      <c r="G282" s="135"/>
      <c r="H282" s="138"/>
      <c r="I282" s="140"/>
    </row>
    <row r="283" spans="1:9" x14ac:dyDescent="0.25">
      <c r="A283" s="133"/>
      <c r="B283" s="139"/>
      <c r="C283" s="135"/>
      <c r="D283" s="135"/>
      <c r="E283" s="137"/>
      <c r="F283" s="134"/>
      <c r="G283" s="135"/>
      <c r="H283" s="138"/>
      <c r="I283" s="140"/>
    </row>
    <row r="284" spans="1:9" x14ac:dyDescent="0.25">
      <c r="A284" s="133"/>
      <c r="B284" s="134"/>
      <c r="C284" s="135"/>
      <c r="D284" s="135"/>
      <c r="E284" s="137"/>
      <c r="F284" s="134"/>
      <c r="G284" s="135"/>
      <c r="H284" s="138"/>
      <c r="I284" s="140"/>
    </row>
    <row r="285" spans="1:9" x14ac:dyDescent="0.25">
      <c r="A285" s="133"/>
      <c r="B285" s="134"/>
      <c r="C285" s="135"/>
      <c r="D285" s="135"/>
      <c r="E285" s="137"/>
      <c r="F285" s="134"/>
      <c r="G285" s="135"/>
      <c r="H285" s="138"/>
      <c r="I285" s="140"/>
    </row>
    <row r="286" spans="1:9" x14ac:dyDescent="0.25">
      <c r="A286" s="133"/>
      <c r="B286" s="134"/>
      <c r="C286" s="135"/>
      <c r="D286" s="135"/>
      <c r="E286" s="137"/>
      <c r="F286" s="134"/>
      <c r="G286" s="135"/>
      <c r="H286" s="138"/>
      <c r="I286" s="140"/>
    </row>
    <row r="287" spans="1:9" x14ac:dyDescent="0.25">
      <c r="A287" s="133"/>
      <c r="B287" s="134"/>
      <c r="C287" s="135"/>
      <c r="D287" s="135"/>
      <c r="E287" s="137"/>
      <c r="F287" s="134"/>
      <c r="G287" s="135"/>
      <c r="H287" s="138"/>
      <c r="I287" s="140"/>
    </row>
    <row r="288" spans="1:9" x14ac:dyDescent="0.25">
      <c r="A288" s="133"/>
      <c r="B288" s="134"/>
      <c r="C288" s="135"/>
      <c r="D288" s="135"/>
      <c r="E288" s="137"/>
      <c r="F288" s="134"/>
      <c r="G288" s="135"/>
      <c r="H288" s="138"/>
      <c r="I288" s="140"/>
    </row>
    <row r="289" spans="1:9" x14ac:dyDescent="0.25">
      <c r="A289" s="133"/>
      <c r="B289" s="134"/>
      <c r="C289" s="135"/>
      <c r="D289" s="135"/>
      <c r="E289" s="137"/>
      <c r="F289" s="134"/>
      <c r="G289" s="135"/>
      <c r="H289" s="138"/>
      <c r="I289" s="140"/>
    </row>
    <row r="290" spans="1:9" x14ac:dyDescent="0.25">
      <c r="A290" s="133"/>
      <c r="B290" s="139"/>
      <c r="C290" s="135"/>
      <c r="D290" s="135"/>
      <c r="E290" s="137"/>
      <c r="F290" s="134"/>
      <c r="G290" s="135"/>
      <c r="H290" s="138"/>
      <c r="I290" s="140"/>
    </row>
    <row r="291" spans="1:9" x14ac:dyDescent="0.25">
      <c r="A291" s="133"/>
      <c r="B291" s="139"/>
      <c r="C291" s="135"/>
      <c r="D291" s="135"/>
      <c r="E291" s="137"/>
      <c r="F291" s="134"/>
      <c r="G291" s="135"/>
      <c r="H291" s="138"/>
      <c r="I291" s="140"/>
    </row>
    <row r="292" spans="1:9" x14ac:dyDescent="0.25">
      <c r="A292" s="133"/>
      <c r="B292" s="139"/>
      <c r="C292" s="135"/>
      <c r="D292" s="135"/>
      <c r="E292" s="137"/>
      <c r="F292" s="134"/>
      <c r="G292" s="135"/>
      <c r="H292" s="138"/>
      <c r="I292" s="140"/>
    </row>
    <row r="293" spans="1:9" x14ac:dyDescent="0.25">
      <c r="A293" s="133"/>
      <c r="B293" s="134"/>
      <c r="C293" s="135"/>
      <c r="D293" s="135"/>
      <c r="E293" s="137"/>
      <c r="F293" s="134"/>
      <c r="G293" s="135"/>
      <c r="H293" s="138"/>
      <c r="I293" s="140"/>
    </row>
    <row r="294" spans="1:9" x14ac:dyDescent="0.25">
      <c r="A294" s="133"/>
      <c r="B294" s="134"/>
      <c r="C294" s="135"/>
      <c r="D294" s="135"/>
      <c r="E294" s="137"/>
      <c r="F294" s="134"/>
      <c r="G294" s="135"/>
      <c r="H294" s="138"/>
      <c r="I294" s="140"/>
    </row>
    <row r="295" spans="1:9" x14ac:dyDescent="0.25">
      <c r="A295" s="133"/>
      <c r="B295" s="139"/>
      <c r="C295" s="135"/>
      <c r="D295" s="135"/>
      <c r="E295" s="137"/>
      <c r="F295" s="134"/>
      <c r="G295" s="135"/>
      <c r="H295" s="138"/>
      <c r="I295" s="140"/>
    </row>
    <row r="296" spans="1:9" x14ac:dyDescent="0.25">
      <c r="A296" s="133"/>
      <c r="B296" s="139"/>
      <c r="C296" s="135"/>
      <c r="D296" s="135"/>
      <c r="E296" s="137"/>
      <c r="F296" s="134"/>
      <c r="G296" s="135"/>
      <c r="H296" s="138"/>
      <c r="I296" s="140"/>
    </row>
    <row r="297" spans="1:9" x14ac:dyDescent="0.25">
      <c r="A297" s="133"/>
      <c r="B297" s="134"/>
      <c r="C297" s="135"/>
      <c r="D297" s="135"/>
      <c r="E297" s="137"/>
      <c r="F297" s="134"/>
      <c r="G297" s="135"/>
      <c r="H297" s="138"/>
      <c r="I297" s="140"/>
    </row>
    <row r="298" spans="1:9" x14ac:dyDescent="0.25">
      <c r="A298" s="133"/>
      <c r="B298" s="134"/>
      <c r="C298" s="135"/>
      <c r="D298" s="135"/>
      <c r="E298" s="137"/>
      <c r="F298" s="134"/>
      <c r="G298" s="135"/>
      <c r="H298" s="138"/>
      <c r="I298" s="140"/>
    </row>
    <row r="299" spans="1:9" x14ac:dyDescent="0.25">
      <c r="A299" s="133"/>
      <c r="B299" s="139"/>
      <c r="C299" s="135"/>
      <c r="D299" s="135"/>
      <c r="E299" s="137"/>
      <c r="F299" s="134"/>
      <c r="G299" s="135"/>
      <c r="H299" s="138"/>
      <c r="I299" s="140"/>
    </row>
    <row r="300" spans="1:9" x14ac:dyDescent="0.25">
      <c r="A300" s="133"/>
      <c r="B300" s="134"/>
      <c r="C300" s="135"/>
      <c r="D300" s="135"/>
      <c r="E300" s="137"/>
      <c r="F300" s="134"/>
      <c r="G300" s="135"/>
      <c r="H300" s="138"/>
      <c r="I300" s="140"/>
    </row>
    <row r="301" spans="1:9" x14ac:dyDescent="0.25">
      <c r="A301" s="133"/>
      <c r="B301" s="134"/>
      <c r="C301" s="135"/>
      <c r="D301" s="135"/>
      <c r="E301" s="137"/>
      <c r="F301" s="134"/>
      <c r="G301" s="135"/>
      <c r="H301" s="138"/>
      <c r="I301" s="140"/>
    </row>
    <row r="302" spans="1:9" x14ac:dyDescent="0.25">
      <c r="A302" s="133"/>
      <c r="B302" s="139"/>
      <c r="C302" s="135"/>
      <c r="D302" s="135"/>
      <c r="E302" s="137"/>
      <c r="F302" s="134"/>
      <c r="G302" s="135"/>
      <c r="H302" s="138"/>
      <c r="I302" s="140"/>
    </row>
    <row r="303" spans="1:9" x14ac:dyDescent="0.25">
      <c r="A303" s="133"/>
      <c r="B303" s="139"/>
      <c r="C303" s="135"/>
      <c r="D303" s="135"/>
      <c r="E303" s="137"/>
      <c r="F303" s="134"/>
      <c r="G303" s="135"/>
      <c r="H303" s="138"/>
      <c r="I303" s="140"/>
    </row>
    <row r="304" spans="1:9" x14ac:dyDescent="0.25">
      <c r="A304" s="133"/>
      <c r="B304" s="139"/>
      <c r="C304" s="135"/>
      <c r="D304" s="135"/>
      <c r="E304" s="137"/>
      <c r="F304" s="134"/>
      <c r="G304" s="135"/>
      <c r="H304" s="138"/>
      <c r="I304" s="140"/>
    </row>
    <row r="305" spans="1:9" x14ac:dyDescent="0.25">
      <c r="A305" s="133"/>
      <c r="B305" s="139"/>
      <c r="C305" s="135"/>
      <c r="D305" s="135"/>
      <c r="E305" s="137"/>
      <c r="F305" s="134"/>
      <c r="G305" s="135"/>
      <c r="H305" s="138"/>
      <c r="I305" s="140"/>
    </row>
    <row r="306" spans="1:9" x14ac:dyDescent="0.25">
      <c r="A306" s="133"/>
      <c r="B306" s="134"/>
      <c r="C306" s="135"/>
      <c r="D306" s="135"/>
      <c r="E306" s="137"/>
      <c r="F306" s="134"/>
      <c r="G306" s="135"/>
      <c r="H306" s="138"/>
      <c r="I306" s="140"/>
    </row>
    <row r="307" spans="1:9" x14ac:dyDescent="0.25">
      <c r="A307" s="133"/>
      <c r="B307" s="139"/>
      <c r="C307" s="135"/>
      <c r="D307" s="135"/>
      <c r="E307" s="137"/>
      <c r="F307" s="134"/>
      <c r="G307" s="135"/>
      <c r="H307" s="138"/>
      <c r="I307" s="140"/>
    </row>
    <row r="308" spans="1:9" x14ac:dyDescent="0.25">
      <c r="A308" s="133"/>
      <c r="B308" s="139"/>
      <c r="C308" s="135"/>
      <c r="D308" s="135"/>
      <c r="E308" s="137"/>
      <c r="F308" s="134"/>
      <c r="G308" s="135"/>
      <c r="H308" s="138"/>
      <c r="I308" s="140"/>
    </row>
    <row r="309" spans="1:9" x14ac:dyDescent="0.25">
      <c r="A309" s="133"/>
      <c r="B309" s="139"/>
      <c r="C309" s="135"/>
      <c r="D309" s="135"/>
      <c r="E309" s="137"/>
      <c r="F309" s="134"/>
      <c r="G309" s="135"/>
      <c r="H309" s="138"/>
      <c r="I309" s="140"/>
    </row>
    <row r="310" spans="1:9" x14ac:dyDescent="0.25">
      <c r="A310" s="133"/>
      <c r="B310" s="139"/>
      <c r="C310" s="135"/>
      <c r="D310" s="135"/>
      <c r="E310" s="137"/>
      <c r="F310" s="134"/>
      <c r="G310" s="135"/>
      <c r="H310" s="138"/>
      <c r="I310" s="140"/>
    </row>
    <row r="311" spans="1:9" x14ac:dyDescent="0.25">
      <c r="A311" s="133"/>
      <c r="B311" s="139"/>
      <c r="C311" s="135"/>
      <c r="D311" s="135"/>
      <c r="E311" s="137"/>
      <c r="F311" s="134"/>
      <c r="G311" s="135"/>
      <c r="H311" s="138"/>
      <c r="I311" s="140"/>
    </row>
    <row r="312" spans="1:9" x14ac:dyDescent="0.25">
      <c r="A312" s="133"/>
      <c r="B312" s="139"/>
      <c r="C312" s="135"/>
      <c r="D312" s="135"/>
      <c r="E312" s="137"/>
      <c r="F312" s="134"/>
      <c r="G312" s="135"/>
      <c r="H312" s="138"/>
      <c r="I312" s="140"/>
    </row>
    <row r="313" spans="1:9" x14ac:dyDescent="0.25">
      <c r="A313" s="133"/>
      <c r="B313" s="139"/>
      <c r="C313" s="135"/>
      <c r="D313" s="135"/>
      <c r="E313" s="137"/>
      <c r="F313" s="134"/>
      <c r="G313" s="135"/>
      <c r="H313" s="138"/>
      <c r="I313" s="140"/>
    </row>
    <row r="314" spans="1:9" x14ac:dyDescent="0.25">
      <c r="A314" s="133"/>
      <c r="B314" s="139"/>
      <c r="C314" s="135"/>
      <c r="D314" s="135"/>
      <c r="E314" s="137"/>
      <c r="F314" s="134"/>
      <c r="G314" s="135"/>
      <c r="H314" s="138"/>
      <c r="I314" s="140"/>
    </row>
    <row r="315" spans="1:9" x14ac:dyDescent="0.25">
      <c r="A315" s="133"/>
      <c r="B315" s="139"/>
      <c r="C315" s="135"/>
      <c r="D315" s="135"/>
      <c r="E315" s="137"/>
      <c r="F315" s="134"/>
      <c r="G315" s="135"/>
      <c r="H315" s="138"/>
      <c r="I315" s="140"/>
    </row>
    <row r="316" spans="1:9" x14ac:dyDescent="0.25">
      <c r="A316" s="133"/>
      <c r="B316" s="134"/>
      <c r="C316" s="135"/>
      <c r="D316" s="135"/>
      <c r="E316" s="137"/>
      <c r="F316" s="134"/>
      <c r="G316" s="135"/>
      <c r="H316" s="138"/>
      <c r="I316" s="140"/>
    </row>
    <row r="317" spans="1:9" x14ac:dyDescent="0.25">
      <c r="A317" s="133"/>
      <c r="B317" s="139"/>
      <c r="C317" s="135"/>
      <c r="D317" s="135"/>
      <c r="E317" s="137"/>
      <c r="F317" s="134"/>
      <c r="G317" s="135"/>
      <c r="H317" s="138"/>
      <c r="I317" s="140"/>
    </row>
    <row r="318" spans="1:9" x14ac:dyDescent="0.25">
      <c r="A318" s="133"/>
      <c r="B318" s="139"/>
      <c r="C318" s="135"/>
      <c r="D318" s="135"/>
      <c r="E318" s="137"/>
      <c r="F318" s="134"/>
      <c r="G318" s="135"/>
      <c r="H318" s="138"/>
      <c r="I318" s="140"/>
    </row>
    <row r="319" spans="1:9" x14ac:dyDescent="0.25">
      <c r="A319" s="133"/>
      <c r="B319" s="139"/>
      <c r="C319" s="135"/>
      <c r="D319" s="135"/>
      <c r="E319" s="137"/>
      <c r="F319" s="134"/>
      <c r="G319" s="135"/>
      <c r="H319" s="138"/>
      <c r="I319" s="140"/>
    </row>
    <row r="320" spans="1:9" x14ac:dyDescent="0.25">
      <c r="A320" s="133"/>
      <c r="B320" s="134"/>
      <c r="C320" s="135"/>
      <c r="D320" s="135"/>
      <c r="E320" s="137"/>
      <c r="F320" s="134"/>
      <c r="G320" s="135"/>
      <c r="H320" s="138"/>
      <c r="I320" s="140"/>
    </row>
    <row r="321" spans="1:9" x14ac:dyDescent="0.25">
      <c r="A321" s="133"/>
      <c r="B321" s="134"/>
      <c r="C321" s="135"/>
      <c r="D321" s="137"/>
      <c r="F321" s="134"/>
      <c r="G321" s="151"/>
      <c r="H321" s="138"/>
      <c r="I321" s="140"/>
    </row>
    <row r="322" spans="1:9" x14ac:dyDescent="0.25">
      <c r="A322" s="133"/>
      <c r="B322" s="134"/>
      <c r="C322" s="135"/>
      <c r="D322" s="137"/>
      <c r="F322" s="134"/>
      <c r="G322" s="151"/>
      <c r="H322" s="138"/>
      <c r="I322" s="140"/>
    </row>
    <row r="323" spans="1:9" x14ac:dyDescent="0.25">
      <c r="A323" s="133"/>
      <c r="B323" s="134"/>
      <c r="C323" s="135"/>
      <c r="D323" s="135"/>
      <c r="E323" s="137"/>
      <c r="F323" s="134"/>
      <c r="G323" s="135"/>
      <c r="H323" s="138"/>
      <c r="I323" s="140"/>
    </row>
    <row r="324" spans="1:9" x14ac:dyDescent="0.25">
      <c r="A324" s="133"/>
      <c r="B324" s="134"/>
      <c r="C324" s="135"/>
      <c r="D324" s="135"/>
      <c r="E324" s="137"/>
      <c r="F324" s="134"/>
      <c r="G324" s="135"/>
      <c r="H324" s="138"/>
      <c r="I324" s="140"/>
    </row>
    <row r="325" spans="1:9" x14ac:dyDescent="0.25">
      <c r="A325" s="133"/>
      <c r="B325" s="134"/>
      <c r="C325" s="135"/>
      <c r="D325" s="135"/>
      <c r="E325" s="137"/>
      <c r="F325" s="134"/>
      <c r="G325" s="135"/>
      <c r="H325" s="138"/>
      <c r="I325" s="140"/>
    </row>
    <row r="326" spans="1:9" x14ac:dyDescent="0.25">
      <c r="A326" s="133"/>
      <c r="B326" s="134"/>
      <c r="C326" s="135"/>
      <c r="D326" s="135"/>
      <c r="E326" s="137"/>
      <c r="F326" s="134"/>
      <c r="G326" s="135"/>
      <c r="H326" s="138"/>
      <c r="I326" s="140"/>
    </row>
    <row r="327" spans="1:9" x14ac:dyDescent="0.25">
      <c r="A327" s="133"/>
      <c r="B327" s="134"/>
      <c r="C327" s="135"/>
      <c r="D327" s="135"/>
      <c r="E327" s="137"/>
      <c r="F327" s="134"/>
      <c r="G327" s="135"/>
      <c r="H327" s="138"/>
      <c r="I327" s="140"/>
    </row>
    <row r="328" spans="1:9" x14ac:dyDescent="0.25">
      <c r="A328" s="133"/>
      <c r="B328" s="139"/>
      <c r="C328" s="135"/>
      <c r="D328" s="135"/>
      <c r="E328" s="137"/>
      <c r="F328" s="134"/>
      <c r="G328" s="135"/>
      <c r="H328" s="138"/>
      <c r="I328" s="140"/>
    </row>
    <row r="329" spans="1:9" x14ac:dyDescent="0.25">
      <c r="A329" s="133"/>
      <c r="B329" s="139"/>
      <c r="C329" s="135"/>
      <c r="D329" s="135"/>
      <c r="E329" s="137"/>
      <c r="F329" s="134"/>
      <c r="G329" s="135"/>
      <c r="H329" s="138"/>
      <c r="I329" s="140"/>
    </row>
    <row r="330" spans="1:9" x14ac:dyDescent="0.25">
      <c r="A330" s="133"/>
      <c r="B330" s="139"/>
      <c r="C330" s="135"/>
      <c r="D330" s="135"/>
      <c r="E330" s="137"/>
      <c r="F330" s="134"/>
      <c r="G330" s="135"/>
      <c r="H330" s="138"/>
      <c r="I330" s="140"/>
    </row>
    <row r="331" spans="1:9" x14ac:dyDescent="0.25">
      <c r="A331" s="133"/>
      <c r="B331" s="139"/>
      <c r="C331" s="135"/>
      <c r="D331" s="135"/>
      <c r="E331" s="137"/>
      <c r="F331" s="134"/>
      <c r="G331" s="135"/>
      <c r="H331" s="138"/>
      <c r="I331" s="140"/>
    </row>
    <row r="332" spans="1:9" x14ac:dyDescent="0.25">
      <c r="A332" s="133"/>
      <c r="B332" s="139"/>
      <c r="C332" s="135"/>
      <c r="D332" s="135"/>
      <c r="E332" s="137"/>
      <c r="F332" s="134"/>
      <c r="G332" s="135"/>
      <c r="H332" s="138"/>
      <c r="I332" s="140"/>
    </row>
    <row r="333" spans="1:9" x14ac:dyDescent="0.25">
      <c r="A333" s="133"/>
      <c r="B333" s="139"/>
      <c r="C333" s="135"/>
      <c r="D333" s="135"/>
      <c r="E333" s="137"/>
      <c r="F333" s="134"/>
      <c r="G333" s="135"/>
      <c r="H333" s="138"/>
      <c r="I333" s="140"/>
    </row>
    <row r="334" spans="1:9" x14ac:dyDescent="0.25">
      <c r="A334" s="133"/>
      <c r="B334" s="139"/>
      <c r="C334" s="135"/>
      <c r="D334" s="135"/>
      <c r="E334" s="137"/>
      <c r="F334" s="134"/>
      <c r="G334" s="135"/>
      <c r="H334" s="138"/>
      <c r="I334" s="140"/>
    </row>
    <row r="335" spans="1:9" x14ac:dyDescent="0.25">
      <c r="A335" s="133"/>
      <c r="B335" s="139"/>
      <c r="C335" s="135"/>
      <c r="D335" s="135"/>
      <c r="E335" s="137"/>
      <c r="F335" s="134"/>
      <c r="G335" s="135"/>
      <c r="H335" s="138"/>
      <c r="I335" s="140"/>
    </row>
    <row r="336" spans="1:9" x14ac:dyDescent="0.25">
      <c r="A336" s="133"/>
      <c r="B336" s="139"/>
      <c r="C336" s="135"/>
      <c r="D336" s="135"/>
      <c r="E336" s="137"/>
      <c r="F336" s="134"/>
      <c r="G336" s="135"/>
      <c r="H336" s="138"/>
      <c r="I336" s="140"/>
    </row>
    <row r="337" spans="1:9" x14ac:dyDescent="0.25">
      <c r="A337" s="133"/>
      <c r="B337" s="139"/>
      <c r="C337" s="135"/>
      <c r="D337" s="135"/>
      <c r="E337" s="137"/>
      <c r="F337" s="134"/>
      <c r="G337" s="135"/>
      <c r="H337" s="138"/>
      <c r="I337" s="140"/>
    </row>
    <row r="338" spans="1:9" x14ac:dyDescent="0.25">
      <c r="A338" s="133"/>
      <c r="B338" s="139"/>
      <c r="C338" s="135"/>
      <c r="D338" s="135"/>
      <c r="E338" s="137"/>
      <c r="F338" s="134"/>
      <c r="G338" s="135"/>
      <c r="H338" s="138"/>
      <c r="I338" s="140"/>
    </row>
    <row r="339" spans="1:9" x14ac:dyDescent="0.25">
      <c r="A339" s="133"/>
      <c r="B339" s="134"/>
      <c r="C339" s="135"/>
      <c r="D339" s="135"/>
      <c r="E339" s="137"/>
      <c r="F339" s="134"/>
      <c r="G339" s="135"/>
      <c r="H339" s="138"/>
      <c r="I339" s="140"/>
    </row>
    <row r="340" spans="1:9" x14ac:dyDescent="0.25">
      <c r="A340" s="133"/>
      <c r="B340" s="139"/>
      <c r="C340" s="135"/>
      <c r="D340" s="135"/>
      <c r="E340" s="137"/>
      <c r="F340" s="134"/>
      <c r="G340" s="135"/>
      <c r="H340" s="138"/>
      <c r="I340" s="140"/>
    </row>
    <row r="341" spans="1:9" x14ac:dyDescent="0.25">
      <c r="A341" s="133"/>
      <c r="B341" s="139"/>
      <c r="C341" s="135"/>
      <c r="D341" s="135"/>
      <c r="E341" s="137"/>
      <c r="F341" s="134"/>
      <c r="G341" s="135"/>
      <c r="H341" s="138"/>
      <c r="I341" s="140"/>
    </row>
    <row r="342" spans="1:9" x14ac:dyDescent="0.25">
      <c r="A342" s="133"/>
      <c r="B342" s="139"/>
      <c r="C342" s="135"/>
      <c r="D342" s="135"/>
      <c r="E342" s="137"/>
      <c r="F342" s="134"/>
      <c r="G342" s="135"/>
      <c r="H342" s="138"/>
      <c r="I342" s="140"/>
    </row>
    <row r="343" spans="1:9" x14ac:dyDescent="0.25">
      <c r="A343" s="133"/>
      <c r="B343" s="139"/>
      <c r="C343" s="135"/>
      <c r="D343" s="135"/>
      <c r="E343" s="137"/>
      <c r="F343" s="134"/>
      <c r="G343" s="135"/>
      <c r="H343" s="138"/>
      <c r="I343" s="140"/>
    </row>
    <row r="344" spans="1:9" x14ac:dyDescent="0.25">
      <c r="A344" s="133"/>
      <c r="B344" s="139"/>
      <c r="C344" s="135"/>
      <c r="D344" s="135"/>
      <c r="E344" s="137"/>
      <c r="F344" s="134"/>
      <c r="G344" s="135"/>
      <c r="H344" s="138"/>
      <c r="I344" s="140"/>
    </row>
    <row r="345" spans="1:9" x14ac:dyDescent="0.25">
      <c r="I345" s="140"/>
    </row>
    <row r="346" spans="1:9" x14ac:dyDescent="0.25">
      <c r="I346" s="140"/>
    </row>
    <row r="347" spans="1:9" x14ac:dyDescent="0.25">
      <c r="I347" s="140"/>
    </row>
    <row r="348" spans="1:9" x14ac:dyDescent="0.25">
      <c r="I348" s="140"/>
    </row>
    <row r="349" spans="1:9" x14ac:dyDescent="0.25">
      <c r="I349" s="140"/>
    </row>
    <row r="350" spans="1:9" x14ac:dyDescent="0.25">
      <c r="I350" s="140"/>
    </row>
    <row r="351" spans="1:9" x14ac:dyDescent="0.25">
      <c r="I351" s="140"/>
    </row>
    <row r="352" spans="1:9" x14ac:dyDescent="0.25">
      <c r="I352" s="140"/>
    </row>
    <row r="353" spans="9:9" x14ac:dyDescent="0.25">
      <c r="I353" s="140"/>
    </row>
    <row r="354" spans="9:9" x14ac:dyDescent="0.25">
      <c r="I354" s="140"/>
    </row>
    <row r="355" spans="9:9" x14ac:dyDescent="0.25">
      <c r="I355" s="140"/>
    </row>
    <row r="356" spans="9:9" x14ac:dyDescent="0.25">
      <c r="I356" s="140"/>
    </row>
    <row r="357" spans="9:9" x14ac:dyDescent="0.25">
      <c r="I357" s="140"/>
    </row>
    <row r="358" spans="9:9" x14ac:dyDescent="0.25">
      <c r="I358" s="140"/>
    </row>
    <row r="359" spans="9:9" x14ac:dyDescent="0.25">
      <c r="I359" s="140"/>
    </row>
    <row r="360" spans="9:9" x14ac:dyDescent="0.25">
      <c r="I360" s="140"/>
    </row>
    <row r="361" spans="9:9" x14ac:dyDescent="0.25">
      <c r="I361" s="140"/>
    </row>
    <row r="362" spans="9:9" x14ac:dyDescent="0.25">
      <c r="I362" s="140"/>
    </row>
    <row r="363" spans="9:9" x14ac:dyDescent="0.25">
      <c r="I363" s="140"/>
    </row>
    <row r="364" spans="9:9" x14ac:dyDescent="0.25">
      <c r="I364" s="140"/>
    </row>
    <row r="365" spans="9:9" x14ac:dyDescent="0.25">
      <c r="I365" s="140"/>
    </row>
    <row r="366" spans="9:9" x14ac:dyDescent="0.25">
      <c r="I366" s="140"/>
    </row>
    <row r="367" spans="9:9" x14ac:dyDescent="0.25">
      <c r="I367" s="140"/>
    </row>
    <row r="368" spans="9:9" x14ac:dyDescent="0.25">
      <c r="I368" s="140"/>
    </row>
    <row r="369" spans="9:9" x14ac:dyDescent="0.25">
      <c r="I369" s="140"/>
    </row>
    <row r="370" spans="9:9" x14ac:dyDescent="0.25">
      <c r="I370" s="140"/>
    </row>
    <row r="371" spans="9:9" x14ac:dyDescent="0.25">
      <c r="I371" s="140"/>
    </row>
    <row r="372" spans="9:9" x14ac:dyDescent="0.25">
      <c r="I372" s="140"/>
    </row>
    <row r="373" spans="9:9" x14ac:dyDescent="0.25">
      <c r="I373" s="140"/>
    </row>
    <row r="374" spans="9:9" x14ac:dyDescent="0.25">
      <c r="I374" s="140"/>
    </row>
  </sheetData>
  <phoneticPr fontId="5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74"/>
  <sheetViews>
    <sheetView topLeftCell="A136" workbookViewId="0">
      <selection activeCell="O2" sqref="O2:O173"/>
    </sheetView>
  </sheetViews>
  <sheetFormatPr defaultColWidth="9" defaultRowHeight="14.4" x14ac:dyDescent="0.25"/>
  <cols>
    <col min="1" max="2" width="5.109375" style="92" customWidth="1"/>
    <col min="3" max="3" width="13.6640625" style="93" customWidth="1"/>
    <col min="4" max="4" width="15.88671875" style="94" customWidth="1"/>
    <col min="5" max="5" width="32.77734375" style="94" customWidth="1"/>
    <col min="6" max="6" width="28.109375" style="95" customWidth="1"/>
    <col min="7" max="7" width="10" style="93" customWidth="1"/>
    <col min="8" max="8" width="9.21875" style="94" customWidth="1"/>
    <col min="9" max="9" width="8.88671875" style="96" customWidth="1"/>
    <col min="10" max="10" width="9" style="53" customWidth="1"/>
    <col min="11" max="13" width="9" style="53"/>
    <col min="14" max="14" width="9.5546875" style="53"/>
    <col min="15" max="15" width="10.5546875" style="53"/>
    <col min="16" max="16" width="15.21875" style="53" customWidth="1"/>
    <col min="17" max="16384" width="9" style="53"/>
  </cols>
  <sheetData>
    <row r="1" spans="1:20" ht="57.6" x14ac:dyDescent="0.25">
      <c r="A1" s="97" t="s">
        <v>278</v>
      </c>
      <c r="B1" s="97"/>
      <c r="C1" s="97" t="s">
        <v>279</v>
      </c>
      <c r="D1" s="98" t="s">
        <v>280</v>
      </c>
      <c r="E1" s="99" t="s">
        <v>281</v>
      </c>
      <c r="F1" s="98" t="s">
        <v>282</v>
      </c>
      <c r="G1" s="97" t="s">
        <v>283</v>
      </c>
      <c r="H1" s="99" t="s">
        <v>284</v>
      </c>
      <c r="I1" s="98" t="s">
        <v>285</v>
      </c>
      <c r="J1" s="98" t="s">
        <v>28</v>
      </c>
      <c r="K1" s="109" t="s">
        <v>29</v>
      </c>
      <c r="L1" s="109" t="s">
        <v>30</v>
      </c>
      <c r="M1" s="109" t="s">
        <v>31</v>
      </c>
      <c r="N1" s="109" t="s">
        <v>32</v>
      </c>
      <c r="O1" s="109" t="s">
        <v>33</v>
      </c>
      <c r="P1" s="109" t="s">
        <v>27</v>
      </c>
      <c r="Q1" s="109" t="s">
        <v>286</v>
      </c>
      <c r="R1" s="109" t="s">
        <v>35</v>
      </c>
      <c r="S1" s="109" t="s">
        <v>36</v>
      </c>
      <c r="T1" s="116" t="s">
        <v>37</v>
      </c>
    </row>
    <row r="2" spans="1:20" x14ac:dyDescent="0.25">
      <c r="A2" s="100">
        <v>1</v>
      </c>
      <c r="B2" s="100">
        <v>1</v>
      </c>
      <c r="C2" s="101">
        <v>1015</v>
      </c>
      <c r="D2" s="102" t="s">
        <v>198</v>
      </c>
      <c r="E2" s="102" t="s">
        <v>199</v>
      </c>
      <c r="F2" s="103" t="s">
        <v>621</v>
      </c>
      <c r="G2" s="101">
        <v>1</v>
      </c>
      <c r="H2" s="247" t="s">
        <v>201</v>
      </c>
      <c r="I2" s="105" t="s">
        <v>622</v>
      </c>
      <c r="J2" s="74"/>
      <c r="K2" s="74" t="e">
        <f>VLOOKUP($C2,[4]Sheet2!$D:$J,3,0)</f>
        <v>#N/A</v>
      </c>
      <c r="L2" s="74" t="e">
        <f>VLOOKUP($C2,[4]Sheet2!$D:$J,4,0)</f>
        <v>#N/A</v>
      </c>
      <c r="M2" s="74" t="e">
        <f>VLOOKUP($C2,[4]Sheet2!$D:$J,2,0)</f>
        <v>#N/A</v>
      </c>
      <c r="N2" s="74">
        <v>5.89</v>
      </c>
      <c r="O2" s="110">
        <f>N2*G2</f>
        <v>5.89</v>
      </c>
      <c r="P2" s="110"/>
      <c r="Q2" s="74" t="e">
        <f>VLOOKUP($C2,[4]Sheet2!$D:$J,5,0)</f>
        <v>#N/A</v>
      </c>
      <c r="R2" s="74" t="e">
        <f>VLOOKUP($C2,[4]Sheet2!$D:$J,6,0)</f>
        <v>#N/A</v>
      </c>
      <c r="S2" s="74" t="e">
        <f>VLOOKUP($C2,[4]Sheet2!$D:$J,7,0)</f>
        <v>#N/A</v>
      </c>
      <c r="T2" s="110" t="s">
        <v>37</v>
      </c>
    </row>
    <row r="3" spans="1:20" x14ac:dyDescent="0.25">
      <c r="A3" s="100">
        <v>2</v>
      </c>
      <c r="B3" s="100">
        <v>2</v>
      </c>
      <c r="C3" s="101">
        <v>1015</v>
      </c>
      <c r="D3" s="102" t="s">
        <v>293</v>
      </c>
      <c r="E3" s="102" t="s">
        <v>294</v>
      </c>
      <c r="F3" s="103" t="s">
        <v>295</v>
      </c>
      <c r="G3" s="101">
        <v>2</v>
      </c>
      <c r="H3" s="102" t="s">
        <v>296</v>
      </c>
      <c r="I3" s="105" t="s">
        <v>118</v>
      </c>
      <c r="J3" s="74"/>
      <c r="K3" s="53" t="e">
        <f>VLOOKUP($C3,[4]Sheet2!$D:$J,3,0)</f>
        <v>#N/A</v>
      </c>
      <c r="L3" s="53" t="e">
        <f>VLOOKUP($C3,[4]Sheet2!$D:$J,4,0)</f>
        <v>#N/A</v>
      </c>
      <c r="M3" s="53" t="e">
        <f>VLOOKUP($C3,[4]Sheet2!$D:$J,2,0)</f>
        <v>#N/A</v>
      </c>
      <c r="N3" s="53">
        <v>0.14000000000000001</v>
      </c>
      <c r="O3" s="110">
        <f t="shared" ref="O3:O12" si="0">N3*G3</f>
        <v>0.28000000000000003</v>
      </c>
      <c r="Q3" s="53" t="e">
        <f>VLOOKUP($C3,[4]Sheet2!$D:$J,5,0)</f>
        <v>#N/A</v>
      </c>
      <c r="R3" s="53" t="e">
        <f>VLOOKUP($C3,[4]Sheet2!$D:$J,6,0)</f>
        <v>#N/A</v>
      </c>
      <c r="S3" s="53" t="e">
        <f>VLOOKUP($C3,[4]Sheet2!$D:$J,7,0)</f>
        <v>#N/A</v>
      </c>
      <c r="T3" s="110" t="s">
        <v>37</v>
      </c>
    </row>
    <row r="4" spans="1:20" x14ac:dyDescent="0.25">
      <c r="A4" s="100">
        <v>3</v>
      </c>
      <c r="B4" s="100">
        <v>3</v>
      </c>
      <c r="C4" s="101" t="s">
        <v>393</v>
      </c>
      <c r="D4" s="102" t="s">
        <v>623</v>
      </c>
      <c r="E4" s="102" t="s">
        <v>624</v>
      </c>
      <c r="F4" s="103" t="s">
        <v>625</v>
      </c>
      <c r="G4" s="101">
        <v>1</v>
      </c>
      <c r="H4" s="247" t="s">
        <v>553</v>
      </c>
      <c r="I4" s="105" t="s">
        <v>622</v>
      </c>
      <c r="J4" s="74"/>
      <c r="K4" s="53" t="e">
        <f>VLOOKUP($C4,[4]Sheet2!$D:$J,3,0)</f>
        <v>#N/A</v>
      </c>
      <c r="L4" s="53" t="e">
        <f>VLOOKUP($C4,[4]Sheet2!$D:$J,4,0)</f>
        <v>#N/A</v>
      </c>
      <c r="M4" s="53" t="e">
        <f>VLOOKUP($C4,[4]Sheet2!$D:$J,2,0)</f>
        <v>#N/A</v>
      </c>
      <c r="N4" s="53">
        <v>0.3</v>
      </c>
      <c r="O4" s="110">
        <f t="shared" si="0"/>
        <v>0.3</v>
      </c>
      <c r="Q4" s="53" t="e">
        <f>VLOOKUP($C4,[4]Sheet2!$D:$J,5,0)</f>
        <v>#N/A</v>
      </c>
      <c r="R4" s="53" t="e">
        <f>VLOOKUP($C4,[4]Sheet2!$D:$J,6,0)</f>
        <v>#N/A</v>
      </c>
      <c r="S4" s="53" t="e">
        <f>VLOOKUP($C4,[4]Sheet2!$D:$J,7,0)</f>
        <v>#N/A</v>
      </c>
      <c r="T4" s="110" t="s">
        <v>37</v>
      </c>
    </row>
    <row r="5" spans="1:20" x14ac:dyDescent="0.25">
      <c r="A5" s="100">
        <v>4</v>
      </c>
      <c r="B5" s="100">
        <v>4</v>
      </c>
      <c r="C5" s="104">
        <v>10110006771</v>
      </c>
      <c r="D5" s="102" t="s">
        <v>626</v>
      </c>
      <c r="E5" s="102" t="s">
        <v>302</v>
      </c>
      <c r="F5" s="103" t="s">
        <v>627</v>
      </c>
      <c r="G5" s="101">
        <v>22</v>
      </c>
      <c r="H5" s="102" t="s">
        <v>554</v>
      </c>
      <c r="I5" s="111"/>
      <c r="J5" s="74"/>
      <c r="K5" s="53">
        <f>VLOOKUP($C5,[4]Sheet2!$D:$J,3,0)</f>
        <v>4.9500000000000004E-3</v>
      </c>
      <c r="L5" s="53" t="str">
        <f>VLOOKUP($C5,[4]Sheet2!$D:$J,4,0)</f>
        <v>CNY</v>
      </c>
      <c r="M5" s="53" t="str">
        <f>VLOOKUP($C5,[4]Sheet2!$D:$J,2,0)</f>
        <v>深圳市奥特高科电子有限公司</v>
      </c>
      <c r="N5" s="53">
        <f t="shared" ref="N5:N8" si="1">K5</f>
        <v>4.9500000000000004E-3</v>
      </c>
      <c r="Q5" s="53" t="str">
        <f>VLOOKUP($C5,[4]Sheet2!$D:$J,5,0)</f>
        <v>56</v>
      </c>
      <c r="R5" s="53" t="str">
        <f>VLOOKUP($C5,[4]Sheet2!$D:$J,6,0)</f>
        <v>10,000.000</v>
      </c>
      <c r="S5" s="53" t="str">
        <f>VLOOKUP($C5,[4]Sheet2!$D:$J,7,0)</f>
        <v>10,000.000</v>
      </c>
    </row>
    <row r="6" spans="1:20" x14ac:dyDescent="0.25">
      <c r="A6" s="100">
        <v>5</v>
      </c>
      <c r="B6" s="100">
        <v>5</v>
      </c>
      <c r="C6" s="104">
        <v>10110008257</v>
      </c>
      <c r="D6" s="102" t="s">
        <v>628</v>
      </c>
      <c r="E6" s="102" t="s">
        <v>304</v>
      </c>
      <c r="F6" s="103" t="s">
        <v>629</v>
      </c>
      <c r="G6" s="101">
        <v>22</v>
      </c>
      <c r="H6" s="102" t="s">
        <v>554</v>
      </c>
      <c r="I6" s="111" t="s">
        <v>42</v>
      </c>
      <c r="J6" s="74"/>
      <c r="K6" s="53">
        <f>VLOOKUP($C6,[4]Sheet2!$D:$J,3,0)</f>
        <v>4.5999999999999999E-3</v>
      </c>
      <c r="L6" s="53" t="str">
        <f>VLOOKUP($C6,[4]Sheet2!$D:$J,4,0)</f>
        <v>CNY</v>
      </c>
      <c r="M6" s="53" t="str">
        <f>VLOOKUP($C6,[4]Sheet2!$D:$J,2,0)</f>
        <v>深圳市兴鸿宇科技有限公司</v>
      </c>
      <c r="N6" s="53">
        <f t="shared" si="1"/>
        <v>4.5999999999999999E-3</v>
      </c>
      <c r="Q6" s="53" t="str">
        <f>VLOOKUP($C6,[4]Sheet2!$D:$J,5,0)</f>
        <v>56</v>
      </c>
      <c r="R6" s="53" t="str">
        <f>VLOOKUP($C6,[4]Sheet2!$D:$J,6,0)</f>
        <v>10,000.000</v>
      </c>
      <c r="S6" s="53" t="str">
        <f>VLOOKUP($C6,[4]Sheet2!$D:$J,7,0)</f>
        <v>10,000.000</v>
      </c>
    </row>
    <row r="7" spans="1:20" x14ac:dyDescent="0.25">
      <c r="A7" s="100"/>
      <c r="B7" s="100">
        <v>6</v>
      </c>
      <c r="C7" s="104">
        <v>10110008724</v>
      </c>
      <c r="D7" s="102" t="s">
        <v>628</v>
      </c>
      <c r="E7" s="102" t="s">
        <v>306</v>
      </c>
      <c r="F7" s="103" t="s">
        <v>630</v>
      </c>
      <c r="G7" s="101">
        <v>22</v>
      </c>
      <c r="H7" s="102" t="s">
        <v>554</v>
      </c>
      <c r="I7" s="111"/>
      <c r="J7" s="74"/>
      <c r="K7" s="53">
        <f>VLOOKUP($C7,[4]Sheet2!$D:$J,3,0)</f>
        <v>4.1000000000000003E-3</v>
      </c>
      <c r="L7" s="53" t="str">
        <f>VLOOKUP($C7,[4]Sheet2!$D:$J,4,0)</f>
        <v>CNY</v>
      </c>
      <c r="M7" s="53" t="str">
        <f>VLOOKUP($C7,[4]Sheet2!$D:$J,2,0)</f>
        <v>广东顺德集财电子有限公司</v>
      </c>
      <c r="N7" s="53">
        <f t="shared" si="1"/>
        <v>4.1000000000000003E-3</v>
      </c>
      <c r="Q7" s="53" t="str">
        <f>VLOOKUP($C7,[4]Sheet2!$D:$J,5,0)</f>
        <v>56</v>
      </c>
      <c r="R7" s="53" t="str">
        <f>VLOOKUP($C7,[4]Sheet2!$D:$J,6,0)</f>
        <v>10,000.000</v>
      </c>
      <c r="S7" s="53" t="str">
        <f>VLOOKUP($C7,[4]Sheet2!$D:$J,7,0)</f>
        <v>10,000.000</v>
      </c>
    </row>
    <row r="8" spans="1:20" x14ac:dyDescent="0.25">
      <c r="A8" s="100"/>
      <c r="B8" s="100">
        <v>7</v>
      </c>
      <c r="C8" s="104">
        <v>10110016349</v>
      </c>
      <c r="D8" s="102" t="s">
        <v>628</v>
      </c>
      <c r="E8" s="102" t="s">
        <v>298</v>
      </c>
      <c r="F8" s="103" t="s">
        <v>631</v>
      </c>
      <c r="G8" s="101">
        <v>22</v>
      </c>
      <c r="H8" s="102" t="s">
        <v>554</v>
      </c>
      <c r="I8" s="111" t="s">
        <v>42</v>
      </c>
      <c r="J8" s="74"/>
      <c r="K8" s="53">
        <f>VLOOKUP($C8,[4]Sheet2!$D:$J,3,0)</f>
        <v>4.0899999999999999E-3</v>
      </c>
      <c r="L8" s="53" t="str">
        <f>VLOOKUP($C8,[4]Sheet2!$D:$J,4,0)</f>
        <v>CNY</v>
      </c>
      <c r="M8" s="53" t="str">
        <f>VLOOKUP($C8,[4]Sheet2!$D:$J,2,0)</f>
        <v>广东顺德集财电子有限公司</v>
      </c>
      <c r="N8" s="53">
        <f t="shared" si="1"/>
        <v>4.0899999999999999E-3</v>
      </c>
      <c r="O8" s="110">
        <f t="shared" si="0"/>
        <v>8.9980000000000004E-2</v>
      </c>
      <c r="Q8" s="53" t="str">
        <f>VLOOKUP($C8,[4]Sheet2!$D:$J,5,0)</f>
        <v>56</v>
      </c>
      <c r="R8" s="53" t="str">
        <f>VLOOKUP($C8,[4]Sheet2!$D:$J,6,0)</f>
        <v>10,000.000</v>
      </c>
      <c r="S8" s="53" t="str">
        <f>VLOOKUP($C8,[4]Sheet2!$D:$J,7,0)</f>
        <v>10,000.000</v>
      </c>
      <c r="T8" s="110" t="s">
        <v>37</v>
      </c>
    </row>
    <row r="9" spans="1:20" x14ac:dyDescent="0.25">
      <c r="A9" s="100"/>
      <c r="B9" s="100">
        <v>8</v>
      </c>
      <c r="C9" s="101" t="s">
        <v>393</v>
      </c>
      <c r="D9" s="247" t="s">
        <v>632</v>
      </c>
      <c r="E9" s="247" t="s">
        <v>633</v>
      </c>
      <c r="F9" s="105" t="s">
        <v>634</v>
      </c>
      <c r="G9" s="101">
        <v>2</v>
      </c>
      <c r="H9" s="247" t="s">
        <v>560</v>
      </c>
      <c r="I9" s="111" t="s">
        <v>42</v>
      </c>
      <c r="J9" s="74"/>
      <c r="K9" s="53" t="e">
        <f>VLOOKUP($C9,[4]Sheet2!$D:$J,3,0)</f>
        <v>#N/A</v>
      </c>
      <c r="L9" s="53" t="e">
        <f>VLOOKUP($C9,[4]Sheet2!$D:$J,4,0)</f>
        <v>#N/A</v>
      </c>
      <c r="M9" s="53" t="e">
        <f>VLOOKUP($C9,[4]Sheet2!$D:$J,2,0)</f>
        <v>#N/A</v>
      </c>
      <c r="N9" s="53">
        <v>2.2374000000000001</v>
      </c>
      <c r="O9" s="110">
        <f t="shared" si="0"/>
        <v>4.4748000000000001</v>
      </c>
      <c r="P9" s="112"/>
      <c r="Q9" s="53" t="e">
        <f>VLOOKUP($C9,[4]Sheet2!$D:$J,5,0)</f>
        <v>#N/A</v>
      </c>
      <c r="R9" s="53" t="e">
        <f>VLOOKUP($C9,[4]Sheet2!$D:$J,6,0)</f>
        <v>#N/A</v>
      </c>
      <c r="S9" s="53" t="e">
        <f>VLOOKUP($C9,[4]Sheet2!$D:$J,7,0)</f>
        <v>#N/A</v>
      </c>
      <c r="T9" s="110" t="s">
        <v>37</v>
      </c>
    </row>
    <row r="10" spans="1:20" ht="28.8" x14ac:dyDescent="0.25">
      <c r="A10" s="100">
        <v>6</v>
      </c>
      <c r="B10" s="100">
        <v>9</v>
      </c>
      <c r="C10" s="101" t="s">
        <v>393</v>
      </c>
      <c r="D10" s="247" t="s">
        <v>635</v>
      </c>
      <c r="E10" s="247" t="s">
        <v>636</v>
      </c>
      <c r="F10" s="106" t="s">
        <v>634</v>
      </c>
      <c r="G10" s="101">
        <v>1</v>
      </c>
      <c r="H10" s="247" t="s">
        <v>561</v>
      </c>
      <c r="I10" s="111" t="s">
        <v>42</v>
      </c>
      <c r="J10" s="74"/>
      <c r="K10" s="53" t="e">
        <f>VLOOKUP($C10,[4]Sheet2!$D:$J,3,0)</f>
        <v>#N/A</v>
      </c>
      <c r="L10" s="53" t="e">
        <f>VLOOKUP($C10,[4]Sheet2!$D:$J,4,0)</f>
        <v>#N/A</v>
      </c>
      <c r="M10" s="53" t="e">
        <f>VLOOKUP($C10,[4]Sheet2!$D:$J,2,0)</f>
        <v>#N/A</v>
      </c>
      <c r="N10" s="53">
        <v>0.17515</v>
      </c>
      <c r="O10" s="110">
        <f t="shared" si="0"/>
        <v>0.17515</v>
      </c>
      <c r="Q10" s="53" t="e">
        <f>VLOOKUP($C10,[4]Sheet2!$D:$J,5,0)</f>
        <v>#N/A</v>
      </c>
      <c r="R10" s="53" t="e">
        <f>VLOOKUP($C10,[4]Sheet2!$D:$J,6,0)</f>
        <v>#N/A</v>
      </c>
      <c r="S10" s="53" t="e">
        <f>VLOOKUP($C10,[4]Sheet2!$D:$J,7,0)</f>
        <v>#N/A</v>
      </c>
      <c r="T10" s="110" t="s">
        <v>37</v>
      </c>
    </row>
    <row r="11" spans="1:20" ht="28.8" x14ac:dyDescent="0.25">
      <c r="A11" s="100">
        <v>7</v>
      </c>
      <c r="B11" s="100">
        <v>10</v>
      </c>
      <c r="C11" s="101" t="s">
        <v>393</v>
      </c>
      <c r="D11" s="247" t="s">
        <v>635</v>
      </c>
      <c r="E11" s="102" t="s">
        <v>637</v>
      </c>
      <c r="F11" s="106" t="s">
        <v>634</v>
      </c>
      <c r="G11" s="101">
        <v>1</v>
      </c>
      <c r="H11" s="247" t="s">
        <v>220</v>
      </c>
      <c r="I11" s="111" t="s">
        <v>42</v>
      </c>
      <c r="J11" s="74"/>
      <c r="K11" s="53" t="e">
        <f>VLOOKUP($C11,[4]Sheet2!$D:$J,3,0)</f>
        <v>#N/A</v>
      </c>
      <c r="L11" s="53" t="e">
        <f>VLOOKUP($C11,[4]Sheet2!$D:$J,4,0)</f>
        <v>#N/A</v>
      </c>
      <c r="M11" s="53" t="e">
        <f>VLOOKUP($C11,[4]Sheet2!$D:$J,2,0)</f>
        <v>#N/A</v>
      </c>
      <c r="N11" s="53">
        <v>0.49154999999999999</v>
      </c>
      <c r="O11" s="110">
        <f t="shared" si="0"/>
        <v>0.49154999999999999</v>
      </c>
      <c r="Q11" s="53" t="e">
        <f>VLOOKUP($C11,[4]Sheet2!$D:$J,5,0)</f>
        <v>#N/A</v>
      </c>
      <c r="R11" s="53" t="e">
        <f>VLOOKUP($C11,[4]Sheet2!$D:$J,6,0)</f>
        <v>#N/A</v>
      </c>
      <c r="S11" s="53" t="e">
        <f>VLOOKUP($C11,[4]Sheet2!$D:$J,7,0)</f>
        <v>#N/A</v>
      </c>
      <c r="T11" s="110" t="s">
        <v>37</v>
      </c>
    </row>
    <row r="12" spans="1:20" x14ac:dyDescent="0.25">
      <c r="A12" s="100"/>
      <c r="B12" s="100">
        <v>11</v>
      </c>
      <c r="C12" s="101" t="s">
        <v>393</v>
      </c>
      <c r="D12" s="102" t="s">
        <v>638</v>
      </c>
      <c r="E12" s="102" t="s">
        <v>203</v>
      </c>
      <c r="F12" s="107" t="s">
        <v>204</v>
      </c>
      <c r="G12" s="101">
        <v>4</v>
      </c>
      <c r="H12" s="102" t="s">
        <v>205</v>
      </c>
      <c r="I12" s="111" t="s">
        <v>42</v>
      </c>
      <c r="J12" s="74"/>
      <c r="K12" s="53" t="e">
        <f>VLOOKUP($C12,[4]Sheet2!$D:$J,3,0)</f>
        <v>#N/A</v>
      </c>
      <c r="L12" s="53" t="e">
        <f>VLOOKUP($C12,[4]Sheet2!$D:$J,4,0)</f>
        <v>#N/A</v>
      </c>
      <c r="M12" s="53" t="e">
        <f>VLOOKUP($C12,[4]Sheet2!$D:$J,2,0)</f>
        <v>#N/A</v>
      </c>
      <c r="N12" s="53">
        <v>0.188</v>
      </c>
      <c r="O12" s="110">
        <f t="shared" si="0"/>
        <v>0.752</v>
      </c>
      <c r="P12" s="112" t="s">
        <v>206</v>
      </c>
      <c r="Q12" s="53" t="e">
        <f>VLOOKUP($C12,[4]Sheet2!$D:$J,5,0)</f>
        <v>#N/A</v>
      </c>
      <c r="R12" s="53" t="e">
        <f>VLOOKUP($C12,[4]Sheet2!$D:$J,6,0)</f>
        <v>#N/A</v>
      </c>
      <c r="S12" s="53" t="e">
        <f>VLOOKUP($C12,[4]Sheet2!$D:$J,7,0)</f>
        <v>#N/A</v>
      </c>
      <c r="T12" s="110" t="s">
        <v>37</v>
      </c>
    </row>
    <row r="13" spans="1:20" x14ac:dyDescent="0.25">
      <c r="A13" s="100"/>
      <c r="B13" s="100">
        <v>12</v>
      </c>
      <c r="C13" s="104">
        <v>10110010638</v>
      </c>
      <c r="D13" s="102" t="s">
        <v>628</v>
      </c>
      <c r="E13" s="102" t="s">
        <v>338</v>
      </c>
      <c r="F13" s="103" t="s">
        <v>639</v>
      </c>
      <c r="G13" s="101">
        <v>3</v>
      </c>
      <c r="H13" s="102" t="s">
        <v>336</v>
      </c>
      <c r="I13" s="111" t="s">
        <v>42</v>
      </c>
      <c r="J13" s="74"/>
      <c r="K13" s="53">
        <f>VLOOKUP($C13,[4]Sheet2!$D:$J,3,0)</f>
        <v>7.3699999999999998E-3</v>
      </c>
      <c r="L13" s="53" t="str">
        <f>VLOOKUP($C13,[4]Sheet2!$D:$J,4,0)</f>
        <v>CNY</v>
      </c>
      <c r="M13" s="53" t="str">
        <f>VLOOKUP($C13,[4]Sheet2!$D:$J,2,0)</f>
        <v>深圳市宏昌鑫科技有限责任公司</v>
      </c>
      <c r="N13" s="53">
        <f t="shared" ref="N13:N27" si="2">K13</f>
        <v>7.3699999999999998E-3</v>
      </c>
      <c r="Q13" s="53" t="str">
        <f>VLOOKUP($C13,[4]Sheet2!$D:$J,5,0)</f>
        <v>140</v>
      </c>
      <c r="R13" s="53" t="str">
        <f>VLOOKUP($C13,[4]Sheet2!$D:$J,6,0)</f>
        <v>10,000.000</v>
      </c>
      <c r="S13" s="53" t="str">
        <f>VLOOKUP($C13,[4]Sheet2!$D:$J,7,0)</f>
        <v>10,000.000</v>
      </c>
    </row>
    <row r="14" spans="1:20" x14ac:dyDescent="0.25">
      <c r="A14" s="100">
        <v>8</v>
      </c>
      <c r="B14" s="100">
        <v>13</v>
      </c>
      <c r="C14" s="104">
        <v>10110008993</v>
      </c>
      <c r="D14" s="102" t="s">
        <v>628</v>
      </c>
      <c r="E14" s="102" t="s">
        <v>337</v>
      </c>
      <c r="F14" s="103" t="s">
        <v>629</v>
      </c>
      <c r="G14" s="101">
        <v>3</v>
      </c>
      <c r="H14" s="102" t="s">
        <v>336</v>
      </c>
      <c r="I14" s="111" t="s">
        <v>42</v>
      </c>
      <c r="J14" s="74"/>
      <c r="K14" s="53">
        <f>VLOOKUP($C14,[4]Sheet2!$D:$J,3,0)</f>
        <v>3.0500000000000002E-3</v>
      </c>
      <c r="L14" s="53" t="str">
        <f>VLOOKUP($C14,[4]Sheet2!$D:$J,4,0)</f>
        <v>CNY</v>
      </c>
      <c r="M14" s="53" t="str">
        <f>VLOOKUP($C14,[4]Sheet2!$D:$J,2,0)</f>
        <v>东莞华科电子有限公司</v>
      </c>
      <c r="N14" s="53">
        <f t="shared" si="2"/>
        <v>3.0500000000000002E-3</v>
      </c>
      <c r="Q14" s="53" t="str">
        <f>VLOOKUP($C14,[4]Sheet2!$D:$J,5,0)</f>
        <v>70</v>
      </c>
      <c r="R14" s="53" t="str">
        <f>VLOOKUP($C14,[4]Sheet2!$D:$J,6,0)</f>
        <v>10,000.000</v>
      </c>
      <c r="S14" s="53" t="str">
        <f>VLOOKUP($C14,[4]Sheet2!$D:$J,7,0)</f>
        <v>1,000.000</v>
      </c>
    </row>
    <row r="15" spans="1:20" x14ac:dyDescent="0.25">
      <c r="A15" s="100">
        <v>9</v>
      </c>
      <c r="B15" s="100">
        <v>14</v>
      </c>
      <c r="C15" s="104">
        <v>10110016198</v>
      </c>
      <c r="D15" s="102" t="s">
        <v>628</v>
      </c>
      <c r="E15" s="102" t="s">
        <v>341</v>
      </c>
      <c r="F15" s="103" t="s">
        <v>627</v>
      </c>
      <c r="G15" s="101">
        <v>3</v>
      </c>
      <c r="H15" s="102" t="s">
        <v>336</v>
      </c>
      <c r="I15" s="105"/>
      <c r="J15" s="74"/>
      <c r="K15" s="53">
        <f>VLOOKUP($C15,[4]Sheet2!$D:$J,3,0)</f>
        <v>2.3E-3</v>
      </c>
      <c r="L15" s="53" t="str">
        <f>VLOOKUP($C15,[4]Sheet2!$D:$J,4,0)</f>
        <v>CNY</v>
      </c>
      <c r="M15" s="53" t="str">
        <f>VLOOKUP($C15,[4]Sheet2!$D:$J,2,0)</f>
        <v>深圳市奥特高科电子有限公司</v>
      </c>
      <c r="N15" s="53">
        <f t="shared" si="2"/>
        <v>2.3E-3</v>
      </c>
      <c r="Q15" s="53" t="str">
        <f>VLOOKUP($C15,[4]Sheet2!$D:$J,5,0)</f>
        <v>56</v>
      </c>
      <c r="R15" s="53" t="str">
        <f>VLOOKUP($C15,[4]Sheet2!$D:$J,6,0)</f>
        <v>10,000.000</v>
      </c>
      <c r="S15" s="53" t="str">
        <f>VLOOKUP($C15,[4]Sheet2!$D:$J,7,0)</f>
        <v>10,000.000</v>
      </c>
    </row>
    <row r="16" spans="1:20" x14ac:dyDescent="0.25">
      <c r="A16" s="100">
        <v>10</v>
      </c>
      <c r="B16" s="100">
        <v>15</v>
      </c>
      <c r="C16" s="104">
        <v>10110008742</v>
      </c>
      <c r="D16" s="102" t="s">
        <v>628</v>
      </c>
      <c r="E16" s="102" t="s">
        <v>335</v>
      </c>
      <c r="F16" s="103" t="s">
        <v>630</v>
      </c>
      <c r="G16" s="101">
        <v>3</v>
      </c>
      <c r="H16" s="102" t="s">
        <v>336</v>
      </c>
      <c r="I16" s="105"/>
      <c r="J16" s="74"/>
      <c r="K16" s="53">
        <f>VLOOKUP($C16,[4]Sheet2!$D:$J,3,0)</f>
        <v>2.1900000000000001E-3</v>
      </c>
      <c r="L16" s="53" t="str">
        <f>VLOOKUP($C16,[4]Sheet2!$D:$J,4,0)</f>
        <v>CNY</v>
      </c>
      <c r="M16" s="53" t="str">
        <f>VLOOKUP($C16,[4]Sheet2!$D:$J,2,0)</f>
        <v>广东风华高新科技股份有限公司</v>
      </c>
      <c r="N16" s="53">
        <f t="shared" si="2"/>
        <v>2.1900000000000001E-3</v>
      </c>
      <c r="Q16" s="53" t="str">
        <f>VLOOKUP($C16,[4]Sheet2!$D:$J,5,0)</f>
        <v>42</v>
      </c>
      <c r="R16" s="53" t="str">
        <f>VLOOKUP($C16,[4]Sheet2!$D:$J,6,0)</f>
        <v>10,000.000</v>
      </c>
      <c r="S16" s="53" t="str">
        <f>VLOOKUP($C16,[4]Sheet2!$D:$J,7,0)</f>
        <v>10,000.000</v>
      </c>
    </row>
    <row r="17" spans="1:20" x14ac:dyDescent="0.25">
      <c r="A17" s="100">
        <v>11</v>
      </c>
      <c r="B17" s="100">
        <v>16</v>
      </c>
      <c r="C17" s="104">
        <v>10110015893</v>
      </c>
      <c r="D17" s="102" t="s">
        <v>628</v>
      </c>
      <c r="E17" s="102" t="s">
        <v>340</v>
      </c>
      <c r="F17" s="103" t="s">
        <v>631</v>
      </c>
      <c r="G17" s="101">
        <v>3</v>
      </c>
      <c r="H17" s="102" t="s">
        <v>336</v>
      </c>
      <c r="I17" s="111" t="s">
        <v>42</v>
      </c>
      <c r="J17" s="74"/>
      <c r="K17" s="53">
        <f>VLOOKUP($C17,[4]Sheet2!$D:$J,3,0)</f>
        <v>1.8600000000000001E-3</v>
      </c>
      <c r="L17" s="53" t="str">
        <f>VLOOKUP($C17,[4]Sheet2!$D:$J,4,0)</f>
        <v>CNY</v>
      </c>
      <c r="M17" s="53" t="str">
        <f>VLOOKUP($C17,[4]Sheet2!$D:$J,2,0)</f>
        <v>潮州三环（集团）股份有限公司</v>
      </c>
      <c r="N17" s="53">
        <f t="shared" si="2"/>
        <v>1.8600000000000001E-3</v>
      </c>
      <c r="O17" s="110">
        <f>N17*G17</f>
        <v>5.5799999999999999E-3</v>
      </c>
      <c r="Q17" s="53" t="str">
        <f>VLOOKUP($C17,[4]Sheet2!$D:$J,5,0)</f>
        <v>56</v>
      </c>
      <c r="R17" s="53" t="str">
        <f>VLOOKUP($C17,[4]Sheet2!$D:$J,6,0)</f>
        <v>10,000.000</v>
      </c>
      <c r="S17" s="53" t="str">
        <f>VLOOKUP($C17,[4]Sheet2!$D:$J,7,0)</f>
        <v>10,000.000</v>
      </c>
      <c r="T17" s="110" t="s">
        <v>37</v>
      </c>
    </row>
    <row r="18" spans="1:20" x14ac:dyDescent="0.25">
      <c r="A18" s="100">
        <v>12</v>
      </c>
      <c r="B18" s="100">
        <v>17</v>
      </c>
      <c r="C18" s="104">
        <v>10110003897</v>
      </c>
      <c r="D18" s="102" t="s">
        <v>626</v>
      </c>
      <c r="E18" s="102" t="s">
        <v>346</v>
      </c>
      <c r="F18" s="103" t="s">
        <v>627</v>
      </c>
      <c r="G18" s="101">
        <v>3</v>
      </c>
      <c r="H18" s="102" t="s">
        <v>343</v>
      </c>
      <c r="I18" s="105"/>
      <c r="J18" s="74"/>
      <c r="K18" s="53">
        <f>VLOOKUP($C18,[4]Sheet2!$D:$J,3,0)</f>
        <v>2.2000000000000001E-3</v>
      </c>
      <c r="L18" s="53" t="str">
        <f>VLOOKUP($C18,[4]Sheet2!$D:$J,4,0)</f>
        <v>CNY</v>
      </c>
      <c r="M18" s="53" t="str">
        <f>VLOOKUP($C18,[4]Sheet2!$D:$J,2,0)</f>
        <v>深圳市奥特高科电子有限公司</v>
      </c>
      <c r="N18" s="53">
        <f t="shared" si="2"/>
        <v>2.2000000000000001E-3</v>
      </c>
      <c r="Q18" s="53" t="str">
        <f>VLOOKUP($C18,[4]Sheet2!$D:$J,5,0)</f>
        <v>56</v>
      </c>
      <c r="R18" s="53" t="str">
        <f>VLOOKUP($C18,[4]Sheet2!$D:$J,6,0)</f>
        <v>10,000.000</v>
      </c>
      <c r="S18" s="53" t="str">
        <f>VLOOKUP($C18,[4]Sheet2!$D:$J,7,0)</f>
        <v>10,000.000</v>
      </c>
    </row>
    <row r="19" spans="1:20" x14ac:dyDescent="0.25">
      <c r="A19" s="100">
        <v>13</v>
      </c>
      <c r="B19" s="100">
        <v>18</v>
      </c>
      <c r="C19" s="104">
        <v>10110007139</v>
      </c>
      <c r="D19" s="102" t="s">
        <v>628</v>
      </c>
      <c r="E19" s="102" t="s">
        <v>347</v>
      </c>
      <c r="F19" s="103" t="s">
        <v>639</v>
      </c>
      <c r="G19" s="101">
        <v>3</v>
      </c>
      <c r="H19" s="102" t="s">
        <v>343</v>
      </c>
      <c r="I19" s="111" t="s">
        <v>42</v>
      </c>
      <c r="J19" s="74"/>
      <c r="K19" s="53">
        <f>VLOOKUP($C19,[4]Sheet2!$D:$J,3,0)</f>
        <v>2.2000000000000001E-3</v>
      </c>
      <c r="L19" s="53" t="str">
        <f>VLOOKUP($C19,[4]Sheet2!$D:$J,4,0)</f>
        <v>CNY</v>
      </c>
      <c r="M19" s="53" t="str">
        <f>VLOOKUP($C19,[4]Sheet2!$D:$J,2,0)</f>
        <v>深圳市天河星供应链有限公司</v>
      </c>
      <c r="N19" s="53">
        <f t="shared" si="2"/>
        <v>2.2000000000000001E-3</v>
      </c>
      <c r="Q19" s="53" t="str">
        <f>VLOOKUP($C19,[4]Sheet2!$D:$J,5,0)</f>
        <v>56</v>
      </c>
      <c r="R19" s="53" t="str">
        <f>VLOOKUP($C19,[4]Sheet2!$D:$J,6,0)</f>
        <v>10,000.000</v>
      </c>
      <c r="S19" s="53" t="str">
        <f>VLOOKUP($C19,[4]Sheet2!$D:$J,7,0)</f>
        <v>1,000.000</v>
      </c>
    </row>
    <row r="20" spans="1:20" x14ac:dyDescent="0.25">
      <c r="A20" s="100"/>
      <c r="B20" s="100">
        <v>19</v>
      </c>
      <c r="C20" s="104">
        <v>10110008729</v>
      </c>
      <c r="D20" s="102" t="s">
        <v>628</v>
      </c>
      <c r="E20" s="102" t="s">
        <v>344</v>
      </c>
      <c r="F20" s="103" t="s">
        <v>630</v>
      </c>
      <c r="G20" s="101">
        <v>3</v>
      </c>
      <c r="H20" s="102" t="s">
        <v>343</v>
      </c>
      <c r="I20" s="105"/>
      <c r="J20" s="74"/>
      <c r="K20" s="53">
        <f>VLOOKUP($C20,[4]Sheet2!$D:$J,3,0)</f>
        <v>2.0999999999999999E-3</v>
      </c>
      <c r="L20" s="53" t="str">
        <f>VLOOKUP($C20,[4]Sheet2!$D:$J,4,0)</f>
        <v>CNY</v>
      </c>
      <c r="M20" s="53" t="str">
        <f>VLOOKUP($C20,[4]Sheet2!$D:$J,2,0)</f>
        <v>广东风华高新科技股份有限公司</v>
      </c>
      <c r="N20" s="53">
        <f t="shared" si="2"/>
        <v>2.0999999999999999E-3</v>
      </c>
      <c r="Q20" s="53" t="str">
        <f>VLOOKUP($C20,[4]Sheet2!$D:$J,5,0)</f>
        <v>56</v>
      </c>
      <c r="R20" s="53" t="str">
        <f>VLOOKUP($C20,[4]Sheet2!$D:$J,6,0)</f>
        <v>10,000.000</v>
      </c>
      <c r="S20" s="53" t="str">
        <f>VLOOKUP($C20,[4]Sheet2!$D:$J,7,0)</f>
        <v>10,000.000</v>
      </c>
    </row>
    <row r="21" spans="1:20" x14ac:dyDescent="0.25">
      <c r="A21" s="100"/>
      <c r="B21" s="100">
        <v>20</v>
      </c>
      <c r="C21" s="104">
        <v>10110004676</v>
      </c>
      <c r="D21" s="102" t="s">
        <v>626</v>
      </c>
      <c r="E21" s="102" t="s">
        <v>345</v>
      </c>
      <c r="F21" s="103" t="s">
        <v>629</v>
      </c>
      <c r="G21" s="101">
        <v>3</v>
      </c>
      <c r="H21" s="102" t="s">
        <v>343</v>
      </c>
      <c r="I21" s="111" t="s">
        <v>42</v>
      </c>
      <c r="J21" s="74"/>
      <c r="K21" s="53">
        <f>VLOOKUP($C21,[4]Sheet2!$D:$J,3,0)</f>
        <v>1.98E-3</v>
      </c>
      <c r="L21" s="53" t="str">
        <f>VLOOKUP($C21,[4]Sheet2!$D:$J,4,0)</f>
        <v>CNY</v>
      </c>
      <c r="M21" s="53" t="str">
        <f>VLOOKUP($C21,[4]Sheet2!$D:$J,2,0)</f>
        <v>东莞华科电子有限公司</v>
      </c>
      <c r="N21" s="53">
        <f t="shared" si="2"/>
        <v>1.98E-3</v>
      </c>
      <c r="Q21" s="53" t="str">
        <f>VLOOKUP($C21,[4]Sheet2!$D:$J,5,0)</f>
        <v>56</v>
      </c>
      <c r="R21" s="53" t="str">
        <f>VLOOKUP($C21,[4]Sheet2!$D:$J,6,0)</f>
        <v>10,000.000</v>
      </c>
      <c r="S21" s="53" t="str">
        <f>VLOOKUP($C21,[4]Sheet2!$D:$J,7,0)</f>
        <v>10,000.000</v>
      </c>
    </row>
    <row r="22" spans="1:20" x14ac:dyDescent="0.25">
      <c r="A22" s="100"/>
      <c r="B22" s="100">
        <v>21</v>
      </c>
      <c r="C22" s="104">
        <v>10110011269</v>
      </c>
      <c r="D22" s="102" t="s">
        <v>626</v>
      </c>
      <c r="E22" s="102" t="s">
        <v>342</v>
      </c>
      <c r="F22" s="103" t="s">
        <v>631</v>
      </c>
      <c r="G22" s="101">
        <v>3</v>
      </c>
      <c r="H22" s="102" t="s">
        <v>343</v>
      </c>
      <c r="I22" s="111" t="s">
        <v>42</v>
      </c>
      <c r="J22" s="74"/>
      <c r="K22" s="53">
        <f>VLOOKUP($C22,[4]Sheet2!$D:$J,3,0)</f>
        <v>1.8500000000000001E-3</v>
      </c>
      <c r="L22" s="53" t="str">
        <f>VLOOKUP($C22,[4]Sheet2!$D:$J,4,0)</f>
        <v>CNY</v>
      </c>
      <c r="M22" s="53" t="str">
        <f>VLOOKUP($C22,[4]Sheet2!$D:$J,2,0)</f>
        <v>潮州三环（集团）股份有限公司</v>
      </c>
      <c r="N22" s="53">
        <f t="shared" si="2"/>
        <v>1.8500000000000001E-3</v>
      </c>
      <c r="O22" s="110">
        <f>N22*G22</f>
        <v>5.5500000000000002E-3</v>
      </c>
      <c r="Q22" s="53" t="str">
        <f>VLOOKUP($C22,[4]Sheet2!$D:$J,5,0)</f>
        <v>56</v>
      </c>
      <c r="R22" s="53" t="str">
        <f>VLOOKUP($C22,[4]Sheet2!$D:$J,6,0)</f>
        <v>10,000.000</v>
      </c>
      <c r="S22" s="53" t="str">
        <f>VLOOKUP($C22,[4]Sheet2!$D:$J,7,0)</f>
        <v>10,000.000</v>
      </c>
      <c r="T22" s="110" t="s">
        <v>37</v>
      </c>
    </row>
    <row r="23" spans="1:20" x14ac:dyDescent="0.25">
      <c r="A23" s="100"/>
      <c r="B23" s="100">
        <v>22</v>
      </c>
      <c r="C23" s="104">
        <v>10110007822</v>
      </c>
      <c r="D23" s="102" t="s">
        <v>628</v>
      </c>
      <c r="E23" s="102" t="s">
        <v>175</v>
      </c>
      <c r="F23" s="103" t="s">
        <v>639</v>
      </c>
      <c r="G23" s="101">
        <v>4</v>
      </c>
      <c r="H23" s="102" t="s">
        <v>562</v>
      </c>
      <c r="I23" s="111" t="s">
        <v>42</v>
      </c>
      <c r="J23" s="74"/>
      <c r="K23" s="53">
        <f>VLOOKUP($C23,[4]Sheet2!$D:$J,3,0)</f>
        <v>2.3999999999999998E-3</v>
      </c>
      <c r="L23" s="53" t="str">
        <f>VLOOKUP($C23,[4]Sheet2!$D:$J,4,0)</f>
        <v>CNY</v>
      </c>
      <c r="M23" s="53" t="str">
        <f>VLOOKUP($C23,[4]Sheet2!$D:$J,2,0)</f>
        <v>广东顺德集财电子有限公司</v>
      </c>
      <c r="N23" s="53">
        <f t="shared" si="2"/>
        <v>2.3999999999999998E-3</v>
      </c>
      <c r="Q23" s="53" t="str">
        <f>VLOOKUP($C23,[4]Sheet2!$D:$J,5,0)</f>
        <v>56</v>
      </c>
      <c r="R23" s="53" t="str">
        <f>VLOOKUP($C23,[4]Sheet2!$D:$J,6,0)</f>
        <v>10,000.000</v>
      </c>
      <c r="S23" s="53" t="str">
        <f>VLOOKUP($C23,[4]Sheet2!$D:$J,7,0)</f>
        <v>10,000.000</v>
      </c>
    </row>
    <row r="24" spans="1:20" x14ac:dyDescent="0.25">
      <c r="A24" s="100">
        <v>14</v>
      </c>
      <c r="B24" s="100">
        <v>23</v>
      </c>
      <c r="C24" s="104">
        <v>10110003896</v>
      </c>
      <c r="D24" s="102" t="s">
        <v>626</v>
      </c>
      <c r="E24" s="102" t="s">
        <v>174</v>
      </c>
      <c r="F24" s="103" t="s">
        <v>627</v>
      </c>
      <c r="G24" s="101">
        <v>4</v>
      </c>
      <c r="H24" s="102" t="s">
        <v>562</v>
      </c>
      <c r="I24" s="105"/>
      <c r="J24" s="74"/>
      <c r="K24" s="53">
        <f>VLOOKUP($C24,[4]Sheet2!$D:$J,3,0)</f>
        <v>2.3E-3</v>
      </c>
      <c r="L24" s="53" t="str">
        <f>VLOOKUP($C24,[4]Sheet2!$D:$J,4,0)</f>
        <v>CNY</v>
      </c>
      <c r="M24" s="53" t="str">
        <f>VLOOKUP($C24,[4]Sheet2!$D:$J,2,0)</f>
        <v>深圳市奥特高科电子有限公司</v>
      </c>
      <c r="N24" s="53">
        <f t="shared" si="2"/>
        <v>2.3E-3</v>
      </c>
      <c r="Q24" s="53" t="str">
        <f>VLOOKUP($C24,[4]Sheet2!$D:$J,5,0)</f>
        <v>56</v>
      </c>
      <c r="R24" s="53" t="str">
        <f>VLOOKUP($C24,[4]Sheet2!$D:$J,6,0)</f>
        <v>10,000.000</v>
      </c>
      <c r="S24" s="53" t="str">
        <f>VLOOKUP($C24,[4]Sheet2!$D:$J,7,0)</f>
        <v>10,000.000</v>
      </c>
    </row>
    <row r="25" spans="1:20" x14ac:dyDescent="0.25">
      <c r="A25" s="100"/>
      <c r="B25" s="100">
        <v>24</v>
      </c>
      <c r="C25" s="104">
        <v>10110008734</v>
      </c>
      <c r="D25" s="102" t="s">
        <v>628</v>
      </c>
      <c r="E25" s="102" t="s">
        <v>171</v>
      </c>
      <c r="F25" s="103" t="s">
        <v>630</v>
      </c>
      <c r="G25" s="101">
        <v>4</v>
      </c>
      <c r="H25" s="102" t="s">
        <v>562</v>
      </c>
      <c r="I25" s="105"/>
      <c r="J25" s="74"/>
      <c r="K25" s="53">
        <f>VLOOKUP($C25,[4]Sheet2!$D:$J,3,0)</f>
        <v>2.0999999999999999E-3</v>
      </c>
      <c r="L25" s="53" t="str">
        <f>VLOOKUP($C25,[4]Sheet2!$D:$J,4,0)</f>
        <v>CNY</v>
      </c>
      <c r="M25" s="53" t="str">
        <f>VLOOKUP($C25,[4]Sheet2!$D:$J,2,0)</f>
        <v>广东风华高新科技股份有限公司</v>
      </c>
      <c r="N25" s="53">
        <f t="shared" si="2"/>
        <v>2.0999999999999999E-3</v>
      </c>
      <c r="Q25" s="53" t="str">
        <f>VLOOKUP($C25,[4]Sheet2!$D:$J,5,0)</f>
        <v>56</v>
      </c>
      <c r="R25" s="53" t="str">
        <f>VLOOKUP($C25,[4]Sheet2!$D:$J,6,0)</f>
        <v>10,000.000</v>
      </c>
      <c r="S25" s="53" t="str">
        <f>VLOOKUP($C25,[4]Sheet2!$D:$J,7,0)</f>
        <v>10,000.000</v>
      </c>
    </row>
    <row r="26" spans="1:20" x14ac:dyDescent="0.25">
      <c r="A26" s="100"/>
      <c r="B26" s="100">
        <v>25</v>
      </c>
      <c r="C26" s="104">
        <v>10110005817</v>
      </c>
      <c r="D26" s="102" t="s">
        <v>626</v>
      </c>
      <c r="E26" s="102" t="s">
        <v>173</v>
      </c>
      <c r="F26" s="103" t="s">
        <v>629</v>
      </c>
      <c r="G26" s="101">
        <v>4</v>
      </c>
      <c r="H26" s="102" t="s">
        <v>562</v>
      </c>
      <c r="I26" s="111" t="s">
        <v>42</v>
      </c>
      <c r="J26" s="74"/>
      <c r="K26" s="53">
        <f>VLOOKUP($C26,[4]Sheet2!$D:$J,3,0)</f>
        <v>1.98E-3</v>
      </c>
      <c r="L26" s="53" t="str">
        <f>VLOOKUP($C26,[4]Sheet2!$D:$J,4,0)</f>
        <v>CNY</v>
      </c>
      <c r="M26" s="53" t="str">
        <f>VLOOKUP($C26,[4]Sheet2!$D:$J,2,0)</f>
        <v>东莞华科电子有限公司</v>
      </c>
      <c r="N26" s="53">
        <f t="shared" si="2"/>
        <v>1.98E-3</v>
      </c>
      <c r="Q26" s="53" t="str">
        <f>VLOOKUP($C26,[4]Sheet2!$D:$J,5,0)</f>
        <v>56</v>
      </c>
      <c r="R26" s="53" t="str">
        <f>VLOOKUP($C26,[4]Sheet2!$D:$J,6,0)</f>
        <v>10,000.000</v>
      </c>
      <c r="S26" s="53" t="str">
        <f>VLOOKUP($C26,[4]Sheet2!$D:$J,7,0)</f>
        <v>10,000.000</v>
      </c>
    </row>
    <row r="27" spans="1:20" x14ac:dyDescent="0.25">
      <c r="A27" s="100"/>
      <c r="B27" s="100">
        <v>26</v>
      </c>
      <c r="C27" s="104">
        <v>10110012149</v>
      </c>
      <c r="D27" s="102" t="s">
        <v>628</v>
      </c>
      <c r="E27" s="102" t="s">
        <v>169</v>
      </c>
      <c r="F27" s="103" t="s">
        <v>631</v>
      </c>
      <c r="G27" s="101">
        <v>4</v>
      </c>
      <c r="H27" s="102" t="s">
        <v>562</v>
      </c>
      <c r="I27" s="111" t="s">
        <v>42</v>
      </c>
      <c r="J27" s="74"/>
      <c r="K27" s="53">
        <f>VLOOKUP($C27,[4]Sheet2!$D:$J,3,0)</f>
        <v>1.8500000000000001E-3</v>
      </c>
      <c r="L27" s="53" t="str">
        <f>VLOOKUP($C27,[4]Sheet2!$D:$J,4,0)</f>
        <v>CNY</v>
      </c>
      <c r="M27" s="53" t="str">
        <f>VLOOKUP($C27,[4]Sheet2!$D:$J,2,0)</f>
        <v>潮州三环（集团）股份有限公司</v>
      </c>
      <c r="N27" s="53">
        <f t="shared" si="2"/>
        <v>1.8500000000000001E-3</v>
      </c>
      <c r="O27" s="110">
        <f>N27*G27</f>
        <v>7.4000000000000003E-3</v>
      </c>
      <c r="Q27" s="53" t="str">
        <f>VLOOKUP($C27,[4]Sheet2!$D:$J,5,0)</f>
        <v>56</v>
      </c>
      <c r="R27" s="53" t="str">
        <f>VLOOKUP($C27,[4]Sheet2!$D:$J,6,0)</f>
        <v>10,000.000</v>
      </c>
      <c r="S27" s="53" t="str">
        <f>VLOOKUP($C27,[4]Sheet2!$D:$J,7,0)</f>
        <v>10,000.000</v>
      </c>
      <c r="T27" s="110" t="s">
        <v>37</v>
      </c>
    </row>
    <row r="28" spans="1:20" ht="25.2" x14ac:dyDescent="0.25">
      <c r="A28" s="100"/>
      <c r="B28" s="100">
        <v>27</v>
      </c>
      <c r="C28" s="104">
        <v>10110007154</v>
      </c>
      <c r="D28" s="102" t="s">
        <v>628</v>
      </c>
      <c r="E28" s="102" t="s">
        <v>71</v>
      </c>
      <c r="F28" s="103" t="s">
        <v>640</v>
      </c>
      <c r="G28" s="101">
        <v>2</v>
      </c>
      <c r="H28" s="102" t="s">
        <v>564</v>
      </c>
      <c r="I28" s="111" t="s">
        <v>42</v>
      </c>
      <c r="J28" s="74"/>
      <c r="K28" s="53" t="e">
        <f>VLOOKUP($C28,[4]Sheet2!$D:$J,3,0)</f>
        <v>#N/A</v>
      </c>
      <c r="L28" s="53" t="e">
        <f>VLOOKUP($C28,[4]Sheet2!$D:$J,4,0)</f>
        <v>#N/A</v>
      </c>
      <c r="M28" s="53" t="e">
        <f>VLOOKUP($C28,[4]Sheet2!$D:$J,2,0)</f>
        <v>#N/A</v>
      </c>
      <c r="N28" s="113">
        <v>0.23599999999999999</v>
      </c>
      <c r="O28" s="110">
        <f>N28*G28</f>
        <v>0.47199999999999998</v>
      </c>
      <c r="P28" s="114" t="s">
        <v>73</v>
      </c>
      <c r="Q28" s="53" t="e">
        <f>VLOOKUP($C28,[4]Sheet2!$D:$J,5,0)</f>
        <v>#N/A</v>
      </c>
      <c r="R28" s="53" t="e">
        <f>VLOOKUP($C28,[4]Sheet2!$D:$J,6,0)</f>
        <v>#N/A</v>
      </c>
      <c r="S28" s="53" t="e">
        <f>VLOOKUP($C28,[4]Sheet2!$D:$J,7,0)</f>
        <v>#N/A</v>
      </c>
      <c r="T28" s="110" t="s">
        <v>37</v>
      </c>
    </row>
    <row r="29" spans="1:20" x14ac:dyDescent="0.25">
      <c r="A29" s="100">
        <v>15</v>
      </c>
      <c r="B29" s="100">
        <v>28</v>
      </c>
      <c r="C29" s="104">
        <v>10110009749</v>
      </c>
      <c r="D29" s="102" t="s">
        <v>626</v>
      </c>
      <c r="E29" s="102" t="s">
        <v>354</v>
      </c>
      <c r="F29" s="103" t="s">
        <v>639</v>
      </c>
      <c r="G29" s="101">
        <v>4</v>
      </c>
      <c r="H29" s="102" t="s">
        <v>641</v>
      </c>
      <c r="I29" s="105"/>
      <c r="J29" s="74"/>
      <c r="K29" s="53">
        <f>VLOOKUP($C29,[4]Sheet2!$D:$J,3,0)</f>
        <v>9.5499999999999995E-3</v>
      </c>
      <c r="L29" s="53" t="str">
        <f>VLOOKUP($C29,[4]Sheet2!$D:$J,4,0)</f>
        <v>CNY</v>
      </c>
      <c r="M29" s="53" t="str">
        <f>VLOOKUP($C29,[4]Sheet2!$D:$J,2,0)</f>
        <v>深圳市欧亚达电子有限公司</v>
      </c>
      <c r="N29" s="53">
        <f t="shared" ref="N29:N40" si="3">K29</f>
        <v>9.5499999999999995E-3</v>
      </c>
      <c r="Q29" s="53" t="str">
        <f>VLOOKUP($C29,[4]Sheet2!$D:$J,5,0)</f>
        <v>84</v>
      </c>
      <c r="R29" s="53" t="str">
        <f>VLOOKUP($C29,[4]Sheet2!$D:$J,6,0)</f>
        <v>10,000.000</v>
      </c>
      <c r="S29" s="53" t="str">
        <f>VLOOKUP($C29,[4]Sheet2!$D:$J,7,0)</f>
        <v>10,000.000</v>
      </c>
    </row>
    <row r="30" spans="1:20" x14ac:dyDescent="0.25">
      <c r="A30" s="100"/>
      <c r="B30" s="100">
        <v>29</v>
      </c>
      <c r="C30" s="104">
        <v>10110005377</v>
      </c>
      <c r="D30" s="102" t="s">
        <v>626</v>
      </c>
      <c r="E30" s="102" t="s">
        <v>352</v>
      </c>
      <c r="F30" s="103" t="s">
        <v>629</v>
      </c>
      <c r="G30" s="101">
        <v>4</v>
      </c>
      <c r="H30" s="102" t="s">
        <v>641</v>
      </c>
      <c r="I30" s="105"/>
      <c r="J30" s="74"/>
      <c r="K30" s="53">
        <f>VLOOKUP($C30,[4]Sheet2!$D:$J,3,0)</f>
        <v>2.98E-3</v>
      </c>
      <c r="L30" s="53" t="str">
        <f>VLOOKUP($C30,[4]Sheet2!$D:$J,4,0)</f>
        <v>CNY</v>
      </c>
      <c r="M30" s="53" t="str">
        <f>VLOOKUP($C30,[4]Sheet2!$D:$J,2,0)</f>
        <v>深圳市巨新科电子有限公司</v>
      </c>
      <c r="N30" s="53">
        <f t="shared" si="3"/>
        <v>2.98E-3</v>
      </c>
      <c r="Q30" s="53" t="str">
        <f>VLOOKUP($C30,[4]Sheet2!$D:$J,5,0)</f>
        <v>90</v>
      </c>
      <c r="R30" s="53" t="str">
        <f>VLOOKUP($C30,[4]Sheet2!$D:$J,6,0)</f>
        <v>10,000.000</v>
      </c>
      <c r="S30" s="53" t="str">
        <f>VLOOKUP($C30,[4]Sheet2!$D:$J,7,0)</f>
        <v>10,000.000</v>
      </c>
    </row>
    <row r="31" spans="1:20" x14ac:dyDescent="0.25">
      <c r="A31" s="100"/>
      <c r="B31" s="100">
        <v>30</v>
      </c>
      <c r="C31" s="104">
        <v>10110005378</v>
      </c>
      <c r="D31" s="102" t="s">
        <v>626</v>
      </c>
      <c r="E31" s="102" t="s">
        <v>353</v>
      </c>
      <c r="F31" s="103" t="s">
        <v>627</v>
      </c>
      <c r="G31" s="101">
        <v>4</v>
      </c>
      <c r="H31" s="102" t="s">
        <v>641</v>
      </c>
      <c r="I31" s="105"/>
      <c r="J31" s="74"/>
      <c r="K31" s="53">
        <f>VLOOKUP($C31,[4]Sheet2!$D:$J,3,0)</f>
        <v>2.3999999999999998E-3</v>
      </c>
      <c r="L31" s="53" t="str">
        <f>VLOOKUP($C31,[4]Sheet2!$D:$J,4,0)</f>
        <v>CNY</v>
      </c>
      <c r="M31" s="53" t="str">
        <f>VLOOKUP($C31,[4]Sheet2!$D:$J,2,0)</f>
        <v>深圳市吉利通电子有限公司</v>
      </c>
      <c r="N31" s="53">
        <f t="shared" si="3"/>
        <v>2.3999999999999998E-3</v>
      </c>
      <c r="Q31" s="53" t="str">
        <f>VLOOKUP($C31,[4]Sheet2!$D:$J,5,0)</f>
        <v>168</v>
      </c>
      <c r="R31" s="53" t="str">
        <f>VLOOKUP($C31,[4]Sheet2!$D:$J,6,0)</f>
        <v>10,000.000</v>
      </c>
      <c r="S31" s="53" t="str">
        <f>VLOOKUP($C31,[4]Sheet2!$D:$J,7,0)</f>
        <v>10,000.000</v>
      </c>
    </row>
    <row r="32" spans="1:20" x14ac:dyDescent="0.25">
      <c r="A32" s="100"/>
      <c r="B32" s="100">
        <v>31</v>
      </c>
      <c r="C32" s="104">
        <v>10110008726</v>
      </c>
      <c r="D32" s="102" t="s">
        <v>628</v>
      </c>
      <c r="E32" s="102" t="s">
        <v>351</v>
      </c>
      <c r="F32" s="103" t="s">
        <v>630</v>
      </c>
      <c r="G32" s="101">
        <v>4</v>
      </c>
      <c r="H32" s="102" t="s">
        <v>641</v>
      </c>
      <c r="I32" s="105"/>
      <c r="J32" s="74"/>
      <c r="K32" s="53">
        <f>VLOOKUP($C32,[4]Sheet2!$D:$J,3,0)</f>
        <v>2.2000000000000001E-3</v>
      </c>
      <c r="L32" s="53" t="str">
        <f>VLOOKUP($C32,[4]Sheet2!$D:$J,4,0)</f>
        <v>CNY</v>
      </c>
      <c r="M32" s="53" t="str">
        <f>VLOOKUP($C32,[4]Sheet2!$D:$J,2,0)</f>
        <v>深圳市天河星供应链有限公司</v>
      </c>
      <c r="N32" s="53">
        <f t="shared" si="3"/>
        <v>2.2000000000000001E-3</v>
      </c>
      <c r="Q32" s="53" t="str">
        <f>VLOOKUP($C32,[4]Sheet2!$D:$J,5,0)</f>
        <v>56</v>
      </c>
      <c r="R32" s="53" t="str">
        <f>VLOOKUP($C32,[4]Sheet2!$D:$J,6,0)</f>
        <v>10,000.000</v>
      </c>
      <c r="S32" s="53" t="str">
        <f>VLOOKUP($C32,[4]Sheet2!$D:$J,7,0)</f>
        <v>10,000.000</v>
      </c>
    </row>
    <row r="33" spans="1:20" x14ac:dyDescent="0.25">
      <c r="A33" s="100"/>
      <c r="B33" s="100">
        <v>32</v>
      </c>
      <c r="C33" s="104">
        <v>10110012147</v>
      </c>
      <c r="D33" s="102" t="s">
        <v>628</v>
      </c>
      <c r="E33" s="102" t="s">
        <v>349</v>
      </c>
      <c r="F33" s="103" t="s">
        <v>631</v>
      </c>
      <c r="G33" s="101">
        <v>4</v>
      </c>
      <c r="H33" s="102" t="s">
        <v>641</v>
      </c>
      <c r="I33" s="105"/>
      <c r="J33" s="74"/>
      <c r="K33" s="53">
        <f>VLOOKUP($C33,[4]Sheet2!$D:$J,3,0)</f>
        <v>1.9499999999999999E-3</v>
      </c>
      <c r="L33" s="53" t="str">
        <f>VLOOKUP($C33,[4]Sheet2!$D:$J,4,0)</f>
        <v>CNY</v>
      </c>
      <c r="M33" s="53" t="str">
        <f>VLOOKUP($C33,[4]Sheet2!$D:$J,2,0)</f>
        <v>潮州三环（集团）股份有限公司</v>
      </c>
      <c r="N33" s="53">
        <f t="shared" si="3"/>
        <v>1.9499999999999999E-3</v>
      </c>
      <c r="O33" s="110">
        <f t="shared" ref="O33:O38" si="4">N33*G33</f>
        <v>7.7999999999999996E-3</v>
      </c>
      <c r="Q33" s="53" t="str">
        <f>VLOOKUP($C33,[4]Sheet2!$D:$J,5,0)</f>
        <v>56</v>
      </c>
      <c r="R33" s="53" t="str">
        <f>VLOOKUP($C33,[4]Sheet2!$D:$J,6,0)</f>
        <v>10,000.000</v>
      </c>
      <c r="S33" s="53" t="str">
        <f>VLOOKUP($C33,[4]Sheet2!$D:$J,7,0)</f>
        <v>10,000.000</v>
      </c>
      <c r="T33" s="110" t="s">
        <v>37</v>
      </c>
    </row>
    <row r="34" spans="1:20" x14ac:dyDescent="0.25">
      <c r="A34" s="100">
        <v>16</v>
      </c>
      <c r="B34" s="100">
        <v>33</v>
      </c>
      <c r="C34" s="104">
        <v>10110020767</v>
      </c>
      <c r="D34" s="102" t="s">
        <v>628</v>
      </c>
      <c r="E34" s="102" t="s">
        <v>45</v>
      </c>
      <c r="F34" s="103" t="s">
        <v>627</v>
      </c>
      <c r="G34" s="101">
        <v>2</v>
      </c>
      <c r="H34" s="247" t="s">
        <v>642</v>
      </c>
      <c r="I34" s="105"/>
      <c r="J34" s="74"/>
      <c r="K34" s="53">
        <f>VLOOKUP($C34,[4]Sheet2!$D:$J,3,0)</f>
        <v>5.5399999999999998E-2</v>
      </c>
      <c r="L34" s="53" t="str">
        <f>VLOOKUP($C34,[4]Sheet2!$D:$J,4,0)</f>
        <v>CNY</v>
      </c>
      <c r="M34" s="53" t="str">
        <f>VLOOKUP($C34,[4]Sheet2!$D:$J,2,0)</f>
        <v>广东顺德集财电子有限公司</v>
      </c>
      <c r="N34" s="53">
        <f t="shared" si="3"/>
        <v>5.5399999999999998E-2</v>
      </c>
      <c r="Q34" s="53" t="str">
        <f>VLOOKUP($C34,[4]Sheet2!$D:$J,5,0)</f>
        <v>84</v>
      </c>
      <c r="R34" s="53" t="str">
        <f>VLOOKUP($C34,[4]Sheet2!$D:$J,6,0)</f>
        <v>10,000.000</v>
      </c>
      <c r="S34" s="53" t="str">
        <f>VLOOKUP($C34,[4]Sheet2!$D:$J,7,0)</f>
        <v>10,000.000</v>
      </c>
    </row>
    <row r="35" spans="1:20" x14ac:dyDescent="0.25">
      <c r="A35" s="100">
        <v>17</v>
      </c>
      <c r="B35" s="100">
        <v>34</v>
      </c>
      <c r="C35" s="104">
        <v>10110027253</v>
      </c>
      <c r="D35" s="102" t="s">
        <v>628</v>
      </c>
      <c r="E35" s="102" t="s">
        <v>643</v>
      </c>
      <c r="F35" s="103" t="s">
        <v>644</v>
      </c>
      <c r="G35" s="101">
        <v>2</v>
      </c>
      <c r="H35" s="247" t="s">
        <v>642</v>
      </c>
      <c r="I35" s="111" t="s">
        <v>42</v>
      </c>
      <c r="J35" s="74"/>
      <c r="K35" s="53">
        <f>VLOOKUP($C35,[4]Sheet2!$D:$J,3,0)</f>
        <v>1.6E-2</v>
      </c>
      <c r="L35" s="53" t="str">
        <f>VLOOKUP($C35,[4]Sheet2!$D:$J,4,0)</f>
        <v>CNY</v>
      </c>
      <c r="M35" s="53" t="str">
        <f>VLOOKUP($C35,[4]Sheet2!$D:$J,2,0)</f>
        <v>广东风华高新科技股份有限公司</v>
      </c>
      <c r="N35" s="53">
        <f t="shared" si="3"/>
        <v>1.6E-2</v>
      </c>
      <c r="O35" s="110">
        <f t="shared" si="4"/>
        <v>3.2000000000000001E-2</v>
      </c>
      <c r="Q35" s="53" t="str">
        <f>VLOOKUP($C35,[4]Sheet2!$D:$J,5,0)</f>
        <v>42</v>
      </c>
      <c r="R35" s="53" t="str">
        <f>VLOOKUP($C35,[4]Sheet2!$D:$J,6,0)</f>
        <v>10,000.000</v>
      </c>
      <c r="S35" s="53" t="str">
        <f>VLOOKUP($C35,[4]Sheet2!$D:$J,7,0)</f>
        <v>10,000.000</v>
      </c>
      <c r="T35" s="110" t="s">
        <v>37</v>
      </c>
    </row>
    <row r="36" spans="1:20" x14ac:dyDescent="0.25">
      <c r="A36" s="100"/>
      <c r="B36" s="100">
        <v>35</v>
      </c>
      <c r="C36" s="104">
        <v>10110016965</v>
      </c>
      <c r="D36" s="102" t="s">
        <v>44</v>
      </c>
      <c r="E36" s="102" t="s">
        <v>645</v>
      </c>
      <c r="F36" s="103" t="s">
        <v>77</v>
      </c>
      <c r="G36" s="101">
        <v>1</v>
      </c>
      <c r="H36" s="102" t="s">
        <v>369</v>
      </c>
      <c r="I36" s="111" t="s">
        <v>42</v>
      </c>
      <c r="J36" s="74"/>
      <c r="K36" s="53">
        <f>VLOOKUP($C36,[4]Sheet2!$D:$J,3,0)</f>
        <v>1.695E-2</v>
      </c>
      <c r="L36" s="53" t="str">
        <f>VLOOKUP($C36,[4]Sheet2!$D:$J,4,0)</f>
        <v>CNY</v>
      </c>
      <c r="M36" s="53" t="str">
        <f>VLOOKUP($C36,[4]Sheet2!$D:$J,2,0)</f>
        <v>深圳市巨新科电子有限公司</v>
      </c>
      <c r="N36" s="53">
        <f t="shared" si="3"/>
        <v>1.695E-2</v>
      </c>
      <c r="Q36" s="53" t="str">
        <f>VLOOKUP($C36,[4]Sheet2!$D:$J,5,0)</f>
        <v>90</v>
      </c>
      <c r="R36" s="53" t="str">
        <f>VLOOKUP($C36,[4]Sheet2!$D:$J,6,0)</f>
        <v>4,000.000</v>
      </c>
      <c r="S36" s="53" t="str">
        <f>VLOOKUP($C36,[4]Sheet2!$D:$J,7,0)</f>
        <v>4,000.000</v>
      </c>
    </row>
    <row r="37" spans="1:20" x14ac:dyDescent="0.25">
      <c r="A37" s="100"/>
      <c r="B37" s="100">
        <v>36</v>
      </c>
      <c r="C37" s="104">
        <v>10110016977</v>
      </c>
      <c r="D37" s="102" t="s">
        <v>44</v>
      </c>
      <c r="E37" s="102" t="s">
        <v>646</v>
      </c>
      <c r="F37" s="103" t="s">
        <v>46</v>
      </c>
      <c r="G37" s="101">
        <v>1</v>
      </c>
      <c r="H37" s="102" t="s">
        <v>369</v>
      </c>
      <c r="I37" s="105"/>
      <c r="J37" s="74"/>
      <c r="K37" s="53">
        <f>VLOOKUP($C37,[4]Sheet2!$D:$J,3,0)</f>
        <v>1.0200000000000001E-2</v>
      </c>
      <c r="L37" s="53" t="str">
        <f>VLOOKUP($C37,[4]Sheet2!$D:$J,4,0)</f>
        <v>CNY</v>
      </c>
      <c r="M37" s="53" t="str">
        <f>VLOOKUP($C37,[4]Sheet2!$D:$J,2,0)</f>
        <v>广东顺德集财电子有限公司</v>
      </c>
      <c r="N37" s="53">
        <f t="shared" si="3"/>
        <v>1.0200000000000001E-2</v>
      </c>
      <c r="Q37" s="53" t="str">
        <f>VLOOKUP($C37,[4]Sheet2!$D:$J,5,0)</f>
        <v>56</v>
      </c>
      <c r="R37" s="53" t="str">
        <f>VLOOKUP($C37,[4]Sheet2!$D:$J,6,0)</f>
        <v>4,000.000</v>
      </c>
      <c r="S37" s="53" t="str">
        <f>VLOOKUP($C37,[4]Sheet2!$D:$J,7,0)</f>
        <v>4,000.000</v>
      </c>
    </row>
    <row r="38" spans="1:20" x14ac:dyDescent="0.25">
      <c r="A38" s="100"/>
      <c r="B38" s="100">
        <v>37</v>
      </c>
      <c r="C38" s="104">
        <v>10110016988</v>
      </c>
      <c r="D38" s="102" t="s">
        <v>44</v>
      </c>
      <c r="E38" s="102" t="s">
        <v>647</v>
      </c>
      <c r="F38" s="107" t="s">
        <v>648</v>
      </c>
      <c r="G38" s="101">
        <v>1</v>
      </c>
      <c r="H38" s="102" t="s">
        <v>369</v>
      </c>
      <c r="I38" s="111" t="s">
        <v>42</v>
      </c>
      <c r="J38" s="74"/>
      <c r="K38" s="53">
        <f>VLOOKUP($C38,[4]Sheet2!$D:$J,3,0)</f>
        <v>9.2999999999999992E-3</v>
      </c>
      <c r="L38" s="53" t="str">
        <f>VLOOKUP($C38,[4]Sheet2!$D:$J,4,0)</f>
        <v>CNY</v>
      </c>
      <c r="M38" s="53" t="str">
        <f>VLOOKUP($C38,[4]Sheet2!$D:$J,2,0)</f>
        <v>广东风华高新科技股份有限公司</v>
      </c>
      <c r="N38" s="53">
        <f t="shared" si="3"/>
        <v>9.2999999999999992E-3</v>
      </c>
      <c r="O38" s="110">
        <f t="shared" si="4"/>
        <v>9.2999999999999992E-3</v>
      </c>
      <c r="Q38" s="53" t="str">
        <f>VLOOKUP($C38,[4]Sheet2!$D:$J,5,0)</f>
        <v>56</v>
      </c>
      <c r="R38" s="53" t="str">
        <f>VLOOKUP($C38,[4]Sheet2!$D:$J,6,0)</f>
        <v>4,000.000</v>
      </c>
      <c r="S38" s="53" t="str">
        <f>VLOOKUP($C38,[4]Sheet2!$D:$J,7,0)</f>
        <v>4,000.000</v>
      </c>
      <c r="T38" s="110" t="s">
        <v>37</v>
      </c>
    </row>
    <row r="39" spans="1:20" ht="25.2" x14ac:dyDescent="0.25">
      <c r="A39" s="100"/>
      <c r="B39" s="100">
        <v>38</v>
      </c>
      <c r="C39" s="104">
        <v>10110018934</v>
      </c>
      <c r="D39" s="102" t="s">
        <v>44</v>
      </c>
      <c r="E39" s="102" t="s">
        <v>366</v>
      </c>
      <c r="F39" s="103" t="s">
        <v>649</v>
      </c>
      <c r="G39" s="101">
        <v>1</v>
      </c>
      <c r="H39" s="102" t="s">
        <v>365</v>
      </c>
      <c r="I39" s="111" t="s">
        <v>42</v>
      </c>
      <c r="J39" s="74"/>
      <c r="K39" s="53">
        <f>VLOOKUP($C39,[4]Sheet2!$D:$J,3,0)</f>
        <v>1.2999999999999999E-2</v>
      </c>
      <c r="L39" s="53" t="str">
        <f>VLOOKUP($C39,[4]Sheet2!$D:$J,4,0)</f>
        <v>CNY</v>
      </c>
      <c r="M39" s="53" t="str">
        <f>VLOOKUP($C39,[4]Sheet2!$D:$J,2,0)</f>
        <v>深圳市超利维实业有限公司</v>
      </c>
      <c r="N39" s="53">
        <f t="shared" si="3"/>
        <v>1.2999999999999999E-2</v>
      </c>
      <c r="Q39" s="53" t="str">
        <f>VLOOKUP($C39,[4]Sheet2!$D:$J,5,0)</f>
        <v>112</v>
      </c>
      <c r="R39" s="53" t="str">
        <f>VLOOKUP($C39,[4]Sheet2!$D:$J,6,0)</f>
        <v>10,000.000</v>
      </c>
      <c r="S39" s="53" t="str">
        <f>VLOOKUP($C39,[4]Sheet2!$D:$J,7,0)</f>
        <v>10,000.000</v>
      </c>
    </row>
    <row r="40" spans="1:20" x14ac:dyDescent="0.25">
      <c r="A40" s="100" t="s">
        <v>650</v>
      </c>
      <c r="B40" s="100">
        <v>39</v>
      </c>
      <c r="C40" s="104">
        <v>10110018933</v>
      </c>
      <c r="D40" s="102" t="s">
        <v>44</v>
      </c>
      <c r="E40" s="102" t="s">
        <v>364</v>
      </c>
      <c r="F40" s="103" t="s">
        <v>77</v>
      </c>
      <c r="G40" s="101">
        <v>1</v>
      </c>
      <c r="H40" s="102" t="s">
        <v>365</v>
      </c>
      <c r="I40" s="111" t="s">
        <v>42</v>
      </c>
      <c r="J40" s="74"/>
      <c r="K40" s="53">
        <f>VLOOKUP($C40,[4]Sheet2!$D:$J,3,0)</f>
        <v>7.9100000000000004E-3</v>
      </c>
      <c r="L40" s="53" t="str">
        <f>VLOOKUP($C40,[4]Sheet2!$D:$J,4,0)</f>
        <v>CNY</v>
      </c>
      <c r="M40" s="53" t="str">
        <f>VLOOKUP($C40,[4]Sheet2!$D:$J,2,0)</f>
        <v>东莞华科电子有限公司</v>
      </c>
      <c r="N40" s="53">
        <f t="shared" si="3"/>
        <v>7.9100000000000004E-3</v>
      </c>
      <c r="O40" s="110">
        <f t="shared" ref="O40:O48" si="5">N40*G40</f>
        <v>7.9100000000000004E-3</v>
      </c>
      <c r="Q40" s="53" t="str">
        <f>VLOOKUP($C40,[4]Sheet2!$D:$J,5,0)</f>
        <v>84</v>
      </c>
      <c r="R40" s="53" t="str">
        <f>VLOOKUP($C40,[4]Sheet2!$D:$J,6,0)</f>
        <v>10,000.000</v>
      </c>
      <c r="S40" s="53" t="str">
        <f>VLOOKUP($C40,[4]Sheet2!$D:$J,7,0)</f>
        <v>10,000.000</v>
      </c>
      <c r="T40" s="110" t="s">
        <v>37</v>
      </c>
    </row>
    <row r="41" spans="1:20" x14ac:dyDescent="0.25">
      <c r="A41" s="100"/>
      <c r="B41" s="100">
        <v>40</v>
      </c>
      <c r="C41" s="101" t="s">
        <v>393</v>
      </c>
      <c r="D41" s="102" t="s">
        <v>651</v>
      </c>
      <c r="E41" s="102" t="s">
        <v>652</v>
      </c>
      <c r="F41" s="107" t="s">
        <v>262</v>
      </c>
      <c r="G41" s="101">
        <v>1</v>
      </c>
      <c r="H41" s="247" t="s">
        <v>569</v>
      </c>
      <c r="I41" s="105"/>
      <c r="J41" s="74"/>
      <c r="K41" s="53" t="e">
        <f>VLOOKUP($C41,[4]Sheet2!$D:$J,3,0)</f>
        <v>#N/A</v>
      </c>
      <c r="L41" s="53" t="e">
        <f>VLOOKUP($C41,[4]Sheet2!$D:$J,4,0)</f>
        <v>#N/A</v>
      </c>
      <c r="M41" s="53" t="e">
        <f>VLOOKUP($C41,[4]Sheet2!$D:$J,2,0)</f>
        <v>#N/A</v>
      </c>
      <c r="N41" s="53">
        <v>0.14499999999999999</v>
      </c>
      <c r="P41" s="112"/>
      <c r="Q41" s="53" t="e">
        <f>VLOOKUP($C41,[4]Sheet2!$D:$J,5,0)</f>
        <v>#N/A</v>
      </c>
      <c r="R41" s="53" t="e">
        <f>VLOOKUP($C41,[4]Sheet2!$D:$J,6,0)</f>
        <v>#N/A</v>
      </c>
      <c r="S41" s="53" t="e">
        <f>VLOOKUP($C41,[4]Sheet2!$D:$J,7,0)</f>
        <v>#N/A</v>
      </c>
    </row>
    <row r="42" spans="1:20" x14ac:dyDescent="0.25">
      <c r="A42" s="100">
        <v>20</v>
      </c>
      <c r="B42" s="100">
        <v>41</v>
      </c>
      <c r="C42" s="104">
        <v>10110019208</v>
      </c>
      <c r="D42" s="102" t="s">
        <v>651</v>
      </c>
      <c r="E42" s="102" t="s">
        <v>653</v>
      </c>
      <c r="F42" s="103" t="s">
        <v>654</v>
      </c>
      <c r="G42" s="101">
        <v>1</v>
      </c>
      <c r="H42" s="247" t="s">
        <v>569</v>
      </c>
      <c r="I42" s="111" t="s">
        <v>42</v>
      </c>
      <c r="J42" s="74"/>
      <c r="K42" s="53">
        <f>VLOOKUP($C42,[4]Sheet2!$D:$J,3,0)</f>
        <v>0.12429999999999999</v>
      </c>
      <c r="L42" s="53" t="str">
        <f>VLOOKUP($C42,[4]Sheet2!$D:$J,4,0)</f>
        <v>CNY</v>
      </c>
      <c r="M42" s="53" t="str">
        <f>VLOOKUP($C42,[4]Sheet2!$D:$J,2,0)</f>
        <v>东莞华科电子有限公司</v>
      </c>
      <c r="N42" s="53">
        <f t="shared" ref="N42:N45" si="6">K42</f>
        <v>0.12429999999999999</v>
      </c>
      <c r="O42" s="110">
        <f t="shared" si="5"/>
        <v>0.12429999999999999</v>
      </c>
      <c r="Q42" s="53" t="str">
        <f>VLOOKUP($C42,[4]Sheet2!$D:$J,5,0)</f>
        <v>56</v>
      </c>
      <c r="R42" s="53" t="str">
        <f>VLOOKUP($C42,[4]Sheet2!$D:$J,6,0)</f>
        <v>10,000.000</v>
      </c>
      <c r="S42" s="53" t="str">
        <f>VLOOKUP($C42,[4]Sheet2!$D:$J,7,0)</f>
        <v>1,000.000</v>
      </c>
      <c r="T42" s="110" t="s">
        <v>37</v>
      </c>
    </row>
    <row r="43" spans="1:20" x14ac:dyDescent="0.25">
      <c r="A43" s="100"/>
      <c r="B43" s="100">
        <v>42</v>
      </c>
      <c r="C43" s="104">
        <v>10110009071</v>
      </c>
      <c r="D43" s="102" t="s">
        <v>628</v>
      </c>
      <c r="E43" s="102" t="s">
        <v>311</v>
      </c>
      <c r="F43" s="103" t="s">
        <v>629</v>
      </c>
      <c r="G43" s="101">
        <v>1</v>
      </c>
      <c r="H43" s="247" t="s">
        <v>310</v>
      </c>
      <c r="I43" s="111" t="s">
        <v>42</v>
      </c>
      <c r="J43" s="74"/>
      <c r="K43" s="53">
        <f>VLOOKUP($C43,[4]Sheet2!$D:$J,3,0)</f>
        <v>0.16964000000000001</v>
      </c>
      <c r="L43" s="53" t="str">
        <f>VLOOKUP($C43,[4]Sheet2!$D:$J,4,0)</f>
        <v>CNY</v>
      </c>
      <c r="M43" s="53" t="str">
        <f>VLOOKUP($C43,[4]Sheet2!$D:$J,2,0)</f>
        <v>东莞华科电子有限公司</v>
      </c>
      <c r="N43" s="53">
        <f t="shared" si="6"/>
        <v>0.16964000000000001</v>
      </c>
      <c r="Q43" s="53" t="str">
        <f>VLOOKUP($C43,[4]Sheet2!$D:$J,5,0)</f>
        <v>84</v>
      </c>
      <c r="R43" s="53" t="str">
        <f>VLOOKUP($C43,[4]Sheet2!$D:$J,6,0)</f>
        <v>3,000.000</v>
      </c>
      <c r="S43" s="53" t="str">
        <f>VLOOKUP($C43,[4]Sheet2!$D:$J,7,0)</f>
        <v>3,000.000</v>
      </c>
    </row>
    <row r="44" spans="1:20" x14ac:dyDescent="0.25">
      <c r="A44" s="100">
        <v>21</v>
      </c>
      <c r="B44" s="100">
        <v>43</v>
      </c>
      <c r="C44" s="104">
        <v>10110008934</v>
      </c>
      <c r="D44" s="102" t="s">
        <v>628</v>
      </c>
      <c r="E44" s="102" t="s">
        <v>309</v>
      </c>
      <c r="F44" s="103" t="s">
        <v>630</v>
      </c>
      <c r="G44" s="101">
        <v>1</v>
      </c>
      <c r="H44" s="247" t="s">
        <v>310</v>
      </c>
      <c r="I44" s="111"/>
      <c r="J44" s="74"/>
      <c r="K44" s="53">
        <f>VLOOKUP($C44,[4]Sheet2!$D:$J,3,0)</f>
        <v>9.8000000000000004E-2</v>
      </c>
      <c r="L44" s="53" t="str">
        <f>VLOOKUP($C44,[4]Sheet2!$D:$J,4,0)</f>
        <v>CNY</v>
      </c>
      <c r="M44" s="53" t="str">
        <f>VLOOKUP($C44,[4]Sheet2!$D:$J,2,0)</f>
        <v>广东顺德集财电子有限公司</v>
      </c>
      <c r="N44" s="53">
        <f t="shared" si="6"/>
        <v>9.8000000000000004E-2</v>
      </c>
      <c r="Q44" s="53" t="str">
        <f>VLOOKUP($C44,[4]Sheet2!$D:$J,5,0)</f>
        <v>56</v>
      </c>
      <c r="R44" s="53" t="str">
        <f>VLOOKUP($C44,[4]Sheet2!$D:$J,6,0)</f>
        <v>2,000.000</v>
      </c>
      <c r="S44" s="53" t="str">
        <f>VLOOKUP($C44,[4]Sheet2!$D:$J,7,0)</f>
        <v>2,000.000</v>
      </c>
    </row>
    <row r="45" spans="1:20" x14ac:dyDescent="0.25">
      <c r="A45" s="100"/>
      <c r="B45" s="100">
        <v>44</v>
      </c>
      <c r="C45" s="104">
        <v>10110024666</v>
      </c>
      <c r="D45" s="102" t="s">
        <v>628</v>
      </c>
      <c r="E45" s="102" t="s">
        <v>312</v>
      </c>
      <c r="F45" s="103" t="s">
        <v>655</v>
      </c>
      <c r="G45" s="101">
        <v>1</v>
      </c>
      <c r="H45" s="247" t="s">
        <v>310</v>
      </c>
      <c r="I45" s="111" t="s">
        <v>42</v>
      </c>
      <c r="J45" s="74"/>
      <c r="K45" s="53">
        <f>VLOOKUP($C45,[4]Sheet2!$D:$J,3,0)</f>
        <v>6.7000000000000004E-2</v>
      </c>
      <c r="L45" s="53" t="str">
        <f>VLOOKUP($C45,[4]Sheet2!$D:$J,4,0)</f>
        <v>CNY</v>
      </c>
      <c r="M45" s="53" t="str">
        <f>VLOOKUP($C45,[4]Sheet2!$D:$J,2,0)</f>
        <v>深圳市阳和通电子有限公司</v>
      </c>
      <c r="N45" s="53">
        <f t="shared" si="6"/>
        <v>6.7000000000000004E-2</v>
      </c>
      <c r="O45" s="110">
        <f t="shared" si="5"/>
        <v>6.7000000000000004E-2</v>
      </c>
      <c r="Q45" s="53" t="str">
        <f>VLOOKUP($C45,[4]Sheet2!$D:$J,5,0)</f>
        <v>56</v>
      </c>
      <c r="R45" s="53" t="str">
        <f>VLOOKUP($C45,[4]Sheet2!$D:$J,6,0)</f>
        <v>2,000.000</v>
      </c>
      <c r="S45" s="53" t="str">
        <f>VLOOKUP($C45,[4]Sheet2!$D:$J,7,0)</f>
        <v>2,000.000</v>
      </c>
      <c r="T45" s="110" t="s">
        <v>37</v>
      </c>
    </row>
    <row r="46" spans="1:20" x14ac:dyDescent="0.25">
      <c r="A46" s="100"/>
      <c r="B46" s="100">
        <v>45</v>
      </c>
      <c r="C46" s="101" t="s">
        <v>393</v>
      </c>
      <c r="D46" s="102" t="s">
        <v>656</v>
      </c>
      <c r="E46" s="247" t="s">
        <v>657</v>
      </c>
      <c r="F46" s="107" t="s">
        <v>209</v>
      </c>
      <c r="G46" s="101">
        <v>3</v>
      </c>
      <c r="H46" s="247" t="s">
        <v>658</v>
      </c>
      <c r="I46" s="111" t="s">
        <v>42</v>
      </c>
      <c r="J46" s="74"/>
      <c r="K46" s="53" t="e">
        <f>VLOOKUP($C46,[4]Sheet2!$D:$J,3,0)</f>
        <v>#N/A</v>
      </c>
      <c r="L46" s="53" t="e">
        <f>VLOOKUP($C46,[4]Sheet2!$D:$J,4,0)</f>
        <v>#N/A</v>
      </c>
      <c r="M46" s="53" t="e">
        <f>VLOOKUP($C46,[4]Sheet2!$D:$J,2,0)</f>
        <v>#N/A</v>
      </c>
      <c r="N46" s="53">
        <v>0.73450000000000004</v>
      </c>
      <c r="O46" s="110">
        <f t="shared" si="5"/>
        <v>2.2035</v>
      </c>
      <c r="P46" s="112" t="s">
        <v>538</v>
      </c>
      <c r="Q46" s="53" t="e">
        <f>VLOOKUP($C46,[4]Sheet2!$D:$J,5,0)</f>
        <v>#N/A</v>
      </c>
      <c r="R46" s="53" t="e">
        <f>VLOOKUP($C46,[4]Sheet2!$D:$J,6,0)</f>
        <v>#N/A</v>
      </c>
      <c r="S46" s="53" t="e">
        <f>VLOOKUP($C46,[4]Sheet2!$D:$J,7,0)</f>
        <v>#N/A</v>
      </c>
      <c r="T46" s="110" t="s">
        <v>37</v>
      </c>
    </row>
    <row r="47" spans="1:20" x14ac:dyDescent="0.25">
      <c r="A47" s="100">
        <v>22</v>
      </c>
      <c r="B47" s="100">
        <v>46</v>
      </c>
      <c r="C47" s="104">
        <v>10110014746</v>
      </c>
      <c r="D47" s="102" t="s">
        <v>659</v>
      </c>
      <c r="E47" s="102" t="s">
        <v>660</v>
      </c>
      <c r="F47" s="103" t="s">
        <v>661</v>
      </c>
      <c r="G47" s="101">
        <v>2</v>
      </c>
      <c r="H47" s="247" t="s">
        <v>319</v>
      </c>
      <c r="I47" s="105"/>
      <c r="J47" s="74"/>
      <c r="K47" s="53">
        <f>VLOOKUP($C47,[4]Sheet2!$D:$J,3,0)</f>
        <v>0.23311999999999999</v>
      </c>
      <c r="L47" s="53" t="str">
        <f>VLOOKUP($C47,[4]Sheet2!$D:$J,4,0)</f>
        <v>CNY</v>
      </c>
      <c r="M47" s="53" t="str">
        <f>VLOOKUP($C47,[4]Sheet2!$D:$J,2,0)</f>
        <v>汕头保税区松田电子科技有限公司</v>
      </c>
      <c r="N47" s="53">
        <f t="shared" ref="N47:N52" si="7">K47</f>
        <v>0.23311999999999999</v>
      </c>
      <c r="O47" s="110">
        <f t="shared" si="5"/>
        <v>0.46623999999999999</v>
      </c>
      <c r="Q47" s="53" t="str">
        <f>VLOOKUP($C47,[4]Sheet2!$D:$J,5,0)</f>
        <v>28</v>
      </c>
      <c r="R47" s="53" t="str">
        <f>VLOOKUP($C47,[4]Sheet2!$D:$J,6,0)</f>
        <v>1,000.000</v>
      </c>
      <c r="S47" s="53" t="str">
        <f>VLOOKUP($C47,[4]Sheet2!$D:$J,7,0)</f>
        <v>1,000.000</v>
      </c>
      <c r="T47" s="110" t="s">
        <v>37</v>
      </c>
    </row>
    <row r="48" spans="1:20" x14ac:dyDescent="0.25">
      <c r="A48" s="100"/>
      <c r="B48" s="100">
        <v>47</v>
      </c>
      <c r="C48" s="104">
        <v>1014</v>
      </c>
      <c r="D48" s="102" t="s">
        <v>373</v>
      </c>
      <c r="E48" s="102" t="s">
        <v>374</v>
      </c>
      <c r="F48" s="107" t="s">
        <v>375</v>
      </c>
      <c r="G48" s="101">
        <v>1</v>
      </c>
      <c r="H48" s="102" t="s">
        <v>376</v>
      </c>
      <c r="I48" s="105" t="s">
        <v>622</v>
      </c>
      <c r="J48" s="74"/>
      <c r="K48" s="53" t="e">
        <f>VLOOKUP($C48,[4]Sheet2!$D:$J,3,0)</f>
        <v>#N/A</v>
      </c>
      <c r="L48" s="53" t="e">
        <f>VLOOKUP($C48,[4]Sheet2!$D:$J,4,0)</f>
        <v>#N/A</v>
      </c>
      <c r="M48" s="53" t="e">
        <f>VLOOKUP($C48,[4]Sheet2!$D:$J,2,0)</f>
        <v>#N/A</v>
      </c>
      <c r="N48" s="112">
        <v>0.1</v>
      </c>
      <c r="O48" s="110">
        <f t="shared" si="5"/>
        <v>0.1</v>
      </c>
      <c r="Q48" s="53" t="e">
        <f>VLOOKUP($C48,[4]Sheet2!$D:$J,5,0)</f>
        <v>#N/A</v>
      </c>
      <c r="R48" s="53" t="e">
        <f>VLOOKUP($C48,[4]Sheet2!$D:$J,6,0)</f>
        <v>#N/A</v>
      </c>
      <c r="S48" s="53" t="e">
        <f>VLOOKUP($C48,[4]Sheet2!$D:$J,7,0)</f>
        <v>#N/A</v>
      </c>
      <c r="T48" s="110" t="s">
        <v>37</v>
      </c>
    </row>
    <row r="49" spans="1:20" x14ac:dyDescent="0.25">
      <c r="A49" s="100">
        <v>23</v>
      </c>
      <c r="B49" s="100">
        <v>48</v>
      </c>
      <c r="C49" s="101">
        <v>10190002307</v>
      </c>
      <c r="D49" s="102" t="s">
        <v>221</v>
      </c>
      <c r="E49" s="102" t="s">
        <v>572</v>
      </c>
      <c r="F49" s="103" t="s">
        <v>382</v>
      </c>
      <c r="G49" s="101">
        <v>1</v>
      </c>
      <c r="H49" s="102" t="s">
        <v>224</v>
      </c>
      <c r="I49" s="105"/>
      <c r="J49" s="74"/>
      <c r="K49" s="53">
        <f>VLOOKUP($C49,[4]Sheet2!$D:$J,3,0)</f>
        <v>0.155</v>
      </c>
      <c r="L49" s="53" t="str">
        <f>VLOOKUP($C49,[4]Sheet2!$D:$J,4,0)</f>
        <v>CNY</v>
      </c>
      <c r="M49" s="53" t="str">
        <f>VLOOKUP($C49,[4]Sheet2!$D:$J,2,0)</f>
        <v>青岛宝融电子有限公司</v>
      </c>
      <c r="N49" s="53">
        <f t="shared" si="7"/>
        <v>0.155</v>
      </c>
      <c r="Q49" s="53" t="str">
        <f>VLOOKUP($C49,[4]Sheet2!$D:$J,5,0)</f>
        <v>112</v>
      </c>
      <c r="R49" s="53" t="str">
        <f>VLOOKUP($C49,[4]Sheet2!$D:$J,6,0)</f>
        <v>1,400.000</v>
      </c>
      <c r="S49" s="53" t="str">
        <f>VLOOKUP($C49,[4]Sheet2!$D:$J,7,0)</f>
        <v>1,400.000</v>
      </c>
    </row>
    <row r="50" spans="1:20" x14ac:dyDescent="0.25">
      <c r="A50" s="100">
        <v>24</v>
      </c>
      <c r="B50" s="100">
        <v>49</v>
      </c>
      <c r="C50" s="101" t="s">
        <v>393</v>
      </c>
      <c r="D50" s="247" t="s">
        <v>662</v>
      </c>
      <c r="E50" s="102" t="s">
        <v>663</v>
      </c>
      <c r="F50" s="103" t="s">
        <v>664</v>
      </c>
      <c r="G50" s="101">
        <v>1</v>
      </c>
      <c r="H50" s="247" t="s">
        <v>224</v>
      </c>
      <c r="I50" s="105"/>
      <c r="J50" s="74"/>
      <c r="K50" s="53" t="e">
        <f>VLOOKUP($C50,[4]Sheet2!$D:$J,3,0)</f>
        <v>#N/A</v>
      </c>
      <c r="L50" s="53" t="e">
        <f>VLOOKUP($C50,[4]Sheet2!$D:$J,4,0)</f>
        <v>#N/A</v>
      </c>
      <c r="M50" s="53" t="e">
        <f>VLOOKUP($C50,[4]Sheet2!$D:$J,2,0)</f>
        <v>#N/A</v>
      </c>
      <c r="N50" s="53">
        <v>0.1009</v>
      </c>
      <c r="P50" s="115"/>
      <c r="Q50" s="53" t="e">
        <f>VLOOKUP($C50,[4]Sheet2!$D:$J,5,0)</f>
        <v>#N/A</v>
      </c>
      <c r="R50" s="53" t="e">
        <f>VLOOKUP($C50,[4]Sheet2!$D:$J,6,0)</f>
        <v>#N/A</v>
      </c>
      <c r="S50" s="53" t="e">
        <f>VLOOKUP($C50,[4]Sheet2!$D:$J,7,0)</f>
        <v>#N/A</v>
      </c>
    </row>
    <row r="51" spans="1:20" x14ac:dyDescent="0.25">
      <c r="A51" s="100"/>
      <c r="B51" s="100">
        <v>50</v>
      </c>
      <c r="C51" s="104">
        <v>10190001176</v>
      </c>
      <c r="D51" s="102" t="s">
        <v>221</v>
      </c>
      <c r="E51" s="102" t="s">
        <v>571</v>
      </c>
      <c r="F51" s="103" t="s">
        <v>378</v>
      </c>
      <c r="G51" s="101">
        <v>1</v>
      </c>
      <c r="H51" s="102" t="s">
        <v>224</v>
      </c>
      <c r="I51" s="105"/>
      <c r="J51" s="74"/>
      <c r="K51" s="53">
        <f>VLOOKUP($C51,[4]Sheet2!$D:$J,3,0)</f>
        <v>9.5000000000000001E-2</v>
      </c>
      <c r="L51" s="53" t="str">
        <f>VLOOKUP($C51,[4]Sheet2!$D:$J,4,0)</f>
        <v>CNY</v>
      </c>
      <c r="M51" s="53" t="str">
        <f>VLOOKUP($C51,[4]Sheet2!$D:$J,2,0)</f>
        <v>东莞市贝特电子科技股份有限公司</v>
      </c>
      <c r="N51" s="53">
        <f t="shared" si="7"/>
        <v>9.5000000000000001E-2</v>
      </c>
      <c r="Q51" s="53" t="str">
        <f>VLOOKUP($C51,[4]Sheet2!$D:$J,5,0)</f>
        <v>21</v>
      </c>
      <c r="R51" s="53" t="str">
        <f>VLOOKUP($C51,[4]Sheet2!$D:$J,6,0)</f>
        <v>1,000.000</v>
      </c>
      <c r="S51" s="53" t="str">
        <f>VLOOKUP($C51,[4]Sheet2!$D:$J,7,0)</f>
        <v>1,000.000</v>
      </c>
    </row>
    <row r="52" spans="1:20" x14ac:dyDescent="0.25">
      <c r="A52" s="100"/>
      <c r="B52" s="100">
        <v>51</v>
      </c>
      <c r="C52" s="104">
        <v>10190000675</v>
      </c>
      <c r="D52" s="102" t="s">
        <v>221</v>
      </c>
      <c r="E52" s="102" t="s">
        <v>379</v>
      </c>
      <c r="F52" s="103" t="s">
        <v>380</v>
      </c>
      <c r="G52" s="101">
        <v>1</v>
      </c>
      <c r="H52" s="102" t="s">
        <v>224</v>
      </c>
      <c r="I52" s="105"/>
      <c r="J52" s="74"/>
      <c r="K52" s="53">
        <f>VLOOKUP($C52,[4]Sheet2!$D:$J,3,0)</f>
        <v>8.3000000000000004E-2</v>
      </c>
      <c r="L52" s="53" t="str">
        <f>VLOOKUP($C52,[4]Sheet2!$D:$J,4,0)</f>
        <v>CNY</v>
      </c>
      <c r="M52" s="53" t="str">
        <f>VLOOKUP($C52,[4]Sheet2!$D:$J,2,0)</f>
        <v>好利来（厦门）电路保护科技有限公司</v>
      </c>
      <c r="N52" s="53">
        <f t="shared" si="7"/>
        <v>8.3000000000000004E-2</v>
      </c>
      <c r="O52" s="110">
        <f t="shared" ref="O52:O59" si="8">N52*G52</f>
        <v>8.3000000000000004E-2</v>
      </c>
      <c r="Q52" s="53" t="str">
        <f>VLOOKUP($C52,[4]Sheet2!$D:$J,5,0)</f>
        <v>45</v>
      </c>
      <c r="R52" s="53" t="str">
        <f>VLOOKUP($C52,[4]Sheet2!$D:$J,6,0)</f>
        <v>1,000.000</v>
      </c>
      <c r="S52" s="53" t="str">
        <f>VLOOKUP($C52,[4]Sheet2!$D:$J,7,0)</f>
        <v>1,000.000</v>
      </c>
      <c r="T52" s="110" t="s">
        <v>37</v>
      </c>
    </row>
    <row r="53" spans="1:20" x14ac:dyDescent="0.25">
      <c r="A53" s="100"/>
      <c r="B53" s="100">
        <v>52</v>
      </c>
      <c r="C53" s="101" t="s">
        <v>393</v>
      </c>
      <c r="D53" s="102" t="s">
        <v>665</v>
      </c>
      <c r="E53" s="102" t="s">
        <v>666</v>
      </c>
      <c r="F53" s="107" t="s">
        <v>667</v>
      </c>
      <c r="G53" s="101">
        <v>2</v>
      </c>
      <c r="H53" s="247" t="s">
        <v>575</v>
      </c>
      <c r="I53" s="105" t="s">
        <v>622</v>
      </c>
      <c r="J53" s="74"/>
      <c r="K53" s="53" t="e">
        <f>VLOOKUP($C53,[4]Sheet2!$D:$J,3,0)</f>
        <v>#N/A</v>
      </c>
      <c r="L53" s="53" t="e">
        <f>VLOOKUP($C53,[4]Sheet2!$D:$J,4,0)</f>
        <v>#N/A</v>
      </c>
      <c r="M53" s="53" t="e">
        <f>VLOOKUP($C53,[4]Sheet2!$D:$J,2,0)</f>
        <v>#N/A</v>
      </c>
      <c r="N53" s="53">
        <v>1.62</v>
      </c>
      <c r="O53" s="110">
        <f t="shared" si="8"/>
        <v>3.24</v>
      </c>
      <c r="Q53" s="53" t="e">
        <f>VLOOKUP($C53,[4]Sheet2!$D:$J,5,0)</f>
        <v>#N/A</v>
      </c>
      <c r="R53" s="53" t="e">
        <f>VLOOKUP($C53,[4]Sheet2!$D:$J,6,0)</f>
        <v>#N/A</v>
      </c>
      <c r="S53" s="53" t="e">
        <f>VLOOKUP($C53,[4]Sheet2!$D:$J,7,0)</f>
        <v>#N/A</v>
      </c>
      <c r="T53" s="110" t="s">
        <v>37</v>
      </c>
    </row>
    <row r="54" spans="1:20" x14ac:dyDescent="0.25">
      <c r="A54" s="100">
        <v>25</v>
      </c>
      <c r="B54" s="100">
        <v>53</v>
      </c>
      <c r="C54" s="104">
        <v>10120003513</v>
      </c>
      <c r="D54" s="102" t="s">
        <v>579</v>
      </c>
      <c r="E54" s="102" t="s">
        <v>580</v>
      </c>
      <c r="F54" s="103" t="s">
        <v>581</v>
      </c>
      <c r="G54" s="101">
        <v>1</v>
      </c>
      <c r="H54" s="102" t="s">
        <v>233</v>
      </c>
      <c r="I54" s="105" t="s">
        <v>42</v>
      </c>
      <c r="J54" s="74"/>
      <c r="K54" s="53">
        <f>VLOOKUP($C54,[4]Sheet2!$D:$J,3,0)</f>
        <v>1.52</v>
      </c>
      <c r="L54" s="53" t="str">
        <f>VLOOKUP($C54,[4]Sheet2!$D:$J,4,0)</f>
        <v>CNY</v>
      </c>
      <c r="M54" s="53" t="str">
        <f>VLOOKUP($C54,[4]Sheet2!$D:$J,2,0)</f>
        <v>伍尔特(天津)电子有限公司</v>
      </c>
      <c r="N54" s="53">
        <f>K54</f>
        <v>1.52</v>
      </c>
      <c r="Q54" s="53" t="str">
        <f>VLOOKUP($C54,[4]Sheet2!$D:$J,5,0)</f>
        <v>70</v>
      </c>
      <c r="R54" s="53" t="str">
        <f>VLOOKUP($C54,[4]Sheet2!$D:$J,6,0)</f>
        <v>2,800.000</v>
      </c>
      <c r="S54" s="53" t="str">
        <f>VLOOKUP($C54,[4]Sheet2!$D:$J,7,0)</f>
        <v>700.000</v>
      </c>
    </row>
    <row r="55" spans="1:20" x14ac:dyDescent="0.25">
      <c r="A55" s="100">
        <v>26</v>
      </c>
      <c r="B55" s="100">
        <v>54</v>
      </c>
      <c r="C55" s="104">
        <v>10120009551</v>
      </c>
      <c r="D55" s="102" t="s">
        <v>579</v>
      </c>
      <c r="E55" s="102" t="s">
        <v>584</v>
      </c>
      <c r="F55" s="103" t="s">
        <v>585</v>
      </c>
      <c r="G55" s="101">
        <v>1</v>
      </c>
      <c r="H55" s="102" t="s">
        <v>233</v>
      </c>
      <c r="I55" s="105" t="s">
        <v>42</v>
      </c>
      <c r="J55" s="74"/>
      <c r="K55" s="53" t="e">
        <f>VLOOKUP($C55,[4]Sheet2!$D:$J,3,0)</f>
        <v>#N/A</v>
      </c>
      <c r="L55" s="53" t="e">
        <f>VLOOKUP($C55,[4]Sheet2!$D:$J,4,0)</f>
        <v>#N/A</v>
      </c>
      <c r="M55" s="53" t="e">
        <f>VLOOKUP($C55,[4]Sheet2!$D:$J,2,0)</f>
        <v>#N/A</v>
      </c>
      <c r="N55" s="53">
        <v>0.64</v>
      </c>
      <c r="Q55" s="53" t="e">
        <f>VLOOKUP($C55,[4]Sheet2!$D:$J,5,0)</f>
        <v>#N/A</v>
      </c>
      <c r="R55" s="53" t="e">
        <f>VLOOKUP($C55,[4]Sheet2!$D:$J,6,0)</f>
        <v>#N/A</v>
      </c>
      <c r="S55" s="53" t="e">
        <f>VLOOKUP($C55,[4]Sheet2!$D:$J,7,0)</f>
        <v>#N/A</v>
      </c>
    </row>
    <row r="56" spans="1:20" x14ac:dyDescent="0.25">
      <c r="A56" s="100"/>
      <c r="B56" s="100">
        <v>55</v>
      </c>
      <c r="C56" s="104">
        <v>10120003563</v>
      </c>
      <c r="D56" s="102" t="s">
        <v>579</v>
      </c>
      <c r="E56" s="102" t="s">
        <v>582</v>
      </c>
      <c r="F56" s="103" t="s">
        <v>583</v>
      </c>
      <c r="G56" s="101">
        <v>1</v>
      </c>
      <c r="H56" s="102" t="s">
        <v>233</v>
      </c>
      <c r="I56" s="105" t="s">
        <v>42</v>
      </c>
      <c r="J56" s="74"/>
      <c r="K56" s="53">
        <f>VLOOKUP($C56,[4]Sheet2!$D:$J,3,0)</f>
        <v>0.61760000000000004</v>
      </c>
      <c r="L56" s="53" t="str">
        <f>VLOOKUP($C56,[4]Sheet2!$D:$J,4,0)</f>
        <v>CNY</v>
      </c>
      <c r="M56" s="53" t="str">
        <f>VLOOKUP($C56,[4]Sheet2!$D:$J,2,0)</f>
        <v>武汉三乐益电子有限公司</v>
      </c>
      <c r="N56" s="53">
        <f>K56</f>
        <v>0.61760000000000004</v>
      </c>
      <c r="Q56" s="53" t="str">
        <f>VLOOKUP($C56,[4]Sheet2!$D:$J,5,0)</f>
        <v>50</v>
      </c>
      <c r="R56" s="53" t="str">
        <f>VLOOKUP($C56,[4]Sheet2!$D:$J,6,0)</f>
        <v>700.000</v>
      </c>
      <c r="S56" s="53" t="str">
        <f>VLOOKUP($C56,[4]Sheet2!$D:$J,7,0)</f>
        <v>700.000</v>
      </c>
    </row>
    <row r="57" spans="1:20" x14ac:dyDescent="0.25">
      <c r="A57" s="100"/>
      <c r="B57" s="100">
        <v>56</v>
      </c>
      <c r="C57" s="101" t="s">
        <v>393</v>
      </c>
      <c r="D57" s="102" t="s">
        <v>576</v>
      </c>
      <c r="E57" s="102" t="s">
        <v>668</v>
      </c>
      <c r="F57" s="103" t="s">
        <v>232</v>
      </c>
      <c r="G57" s="101">
        <v>1</v>
      </c>
      <c r="H57" s="102" t="s">
        <v>233</v>
      </c>
      <c r="I57" s="105"/>
      <c r="J57" s="74"/>
      <c r="K57" s="53" t="e">
        <f>VLOOKUP($C57,[4]Sheet2!$D:$J,3,0)</f>
        <v>#N/A</v>
      </c>
      <c r="L57" s="53" t="e">
        <f>VLOOKUP($C57,[4]Sheet2!$D:$J,4,0)</f>
        <v>#N/A</v>
      </c>
      <c r="M57" s="53" t="e">
        <f>VLOOKUP($C57,[4]Sheet2!$D:$J,2,0)</f>
        <v>#N/A</v>
      </c>
      <c r="N57" s="53">
        <v>0.5</v>
      </c>
      <c r="O57" s="110">
        <f t="shared" si="8"/>
        <v>0.5</v>
      </c>
      <c r="P57" s="53" t="s">
        <v>234</v>
      </c>
      <c r="Q57" s="53" t="e">
        <f>VLOOKUP($C57,[4]Sheet2!$D:$J,5,0)</f>
        <v>#N/A</v>
      </c>
      <c r="R57" s="53" t="e">
        <f>VLOOKUP($C57,[4]Sheet2!$D:$J,6,0)</f>
        <v>#N/A</v>
      </c>
      <c r="S57" s="53" t="e">
        <f>VLOOKUP($C57,[4]Sheet2!$D:$J,7,0)</f>
        <v>#N/A</v>
      </c>
      <c r="T57" s="110" t="s">
        <v>37</v>
      </c>
    </row>
    <row r="58" spans="1:20" x14ac:dyDescent="0.25">
      <c r="A58" s="100"/>
      <c r="B58" s="100">
        <v>57</v>
      </c>
      <c r="C58" s="101" t="s">
        <v>393</v>
      </c>
      <c r="D58" s="102" t="s">
        <v>235</v>
      </c>
      <c r="E58" s="102" t="s">
        <v>589</v>
      </c>
      <c r="F58" s="103" t="s">
        <v>578</v>
      </c>
      <c r="G58" s="101">
        <v>1</v>
      </c>
      <c r="H58" s="108" t="s">
        <v>237</v>
      </c>
      <c r="I58" s="105" t="s">
        <v>622</v>
      </c>
      <c r="J58" s="74"/>
      <c r="K58" s="53" t="e">
        <f>VLOOKUP($C58,[4]Sheet2!$D:$J,3,0)</f>
        <v>#N/A</v>
      </c>
      <c r="L58" s="53" t="e">
        <f>VLOOKUP($C58,[4]Sheet2!$D:$J,4,0)</f>
        <v>#N/A</v>
      </c>
      <c r="M58" s="53" t="e">
        <f>VLOOKUP($C58,[4]Sheet2!$D:$J,2,0)</f>
        <v>#N/A</v>
      </c>
      <c r="N58" s="53">
        <f>1.51*1.05</f>
        <v>1.5854999999999999</v>
      </c>
      <c r="O58" s="110">
        <f t="shared" si="8"/>
        <v>1.5854999999999999</v>
      </c>
      <c r="P58" s="53" t="s">
        <v>238</v>
      </c>
      <c r="Q58" s="53" t="e">
        <f>VLOOKUP($C58,[4]Sheet2!$D:$J,5,0)</f>
        <v>#N/A</v>
      </c>
      <c r="R58" s="53" t="e">
        <f>VLOOKUP($C58,[4]Sheet2!$D:$J,6,0)</f>
        <v>#N/A</v>
      </c>
      <c r="S58" s="53" t="e">
        <f>VLOOKUP($C58,[4]Sheet2!$D:$J,7,0)</f>
        <v>#N/A</v>
      </c>
      <c r="T58" s="110" t="s">
        <v>37</v>
      </c>
    </row>
    <row r="59" spans="1:20" x14ac:dyDescent="0.25">
      <c r="A59" s="100">
        <v>27</v>
      </c>
      <c r="B59" s="100">
        <v>58</v>
      </c>
      <c r="C59" s="101" t="s">
        <v>393</v>
      </c>
      <c r="D59" s="102" t="s">
        <v>586</v>
      </c>
      <c r="E59" s="102" t="s">
        <v>587</v>
      </c>
      <c r="F59" s="103" t="s">
        <v>578</v>
      </c>
      <c r="G59" s="101">
        <v>1</v>
      </c>
      <c r="H59" s="102" t="s">
        <v>588</v>
      </c>
      <c r="I59" s="105" t="s">
        <v>622</v>
      </c>
      <c r="J59" s="74"/>
      <c r="K59" s="53" t="e">
        <f>VLOOKUP($C59,[4]Sheet2!$D:$J,3,0)</f>
        <v>#N/A</v>
      </c>
      <c r="L59" s="53" t="e">
        <f>VLOOKUP($C59,[4]Sheet2!$D:$J,4,0)</f>
        <v>#N/A</v>
      </c>
      <c r="M59" s="53" t="e">
        <f>VLOOKUP($C59,[4]Sheet2!$D:$J,2,0)</f>
        <v>#N/A</v>
      </c>
      <c r="N59" s="53">
        <f>5*1.05</f>
        <v>5.25</v>
      </c>
      <c r="O59" s="110">
        <f t="shared" si="8"/>
        <v>5.25</v>
      </c>
      <c r="P59" s="53" t="s">
        <v>238</v>
      </c>
      <c r="Q59" s="53" t="e">
        <f>VLOOKUP($C59,[4]Sheet2!$D:$J,5,0)</f>
        <v>#N/A</v>
      </c>
      <c r="R59" s="53" t="e">
        <f>VLOOKUP($C59,[4]Sheet2!$D:$J,6,0)</f>
        <v>#N/A</v>
      </c>
      <c r="S59" s="53" t="e">
        <f>VLOOKUP($C59,[4]Sheet2!$D:$J,7,0)</f>
        <v>#N/A</v>
      </c>
      <c r="T59" s="110" t="s">
        <v>37</v>
      </c>
    </row>
    <row r="60" spans="1:20" x14ac:dyDescent="0.25">
      <c r="A60" s="100">
        <v>28</v>
      </c>
      <c r="B60" s="100">
        <v>59</v>
      </c>
      <c r="C60" s="101">
        <v>10160006989</v>
      </c>
      <c r="D60" s="102" t="s">
        <v>97</v>
      </c>
      <c r="E60" s="102" t="s">
        <v>110</v>
      </c>
      <c r="F60" s="103" t="s">
        <v>111</v>
      </c>
      <c r="G60" s="101">
        <v>2</v>
      </c>
      <c r="H60" s="102" t="s">
        <v>241</v>
      </c>
      <c r="I60" s="105" t="s">
        <v>42</v>
      </c>
      <c r="J60" s="74" t="s">
        <v>100</v>
      </c>
      <c r="K60" s="53">
        <f>VLOOKUP($C60,[4]Sheet2!$D:$J,3,0)</f>
        <v>4.8399999999999999E-2</v>
      </c>
      <c r="L60" s="53" t="str">
        <f>VLOOKUP($C60,[4]Sheet2!$D:$J,4,0)</f>
        <v>CNY</v>
      </c>
      <c r="M60" s="53" t="str">
        <f>VLOOKUP($C60,[4]Sheet2!$D:$J,2,0)</f>
        <v>浙江瑞丰光电有限公司</v>
      </c>
      <c r="N60" s="53">
        <f t="shared" ref="N60:N64" si="9">K60</f>
        <v>4.8399999999999999E-2</v>
      </c>
      <c r="Q60" s="53" t="str">
        <f>VLOOKUP($C60,[4]Sheet2!$D:$J,5,0)</f>
        <v>28</v>
      </c>
      <c r="R60" s="53" t="str">
        <f>VLOOKUP($C60,[4]Sheet2!$D:$J,6,0)</f>
        <v>60,000.000</v>
      </c>
      <c r="S60" s="53" t="str">
        <f>VLOOKUP($C60,[4]Sheet2!$D:$J,7,0)</f>
        <v>4,000.000</v>
      </c>
    </row>
    <row r="61" spans="1:20" x14ac:dyDescent="0.25">
      <c r="A61" s="100" t="s">
        <v>669</v>
      </c>
      <c r="B61" s="100">
        <v>60</v>
      </c>
      <c r="C61" s="101" t="s">
        <v>393</v>
      </c>
      <c r="D61" s="102" t="s">
        <v>97</v>
      </c>
      <c r="E61" s="102" t="s">
        <v>240</v>
      </c>
      <c r="F61" s="103" t="s">
        <v>105</v>
      </c>
      <c r="G61" s="101">
        <v>2</v>
      </c>
      <c r="H61" s="102" t="s">
        <v>241</v>
      </c>
      <c r="I61" s="105"/>
      <c r="J61" s="74"/>
      <c r="K61" s="53" t="e">
        <f>VLOOKUP($C61,[4]Sheet2!$D:$J,3,0)</f>
        <v>#N/A</v>
      </c>
      <c r="L61" s="53" t="e">
        <f>VLOOKUP($C61,[4]Sheet2!$D:$J,4,0)</f>
        <v>#N/A</v>
      </c>
      <c r="M61" s="53" t="e">
        <f>VLOOKUP($C61,[4]Sheet2!$D:$J,2,0)</f>
        <v>#N/A</v>
      </c>
      <c r="N61" s="53">
        <v>4.4999999999999998E-2</v>
      </c>
      <c r="Q61" s="53" t="e">
        <f>VLOOKUP($C61,[4]Sheet2!$D:$J,5,0)</f>
        <v>#N/A</v>
      </c>
      <c r="R61" s="53" t="e">
        <f>VLOOKUP($C61,[4]Sheet2!$D:$J,6,0)</f>
        <v>#N/A</v>
      </c>
      <c r="S61" s="53" t="e">
        <f>VLOOKUP($C61,[4]Sheet2!$D:$J,7,0)</f>
        <v>#N/A</v>
      </c>
    </row>
    <row r="62" spans="1:20" x14ac:dyDescent="0.25">
      <c r="A62" s="100"/>
      <c r="B62" s="100">
        <v>61</v>
      </c>
      <c r="C62" s="101">
        <v>10160007865</v>
      </c>
      <c r="D62" s="102" t="s">
        <v>97</v>
      </c>
      <c r="E62" s="102" t="s">
        <v>107</v>
      </c>
      <c r="F62" s="103" t="s">
        <v>99</v>
      </c>
      <c r="G62" s="101">
        <v>2</v>
      </c>
      <c r="H62" s="102" t="s">
        <v>241</v>
      </c>
      <c r="I62" s="105" t="s">
        <v>42</v>
      </c>
      <c r="J62" s="74" t="s">
        <v>93</v>
      </c>
      <c r="K62" s="53">
        <f>VLOOKUP($C62,[4]Sheet2!$D:$J,3,0)</f>
        <v>2.75E-2</v>
      </c>
      <c r="L62" s="53" t="str">
        <f>VLOOKUP($C62,[4]Sheet2!$D:$J,4,0)</f>
        <v>CNY</v>
      </c>
      <c r="M62" s="53" t="str">
        <f>VLOOKUP($C62,[4]Sheet2!$D:$J,2,0)</f>
        <v>广东长利光电科技有限公司</v>
      </c>
      <c r="N62" s="53">
        <f t="shared" si="9"/>
        <v>2.75E-2</v>
      </c>
      <c r="O62" s="110">
        <f t="shared" ref="O62:O69" si="10">N62*G62</f>
        <v>5.5E-2</v>
      </c>
      <c r="Q62" s="53" t="str">
        <f>VLOOKUP($C62,[4]Sheet2!$D:$J,5,0)</f>
        <v>10</v>
      </c>
      <c r="R62" s="53" t="str">
        <f>VLOOKUP($C62,[4]Sheet2!$D:$J,6,0)</f>
        <v>4,000.000</v>
      </c>
      <c r="S62" s="53" t="str">
        <f>VLOOKUP($C62,[4]Sheet2!$D:$J,7,0)</f>
        <v>4,000.000</v>
      </c>
      <c r="T62" s="110" t="s">
        <v>37</v>
      </c>
    </row>
    <row r="63" spans="1:20" x14ac:dyDescent="0.25">
      <c r="A63" s="100"/>
      <c r="B63" s="100">
        <v>62</v>
      </c>
      <c r="C63" s="101">
        <v>1015</v>
      </c>
      <c r="D63" s="102" t="s">
        <v>242</v>
      </c>
      <c r="E63" s="102" t="s">
        <v>243</v>
      </c>
      <c r="F63" s="103" t="s">
        <v>244</v>
      </c>
      <c r="G63" s="101">
        <v>1</v>
      </c>
      <c r="H63" s="247" t="s">
        <v>183</v>
      </c>
      <c r="I63" s="105" t="s">
        <v>622</v>
      </c>
      <c r="J63" s="74"/>
      <c r="K63" s="53" t="e">
        <f>VLOOKUP($C63,[4]Sheet2!$D:$J,3,0)</f>
        <v>#N/A</v>
      </c>
      <c r="L63" s="53" t="e">
        <f>VLOOKUP($C63,[4]Sheet2!$D:$J,4,0)</f>
        <v>#N/A</v>
      </c>
      <c r="M63" s="53" t="e">
        <f>VLOOKUP($C63,[4]Sheet2!$D:$J,2,0)</f>
        <v>#N/A</v>
      </c>
      <c r="N63" s="53">
        <v>0.73</v>
      </c>
      <c r="O63" s="110">
        <f t="shared" si="10"/>
        <v>0.73</v>
      </c>
      <c r="Q63" s="53" t="e">
        <f>VLOOKUP($C63,[4]Sheet2!$D:$J,5,0)</f>
        <v>#N/A</v>
      </c>
      <c r="R63" s="53" t="e">
        <f>VLOOKUP($C63,[4]Sheet2!$D:$J,6,0)</f>
        <v>#N/A</v>
      </c>
      <c r="S63" s="53" t="e">
        <f>VLOOKUP($C63,[4]Sheet2!$D:$J,7,0)</f>
        <v>#N/A</v>
      </c>
      <c r="T63" s="110" t="s">
        <v>37</v>
      </c>
    </row>
    <row r="64" spans="1:20" x14ac:dyDescent="0.25">
      <c r="A64" s="100">
        <v>30</v>
      </c>
      <c r="B64" s="100">
        <v>63</v>
      </c>
      <c r="C64" s="101">
        <v>10150011020</v>
      </c>
      <c r="D64" s="102" t="s">
        <v>591</v>
      </c>
      <c r="E64" s="102" t="s">
        <v>395</v>
      </c>
      <c r="F64" s="103" t="s">
        <v>247</v>
      </c>
      <c r="G64" s="101">
        <v>1</v>
      </c>
      <c r="H64" s="247" t="s">
        <v>396</v>
      </c>
      <c r="I64" s="105" t="s">
        <v>622</v>
      </c>
      <c r="J64" s="74"/>
      <c r="K64" s="53">
        <f>VLOOKUP($C64,[4]Sheet2!$D:$J,3,0)</f>
        <v>0.56999999999999995</v>
      </c>
      <c r="L64" s="53" t="str">
        <f>VLOOKUP($C64,[4]Sheet2!$D:$J,4,0)</f>
        <v>CNY</v>
      </c>
      <c r="M64" s="53" t="str">
        <f>VLOOKUP($C64,[4]Sheet2!$D:$J,2,0)</f>
        <v>深圳市几度创想科技有限公司</v>
      </c>
      <c r="N64" s="53">
        <f t="shared" si="9"/>
        <v>0.56999999999999995</v>
      </c>
      <c r="O64" s="110">
        <f t="shared" si="10"/>
        <v>0.56999999999999995</v>
      </c>
      <c r="Q64" s="53" t="str">
        <f>VLOOKUP($C64,[4]Sheet2!$D:$J,5,0)</f>
        <v>56</v>
      </c>
      <c r="R64" s="53" t="str">
        <f>VLOOKUP($C64,[4]Sheet2!$D:$J,6,0)</f>
        <v>2,500.000</v>
      </c>
      <c r="S64" s="53" t="str">
        <f>VLOOKUP($C64,[4]Sheet2!$D:$J,7,0)</f>
        <v>2,500.000</v>
      </c>
      <c r="T64" s="110" t="s">
        <v>37</v>
      </c>
    </row>
    <row r="65" spans="1:20" x14ac:dyDescent="0.25">
      <c r="A65" s="100">
        <v>31</v>
      </c>
      <c r="B65" s="100">
        <v>64</v>
      </c>
      <c r="C65" s="101">
        <v>1015</v>
      </c>
      <c r="D65" s="102" t="s">
        <v>245</v>
      </c>
      <c r="E65" s="247" t="s">
        <v>246</v>
      </c>
      <c r="F65" s="103" t="s">
        <v>247</v>
      </c>
      <c r="G65" s="101">
        <v>1</v>
      </c>
      <c r="H65" s="247" t="s">
        <v>248</v>
      </c>
      <c r="I65" s="105" t="s">
        <v>622</v>
      </c>
      <c r="J65" s="74"/>
      <c r="K65" s="53" t="e">
        <f>VLOOKUP($C65,[4]Sheet2!$D:$J,3,0)</f>
        <v>#N/A</v>
      </c>
      <c r="L65" s="53" t="e">
        <f>VLOOKUP($C65,[4]Sheet2!$D:$J,4,0)</f>
        <v>#N/A</v>
      </c>
      <c r="M65" s="53" t="e">
        <f>VLOOKUP($C65,[4]Sheet2!$D:$J,2,0)</f>
        <v>#N/A</v>
      </c>
      <c r="N65" s="53">
        <v>0.35</v>
      </c>
      <c r="O65" s="110">
        <f t="shared" si="10"/>
        <v>0.35</v>
      </c>
      <c r="Q65" s="53" t="e">
        <f>VLOOKUP($C65,[4]Sheet2!$D:$J,5,0)</f>
        <v>#N/A</v>
      </c>
      <c r="R65" s="53" t="e">
        <f>VLOOKUP($C65,[4]Sheet2!$D:$J,6,0)</f>
        <v>#N/A</v>
      </c>
      <c r="S65" s="53" t="e">
        <f>VLOOKUP($C65,[4]Sheet2!$D:$J,7,0)</f>
        <v>#N/A</v>
      </c>
      <c r="T65" s="110" t="s">
        <v>37</v>
      </c>
    </row>
    <row r="66" spans="1:20" x14ac:dyDescent="0.25">
      <c r="A66" s="100">
        <v>32</v>
      </c>
      <c r="B66" s="100">
        <v>65</v>
      </c>
      <c r="C66" s="101">
        <v>1015</v>
      </c>
      <c r="D66" s="102" t="s">
        <v>249</v>
      </c>
      <c r="E66" s="102" t="s">
        <v>250</v>
      </c>
      <c r="F66" s="103" t="s">
        <v>247</v>
      </c>
      <c r="G66" s="101">
        <v>1</v>
      </c>
      <c r="H66" s="247" t="s">
        <v>251</v>
      </c>
      <c r="I66" s="105" t="s">
        <v>622</v>
      </c>
      <c r="J66" s="74"/>
      <c r="K66" s="53" t="e">
        <f>VLOOKUP($C66,[4]Sheet2!$D:$J,3,0)</f>
        <v>#N/A</v>
      </c>
      <c r="L66" s="53" t="e">
        <f>VLOOKUP($C66,[4]Sheet2!$D:$J,4,0)</f>
        <v>#N/A</v>
      </c>
      <c r="M66" s="53" t="e">
        <f>VLOOKUP($C66,[4]Sheet2!$D:$J,2,0)</f>
        <v>#N/A</v>
      </c>
      <c r="N66" s="53">
        <v>0.33</v>
      </c>
      <c r="O66" s="110">
        <f t="shared" si="10"/>
        <v>0.33</v>
      </c>
      <c r="Q66" s="53" t="e">
        <f>VLOOKUP($C66,[4]Sheet2!$D:$J,5,0)</f>
        <v>#N/A</v>
      </c>
      <c r="R66" s="53" t="e">
        <f>VLOOKUP($C66,[4]Sheet2!$D:$J,6,0)</f>
        <v>#N/A</v>
      </c>
      <c r="S66" s="53" t="e">
        <f>VLOOKUP($C66,[4]Sheet2!$D:$J,7,0)</f>
        <v>#N/A</v>
      </c>
      <c r="T66" s="110" t="s">
        <v>37</v>
      </c>
    </row>
    <row r="67" spans="1:20" x14ac:dyDescent="0.25">
      <c r="A67" s="100">
        <v>33</v>
      </c>
      <c r="B67" s="100">
        <v>66</v>
      </c>
      <c r="C67" s="101">
        <v>1015</v>
      </c>
      <c r="D67" s="102" t="s">
        <v>252</v>
      </c>
      <c r="E67" s="102" t="s">
        <v>253</v>
      </c>
      <c r="F67" s="103" t="s">
        <v>400</v>
      </c>
      <c r="G67" s="101">
        <v>1</v>
      </c>
      <c r="H67" s="247" t="s">
        <v>255</v>
      </c>
      <c r="I67" s="118" t="s">
        <v>291</v>
      </c>
      <c r="J67" s="74"/>
      <c r="K67" s="53" t="e">
        <f>VLOOKUP($C67,[4]Sheet2!$D:$J,3,0)</f>
        <v>#N/A</v>
      </c>
      <c r="L67" s="53" t="e">
        <f>VLOOKUP($C67,[4]Sheet2!$D:$J,4,0)</f>
        <v>#N/A</v>
      </c>
      <c r="M67" s="53" t="e">
        <f>VLOOKUP($C67,[4]Sheet2!$D:$J,2,0)</f>
        <v>#N/A</v>
      </c>
      <c r="N67" s="53">
        <v>0.22</v>
      </c>
      <c r="O67" s="110">
        <f t="shared" si="10"/>
        <v>0.22</v>
      </c>
      <c r="Q67" s="53" t="e">
        <f>VLOOKUP($C67,[4]Sheet2!$D:$J,5,0)</f>
        <v>#N/A</v>
      </c>
      <c r="R67" s="53" t="e">
        <f>VLOOKUP($C67,[4]Sheet2!$D:$J,6,0)</f>
        <v>#N/A</v>
      </c>
      <c r="S67" s="53" t="e">
        <f>VLOOKUP($C67,[4]Sheet2!$D:$J,7,0)</f>
        <v>#N/A</v>
      </c>
      <c r="T67" s="110" t="s">
        <v>37</v>
      </c>
    </row>
    <row r="68" spans="1:20" x14ac:dyDescent="0.25">
      <c r="A68" s="100">
        <v>34</v>
      </c>
      <c r="B68" s="100">
        <v>67</v>
      </c>
      <c r="C68" s="104">
        <v>10150010419</v>
      </c>
      <c r="D68" s="102" t="s">
        <v>256</v>
      </c>
      <c r="E68" s="102" t="s">
        <v>257</v>
      </c>
      <c r="F68" s="103" t="s">
        <v>258</v>
      </c>
      <c r="G68" s="101">
        <v>1</v>
      </c>
      <c r="H68" s="247" t="s">
        <v>259</v>
      </c>
      <c r="I68" s="105" t="s">
        <v>622</v>
      </c>
      <c r="J68" s="74"/>
      <c r="K68" s="53" t="e">
        <f>VLOOKUP($C68,[4]Sheet2!$D:$J,3,0)</f>
        <v>#N/A</v>
      </c>
      <c r="L68" s="53" t="e">
        <f>VLOOKUP($C68,[4]Sheet2!$D:$J,4,0)</f>
        <v>#N/A</v>
      </c>
      <c r="M68" s="53" t="e">
        <f>VLOOKUP($C68,[4]Sheet2!$D:$J,2,0)</f>
        <v>#N/A</v>
      </c>
      <c r="N68" s="53">
        <v>1.92</v>
      </c>
      <c r="O68" s="110">
        <f t="shared" si="10"/>
        <v>1.92</v>
      </c>
      <c r="Q68" s="53" t="e">
        <f>VLOOKUP($C68,[4]Sheet2!$D:$J,5,0)</f>
        <v>#N/A</v>
      </c>
      <c r="R68" s="53" t="e">
        <f>VLOOKUP($C68,[4]Sheet2!$D:$J,6,0)</f>
        <v>#N/A</v>
      </c>
      <c r="S68" s="53" t="e">
        <f>VLOOKUP($C68,[4]Sheet2!$D:$J,7,0)</f>
        <v>#N/A</v>
      </c>
      <c r="T68" s="110" t="s">
        <v>37</v>
      </c>
    </row>
    <row r="69" spans="1:20" x14ac:dyDescent="0.25">
      <c r="A69" s="100">
        <v>35</v>
      </c>
      <c r="B69" s="100">
        <v>68</v>
      </c>
      <c r="C69" s="101" t="s">
        <v>393</v>
      </c>
      <c r="D69" s="102" t="s">
        <v>550</v>
      </c>
      <c r="E69" s="102" t="s">
        <v>670</v>
      </c>
      <c r="F69" s="117" t="s">
        <v>671</v>
      </c>
      <c r="G69" s="101">
        <v>1</v>
      </c>
      <c r="H69" s="102" t="s">
        <v>550</v>
      </c>
      <c r="I69" s="111" t="s">
        <v>42</v>
      </c>
      <c r="J69" s="119" t="s">
        <v>43</v>
      </c>
      <c r="K69" s="53" t="e">
        <f>VLOOKUP($C69,[4]Sheet2!$D:$J,3,0)</f>
        <v>#N/A</v>
      </c>
      <c r="L69" s="53" t="e">
        <f>VLOOKUP($C69,[4]Sheet2!$D:$J,4,0)</f>
        <v>#N/A</v>
      </c>
      <c r="M69" s="53" t="e">
        <f>VLOOKUP($C69,[4]Sheet2!$D:$J,2,0)</f>
        <v>#N/A</v>
      </c>
      <c r="N69" s="53">
        <f>157*103*282/1000000</f>
        <v>4.5602220000000004</v>
      </c>
      <c r="O69" s="110">
        <f t="shared" si="10"/>
        <v>4.5602220000000004</v>
      </c>
      <c r="Q69" s="53" t="e">
        <f>VLOOKUP($C69,[4]Sheet2!$D:$J,5,0)</f>
        <v>#N/A</v>
      </c>
      <c r="R69" s="53" t="e">
        <f>VLOOKUP($C69,[4]Sheet2!$D:$J,6,0)</f>
        <v>#N/A</v>
      </c>
      <c r="S69" s="53" t="e">
        <f>VLOOKUP($C69,[4]Sheet2!$D:$J,7,0)</f>
        <v>#N/A</v>
      </c>
      <c r="T69" s="110" t="s">
        <v>37</v>
      </c>
    </row>
    <row r="70" spans="1:20" x14ac:dyDescent="0.25">
      <c r="A70" s="100">
        <v>36</v>
      </c>
      <c r="B70" s="100">
        <v>69</v>
      </c>
      <c r="C70" s="104">
        <v>10100023938</v>
      </c>
      <c r="D70" s="102" t="s">
        <v>672</v>
      </c>
      <c r="E70" s="102" t="s">
        <v>408</v>
      </c>
      <c r="F70" s="103" t="s">
        <v>627</v>
      </c>
      <c r="G70" s="101">
        <v>2</v>
      </c>
      <c r="H70" s="247" t="s">
        <v>592</v>
      </c>
      <c r="I70" s="118"/>
      <c r="J70" s="74"/>
      <c r="K70" s="53">
        <f>VLOOKUP($C70,[4]Sheet2!$D:$J,3,0)</f>
        <v>8.0000000000000002E-3</v>
      </c>
      <c r="L70" s="53" t="str">
        <f>VLOOKUP($C70,[4]Sheet2!$D:$J,4,0)</f>
        <v>CNY</v>
      </c>
      <c r="M70" s="53" t="str">
        <f>VLOOKUP($C70,[4]Sheet2!$D:$J,2,0)</f>
        <v>深圳市超利维实业有限公司</v>
      </c>
      <c r="N70" s="53">
        <f t="shared" ref="N70:N87" si="11">K70</f>
        <v>8.0000000000000002E-3</v>
      </c>
      <c r="Q70" s="53" t="str">
        <f>VLOOKUP($C70,[4]Sheet2!$D:$J,5,0)</f>
        <v>84</v>
      </c>
      <c r="R70" s="53" t="str">
        <f>VLOOKUP($C70,[4]Sheet2!$D:$J,6,0)</f>
        <v>5,000.000</v>
      </c>
      <c r="S70" s="53" t="str">
        <f>VLOOKUP($C70,[4]Sheet2!$D:$J,7,0)</f>
        <v>5,000.000</v>
      </c>
    </row>
    <row r="71" spans="1:20" x14ac:dyDescent="0.25">
      <c r="A71" s="100"/>
      <c r="B71" s="100">
        <v>70</v>
      </c>
      <c r="C71" s="104">
        <v>10100017076</v>
      </c>
      <c r="D71" s="102" t="s">
        <v>672</v>
      </c>
      <c r="E71" s="102" t="s">
        <v>403</v>
      </c>
      <c r="F71" s="103" t="s">
        <v>629</v>
      </c>
      <c r="G71" s="101">
        <v>2</v>
      </c>
      <c r="H71" s="247" t="s">
        <v>592</v>
      </c>
      <c r="I71" s="118" t="s">
        <v>291</v>
      </c>
      <c r="J71" s="74"/>
      <c r="K71" s="53">
        <f>VLOOKUP($C71,[4]Sheet2!$D:$J,3,0)</f>
        <v>6.9499999999999996E-3</v>
      </c>
      <c r="L71" s="53" t="str">
        <f>VLOOKUP($C71,[4]Sheet2!$D:$J,4,0)</f>
        <v>CNY</v>
      </c>
      <c r="M71" s="53" t="str">
        <f>VLOOKUP($C71,[4]Sheet2!$D:$J,2,0)</f>
        <v>东莞华科电子有限公司</v>
      </c>
      <c r="N71" s="53">
        <f t="shared" si="11"/>
        <v>6.9499999999999996E-3</v>
      </c>
      <c r="Q71" s="53" t="str">
        <f>VLOOKUP($C71,[4]Sheet2!$D:$J,5,0)</f>
        <v>70</v>
      </c>
      <c r="R71" s="53" t="str">
        <f>VLOOKUP($C71,[4]Sheet2!$D:$J,6,0)</f>
        <v>5,000.000</v>
      </c>
      <c r="S71" s="53" t="str">
        <f>VLOOKUP($C71,[4]Sheet2!$D:$J,7,0)</f>
        <v>5,000.000</v>
      </c>
    </row>
    <row r="72" spans="1:20" x14ac:dyDescent="0.25">
      <c r="A72" s="100"/>
      <c r="B72" s="100">
        <v>71</v>
      </c>
      <c r="C72" s="104">
        <v>10100023928</v>
      </c>
      <c r="D72" s="102" t="s">
        <v>672</v>
      </c>
      <c r="E72" s="102" t="s">
        <v>405</v>
      </c>
      <c r="F72" s="103" t="s">
        <v>673</v>
      </c>
      <c r="G72" s="101">
        <v>2</v>
      </c>
      <c r="H72" s="247" t="s">
        <v>592</v>
      </c>
      <c r="I72" s="118" t="s">
        <v>291</v>
      </c>
      <c r="J72" s="74"/>
      <c r="K72" s="53">
        <f>VLOOKUP($C72,[4]Sheet2!$D:$J,3,0)</f>
        <v>6.7799999999999996E-3</v>
      </c>
      <c r="L72" s="53" t="str">
        <f>VLOOKUP($C72,[4]Sheet2!$D:$J,4,0)</f>
        <v>CNY</v>
      </c>
      <c r="M72" s="53" t="str">
        <f>VLOOKUP($C72,[4]Sheet2!$D:$J,2,0)</f>
        <v>厚声国际贸易（昆山）有限公司深圳分公司</v>
      </c>
      <c r="N72" s="53">
        <f t="shared" si="11"/>
        <v>6.7799999999999996E-3</v>
      </c>
      <c r="Q72" s="53" t="str">
        <f>VLOOKUP($C72,[4]Sheet2!$D:$J,5,0)</f>
        <v>42</v>
      </c>
      <c r="R72" s="53" t="str">
        <f>VLOOKUP($C72,[4]Sheet2!$D:$J,6,0)</f>
        <v>5,000.000</v>
      </c>
      <c r="S72" s="53" t="str">
        <f>VLOOKUP($C72,[4]Sheet2!$D:$J,7,0)</f>
        <v>5,000.000</v>
      </c>
    </row>
    <row r="73" spans="1:20" x14ac:dyDescent="0.25">
      <c r="A73" s="100"/>
      <c r="B73" s="100">
        <v>72</v>
      </c>
      <c r="C73" s="104">
        <v>10100023933</v>
      </c>
      <c r="D73" s="102" t="s">
        <v>672</v>
      </c>
      <c r="E73" s="102" t="s">
        <v>407</v>
      </c>
      <c r="F73" s="103" t="s">
        <v>630</v>
      </c>
      <c r="G73" s="101">
        <v>2</v>
      </c>
      <c r="H73" s="247" t="s">
        <v>592</v>
      </c>
      <c r="I73" s="118" t="s">
        <v>291</v>
      </c>
      <c r="J73" s="74"/>
      <c r="K73" s="53">
        <f>VLOOKUP($C73,[4]Sheet2!$D:$J,3,0)</f>
        <v>6.3699999999999998E-3</v>
      </c>
      <c r="L73" s="53" t="str">
        <f>VLOOKUP($C73,[4]Sheet2!$D:$J,4,0)</f>
        <v>CNY</v>
      </c>
      <c r="M73" s="53" t="str">
        <f>VLOOKUP($C73,[4]Sheet2!$D:$J,2,0)</f>
        <v>广东风华高新科技股份有限公司</v>
      </c>
      <c r="N73" s="53">
        <f t="shared" si="11"/>
        <v>6.3699999999999998E-3</v>
      </c>
      <c r="Q73" s="53" t="str">
        <f>VLOOKUP($C73,[4]Sheet2!$D:$J,5,0)</f>
        <v>56</v>
      </c>
      <c r="R73" s="53" t="str">
        <f>VLOOKUP($C73,[4]Sheet2!$D:$J,6,0)</f>
        <v>5,000.000</v>
      </c>
      <c r="S73" s="53" t="str">
        <f>VLOOKUP($C73,[4]Sheet2!$D:$J,7,0)</f>
        <v>5,000.000</v>
      </c>
    </row>
    <row r="74" spans="1:20" x14ac:dyDescent="0.25">
      <c r="A74" s="100"/>
      <c r="B74" s="100">
        <v>73</v>
      </c>
      <c r="C74" s="104">
        <v>10100024044</v>
      </c>
      <c r="D74" s="102" t="s">
        <v>672</v>
      </c>
      <c r="E74" s="102" t="s">
        <v>409</v>
      </c>
      <c r="F74" s="103" t="s">
        <v>674</v>
      </c>
      <c r="G74" s="101">
        <v>2</v>
      </c>
      <c r="H74" s="247" t="s">
        <v>592</v>
      </c>
      <c r="I74" s="118" t="s">
        <v>291</v>
      </c>
      <c r="J74" s="74"/>
      <c r="K74" s="53">
        <f>VLOOKUP($C74,[4]Sheet2!$D:$J,3,0)</f>
        <v>5.5999999999999999E-3</v>
      </c>
      <c r="L74" s="53" t="str">
        <f>VLOOKUP($C74,[4]Sheet2!$D:$J,4,0)</f>
        <v>CNY</v>
      </c>
      <c r="M74" s="53" t="str">
        <f>VLOOKUP($C74,[4]Sheet2!$D:$J,2,0)</f>
        <v>南充溢辉电子科技有限公司</v>
      </c>
      <c r="N74" s="53">
        <f t="shared" si="11"/>
        <v>5.5999999999999999E-3</v>
      </c>
      <c r="O74" s="110">
        <f>N74*G74</f>
        <v>1.12E-2</v>
      </c>
      <c r="Q74" s="53" t="str">
        <f>VLOOKUP($C74,[4]Sheet2!$D:$J,5,0)</f>
        <v>35</v>
      </c>
      <c r="R74" s="53" t="str">
        <f>VLOOKUP($C74,[4]Sheet2!$D:$J,6,0)</f>
        <v>5,000.000</v>
      </c>
      <c r="S74" s="53" t="str">
        <f>VLOOKUP($C74,[4]Sheet2!$D:$J,7,0)</f>
        <v>5,000.000</v>
      </c>
      <c r="T74" s="110" t="s">
        <v>37</v>
      </c>
    </row>
    <row r="75" spans="1:20" x14ac:dyDescent="0.25">
      <c r="A75" s="100">
        <v>37</v>
      </c>
      <c r="B75" s="100">
        <v>74</v>
      </c>
      <c r="C75" s="104">
        <v>10100011726</v>
      </c>
      <c r="D75" s="102" t="s">
        <v>675</v>
      </c>
      <c r="E75" s="102" t="s">
        <v>145</v>
      </c>
      <c r="F75" s="103" t="s">
        <v>627</v>
      </c>
      <c r="G75" s="101">
        <v>7</v>
      </c>
      <c r="H75" s="102" t="s">
        <v>597</v>
      </c>
      <c r="I75" s="105"/>
      <c r="J75" s="74"/>
      <c r="K75" s="53">
        <f>VLOOKUP($C75,[4]Sheet2!$D:$J,3,0)</f>
        <v>1.39E-3</v>
      </c>
      <c r="L75" s="53" t="str">
        <f>VLOOKUP($C75,[4]Sheet2!$D:$J,4,0)</f>
        <v>CNY</v>
      </c>
      <c r="M75" s="53" t="str">
        <f>VLOOKUP($C75,[4]Sheet2!$D:$J,2,0)</f>
        <v>深圳市欧尔法电子有限公司</v>
      </c>
      <c r="N75" s="53">
        <f t="shared" si="11"/>
        <v>1.39E-3</v>
      </c>
      <c r="Q75" s="53" t="str">
        <f>VLOOKUP($C75,[4]Sheet2!$D:$J,5,0)</f>
        <v>56</v>
      </c>
      <c r="R75" s="53" t="str">
        <f>VLOOKUP($C75,[4]Sheet2!$D:$J,6,0)</f>
        <v>10,000.000</v>
      </c>
      <c r="S75" s="53" t="str">
        <f>VLOOKUP($C75,[4]Sheet2!$D:$J,7,0)</f>
        <v>10,000.000</v>
      </c>
    </row>
    <row r="76" spans="1:20" x14ac:dyDescent="0.25">
      <c r="A76" s="100"/>
      <c r="B76" s="100">
        <v>75</v>
      </c>
      <c r="C76" s="104">
        <v>10100011993</v>
      </c>
      <c r="D76" s="102" t="s">
        <v>675</v>
      </c>
      <c r="E76" s="102" t="s">
        <v>148</v>
      </c>
      <c r="F76" s="103" t="s">
        <v>630</v>
      </c>
      <c r="G76" s="101">
        <v>7</v>
      </c>
      <c r="H76" s="102" t="s">
        <v>597</v>
      </c>
      <c r="I76" s="118" t="s">
        <v>291</v>
      </c>
      <c r="J76" s="74"/>
      <c r="K76" s="53">
        <f>VLOOKUP($C76,[4]Sheet2!$D:$J,3,0)</f>
        <v>1.1000000000000001E-3</v>
      </c>
      <c r="L76" s="53" t="str">
        <f>VLOOKUP($C76,[4]Sheet2!$D:$J,4,0)</f>
        <v>CNY</v>
      </c>
      <c r="M76" s="53" t="str">
        <f>VLOOKUP($C76,[4]Sheet2!$D:$J,2,0)</f>
        <v>广东风华高新科技股份有限公司</v>
      </c>
      <c r="N76" s="53">
        <f t="shared" si="11"/>
        <v>1.1000000000000001E-3</v>
      </c>
      <c r="Q76" s="53" t="str">
        <f>VLOOKUP($C76,[4]Sheet2!$D:$J,5,0)</f>
        <v>42</v>
      </c>
      <c r="R76" s="53" t="str">
        <f>VLOOKUP($C76,[4]Sheet2!$D:$J,6,0)</f>
        <v>10,000.000</v>
      </c>
      <c r="S76" s="53" t="str">
        <f>VLOOKUP($C76,[4]Sheet2!$D:$J,7,0)</f>
        <v>10,000.000</v>
      </c>
    </row>
    <row r="77" spans="1:20" x14ac:dyDescent="0.25">
      <c r="A77" s="100">
        <v>38</v>
      </c>
      <c r="B77" s="100">
        <v>76</v>
      </c>
      <c r="C77" s="104">
        <v>10100017738</v>
      </c>
      <c r="D77" s="102" t="s">
        <v>672</v>
      </c>
      <c r="E77" s="102" t="s">
        <v>149</v>
      </c>
      <c r="F77" s="103" t="s">
        <v>674</v>
      </c>
      <c r="G77" s="101">
        <v>7</v>
      </c>
      <c r="H77" s="102" t="s">
        <v>597</v>
      </c>
      <c r="I77" s="118" t="s">
        <v>291</v>
      </c>
      <c r="J77" s="74"/>
      <c r="K77" s="53">
        <f>VLOOKUP($C77,[4]Sheet2!$D:$J,3,0)</f>
        <v>9.7999999999999997E-4</v>
      </c>
      <c r="L77" s="53" t="str">
        <f>VLOOKUP($C77,[4]Sheet2!$D:$J,4,0)</f>
        <v>CNY</v>
      </c>
      <c r="M77" s="53" t="str">
        <f>VLOOKUP($C77,[4]Sheet2!$D:$J,2,0)</f>
        <v>恒辉电阻（益阳）有限公司</v>
      </c>
      <c r="N77" s="53">
        <f t="shared" si="11"/>
        <v>9.7999999999999997E-4</v>
      </c>
      <c r="O77" s="110">
        <f>N77*G77</f>
        <v>6.8599999999999998E-3</v>
      </c>
      <c r="Q77" s="53" t="str">
        <f>VLOOKUP($C77,[4]Sheet2!$D:$J,5,0)</f>
        <v>42</v>
      </c>
      <c r="R77" s="53" t="str">
        <f>VLOOKUP($C77,[4]Sheet2!$D:$J,6,0)</f>
        <v>10,000.000</v>
      </c>
      <c r="S77" s="53" t="str">
        <f>VLOOKUP($C77,[4]Sheet2!$D:$J,7,0)</f>
        <v>10,000.000</v>
      </c>
      <c r="T77" s="110" t="s">
        <v>37</v>
      </c>
    </row>
    <row r="78" spans="1:20" x14ac:dyDescent="0.25">
      <c r="A78" s="100"/>
      <c r="B78" s="100">
        <v>77</v>
      </c>
      <c r="C78" s="104">
        <v>10100008075</v>
      </c>
      <c r="D78" s="102" t="s">
        <v>672</v>
      </c>
      <c r="E78" s="102" t="s">
        <v>436</v>
      </c>
      <c r="F78" s="103" t="s">
        <v>627</v>
      </c>
      <c r="G78" s="101">
        <v>4</v>
      </c>
      <c r="H78" s="102" t="s">
        <v>434</v>
      </c>
      <c r="I78" s="105"/>
      <c r="J78" s="74"/>
      <c r="K78" s="53">
        <f>VLOOKUP($C78,[4]Sheet2!$D:$J,3,0)</f>
        <v>1.4E-3</v>
      </c>
      <c r="L78" s="53" t="str">
        <f>VLOOKUP($C78,[4]Sheet2!$D:$J,4,0)</f>
        <v>CNY</v>
      </c>
      <c r="M78" s="53" t="str">
        <f>VLOOKUP($C78,[4]Sheet2!$D:$J,2,0)</f>
        <v>深圳市超利维实业有限公司</v>
      </c>
      <c r="N78" s="53">
        <f t="shared" si="11"/>
        <v>1.4E-3</v>
      </c>
      <c r="Q78" s="53" t="str">
        <f>VLOOKUP($C78,[4]Sheet2!$D:$J,5,0)</f>
        <v>56</v>
      </c>
      <c r="R78" s="53" t="str">
        <f>VLOOKUP($C78,[4]Sheet2!$D:$J,6,0)</f>
        <v>10,000.000</v>
      </c>
      <c r="S78" s="53" t="str">
        <f>VLOOKUP($C78,[4]Sheet2!$D:$J,7,0)</f>
        <v>10,000.000</v>
      </c>
    </row>
    <row r="79" spans="1:20" x14ac:dyDescent="0.25">
      <c r="A79" s="100"/>
      <c r="B79" s="100">
        <v>78</v>
      </c>
      <c r="C79" s="104">
        <v>10100008069</v>
      </c>
      <c r="D79" s="102" t="s">
        <v>672</v>
      </c>
      <c r="E79" s="102" t="s">
        <v>435</v>
      </c>
      <c r="F79" s="103" t="s">
        <v>629</v>
      </c>
      <c r="G79" s="101">
        <v>4</v>
      </c>
      <c r="H79" s="102" t="s">
        <v>434</v>
      </c>
      <c r="I79" s="118" t="s">
        <v>291</v>
      </c>
      <c r="J79" s="74"/>
      <c r="K79" s="53">
        <f>VLOOKUP($C79,[4]Sheet2!$D:$J,3,0)</f>
        <v>1.17E-3</v>
      </c>
      <c r="L79" s="53" t="str">
        <f>VLOOKUP($C79,[4]Sheet2!$D:$J,4,0)</f>
        <v>CNY</v>
      </c>
      <c r="M79" s="53" t="str">
        <f>VLOOKUP($C79,[4]Sheet2!$D:$J,2,0)</f>
        <v>东莞华科电子有限公司</v>
      </c>
      <c r="N79" s="53">
        <f t="shared" si="11"/>
        <v>1.17E-3</v>
      </c>
      <c r="Q79" s="53" t="str">
        <f>VLOOKUP($C79,[4]Sheet2!$D:$J,5,0)</f>
        <v>56</v>
      </c>
      <c r="R79" s="53" t="str">
        <f>VLOOKUP($C79,[4]Sheet2!$D:$J,6,0)</f>
        <v>10,000.000</v>
      </c>
      <c r="S79" s="53" t="str">
        <f>VLOOKUP($C79,[4]Sheet2!$D:$J,7,0)</f>
        <v>10,000.000</v>
      </c>
    </row>
    <row r="80" spans="1:20" x14ac:dyDescent="0.25">
      <c r="A80" s="100"/>
      <c r="B80" s="100">
        <v>79</v>
      </c>
      <c r="C80" s="104">
        <v>10100008057</v>
      </c>
      <c r="D80" s="102" t="s">
        <v>672</v>
      </c>
      <c r="E80" s="102" t="s">
        <v>433</v>
      </c>
      <c r="F80" s="103" t="s">
        <v>630</v>
      </c>
      <c r="G80" s="101">
        <v>4</v>
      </c>
      <c r="H80" s="102" t="s">
        <v>434</v>
      </c>
      <c r="I80" s="118" t="s">
        <v>291</v>
      </c>
      <c r="J80" s="74"/>
      <c r="K80" s="53">
        <f>VLOOKUP($C80,[4]Sheet2!$D:$J,3,0)</f>
        <v>1.1000000000000001E-3</v>
      </c>
      <c r="L80" s="53" t="str">
        <f>VLOOKUP($C80,[4]Sheet2!$D:$J,4,0)</f>
        <v>CNY</v>
      </c>
      <c r="M80" s="53" t="str">
        <f>VLOOKUP($C80,[4]Sheet2!$D:$J,2,0)</f>
        <v>广东风华高新科技股份有限公司</v>
      </c>
      <c r="N80" s="53">
        <f t="shared" si="11"/>
        <v>1.1000000000000001E-3</v>
      </c>
      <c r="Q80" s="53" t="str">
        <f>VLOOKUP($C80,[4]Sheet2!$D:$J,5,0)</f>
        <v>42</v>
      </c>
      <c r="R80" s="53" t="str">
        <f>VLOOKUP($C80,[4]Sheet2!$D:$J,6,0)</f>
        <v>10,000.000</v>
      </c>
      <c r="S80" s="53" t="str">
        <f>VLOOKUP($C80,[4]Sheet2!$D:$J,7,0)</f>
        <v>10,000.000</v>
      </c>
    </row>
    <row r="81" spans="1:20" x14ac:dyDescent="0.25">
      <c r="A81" s="100"/>
      <c r="B81" s="100">
        <v>80</v>
      </c>
      <c r="C81" s="104">
        <v>10100017335</v>
      </c>
      <c r="D81" s="102" t="s">
        <v>672</v>
      </c>
      <c r="E81" s="102" t="s">
        <v>437</v>
      </c>
      <c r="F81" s="103" t="s">
        <v>673</v>
      </c>
      <c r="G81" s="101">
        <v>4</v>
      </c>
      <c r="H81" s="102" t="s">
        <v>434</v>
      </c>
      <c r="I81" s="118" t="s">
        <v>291</v>
      </c>
      <c r="J81" s="74"/>
      <c r="K81" s="53">
        <f>VLOOKUP($C81,[4]Sheet2!$D:$J,3,0)</f>
        <v>1.09E-3</v>
      </c>
      <c r="L81" s="53" t="str">
        <f>VLOOKUP($C81,[4]Sheet2!$D:$J,4,0)</f>
        <v>CNY</v>
      </c>
      <c r="M81" s="53" t="str">
        <f>VLOOKUP($C81,[4]Sheet2!$D:$J,2,0)</f>
        <v>厚声国际贸易（昆山）有限公司深圳分公司</v>
      </c>
      <c r="N81" s="53">
        <f t="shared" si="11"/>
        <v>1.09E-3</v>
      </c>
      <c r="Q81" s="53" t="str">
        <f>VLOOKUP($C81,[4]Sheet2!$D:$J,5,0)</f>
        <v>42</v>
      </c>
      <c r="R81" s="53" t="str">
        <f>VLOOKUP($C81,[4]Sheet2!$D:$J,6,0)</f>
        <v>10,000.000</v>
      </c>
      <c r="S81" s="53" t="str">
        <f>VLOOKUP($C81,[4]Sheet2!$D:$J,7,0)</f>
        <v>10,000.000</v>
      </c>
    </row>
    <row r="82" spans="1:20" x14ac:dyDescent="0.25">
      <c r="A82" s="100">
        <v>39</v>
      </c>
      <c r="B82" s="100">
        <v>81</v>
      </c>
      <c r="C82" s="104">
        <v>10100017664</v>
      </c>
      <c r="D82" s="102" t="s">
        <v>672</v>
      </c>
      <c r="E82" s="102" t="s">
        <v>438</v>
      </c>
      <c r="F82" s="103" t="s">
        <v>674</v>
      </c>
      <c r="G82" s="101">
        <v>4</v>
      </c>
      <c r="H82" s="102" t="s">
        <v>434</v>
      </c>
      <c r="I82" s="118" t="s">
        <v>291</v>
      </c>
      <c r="J82" s="74"/>
      <c r="K82" s="53">
        <f>VLOOKUP($C82,[4]Sheet2!$D:$J,3,0)</f>
        <v>9.7999999999999997E-4</v>
      </c>
      <c r="L82" s="53" t="str">
        <f>VLOOKUP($C82,[4]Sheet2!$D:$J,4,0)</f>
        <v>CNY</v>
      </c>
      <c r="M82" s="53" t="str">
        <f>VLOOKUP($C82,[4]Sheet2!$D:$J,2,0)</f>
        <v>恒辉电阻（益阳）有限公司</v>
      </c>
      <c r="N82" s="53">
        <f t="shared" si="11"/>
        <v>9.7999999999999997E-4</v>
      </c>
      <c r="O82" s="110">
        <f>N82*G82</f>
        <v>3.9199999999999999E-3</v>
      </c>
      <c r="Q82" s="53" t="str">
        <f>VLOOKUP($C82,[4]Sheet2!$D:$J,5,0)</f>
        <v>42</v>
      </c>
      <c r="R82" s="53" t="str">
        <f>VLOOKUP($C82,[4]Sheet2!$D:$J,6,0)</f>
        <v>10,000.000</v>
      </c>
      <c r="S82" s="53" t="str">
        <f>VLOOKUP($C82,[4]Sheet2!$D:$J,7,0)</f>
        <v>10,000.000</v>
      </c>
      <c r="T82" s="110" t="s">
        <v>37</v>
      </c>
    </row>
    <row r="83" spans="1:20" x14ac:dyDescent="0.25">
      <c r="A83" s="100"/>
      <c r="B83" s="100">
        <v>82</v>
      </c>
      <c r="C83" s="104">
        <v>10100002122</v>
      </c>
      <c r="D83" s="102" t="s">
        <v>672</v>
      </c>
      <c r="E83" s="102" t="s">
        <v>446</v>
      </c>
      <c r="F83" s="103" t="s">
        <v>627</v>
      </c>
      <c r="G83" s="101">
        <v>1</v>
      </c>
      <c r="H83" s="247" t="s">
        <v>598</v>
      </c>
      <c r="I83" s="105"/>
      <c r="J83" s="74"/>
      <c r="K83" s="53">
        <f>VLOOKUP($C83,[4]Sheet2!$D:$J,3,0)</f>
        <v>4.7999999999999996E-3</v>
      </c>
      <c r="L83" s="53" t="str">
        <f>VLOOKUP($C83,[4]Sheet2!$D:$J,4,0)</f>
        <v>CNY</v>
      </c>
      <c r="M83" s="53" t="str">
        <f>VLOOKUP($C83,[4]Sheet2!$D:$J,2,0)</f>
        <v>深圳市欧尔法电子有限公司</v>
      </c>
      <c r="N83" s="53">
        <f t="shared" si="11"/>
        <v>4.7999999999999996E-3</v>
      </c>
      <c r="Q83" s="53" t="str">
        <f>VLOOKUP($C83,[4]Sheet2!$D:$J,5,0)</f>
        <v>56</v>
      </c>
      <c r="R83" s="53" t="str">
        <f>VLOOKUP($C83,[4]Sheet2!$D:$J,6,0)</f>
        <v>5,000.000</v>
      </c>
      <c r="S83" s="53" t="str">
        <f>VLOOKUP($C83,[4]Sheet2!$D:$J,7,0)</f>
        <v>5,000.000</v>
      </c>
    </row>
    <row r="84" spans="1:20" x14ac:dyDescent="0.25">
      <c r="A84" s="100"/>
      <c r="B84" s="100">
        <v>83</v>
      </c>
      <c r="C84" s="104">
        <v>10100004833</v>
      </c>
      <c r="D84" s="102" t="s">
        <v>672</v>
      </c>
      <c r="E84" s="102" t="s">
        <v>449</v>
      </c>
      <c r="F84" s="103" t="s">
        <v>629</v>
      </c>
      <c r="G84" s="101">
        <v>1</v>
      </c>
      <c r="H84" s="247" t="s">
        <v>598</v>
      </c>
      <c r="I84" s="118" t="s">
        <v>291</v>
      </c>
      <c r="J84" s="74"/>
      <c r="K84" s="53">
        <f>VLOOKUP($C84,[4]Sheet2!$D:$J,3,0)</f>
        <v>3.8800000000000002E-3</v>
      </c>
      <c r="L84" s="53" t="str">
        <f>VLOOKUP($C84,[4]Sheet2!$D:$J,4,0)</f>
        <v>CNY</v>
      </c>
      <c r="M84" s="53" t="str">
        <f>VLOOKUP($C84,[4]Sheet2!$D:$J,2,0)</f>
        <v>东莞华科电子有限公司</v>
      </c>
      <c r="N84" s="53">
        <f t="shared" si="11"/>
        <v>3.8800000000000002E-3</v>
      </c>
      <c r="Q84" s="53" t="str">
        <f>VLOOKUP($C84,[4]Sheet2!$D:$J,5,0)</f>
        <v>56</v>
      </c>
      <c r="R84" s="53" t="str">
        <f>VLOOKUP($C84,[4]Sheet2!$D:$J,6,0)</f>
        <v>5,000.000</v>
      </c>
      <c r="S84" s="53" t="str">
        <f>VLOOKUP($C84,[4]Sheet2!$D:$J,7,0)</f>
        <v>5,000.000</v>
      </c>
    </row>
    <row r="85" spans="1:20" x14ac:dyDescent="0.25">
      <c r="A85" s="100">
        <v>40</v>
      </c>
      <c r="B85" s="100">
        <v>84</v>
      </c>
      <c r="C85" s="104">
        <v>10100005487</v>
      </c>
      <c r="D85" s="102" t="s">
        <v>672</v>
      </c>
      <c r="E85" s="102" t="s">
        <v>450</v>
      </c>
      <c r="F85" s="103" t="s">
        <v>673</v>
      </c>
      <c r="G85" s="101">
        <v>1</v>
      </c>
      <c r="H85" s="247" t="s">
        <v>598</v>
      </c>
      <c r="I85" s="118" t="s">
        <v>291</v>
      </c>
      <c r="J85" s="74"/>
      <c r="K85" s="53">
        <f>VLOOKUP($C85,[4]Sheet2!$D:$J,3,0)</f>
        <v>3.8E-3</v>
      </c>
      <c r="L85" s="53" t="str">
        <f>VLOOKUP($C85,[4]Sheet2!$D:$J,4,0)</f>
        <v>CNY</v>
      </c>
      <c r="M85" s="53" t="str">
        <f>VLOOKUP($C85,[4]Sheet2!$D:$J,2,0)</f>
        <v>厚声国际贸易（昆山）有限公司深圳分公司</v>
      </c>
      <c r="N85" s="53">
        <f t="shared" si="11"/>
        <v>3.8E-3</v>
      </c>
      <c r="Q85" s="53" t="str">
        <f>VLOOKUP($C85,[4]Sheet2!$D:$J,5,0)</f>
        <v>56</v>
      </c>
      <c r="R85" s="53" t="str">
        <f>VLOOKUP($C85,[4]Sheet2!$D:$J,6,0)</f>
        <v>5,000.000</v>
      </c>
      <c r="S85" s="53" t="str">
        <f>VLOOKUP($C85,[4]Sheet2!$D:$J,7,0)</f>
        <v>5,000.000</v>
      </c>
    </row>
    <row r="86" spans="1:20" x14ac:dyDescent="0.25">
      <c r="A86" s="100"/>
      <c r="B86" s="100">
        <v>85</v>
      </c>
      <c r="C86" s="104">
        <v>10100002123</v>
      </c>
      <c r="D86" s="102" t="s">
        <v>672</v>
      </c>
      <c r="E86" s="102" t="s">
        <v>448</v>
      </c>
      <c r="F86" s="103" t="s">
        <v>630</v>
      </c>
      <c r="G86" s="101">
        <v>1</v>
      </c>
      <c r="H86" s="247" t="s">
        <v>598</v>
      </c>
      <c r="I86" s="118" t="s">
        <v>291</v>
      </c>
      <c r="J86" s="74"/>
      <c r="K86" s="53">
        <f>VLOOKUP($C86,[4]Sheet2!$D:$J,3,0)</f>
        <v>3.7200000000000002E-3</v>
      </c>
      <c r="L86" s="53" t="str">
        <f>VLOOKUP($C86,[4]Sheet2!$D:$J,4,0)</f>
        <v>CNY</v>
      </c>
      <c r="M86" s="53" t="str">
        <f>VLOOKUP($C86,[4]Sheet2!$D:$J,2,0)</f>
        <v>广东风华高新科技股份有限公司</v>
      </c>
      <c r="N86" s="53">
        <f t="shared" si="11"/>
        <v>3.7200000000000002E-3</v>
      </c>
      <c r="Q86" s="53" t="str">
        <f>VLOOKUP($C86,[4]Sheet2!$D:$J,5,0)</f>
        <v>42</v>
      </c>
      <c r="R86" s="53" t="str">
        <f>VLOOKUP($C86,[4]Sheet2!$D:$J,6,0)</f>
        <v>5,000.000</v>
      </c>
      <c r="S86" s="53" t="str">
        <f>VLOOKUP($C86,[4]Sheet2!$D:$J,7,0)</f>
        <v>5,000.000</v>
      </c>
    </row>
    <row r="87" spans="1:20" x14ac:dyDescent="0.25">
      <c r="A87" s="100"/>
      <c r="B87" s="100">
        <v>86</v>
      </c>
      <c r="C87" s="104">
        <v>10100018109</v>
      </c>
      <c r="D87" s="102" t="s">
        <v>672</v>
      </c>
      <c r="E87" s="102" t="s">
        <v>451</v>
      </c>
      <c r="F87" s="103" t="s">
        <v>674</v>
      </c>
      <c r="G87" s="101">
        <v>1</v>
      </c>
      <c r="H87" s="247" t="s">
        <v>598</v>
      </c>
      <c r="I87" s="118" t="s">
        <v>291</v>
      </c>
      <c r="J87" s="74"/>
      <c r="K87" s="53">
        <f>VLOOKUP($C87,[4]Sheet2!$D:$J,3,0)</f>
        <v>3.3500000000000001E-3</v>
      </c>
      <c r="L87" s="53" t="str">
        <f>VLOOKUP($C87,[4]Sheet2!$D:$J,4,0)</f>
        <v>CNY</v>
      </c>
      <c r="M87" s="53" t="str">
        <f>VLOOKUP($C87,[4]Sheet2!$D:$J,2,0)</f>
        <v>恒辉电阻（益阳）有限公司</v>
      </c>
      <c r="N87" s="53">
        <f t="shared" si="11"/>
        <v>3.3500000000000001E-3</v>
      </c>
      <c r="O87" s="110">
        <f t="shared" ref="O87:O90" si="12">N87*G87</f>
        <v>3.3500000000000001E-3</v>
      </c>
      <c r="Q87" s="53" t="str">
        <f>VLOOKUP($C87,[4]Sheet2!$D:$J,5,0)</f>
        <v>42</v>
      </c>
      <c r="R87" s="53" t="str">
        <f>VLOOKUP($C87,[4]Sheet2!$D:$J,6,0)</f>
        <v>5,000.000</v>
      </c>
      <c r="S87" s="53" t="str">
        <f>VLOOKUP($C87,[4]Sheet2!$D:$J,7,0)</f>
        <v>5,000.000</v>
      </c>
      <c r="T87" s="110" t="s">
        <v>37</v>
      </c>
    </row>
    <row r="88" spans="1:20" x14ac:dyDescent="0.25">
      <c r="A88" s="100"/>
      <c r="B88" s="100">
        <v>87</v>
      </c>
      <c r="C88" s="104" t="s">
        <v>38</v>
      </c>
      <c r="D88" s="102" t="s">
        <v>599</v>
      </c>
      <c r="E88" s="102" t="s">
        <v>600</v>
      </c>
      <c r="F88" s="107" t="s">
        <v>601</v>
      </c>
      <c r="G88" s="101">
        <v>3</v>
      </c>
      <c r="H88" s="102" t="s">
        <v>267</v>
      </c>
      <c r="I88" s="118" t="s">
        <v>291</v>
      </c>
      <c r="J88" s="74"/>
      <c r="K88" s="53" t="e">
        <f>VLOOKUP($C88,[4]Sheet2!$D:$J,3,0)</f>
        <v>#N/A</v>
      </c>
      <c r="L88" s="53" t="e">
        <f>VLOOKUP($C88,[4]Sheet2!$D:$J,4,0)</f>
        <v>#N/A</v>
      </c>
      <c r="M88" s="53" t="e">
        <f>VLOOKUP($C88,[4]Sheet2!$D:$J,2,0)</f>
        <v>#N/A</v>
      </c>
      <c r="N88" s="53">
        <v>0.15</v>
      </c>
      <c r="O88" s="110">
        <f t="shared" si="12"/>
        <v>0.45</v>
      </c>
      <c r="Q88" s="53" t="e">
        <f>VLOOKUP($C88,[4]Sheet2!$D:$J,5,0)</f>
        <v>#N/A</v>
      </c>
      <c r="R88" s="53" t="e">
        <f>VLOOKUP($C88,[4]Sheet2!$D:$J,6,0)</f>
        <v>#N/A</v>
      </c>
      <c r="S88" s="53" t="e">
        <f>VLOOKUP($C88,[4]Sheet2!$D:$J,7,0)</f>
        <v>#N/A</v>
      </c>
      <c r="T88" s="110" t="s">
        <v>37</v>
      </c>
    </row>
    <row r="89" spans="1:20" x14ac:dyDescent="0.25">
      <c r="A89" s="100"/>
      <c r="B89" s="100">
        <v>88</v>
      </c>
      <c r="C89" s="104">
        <v>10100026860</v>
      </c>
      <c r="D89" s="102" t="s">
        <v>593</v>
      </c>
      <c r="E89" s="102" t="s">
        <v>414</v>
      </c>
      <c r="F89" s="103" t="s">
        <v>594</v>
      </c>
      <c r="G89" s="101">
        <v>1</v>
      </c>
      <c r="H89" s="247" t="s">
        <v>263</v>
      </c>
      <c r="I89" s="118" t="s">
        <v>291</v>
      </c>
      <c r="J89" s="74"/>
      <c r="K89" s="53">
        <f>VLOOKUP($C89,[4]Sheet2!$D:$J,3,0)</f>
        <v>0.25</v>
      </c>
      <c r="L89" s="53" t="str">
        <f>VLOOKUP($C89,[4]Sheet2!$D:$J,4,0)</f>
        <v>CNY</v>
      </c>
      <c r="M89" s="53" t="str">
        <f>VLOOKUP($C89,[4]Sheet2!$D:$J,2,0)</f>
        <v>深圳安培龙科技股份有限公司</v>
      </c>
      <c r="N89" s="53">
        <f t="shared" ref="N89:N128" si="13">K89</f>
        <v>0.25</v>
      </c>
      <c r="Q89" s="53" t="str">
        <f>VLOOKUP($C89,[4]Sheet2!$D:$J,5,0)</f>
        <v>28</v>
      </c>
      <c r="R89" s="53" t="str">
        <f>VLOOKUP($C89,[4]Sheet2!$D:$J,6,0)</f>
        <v>5,000.000</v>
      </c>
      <c r="S89" s="53" t="str">
        <f>VLOOKUP($C89,[4]Sheet2!$D:$J,7,0)</f>
        <v>500.000</v>
      </c>
    </row>
    <row r="90" spans="1:20" x14ac:dyDescent="0.25">
      <c r="A90" s="100">
        <v>41</v>
      </c>
      <c r="B90" s="100">
        <v>89</v>
      </c>
      <c r="C90" s="104" t="s">
        <v>38</v>
      </c>
      <c r="D90" s="102" t="s">
        <v>260</v>
      </c>
      <c r="E90" s="102" t="s">
        <v>261</v>
      </c>
      <c r="F90" s="103" t="s">
        <v>262</v>
      </c>
      <c r="G90" s="101">
        <v>1</v>
      </c>
      <c r="H90" s="247" t="s">
        <v>263</v>
      </c>
      <c r="I90" s="105"/>
      <c r="J90" s="74"/>
      <c r="K90" s="53" t="e">
        <f>VLOOKUP($C90,[4]Sheet2!$D:$J,3,0)</f>
        <v>#N/A</v>
      </c>
      <c r="L90" s="53" t="e">
        <f>VLOOKUP($C90,[4]Sheet2!$D:$J,4,0)</f>
        <v>#N/A</v>
      </c>
      <c r="M90" s="53" t="e">
        <f>VLOOKUP($C90,[4]Sheet2!$D:$J,2,0)</f>
        <v>#N/A</v>
      </c>
      <c r="N90" s="120">
        <v>0.24145</v>
      </c>
      <c r="O90" s="110">
        <f t="shared" si="12"/>
        <v>0.24145</v>
      </c>
      <c r="Q90" s="53" t="e">
        <f>VLOOKUP($C90,[4]Sheet2!$D:$J,5,0)</f>
        <v>#N/A</v>
      </c>
      <c r="R90" s="53" t="e">
        <f>VLOOKUP($C90,[4]Sheet2!$D:$J,6,0)</f>
        <v>#N/A</v>
      </c>
      <c r="S90" s="53" t="e">
        <f>VLOOKUP($C90,[4]Sheet2!$D:$J,7,0)</f>
        <v>#N/A</v>
      </c>
      <c r="T90" s="110" t="s">
        <v>37</v>
      </c>
    </row>
    <row r="91" spans="1:20" x14ac:dyDescent="0.25">
      <c r="A91" s="100"/>
      <c r="B91" s="100">
        <v>90</v>
      </c>
      <c r="C91" s="104">
        <v>10100005703</v>
      </c>
      <c r="D91" s="102" t="s">
        <v>675</v>
      </c>
      <c r="E91" s="102" t="s">
        <v>439</v>
      </c>
      <c r="F91" s="103" t="s">
        <v>627</v>
      </c>
      <c r="G91" s="101">
        <v>6</v>
      </c>
      <c r="H91" s="102" t="s">
        <v>676</v>
      </c>
      <c r="I91" s="105"/>
      <c r="J91" s="74"/>
      <c r="K91" s="53">
        <f>VLOOKUP($C91,[4]Sheet2!$D:$J,3,0)</f>
        <v>1.4E-3</v>
      </c>
      <c r="L91" s="53" t="str">
        <f>VLOOKUP($C91,[4]Sheet2!$D:$J,4,0)</f>
        <v>CNY</v>
      </c>
      <c r="M91" s="53" t="str">
        <f>VLOOKUP($C91,[4]Sheet2!$D:$J,2,0)</f>
        <v>深圳市超利维实业有限公司</v>
      </c>
      <c r="N91" s="53">
        <f t="shared" si="13"/>
        <v>1.4E-3</v>
      </c>
      <c r="Q91" s="53" t="str">
        <f>VLOOKUP($C91,[4]Sheet2!$D:$J,5,0)</f>
        <v>84</v>
      </c>
      <c r="R91" s="53" t="str">
        <f>VLOOKUP($C91,[4]Sheet2!$D:$J,6,0)</f>
        <v>10,000.000</v>
      </c>
      <c r="S91" s="53" t="str">
        <f>VLOOKUP($C91,[4]Sheet2!$D:$J,7,0)</f>
        <v>10,000.000</v>
      </c>
    </row>
    <row r="92" spans="1:20" x14ac:dyDescent="0.25">
      <c r="A92" s="100"/>
      <c r="B92" s="100">
        <v>91</v>
      </c>
      <c r="C92" s="104">
        <v>10100006711</v>
      </c>
      <c r="D92" s="102" t="s">
        <v>675</v>
      </c>
      <c r="E92" s="102" t="s">
        <v>442</v>
      </c>
      <c r="F92" s="103" t="s">
        <v>629</v>
      </c>
      <c r="G92" s="101">
        <v>6</v>
      </c>
      <c r="H92" s="102" t="s">
        <v>676</v>
      </c>
      <c r="I92" s="105" t="s">
        <v>42</v>
      </c>
      <c r="J92" s="74"/>
      <c r="K92" s="53">
        <f>VLOOKUP($C92,[4]Sheet2!$D:$J,3,0)</f>
        <v>1.17E-3</v>
      </c>
      <c r="L92" s="53" t="str">
        <f>VLOOKUP($C92,[4]Sheet2!$D:$J,4,0)</f>
        <v>CNY</v>
      </c>
      <c r="M92" s="53" t="str">
        <f>VLOOKUP($C92,[4]Sheet2!$D:$J,2,0)</f>
        <v>东莞华科电子有限公司</v>
      </c>
      <c r="N92" s="53">
        <f t="shared" si="13"/>
        <v>1.17E-3</v>
      </c>
      <c r="Q92" s="53" t="str">
        <f>VLOOKUP($C92,[4]Sheet2!$D:$J,5,0)</f>
        <v>56</v>
      </c>
      <c r="R92" s="53" t="str">
        <f>VLOOKUP($C92,[4]Sheet2!$D:$J,6,0)</f>
        <v>10,000.000</v>
      </c>
      <c r="S92" s="53" t="str">
        <f>VLOOKUP($C92,[4]Sheet2!$D:$J,7,0)</f>
        <v>10,000.000</v>
      </c>
    </row>
    <row r="93" spans="1:20" x14ac:dyDescent="0.25">
      <c r="A93" s="100"/>
      <c r="B93" s="100">
        <v>92</v>
      </c>
      <c r="C93" s="104">
        <v>10100005718</v>
      </c>
      <c r="D93" s="102" t="s">
        <v>675</v>
      </c>
      <c r="E93" s="102" t="s">
        <v>441</v>
      </c>
      <c r="F93" s="103" t="s">
        <v>630</v>
      </c>
      <c r="G93" s="101">
        <v>6</v>
      </c>
      <c r="H93" s="102" t="s">
        <v>676</v>
      </c>
      <c r="I93" s="105" t="s">
        <v>42</v>
      </c>
      <c r="J93" s="74"/>
      <c r="K93" s="53">
        <f>VLOOKUP($C93,[4]Sheet2!$D:$J,3,0)</f>
        <v>1.1000000000000001E-3</v>
      </c>
      <c r="L93" s="53" t="str">
        <f>VLOOKUP($C93,[4]Sheet2!$D:$J,4,0)</f>
        <v>CNY</v>
      </c>
      <c r="M93" s="53" t="str">
        <f>VLOOKUP($C93,[4]Sheet2!$D:$J,2,0)</f>
        <v>广东风华高新科技股份有限公司</v>
      </c>
      <c r="N93" s="53">
        <f t="shared" si="13"/>
        <v>1.1000000000000001E-3</v>
      </c>
      <c r="Q93" s="53" t="str">
        <f>VLOOKUP($C93,[4]Sheet2!$D:$J,5,0)</f>
        <v>42</v>
      </c>
      <c r="R93" s="53" t="str">
        <f>VLOOKUP($C93,[4]Sheet2!$D:$J,6,0)</f>
        <v>10,000.000</v>
      </c>
      <c r="S93" s="53" t="str">
        <f>VLOOKUP($C93,[4]Sheet2!$D:$J,7,0)</f>
        <v>10,000.000</v>
      </c>
    </row>
    <row r="94" spans="1:20" x14ac:dyDescent="0.25">
      <c r="A94" s="100"/>
      <c r="B94" s="100">
        <v>93</v>
      </c>
      <c r="C94" s="104">
        <v>10100013040</v>
      </c>
      <c r="D94" s="102" t="s">
        <v>672</v>
      </c>
      <c r="E94" s="102" t="s">
        <v>443</v>
      </c>
      <c r="F94" s="103" t="s">
        <v>673</v>
      </c>
      <c r="G94" s="101">
        <v>6</v>
      </c>
      <c r="H94" s="102" t="s">
        <v>676</v>
      </c>
      <c r="I94" s="105" t="s">
        <v>42</v>
      </c>
      <c r="J94" s="74"/>
      <c r="K94" s="53">
        <f>VLOOKUP($C94,[4]Sheet2!$D:$J,3,0)</f>
        <v>1.09E-3</v>
      </c>
      <c r="L94" s="53" t="str">
        <f>VLOOKUP($C94,[4]Sheet2!$D:$J,4,0)</f>
        <v>CNY</v>
      </c>
      <c r="M94" s="53" t="str">
        <f>VLOOKUP($C94,[4]Sheet2!$D:$J,2,0)</f>
        <v>厚声国际贸易（昆山）有限公司深圳分公司</v>
      </c>
      <c r="N94" s="53">
        <f t="shared" si="13"/>
        <v>1.09E-3</v>
      </c>
      <c r="Q94" s="53" t="str">
        <f>VLOOKUP($C94,[4]Sheet2!$D:$J,5,0)</f>
        <v>56</v>
      </c>
      <c r="R94" s="53" t="str">
        <f>VLOOKUP($C94,[4]Sheet2!$D:$J,6,0)</f>
        <v>10,000.000</v>
      </c>
      <c r="S94" s="53" t="str">
        <f>VLOOKUP($C94,[4]Sheet2!$D:$J,7,0)</f>
        <v>10,000.000</v>
      </c>
    </row>
    <row r="95" spans="1:20" x14ac:dyDescent="0.25">
      <c r="A95" s="100">
        <v>42</v>
      </c>
      <c r="B95" s="100">
        <v>94</v>
      </c>
      <c r="C95" s="104">
        <v>10100017642</v>
      </c>
      <c r="D95" s="102" t="s">
        <v>672</v>
      </c>
      <c r="E95" s="102" t="s">
        <v>444</v>
      </c>
      <c r="F95" s="103" t="s">
        <v>674</v>
      </c>
      <c r="G95" s="101">
        <v>6</v>
      </c>
      <c r="H95" s="102" t="s">
        <v>676</v>
      </c>
      <c r="I95" s="105" t="s">
        <v>42</v>
      </c>
      <c r="J95" s="74"/>
      <c r="K95" s="53">
        <f>VLOOKUP($C95,[4]Sheet2!$D:$J,3,0)</f>
        <v>9.7999999999999997E-4</v>
      </c>
      <c r="L95" s="53" t="str">
        <f>VLOOKUP($C95,[4]Sheet2!$D:$J,4,0)</f>
        <v>CNY</v>
      </c>
      <c r="M95" s="53" t="str">
        <f>VLOOKUP($C95,[4]Sheet2!$D:$J,2,0)</f>
        <v>恒辉电阻（益阳）有限公司</v>
      </c>
      <c r="N95" s="53">
        <f t="shared" si="13"/>
        <v>9.7999999999999997E-4</v>
      </c>
      <c r="O95" s="110">
        <f>N95*G95</f>
        <v>5.8799999999999998E-3</v>
      </c>
      <c r="Q95" s="53" t="str">
        <f>VLOOKUP($C95,[4]Sheet2!$D:$J,5,0)</f>
        <v>42</v>
      </c>
      <c r="R95" s="53" t="str">
        <f>VLOOKUP($C95,[4]Sheet2!$D:$J,6,0)</f>
        <v>10,000.000</v>
      </c>
      <c r="S95" s="53" t="str">
        <f>VLOOKUP($C95,[4]Sheet2!$D:$J,7,0)</f>
        <v>10,000.000</v>
      </c>
      <c r="T95" s="110" t="s">
        <v>37</v>
      </c>
    </row>
    <row r="96" spans="1:20" x14ac:dyDescent="0.25">
      <c r="A96" s="100"/>
      <c r="B96" s="100">
        <v>95</v>
      </c>
      <c r="C96" s="104">
        <v>10100009721</v>
      </c>
      <c r="D96" s="102" t="s">
        <v>672</v>
      </c>
      <c r="E96" s="102" t="s">
        <v>452</v>
      </c>
      <c r="F96" s="103" t="s">
        <v>627</v>
      </c>
      <c r="G96" s="101">
        <v>2</v>
      </c>
      <c r="H96" s="247" t="s">
        <v>453</v>
      </c>
      <c r="I96" s="105"/>
      <c r="J96" s="74"/>
      <c r="K96" s="53">
        <f>VLOOKUP($C96,[4]Sheet2!$D:$J,3,0)</f>
        <v>1.4E-3</v>
      </c>
      <c r="L96" s="53" t="str">
        <f>VLOOKUP($C96,[4]Sheet2!$D:$J,4,0)</f>
        <v>CNY</v>
      </c>
      <c r="M96" s="53" t="str">
        <f>VLOOKUP($C96,[4]Sheet2!$D:$J,2,0)</f>
        <v>深圳市超利维实业有限公司</v>
      </c>
      <c r="N96" s="53">
        <f t="shared" si="13"/>
        <v>1.4E-3</v>
      </c>
      <c r="Q96" s="53" t="str">
        <f>VLOOKUP($C96,[4]Sheet2!$D:$J,5,0)</f>
        <v>84</v>
      </c>
      <c r="R96" s="53" t="str">
        <f>VLOOKUP($C96,[4]Sheet2!$D:$J,6,0)</f>
        <v>10,000.000</v>
      </c>
      <c r="S96" s="53" t="str">
        <f>VLOOKUP($C96,[4]Sheet2!$D:$J,7,0)</f>
        <v>10,000.000</v>
      </c>
    </row>
    <row r="97" spans="1:20" x14ac:dyDescent="0.25">
      <c r="A97" s="100"/>
      <c r="B97" s="100">
        <v>96</v>
      </c>
      <c r="C97" s="104">
        <v>10100009722</v>
      </c>
      <c r="D97" s="102" t="s">
        <v>672</v>
      </c>
      <c r="E97" s="102" t="s">
        <v>454</v>
      </c>
      <c r="F97" s="103" t="s">
        <v>629</v>
      </c>
      <c r="G97" s="101">
        <v>2</v>
      </c>
      <c r="H97" s="247" t="s">
        <v>453</v>
      </c>
      <c r="I97" s="105" t="s">
        <v>42</v>
      </c>
      <c r="J97" s="74"/>
      <c r="K97" s="53">
        <f>VLOOKUP($C97,[4]Sheet2!$D:$J,3,0)</f>
        <v>1.17E-3</v>
      </c>
      <c r="L97" s="53" t="str">
        <f>VLOOKUP($C97,[4]Sheet2!$D:$J,4,0)</f>
        <v>CNY</v>
      </c>
      <c r="M97" s="53" t="str">
        <f>VLOOKUP($C97,[4]Sheet2!$D:$J,2,0)</f>
        <v>东莞华科电子有限公司</v>
      </c>
      <c r="N97" s="53">
        <f t="shared" si="13"/>
        <v>1.17E-3</v>
      </c>
      <c r="Q97" s="53" t="str">
        <f>VLOOKUP($C97,[4]Sheet2!$D:$J,5,0)</f>
        <v>56</v>
      </c>
      <c r="R97" s="53" t="str">
        <f>VLOOKUP($C97,[4]Sheet2!$D:$J,6,0)</f>
        <v>10,000.000</v>
      </c>
      <c r="S97" s="53" t="str">
        <f>VLOOKUP($C97,[4]Sheet2!$D:$J,7,0)</f>
        <v>10,000.000</v>
      </c>
    </row>
    <row r="98" spans="1:20" x14ac:dyDescent="0.25">
      <c r="A98" s="100">
        <v>43</v>
      </c>
      <c r="B98" s="100">
        <v>97</v>
      </c>
      <c r="C98" s="104">
        <v>10100022516</v>
      </c>
      <c r="D98" s="102" t="s">
        <v>672</v>
      </c>
      <c r="E98" s="102" t="s">
        <v>457</v>
      </c>
      <c r="F98" s="103" t="s">
        <v>673</v>
      </c>
      <c r="G98" s="101">
        <v>2</v>
      </c>
      <c r="H98" s="247" t="s">
        <v>453</v>
      </c>
      <c r="I98" s="105" t="s">
        <v>42</v>
      </c>
      <c r="J98" s="74"/>
      <c r="K98" s="53">
        <f>VLOOKUP($C98,[4]Sheet2!$D:$J,3,0)</f>
        <v>1.09E-3</v>
      </c>
      <c r="L98" s="53" t="str">
        <f>VLOOKUP($C98,[4]Sheet2!$D:$J,4,0)</f>
        <v>CNY</v>
      </c>
      <c r="M98" s="53" t="str">
        <f>VLOOKUP($C98,[4]Sheet2!$D:$J,2,0)</f>
        <v>厚声国际贸易（昆山）有限公司深圳分公司</v>
      </c>
      <c r="N98" s="53">
        <f t="shared" si="13"/>
        <v>1.09E-3</v>
      </c>
      <c r="Q98" s="53" t="str">
        <f>VLOOKUP($C98,[4]Sheet2!$D:$J,5,0)</f>
        <v>42</v>
      </c>
      <c r="R98" s="53" t="str">
        <f>VLOOKUP($C98,[4]Sheet2!$D:$J,6,0)</f>
        <v>10,000.000</v>
      </c>
      <c r="S98" s="53" t="str">
        <f>VLOOKUP($C98,[4]Sheet2!$D:$J,7,0)</f>
        <v>10,000.000</v>
      </c>
    </row>
    <row r="99" spans="1:20" x14ac:dyDescent="0.25">
      <c r="A99" s="100"/>
      <c r="B99" s="100">
        <v>98</v>
      </c>
      <c r="C99" s="104">
        <v>10100019134</v>
      </c>
      <c r="D99" s="102" t="s">
        <v>672</v>
      </c>
      <c r="E99" s="102" t="s">
        <v>455</v>
      </c>
      <c r="F99" s="103" t="s">
        <v>677</v>
      </c>
      <c r="G99" s="101">
        <v>2</v>
      </c>
      <c r="H99" s="247" t="s">
        <v>453</v>
      </c>
      <c r="I99" s="105" t="s">
        <v>42</v>
      </c>
      <c r="J99" s="74"/>
      <c r="K99" s="53">
        <f>VLOOKUP($C99,[4]Sheet2!$D:$J,3,0)</f>
        <v>9.7999999999999997E-4</v>
      </c>
      <c r="L99" s="53" t="str">
        <f>VLOOKUP($C99,[4]Sheet2!$D:$J,4,0)</f>
        <v>CNY</v>
      </c>
      <c r="M99" s="53" t="str">
        <f>VLOOKUP($C99,[4]Sheet2!$D:$J,2,0)</f>
        <v>恒辉电阻（益阳）有限公司</v>
      </c>
      <c r="N99" s="53">
        <f t="shared" si="13"/>
        <v>9.7999999999999997E-4</v>
      </c>
      <c r="O99" s="110">
        <f>N99*G99</f>
        <v>1.9599999999999999E-3</v>
      </c>
      <c r="Q99" s="53" t="str">
        <f>VLOOKUP($C99,[4]Sheet2!$D:$J,5,0)</f>
        <v>42</v>
      </c>
      <c r="R99" s="53" t="str">
        <f>VLOOKUP($C99,[4]Sheet2!$D:$J,6,0)</f>
        <v>10,000.000</v>
      </c>
      <c r="S99" s="53" t="str">
        <f>VLOOKUP($C99,[4]Sheet2!$D:$J,7,0)</f>
        <v>10,000.000</v>
      </c>
      <c r="T99" s="110" t="s">
        <v>37</v>
      </c>
    </row>
    <row r="100" spans="1:20" x14ac:dyDescent="0.25">
      <c r="A100" s="100"/>
      <c r="B100" s="100">
        <v>99</v>
      </c>
      <c r="C100" s="104">
        <v>10100003511</v>
      </c>
      <c r="D100" s="102" t="s">
        <v>672</v>
      </c>
      <c r="E100" s="102" t="s">
        <v>416</v>
      </c>
      <c r="F100" s="103" t="s">
        <v>627</v>
      </c>
      <c r="G100" s="101">
        <v>2</v>
      </c>
      <c r="H100" s="247" t="s">
        <v>417</v>
      </c>
      <c r="I100" s="105"/>
      <c r="J100" s="74"/>
      <c r="K100" s="53">
        <f>VLOOKUP($C100,[4]Sheet2!$D:$J,3,0)</f>
        <v>8.0000000000000002E-3</v>
      </c>
      <c r="L100" s="53" t="str">
        <f>VLOOKUP($C100,[4]Sheet2!$D:$J,4,0)</f>
        <v>CNY</v>
      </c>
      <c r="M100" s="53" t="str">
        <f>VLOOKUP($C100,[4]Sheet2!$D:$J,2,0)</f>
        <v>深圳市欧尔法电子有限公司</v>
      </c>
      <c r="N100" s="53">
        <f t="shared" si="13"/>
        <v>8.0000000000000002E-3</v>
      </c>
      <c r="Q100" s="53" t="str">
        <f>VLOOKUP($C100,[4]Sheet2!$D:$J,5,0)</f>
        <v>56</v>
      </c>
      <c r="R100" s="53" t="str">
        <f>VLOOKUP($C100,[4]Sheet2!$D:$J,6,0)</f>
        <v>5,000.000</v>
      </c>
      <c r="S100" s="53" t="str">
        <f>VLOOKUP($C100,[4]Sheet2!$D:$J,7,0)</f>
        <v>5,000.000</v>
      </c>
    </row>
    <row r="101" spans="1:20" x14ac:dyDescent="0.25">
      <c r="A101" s="100"/>
      <c r="B101" s="100">
        <v>100</v>
      </c>
      <c r="C101" s="104">
        <v>10100007174</v>
      </c>
      <c r="D101" s="102" t="s">
        <v>672</v>
      </c>
      <c r="E101" s="102" t="s">
        <v>419</v>
      </c>
      <c r="F101" s="103" t="s">
        <v>629</v>
      </c>
      <c r="G101" s="101">
        <v>2</v>
      </c>
      <c r="H101" s="247" t="s">
        <v>417</v>
      </c>
      <c r="I101" s="118" t="s">
        <v>291</v>
      </c>
      <c r="J101" s="74"/>
      <c r="K101" s="53">
        <f>VLOOKUP($C101,[4]Sheet2!$D:$J,3,0)</f>
        <v>6.9499999999999996E-3</v>
      </c>
      <c r="L101" s="53" t="str">
        <f>VLOOKUP($C101,[4]Sheet2!$D:$J,4,0)</f>
        <v>CNY</v>
      </c>
      <c r="M101" s="53" t="str">
        <f>VLOOKUP($C101,[4]Sheet2!$D:$J,2,0)</f>
        <v>东莞华科电子有限公司</v>
      </c>
      <c r="N101" s="53">
        <f t="shared" si="13"/>
        <v>6.9499999999999996E-3</v>
      </c>
      <c r="Q101" s="53" t="str">
        <f>VLOOKUP($C101,[4]Sheet2!$D:$J,5,0)</f>
        <v>56</v>
      </c>
      <c r="R101" s="53" t="str">
        <f>VLOOKUP($C101,[4]Sheet2!$D:$J,6,0)</f>
        <v>5,000.000</v>
      </c>
      <c r="S101" s="53" t="str">
        <f>VLOOKUP($C101,[4]Sheet2!$D:$J,7,0)</f>
        <v>5,000.000</v>
      </c>
    </row>
    <row r="102" spans="1:20" x14ac:dyDescent="0.25">
      <c r="A102" s="100"/>
      <c r="B102" s="100">
        <v>101</v>
      </c>
      <c r="C102" s="104">
        <v>10100011096</v>
      </c>
      <c r="D102" s="102" t="s">
        <v>672</v>
      </c>
      <c r="E102" s="102" t="s">
        <v>420</v>
      </c>
      <c r="F102" s="103" t="s">
        <v>673</v>
      </c>
      <c r="G102" s="101">
        <v>2</v>
      </c>
      <c r="H102" s="247" t="s">
        <v>417</v>
      </c>
      <c r="I102" s="118" t="s">
        <v>291</v>
      </c>
      <c r="J102" s="74"/>
      <c r="K102" s="53">
        <f>VLOOKUP($C102,[4]Sheet2!$D:$J,3,0)</f>
        <v>6.7799999999999996E-3</v>
      </c>
      <c r="L102" s="53" t="str">
        <f>VLOOKUP($C102,[4]Sheet2!$D:$J,4,0)</f>
        <v>CNY</v>
      </c>
      <c r="M102" s="53" t="str">
        <f>VLOOKUP($C102,[4]Sheet2!$D:$J,2,0)</f>
        <v>厚声国际贸易（昆山）有限公司深圳分公司</v>
      </c>
      <c r="N102" s="53">
        <f t="shared" si="13"/>
        <v>6.7799999999999996E-3</v>
      </c>
      <c r="Q102" s="53" t="str">
        <f>VLOOKUP($C102,[4]Sheet2!$D:$J,5,0)</f>
        <v>42</v>
      </c>
      <c r="R102" s="53" t="str">
        <f>VLOOKUP($C102,[4]Sheet2!$D:$J,6,0)</f>
        <v>5,000.000</v>
      </c>
      <c r="S102" s="53" t="str">
        <f>VLOOKUP($C102,[4]Sheet2!$D:$J,7,0)</f>
        <v>5,000.000</v>
      </c>
    </row>
    <row r="103" spans="1:20" x14ac:dyDescent="0.25">
      <c r="A103" s="100">
        <v>44</v>
      </c>
      <c r="B103" s="100">
        <v>102</v>
      </c>
      <c r="C103" s="104">
        <v>10100006398</v>
      </c>
      <c r="D103" s="102" t="s">
        <v>672</v>
      </c>
      <c r="E103" s="102" t="s">
        <v>418</v>
      </c>
      <c r="F103" s="103" t="s">
        <v>630</v>
      </c>
      <c r="G103" s="101">
        <v>2</v>
      </c>
      <c r="H103" s="247" t="s">
        <v>417</v>
      </c>
      <c r="I103" s="118" t="s">
        <v>291</v>
      </c>
      <c r="J103" s="74"/>
      <c r="K103" s="53">
        <f>VLOOKUP($C103,[4]Sheet2!$D:$J,3,0)</f>
        <v>6.3699999999999998E-3</v>
      </c>
      <c r="L103" s="53" t="str">
        <f>VLOOKUP($C103,[4]Sheet2!$D:$J,4,0)</f>
        <v>CNY</v>
      </c>
      <c r="M103" s="53" t="str">
        <f>VLOOKUP($C103,[4]Sheet2!$D:$J,2,0)</f>
        <v>广东风华高新科技股份有限公司</v>
      </c>
      <c r="N103" s="53">
        <f t="shared" si="13"/>
        <v>6.3699999999999998E-3</v>
      </c>
      <c r="Q103" s="53" t="str">
        <f>VLOOKUP($C103,[4]Sheet2!$D:$J,5,0)</f>
        <v>42</v>
      </c>
      <c r="R103" s="53" t="str">
        <f>VLOOKUP($C103,[4]Sheet2!$D:$J,6,0)</f>
        <v>4,000.000</v>
      </c>
      <c r="S103" s="53" t="str">
        <f>VLOOKUP($C103,[4]Sheet2!$D:$J,7,0)</f>
        <v>4,000.000</v>
      </c>
    </row>
    <row r="104" spans="1:20" x14ac:dyDescent="0.25">
      <c r="A104" s="100"/>
      <c r="B104" s="100">
        <v>103</v>
      </c>
      <c r="C104" s="104">
        <v>10100017551</v>
      </c>
      <c r="D104" s="102" t="s">
        <v>672</v>
      </c>
      <c r="E104" s="102" t="s">
        <v>421</v>
      </c>
      <c r="F104" s="103" t="s">
        <v>674</v>
      </c>
      <c r="G104" s="101">
        <v>2</v>
      </c>
      <c r="H104" s="247" t="s">
        <v>417</v>
      </c>
      <c r="I104" s="118" t="s">
        <v>291</v>
      </c>
      <c r="J104" s="74"/>
      <c r="K104" s="53">
        <f>VLOOKUP($C104,[4]Sheet2!$D:$J,3,0)</f>
        <v>5.5999999999999999E-3</v>
      </c>
      <c r="L104" s="53" t="str">
        <f>VLOOKUP($C104,[4]Sheet2!$D:$J,4,0)</f>
        <v>CNY</v>
      </c>
      <c r="M104" s="53" t="str">
        <f>VLOOKUP($C104,[4]Sheet2!$D:$J,2,0)</f>
        <v>南充溢辉电子科技有限公司</v>
      </c>
      <c r="N104" s="53">
        <f t="shared" si="13"/>
        <v>5.5999999999999999E-3</v>
      </c>
      <c r="O104" s="110">
        <f>N104*G104</f>
        <v>1.12E-2</v>
      </c>
      <c r="Q104" s="53" t="str">
        <f>VLOOKUP($C104,[4]Sheet2!$D:$J,5,0)</f>
        <v>35</v>
      </c>
      <c r="R104" s="53" t="str">
        <f>VLOOKUP($C104,[4]Sheet2!$D:$J,6,0)</f>
        <v>5,000.000</v>
      </c>
      <c r="S104" s="53" t="str">
        <f>VLOOKUP($C104,[4]Sheet2!$D:$J,7,0)</f>
        <v>5,000.000</v>
      </c>
      <c r="T104" s="110" t="s">
        <v>37</v>
      </c>
    </row>
    <row r="105" spans="1:20" x14ac:dyDescent="0.25">
      <c r="A105" s="100"/>
      <c r="B105" s="100">
        <v>104</v>
      </c>
      <c r="C105" s="104">
        <v>10100007852</v>
      </c>
      <c r="D105" s="102" t="s">
        <v>672</v>
      </c>
      <c r="E105" s="102" t="s">
        <v>458</v>
      </c>
      <c r="F105" s="103" t="s">
        <v>627</v>
      </c>
      <c r="G105" s="101">
        <v>3</v>
      </c>
      <c r="H105" s="247" t="s">
        <v>459</v>
      </c>
      <c r="I105" s="105"/>
      <c r="J105" s="74"/>
      <c r="K105" s="53">
        <f>VLOOKUP($C105,[4]Sheet2!$D:$J,3,0)</f>
        <v>8.0000000000000002E-3</v>
      </c>
      <c r="L105" s="53" t="str">
        <f>VLOOKUP($C105,[4]Sheet2!$D:$J,4,0)</f>
        <v>CNY</v>
      </c>
      <c r="M105" s="53" t="str">
        <f>VLOOKUP($C105,[4]Sheet2!$D:$J,2,0)</f>
        <v>深圳市欧尔法电子有限公司</v>
      </c>
      <c r="N105" s="53">
        <f t="shared" si="13"/>
        <v>8.0000000000000002E-3</v>
      </c>
      <c r="Q105" s="53" t="str">
        <f>VLOOKUP($C105,[4]Sheet2!$D:$J,5,0)</f>
        <v>70</v>
      </c>
      <c r="R105" s="53" t="str">
        <f>VLOOKUP($C105,[4]Sheet2!$D:$J,6,0)</f>
        <v>5,000.000</v>
      </c>
      <c r="S105" s="53" t="str">
        <f>VLOOKUP($C105,[4]Sheet2!$D:$J,7,0)</f>
        <v>5,000.000</v>
      </c>
    </row>
    <row r="106" spans="1:20" x14ac:dyDescent="0.25">
      <c r="A106" s="100"/>
      <c r="B106" s="100">
        <v>105</v>
      </c>
      <c r="C106" s="104">
        <v>10100014304</v>
      </c>
      <c r="D106" s="102" t="s">
        <v>672</v>
      </c>
      <c r="E106" s="102" t="s">
        <v>460</v>
      </c>
      <c r="F106" s="103" t="s">
        <v>629</v>
      </c>
      <c r="G106" s="101">
        <v>3</v>
      </c>
      <c r="H106" s="247" t="s">
        <v>459</v>
      </c>
      <c r="I106" s="105" t="s">
        <v>42</v>
      </c>
      <c r="J106" s="74"/>
      <c r="K106" s="53">
        <f>VLOOKUP($C106,[4]Sheet2!$D:$J,3,0)</f>
        <v>6.9499999999999996E-3</v>
      </c>
      <c r="L106" s="53" t="str">
        <f>VLOOKUP($C106,[4]Sheet2!$D:$J,4,0)</f>
        <v>CNY</v>
      </c>
      <c r="M106" s="53" t="str">
        <f>VLOOKUP($C106,[4]Sheet2!$D:$J,2,0)</f>
        <v>东莞华科电子有限公司</v>
      </c>
      <c r="N106" s="53">
        <f t="shared" si="13"/>
        <v>6.9499999999999996E-3</v>
      </c>
      <c r="Q106" s="53" t="str">
        <f>VLOOKUP($C106,[4]Sheet2!$D:$J,5,0)</f>
        <v>70</v>
      </c>
      <c r="R106" s="53" t="str">
        <f>VLOOKUP($C106,[4]Sheet2!$D:$J,6,0)</f>
        <v>5,000.000</v>
      </c>
      <c r="S106" s="53" t="str">
        <f>VLOOKUP($C106,[4]Sheet2!$D:$J,7,0)</f>
        <v>5,000.000</v>
      </c>
    </row>
    <row r="107" spans="1:20" x14ac:dyDescent="0.25">
      <c r="A107" s="100"/>
      <c r="B107" s="100">
        <v>106</v>
      </c>
      <c r="C107" s="104">
        <v>10100017206</v>
      </c>
      <c r="D107" s="102" t="s">
        <v>672</v>
      </c>
      <c r="E107" s="102" t="s">
        <v>461</v>
      </c>
      <c r="F107" s="103" t="s">
        <v>673</v>
      </c>
      <c r="G107" s="101">
        <v>3</v>
      </c>
      <c r="H107" s="247" t="s">
        <v>459</v>
      </c>
      <c r="I107" s="105" t="s">
        <v>42</v>
      </c>
      <c r="J107" s="74"/>
      <c r="K107" s="53">
        <f>VLOOKUP($C107,[4]Sheet2!$D:$J,3,0)</f>
        <v>6.7799999999999996E-3</v>
      </c>
      <c r="L107" s="53" t="str">
        <f>VLOOKUP($C107,[4]Sheet2!$D:$J,4,0)</f>
        <v>CNY</v>
      </c>
      <c r="M107" s="53" t="str">
        <f>VLOOKUP($C107,[4]Sheet2!$D:$J,2,0)</f>
        <v>厚声国际贸易（昆山）有限公司深圳分公司</v>
      </c>
      <c r="N107" s="53">
        <f t="shared" si="13"/>
        <v>6.7799999999999996E-3</v>
      </c>
      <c r="Q107" s="53" t="str">
        <f>VLOOKUP($C107,[4]Sheet2!$D:$J,5,0)</f>
        <v>42</v>
      </c>
      <c r="R107" s="53" t="str">
        <f>VLOOKUP($C107,[4]Sheet2!$D:$J,6,0)</f>
        <v>5,000.000</v>
      </c>
      <c r="S107" s="53" t="str">
        <f>VLOOKUP($C107,[4]Sheet2!$D:$J,7,0)</f>
        <v>5,000.000</v>
      </c>
    </row>
    <row r="108" spans="1:20" x14ac:dyDescent="0.25">
      <c r="A108" s="100">
        <v>45</v>
      </c>
      <c r="B108" s="100">
        <v>107</v>
      </c>
      <c r="C108" s="104">
        <v>10100026554</v>
      </c>
      <c r="D108" s="102" t="s">
        <v>672</v>
      </c>
      <c r="E108" s="102" t="s">
        <v>463</v>
      </c>
      <c r="F108" s="103" t="s">
        <v>630</v>
      </c>
      <c r="G108" s="101">
        <v>3</v>
      </c>
      <c r="H108" s="247" t="s">
        <v>459</v>
      </c>
      <c r="I108" s="105" t="s">
        <v>42</v>
      </c>
      <c r="J108" s="74"/>
      <c r="K108" s="53">
        <f>VLOOKUP($C108,[4]Sheet2!$D:$J,3,0)</f>
        <v>6.4999999999999997E-3</v>
      </c>
      <c r="L108" s="53" t="str">
        <f>VLOOKUP($C108,[4]Sheet2!$D:$J,4,0)</f>
        <v>CNY</v>
      </c>
      <c r="M108" s="53" t="str">
        <f>VLOOKUP($C108,[4]Sheet2!$D:$J,2,0)</f>
        <v>广东风华高新科技股份有限公司</v>
      </c>
      <c r="N108" s="53">
        <f t="shared" si="13"/>
        <v>6.4999999999999997E-3</v>
      </c>
      <c r="Q108" s="53" t="str">
        <f>VLOOKUP($C108,[4]Sheet2!$D:$J,5,0)</f>
        <v>42</v>
      </c>
      <c r="R108" s="53" t="str">
        <f>VLOOKUP($C108,[4]Sheet2!$D:$J,6,0)</f>
        <v>5,000.000</v>
      </c>
      <c r="S108" s="53" t="str">
        <f>VLOOKUP($C108,[4]Sheet2!$D:$J,7,0)</f>
        <v>5,000.000</v>
      </c>
    </row>
    <row r="109" spans="1:20" x14ac:dyDescent="0.25">
      <c r="A109" s="100">
        <v>46</v>
      </c>
      <c r="B109" s="100">
        <v>108</v>
      </c>
      <c r="C109" s="104">
        <v>10100017511</v>
      </c>
      <c r="D109" s="102" t="s">
        <v>672</v>
      </c>
      <c r="E109" s="102" t="s">
        <v>462</v>
      </c>
      <c r="F109" s="103" t="s">
        <v>674</v>
      </c>
      <c r="G109" s="101">
        <v>3</v>
      </c>
      <c r="H109" s="247" t="s">
        <v>459</v>
      </c>
      <c r="I109" s="105" t="s">
        <v>42</v>
      </c>
      <c r="J109" s="74"/>
      <c r="K109" s="53">
        <f>VLOOKUP($C109,[4]Sheet2!$D:$J,3,0)</f>
        <v>5.5999999999999999E-3</v>
      </c>
      <c r="L109" s="53" t="str">
        <f>VLOOKUP($C109,[4]Sheet2!$D:$J,4,0)</f>
        <v>CNY</v>
      </c>
      <c r="M109" s="53" t="str">
        <f>VLOOKUP($C109,[4]Sheet2!$D:$J,2,0)</f>
        <v>恒辉电阻（益阳）有限公司</v>
      </c>
      <c r="N109" s="53">
        <f t="shared" si="13"/>
        <v>5.5999999999999999E-3</v>
      </c>
      <c r="O109" s="110">
        <f>N109*G109</f>
        <v>1.6799999999999999E-2</v>
      </c>
      <c r="Q109" s="53" t="str">
        <f>VLOOKUP($C109,[4]Sheet2!$D:$J,5,0)</f>
        <v>42</v>
      </c>
      <c r="R109" s="53" t="str">
        <f>VLOOKUP($C109,[4]Sheet2!$D:$J,6,0)</f>
        <v>5,000.000</v>
      </c>
      <c r="S109" s="53" t="str">
        <f>VLOOKUP($C109,[4]Sheet2!$D:$J,7,0)</f>
        <v>5,000.000</v>
      </c>
      <c r="T109" s="110" t="s">
        <v>37</v>
      </c>
    </row>
    <row r="110" spans="1:20" x14ac:dyDescent="0.25">
      <c r="A110" s="100"/>
      <c r="B110" s="100">
        <v>109</v>
      </c>
      <c r="C110" s="104">
        <v>10100008830</v>
      </c>
      <c r="D110" s="102" t="s">
        <v>672</v>
      </c>
      <c r="E110" s="102" t="s">
        <v>466</v>
      </c>
      <c r="F110" s="103" t="s">
        <v>627</v>
      </c>
      <c r="G110" s="101">
        <v>2</v>
      </c>
      <c r="H110" s="247" t="s">
        <v>465</v>
      </c>
      <c r="I110" s="105"/>
      <c r="J110" s="74"/>
      <c r="K110" s="53">
        <f>VLOOKUP($C110,[4]Sheet2!$D:$J,3,0)</f>
        <v>1.39E-3</v>
      </c>
      <c r="L110" s="53" t="str">
        <f>VLOOKUP($C110,[4]Sheet2!$D:$J,4,0)</f>
        <v>CNY</v>
      </c>
      <c r="M110" s="53" t="str">
        <f>VLOOKUP($C110,[4]Sheet2!$D:$J,2,0)</f>
        <v>深圳市欧尔法电子有限公司</v>
      </c>
      <c r="N110" s="53">
        <f t="shared" si="13"/>
        <v>1.39E-3</v>
      </c>
      <c r="Q110" s="53" t="str">
        <f>VLOOKUP($C110,[4]Sheet2!$D:$J,5,0)</f>
        <v>56</v>
      </c>
      <c r="R110" s="53" t="str">
        <f>VLOOKUP($C110,[4]Sheet2!$D:$J,6,0)</f>
        <v>10,000.000</v>
      </c>
      <c r="S110" s="53" t="str">
        <f>VLOOKUP($C110,[4]Sheet2!$D:$J,7,0)</f>
        <v>10,000.000</v>
      </c>
    </row>
    <row r="111" spans="1:20" x14ac:dyDescent="0.25">
      <c r="A111" s="100"/>
      <c r="B111" s="100">
        <v>110</v>
      </c>
      <c r="C111" s="104">
        <v>10100008827</v>
      </c>
      <c r="D111" s="102" t="s">
        <v>672</v>
      </c>
      <c r="E111" s="102" t="s">
        <v>464</v>
      </c>
      <c r="F111" s="103" t="s">
        <v>629</v>
      </c>
      <c r="G111" s="101">
        <v>2</v>
      </c>
      <c r="H111" s="247" t="s">
        <v>465</v>
      </c>
      <c r="I111" s="105" t="s">
        <v>42</v>
      </c>
      <c r="J111" s="74"/>
      <c r="K111" s="53">
        <f>VLOOKUP($C111,[4]Sheet2!$D:$J,3,0)</f>
        <v>1.17E-3</v>
      </c>
      <c r="L111" s="53" t="str">
        <f>VLOOKUP($C111,[4]Sheet2!$D:$J,4,0)</f>
        <v>CNY</v>
      </c>
      <c r="M111" s="53" t="str">
        <f>VLOOKUP($C111,[4]Sheet2!$D:$J,2,0)</f>
        <v>东莞华科电子有限公司</v>
      </c>
      <c r="N111" s="53">
        <f t="shared" si="13"/>
        <v>1.17E-3</v>
      </c>
      <c r="Q111" s="53" t="str">
        <f>VLOOKUP($C111,[4]Sheet2!$D:$J,5,0)</f>
        <v>56</v>
      </c>
      <c r="R111" s="53" t="str">
        <f>VLOOKUP($C111,[4]Sheet2!$D:$J,6,0)</f>
        <v>10,000.000</v>
      </c>
      <c r="S111" s="53" t="str">
        <f>VLOOKUP($C111,[4]Sheet2!$D:$J,7,0)</f>
        <v>10,000.000</v>
      </c>
    </row>
    <row r="112" spans="1:20" x14ac:dyDescent="0.25">
      <c r="A112" s="100"/>
      <c r="B112" s="100">
        <v>111</v>
      </c>
      <c r="C112" s="104">
        <v>10100011996</v>
      </c>
      <c r="D112" s="102" t="s">
        <v>672</v>
      </c>
      <c r="E112" s="102" t="s">
        <v>468</v>
      </c>
      <c r="F112" s="103" t="s">
        <v>630</v>
      </c>
      <c r="G112" s="101">
        <v>2</v>
      </c>
      <c r="H112" s="247" t="s">
        <v>465</v>
      </c>
      <c r="I112" s="105" t="s">
        <v>42</v>
      </c>
      <c r="J112" s="74"/>
      <c r="K112" s="53">
        <f>VLOOKUP($C112,[4]Sheet2!$D:$J,3,0)</f>
        <v>1.1000000000000001E-3</v>
      </c>
      <c r="L112" s="53" t="str">
        <f>VLOOKUP($C112,[4]Sheet2!$D:$J,4,0)</f>
        <v>CNY</v>
      </c>
      <c r="M112" s="53" t="str">
        <f>VLOOKUP($C112,[4]Sheet2!$D:$J,2,0)</f>
        <v>广东风华高新科技股份有限公司</v>
      </c>
      <c r="N112" s="53">
        <f t="shared" si="13"/>
        <v>1.1000000000000001E-3</v>
      </c>
      <c r="Q112" s="53" t="str">
        <f>VLOOKUP($C112,[4]Sheet2!$D:$J,5,0)</f>
        <v>42</v>
      </c>
      <c r="R112" s="53" t="str">
        <f>VLOOKUP($C112,[4]Sheet2!$D:$J,6,0)</f>
        <v>10,000.000</v>
      </c>
      <c r="S112" s="53" t="str">
        <f>VLOOKUP($C112,[4]Sheet2!$D:$J,7,0)</f>
        <v>10,000.000</v>
      </c>
    </row>
    <row r="113" spans="1:20" x14ac:dyDescent="0.25">
      <c r="A113" s="100"/>
      <c r="B113" s="100">
        <v>112</v>
      </c>
      <c r="C113" s="104">
        <v>10100011886</v>
      </c>
      <c r="D113" s="102" t="s">
        <v>672</v>
      </c>
      <c r="E113" s="102" t="s">
        <v>467</v>
      </c>
      <c r="F113" s="103" t="s">
        <v>673</v>
      </c>
      <c r="G113" s="101">
        <v>2</v>
      </c>
      <c r="H113" s="247" t="s">
        <v>465</v>
      </c>
      <c r="I113" s="105" t="s">
        <v>42</v>
      </c>
      <c r="J113" s="74"/>
      <c r="K113" s="53">
        <f>VLOOKUP($C113,[4]Sheet2!$D:$J,3,0)</f>
        <v>1.09E-3</v>
      </c>
      <c r="L113" s="53" t="str">
        <f>VLOOKUP($C113,[4]Sheet2!$D:$J,4,0)</f>
        <v>CNY</v>
      </c>
      <c r="M113" s="53" t="str">
        <f>VLOOKUP($C113,[4]Sheet2!$D:$J,2,0)</f>
        <v>厚声国际贸易（昆山）有限公司深圳分公司</v>
      </c>
      <c r="N113" s="53">
        <f t="shared" si="13"/>
        <v>1.09E-3</v>
      </c>
      <c r="Q113" s="53" t="str">
        <f>VLOOKUP($C113,[4]Sheet2!$D:$J,5,0)</f>
        <v>56</v>
      </c>
      <c r="R113" s="53" t="str">
        <f>VLOOKUP($C113,[4]Sheet2!$D:$J,6,0)</f>
        <v>10,000.000</v>
      </c>
      <c r="S113" s="53" t="str">
        <f>VLOOKUP($C113,[4]Sheet2!$D:$J,7,0)</f>
        <v>10,000.000</v>
      </c>
    </row>
    <row r="114" spans="1:20" x14ac:dyDescent="0.25">
      <c r="A114" s="100">
        <v>47</v>
      </c>
      <c r="B114" s="100">
        <v>113</v>
      </c>
      <c r="C114" s="104">
        <v>10100017764</v>
      </c>
      <c r="D114" s="102" t="s">
        <v>672</v>
      </c>
      <c r="E114" s="102" t="s">
        <v>469</v>
      </c>
      <c r="F114" s="103" t="s">
        <v>674</v>
      </c>
      <c r="G114" s="101">
        <v>2</v>
      </c>
      <c r="H114" s="247" t="s">
        <v>465</v>
      </c>
      <c r="I114" s="105" t="s">
        <v>42</v>
      </c>
      <c r="J114" s="74"/>
      <c r="K114" s="53">
        <f>VLOOKUP($C114,[4]Sheet2!$D:$J,3,0)</f>
        <v>9.7999999999999997E-4</v>
      </c>
      <c r="L114" s="53" t="str">
        <f>VLOOKUP($C114,[4]Sheet2!$D:$J,4,0)</f>
        <v>CNY</v>
      </c>
      <c r="M114" s="53" t="str">
        <f>VLOOKUP($C114,[4]Sheet2!$D:$J,2,0)</f>
        <v>恒辉电阻（益阳）有限公司</v>
      </c>
      <c r="N114" s="53">
        <f t="shared" si="13"/>
        <v>9.7999999999999997E-4</v>
      </c>
      <c r="O114" s="110">
        <f>N114*G114</f>
        <v>1.9599999999999999E-3</v>
      </c>
      <c r="Q114" s="53" t="str">
        <f>VLOOKUP($C114,[4]Sheet2!$D:$J,5,0)</f>
        <v>42</v>
      </c>
      <c r="R114" s="53" t="str">
        <f>VLOOKUP($C114,[4]Sheet2!$D:$J,6,0)</f>
        <v>10,000.000</v>
      </c>
      <c r="S114" s="53" t="str">
        <f>VLOOKUP($C114,[4]Sheet2!$D:$J,7,0)</f>
        <v>10,000.000</v>
      </c>
      <c r="T114" s="110" t="s">
        <v>37</v>
      </c>
    </row>
    <row r="115" spans="1:20" x14ac:dyDescent="0.25">
      <c r="A115" s="100"/>
      <c r="B115" s="100">
        <v>114</v>
      </c>
      <c r="C115" s="104">
        <v>10100010045</v>
      </c>
      <c r="D115" s="102" t="s">
        <v>675</v>
      </c>
      <c r="E115" s="102" t="s">
        <v>131</v>
      </c>
      <c r="F115" s="103" t="s">
        <v>629</v>
      </c>
      <c r="G115" s="101">
        <v>5</v>
      </c>
      <c r="H115" s="102" t="s">
        <v>678</v>
      </c>
      <c r="I115" s="105" t="s">
        <v>42</v>
      </c>
      <c r="J115" s="74"/>
      <c r="K115" s="53">
        <f>VLOOKUP($C115,[4]Sheet2!$D:$J,3,0)</f>
        <v>1.17E-3</v>
      </c>
      <c r="L115" s="53" t="str">
        <f>VLOOKUP($C115,[4]Sheet2!$D:$J,4,0)</f>
        <v>CNY</v>
      </c>
      <c r="M115" s="53" t="str">
        <f>VLOOKUP($C115,[4]Sheet2!$D:$J,2,0)</f>
        <v>东莞华科电子有限公司</v>
      </c>
      <c r="N115" s="53">
        <f t="shared" si="13"/>
        <v>1.17E-3</v>
      </c>
      <c r="Q115" s="53" t="str">
        <f>VLOOKUP($C115,[4]Sheet2!$D:$J,5,0)</f>
        <v>56</v>
      </c>
      <c r="R115" s="53" t="str">
        <f>VLOOKUP($C115,[4]Sheet2!$D:$J,6,0)</f>
        <v>10,000.000</v>
      </c>
      <c r="S115" s="53" t="str">
        <f>VLOOKUP($C115,[4]Sheet2!$D:$J,7,0)</f>
        <v>10,000.000</v>
      </c>
    </row>
    <row r="116" spans="1:20" x14ac:dyDescent="0.25">
      <c r="A116" s="100"/>
      <c r="B116" s="100">
        <v>115</v>
      </c>
      <c r="C116" s="104">
        <v>10100005795</v>
      </c>
      <c r="D116" s="102" t="s">
        <v>675</v>
      </c>
      <c r="E116" s="102" t="s">
        <v>127</v>
      </c>
      <c r="F116" s="103" t="s">
        <v>630</v>
      </c>
      <c r="G116" s="101">
        <v>5</v>
      </c>
      <c r="H116" s="102" t="s">
        <v>678</v>
      </c>
      <c r="I116" s="105" t="s">
        <v>42</v>
      </c>
      <c r="J116" s="74"/>
      <c r="K116" s="53">
        <f>VLOOKUP($C116,[4]Sheet2!$D:$J,3,0)</f>
        <v>1.1000000000000001E-3</v>
      </c>
      <c r="L116" s="53" t="str">
        <f>VLOOKUP($C116,[4]Sheet2!$D:$J,4,0)</f>
        <v>CNY</v>
      </c>
      <c r="M116" s="53" t="str">
        <f>VLOOKUP($C116,[4]Sheet2!$D:$J,2,0)</f>
        <v>广东风华高新科技股份有限公司</v>
      </c>
      <c r="N116" s="53">
        <f t="shared" si="13"/>
        <v>1.1000000000000001E-3</v>
      </c>
      <c r="Q116" s="53" t="str">
        <f>VLOOKUP($C116,[4]Sheet2!$D:$J,5,0)</f>
        <v>42</v>
      </c>
      <c r="R116" s="53" t="str">
        <f>VLOOKUP($C116,[4]Sheet2!$D:$J,6,0)</f>
        <v>10,000.000</v>
      </c>
      <c r="S116" s="53" t="str">
        <f>VLOOKUP($C116,[4]Sheet2!$D:$J,7,0)</f>
        <v>10,000.000</v>
      </c>
    </row>
    <row r="117" spans="1:20" x14ac:dyDescent="0.25">
      <c r="A117" s="100"/>
      <c r="B117" s="100">
        <v>116</v>
      </c>
      <c r="C117" s="104">
        <v>10100009838</v>
      </c>
      <c r="D117" s="102" t="s">
        <v>675</v>
      </c>
      <c r="E117" s="102" t="s">
        <v>128</v>
      </c>
      <c r="F117" s="103" t="s">
        <v>673</v>
      </c>
      <c r="G117" s="101">
        <v>5</v>
      </c>
      <c r="H117" s="102" t="s">
        <v>678</v>
      </c>
      <c r="I117" s="105" t="s">
        <v>42</v>
      </c>
      <c r="J117" s="74"/>
      <c r="K117" s="53">
        <f>VLOOKUP($C117,[4]Sheet2!$D:$J,3,0)</f>
        <v>1.09E-3</v>
      </c>
      <c r="L117" s="53" t="str">
        <f>VLOOKUP($C117,[4]Sheet2!$D:$J,4,0)</f>
        <v>CNY</v>
      </c>
      <c r="M117" s="53" t="str">
        <f>VLOOKUP($C117,[4]Sheet2!$D:$J,2,0)</f>
        <v>厚声国际贸易（昆山）有限公司深圳分公司</v>
      </c>
      <c r="N117" s="53">
        <f t="shared" si="13"/>
        <v>1.09E-3</v>
      </c>
      <c r="Q117" s="53" t="str">
        <f>VLOOKUP($C117,[4]Sheet2!$D:$J,5,0)</f>
        <v>56</v>
      </c>
      <c r="R117" s="53" t="str">
        <f>VLOOKUP($C117,[4]Sheet2!$D:$J,6,0)</f>
        <v>10,000.000</v>
      </c>
      <c r="S117" s="53" t="str">
        <f>VLOOKUP($C117,[4]Sheet2!$D:$J,7,0)</f>
        <v>10,000.000</v>
      </c>
    </row>
    <row r="118" spans="1:20" x14ac:dyDescent="0.25">
      <c r="A118" s="100">
        <v>48</v>
      </c>
      <c r="B118" s="100">
        <v>117</v>
      </c>
      <c r="C118" s="104">
        <v>10100017618</v>
      </c>
      <c r="D118" s="102" t="s">
        <v>672</v>
      </c>
      <c r="E118" s="102" t="s">
        <v>132</v>
      </c>
      <c r="F118" s="103" t="s">
        <v>674</v>
      </c>
      <c r="G118" s="101">
        <v>5</v>
      </c>
      <c r="H118" s="102" t="s">
        <v>678</v>
      </c>
      <c r="I118" s="105" t="s">
        <v>42</v>
      </c>
      <c r="J118" s="74"/>
      <c r="K118" s="53">
        <f>VLOOKUP($C118,[4]Sheet2!$D:$J,3,0)</f>
        <v>9.7999999999999997E-4</v>
      </c>
      <c r="L118" s="53" t="str">
        <f>VLOOKUP($C118,[4]Sheet2!$D:$J,4,0)</f>
        <v>CNY</v>
      </c>
      <c r="M118" s="53" t="str">
        <f>VLOOKUP($C118,[4]Sheet2!$D:$J,2,0)</f>
        <v>恒辉电阻（益阳）有限公司</v>
      </c>
      <c r="N118" s="53">
        <f t="shared" si="13"/>
        <v>9.7999999999999997E-4</v>
      </c>
      <c r="O118" s="110">
        <f>N118*G118</f>
        <v>4.8999999999999998E-3</v>
      </c>
      <c r="Q118" s="53" t="str">
        <f>VLOOKUP($C118,[4]Sheet2!$D:$J,5,0)</f>
        <v>42</v>
      </c>
      <c r="R118" s="53" t="str">
        <f>VLOOKUP($C118,[4]Sheet2!$D:$J,6,0)</f>
        <v>10,000.000</v>
      </c>
      <c r="S118" s="53" t="str">
        <f>VLOOKUP($C118,[4]Sheet2!$D:$J,7,0)</f>
        <v>10,000.000</v>
      </c>
      <c r="T118" s="110" t="s">
        <v>37</v>
      </c>
    </row>
    <row r="119" spans="1:20" x14ac:dyDescent="0.25">
      <c r="A119" s="100"/>
      <c r="B119" s="100">
        <v>118</v>
      </c>
      <c r="C119" s="104">
        <v>10100003500</v>
      </c>
      <c r="D119" s="102" t="s">
        <v>672</v>
      </c>
      <c r="E119" s="102" t="s">
        <v>471</v>
      </c>
      <c r="F119" s="103" t="s">
        <v>627</v>
      </c>
      <c r="G119" s="101">
        <v>1</v>
      </c>
      <c r="H119" s="247" t="s">
        <v>472</v>
      </c>
      <c r="I119" s="105"/>
      <c r="J119" s="74"/>
      <c r="K119" s="53">
        <f>VLOOKUP($C119,[4]Sheet2!$D:$J,3,0)</f>
        <v>2.5999999999999999E-3</v>
      </c>
      <c r="L119" s="53" t="str">
        <f>VLOOKUP($C119,[4]Sheet2!$D:$J,4,0)</f>
        <v>CNY</v>
      </c>
      <c r="M119" s="53" t="str">
        <f>VLOOKUP($C119,[4]Sheet2!$D:$J,2,0)</f>
        <v>深圳市超利维实业有限公司</v>
      </c>
      <c r="N119" s="53">
        <f t="shared" si="13"/>
        <v>2.5999999999999999E-3</v>
      </c>
      <c r="Q119" s="53" t="str">
        <f>VLOOKUP($C119,[4]Sheet2!$D:$J,5,0)</f>
        <v>56</v>
      </c>
      <c r="R119" s="53" t="str">
        <f>VLOOKUP($C119,[4]Sheet2!$D:$J,6,0)</f>
        <v>5,000.000</v>
      </c>
      <c r="S119" s="53" t="str">
        <f>VLOOKUP($C119,[4]Sheet2!$D:$J,7,0)</f>
        <v>5,000.000</v>
      </c>
    </row>
    <row r="120" spans="1:20" x14ac:dyDescent="0.25">
      <c r="A120" s="100"/>
      <c r="B120" s="100">
        <v>119</v>
      </c>
      <c r="C120" s="104">
        <v>10100006845</v>
      </c>
      <c r="D120" s="102" t="s">
        <v>672</v>
      </c>
      <c r="E120" s="102" t="s">
        <v>474</v>
      </c>
      <c r="F120" s="103" t="s">
        <v>629</v>
      </c>
      <c r="G120" s="101">
        <v>1</v>
      </c>
      <c r="H120" s="247" t="s">
        <v>472</v>
      </c>
      <c r="I120" s="105" t="s">
        <v>42</v>
      </c>
      <c r="J120" s="74"/>
      <c r="K120" s="53">
        <f>VLOOKUP($C120,[4]Sheet2!$D:$J,3,0)</f>
        <v>2.2200000000000002E-3</v>
      </c>
      <c r="L120" s="53" t="str">
        <f>VLOOKUP($C120,[4]Sheet2!$D:$J,4,0)</f>
        <v>CNY</v>
      </c>
      <c r="M120" s="53" t="str">
        <f>VLOOKUP($C120,[4]Sheet2!$D:$J,2,0)</f>
        <v>东莞华科电子有限公司</v>
      </c>
      <c r="N120" s="53">
        <f t="shared" si="13"/>
        <v>2.2200000000000002E-3</v>
      </c>
      <c r="Q120" s="53" t="str">
        <f>VLOOKUP($C120,[4]Sheet2!$D:$J,5,0)</f>
        <v>56</v>
      </c>
      <c r="R120" s="53" t="str">
        <f>VLOOKUP($C120,[4]Sheet2!$D:$J,6,0)</f>
        <v>5,000.000</v>
      </c>
      <c r="S120" s="53" t="str">
        <f>VLOOKUP($C120,[4]Sheet2!$D:$J,7,0)</f>
        <v>5,000.000</v>
      </c>
    </row>
    <row r="121" spans="1:20" x14ac:dyDescent="0.25">
      <c r="A121" s="100"/>
      <c r="B121" s="100">
        <v>120</v>
      </c>
      <c r="C121" s="104">
        <v>10100011090</v>
      </c>
      <c r="D121" s="102" t="s">
        <v>672</v>
      </c>
      <c r="E121" s="102" t="s">
        <v>475</v>
      </c>
      <c r="F121" s="103" t="s">
        <v>673</v>
      </c>
      <c r="G121" s="101">
        <v>1</v>
      </c>
      <c r="H121" s="247" t="s">
        <v>472</v>
      </c>
      <c r="I121" s="105" t="s">
        <v>42</v>
      </c>
      <c r="J121" s="74"/>
      <c r="K121" s="53">
        <f>VLOOKUP($C121,[4]Sheet2!$D:$J,3,0)</f>
        <v>2.0999999999999999E-3</v>
      </c>
      <c r="L121" s="53" t="str">
        <f>VLOOKUP($C121,[4]Sheet2!$D:$J,4,0)</f>
        <v>CNY</v>
      </c>
      <c r="M121" s="53" t="str">
        <f>VLOOKUP($C121,[4]Sheet2!$D:$J,2,0)</f>
        <v>厚声国际贸易（昆山）有限公司深圳分公司</v>
      </c>
      <c r="N121" s="53">
        <f t="shared" si="13"/>
        <v>2.0999999999999999E-3</v>
      </c>
      <c r="Q121" s="53" t="str">
        <f>VLOOKUP($C121,[4]Sheet2!$D:$J,5,0)</f>
        <v>56</v>
      </c>
      <c r="R121" s="53" t="str">
        <f>VLOOKUP($C121,[4]Sheet2!$D:$J,6,0)</f>
        <v>5,000.000</v>
      </c>
      <c r="S121" s="53" t="str">
        <f>VLOOKUP($C121,[4]Sheet2!$D:$J,7,0)</f>
        <v>5,000.000</v>
      </c>
    </row>
    <row r="122" spans="1:20" x14ac:dyDescent="0.25">
      <c r="A122" s="100"/>
      <c r="B122" s="100">
        <v>121</v>
      </c>
      <c r="C122" s="104">
        <v>10100006507</v>
      </c>
      <c r="D122" s="102" t="s">
        <v>672</v>
      </c>
      <c r="E122" s="102" t="s">
        <v>473</v>
      </c>
      <c r="F122" s="103" t="s">
        <v>630</v>
      </c>
      <c r="G122" s="101">
        <v>1</v>
      </c>
      <c r="H122" s="247" t="s">
        <v>472</v>
      </c>
      <c r="I122" s="105" t="s">
        <v>42</v>
      </c>
      <c r="J122" s="74"/>
      <c r="K122" s="53">
        <f>VLOOKUP($C122,[4]Sheet2!$D:$J,3,0)</f>
        <v>2.0799999999999998E-3</v>
      </c>
      <c r="L122" s="53" t="str">
        <f>VLOOKUP($C122,[4]Sheet2!$D:$J,4,0)</f>
        <v>CNY</v>
      </c>
      <c r="M122" s="53" t="str">
        <f>VLOOKUP($C122,[4]Sheet2!$D:$J,2,0)</f>
        <v>广东风华高新科技股份有限公司</v>
      </c>
      <c r="N122" s="53">
        <f t="shared" si="13"/>
        <v>2.0799999999999998E-3</v>
      </c>
      <c r="Q122" s="53" t="str">
        <f>VLOOKUP($C122,[4]Sheet2!$D:$J,5,0)</f>
        <v>42</v>
      </c>
      <c r="R122" s="53" t="str">
        <f>VLOOKUP($C122,[4]Sheet2!$D:$J,6,0)</f>
        <v>5,000.000</v>
      </c>
      <c r="S122" s="53" t="str">
        <f>VLOOKUP($C122,[4]Sheet2!$D:$J,7,0)</f>
        <v>5,000.000</v>
      </c>
    </row>
    <row r="123" spans="1:20" x14ac:dyDescent="0.25">
      <c r="A123" s="100">
        <v>49</v>
      </c>
      <c r="B123" s="100">
        <v>122</v>
      </c>
      <c r="C123" s="104">
        <v>10100017970</v>
      </c>
      <c r="D123" s="102" t="s">
        <v>672</v>
      </c>
      <c r="E123" s="102" t="s">
        <v>476</v>
      </c>
      <c r="F123" s="103" t="s">
        <v>674</v>
      </c>
      <c r="G123" s="101">
        <v>1</v>
      </c>
      <c r="H123" s="247" t="s">
        <v>472</v>
      </c>
      <c r="I123" s="105" t="s">
        <v>42</v>
      </c>
      <c r="J123" s="74"/>
      <c r="K123" s="53">
        <f>VLOOKUP($C123,[4]Sheet2!$D:$J,3,0)</f>
        <v>1.8500000000000001E-3</v>
      </c>
      <c r="L123" s="53" t="str">
        <f>VLOOKUP($C123,[4]Sheet2!$D:$J,4,0)</f>
        <v>CNY</v>
      </c>
      <c r="M123" s="53" t="str">
        <f>VLOOKUP($C123,[4]Sheet2!$D:$J,2,0)</f>
        <v>恒辉电阻（益阳）有限公司</v>
      </c>
      <c r="N123" s="53">
        <f t="shared" si="13"/>
        <v>1.8500000000000001E-3</v>
      </c>
      <c r="O123" s="110">
        <f>N123*G123</f>
        <v>1.8500000000000001E-3</v>
      </c>
      <c r="Q123" s="53" t="str">
        <f>VLOOKUP($C123,[4]Sheet2!$D:$J,5,0)</f>
        <v>42</v>
      </c>
      <c r="R123" s="53" t="str">
        <f>VLOOKUP($C123,[4]Sheet2!$D:$J,6,0)</f>
        <v>5,000.000</v>
      </c>
      <c r="S123" s="53" t="str">
        <f>VLOOKUP($C123,[4]Sheet2!$D:$J,7,0)</f>
        <v>5,000.000</v>
      </c>
      <c r="T123" s="110" t="s">
        <v>37</v>
      </c>
    </row>
    <row r="124" spans="1:20" x14ac:dyDescent="0.25">
      <c r="A124" s="100"/>
      <c r="B124" s="100">
        <v>123</v>
      </c>
      <c r="C124" s="104">
        <v>10100009843</v>
      </c>
      <c r="D124" s="102" t="s">
        <v>672</v>
      </c>
      <c r="E124" s="102" t="s">
        <v>605</v>
      </c>
      <c r="F124" s="103" t="s">
        <v>627</v>
      </c>
      <c r="G124" s="101">
        <v>1</v>
      </c>
      <c r="H124" s="247" t="s">
        <v>478</v>
      </c>
      <c r="I124" s="105"/>
      <c r="J124" s="74"/>
      <c r="K124" s="53">
        <f>VLOOKUP($C124,[4]Sheet2!$D:$J,3,0)</f>
        <v>1.4E-3</v>
      </c>
      <c r="L124" s="53" t="str">
        <f>VLOOKUP($C124,[4]Sheet2!$D:$J,4,0)</f>
        <v>CNY</v>
      </c>
      <c r="M124" s="53" t="str">
        <f>VLOOKUP($C124,[4]Sheet2!$D:$J,2,0)</f>
        <v>深圳市超利维实业有限公司</v>
      </c>
      <c r="N124" s="53">
        <f t="shared" si="13"/>
        <v>1.4E-3</v>
      </c>
      <c r="Q124" s="53" t="str">
        <f>VLOOKUP($C124,[4]Sheet2!$D:$J,5,0)</f>
        <v>84</v>
      </c>
      <c r="R124" s="53" t="str">
        <f>VLOOKUP($C124,[4]Sheet2!$D:$J,6,0)</f>
        <v>10,000.000</v>
      </c>
      <c r="S124" s="53" t="str">
        <f>VLOOKUP($C124,[4]Sheet2!$D:$J,7,0)</f>
        <v>10,000.000</v>
      </c>
    </row>
    <row r="125" spans="1:20" x14ac:dyDescent="0.25">
      <c r="A125" s="100"/>
      <c r="B125" s="100">
        <v>124</v>
      </c>
      <c r="C125" s="104">
        <v>10100011343</v>
      </c>
      <c r="D125" s="102" t="s">
        <v>672</v>
      </c>
      <c r="E125" s="102" t="s">
        <v>606</v>
      </c>
      <c r="F125" s="103" t="s">
        <v>629</v>
      </c>
      <c r="G125" s="101">
        <v>1</v>
      </c>
      <c r="H125" s="247" t="s">
        <v>478</v>
      </c>
      <c r="I125" s="105" t="s">
        <v>42</v>
      </c>
      <c r="J125" s="74"/>
      <c r="K125" s="53">
        <f>VLOOKUP($C125,[4]Sheet2!$D:$J,3,0)</f>
        <v>1.17E-3</v>
      </c>
      <c r="L125" s="53" t="str">
        <f>VLOOKUP($C125,[4]Sheet2!$D:$J,4,0)</f>
        <v>CNY</v>
      </c>
      <c r="M125" s="53" t="str">
        <f>VLOOKUP($C125,[4]Sheet2!$D:$J,2,0)</f>
        <v>东莞华科电子有限公司</v>
      </c>
      <c r="N125" s="53">
        <f t="shared" si="13"/>
        <v>1.17E-3</v>
      </c>
      <c r="Q125" s="53" t="str">
        <f>VLOOKUP($C125,[4]Sheet2!$D:$J,5,0)</f>
        <v>56</v>
      </c>
      <c r="R125" s="53" t="str">
        <f>VLOOKUP($C125,[4]Sheet2!$D:$J,6,0)</f>
        <v>10,000.000</v>
      </c>
      <c r="S125" s="53" t="str">
        <f>VLOOKUP($C125,[4]Sheet2!$D:$J,7,0)</f>
        <v>10,000.000</v>
      </c>
    </row>
    <row r="126" spans="1:20" x14ac:dyDescent="0.25">
      <c r="A126" s="100"/>
      <c r="B126" s="100">
        <v>125</v>
      </c>
      <c r="C126" s="104">
        <v>10100011621</v>
      </c>
      <c r="D126" s="102" t="s">
        <v>672</v>
      </c>
      <c r="E126" s="102" t="s">
        <v>607</v>
      </c>
      <c r="F126" s="103" t="s">
        <v>630</v>
      </c>
      <c r="G126" s="101">
        <v>1</v>
      </c>
      <c r="H126" s="247" t="s">
        <v>478</v>
      </c>
      <c r="I126" s="105" t="s">
        <v>42</v>
      </c>
      <c r="J126" s="74"/>
      <c r="K126" s="53">
        <f>VLOOKUP($C126,[4]Sheet2!$D:$J,3,0)</f>
        <v>1.1000000000000001E-3</v>
      </c>
      <c r="L126" s="53" t="str">
        <f>VLOOKUP($C126,[4]Sheet2!$D:$J,4,0)</f>
        <v>CNY</v>
      </c>
      <c r="M126" s="53" t="str">
        <f>VLOOKUP($C126,[4]Sheet2!$D:$J,2,0)</f>
        <v>广东风华高新科技股份有限公司</v>
      </c>
      <c r="N126" s="53">
        <f t="shared" si="13"/>
        <v>1.1000000000000001E-3</v>
      </c>
      <c r="Q126" s="53" t="str">
        <f>VLOOKUP($C126,[4]Sheet2!$D:$J,5,0)</f>
        <v>45</v>
      </c>
      <c r="R126" s="53" t="str">
        <f>VLOOKUP($C126,[4]Sheet2!$D:$J,6,0)</f>
        <v>10,000.000</v>
      </c>
      <c r="S126" s="53" t="str">
        <f>VLOOKUP($C126,[4]Sheet2!$D:$J,7,0)</f>
        <v>10,000.000</v>
      </c>
    </row>
    <row r="127" spans="1:20" x14ac:dyDescent="0.25">
      <c r="A127" s="100"/>
      <c r="B127" s="100">
        <v>126</v>
      </c>
      <c r="C127" s="104">
        <v>10100015676</v>
      </c>
      <c r="D127" s="102" t="s">
        <v>672</v>
      </c>
      <c r="E127" s="102" t="s">
        <v>608</v>
      </c>
      <c r="F127" s="103" t="s">
        <v>673</v>
      </c>
      <c r="G127" s="101">
        <v>1</v>
      </c>
      <c r="H127" s="247" t="s">
        <v>478</v>
      </c>
      <c r="I127" s="105" t="s">
        <v>42</v>
      </c>
      <c r="J127" s="74"/>
      <c r="K127" s="53">
        <f>VLOOKUP($C127,[4]Sheet2!$D:$J,3,0)</f>
        <v>1.09E-3</v>
      </c>
      <c r="L127" s="53" t="str">
        <f>VLOOKUP($C127,[4]Sheet2!$D:$J,4,0)</f>
        <v>CNY</v>
      </c>
      <c r="M127" s="53" t="str">
        <f>VLOOKUP($C127,[4]Sheet2!$D:$J,2,0)</f>
        <v>厚声国际贸易（昆山）有限公司深圳分公司</v>
      </c>
      <c r="N127" s="53">
        <f t="shared" si="13"/>
        <v>1.09E-3</v>
      </c>
      <c r="Q127" s="53" t="str">
        <f>VLOOKUP($C127,[4]Sheet2!$D:$J,5,0)</f>
        <v>42</v>
      </c>
      <c r="R127" s="53" t="str">
        <f>VLOOKUP($C127,[4]Sheet2!$D:$J,6,0)</f>
        <v>10,000.000</v>
      </c>
      <c r="S127" s="53" t="str">
        <f>VLOOKUP($C127,[4]Sheet2!$D:$J,7,0)</f>
        <v>10,000.000</v>
      </c>
    </row>
    <row r="128" spans="1:20" x14ac:dyDescent="0.25">
      <c r="A128" s="100">
        <v>50</v>
      </c>
      <c r="B128" s="100">
        <v>127</v>
      </c>
      <c r="C128" s="104">
        <v>10100017741</v>
      </c>
      <c r="D128" s="102" t="s">
        <v>672</v>
      </c>
      <c r="E128" s="102" t="s">
        <v>609</v>
      </c>
      <c r="F128" s="103" t="s">
        <v>674</v>
      </c>
      <c r="G128" s="101">
        <v>1</v>
      </c>
      <c r="H128" s="247" t="s">
        <v>478</v>
      </c>
      <c r="I128" s="105" t="s">
        <v>42</v>
      </c>
      <c r="J128" s="74"/>
      <c r="K128" s="53">
        <f>VLOOKUP($C128,[4]Sheet2!$D:$J,3,0)</f>
        <v>9.7999999999999997E-4</v>
      </c>
      <c r="L128" s="53" t="str">
        <f>VLOOKUP($C128,[4]Sheet2!$D:$J,4,0)</f>
        <v>CNY</v>
      </c>
      <c r="M128" s="53" t="str">
        <f>VLOOKUP($C128,[4]Sheet2!$D:$J,2,0)</f>
        <v>恒辉电阻（益阳）有限公司</v>
      </c>
      <c r="N128" s="53">
        <f t="shared" si="13"/>
        <v>9.7999999999999997E-4</v>
      </c>
      <c r="O128" s="110">
        <f>N128*G128</f>
        <v>9.7999999999999997E-4</v>
      </c>
      <c r="Q128" s="53" t="str">
        <f>VLOOKUP($C128,[4]Sheet2!$D:$J,5,0)</f>
        <v>42</v>
      </c>
      <c r="R128" s="53" t="str">
        <f>VLOOKUP($C128,[4]Sheet2!$D:$J,6,0)</f>
        <v>10,000.000</v>
      </c>
      <c r="S128" s="53" t="str">
        <f>VLOOKUP($C128,[4]Sheet2!$D:$J,7,0)</f>
        <v>10,000.000</v>
      </c>
      <c r="T128" s="110" t="s">
        <v>37</v>
      </c>
    </row>
    <row r="129" spans="1:20" x14ac:dyDescent="0.25">
      <c r="A129" s="100"/>
      <c r="B129" s="100">
        <v>128</v>
      </c>
      <c r="C129" s="104" t="s">
        <v>38</v>
      </c>
      <c r="D129" s="102" t="s">
        <v>119</v>
      </c>
      <c r="E129" s="102" t="s">
        <v>123</v>
      </c>
      <c r="F129" s="103" t="s">
        <v>124</v>
      </c>
      <c r="G129" s="101">
        <v>1</v>
      </c>
      <c r="H129" s="102" t="s">
        <v>595</v>
      </c>
      <c r="I129" s="118" t="s">
        <v>291</v>
      </c>
      <c r="J129" s="74"/>
      <c r="K129" s="53" t="e">
        <f>VLOOKUP($C129,[4]Sheet2!$D:$J,3,0)</f>
        <v>#N/A</v>
      </c>
      <c r="L129" s="53" t="e">
        <f>VLOOKUP($C129,[4]Sheet2!$D:$J,4,0)</f>
        <v>#N/A</v>
      </c>
      <c r="M129" s="53" t="e">
        <f>VLOOKUP($C129,[4]Sheet2!$D:$J,2,0)</f>
        <v>#N/A</v>
      </c>
      <c r="N129" s="120">
        <v>2.0999999999999999E-3</v>
      </c>
      <c r="Q129" s="53" t="e">
        <f>VLOOKUP($C129,[4]Sheet2!$D:$J,5,0)</f>
        <v>#N/A</v>
      </c>
      <c r="R129" s="53" t="e">
        <f>VLOOKUP($C129,[4]Sheet2!$D:$J,6,0)</f>
        <v>#N/A</v>
      </c>
      <c r="S129" s="53" t="e">
        <f>VLOOKUP($C129,[4]Sheet2!$D:$J,7,0)</f>
        <v>#N/A</v>
      </c>
    </row>
    <row r="130" spans="1:20" x14ac:dyDescent="0.25">
      <c r="A130" s="100"/>
      <c r="B130" s="100">
        <v>129</v>
      </c>
      <c r="C130" s="104">
        <v>10100008776</v>
      </c>
      <c r="D130" s="102" t="s">
        <v>119</v>
      </c>
      <c r="E130" s="102" t="s">
        <v>120</v>
      </c>
      <c r="F130" s="103" t="s">
        <v>60</v>
      </c>
      <c r="G130" s="101">
        <v>1</v>
      </c>
      <c r="H130" s="102" t="s">
        <v>595</v>
      </c>
      <c r="I130" s="118" t="s">
        <v>291</v>
      </c>
      <c r="J130" s="74"/>
      <c r="K130" s="53">
        <f>VLOOKUP($C130,[4]Sheet2!$D:$J,3,0)</f>
        <v>2.0799999999999998E-3</v>
      </c>
      <c r="L130" s="53" t="str">
        <f>VLOOKUP($C130,[4]Sheet2!$D:$J,4,0)</f>
        <v>CNY</v>
      </c>
      <c r="M130" s="53" t="str">
        <f>VLOOKUP($C130,[4]Sheet2!$D:$J,2,0)</f>
        <v>广东风华高新科技股份有限公司</v>
      </c>
      <c r="N130" s="53">
        <f t="shared" ref="N130:N161" si="14">K130</f>
        <v>2.0799999999999998E-3</v>
      </c>
      <c r="Q130" s="53" t="str">
        <f>VLOOKUP($C130,[4]Sheet2!$D:$J,5,0)</f>
        <v>42</v>
      </c>
      <c r="R130" s="53" t="str">
        <f>VLOOKUP($C130,[4]Sheet2!$D:$J,6,0)</f>
        <v>5,000.000</v>
      </c>
      <c r="S130" s="53" t="str">
        <f>VLOOKUP($C130,[4]Sheet2!$D:$J,7,0)</f>
        <v>5,000.000</v>
      </c>
    </row>
    <row r="131" spans="1:20" x14ac:dyDescent="0.25">
      <c r="A131" s="100"/>
      <c r="B131" s="100">
        <v>130</v>
      </c>
      <c r="C131" s="104">
        <v>10100024100</v>
      </c>
      <c r="D131" s="102" t="s">
        <v>119</v>
      </c>
      <c r="E131" s="102" t="s">
        <v>120</v>
      </c>
      <c r="F131" s="103" t="s">
        <v>60</v>
      </c>
      <c r="G131" s="101">
        <v>1</v>
      </c>
      <c r="H131" s="102" t="s">
        <v>595</v>
      </c>
      <c r="I131" s="118" t="s">
        <v>291</v>
      </c>
      <c r="J131" s="74"/>
      <c r="K131" s="53">
        <f>VLOOKUP($C131,[4]Sheet2!$D:$J,3,0)</f>
        <v>2.0799999999999998E-3</v>
      </c>
      <c r="L131" s="53" t="str">
        <f>VLOOKUP($C131,[4]Sheet2!$D:$J,4,0)</f>
        <v>CNY</v>
      </c>
      <c r="M131" s="53" t="str">
        <f>VLOOKUP($C131,[4]Sheet2!$D:$J,2,0)</f>
        <v>广东风华高新科技股份有限公司</v>
      </c>
      <c r="N131" s="53">
        <f t="shared" si="14"/>
        <v>2.0799999999999998E-3</v>
      </c>
      <c r="O131" s="110">
        <f>N131*G131</f>
        <v>2.0799999999999998E-3</v>
      </c>
      <c r="Q131" s="53" t="str">
        <f>VLOOKUP($C131,[4]Sheet2!$D:$J,5,0)</f>
        <v>42</v>
      </c>
      <c r="R131" s="53" t="str">
        <f>VLOOKUP($C131,[4]Sheet2!$D:$J,6,0)</f>
        <v>5,000.000</v>
      </c>
      <c r="S131" s="53" t="str">
        <f>VLOOKUP($C131,[4]Sheet2!$D:$J,7,0)</f>
        <v>5,000.000</v>
      </c>
      <c r="T131" s="110" t="s">
        <v>37</v>
      </c>
    </row>
    <row r="132" spans="1:20" x14ac:dyDescent="0.25">
      <c r="A132" s="100">
        <v>51</v>
      </c>
      <c r="B132" s="100">
        <v>131</v>
      </c>
      <c r="C132" s="104">
        <v>10100022846</v>
      </c>
      <c r="D132" s="102" t="s">
        <v>672</v>
      </c>
      <c r="E132" s="102" t="s">
        <v>483</v>
      </c>
      <c r="F132" s="103" t="s">
        <v>627</v>
      </c>
      <c r="G132" s="101">
        <v>1</v>
      </c>
      <c r="H132" s="247" t="s">
        <v>484</v>
      </c>
      <c r="I132" s="105"/>
      <c r="J132" s="74"/>
      <c r="K132" s="53">
        <f>VLOOKUP($C132,[4]Sheet2!$D:$J,3,0)</f>
        <v>1.4E-3</v>
      </c>
      <c r="L132" s="53" t="str">
        <f>VLOOKUP($C132,[4]Sheet2!$D:$J,4,0)</f>
        <v>CNY</v>
      </c>
      <c r="M132" s="53" t="str">
        <f>VLOOKUP($C132,[4]Sheet2!$D:$J,2,0)</f>
        <v>深圳市超利维实业有限公司</v>
      </c>
      <c r="N132" s="53">
        <f t="shared" si="14"/>
        <v>1.4E-3</v>
      </c>
      <c r="Q132" s="53" t="str">
        <f>VLOOKUP($C132,[4]Sheet2!$D:$J,5,0)</f>
        <v>84</v>
      </c>
      <c r="R132" s="53" t="str">
        <f>VLOOKUP($C132,[4]Sheet2!$D:$J,6,0)</f>
        <v>10,000.000</v>
      </c>
      <c r="S132" s="53" t="str">
        <f>VLOOKUP($C132,[4]Sheet2!$D:$J,7,0)</f>
        <v>10,000.000</v>
      </c>
    </row>
    <row r="133" spans="1:20" x14ac:dyDescent="0.25">
      <c r="A133" s="100"/>
      <c r="B133" s="100">
        <v>132</v>
      </c>
      <c r="C133" s="104">
        <v>10100022852</v>
      </c>
      <c r="D133" s="102" t="s">
        <v>672</v>
      </c>
      <c r="E133" s="102" t="s">
        <v>485</v>
      </c>
      <c r="F133" s="103" t="s">
        <v>629</v>
      </c>
      <c r="G133" s="101">
        <v>1</v>
      </c>
      <c r="H133" s="247" t="s">
        <v>484</v>
      </c>
      <c r="I133" s="105" t="s">
        <v>42</v>
      </c>
      <c r="J133" s="74"/>
      <c r="K133" s="53">
        <f>VLOOKUP($C133,[4]Sheet2!$D:$J,3,0)</f>
        <v>1.17E-3</v>
      </c>
      <c r="L133" s="53" t="str">
        <f>VLOOKUP($C133,[4]Sheet2!$D:$J,4,0)</f>
        <v>CNY</v>
      </c>
      <c r="M133" s="53" t="str">
        <f>VLOOKUP($C133,[4]Sheet2!$D:$J,2,0)</f>
        <v>东莞华科电子有限公司</v>
      </c>
      <c r="N133" s="53">
        <f t="shared" si="14"/>
        <v>1.17E-3</v>
      </c>
      <c r="Q133" s="53" t="str">
        <f>VLOOKUP($C133,[4]Sheet2!$D:$J,5,0)</f>
        <v>56</v>
      </c>
      <c r="R133" s="53" t="str">
        <f>VLOOKUP($C133,[4]Sheet2!$D:$J,6,0)</f>
        <v>10,000.000</v>
      </c>
      <c r="S133" s="53" t="str">
        <f>VLOOKUP($C133,[4]Sheet2!$D:$J,7,0)</f>
        <v>10,000.000</v>
      </c>
    </row>
    <row r="134" spans="1:20" x14ac:dyDescent="0.25">
      <c r="A134" s="100"/>
      <c r="B134" s="100">
        <v>133</v>
      </c>
      <c r="C134" s="104">
        <v>10100022860</v>
      </c>
      <c r="D134" s="102" t="s">
        <v>672</v>
      </c>
      <c r="E134" s="102" t="s">
        <v>487</v>
      </c>
      <c r="F134" s="103" t="s">
        <v>630</v>
      </c>
      <c r="G134" s="101">
        <v>1</v>
      </c>
      <c r="H134" s="247" t="s">
        <v>484</v>
      </c>
      <c r="I134" s="105" t="s">
        <v>42</v>
      </c>
      <c r="J134" s="74"/>
      <c r="K134" s="53">
        <f>VLOOKUP($C134,[4]Sheet2!$D:$J,3,0)</f>
        <v>1.1000000000000001E-3</v>
      </c>
      <c r="L134" s="53" t="str">
        <f>VLOOKUP($C134,[4]Sheet2!$D:$J,4,0)</f>
        <v>CNY</v>
      </c>
      <c r="M134" s="53" t="str">
        <f>VLOOKUP($C134,[4]Sheet2!$D:$J,2,0)</f>
        <v>广东风华高新科技股份有限公司</v>
      </c>
      <c r="N134" s="53">
        <f t="shared" si="14"/>
        <v>1.1000000000000001E-3</v>
      </c>
      <c r="Q134" s="53" t="str">
        <f>VLOOKUP($C134,[4]Sheet2!$D:$J,5,0)</f>
        <v>42</v>
      </c>
      <c r="R134" s="53" t="str">
        <f>VLOOKUP($C134,[4]Sheet2!$D:$J,6,0)</f>
        <v>10,000.000</v>
      </c>
      <c r="S134" s="53" t="str">
        <f>VLOOKUP($C134,[4]Sheet2!$D:$J,7,0)</f>
        <v>10,000.000</v>
      </c>
    </row>
    <row r="135" spans="1:20" x14ac:dyDescent="0.25">
      <c r="A135" s="100"/>
      <c r="B135" s="100">
        <v>134</v>
      </c>
      <c r="C135" s="104">
        <v>10100022856</v>
      </c>
      <c r="D135" s="102" t="s">
        <v>672</v>
      </c>
      <c r="E135" s="102" t="s">
        <v>486</v>
      </c>
      <c r="F135" s="103" t="s">
        <v>673</v>
      </c>
      <c r="G135" s="101">
        <v>1</v>
      </c>
      <c r="H135" s="247" t="s">
        <v>484</v>
      </c>
      <c r="I135" s="105" t="s">
        <v>42</v>
      </c>
      <c r="J135" s="74"/>
      <c r="K135" s="53">
        <f>VLOOKUP($C135,[4]Sheet2!$D:$J,3,0)</f>
        <v>1.09E-3</v>
      </c>
      <c r="L135" s="53" t="str">
        <f>VLOOKUP($C135,[4]Sheet2!$D:$J,4,0)</f>
        <v>CNY</v>
      </c>
      <c r="M135" s="53" t="str">
        <f>VLOOKUP($C135,[4]Sheet2!$D:$J,2,0)</f>
        <v>厚声国际贸易（昆山）有限公司深圳分公司</v>
      </c>
      <c r="N135" s="53">
        <f t="shared" si="14"/>
        <v>1.09E-3</v>
      </c>
      <c r="O135" s="110">
        <f>N135*G135</f>
        <v>1.09E-3</v>
      </c>
      <c r="Q135" s="53" t="str">
        <f>VLOOKUP($C135,[4]Sheet2!$D:$J,5,0)</f>
        <v>42</v>
      </c>
      <c r="R135" s="53" t="str">
        <f>VLOOKUP($C135,[4]Sheet2!$D:$J,6,0)</f>
        <v>10,000.000</v>
      </c>
      <c r="S135" s="53" t="str">
        <f>VLOOKUP($C135,[4]Sheet2!$D:$J,7,0)</f>
        <v>10,000.000</v>
      </c>
      <c r="T135" s="110" t="s">
        <v>37</v>
      </c>
    </row>
    <row r="136" spans="1:20" x14ac:dyDescent="0.25">
      <c r="A136" s="100"/>
      <c r="B136" s="100">
        <v>135</v>
      </c>
      <c r="C136" s="104">
        <v>10100014263</v>
      </c>
      <c r="D136" s="102" t="s">
        <v>672</v>
      </c>
      <c r="E136" s="102" t="s">
        <v>491</v>
      </c>
      <c r="F136" s="103" t="s">
        <v>627</v>
      </c>
      <c r="G136" s="101">
        <v>2</v>
      </c>
      <c r="H136" s="247" t="s">
        <v>489</v>
      </c>
      <c r="I136" s="105"/>
      <c r="J136" s="74"/>
      <c r="K136" s="53">
        <f>VLOOKUP($C136,[4]Sheet2!$D:$J,3,0)</f>
        <v>1.4E-3</v>
      </c>
      <c r="L136" s="53" t="str">
        <f>VLOOKUP($C136,[4]Sheet2!$D:$J,4,0)</f>
        <v>CNY</v>
      </c>
      <c r="M136" s="53" t="str">
        <f>VLOOKUP($C136,[4]Sheet2!$D:$J,2,0)</f>
        <v>深圳市超利维实业有限公司</v>
      </c>
      <c r="N136" s="53">
        <f t="shared" si="14"/>
        <v>1.4E-3</v>
      </c>
      <c r="Q136" s="53" t="str">
        <f>VLOOKUP($C136,[4]Sheet2!$D:$J,5,0)</f>
        <v>56</v>
      </c>
      <c r="R136" s="53" t="str">
        <f>VLOOKUP($C136,[4]Sheet2!$D:$J,6,0)</f>
        <v>10,000.000</v>
      </c>
      <c r="S136" s="53" t="str">
        <f>VLOOKUP($C136,[4]Sheet2!$D:$J,7,0)</f>
        <v>10,000.000</v>
      </c>
    </row>
    <row r="137" spans="1:20" x14ac:dyDescent="0.25">
      <c r="A137" s="100">
        <v>52</v>
      </c>
      <c r="B137" s="100">
        <v>136</v>
      </c>
      <c r="C137" s="104">
        <v>10100008807</v>
      </c>
      <c r="D137" s="102" t="s">
        <v>672</v>
      </c>
      <c r="E137" s="102" t="s">
        <v>488</v>
      </c>
      <c r="F137" s="103" t="s">
        <v>629</v>
      </c>
      <c r="G137" s="101">
        <v>2</v>
      </c>
      <c r="H137" s="247" t="s">
        <v>489</v>
      </c>
      <c r="I137" s="105" t="s">
        <v>42</v>
      </c>
      <c r="J137" s="74"/>
      <c r="K137" s="53">
        <f>VLOOKUP($C137,[4]Sheet2!$D:$J,3,0)</f>
        <v>1.17E-3</v>
      </c>
      <c r="L137" s="53" t="str">
        <f>VLOOKUP($C137,[4]Sheet2!$D:$J,4,0)</f>
        <v>CNY</v>
      </c>
      <c r="M137" s="53" t="str">
        <f>VLOOKUP($C137,[4]Sheet2!$D:$J,2,0)</f>
        <v>东莞华科电子有限公司</v>
      </c>
      <c r="N137" s="53">
        <f t="shared" si="14"/>
        <v>1.17E-3</v>
      </c>
      <c r="Q137" s="53" t="str">
        <f>VLOOKUP($C137,[4]Sheet2!$D:$J,5,0)</f>
        <v>56</v>
      </c>
      <c r="R137" s="53" t="str">
        <f>VLOOKUP($C137,[4]Sheet2!$D:$J,6,0)</f>
        <v>10,000.000</v>
      </c>
      <c r="S137" s="53" t="str">
        <f>VLOOKUP($C137,[4]Sheet2!$D:$J,7,0)</f>
        <v>10,000.000</v>
      </c>
    </row>
    <row r="138" spans="1:20" x14ac:dyDescent="0.25">
      <c r="A138" s="100"/>
      <c r="B138" s="100">
        <v>137</v>
      </c>
      <c r="C138" s="104">
        <v>10100008809</v>
      </c>
      <c r="D138" s="102" t="s">
        <v>672</v>
      </c>
      <c r="E138" s="102" t="s">
        <v>490</v>
      </c>
      <c r="F138" s="103" t="s">
        <v>630</v>
      </c>
      <c r="G138" s="101">
        <v>2</v>
      </c>
      <c r="H138" s="247" t="s">
        <v>489</v>
      </c>
      <c r="I138" s="105" t="s">
        <v>42</v>
      </c>
      <c r="J138" s="74"/>
      <c r="K138" s="53">
        <f>VLOOKUP($C138,[4]Sheet2!$D:$J,3,0)</f>
        <v>1.1000000000000001E-3</v>
      </c>
      <c r="L138" s="53" t="str">
        <f>VLOOKUP($C138,[4]Sheet2!$D:$J,4,0)</f>
        <v>CNY</v>
      </c>
      <c r="M138" s="53" t="str">
        <f>VLOOKUP($C138,[4]Sheet2!$D:$J,2,0)</f>
        <v>广东风华高新科技股份有限公司</v>
      </c>
      <c r="N138" s="53">
        <f t="shared" si="14"/>
        <v>1.1000000000000001E-3</v>
      </c>
      <c r="Q138" s="53" t="str">
        <f>VLOOKUP($C138,[4]Sheet2!$D:$J,5,0)</f>
        <v>42</v>
      </c>
      <c r="R138" s="53" t="str">
        <f>VLOOKUP($C138,[4]Sheet2!$D:$J,6,0)</f>
        <v>10,000.000</v>
      </c>
      <c r="S138" s="53" t="str">
        <f>VLOOKUP($C138,[4]Sheet2!$D:$J,7,0)</f>
        <v>10,000.000</v>
      </c>
    </row>
    <row r="139" spans="1:20" x14ac:dyDescent="0.25">
      <c r="A139" s="100"/>
      <c r="B139" s="100">
        <v>138</v>
      </c>
      <c r="C139" s="104">
        <v>10100019075</v>
      </c>
      <c r="D139" s="102" t="s">
        <v>672</v>
      </c>
      <c r="E139" s="102" t="s">
        <v>493</v>
      </c>
      <c r="F139" s="103" t="s">
        <v>673</v>
      </c>
      <c r="G139" s="101">
        <v>2</v>
      </c>
      <c r="H139" s="247" t="s">
        <v>489</v>
      </c>
      <c r="I139" s="105" t="s">
        <v>42</v>
      </c>
      <c r="J139" s="74"/>
      <c r="K139" s="53">
        <f>VLOOKUP($C139,[4]Sheet2!$D:$J,3,0)</f>
        <v>1.09E-3</v>
      </c>
      <c r="L139" s="53" t="str">
        <f>VLOOKUP($C139,[4]Sheet2!$D:$J,4,0)</f>
        <v>CNY</v>
      </c>
      <c r="M139" s="53" t="str">
        <f>VLOOKUP($C139,[4]Sheet2!$D:$J,2,0)</f>
        <v>厚声国际贸易（昆山）有限公司深圳分公司</v>
      </c>
      <c r="N139" s="53">
        <f t="shared" si="14"/>
        <v>1.09E-3</v>
      </c>
      <c r="Q139" s="53" t="str">
        <f>VLOOKUP($C139,[4]Sheet2!$D:$J,5,0)</f>
        <v>42</v>
      </c>
      <c r="R139" s="53" t="str">
        <f>VLOOKUP($C139,[4]Sheet2!$D:$J,6,0)</f>
        <v>10,000.000</v>
      </c>
      <c r="S139" s="53" t="str">
        <f>VLOOKUP($C139,[4]Sheet2!$D:$J,7,0)</f>
        <v>10,000.000</v>
      </c>
    </row>
    <row r="140" spans="1:20" x14ac:dyDescent="0.25">
      <c r="A140" s="100"/>
      <c r="B140" s="100">
        <v>139</v>
      </c>
      <c r="C140" s="104">
        <v>10100018399</v>
      </c>
      <c r="D140" s="102" t="s">
        <v>672</v>
      </c>
      <c r="E140" s="102" t="s">
        <v>492</v>
      </c>
      <c r="F140" s="103" t="s">
        <v>674</v>
      </c>
      <c r="G140" s="101">
        <v>2</v>
      </c>
      <c r="H140" s="247" t="s">
        <v>489</v>
      </c>
      <c r="I140" s="105" t="s">
        <v>42</v>
      </c>
      <c r="J140" s="74"/>
      <c r="K140" s="53">
        <f>VLOOKUP($C140,[4]Sheet2!$D:$J,3,0)</f>
        <v>9.7999999999999997E-4</v>
      </c>
      <c r="L140" s="53" t="str">
        <f>VLOOKUP($C140,[4]Sheet2!$D:$J,4,0)</f>
        <v>CNY</v>
      </c>
      <c r="M140" s="53" t="str">
        <f>VLOOKUP($C140,[4]Sheet2!$D:$J,2,0)</f>
        <v>恒辉电阻（益阳）有限公司</v>
      </c>
      <c r="N140" s="53">
        <f t="shared" si="14"/>
        <v>9.7999999999999997E-4</v>
      </c>
      <c r="O140" s="110">
        <f>N140*G140</f>
        <v>1.9599999999999999E-3</v>
      </c>
      <c r="Q140" s="53" t="str">
        <f>VLOOKUP($C140,[4]Sheet2!$D:$J,5,0)</f>
        <v>42</v>
      </c>
      <c r="R140" s="53" t="str">
        <f>VLOOKUP($C140,[4]Sheet2!$D:$J,6,0)</f>
        <v>10,000.000</v>
      </c>
      <c r="S140" s="53" t="str">
        <f>VLOOKUP($C140,[4]Sheet2!$D:$J,7,0)</f>
        <v>10,000.000</v>
      </c>
      <c r="T140" s="110" t="s">
        <v>37</v>
      </c>
    </row>
    <row r="141" spans="1:20" x14ac:dyDescent="0.25">
      <c r="A141" s="100"/>
      <c r="B141" s="100">
        <v>140</v>
      </c>
      <c r="C141" s="104">
        <v>10100007615</v>
      </c>
      <c r="D141" s="102" t="s">
        <v>672</v>
      </c>
      <c r="E141" s="102" t="s">
        <v>138</v>
      </c>
      <c r="F141" s="103" t="s">
        <v>627</v>
      </c>
      <c r="G141" s="101">
        <v>13</v>
      </c>
      <c r="H141" s="102" t="s">
        <v>596</v>
      </c>
      <c r="I141" s="105"/>
      <c r="J141" s="74"/>
      <c r="K141" s="53">
        <f>VLOOKUP($C141,[4]Sheet2!$D:$J,3,0)</f>
        <v>1.4E-3</v>
      </c>
      <c r="L141" s="53" t="str">
        <f>VLOOKUP($C141,[4]Sheet2!$D:$J,4,0)</f>
        <v>CNY</v>
      </c>
      <c r="M141" s="53" t="str">
        <f>VLOOKUP($C141,[4]Sheet2!$D:$J,2,0)</f>
        <v>深圳市超利维实业有限公司</v>
      </c>
      <c r="N141" s="53">
        <f t="shared" si="14"/>
        <v>1.4E-3</v>
      </c>
      <c r="Q141" s="53" t="str">
        <f>VLOOKUP($C141,[4]Sheet2!$D:$J,5,0)</f>
        <v>84</v>
      </c>
      <c r="R141" s="53" t="str">
        <f>VLOOKUP($C141,[4]Sheet2!$D:$J,6,0)</f>
        <v>10,000.000</v>
      </c>
      <c r="S141" s="53" t="str">
        <f>VLOOKUP($C141,[4]Sheet2!$D:$J,7,0)</f>
        <v>10,000.000</v>
      </c>
    </row>
    <row r="142" spans="1:20" x14ac:dyDescent="0.25">
      <c r="A142" s="100">
        <v>53</v>
      </c>
      <c r="B142" s="100">
        <v>141</v>
      </c>
      <c r="C142" s="104">
        <v>10100008302</v>
      </c>
      <c r="D142" s="102" t="s">
        <v>672</v>
      </c>
      <c r="E142" s="102" t="s">
        <v>140</v>
      </c>
      <c r="F142" s="103" t="s">
        <v>629</v>
      </c>
      <c r="G142" s="101">
        <v>13</v>
      </c>
      <c r="H142" s="102" t="s">
        <v>596</v>
      </c>
      <c r="I142" s="118" t="s">
        <v>291</v>
      </c>
      <c r="J142" s="74"/>
      <c r="K142" s="53">
        <f>VLOOKUP($C142,[4]Sheet2!$D:$J,3,0)</f>
        <v>1.17E-3</v>
      </c>
      <c r="L142" s="53" t="str">
        <f>VLOOKUP($C142,[4]Sheet2!$D:$J,4,0)</f>
        <v>CNY</v>
      </c>
      <c r="M142" s="53" t="str">
        <f>VLOOKUP($C142,[4]Sheet2!$D:$J,2,0)</f>
        <v>东莞华科电子有限公司</v>
      </c>
      <c r="N142" s="53">
        <f t="shared" si="14"/>
        <v>1.17E-3</v>
      </c>
      <c r="Q142" s="53" t="str">
        <f>VLOOKUP($C142,[4]Sheet2!$D:$J,5,0)</f>
        <v>56</v>
      </c>
      <c r="R142" s="53" t="str">
        <f>VLOOKUP($C142,[4]Sheet2!$D:$J,6,0)</f>
        <v>10,000.000</v>
      </c>
      <c r="S142" s="53" t="str">
        <f>VLOOKUP($C142,[4]Sheet2!$D:$J,7,0)</f>
        <v>10,000.000</v>
      </c>
    </row>
    <row r="143" spans="1:20" x14ac:dyDescent="0.25">
      <c r="A143" s="100"/>
      <c r="B143" s="100">
        <v>142</v>
      </c>
      <c r="C143" s="104">
        <v>10100013936</v>
      </c>
      <c r="D143" s="102" t="s">
        <v>672</v>
      </c>
      <c r="E143" s="102" t="s">
        <v>142</v>
      </c>
      <c r="F143" s="103" t="s">
        <v>630</v>
      </c>
      <c r="G143" s="101">
        <v>13</v>
      </c>
      <c r="H143" s="102" t="s">
        <v>596</v>
      </c>
      <c r="I143" s="118" t="s">
        <v>291</v>
      </c>
      <c r="J143" s="74"/>
      <c r="K143" s="53">
        <f>VLOOKUP($C143,[4]Sheet2!$D:$J,3,0)</f>
        <v>1.1000000000000001E-3</v>
      </c>
      <c r="L143" s="53" t="str">
        <f>VLOOKUP($C143,[4]Sheet2!$D:$J,4,0)</f>
        <v>CNY</v>
      </c>
      <c r="M143" s="53" t="str">
        <f>VLOOKUP($C143,[4]Sheet2!$D:$J,2,0)</f>
        <v>广东风华高新科技股份有限公司</v>
      </c>
      <c r="N143" s="53">
        <f t="shared" si="14"/>
        <v>1.1000000000000001E-3</v>
      </c>
      <c r="Q143" s="53" t="str">
        <f>VLOOKUP($C143,[4]Sheet2!$D:$J,5,0)</f>
        <v>42</v>
      </c>
      <c r="R143" s="53" t="str">
        <f>VLOOKUP($C143,[4]Sheet2!$D:$J,6,0)</f>
        <v>10,000.000</v>
      </c>
      <c r="S143" s="53" t="str">
        <f>VLOOKUP($C143,[4]Sheet2!$D:$J,7,0)</f>
        <v>10,000.000</v>
      </c>
    </row>
    <row r="144" spans="1:20" x14ac:dyDescent="0.25">
      <c r="A144" s="100"/>
      <c r="B144" s="100">
        <v>143</v>
      </c>
      <c r="C144" s="104">
        <v>10100013093</v>
      </c>
      <c r="D144" s="102" t="s">
        <v>672</v>
      </c>
      <c r="E144" s="102" t="s">
        <v>141</v>
      </c>
      <c r="F144" s="103" t="s">
        <v>673</v>
      </c>
      <c r="G144" s="101">
        <v>13</v>
      </c>
      <c r="H144" s="102" t="s">
        <v>596</v>
      </c>
      <c r="I144" s="118" t="s">
        <v>291</v>
      </c>
      <c r="J144" s="74"/>
      <c r="K144" s="53">
        <f>VLOOKUP($C144,[4]Sheet2!$D:$J,3,0)</f>
        <v>1.09E-3</v>
      </c>
      <c r="L144" s="53" t="str">
        <f>VLOOKUP($C144,[4]Sheet2!$D:$J,4,0)</f>
        <v>CNY</v>
      </c>
      <c r="M144" s="53" t="str">
        <f>VLOOKUP($C144,[4]Sheet2!$D:$J,2,0)</f>
        <v>厚声国际贸易（昆山）有限公司深圳分公司</v>
      </c>
      <c r="N144" s="53">
        <f t="shared" si="14"/>
        <v>1.09E-3</v>
      </c>
      <c r="Q144" s="53" t="str">
        <f>VLOOKUP($C144,[4]Sheet2!$D:$J,5,0)</f>
        <v>42</v>
      </c>
      <c r="R144" s="53" t="str">
        <f>VLOOKUP($C144,[4]Sheet2!$D:$J,6,0)</f>
        <v>10,000.000</v>
      </c>
      <c r="S144" s="53" t="str">
        <f>VLOOKUP($C144,[4]Sheet2!$D:$J,7,0)</f>
        <v>10,000.000</v>
      </c>
    </row>
    <row r="145" spans="1:20" x14ac:dyDescent="0.25">
      <c r="A145" s="100"/>
      <c r="B145" s="100">
        <v>144</v>
      </c>
      <c r="C145" s="104">
        <v>10100017616</v>
      </c>
      <c r="D145" s="102" t="s">
        <v>672</v>
      </c>
      <c r="E145" s="102" t="s">
        <v>143</v>
      </c>
      <c r="F145" s="103" t="s">
        <v>674</v>
      </c>
      <c r="G145" s="101">
        <v>13</v>
      </c>
      <c r="H145" s="102" t="s">
        <v>596</v>
      </c>
      <c r="I145" s="118" t="s">
        <v>291</v>
      </c>
      <c r="J145" s="74"/>
      <c r="K145" s="53">
        <f>VLOOKUP($C145,[4]Sheet2!$D:$J,3,0)</f>
        <v>9.7999999999999997E-4</v>
      </c>
      <c r="L145" s="53" t="str">
        <f>VLOOKUP($C145,[4]Sheet2!$D:$J,4,0)</f>
        <v>CNY</v>
      </c>
      <c r="M145" s="53" t="str">
        <f>VLOOKUP($C145,[4]Sheet2!$D:$J,2,0)</f>
        <v>恒辉电阻（益阳）有限公司</v>
      </c>
      <c r="N145" s="53">
        <f t="shared" si="14"/>
        <v>9.7999999999999997E-4</v>
      </c>
      <c r="O145" s="110">
        <f>N145*G145</f>
        <v>1.274E-2</v>
      </c>
      <c r="Q145" s="53" t="str">
        <f>VLOOKUP($C145,[4]Sheet2!$D:$J,5,0)</f>
        <v>42</v>
      </c>
      <c r="R145" s="53" t="str">
        <f>VLOOKUP($C145,[4]Sheet2!$D:$J,6,0)</f>
        <v>10,000.000</v>
      </c>
      <c r="S145" s="53" t="str">
        <f>VLOOKUP($C145,[4]Sheet2!$D:$J,7,0)</f>
        <v>10,000.000</v>
      </c>
      <c r="T145" s="110" t="s">
        <v>37</v>
      </c>
    </row>
    <row r="146" spans="1:20" x14ac:dyDescent="0.25">
      <c r="A146" s="100">
        <v>54</v>
      </c>
      <c r="B146" s="100">
        <v>145</v>
      </c>
      <c r="C146" s="104">
        <v>10100009092</v>
      </c>
      <c r="D146" s="102" t="s">
        <v>675</v>
      </c>
      <c r="E146" s="102" t="s">
        <v>188</v>
      </c>
      <c r="F146" s="103" t="s">
        <v>627</v>
      </c>
      <c r="G146" s="101">
        <v>1</v>
      </c>
      <c r="H146" s="102" t="s">
        <v>497</v>
      </c>
      <c r="I146" s="105"/>
      <c r="J146" s="74"/>
      <c r="K146" s="53">
        <f>VLOOKUP($C146,[4]Sheet2!$D:$J,3,0)</f>
        <v>1.2999999999999999E-3</v>
      </c>
      <c r="L146" s="53" t="str">
        <f>VLOOKUP($C146,[4]Sheet2!$D:$J,4,0)</f>
        <v>CNY</v>
      </c>
      <c r="M146" s="53" t="str">
        <f>VLOOKUP($C146,[4]Sheet2!$D:$J,2,0)</f>
        <v>深圳市奥特高科电子有限公司</v>
      </c>
      <c r="N146" s="53">
        <f t="shared" si="14"/>
        <v>1.2999999999999999E-3</v>
      </c>
      <c r="Q146" s="53" t="str">
        <f>VLOOKUP($C146,[4]Sheet2!$D:$J,5,0)</f>
        <v>84</v>
      </c>
      <c r="R146" s="53" t="str">
        <f>VLOOKUP($C146,[4]Sheet2!$D:$J,6,0)</f>
        <v>10,000.000</v>
      </c>
      <c r="S146" s="53" t="str">
        <f>VLOOKUP($C146,[4]Sheet2!$D:$J,7,0)</f>
        <v>10,000.000</v>
      </c>
    </row>
    <row r="147" spans="1:20" x14ac:dyDescent="0.25">
      <c r="A147" s="100"/>
      <c r="B147" s="100">
        <v>146</v>
      </c>
      <c r="C147" s="104">
        <v>10100009093</v>
      </c>
      <c r="D147" s="102" t="s">
        <v>675</v>
      </c>
      <c r="E147" s="102" t="s">
        <v>190</v>
      </c>
      <c r="F147" s="103" t="s">
        <v>629</v>
      </c>
      <c r="G147" s="101">
        <v>1</v>
      </c>
      <c r="H147" s="102" t="s">
        <v>497</v>
      </c>
      <c r="I147" s="105" t="s">
        <v>42</v>
      </c>
      <c r="J147" s="74"/>
      <c r="K147" s="53">
        <f>VLOOKUP($C147,[4]Sheet2!$D:$J,3,0)</f>
        <v>1.17E-3</v>
      </c>
      <c r="L147" s="53" t="str">
        <f>VLOOKUP($C147,[4]Sheet2!$D:$J,4,0)</f>
        <v>CNY</v>
      </c>
      <c r="M147" s="53" t="str">
        <f>VLOOKUP($C147,[4]Sheet2!$D:$J,2,0)</f>
        <v>东莞华科电子有限公司</v>
      </c>
      <c r="N147" s="53">
        <f t="shared" si="14"/>
        <v>1.17E-3</v>
      </c>
      <c r="Q147" s="53" t="str">
        <f>VLOOKUP($C147,[4]Sheet2!$D:$J,5,0)</f>
        <v>56</v>
      </c>
      <c r="R147" s="53" t="str">
        <f>VLOOKUP($C147,[4]Sheet2!$D:$J,6,0)</f>
        <v>10,000.000</v>
      </c>
      <c r="S147" s="53" t="str">
        <f>VLOOKUP($C147,[4]Sheet2!$D:$J,7,0)</f>
        <v>10,000.000</v>
      </c>
    </row>
    <row r="148" spans="1:20" x14ac:dyDescent="0.25">
      <c r="A148" s="100"/>
      <c r="B148" s="100">
        <v>147</v>
      </c>
      <c r="C148" s="104">
        <v>10100014735</v>
      </c>
      <c r="D148" s="102" t="s">
        <v>672</v>
      </c>
      <c r="E148" s="102" t="s">
        <v>191</v>
      </c>
      <c r="F148" s="103" t="s">
        <v>673</v>
      </c>
      <c r="G148" s="101">
        <v>1</v>
      </c>
      <c r="H148" s="102" t="s">
        <v>497</v>
      </c>
      <c r="I148" s="105" t="s">
        <v>42</v>
      </c>
      <c r="J148" s="74"/>
      <c r="K148" s="53">
        <f>VLOOKUP($C148,[4]Sheet2!$D:$J,3,0)</f>
        <v>1.09E-3</v>
      </c>
      <c r="L148" s="53" t="str">
        <f>VLOOKUP($C148,[4]Sheet2!$D:$J,4,0)</f>
        <v>CNY</v>
      </c>
      <c r="M148" s="53" t="str">
        <f>VLOOKUP($C148,[4]Sheet2!$D:$J,2,0)</f>
        <v>厚声国际贸易（昆山）有限公司深圳分公司</v>
      </c>
      <c r="N148" s="53">
        <f t="shared" si="14"/>
        <v>1.09E-3</v>
      </c>
      <c r="Q148" s="53" t="str">
        <f>VLOOKUP($C148,[4]Sheet2!$D:$J,5,0)</f>
        <v>56</v>
      </c>
      <c r="R148" s="53" t="str">
        <f>VLOOKUP($C148,[4]Sheet2!$D:$J,6,0)</f>
        <v>10,000.000</v>
      </c>
      <c r="S148" s="53" t="str">
        <f>VLOOKUP($C148,[4]Sheet2!$D:$J,7,0)</f>
        <v>10,000.000</v>
      </c>
    </row>
    <row r="149" spans="1:20" x14ac:dyDescent="0.25">
      <c r="A149" s="100"/>
      <c r="B149" s="100">
        <v>148</v>
      </c>
      <c r="C149" s="104">
        <v>10100017679</v>
      </c>
      <c r="D149" s="102" t="s">
        <v>672</v>
      </c>
      <c r="E149" s="102" t="s">
        <v>192</v>
      </c>
      <c r="F149" s="103" t="s">
        <v>674</v>
      </c>
      <c r="G149" s="101">
        <v>1</v>
      </c>
      <c r="H149" s="102" t="s">
        <v>497</v>
      </c>
      <c r="I149" s="105" t="s">
        <v>42</v>
      </c>
      <c r="J149" s="74"/>
      <c r="K149" s="53">
        <f>VLOOKUP($C149,[4]Sheet2!$D:$J,3,0)</f>
        <v>9.7999999999999997E-4</v>
      </c>
      <c r="L149" s="53" t="str">
        <f>VLOOKUP($C149,[4]Sheet2!$D:$J,4,0)</f>
        <v>CNY</v>
      </c>
      <c r="M149" s="53" t="str">
        <f>VLOOKUP($C149,[4]Sheet2!$D:$J,2,0)</f>
        <v>恒辉电阻（益阳）有限公司</v>
      </c>
      <c r="N149" s="53">
        <f t="shared" si="14"/>
        <v>9.7999999999999997E-4</v>
      </c>
      <c r="O149" s="110">
        <f>N149*G149</f>
        <v>9.7999999999999997E-4</v>
      </c>
      <c r="Q149" s="53" t="str">
        <f>VLOOKUP($C149,[4]Sheet2!$D:$J,5,0)</f>
        <v>42</v>
      </c>
      <c r="R149" s="53" t="str">
        <f>VLOOKUP($C149,[4]Sheet2!$D:$J,6,0)</f>
        <v>10,000.000</v>
      </c>
      <c r="S149" s="53" t="str">
        <f>VLOOKUP($C149,[4]Sheet2!$D:$J,7,0)</f>
        <v>10,000.000</v>
      </c>
      <c r="T149" s="110" t="s">
        <v>37</v>
      </c>
    </row>
    <row r="150" spans="1:20" x14ac:dyDescent="0.25">
      <c r="A150" s="100"/>
      <c r="B150" s="100">
        <v>149</v>
      </c>
      <c r="C150" s="104">
        <v>10100016358</v>
      </c>
      <c r="D150" s="102" t="s">
        <v>119</v>
      </c>
      <c r="E150" s="102" t="s">
        <v>500</v>
      </c>
      <c r="F150" s="103" t="s">
        <v>46</v>
      </c>
      <c r="G150" s="101">
        <v>6</v>
      </c>
      <c r="H150" s="102" t="s">
        <v>679</v>
      </c>
      <c r="I150" s="105"/>
      <c r="J150" s="74"/>
      <c r="K150" s="53">
        <f>VLOOKUP($C150,[4]Sheet2!$D:$J,3,0)</f>
        <v>1.4E-3</v>
      </c>
      <c r="L150" s="53" t="str">
        <f>VLOOKUP($C150,[4]Sheet2!$D:$J,4,0)</f>
        <v>CNY</v>
      </c>
      <c r="M150" s="53" t="str">
        <f>VLOOKUP($C150,[4]Sheet2!$D:$J,2,0)</f>
        <v>深圳市超利维实业有限公司</v>
      </c>
      <c r="N150" s="53">
        <f t="shared" si="14"/>
        <v>1.4E-3</v>
      </c>
      <c r="Q150" s="53" t="str">
        <f>VLOOKUP($C150,[4]Sheet2!$D:$J,5,0)</f>
        <v>56</v>
      </c>
      <c r="R150" s="53" t="str">
        <f>VLOOKUP($C150,[4]Sheet2!$D:$J,6,0)</f>
        <v>10,000.000</v>
      </c>
      <c r="S150" s="53" t="str">
        <f>VLOOKUP($C150,[4]Sheet2!$D:$J,7,0)</f>
        <v>10,000.000</v>
      </c>
    </row>
    <row r="151" spans="1:20" x14ac:dyDescent="0.25">
      <c r="A151" s="100">
        <v>55</v>
      </c>
      <c r="B151" s="100">
        <v>150</v>
      </c>
      <c r="C151" s="104">
        <v>10100034109</v>
      </c>
      <c r="D151" s="102" t="s">
        <v>119</v>
      </c>
      <c r="E151" s="102" t="s">
        <v>506</v>
      </c>
      <c r="F151" s="103" t="s">
        <v>53</v>
      </c>
      <c r="G151" s="101">
        <v>6</v>
      </c>
      <c r="H151" s="102" t="s">
        <v>679</v>
      </c>
      <c r="I151" s="105" t="s">
        <v>42</v>
      </c>
      <c r="J151" s="74"/>
      <c r="K151" s="53">
        <f>VLOOKUP($C151,[4]Sheet2!$D:$J,3,0)</f>
        <v>1.1000000000000001E-3</v>
      </c>
      <c r="L151" s="53" t="str">
        <f>VLOOKUP($C151,[4]Sheet2!$D:$J,4,0)</f>
        <v>CNY</v>
      </c>
      <c r="M151" s="53" t="str">
        <f>VLOOKUP($C151,[4]Sheet2!$D:$J,2,0)</f>
        <v>广东风华高新科技股份有限公司</v>
      </c>
      <c r="N151" s="53">
        <f t="shared" si="14"/>
        <v>1.1000000000000001E-3</v>
      </c>
      <c r="Q151" s="53" t="str">
        <f>VLOOKUP($C151,[4]Sheet2!$D:$J,5,0)</f>
        <v>42</v>
      </c>
      <c r="R151" s="53" t="str">
        <f>VLOOKUP($C151,[4]Sheet2!$D:$J,6,0)</f>
        <v>10,000.000</v>
      </c>
      <c r="S151" s="53" t="str">
        <f>VLOOKUP($C151,[4]Sheet2!$D:$J,7,0)</f>
        <v>10,000.000</v>
      </c>
    </row>
    <row r="152" spans="1:20" x14ac:dyDescent="0.25">
      <c r="A152" s="100"/>
      <c r="B152" s="100">
        <v>151</v>
      </c>
      <c r="C152" s="104">
        <v>10100020950</v>
      </c>
      <c r="D152" s="102" t="s">
        <v>119</v>
      </c>
      <c r="E152" s="102" t="s">
        <v>503</v>
      </c>
      <c r="F152" s="103" t="s">
        <v>129</v>
      </c>
      <c r="G152" s="101">
        <v>6</v>
      </c>
      <c r="H152" s="102" t="s">
        <v>679</v>
      </c>
      <c r="I152" s="105" t="s">
        <v>42</v>
      </c>
      <c r="J152" s="74"/>
      <c r="K152" s="53">
        <f>VLOOKUP($C152,[4]Sheet2!$D:$J,3,0)</f>
        <v>1.09E-3</v>
      </c>
      <c r="L152" s="53" t="str">
        <f>VLOOKUP($C152,[4]Sheet2!$D:$J,4,0)</f>
        <v>CNY</v>
      </c>
      <c r="M152" s="53" t="str">
        <f>VLOOKUP($C152,[4]Sheet2!$D:$J,2,0)</f>
        <v>厚声国际贸易（昆山）有限公司深圳分公司</v>
      </c>
      <c r="N152" s="53">
        <f t="shared" si="14"/>
        <v>1.09E-3</v>
      </c>
      <c r="Q152" s="53" t="str">
        <f>VLOOKUP($C152,[4]Sheet2!$D:$J,5,0)</f>
        <v>42</v>
      </c>
      <c r="R152" s="53" t="str">
        <f>VLOOKUP($C152,[4]Sheet2!$D:$J,6,0)</f>
        <v>10,000.000</v>
      </c>
      <c r="S152" s="53" t="str">
        <f>VLOOKUP($C152,[4]Sheet2!$D:$J,7,0)</f>
        <v>10,000.000</v>
      </c>
    </row>
    <row r="153" spans="1:20" x14ac:dyDescent="0.25">
      <c r="A153" s="100"/>
      <c r="B153" s="100">
        <v>152</v>
      </c>
      <c r="C153" s="104">
        <v>10100016798</v>
      </c>
      <c r="D153" s="102" t="s">
        <v>119</v>
      </c>
      <c r="E153" s="102" t="s">
        <v>502</v>
      </c>
      <c r="F153" s="103" t="s">
        <v>77</v>
      </c>
      <c r="G153" s="101">
        <v>6</v>
      </c>
      <c r="H153" s="102" t="s">
        <v>679</v>
      </c>
      <c r="I153" s="105" t="s">
        <v>42</v>
      </c>
      <c r="J153" s="74"/>
      <c r="K153" s="53">
        <f>VLOOKUP($C153,[4]Sheet2!$D:$J,3,0)</f>
        <v>1E-3</v>
      </c>
      <c r="L153" s="53" t="str">
        <f>VLOOKUP($C153,[4]Sheet2!$D:$J,4,0)</f>
        <v>CNY</v>
      </c>
      <c r="M153" s="53" t="str">
        <f>VLOOKUP($C153,[4]Sheet2!$D:$J,2,0)</f>
        <v>东莞华科电子有限公司</v>
      </c>
      <c r="N153" s="53">
        <f t="shared" si="14"/>
        <v>1E-3</v>
      </c>
      <c r="Q153" s="53" t="str">
        <f>VLOOKUP($C153,[4]Sheet2!$D:$J,5,0)</f>
        <v>56</v>
      </c>
      <c r="R153" s="53" t="str">
        <f>VLOOKUP($C153,[4]Sheet2!$D:$J,6,0)</f>
        <v>10,000.000</v>
      </c>
      <c r="S153" s="53" t="str">
        <f>VLOOKUP($C153,[4]Sheet2!$D:$J,7,0)</f>
        <v>10,000.000</v>
      </c>
    </row>
    <row r="154" spans="1:20" x14ac:dyDescent="0.25">
      <c r="A154" s="100"/>
      <c r="B154" s="100">
        <v>153</v>
      </c>
      <c r="C154" s="104">
        <v>10100033903</v>
      </c>
      <c r="D154" s="102" t="s">
        <v>119</v>
      </c>
      <c r="E154" s="102" t="s">
        <v>504</v>
      </c>
      <c r="F154" s="103" t="s">
        <v>505</v>
      </c>
      <c r="G154" s="101">
        <v>6</v>
      </c>
      <c r="H154" s="102" t="s">
        <v>679</v>
      </c>
      <c r="I154" s="105" t="s">
        <v>42</v>
      </c>
      <c r="J154" s="74"/>
      <c r="K154" s="53">
        <f>VLOOKUP($C154,[4]Sheet2!$D:$J,3,0)</f>
        <v>9.7999999999999997E-4</v>
      </c>
      <c r="L154" s="53" t="str">
        <f>VLOOKUP($C154,[4]Sheet2!$D:$J,4,0)</f>
        <v>CNY</v>
      </c>
      <c r="M154" s="53" t="str">
        <f>VLOOKUP($C154,[4]Sheet2!$D:$J,2,0)</f>
        <v>恒辉电阻（益阳）有限公司</v>
      </c>
      <c r="N154" s="53">
        <f t="shared" si="14"/>
        <v>9.7999999999999997E-4</v>
      </c>
      <c r="O154" s="110">
        <f>N154*G154</f>
        <v>5.8799999999999998E-3</v>
      </c>
      <c r="Q154" s="53" t="str">
        <f>VLOOKUP($C154,[4]Sheet2!$D:$J,5,0)</f>
        <v>42</v>
      </c>
      <c r="R154" s="53" t="str">
        <f>VLOOKUP($C154,[4]Sheet2!$D:$J,6,0)</f>
        <v>10,000.000</v>
      </c>
      <c r="S154" s="53" t="str">
        <f>VLOOKUP($C154,[4]Sheet2!$D:$J,7,0)</f>
        <v>10,000.000</v>
      </c>
      <c r="T154" s="110" t="s">
        <v>37</v>
      </c>
    </row>
    <row r="155" spans="1:20" x14ac:dyDescent="0.25">
      <c r="A155" s="100">
        <v>56</v>
      </c>
      <c r="B155" s="100">
        <v>154</v>
      </c>
      <c r="C155" s="104">
        <v>10100002715</v>
      </c>
      <c r="D155" s="102" t="s">
        <v>672</v>
      </c>
      <c r="E155" s="102" t="s">
        <v>425</v>
      </c>
      <c r="F155" s="103" t="s">
        <v>627</v>
      </c>
      <c r="G155" s="101">
        <v>1</v>
      </c>
      <c r="H155" s="247" t="s">
        <v>426</v>
      </c>
      <c r="I155" s="105"/>
      <c r="J155" s="74"/>
      <c r="K155" s="53">
        <f>VLOOKUP($C155,[4]Sheet2!$D:$J,3,0)</f>
        <v>4.7999999999999996E-3</v>
      </c>
      <c r="L155" s="53" t="str">
        <f>VLOOKUP($C155,[4]Sheet2!$D:$J,4,0)</f>
        <v>CNY</v>
      </c>
      <c r="M155" s="53" t="str">
        <f>VLOOKUP($C155,[4]Sheet2!$D:$J,2,0)</f>
        <v>深圳市欧尔法电子有限公司</v>
      </c>
      <c r="N155" s="53">
        <f t="shared" si="14"/>
        <v>4.7999999999999996E-3</v>
      </c>
      <c r="Q155" s="53" t="str">
        <f>VLOOKUP($C155,[4]Sheet2!$D:$J,5,0)</f>
        <v>70</v>
      </c>
      <c r="R155" s="53" t="str">
        <f>VLOOKUP($C155,[4]Sheet2!$D:$J,6,0)</f>
        <v>5,000.000</v>
      </c>
      <c r="S155" s="53" t="str">
        <f>VLOOKUP($C155,[4]Sheet2!$D:$J,7,0)</f>
        <v>5,000.000</v>
      </c>
    </row>
    <row r="156" spans="1:20" x14ac:dyDescent="0.25">
      <c r="A156" s="100"/>
      <c r="B156" s="100">
        <v>155</v>
      </c>
      <c r="C156" s="104">
        <v>10100007109</v>
      </c>
      <c r="D156" s="102" t="s">
        <v>672</v>
      </c>
      <c r="E156" s="102" t="s">
        <v>429</v>
      </c>
      <c r="F156" s="103" t="s">
        <v>629</v>
      </c>
      <c r="G156" s="101">
        <v>1</v>
      </c>
      <c r="H156" s="247" t="s">
        <v>426</v>
      </c>
      <c r="I156" s="118" t="s">
        <v>291</v>
      </c>
      <c r="J156" s="74"/>
      <c r="K156" s="53">
        <f>VLOOKUP($C156,[4]Sheet2!$D:$J,3,0)</f>
        <v>3.8800000000000002E-3</v>
      </c>
      <c r="L156" s="53" t="str">
        <f>VLOOKUP($C156,[4]Sheet2!$D:$J,4,0)</f>
        <v>CNY</v>
      </c>
      <c r="M156" s="53" t="str">
        <f>VLOOKUP($C156,[4]Sheet2!$D:$J,2,0)</f>
        <v>东莞华科电子有限公司</v>
      </c>
      <c r="N156" s="53">
        <f t="shared" si="14"/>
        <v>3.8800000000000002E-3</v>
      </c>
      <c r="Q156" s="53" t="str">
        <f>VLOOKUP($C156,[4]Sheet2!$D:$J,5,0)</f>
        <v>56</v>
      </c>
      <c r="R156" s="53" t="str">
        <f>VLOOKUP($C156,[4]Sheet2!$D:$J,6,0)</f>
        <v>5,000.000</v>
      </c>
      <c r="S156" s="53" t="str">
        <f>VLOOKUP($C156,[4]Sheet2!$D:$J,7,0)</f>
        <v>5,000.000</v>
      </c>
    </row>
    <row r="157" spans="1:20" x14ac:dyDescent="0.25">
      <c r="A157" s="100"/>
      <c r="B157" s="100">
        <v>156</v>
      </c>
      <c r="C157" s="104">
        <v>10100005503</v>
      </c>
      <c r="D157" s="102" t="s">
        <v>672</v>
      </c>
      <c r="E157" s="102" t="s">
        <v>427</v>
      </c>
      <c r="F157" s="103" t="s">
        <v>673</v>
      </c>
      <c r="G157" s="101">
        <v>1</v>
      </c>
      <c r="H157" s="247" t="s">
        <v>426</v>
      </c>
      <c r="I157" s="118" t="s">
        <v>291</v>
      </c>
      <c r="J157" s="74"/>
      <c r="K157" s="53">
        <f>VLOOKUP($C157,[4]Sheet2!$D:$J,3,0)</f>
        <v>3.8E-3</v>
      </c>
      <c r="L157" s="53" t="str">
        <f>VLOOKUP($C157,[4]Sheet2!$D:$J,4,0)</f>
        <v>CNY</v>
      </c>
      <c r="M157" s="53" t="str">
        <f>VLOOKUP($C157,[4]Sheet2!$D:$J,2,0)</f>
        <v>厚声国际贸易（昆山）有限公司深圳分公司</v>
      </c>
      <c r="N157" s="53">
        <f t="shared" si="14"/>
        <v>3.8E-3</v>
      </c>
      <c r="Q157" s="53" t="str">
        <f>VLOOKUP($C157,[4]Sheet2!$D:$J,5,0)</f>
        <v>56</v>
      </c>
      <c r="R157" s="53" t="str">
        <f>VLOOKUP($C157,[4]Sheet2!$D:$J,6,0)</f>
        <v>5,000.000</v>
      </c>
      <c r="S157" s="53" t="str">
        <f>VLOOKUP($C157,[4]Sheet2!$D:$J,7,0)</f>
        <v>5,000.000</v>
      </c>
    </row>
    <row r="158" spans="1:20" x14ac:dyDescent="0.25">
      <c r="A158" s="100"/>
      <c r="B158" s="100">
        <v>157</v>
      </c>
      <c r="C158" s="104">
        <v>10100006627</v>
      </c>
      <c r="D158" s="102" t="s">
        <v>672</v>
      </c>
      <c r="E158" s="102" t="s">
        <v>428</v>
      </c>
      <c r="F158" s="103" t="s">
        <v>630</v>
      </c>
      <c r="G158" s="101">
        <v>1</v>
      </c>
      <c r="H158" s="247" t="s">
        <v>426</v>
      </c>
      <c r="I158" s="118" t="s">
        <v>291</v>
      </c>
      <c r="J158" s="74"/>
      <c r="K158" s="53">
        <f>VLOOKUP($C158,[4]Sheet2!$D:$J,3,0)</f>
        <v>3.7200000000000002E-3</v>
      </c>
      <c r="L158" s="53" t="str">
        <f>VLOOKUP($C158,[4]Sheet2!$D:$J,4,0)</f>
        <v>CNY</v>
      </c>
      <c r="M158" s="53" t="str">
        <f>VLOOKUP($C158,[4]Sheet2!$D:$J,2,0)</f>
        <v>广东风华高新科技股份有限公司</v>
      </c>
      <c r="N158" s="53">
        <f t="shared" si="14"/>
        <v>3.7200000000000002E-3</v>
      </c>
      <c r="Q158" s="53" t="str">
        <f>VLOOKUP($C158,[4]Sheet2!$D:$J,5,0)</f>
        <v>42</v>
      </c>
      <c r="R158" s="53" t="str">
        <f>VLOOKUP($C158,[4]Sheet2!$D:$J,6,0)</f>
        <v>5,000.000</v>
      </c>
      <c r="S158" s="53" t="str">
        <f>VLOOKUP($C158,[4]Sheet2!$D:$J,7,0)</f>
        <v>5,000.000</v>
      </c>
    </row>
    <row r="159" spans="1:20" x14ac:dyDescent="0.25">
      <c r="A159" s="100"/>
      <c r="B159" s="100">
        <v>158</v>
      </c>
      <c r="C159" s="104">
        <v>10100018253</v>
      </c>
      <c r="D159" s="102" t="s">
        <v>672</v>
      </c>
      <c r="E159" s="102" t="s">
        <v>430</v>
      </c>
      <c r="F159" s="103" t="s">
        <v>674</v>
      </c>
      <c r="G159" s="101">
        <v>1</v>
      </c>
      <c r="H159" s="247" t="s">
        <v>426</v>
      </c>
      <c r="I159" s="118" t="s">
        <v>291</v>
      </c>
      <c r="J159" s="74"/>
      <c r="K159" s="53">
        <f>VLOOKUP($C159,[4]Sheet2!$D:$J,3,0)</f>
        <v>3.3500000000000001E-3</v>
      </c>
      <c r="L159" s="53" t="str">
        <f>VLOOKUP($C159,[4]Sheet2!$D:$J,4,0)</f>
        <v>CNY</v>
      </c>
      <c r="M159" s="53" t="str">
        <f>VLOOKUP($C159,[4]Sheet2!$D:$J,2,0)</f>
        <v>恒辉电阻（益阳）有限公司</v>
      </c>
      <c r="N159" s="53">
        <f t="shared" si="14"/>
        <v>3.3500000000000001E-3</v>
      </c>
      <c r="O159" s="110">
        <f t="shared" ref="O159:O163" si="15">N159*G159</f>
        <v>3.3500000000000001E-3</v>
      </c>
      <c r="Q159" s="53" t="str">
        <f>VLOOKUP($C159,[4]Sheet2!$D:$J,5,0)</f>
        <v>42</v>
      </c>
      <c r="R159" s="53" t="str">
        <f>VLOOKUP($C159,[4]Sheet2!$D:$J,6,0)</f>
        <v>5,000.000</v>
      </c>
      <c r="S159" s="53" t="str">
        <f>VLOOKUP($C159,[4]Sheet2!$D:$J,7,0)</f>
        <v>5,000.000</v>
      </c>
      <c r="T159" s="110" t="s">
        <v>37</v>
      </c>
    </row>
    <row r="160" spans="1:20" ht="26.4" x14ac:dyDescent="0.25">
      <c r="A160" s="100">
        <v>57</v>
      </c>
      <c r="B160" s="100">
        <v>159</v>
      </c>
      <c r="C160" s="104">
        <v>10100008735</v>
      </c>
      <c r="D160" s="102" t="s">
        <v>119</v>
      </c>
      <c r="E160" s="102" t="s">
        <v>498</v>
      </c>
      <c r="F160" s="103" t="s">
        <v>680</v>
      </c>
      <c r="G160" s="101">
        <v>3</v>
      </c>
      <c r="H160" s="102" t="s">
        <v>499</v>
      </c>
      <c r="I160" s="105" t="s">
        <v>42</v>
      </c>
      <c r="J160" s="74"/>
      <c r="K160" s="53">
        <f>VLOOKUP($C160,[4]Sheet2!$D:$J,3,0)</f>
        <v>1.1000000000000001E-3</v>
      </c>
      <c r="L160" s="53" t="str">
        <f>VLOOKUP($C160,[4]Sheet2!$D:$J,4,0)</f>
        <v>CNY</v>
      </c>
      <c r="M160" s="53" t="str">
        <f>VLOOKUP($C160,[4]Sheet2!$D:$J,2,0)</f>
        <v>广东风华高新科技股份有限公司</v>
      </c>
      <c r="N160" s="53">
        <f t="shared" si="14"/>
        <v>1.1000000000000001E-3</v>
      </c>
      <c r="O160" s="110">
        <f t="shared" si="15"/>
        <v>3.3E-3</v>
      </c>
      <c r="Q160" s="53" t="str">
        <f>VLOOKUP($C160,[4]Sheet2!$D:$J,5,0)</f>
        <v>42</v>
      </c>
      <c r="R160" s="53" t="str">
        <f>VLOOKUP($C160,[4]Sheet2!$D:$J,6,0)</f>
        <v>10,000.000</v>
      </c>
      <c r="S160" s="53" t="str">
        <f>VLOOKUP($C160,[4]Sheet2!$D:$J,7,0)</f>
        <v>10,000.000</v>
      </c>
      <c r="T160" s="110" t="s">
        <v>37</v>
      </c>
    </row>
    <row r="161" spans="1:20" x14ac:dyDescent="0.25">
      <c r="A161" s="100">
        <v>58</v>
      </c>
      <c r="B161" s="100">
        <v>160</v>
      </c>
      <c r="C161" s="104">
        <v>10100030065</v>
      </c>
      <c r="D161" s="102" t="s">
        <v>268</v>
      </c>
      <c r="E161" s="102" t="s">
        <v>610</v>
      </c>
      <c r="F161" s="103" t="s">
        <v>509</v>
      </c>
      <c r="G161" s="101">
        <v>1</v>
      </c>
      <c r="H161" s="247" t="s">
        <v>270</v>
      </c>
      <c r="I161" s="105" t="s">
        <v>42</v>
      </c>
      <c r="J161" s="74"/>
      <c r="K161" s="53">
        <f>VLOOKUP($C161,[4]Sheet2!$D:$J,3,0)</f>
        <v>0.47</v>
      </c>
      <c r="L161" s="53" t="str">
        <f>VLOOKUP($C161,[4]Sheet2!$D:$J,4,0)</f>
        <v>CNY</v>
      </c>
      <c r="M161" s="53" t="str">
        <f>VLOOKUP($C161,[4]Sheet2!$D:$J,2,0)</f>
        <v>成都铁达电子股份有限公司</v>
      </c>
      <c r="N161" s="53">
        <f t="shared" si="14"/>
        <v>0.47</v>
      </c>
      <c r="Q161" s="53" t="str">
        <f>VLOOKUP($C161,[4]Sheet2!$D:$J,5,0)</f>
        <v>15</v>
      </c>
      <c r="R161" s="53" t="str">
        <f>VLOOKUP($C161,[4]Sheet2!$D:$J,6,0)</f>
        <v>1,600.000</v>
      </c>
      <c r="S161" s="53" t="str">
        <f>VLOOKUP($C161,[4]Sheet2!$D:$J,7,0)</f>
        <v>400.000</v>
      </c>
    </row>
    <row r="162" spans="1:20" x14ac:dyDescent="0.25">
      <c r="A162" s="100"/>
      <c r="B162" s="100">
        <v>161</v>
      </c>
      <c r="C162" s="104" t="s">
        <v>38</v>
      </c>
      <c r="D162" s="102" t="s">
        <v>268</v>
      </c>
      <c r="E162" s="102" t="s">
        <v>269</v>
      </c>
      <c r="F162" s="103" t="s">
        <v>262</v>
      </c>
      <c r="G162" s="101">
        <v>1</v>
      </c>
      <c r="H162" s="247" t="s">
        <v>270</v>
      </c>
      <c r="I162" s="105"/>
      <c r="J162" s="74"/>
      <c r="K162" s="53" t="e">
        <f>VLOOKUP($C162,[4]Sheet2!$D:$J,3,0)</f>
        <v>#N/A</v>
      </c>
      <c r="L162" s="53" t="e">
        <f>VLOOKUP($C162,[4]Sheet2!$D:$J,4,0)</f>
        <v>#N/A</v>
      </c>
      <c r="M162" s="53" t="e">
        <f>VLOOKUP($C162,[4]Sheet2!$D:$J,2,0)</f>
        <v>#N/A</v>
      </c>
      <c r="N162" s="120">
        <v>0.31</v>
      </c>
      <c r="O162" s="110">
        <f t="shared" si="15"/>
        <v>0.31</v>
      </c>
      <c r="P162" s="120" t="s">
        <v>271</v>
      </c>
      <c r="Q162" s="53" t="e">
        <f>VLOOKUP($C162,[4]Sheet2!$D:$J,5,0)</f>
        <v>#N/A</v>
      </c>
      <c r="R162" s="53" t="e">
        <f>VLOOKUP($C162,[4]Sheet2!$D:$J,6,0)</f>
        <v>#N/A</v>
      </c>
      <c r="S162" s="53" t="e">
        <f>VLOOKUP($C162,[4]Sheet2!$D:$J,7,0)</f>
        <v>#N/A</v>
      </c>
      <c r="T162" s="110" t="s">
        <v>37</v>
      </c>
    </row>
    <row r="163" spans="1:20" x14ac:dyDescent="0.25">
      <c r="A163" s="100">
        <v>59</v>
      </c>
      <c r="B163" s="100">
        <v>162</v>
      </c>
      <c r="C163" s="104">
        <v>1015</v>
      </c>
      <c r="D163" s="102" t="s">
        <v>510</v>
      </c>
      <c r="E163" s="102" t="s">
        <v>511</v>
      </c>
      <c r="F163" s="103" t="s">
        <v>512</v>
      </c>
      <c r="G163" s="101">
        <v>1</v>
      </c>
      <c r="H163" s="102" t="s">
        <v>160</v>
      </c>
      <c r="I163" s="74" t="s">
        <v>118</v>
      </c>
      <c r="J163" s="74"/>
      <c r="K163" s="53" t="e">
        <f>VLOOKUP($C163,[4]Sheet2!$D:$J,3,0)</f>
        <v>#N/A</v>
      </c>
      <c r="L163" s="53" t="e">
        <f>VLOOKUP($C163,[4]Sheet2!$D:$J,4,0)</f>
        <v>#N/A</v>
      </c>
      <c r="M163" s="53" t="e">
        <f>VLOOKUP($C163,[4]Sheet2!$D:$J,2,0)</f>
        <v>#N/A</v>
      </c>
      <c r="N163" s="53">
        <v>0.94</v>
      </c>
      <c r="O163" s="110">
        <f t="shared" si="15"/>
        <v>0.94</v>
      </c>
      <c r="Q163" s="53" t="e">
        <f>VLOOKUP($C163,[4]Sheet2!$D:$J,5,0)</f>
        <v>#N/A</v>
      </c>
      <c r="R163" s="53" t="e">
        <f>VLOOKUP($C163,[4]Sheet2!$D:$J,6,0)</f>
        <v>#N/A</v>
      </c>
      <c r="S163" s="53" t="e">
        <f>VLOOKUP($C163,[4]Sheet2!$D:$J,7,0)</f>
        <v>#N/A</v>
      </c>
      <c r="T163" s="110" t="s">
        <v>37</v>
      </c>
    </row>
    <row r="164" spans="1:20" x14ac:dyDescent="0.25">
      <c r="A164" s="100">
        <v>60</v>
      </c>
      <c r="B164" s="100">
        <v>163</v>
      </c>
      <c r="C164" s="104">
        <v>10140000397</v>
      </c>
      <c r="D164" s="102" t="s">
        <v>513</v>
      </c>
      <c r="E164" s="102" t="s">
        <v>521</v>
      </c>
      <c r="F164" s="103" t="s">
        <v>522</v>
      </c>
      <c r="G164" s="101">
        <v>3</v>
      </c>
      <c r="H164" s="102" t="s">
        <v>611</v>
      </c>
      <c r="I164" s="105" t="s">
        <v>42</v>
      </c>
      <c r="J164" s="74"/>
      <c r="K164" s="53">
        <f>VLOOKUP($C164,[4]Sheet2!$D:$J,3,0)</f>
        <v>7.4999999999999997E-2</v>
      </c>
      <c r="L164" s="53" t="str">
        <f>VLOOKUP($C164,[4]Sheet2!$D:$J,4,0)</f>
        <v>CNY</v>
      </c>
      <c r="M164" s="53" t="str">
        <f>VLOOKUP($C164,[4]Sheet2!$D:$J,2,0)</f>
        <v>深圳市合信昌科技有限公司</v>
      </c>
      <c r="N164" s="53">
        <f t="shared" ref="N164:N172" si="16">K164</f>
        <v>7.4999999999999997E-2</v>
      </c>
      <c r="Q164" s="53" t="str">
        <f>VLOOKUP($C164,[4]Sheet2!$D:$J,5,0)</f>
        <v>70</v>
      </c>
      <c r="R164" s="53" t="str">
        <f>VLOOKUP($C164,[4]Sheet2!$D:$J,6,0)</f>
        <v>1,800.000</v>
      </c>
      <c r="S164" s="53" t="str">
        <f>VLOOKUP($C164,[4]Sheet2!$D:$J,7,0)</f>
        <v>1,800.000</v>
      </c>
    </row>
    <row r="165" spans="1:20" x14ac:dyDescent="0.25">
      <c r="A165" s="100"/>
      <c r="B165" s="100">
        <v>164</v>
      </c>
      <c r="C165" s="104">
        <v>10140002743</v>
      </c>
      <c r="D165" s="102" t="s">
        <v>513</v>
      </c>
      <c r="E165" s="102" t="s">
        <v>519</v>
      </c>
      <c r="F165" s="103" t="s">
        <v>520</v>
      </c>
      <c r="G165" s="101">
        <v>3</v>
      </c>
      <c r="H165" s="102" t="s">
        <v>611</v>
      </c>
      <c r="I165" s="105" t="s">
        <v>42</v>
      </c>
      <c r="J165" s="74"/>
      <c r="K165" s="53">
        <f>VLOOKUP($C165,[4]Sheet2!$D:$J,3,0)</f>
        <v>0.04</v>
      </c>
      <c r="L165" s="53" t="str">
        <f>VLOOKUP($C165,[4]Sheet2!$D:$J,4,0)</f>
        <v>CNY</v>
      </c>
      <c r="M165" s="53" t="str">
        <f>VLOOKUP($C165,[4]Sheet2!$D:$J,2,0)</f>
        <v>深圳市驰顺科技有限公司</v>
      </c>
      <c r="N165" s="53">
        <f t="shared" si="16"/>
        <v>0.04</v>
      </c>
      <c r="Q165" s="53" t="str">
        <f>VLOOKUP($C165,[4]Sheet2!$D:$J,5,0)</f>
        <v>90</v>
      </c>
      <c r="R165" s="53" t="str">
        <f>VLOOKUP($C165,[4]Sheet2!$D:$J,6,0)</f>
        <v>7,500.000</v>
      </c>
      <c r="S165" s="53" t="str">
        <f>VLOOKUP($C165,[4]Sheet2!$D:$J,7,0)</f>
        <v>7,500.000</v>
      </c>
    </row>
    <row r="166" spans="1:20" x14ac:dyDescent="0.25">
      <c r="A166" s="100"/>
      <c r="B166" s="100">
        <v>165</v>
      </c>
      <c r="C166" s="104">
        <v>10140003381</v>
      </c>
      <c r="D166" s="102" t="s">
        <v>513</v>
      </c>
      <c r="E166" s="102" t="s">
        <v>517</v>
      </c>
      <c r="F166" s="103" t="s">
        <v>518</v>
      </c>
      <c r="G166" s="101">
        <v>3</v>
      </c>
      <c r="H166" s="102" t="s">
        <v>611</v>
      </c>
      <c r="I166" s="105" t="s">
        <v>42</v>
      </c>
      <c r="J166" s="74"/>
      <c r="K166" s="53">
        <f>VLOOKUP($C166,[4]Sheet2!$D:$J,3,0)</f>
        <v>3.3599999999999998E-2</v>
      </c>
      <c r="L166" s="53" t="str">
        <f>VLOOKUP($C166,[4]Sheet2!$D:$J,4,0)</f>
        <v>CNY</v>
      </c>
      <c r="M166" s="53" t="str">
        <f>VLOOKUP($C166,[4]Sheet2!$D:$J,2,0)</f>
        <v>深圳南丰电子股份有限公司</v>
      </c>
      <c r="N166" s="53">
        <f t="shared" si="16"/>
        <v>3.3599999999999998E-2</v>
      </c>
      <c r="Q166" s="53" t="str">
        <f>VLOOKUP($C166,[4]Sheet2!$D:$J,5,0)</f>
        <v>70</v>
      </c>
      <c r="R166" s="53" t="str">
        <f>VLOOKUP($C166,[4]Sheet2!$D:$J,6,0)</f>
        <v>7,500.000</v>
      </c>
      <c r="S166" s="53" t="str">
        <f>VLOOKUP($C166,[4]Sheet2!$D:$J,7,0)</f>
        <v>7,500.000</v>
      </c>
    </row>
    <row r="167" spans="1:20" x14ac:dyDescent="0.25">
      <c r="A167" s="100"/>
      <c r="B167" s="100">
        <v>166</v>
      </c>
      <c r="C167" s="104">
        <v>10140012358</v>
      </c>
      <c r="D167" s="102" t="s">
        <v>513</v>
      </c>
      <c r="E167" s="102" t="s">
        <v>514</v>
      </c>
      <c r="F167" s="103" t="s">
        <v>515</v>
      </c>
      <c r="G167" s="101">
        <v>3</v>
      </c>
      <c r="H167" s="102" t="s">
        <v>611</v>
      </c>
      <c r="I167" s="105"/>
      <c r="J167" s="74"/>
      <c r="K167" s="53">
        <f>VLOOKUP($C167,[4]Sheet2!$D:$J,3,0)</f>
        <v>3.3000000000000002E-2</v>
      </c>
      <c r="L167" s="53" t="str">
        <f>VLOOKUP($C167,[4]Sheet2!$D:$J,4,0)</f>
        <v>CNY</v>
      </c>
      <c r="M167" s="53" t="str">
        <f>VLOOKUP($C167,[4]Sheet2!$D:$J,2,0)</f>
        <v>东莞市意中半导体有限公司</v>
      </c>
      <c r="N167" s="53">
        <f t="shared" si="16"/>
        <v>3.3000000000000002E-2</v>
      </c>
      <c r="O167" s="110">
        <f t="shared" ref="O167:O170" si="17">N167*G167</f>
        <v>9.9000000000000005E-2</v>
      </c>
      <c r="Q167" s="53" t="str">
        <f>VLOOKUP($C167,[4]Sheet2!$D:$J,5,0)</f>
        <v>60</v>
      </c>
      <c r="R167" s="53" t="str">
        <f>VLOOKUP($C167,[4]Sheet2!$D:$J,6,0)</f>
        <v>5,000.000</v>
      </c>
      <c r="S167" s="53" t="str">
        <f>VLOOKUP($C167,[4]Sheet2!$D:$J,7,0)</f>
        <v>5,000.000</v>
      </c>
      <c r="T167" s="110" t="s">
        <v>37</v>
      </c>
    </row>
    <row r="168" spans="1:20" x14ac:dyDescent="0.25">
      <c r="A168" s="100">
        <v>61</v>
      </c>
      <c r="B168" s="100">
        <v>167</v>
      </c>
      <c r="C168" s="104">
        <v>10140014223</v>
      </c>
      <c r="D168" s="102" t="s">
        <v>620</v>
      </c>
      <c r="E168" s="102" t="s">
        <v>531</v>
      </c>
      <c r="F168" s="103" t="s">
        <v>548</v>
      </c>
      <c r="G168" s="101">
        <v>1</v>
      </c>
      <c r="H168" s="247" t="s">
        <v>533</v>
      </c>
      <c r="I168" s="105" t="s">
        <v>42</v>
      </c>
      <c r="J168" s="74"/>
      <c r="K168" s="53">
        <f>VLOOKUP($C168,[4]Sheet2!$D:$J,3,0)</f>
        <v>0.19500000000000001</v>
      </c>
      <c r="L168" s="53" t="str">
        <f>VLOOKUP($C168,[4]Sheet2!$D:$J,4,0)</f>
        <v>CNY</v>
      </c>
      <c r="M168" s="53" t="str">
        <f>VLOOKUP($C168,[4]Sheet2!$D:$J,2,0)</f>
        <v>深圳翰世宇科技有限公司</v>
      </c>
      <c r="N168" s="53">
        <f t="shared" si="16"/>
        <v>0.19500000000000001</v>
      </c>
      <c r="O168" s="110">
        <f t="shared" si="17"/>
        <v>0.19500000000000001</v>
      </c>
      <c r="Q168" s="53" t="str">
        <f>VLOOKUP($C168,[4]Sheet2!$D:$J,5,0)</f>
        <v>56</v>
      </c>
      <c r="R168" s="53" t="str">
        <f>VLOOKUP($C168,[4]Sheet2!$D:$J,6,0)</f>
        <v>5,000.000</v>
      </c>
      <c r="S168" s="53" t="str">
        <f>VLOOKUP($C168,[4]Sheet2!$D:$J,7,0)</f>
        <v>5,000.000</v>
      </c>
      <c r="T168" s="110" t="s">
        <v>37</v>
      </c>
    </row>
    <row r="169" spans="1:20" x14ac:dyDescent="0.25">
      <c r="A169" s="100"/>
      <c r="B169" s="100">
        <v>168</v>
      </c>
      <c r="C169" s="104">
        <v>10140006310</v>
      </c>
      <c r="D169" s="102" t="s">
        <v>681</v>
      </c>
      <c r="E169" s="102" t="s">
        <v>524</v>
      </c>
      <c r="F169" s="103" t="s">
        <v>682</v>
      </c>
      <c r="G169" s="101">
        <v>2</v>
      </c>
      <c r="H169" s="247" t="s">
        <v>618</v>
      </c>
      <c r="I169" s="105"/>
      <c r="J169" s="74"/>
      <c r="K169" s="53">
        <f>VLOOKUP($C169,[4]Sheet2!$D:$J,3,0)</f>
        <v>4.8000000000000001E-2</v>
      </c>
      <c r="L169" s="53" t="str">
        <f>VLOOKUP($C169,[4]Sheet2!$D:$J,4,0)</f>
        <v>CNY</v>
      </c>
      <c r="M169" s="53" t="str">
        <f>VLOOKUP($C169,[4]Sheet2!$D:$J,2,0)</f>
        <v>深圳翰世宇科技有限公司</v>
      </c>
      <c r="N169" s="53">
        <f t="shared" si="16"/>
        <v>4.8000000000000001E-2</v>
      </c>
      <c r="Q169" s="53" t="str">
        <f>VLOOKUP($C169,[4]Sheet2!$D:$J,5,0)</f>
        <v>56</v>
      </c>
      <c r="R169" s="53" t="str">
        <f>VLOOKUP($C169,[4]Sheet2!$D:$J,6,0)</f>
        <v>3,000.000</v>
      </c>
      <c r="S169" s="53" t="str">
        <f>VLOOKUP($C169,[4]Sheet2!$D:$J,7,0)</f>
        <v>3,000.000</v>
      </c>
    </row>
    <row r="170" spans="1:20" x14ac:dyDescent="0.25">
      <c r="A170" s="100">
        <v>62</v>
      </c>
      <c r="B170" s="100">
        <v>169</v>
      </c>
      <c r="C170" s="104">
        <v>10140002123</v>
      </c>
      <c r="D170" s="102" t="s">
        <v>617</v>
      </c>
      <c r="E170" s="102" t="s">
        <v>527</v>
      </c>
      <c r="F170" s="103" t="s">
        <v>619</v>
      </c>
      <c r="G170" s="101">
        <v>2</v>
      </c>
      <c r="H170" s="247" t="s">
        <v>618</v>
      </c>
      <c r="I170" s="105" t="s">
        <v>42</v>
      </c>
      <c r="J170" s="74"/>
      <c r="K170" s="53">
        <f>VLOOKUP($C170,[4]Sheet2!$D:$J,3,0)</f>
        <v>3.4500000000000003E-2</v>
      </c>
      <c r="L170" s="53" t="str">
        <f>VLOOKUP($C170,[4]Sheet2!$D:$J,4,0)</f>
        <v>CNY</v>
      </c>
      <c r="M170" s="53" t="str">
        <f>VLOOKUP($C170,[4]Sheet2!$D:$J,2,0)</f>
        <v>利尔达科技集团股份有限公司</v>
      </c>
      <c r="N170" s="53">
        <f t="shared" si="16"/>
        <v>3.4500000000000003E-2</v>
      </c>
      <c r="O170" s="110">
        <f t="shared" si="17"/>
        <v>6.9000000000000006E-2</v>
      </c>
      <c r="Q170" s="53" t="str">
        <f>VLOOKUP($C170,[4]Sheet2!$D:$J,5,0)</f>
        <v>56</v>
      </c>
      <c r="R170" s="53" t="str">
        <f>VLOOKUP($C170,[4]Sheet2!$D:$J,6,0)</f>
        <v>3,000.000</v>
      </c>
      <c r="S170" s="53" t="str">
        <f>VLOOKUP($C170,[4]Sheet2!$D:$J,7,0)</f>
        <v>3,000.000</v>
      </c>
      <c r="T170" s="110" t="s">
        <v>37</v>
      </c>
    </row>
    <row r="171" spans="1:20" x14ac:dyDescent="0.25">
      <c r="A171" s="100"/>
      <c r="B171" s="100">
        <v>170</v>
      </c>
      <c r="C171" s="104">
        <v>10140009195</v>
      </c>
      <c r="D171" s="102" t="s">
        <v>612</v>
      </c>
      <c r="E171" s="102" t="s">
        <v>613</v>
      </c>
      <c r="F171" s="103" t="s">
        <v>522</v>
      </c>
      <c r="G171" s="101">
        <v>1</v>
      </c>
      <c r="H171" s="102" t="s">
        <v>614</v>
      </c>
      <c r="I171" s="105" t="s">
        <v>42</v>
      </c>
      <c r="J171" s="74"/>
      <c r="K171" s="53">
        <f>VLOOKUP($C171,[4]Sheet2!$D:$J,3,0)</f>
        <v>0.1105</v>
      </c>
      <c r="L171" s="53" t="str">
        <f>VLOOKUP($C171,[4]Sheet2!$D:$J,4,0)</f>
        <v>CNY</v>
      </c>
      <c r="M171" s="53" t="str">
        <f>VLOOKUP($C171,[4]Sheet2!$D:$J,2,0)</f>
        <v>深圳市铭祥达电子有限公司</v>
      </c>
      <c r="N171" s="53">
        <f t="shared" si="16"/>
        <v>0.1105</v>
      </c>
      <c r="Q171" s="53" t="str">
        <f>VLOOKUP($C171,[4]Sheet2!$D:$J,5,0)</f>
        <v>98</v>
      </c>
      <c r="R171" s="53" t="str">
        <f>VLOOKUP($C171,[4]Sheet2!$D:$J,6,0)</f>
        <v>7,200.000</v>
      </c>
      <c r="S171" s="53" t="str">
        <f>VLOOKUP($C171,[4]Sheet2!$D:$J,7,0)</f>
        <v>1,800.000</v>
      </c>
    </row>
    <row r="172" spans="1:20" x14ac:dyDescent="0.25">
      <c r="A172" s="100">
        <v>64</v>
      </c>
      <c r="B172" s="100">
        <v>171</v>
      </c>
      <c r="C172" s="104">
        <v>10140013896</v>
      </c>
      <c r="D172" s="102" t="s">
        <v>612</v>
      </c>
      <c r="E172" s="102" t="s">
        <v>615</v>
      </c>
      <c r="F172" s="103" t="s">
        <v>616</v>
      </c>
      <c r="G172" s="101">
        <v>1</v>
      </c>
      <c r="H172" s="102" t="s">
        <v>614</v>
      </c>
      <c r="I172" s="105"/>
      <c r="J172" s="74"/>
      <c r="K172" s="53">
        <f>VLOOKUP($C172,[4]Sheet2!$D:$J,3,0)</f>
        <v>5.8000000000000003E-2</v>
      </c>
      <c r="L172" s="53" t="str">
        <f>VLOOKUP($C172,[4]Sheet2!$D:$J,4,0)</f>
        <v>CNY</v>
      </c>
      <c r="M172" s="53" t="str">
        <f>VLOOKUP($C172,[4]Sheet2!$D:$J,2,0)</f>
        <v>深圳翰世宇科技有限公司</v>
      </c>
      <c r="N172" s="53">
        <f t="shared" si="16"/>
        <v>5.8000000000000003E-2</v>
      </c>
      <c r="O172" s="110">
        <f>N172*G172</f>
        <v>5.8000000000000003E-2</v>
      </c>
      <c r="Q172" s="53" t="str">
        <f>VLOOKUP($C172,[4]Sheet2!$D:$J,5,0)</f>
        <v>56</v>
      </c>
      <c r="R172" s="53" t="str">
        <f>VLOOKUP($C172,[4]Sheet2!$D:$J,6,0)</f>
        <v>5,000.000</v>
      </c>
      <c r="S172" s="53" t="str">
        <f>VLOOKUP($C172,[4]Sheet2!$D:$J,7,0)</f>
        <v>5,000.000</v>
      </c>
      <c r="T172" s="110" t="s">
        <v>37</v>
      </c>
    </row>
    <row r="173" spans="1:20" x14ac:dyDescent="0.25">
      <c r="A173" s="100">
        <v>65</v>
      </c>
      <c r="B173" s="100">
        <v>172</v>
      </c>
      <c r="C173" s="101">
        <v>1023</v>
      </c>
      <c r="D173" s="102" t="s">
        <v>276</v>
      </c>
      <c r="E173" s="247" t="s">
        <v>683</v>
      </c>
      <c r="F173" s="103" t="s">
        <v>684</v>
      </c>
      <c r="G173" s="101">
        <v>1</v>
      </c>
      <c r="H173" s="247" t="s">
        <v>164</v>
      </c>
      <c r="I173" s="105"/>
      <c r="J173" s="74"/>
      <c r="K173" s="53" t="e">
        <f>VLOOKUP($C173,[4]Sheet2!$D:$J,3,0)</f>
        <v>#N/A</v>
      </c>
      <c r="L173" s="53" t="e">
        <f>VLOOKUP($C173,[4]Sheet2!$D:$J,4,0)</f>
        <v>#N/A</v>
      </c>
      <c r="M173" s="53" t="e">
        <f>VLOOKUP($C173,[4]Sheet2!$D:$J,2,0)</f>
        <v>#N/A</v>
      </c>
      <c r="N173" s="53">
        <f>0.46*1.05</f>
        <v>0.48299999999999998</v>
      </c>
      <c r="O173" s="110">
        <f>N173*G173</f>
        <v>0.48299999999999998</v>
      </c>
      <c r="Q173" s="53" t="e">
        <f>VLOOKUP($C173,[4]Sheet2!$D:$J,5,0)</f>
        <v>#N/A</v>
      </c>
      <c r="R173" s="53" t="e">
        <f>VLOOKUP($C173,[4]Sheet2!$D:$J,6,0)</f>
        <v>#N/A</v>
      </c>
      <c r="S173" s="53" t="e">
        <f>VLOOKUP($C173,[4]Sheet2!$D:$J,7,0)</f>
        <v>#N/A</v>
      </c>
      <c r="T173" s="110" t="s">
        <v>37</v>
      </c>
    </row>
    <row r="174" spans="1:20" x14ac:dyDescent="0.25">
      <c r="A174" s="121"/>
      <c r="B174" s="121"/>
      <c r="C174" s="104"/>
      <c r="D174" s="102"/>
      <c r="E174" s="102"/>
      <c r="F174" s="103"/>
      <c r="G174" s="101"/>
      <c r="H174" s="102"/>
      <c r="I174" s="105"/>
      <c r="J174" s="74"/>
      <c r="O174" s="53">
        <f>SUM(O1:O173)</f>
        <v>38.303471999999992</v>
      </c>
    </row>
  </sheetData>
  <phoneticPr fontId="5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74"/>
  <sheetViews>
    <sheetView workbookViewId="0">
      <selection activeCell="M24" sqref="M24"/>
    </sheetView>
  </sheetViews>
  <sheetFormatPr defaultColWidth="9" defaultRowHeight="14.4" x14ac:dyDescent="0.25"/>
  <cols>
    <col min="1" max="1" width="8.88671875" style="54"/>
    <col min="2" max="2" width="13.6640625" style="55" customWidth="1"/>
    <col min="3" max="3" width="15.77734375" style="56" customWidth="1"/>
    <col min="4" max="4" width="45" style="56" customWidth="1"/>
    <col min="5" max="5" width="17.6640625" style="56" customWidth="1"/>
    <col min="6" max="6" width="10" style="55" customWidth="1"/>
    <col min="7" max="7" width="7.6640625" style="56" customWidth="1"/>
    <col min="8" max="8" width="9" style="57" customWidth="1"/>
    <col min="9" max="11" width="9" style="53" customWidth="1"/>
    <col min="12" max="12" width="9" style="58" customWidth="1"/>
    <col min="13" max="13" width="9" style="53"/>
    <col min="14" max="14" width="9" style="53" customWidth="1"/>
    <col min="15" max="15" width="9" style="58" customWidth="1"/>
    <col min="16" max="18" width="9" style="53" customWidth="1"/>
    <col min="20" max="16384" width="9" style="53"/>
  </cols>
  <sheetData>
    <row r="1" spans="1:19" ht="43.2" x14ac:dyDescent="0.25">
      <c r="A1" s="59" t="s">
        <v>685</v>
      </c>
      <c r="B1" s="59" t="s">
        <v>686</v>
      </c>
      <c r="C1" s="60" t="s">
        <v>687</v>
      </c>
      <c r="D1" s="61" t="s">
        <v>688</v>
      </c>
      <c r="E1" s="61" t="s">
        <v>689</v>
      </c>
      <c r="F1" s="59" t="s">
        <v>690</v>
      </c>
      <c r="G1" s="61" t="s">
        <v>691</v>
      </c>
      <c r="H1" s="60" t="s">
        <v>692</v>
      </c>
      <c r="I1" s="60" t="s">
        <v>28</v>
      </c>
      <c r="J1" s="73" t="s">
        <v>29</v>
      </c>
      <c r="K1" s="73" t="s">
        <v>30</v>
      </c>
      <c r="L1" s="73" t="s">
        <v>31</v>
      </c>
      <c r="M1" s="73" t="s">
        <v>32</v>
      </c>
      <c r="N1" s="73" t="s">
        <v>33</v>
      </c>
      <c r="O1" s="73" t="s">
        <v>27</v>
      </c>
      <c r="P1" s="73" t="s">
        <v>286</v>
      </c>
      <c r="Q1" s="73" t="s">
        <v>35</v>
      </c>
      <c r="R1" s="73" t="s">
        <v>36</v>
      </c>
      <c r="S1" s="85" t="s">
        <v>37</v>
      </c>
    </row>
    <row r="2" spans="1:19" x14ac:dyDescent="0.25">
      <c r="A2" s="62">
        <v>1</v>
      </c>
      <c r="B2" s="63" t="s">
        <v>693</v>
      </c>
      <c r="C2" s="64" t="s">
        <v>550</v>
      </c>
      <c r="D2" s="64" t="s">
        <v>694</v>
      </c>
      <c r="E2" s="65" t="s">
        <v>695</v>
      </c>
      <c r="F2" s="63">
        <v>1</v>
      </c>
      <c r="G2" s="64" t="s">
        <v>550</v>
      </c>
      <c r="H2" s="66" t="s">
        <v>42</v>
      </c>
      <c r="I2" s="74" t="s">
        <v>43</v>
      </c>
      <c r="J2" s="75" t="e">
        <f>VLOOKUP($B2,[5]SAP!$D:$X,12,0)</f>
        <v>#N/A</v>
      </c>
      <c r="K2" s="75" t="e">
        <f>VLOOKUP($B2,[5]SAP!$D:$X,19,0)</f>
        <v>#N/A</v>
      </c>
      <c r="L2" s="58" t="e">
        <f>VLOOKUP($B2,[5]SAP!$D:$X,8,0)</f>
        <v>#N/A</v>
      </c>
      <c r="M2" s="75">
        <f>157*103*282/1000000</f>
        <v>4.5602220000000004</v>
      </c>
      <c r="N2" s="75">
        <f t="shared" ref="N2:N6" si="0">M2*F2</f>
        <v>4.5602220000000004</v>
      </c>
      <c r="O2" s="75"/>
      <c r="P2" s="75" t="e">
        <f>VLOOKUP($B2,[5]SAP!$D:$X,17,0)</f>
        <v>#N/A</v>
      </c>
      <c r="Q2" s="75" t="e">
        <f>VLOOKUP($B2,[5]SAP!$D:$X,21,0)</f>
        <v>#N/A</v>
      </c>
      <c r="R2" s="75" t="e">
        <f>VLOOKUP($B2,[5]SAP!$D:$X,20,0)</f>
        <v>#N/A</v>
      </c>
      <c r="S2" s="86" t="s">
        <v>37</v>
      </c>
    </row>
    <row r="3" spans="1:19" x14ac:dyDescent="0.25">
      <c r="A3" s="62">
        <v>2</v>
      </c>
      <c r="B3" s="63">
        <v>1015</v>
      </c>
      <c r="C3" s="64" t="s">
        <v>198</v>
      </c>
      <c r="D3" s="64" t="s">
        <v>199</v>
      </c>
      <c r="E3" s="64" t="s">
        <v>696</v>
      </c>
      <c r="F3" s="63">
        <v>1</v>
      </c>
      <c r="G3" s="248" t="s">
        <v>201</v>
      </c>
      <c r="H3" s="67" t="s">
        <v>697</v>
      </c>
      <c r="I3" s="74"/>
      <c r="J3" s="75" t="e">
        <f>VLOOKUP($B3,[5]SAP!$D:$X,12,0)</f>
        <v>#N/A</v>
      </c>
      <c r="K3" s="75" t="e">
        <f>VLOOKUP($B3,[5]SAP!$D:$X,19,0)</f>
        <v>#N/A</v>
      </c>
      <c r="L3" s="58" t="e">
        <f>VLOOKUP($B3,[5]SAP!$D:$X,8,0)</f>
        <v>#N/A</v>
      </c>
      <c r="M3" s="75">
        <v>5.89</v>
      </c>
      <c r="N3" s="75">
        <f t="shared" si="0"/>
        <v>5.89</v>
      </c>
      <c r="O3" s="75"/>
      <c r="P3" s="75" t="e">
        <f>VLOOKUP($B3,[5]SAP!$D:$X,17,0)</f>
        <v>#N/A</v>
      </c>
      <c r="Q3" s="75" t="e">
        <f>VLOOKUP($B3,[5]SAP!$D:$X,21,0)</f>
        <v>#N/A</v>
      </c>
      <c r="R3" s="75" t="e">
        <f>VLOOKUP($B3,[5]SAP!$D:$X,20,0)</f>
        <v>#N/A</v>
      </c>
      <c r="S3" s="86" t="s">
        <v>37</v>
      </c>
    </row>
    <row r="4" spans="1:19" x14ac:dyDescent="0.25">
      <c r="A4" s="62">
        <v>3</v>
      </c>
      <c r="B4" s="63">
        <v>1015</v>
      </c>
      <c r="C4" s="64" t="s">
        <v>293</v>
      </c>
      <c r="D4" s="64" t="s">
        <v>294</v>
      </c>
      <c r="E4" s="64" t="s">
        <v>295</v>
      </c>
      <c r="F4" s="63">
        <v>1</v>
      </c>
      <c r="G4" s="64" t="s">
        <v>537</v>
      </c>
      <c r="H4" s="67" t="s">
        <v>118</v>
      </c>
      <c r="I4" s="74"/>
      <c r="J4" s="75" t="e">
        <f>VLOOKUP($B4,[5]SAP!$D:$X,12,0)</f>
        <v>#N/A</v>
      </c>
      <c r="K4" s="75" t="e">
        <f>VLOOKUP($B4,[5]SAP!$D:$X,19,0)</f>
        <v>#N/A</v>
      </c>
      <c r="L4" s="58" t="e">
        <f>VLOOKUP($B4,[5]SAP!$D:$X,8,0)</f>
        <v>#N/A</v>
      </c>
      <c r="M4" s="75">
        <v>0.14000000000000001</v>
      </c>
      <c r="N4" s="75">
        <f t="shared" si="0"/>
        <v>0.14000000000000001</v>
      </c>
      <c r="O4" s="75"/>
      <c r="P4" s="75" t="e">
        <f>VLOOKUP($B4,[5]SAP!$D:$X,17,0)</f>
        <v>#N/A</v>
      </c>
      <c r="Q4" s="75" t="e">
        <f>VLOOKUP($B4,[5]SAP!$D:$X,21,0)</f>
        <v>#N/A</v>
      </c>
      <c r="R4" s="75" t="e">
        <f>VLOOKUP($B4,[5]SAP!$D:$X,20,0)</f>
        <v>#N/A</v>
      </c>
      <c r="S4" s="86" t="s">
        <v>37</v>
      </c>
    </row>
    <row r="5" spans="1:19" x14ac:dyDescent="0.25">
      <c r="A5" s="62">
        <v>4</v>
      </c>
      <c r="B5" s="63" t="s">
        <v>693</v>
      </c>
      <c r="C5" s="64" t="s">
        <v>698</v>
      </c>
      <c r="D5" s="64" t="s">
        <v>552</v>
      </c>
      <c r="E5" s="64" t="s">
        <v>699</v>
      </c>
      <c r="F5" s="63">
        <v>1</v>
      </c>
      <c r="G5" s="248" t="s">
        <v>553</v>
      </c>
      <c r="H5" s="67" t="s">
        <v>697</v>
      </c>
      <c r="I5" s="74"/>
      <c r="J5" s="75" t="e">
        <f>VLOOKUP($B5,[5]SAP!$D:$X,12,0)</f>
        <v>#N/A</v>
      </c>
      <c r="K5" s="75" t="e">
        <f>VLOOKUP($B5,[5]SAP!$D:$X,19,0)</f>
        <v>#N/A</v>
      </c>
      <c r="L5" s="58" t="e">
        <f>VLOOKUP($B5,[5]SAP!$D:$X,8,0)</f>
        <v>#N/A</v>
      </c>
      <c r="M5" s="75">
        <v>0.3</v>
      </c>
      <c r="N5" s="75">
        <f t="shared" si="0"/>
        <v>0.3</v>
      </c>
      <c r="O5" s="76"/>
      <c r="P5" s="75" t="e">
        <f>VLOOKUP($B5,[5]SAP!$D:$X,17,0)</f>
        <v>#N/A</v>
      </c>
      <c r="Q5" s="75" t="e">
        <f>VLOOKUP($B5,[5]SAP!$D:$X,21,0)</f>
        <v>#N/A</v>
      </c>
      <c r="R5" s="75" t="e">
        <f>VLOOKUP($B5,[5]SAP!$D:$X,20,0)</f>
        <v>#N/A</v>
      </c>
      <c r="S5" s="86" t="s">
        <v>37</v>
      </c>
    </row>
    <row r="6" spans="1:19" x14ac:dyDescent="0.25">
      <c r="A6" s="62">
        <v>5</v>
      </c>
      <c r="B6" s="68">
        <v>10110016349</v>
      </c>
      <c r="C6" s="64" t="s">
        <v>700</v>
      </c>
      <c r="D6" s="64" t="s">
        <v>298</v>
      </c>
      <c r="E6" s="69" t="s">
        <v>701</v>
      </c>
      <c r="F6" s="63">
        <v>22</v>
      </c>
      <c r="G6" s="64" t="s">
        <v>554</v>
      </c>
      <c r="H6" s="70" t="s">
        <v>42</v>
      </c>
      <c r="I6" s="74"/>
      <c r="J6" s="75">
        <f>VLOOKUP($B6,[5]SAP!$D:$X,12,0)</f>
        <v>4.0899999999999999E-3</v>
      </c>
      <c r="K6" s="75" t="str">
        <f>VLOOKUP($B6,[5]SAP!$D:$X,19,0)</f>
        <v>CNY</v>
      </c>
      <c r="L6" s="58" t="str">
        <f>VLOOKUP($B6,[5]SAP!$D:$X,8,0)</f>
        <v>广东顺德集财电子有限公司</v>
      </c>
      <c r="M6" s="75">
        <f t="shared" ref="M6:M9" si="1">J6</f>
        <v>4.0899999999999999E-3</v>
      </c>
      <c r="N6" s="75">
        <f t="shared" si="0"/>
        <v>8.9980000000000004E-2</v>
      </c>
      <c r="O6" s="75"/>
      <c r="P6" s="75">
        <f>VLOOKUP($B6,[5]SAP!$D:$X,17,0)</f>
        <v>56</v>
      </c>
      <c r="Q6" s="75">
        <f>VLOOKUP($B6,[5]SAP!$D:$X,21,0)</f>
        <v>10000</v>
      </c>
      <c r="R6" s="75">
        <f>VLOOKUP($B6,[5]SAP!$D:$X,20,0)</f>
        <v>10000</v>
      </c>
      <c r="S6" s="86" t="s">
        <v>37</v>
      </c>
    </row>
    <row r="7" spans="1:19" ht="26.4" x14ac:dyDescent="0.25">
      <c r="A7" s="62"/>
      <c r="B7" s="68">
        <v>10110006771</v>
      </c>
      <c r="C7" s="64" t="s">
        <v>702</v>
      </c>
      <c r="D7" s="64" t="s">
        <v>302</v>
      </c>
      <c r="E7" s="69" t="s">
        <v>703</v>
      </c>
      <c r="F7" s="63">
        <v>22</v>
      </c>
      <c r="G7" s="64" t="s">
        <v>554</v>
      </c>
      <c r="H7" s="67"/>
      <c r="I7" s="74"/>
      <c r="J7" s="75">
        <f>VLOOKUP($B7,[5]SAP!$D:$X,12,0)</f>
        <v>4.9500000000000004E-3</v>
      </c>
      <c r="K7" s="75" t="str">
        <f>VLOOKUP($B7,[5]SAP!$D:$X,19,0)</f>
        <v>CNY</v>
      </c>
      <c r="L7" s="58" t="str">
        <f>VLOOKUP($B7,[5]SAP!$D:$X,8,0)</f>
        <v>深圳市奥特高科电子有限公司</v>
      </c>
      <c r="M7" s="75">
        <f t="shared" si="1"/>
        <v>4.9500000000000004E-3</v>
      </c>
      <c r="N7" s="75"/>
      <c r="O7" s="75"/>
      <c r="P7" s="75">
        <f>VLOOKUP($B7,[5]SAP!$D:$X,17,0)</f>
        <v>56</v>
      </c>
      <c r="Q7" s="75">
        <f>VLOOKUP($B7,[5]SAP!$D:$X,21,0)</f>
        <v>10000</v>
      </c>
      <c r="R7" s="75">
        <f>VLOOKUP($B7,[5]SAP!$D:$X,20,0)</f>
        <v>10000</v>
      </c>
      <c r="S7" s="86" t="s">
        <v>225</v>
      </c>
    </row>
    <row r="8" spans="1:19" x14ac:dyDescent="0.25">
      <c r="A8" s="62"/>
      <c r="B8" s="68">
        <v>10110008257</v>
      </c>
      <c r="C8" s="64" t="s">
        <v>700</v>
      </c>
      <c r="D8" s="64" t="s">
        <v>304</v>
      </c>
      <c r="E8" s="69" t="s">
        <v>704</v>
      </c>
      <c r="F8" s="63">
        <v>22</v>
      </c>
      <c r="G8" s="64" t="s">
        <v>554</v>
      </c>
      <c r="H8" s="70" t="s">
        <v>42</v>
      </c>
      <c r="I8" s="74"/>
      <c r="J8" s="75">
        <f>VLOOKUP($B8,[5]SAP!$D:$X,12,0)</f>
        <v>4.5999999999999999E-3</v>
      </c>
      <c r="K8" s="75" t="str">
        <f>VLOOKUP($B8,[5]SAP!$D:$X,19,0)</f>
        <v>CNY</v>
      </c>
      <c r="L8" s="58" t="str">
        <f>VLOOKUP($B8,[5]SAP!$D:$X,8,0)</f>
        <v>深圳市兴鸿宇科技有限公司</v>
      </c>
      <c r="M8" s="75">
        <f t="shared" si="1"/>
        <v>4.5999999999999999E-3</v>
      </c>
      <c r="N8" s="75"/>
      <c r="O8" s="75"/>
      <c r="P8" s="75">
        <f>VLOOKUP($B8,[5]SAP!$D:$X,17,0)</f>
        <v>56</v>
      </c>
      <c r="Q8" s="75">
        <f>VLOOKUP($B8,[5]SAP!$D:$X,21,0)</f>
        <v>10000</v>
      </c>
      <c r="R8" s="75">
        <f>VLOOKUP($B8,[5]SAP!$D:$X,20,0)</f>
        <v>10000</v>
      </c>
      <c r="S8" s="86" t="s">
        <v>225</v>
      </c>
    </row>
    <row r="9" spans="1:19" x14ac:dyDescent="0.25">
      <c r="A9" s="62"/>
      <c r="B9" s="68">
        <v>10110008724</v>
      </c>
      <c r="C9" s="64" t="s">
        <v>700</v>
      </c>
      <c r="D9" s="64" t="s">
        <v>306</v>
      </c>
      <c r="E9" s="69" t="s">
        <v>705</v>
      </c>
      <c r="F9" s="63">
        <v>22</v>
      </c>
      <c r="G9" s="64" t="s">
        <v>554</v>
      </c>
      <c r="H9" s="67"/>
      <c r="I9" s="74"/>
      <c r="J9" s="75">
        <f>VLOOKUP($B9,[5]SAP!$D:$X,12,0)</f>
        <v>4.1000000000000003E-3</v>
      </c>
      <c r="K9" s="75" t="str">
        <f>VLOOKUP($B9,[5]SAP!$D:$X,19,0)</f>
        <v>CNY</v>
      </c>
      <c r="L9" s="58" t="str">
        <f>VLOOKUP($B9,[5]SAP!$D:$X,8,0)</f>
        <v>广东顺德集财电子有限公司</v>
      </c>
      <c r="M9" s="75">
        <f t="shared" si="1"/>
        <v>4.1000000000000003E-3</v>
      </c>
      <c r="N9" s="75"/>
      <c r="O9" s="75"/>
      <c r="P9" s="75">
        <f>VLOOKUP($B9,[5]SAP!$D:$X,17,0)</f>
        <v>56</v>
      </c>
      <c r="Q9" s="75">
        <f>VLOOKUP($B9,[5]SAP!$D:$X,21,0)</f>
        <v>10000</v>
      </c>
      <c r="R9" s="75">
        <f>VLOOKUP($B9,[5]SAP!$D:$X,20,0)</f>
        <v>10000</v>
      </c>
      <c r="S9" s="86" t="s">
        <v>225</v>
      </c>
    </row>
    <row r="10" spans="1:19" x14ac:dyDescent="0.25">
      <c r="A10" s="62">
        <v>6</v>
      </c>
      <c r="B10" s="63" t="s">
        <v>693</v>
      </c>
      <c r="C10" s="64" t="s">
        <v>706</v>
      </c>
      <c r="D10" s="64" t="s">
        <v>203</v>
      </c>
      <c r="E10" s="71" t="s">
        <v>204</v>
      </c>
      <c r="F10" s="63">
        <v>4</v>
      </c>
      <c r="G10" s="64" t="s">
        <v>205</v>
      </c>
      <c r="H10" s="70" t="s">
        <v>42</v>
      </c>
      <c r="I10" s="74"/>
      <c r="J10" s="75" t="e">
        <f>VLOOKUP($B10,[5]SAP!$D:$X,12,0)</f>
        <v>#N/A</v>
      </c>
      <c r="K10" s="75" t="e">
        <f>VLOOKUP($B10,[5]SAP!$D:$X,19,0)</f>
        <v>#N/A</v>
      </c>
      <c r="L10" s="58" t="e">
        <f>VLOOKUP($B10,[5]SAP!$D:$X,8,0)</f>
        <v>#N/A</v>
      </c>
      <c r="M10" s="75">
        <v>0.188</v>
      </c>
      <c r="N10" s="75">
        <f t="shared" ref="N10:N18" si="2">M10*F10</f>
        <v>0.752</v>
      </c>
      <c r="O10" s="76" t="s">
        <v>206</v>
      </c>
      <c r="P10" s="75" t="e">
        <f>VLOOKUP($B10,[5]SAP!$D:$X,17,0)</f>
        <v>#N/A</v>
      </c>
      <c r="Q10" s="75" t="e">
        <f>VLOOKUP($B10,[5]SAP!$D:$X,21,0)</f>
        <v>#N/A</v>
      </c>
      <c r="R10" s="75" t="e">
        <f>VLOOKUP($B10,[5]SAP!$D:$X,20,0)</f>
        <v>#N/A</v>
      </c>
      <c r="S10" s="86" t="s">
        <v>37</v>
      </c>
    </row>
    <row r="11" spans="1:19" x14ac:dyDescent="0.25">
      <c r="A11" s="62">
        <v>7</v>
      </c>
      <c r="B11" s="68">
        <v>10110008934</v>
      </c>
      <c r="C11" s="64" t="s">
        <v>700</v>
      </c>
      <c r="D11" s="64" t="s">
        <v>309</v>
      </c>
      <c r="E11" s="69" t="s">
        <v>705</v>
      </c>
      <c r="F11" s="63">
        <v>1</v>
      </c>
      <c r="G11" s="248" t="s">
        <v>310</v>
      </c>
      <c r="H11" s="67"/>
      <c r="I11" s="74"/>
      <c r="J11" s="75">
        <f>VLOOKUP($B11,[5]SAP!$D:$X,12,0)</f>
        <v>9.8000000000000004E-2</v>
      </c>
      <c r="K11" s="75" t="str">
        <f>VLOOKUP($B11,[5]SAP!$D:$X,19,0)</f>
        <v>CNY</v>
      </c>
      <c r="L11" s="58" t="str">
        <f>VLOOKUP($B11,[5]SAP!$D:$X,8,0)</f>
        <v>广东顺德集财电子有限公司</v>
      </c>
      <c r="M11" s="75">
        <f t="shared" ref="M11:M13" si="3">J11</f>
        <v>9.8000000000000004E-2</v>
      </c>
      <c r="N11" s="75"/>
      <c r="O11" s="75"/>
      <c r="P11" s="75">
        <f>VLOOKUP($B11,[5]SAP!$D:$X,17,0)</f>
        <v>56</v>
      </c>
      <c r="Q11" s="75">
        <f>VLOOKUP($B11,[5]SAP!$D:$X,21,0)</f>
        <v>2000</v>
      </c>
      <c r="R11" s="75">
        <f>VLOOKUP($B11,[5]SAP!$D:$X,20,0)</f>
        <v>2000</v>
      </c>
      <c r="S11" s="86" t="s">
        <v>225</v>
      </c>
    </row>
    <row r="12" spans="1:19" x14ac:dyDescent="0.25">
      <c r="A12" s="62"/>
      <c r="B12" s="68">
        <v>10110009071</v>
      </c>
      <c r="C12" s="64" t="s">
        <v>700</v>
      </c>
      <c r="D12" s="64" t="s">
        <v>311</v>
      </c>
      <c r="E12" s="69" t="s">
        <v>704</v>
      </c>
      <c r="F12" s="63">
        <v>1</v>
      </c>
      <c r="G12" s="248" t="s">
        <v>310</v>
      </c>
      <c r="H12" s="70" t="s">
        <v>42</v>
      </c>
      <c r="I12" s="74"/>
      <c r="J12" s="75">
        <f>VLOOKUP($B12,[5]SAP!$D:$X,12,0)</f>
        <v>0.16964000000000001</v>
      </c>
      <c r="K12" s="75" t="str">
        <f>VLOOKUP($B12,[5]SAP!$D:$X,19,0)</f>
        <v>CNY</v>
      </c>
      <c r="L12" s="58" t="str">
        <f>VLOOKUP($B12,[5]SAP!$D:$X,8,0)</f>
        <v>东莞华科电子有限公司</v>
      </c>
      <c r="M12" s="75">
        <f t="shared" si="3"/>
        <v>0.16964000000000001</v>
      </c>
      <c r="N12" s="75"/>
      <c r="O12" s="75"/>
      <c r="P12" s="75">
        <f>VLOOKUP($B12,[5]SAP!$D:$X,17,0)</f>
        <v>84</v>
      </c>
      <c r="Q12" s="75">
        <f>VLOOKUP($B12,[5]SAP!$D:$X,21,0)</f>
        <v>3000</v>
      </c>
      <c r="R12" s="75">
        <f>VLOOKUP($B12,[5]SAP!$D:$X,20,0)</f>
        <v>3000</v>
      </c>
      <c r="S12" s="86" t="s">
        <v>225</v>
      </c>
    </row>
    <row r="13" spans="1:19" x14ac:dyDescent="0.25">
      <c r="A13" s="62"/>
      <c r="B13" s="68">
        <v>10110024666</v>
      </c>
      <c r="C13" s="64" t="s">
        <v>700</v>
      </c>
      <c r="D13" s="64" t="s">
        <v>312</v>
      </c>
      <c r="E13" s="69" t="s">
        <v>707</v>
      </c>
      <c r="F13" s="63">
        <v>1</v>
      </c>
      <c r="G13" s="248" t="s">
        <v>310</v>
      </c>
      <c r="H13" s="70" t="s">
        <v>42</v>
      </c>
      <c r="I13" s="74"/>
      <c r="J13" s="75">
        <f>VLOOKUP($B13,[5]SAP!$D:$X,12,0)</f>
        <v>6.7000000000000004E-2</v>
      </c>
      <c r="K13" s="75" t="str">
        <f>VLOOKUP($B13,[5]SAP!$D:$X,19,0)</f>
        <v>CNY</v>
      </c>
      <c r="L13" s="58" t="str">
        <f>VLOOKUP($B13,[5]SAP!$D:$X,8,0)</f>
        <v>深圳市阳和通电子有限公司</v>
      </c>
      <c r="M13" s="75">
        <f t="shared" si="3"/>
        <v>6.7000000000000004E-2</v>
      </c>
      <c r="N13" s="75">
        <f t="shared" si="2"/>
        <v>6.7000000000000004E-2</v>
      </c>
      <c r="O13" s="75"/>
      <c r="P13" s="75">
        <f>VLOOKUP($B13,[5]SAP!$D:$X,17,0)</f>
        <v>56</v>
      </c>
      <c r="Q13" s="75">
        <f>VLOOKUP($B13,[5]SAP!$D:$X,21,0)</f>
        <v>2000</v>
      </c>
      <c r="R13" s="75">
        <f>VLOOKUP($B13,[5]SAP!$D:$X,20,0)</f>
        <v>2000</v>
      </c>
      <c r="S13" s="86" t="s">
        <v>37</v>
      </c>
    </row>
    <row r="14" spans="1:19" x14ac:dyDescent="0.25">
      <c r="A14" s="62">
        <v>8</v>
      </c>
      <c r="B14" s="63" t="s">
        <v>693</v>
      </c>
      <c r="C14" s="64" t="s">
        <v>708</v>
      </c>
      <c r="D14" s="248" t="s">
        <v>709</v>
      </c>
      <c r="E14" s="71" t="s">
        <v>209</v>
      </c>
      <c r="F14" s="63">
        <v>3</v>
      </c>
      <c r="G14" s="248" t="s">
        <v>710</v>
      </c>
      <c r="H14" s="70" t="s">
        <v>42</v>
      </c>
      <c r="I14" s="74"/>
      <c r="J14" s="75" t="e">
        <f>VLOOKUP($B14,[5]SAP!$D:$X,12,0)</f>
        <v>#N/A</v>
      </c>
      <c r="K14" s="75" t="e">
        <f>VLOOKUP($B14,[5]SAP!$D:$X,19,0)</f>
        <v>#N/A</v>
      </c>
      <c r="L14" s="58" t="e">
        <f>VLOOKUP($B14,[5]SAP!$D:$X,8,0)</f>
        <v>#N/A</v>
      </c>
      <c r="M14" s="75">
        <v>0.73450000000000004</v>
      </c>
      <c r="N14" s="75">
        <f t="shared" si="2"/>
        <v>2.2035</v>
      </c>
      <c r="O14" s="76" t="s">
        <v>538</v>
      </c>
      <c r="P14" s="75" t="e">
        <f>VLOOKUP($B14,[5]SAP!$D:$X,17,0)</f>
        <v>#N/A</v>
      </c>
      <c r="Q14" s="75" t="e">
        <f>VLOOKUP($B14,[5]SAP!$D:$X,21,0)</f>
        <v>#N/A</v>
      </c>
      <c r="R14" s="75" t="e">
        <f>VLOOKUP($B14,[5]SAP!$D:$X,20,0)</f>
        <v>#N/A</v>
      </c>
      <c r="S14" s="86" t="s">
        <v>37</v>
      </c>
    </row>
    <row r="15" spans="1:19" x14ac:dyDescent="0.25">
      <c r="A15" s="62">
        <v>9</v>
      </c>
      <c r="B15" s="68">
        <v>10110014746</v>
      </c>
      <c r="C15" s="64" t="s">
        <v>711</v>
      </c>
      <c r="D15" s="64" t="s">
        <v>712</v>
      </c>
      <c r="E15" s="69" t="s">
        <v>713</v>
      </c>
      <c r="F15" s="63">
        <v>2</v>
      </c>
      <c r="G15" s="248" t="s">
        <v>319</v>
      </c>
      <c r="H15" s="67"/>
      <c r="I15" s="74"/>
      <c r="J15" s="75">
        <f>VLOOKUP($B15,[5]SAP!$D:$X,12,0)</f>
        <v>0.23311999999999999</v>
      </c>
      <c r="K15" s="75" t="str">
        <f>VLOOKUP($B15,[5]SAP!$D:$X,19,0)</f>
        <v>CNY</v>
      </c>
      <c r="L15" s="58" t="str">
        <f>VLOOKUP($B15,[5]SAP!$D:$X,8,0)</f>
        <v>汕头保税区松田电子科技有限公司</v>
      </c>
      <c r="M15" s="75">
        <f t="shared" ref="M15:M33" si="4">J15</f>
        <v>0.23311999999999999</v>
      </c>
      <c r="N15" s="75">
        <f t="shared" si="2"/>
        <v>0.46623999999999999</v>
      </c>
      <c r="O15" s="75"/>
      <c r="P15" s="75">
        <f>VLOOKUP($B15,[5]SAP!$D:$X,17,0)</f>
        <v>28</v>
      </c>
      <c r="Q15" s="75">
        <f>VLOOKUP($B15,[5]SAP!$D:$X,21,0)</f>
        <v>1000</v>
      </c>
      <c r="R15" s="75">
        <f>VLOOKUP($B15,[5]SAP!$D:$X,20,0)</f>
        <v>1000</v>
      </c>
      <c r="S15" s="86" t="s">
        <v>37</v>
      </c>
    </row>
    <row r="16" spans="1:19" x14ac:dyDescent="0.25">
      <c r="A16" s="62">
        <v>10</v>
      </c>
      <c r="B16" s="63" t="s">
        <v>693</v>
      </c>
      <c r="C16" s="248" t="s">
        <v>714</v>
      </c>
      <c r="D16" s="248" t="s">
        <v>715</v>
      </c>
      <c r="E16" s="67" t="s">
        <v>716</v>
      </c>
      <c r="F16" s="63">
        <v>2</v>
      </c>
      <c r="G16" s="248" t="s">
        <v>560</v>
      </c>
      <c r="H16" s="70" t="s">
        <v>42</v>
      </c>
      <c r="I16" s="74"/>
      <c r="J16" s="75" t="e">
        <f>VLOOKUP($B16,[5]SAP!$D:$X,12,0)</f>
        <v>#N/A</v>
      </c>
      <c r="K16" s="75" t="e">
        <f>VLOOKUP($B16,[5]SAP!$D:$X,19,0)</f>
        <v>#N/A</v>
      </c>
      <c r="L16" s="58" t="e">
        <f>VLOOKUP($B16,[5]SAP!$D:$X,8,0)</f>
        <v>#N/A</v>
      </c>
      <c r="M16" s="75">
        <v>2.2374000000000001</v>
      </c>
      <c r="N16" s="75">
        <f t="shared" si="2"/>
        <v>4.4748000000000001</v>
      </c>
      <c r="O16" s="76"/>
      <c r="P16" s="75" t="e">
        <f>VLOOKUP($B16,[5]SAP!$D:$X,17,0)</f>
        <v>#N/A</v>
      </c>
      <c r="Q16" s="75" t="e">
        <f>VLOOKUP($B16,[5]SAP!$D:$X,21,0)</f>
        <v>#N/A</v>
      </c>
      <c r="R16" s="75" t="e">
        <f>VLOOKUP($B16,[5]SAP!$D:$X,20,0)</f>
        <v>#N/A</v>
      </c>
      <c r="S16" s="86" t="s">
        <v>37</v>
      </c>
    </row>
    <row r="17" spans="1:19" x14ac:dyDescent="0.25">
      <c r="A17" s="62">
        <v>11</v>
      </c>
      <c r="B17" s="63" t="s">
        <v>693</v>
      </c>
      <c r="C17" s="248" t="s">
        <v>717</v>
      </c>
      <c r="D17" s="248" t="s">
        <v>718</v>
      </c>
      <c r="E17" s="67" t="s">
        <v>716</v>
      </c>
      <c r="F17" s="63">
        <v>1</v>
      </c>
      <c r="G17" s="248" t="s">
        <v>561</v>
      </c>
      <c r="H17" s="70" t="s">
        <v>42</v>
      </c>
      <c r="I17" s="74"/>
      <c r="J17" s="75" t="e">
        <f>VLOOKUP($B17,[5]SAP!$D:$X,12,0)</f>
        <v>#N/A</v>
      </c>
      <c r="K17" s="75" t="e">
        <f>VLOOKUP($B17,[5]SAP!$D:$X,19,0)</f>
        <v>#N/A</v>
      </c>
      <c r="L17" s="58" t="e">
        <f>VLOOKUP($B17,[5]SAP!$D:$X,8,0)</f>
        <v>#N/A</v>
      </c>
      <c r="M17" s="75">
        <v>0.17515</v>
      </c>
      <c r="N17" s="75">
        <f t="shared" si="2"/>
        <v>0.17515</v>
      </c>
      <c r="P17" s="75" t="e">
        <f>VLOOKUP($B17,[5]SAP!$D:$X,17,0)</f>
        <v>#N/A</v>
      </c>
      <c r="Q17" s="75" t="e">
        <f>VLOOKUP($B17,[5]SAP!$D:$X,21,0)</f>
        <v>#N/A</v>
      </c>
      <c r="R17" s="75" t="e">
        <f>VLOOKUP($B17,[5]SAP!$D:$X,20,0)</f>
        <v>#N/A</v>
      </c>
      <c r="S17" s="86" t="s">
        <v>37</v>
      </c>
    </row>
    <row r="18" spans="1:19" x14ac:dyDescent="0.25">
      <c r="A18" s="62">
        <v>12</v>
      </c>
      <c r="B18" s="63" t="s">
        <v>693</v>
      </c>
      <c r="C18" s="248" t="s">
        <v>717</v>
      </c>
      <c r="D18" s="64" t="s">
        <v>719</v>
      </c>
      <c r="E18" s="67" t="s">
        <v>716</v>
      </c>
      <c r="F18" s="63">
        <v>1</v>
      </c>
      <c r="G18" s="248" t="s">
        <v>220</v>
      </c>
      <c r="H18" s="70" t="s">
        <v>42</v>
      </c>
      <c r="I18" s="74"/>
      <c r="J18" s="75" t="e">
        <f>VLOOKUP($B18,[5]SAP!$D:$X,12,0)</f>
        <v>#N/A</v>
      </c>
      <c r="K18" s="75" t="e">
        <f>VLOOKUP($B18,[5]SAP!$D:$X,19,0)</f>
        <v>#N/A</v>
      </c>
      <c r="L18" s="58" t="e">
        <f>VLOOKUP($B18,[5]SAP!$D:$X,8,0)</f>
        <v>#N/A</v>
      </c>
      <c r="M18" s="75">
        <v>0.49154999999999999</v>
      </c>
      <c r="N18" s="75">
        <f t="shared" si="2"/>
        <v>0.49154999999999999</v>
      </c>
      <c r="P18" s="75" t="e">
        <f>VLOOKUP($B18,[5]SAP!$D:$X,17,0)</f>
        <v>#N/A</v>
      </c>
      <c r="Q18" s="75" t="e">
        <f>VLOOKUP($B18,[5]SAP!$D:$X,21,0)</f>
        <v>#N/A</v>
      </c>
      <c r="R18" s="75" t="e">
        <f>VLOOKUP($B18,[5]SAP!$D:$X,20,0)</f>
        <v>#N/A</v>
      </c>
      <c r="S18" s="86" t="s">
        <v>37</v>
      </c>
    </row>
    <row r="19" spans="1:19" x14ac:dyDescent="0.25">
      <c r="A19" s="62">
        <v>13</v>
      </c>
      <c r="B19" s="68">
        <v>10110008742</v>
      </c>
      <c r="C19" s="64" t="s">
        <v>700</v>
      </c>
      <c r="D19" s="64" t="s">
        <v>335</v>
      </c>
      <c r="E19" s="69" t="s">
        <v>705</v>
      </c>
      <c r="F19" s="63">
        <v>3</v>
      </c>
      <c r="G19" s="64" t="s">
        <v>336</v>
      </c>
      <c r="H19" s="67"/>
      <c r="I19" s="74"/>
      <c r="J19" s="75">
        <f>VLOOKUP($B19,[5]SAP!$D:$X,12,0)</f>
        <v>2.1900000000000001E-3</v>
      </c>
      <c r="K19" s="75" t="str">
        <f>VLOOKUP($B19,[5]SAP!$D:$X,19,0)</f>
        <v>CNY</v>
      </c>
      <c r="L19" s="58" t="str">
        <f>VLOOKUP($B19,[5]SAP!$D:$X,8,0)</f>
        <v>广东风华高新科技股份有限公司</v>
      </c>
      <c r="M19" s="75">
        <f t="shared" si="4"/>
        <v>2.1900000000000001E-3</v>
      </c>
      <c r="N19" s="75"/>
      <c r="O19" s="75"/>
      <c r="P19" s="75">
        <f>VLOOKUP($B19,[5]SAP!$D:$X,17,0)</f>
        <v>42</v>
      </c>
      <c r="Q19" s="75">
        <f>VLOOKUP($B19,[5]SAP!$D:$X,21,0)</f>
        <v>10000</v>
      </c>
      <c r="R19" s="75">
        <f>VLOOKUP($B19,[5]SAP!$D:$X,20,0)</f>
        <v>10000</v>
      </c>
      <c r="S19" s="86" t="s">
        <v>225</v>
      </c>
    </row>
    <row r="20" spans="1:19" x14ac:dyDescent="0.25">
      <c r="A20" s="62"/>
      <c r="B20" s="68">
        <v>10110008993</v>
      </c>
      <c r="C20" s="64" t="s">
        <v>700</v>
      </c>
      <c r="D20" s="64" t="s">
        <v>337</v>
      </c>
      <c r="E20" s="69" t="s">
        <v>704</v>
      </c>
      <c r="F20" s="63">
        <v>3</v>
      </c>
      <c r="G20" s="64" t="s">
        <v>336</v>
      </c>
      <c r="H20" s="70" t="s">
        <v>42</v>
      </c>
      <c r="I20" s="74"/>
      <c r="J20" s="75">
        <f>VLOOKUP($B20,[5]SAP!$D:$X,12,0)</f>
        <v>3.0500000000000002E-3</v>
      </c>
      <c r="K20" s="75" t="str">
        <f>VLOOKUP($B20,[5]SAP!$D:$X,19,0)</f>
        <v>CNY</v>
      </c>
      <c r="L20" s="58" t="str">
        <f>VLOOKUP($B20,[5]SAP!$D:$X,8,0)</f>
        <v>东莞华科电子有限公司</v>
      </c>
      <c r="M20" s="75">
        <f t="shared" si="4"/>
        <v>3.0500000000000002E-3</v>
      </c>
      <c r="N20" s="75"/>
      <c r="O20" s="75"/>
      <c r="P20" s="75">
        <f>VLOOKUP($B20,[5]SAP!$D:$X,17,0)</f>
        <v>70</v>
      </c>
      <c r="Q20" s="75">
        <f>VLOOKUP($B20,[5]SAP!$D:$X,21,0)</f>
        <v>1000</v>
      </c>
      <c r="R20" s="75">
        <f>VLOOKUP($B20,[5]SAP!$D:$X,20,0)</f>
        <v>10000</v>
      </c>
      <c r="S20" s="86" t="s">
        <v>225</v>
      </c>
    </row>
    <row r="21" spans="1:19" x14ac:dyDescent="0.25">
      <c r="A21" s="62"/>
      <c r="B21" s="68">
        <v>10110010638</v>
      </c>
      <c r="C21" s="64" t="s">
        <v>700</v>
      </c>
      <c r="D21" s="64" t="s">
        <v>338</v>
      </c>
      <c r="E21" s="69" t="s">
        <v>720</v>
      </c>
      <c r="F21" s="63">
        <v>3</v>
      </c>
      <c r="G21" s="64" t="s">
        <v>336</v>
      </c>
      <c r="H21" s="70" t="s">
        <v>42</v>
      </c>
      <c r="I21" s="74"/>
      <c r="J21" s="75">
        <f>VLOOKUP($B21,[5]SAP!$D:$X,12,0)</f>
        <v>7.3699999999999998E-3</v>
      </c>
      <c r="K21" s="75" t="str">
        <f>VLOOKUP($B21,[5]SAP!$D:$X,19,0)</f>
        <v>CNY</v>
      </c>
      <c r="L21" s="58" t="str">
        <f>VLOOKUP($B21,[5]SAP!$D:$X,8,0)</f>
        <v>深圳市宏昌鑫科技有限责任公司</v>
      </c>
      <c r="M21" s="75">
        <f t="shared" si="4"/>
        <v>7.3699999999999998E-3</v>
      </c>
      <c r="N21" s="75"/>
      <c r="O21" s="75"/>
      <c r="P21" s="75">
        <f>VLOOKUP($B21,[5]SAP!$D:$X,17,0)</f>
        <v>140</v>
      </c>
      <c r="Q21" s="75">
        <f>VLOOKUP($B21,[5]SAP!$D:$X,21,0)</f>
        <v>10000</v>
      </c>
      <c r="R21" s="75">
        <f>VLOOKUP($B21,[5]SAP!$D:$X,20,0)</f>
        <v>10000</v>
      </c>
      <c r="S21" s="86" t="s">
        <v>225</v>
      </c>
    </row>
    <row r="22" spans="1:19" x14ac:dyDescent="0.25">
      <c r="A22" s="62"/>
      <c r="B22" s="68">
        <v>10110015893</v>
      </c>
      <c r="C22" s="64" t="s">
        <v>700</v>
      </c>
      <c r="D22" s="64" t="s">
        <v>340</v>
      </c>
      <c r="E22" s="69" t="s">
        <v>701</v>
      </c>
      <c r="F22" s="63">
        <v>3</v>
      </c>
      <c r="G22" s="64" t="s">
        <v>336</v>
      </c>
      <c r="H22" s="70" t="s">
        <v>42</v>
      </c>
      <c r="I22" s="74"/>
      <c r="J22" s="75">
        <f>VLOOKUP($B22,[5]SAP!$D:$X,12,0)</f>
        <v>1.8600000000000001E-3</v>
      </c>
      <c r="K22" s="75" t="str">
        <f>VLOOKUP($B22,[5]SAP!$D:$X,19,0)</f>
        <v>CNY</v>
      </c>
      <c r="L22" s="58" t="str">
        <f>VLOOKUP($B22,[5]SAP!$D:$X,8,0)</f>
        <v>潮州三环（集团）股份有限公司</v>
      </c>
      <c r="M22" s="75">
        <f t="shared" si="4"/>
        <v>1.8600000000000001E-3</v>
      </c>
      <c r="N22" s="75">
        <f>M22*F22</f>
        <v>5.5799999999999999E-3</v>
      </c>
      <c r="O22" s="75"/>
      <c r="P22" s="75">
        <f>VLOOKUP($B22,[5]SAP!$D:$X,17,0)</f>
        <v>56</v>
      </c>
      <c r="Q22" s="75">
        <f>VLOOKUP($B22,[5]SAP!$D:$X,21,0)</f>
        <v>10000</v>
      </c>
      <c r="R22" s="75">
        <f>VLOOKUP($B22,[5]SAP!$D:$X,20,0)</f>
        <v>10000</v>
      </c>
      <c r="S22" s="86" t="s">
        <v>37</v>
      </c>
    </row>
    <row r="23" spans="1:19" ht="26.4" x14ac:dyDescent="0.25">
      <c r="A23" s="62"/>
      <c r="B23" s="68">
        <v>10110016198</v>
      </c>
      <c r="C23" s="64" t="s">
        <v>700</v>
      </c>
      <c r="D23" s="64" t="s">
        <v>341</v>
      </c>
      <c r="E23" s="69" t="s">
        <v>703</v>
      </c>
      <c r="F23" s="63">
        <v>3</v>
      </c>
      <c r="G23" s="64" t="s">
        <v>336</v>
      </c>
      <c r="H23" s="67"/>
      <c r="I23" s="74"/>
      <c r="J23" s="75">
        <f>VLOOKUP($B23,[5]SAP!$D:$X,12,0)</f>
        <v>2.3E-3</v>
      </c>
      <c r="K23" s="75" t="str">
        <f>VLOOKUP($B23,[5]SAP!$D:$X,19,0)</f>
        <v>CNY</v>
      </c>
      <c r="L23" s="58" t="str">
        <f>VLOOKUP($B23,[5]SAP!$D:$X,8,0)</f>
        <v>深圳市奥特高科电子有限公司</v>
      </c>
      <c r="M23" s="75">
        <f t="shared" si="4"/>
        <v>2.3E-3</v>
      </c>
      <c r="N23" s="75"/>
      <c r="O23" s="75"/>
      <c r="P23" s="75">
        <f>VLOOKUP($B23,[5]SAP!$D:$X,17,0)</f>
        <v>56</v>
      </c>
      <c r="Q23" s="75">
        <f>VLOOKUP($B23,[5]SAP!$D:$X,21,0)</f>
        <v>10000</v>
      </c>
      <c r="R23" s="75">
        <f>VLOOKUP($B23,[5]SAP!$D:$X,20,0)</f>
        <v>10000</v>
      </c>
      <c r="S23" s="86" t="s">
        <v>225</v>
      </c>
    </row>
    <row r="24" spans="1:19" x14ac:dyDescent="0.25">
      <c r="A24" s="62">
        <v>14</v>
      </c>
      <c r="B24" s="68">
        <v>10110011269</v>
      </c>
      <c r="C24" s="64" t="s">
        <v>702</v>
      </c>
      <c r="D24" s="64" t="s">
        <v>342</v>
      </c>
      <c r="E24" s="69" t="s">
        <v>701</v>
      </c>
      <c r="F24" s="63">
        <v>3</v>
      </c>
      <c r="G24" s="64" t="s">
        <v>343</v>
      </c>
      <c r="H24" s="70" t="s">
        <v>42</v>
      </c>
      <c r="I24" s="74"/>
      <c r="J24" s="75">
        <f>VLOOKUP($B24,[5]SAP!$D:$X,12,0)</f>
        <v>1.8500000000000001E-3</v>
      </c>
      <c r="K24" s="75" t="str">
        <f>VLOOKUP($B24,[5]SAP!$D:$X,19,0)</f>
        <v>CNY</v>
      </c>
      <c r="L24" s="58" t="str">
        <f>VLOOKUP($B24,[5]SAP!$D:$X,8,0)</f>
        <v>潮州三环（集团）股份有限公司</v>
      </c>
      <c r="M24" s="75">
        <f t="shared" si="4"/>
        <v>1.8500000000000001E-3</v>
      </c>
      <c r="N24" s="75">
        <f>M24*F24</f>
        <v>5.5500000000000002E-3</v>
      </c>
      <c r="O24" s="75"/>
      <c r="P24" s="75">
        <f>VLOOKUP($B24,[5]SAP!$D:$X,17,0)</f>
        <v>56</v>
      </c>
      <c r="Q24" s="75">
        <f>VLOOKUP($B24,[5]SAP!$D:$X,21,0)</f>
        <v>10000</v>
      </c>
      <c r="R24" s="75">
        <f>VLOOKUP($B24,[5]SAP!$D:$X,20,0)</f>
        <v>10000</v>
      </c>
      <c r="S24" s="86" t="s">
        <v>37</v>
      </c>
    </row>
    <row r="25" spans="1:19" x14ac:dyDescent="0.25">
      <c r="A25" s="62"/>
      <c r="B25" s="68">
        <v>10110008729</v>
      </c>
      <c r="C25" s="64" t="s">
        <v>700</v>
      </c>
      <c r="D25" s="64" t="s">
        <v>344</v>
      </c>
      <c r="E25" s="69" t="s">
        <v>705</v>
      </c>
      <c r="F25" s="63">
        <v>3</v>
      </c>
      <c r="G25" s="64" t="s">
        <v>343</v>
      </c>
      <c r="H25" s="67"/>
      <c r="I25" s="74"/>
      <c r="J25" s="75">
        <f>VLOOKUP($B25,[5]SAP!$D:$X,12,0)</f>
        <v>2.0999999999999999E-3</v>
      </c>
      <c r="K25" s="75" t="str">
        <f>VLOOKUP($B25,[5]SAP!$D:$X,19,0)</f>
        <v>CNY</v>
      </c>
      <c r="L25" s="58" t="str">
        <f>VLOOKUP($B25,[5]SAP!$D:$X,8,0)</f>
        <v>广东风华高新科技股份有限公司</v>
      </c>
      <c r="M25" s="75">
        <f t="shared" si="4"/>
        <v>2.0999999999999999E-3</v>
      </c>
      <c r="N25" s="75"/>
      <c r="O25" s="75"/>
      <c r="P25" s="75">
        <f>VLOOKUP($B25,[5]SAP!$D:$X,17,0)</f>
        <v>56</v>
      </c>
      <c r="Q25" s="75">
        <f>VLOOKUP($B25,[5]SAP!$D:$X,21,0)</f>
        <v>10000</v>
      </c>
      <c r="R25" s="75">
        <f>VLOOKUP($B25,[5]SAP!$D:$X,20,0)</f>
        <v>10000</v>
      </c>
      <c r="S25" s="86" t="s">
        <v>225</v>
      </c>
    </row>
    <row r="26" spans="1:19" x14ac:dyDescent="0.25">
      <c r="A26" s="62"/>
      <c r="B26" s="68">
        <v>10110004676</v>
      </c>
      <c r="C26" s="64" t="s">
        <v>702</v>
      </c>
      <c r="D26" s="64" t="s">
        <v>345</v>
      </c>
      <c r="E26" s="69" t="s">
        <v>704</v>
      </c>
      <c r="F26" s="63">
        <v>3</v>
      </c>
      <c r="G26" s="64" t="s">
        <v>343</v>
      </c>
      <c r="H26" s="70" t="s">
        <v>42</v>
      </c>
      <c r="I26" s="74"/>
      <c r="J26" s="75">
        <f>VLOOKUP($B26,[5]SAP!$D:$X,12,0)</f>
        <v>1.98E-3</v>
      </c>
      <c r="K26" s="75" t="str">
        <f>VLOOKUP($B26,[5]SAP!$D:$X,19,0)</f>
        <v>CNY</v>
      </c>
      <c r="L26" s="58" t="str">
        <f>VLOOKUP($B26,[5]SAP!$D:$X,8,0)</f>
        <v>东莞华科电子有限公司</v>
      </c>
      <c r="M26" s="75">
        <f t="shared" si="4"/>
        <v>1.98E-3</v>
      </c>
      <c r="N26" s="75"/>
      <c r="O26" s="75"/>
      <c r="P26" s="75">
        <f>VLOOKUP($B26,[5]SAP!$D:$X,17,0)</f>
        <v>56</v>
      </c>
      <c r="Q26" s="75">
        <f>VLOOKUP($B26,[5]SAP!$D:$X,21,0)</f>
        <v>10000</v>
      </c>
      <c r="R26" s="75">
        <f>VLOOKUP($B26,[5]SAP!$D:$X,20,0)</f>
        <v>10000</v>
      </c>
      <c r="S26" s="86" t="s">
        <v>225</v>
      </c>
    </row>
    <row r="27" spans="1:19" ht="26.4" x14ac:dyDescent="0.25">
      <c r="A27" s="62"/>
      <c r="B27" s="68">
        <v>10110003897</v>
      </c>
      <c r="C27" s="64" t="s">
        <v>702</v>
      </c>
      <c r="D27" s="64" t="s">
        <v>346</v>
      </c>
      <c r="E27" s="69" t="s">
        <v>703</v>
      </c>
      <c r="F27" s="63">
        <v>3</v>
      </c>
      <c r="G27" s="64" t="s">
        <v>343</v>
      </c>
      <c r="H27" s="67"/>
      <c r="I27" s="74"/>
      <c r="J27" s="75">
        <f>VLOOKUP($B27,[5]SAP!$D:$X,12,0)</f>
        <v>2.2000000000000001E-3</v>
      </c>
      <c r="K27" s="75" t="str">
        <f>VLOOKUP($B27,[5]SAP!$D:$X,19,0)</f>
        <v>CNY</v>
      </c>
      <c r="L27" s="58" t="str">
        <f>VLOOKUP($B27,[5]SAP!$D:$X,8,0)</f>
        <v>深圳市奥特高科电子有限公司</v>
      </c>
      <c r="M27" s="75">
        <f t="shared" si="4"/>
        <v>2.2000000000000001E-3</v>
      </c>
      <c r="N27" s="75"/>
      <c r="O27" s="75"/>
      <c r="P27" s="75">
        <f>VLOOKUP($B27,[5]SAP!$D:$X,17,0)</f>
        <v>56</v>
      </c>
      <c r="Q27" s="75">
        <f>VLOOKUP($B27,[5]SAP!$D:$X,21,0)</f>
        <v>10000</v>
      </c>
      <c r="R27" s="75">
        <f>VLOOKUP($B27,[5]SAP!$D:$X,20,0)</f>
        <v>10000</v>
      </c>
      <c r="S27" s="86" t="s">
        <v>225</v>
      </c>
    </row>
    <row r="28" spans="1:19" x14ac:dyDescent="0.25">
      <c r="A28" s="62"/>
      <c r="B28" s="68">
        <v>10110007139</v>
      </c>
      <c r="C28" s="64" t="s">
        <v>700</v>
      </c>
      <c r="D28" s="64" t="s">
        <v>347</v>
      </c>
      <c r="E28" s="69" t="s">
        <v>720</v>
      </c>
      <c r="F28" s="63">
        <v>3</v>
      </c>
      <c r="G28" s="64" t="s">
        <v>343</v>
      </c>
      <c r="H28" s="70" t="s">
        <v>42</v>
      </c>
      <c r="I28" s="74"/>
      <c r="J28" s="75">
        <f>VLOOKUP($B28,[5]SAP!$D:$X,12,0)</f>
        <v>2.2000000000000001E-3</v>
      </c>
      <c r="K28" s="75" t="str">
        <f>VLOOKUP($B28,[5]SAP!$D:$X,19,0)</f>
        <v>CNY</v>
      </c>
      <c r="L28" s="58" t="str">
        <f>VLOOKUP($B28,[5]SAP!$D:$X,8,0)</f>
        <v>深圳市天河星供应链有限公司</v>
      </c>
      <c r="M28" s="75">
        <f t="shared" si="4"/>
        <v>2.2000000000000001E-3</v>
      </c>
      <c r="N28" s="75"/>
      <c r="O28" s="75"/>
      <c r="P28" s="75">
        <f>VLOOKUP($B28,[5]SAP!$D:$X,17,0)</f>
        <v>56</v>
      </c>
      <c r="Q28" s="75">
        <f>VLOOKUP($B28,[5]SAP!$D:$X,21,0)</f>
        <v>1000</v>
      </c>
      <c r="R28" s="75">
        <f>VLOOKUP($B28,[5]SAP!$D:$X,20,0)</f>
        <v>10000</v>
      </c>
      <c r="S28" s="86" t="s">
        <v>225</v>
      </c>
    </row>
    <row r="29" spans="1:19" x14ac:dyDescent="0.25">
      <c r="A29" s="62">
        <v>15</v>
      </c>
      <c r="B29" s="68">
        <v>10110012149</v>
      </c>
      <c r="C29" s="64" t="s">
        <v>700</v>
      </c>
      <c r="D29" s="64" t="s">
        <v>169</v>
      </c>
      <c r="E29" s="69" t="s">
        <v>701</v>
      </c>
      <c r="F29" s="63">
        <v>5</v>
      </c>
      <c r="G29" s="64" t="s">
        <v>721</v>
      </c>
      <c r="H29" s="70" t="s">
        <v>42</v>
      </c>
      <c r="I29" s="74"/>
      <c r="J29" s="75">
        <f>VLOOKUP($B29,[5]SAP!$D:$X,12,0)</f>
        <v>1.8500000000000001E-3</v>
      </c>
      <c r="K29" s="75" t="str">
        <f>VLOOKUP($B29,[5]SAP!$D:$X,19,0)</f>
        <v>CNY</v>
      </c>
      <c r="L29" s="58" t="str">
        <f>VLOOKUP($B29,[5]SAP!$D:$X,8,0)</f>
        <v>潮州三环（集团）股份有限公司</v>
      </c>
      <c r="M29" s="75">
        <f t="shared" si="4"/>
        <v>1.8500000000000001E-3</v>
      </c>
      <c r="N29" s="75">
        <f>M29*F29</f>
        <v>9.2500000000000013E-3</v>
      </c>
      <c r="O29" s="75"/>
      <c r="P29" s="75">
        <f>VLOOKUP($B29,[5]SAP!$D:$X,17,0)</f>
        <v>56</v>
      </c>
      <c r="Q29" s="75">
        <f>VLOOKUP($B29,[5]SAP!$D:$X,21,0)</f>
        <v>10000</v>
      </c>
      <c r="R29" s="75">
        <f>VLOOKUP($B29,[5]SAP!$D:$X,20,0)</f>
        <v>10000</v>
      </c>
      <c r="S29" s="86" t="s">
        <v>37</v>
      </c>
    </row>
    <row r="30" spans="1:19" x14ac:dyDescent="0.25">
      <c r="A30" s="62"/>
      <c r="B30" s="68">
        <v>10110008734</v>
      </c>
      <c r="C30" s="64" t="s">
        <v>700</v>
      </c>
      <c r="D30" s="64" t="s">
        <v>171</v>
      </c>
      <c r="E30" s="69" t="s">
        <v>705</v>
      </c>
      <c r="F30" s="63">
        <v>5</v>
      </c>
      <c r="G30" s="64" t="s">
        <v>721</v>
      </c>
      <c r="H30" s="67"/>
      <c r="I30" s="74"/>
      <c r="J30" s="75">
        <f>VLOOKUP($B30,[5]SAP!$D:$X,12,0)</f>
        <v>2.0999999999999999E-3</v>
      </c>
      <c r="K30" s="75" t="str">
        <f>VLOOKUP($B30,[5]SAP!$D:$X,19,0)</f>
        <v>CNY</v>
      </c>
      <c r="L30" s="58" t="str">
        <f>VLOOKUP($B30,[5]SAP!$D:$X,8,0)</f>
        <v>广东风华高新科技股份有限公司</v>
      </c>
      <c r="M30" s="75">
        <f t="shared" si="4"/>
        <v>2.0999999999999999E-3</v>
      </c>
      <c r="N30" s="75"/>
      <c r="O30" s="75"/>
      <c r="P30" s="75">
        <f>VLOOKUP($B30,[5]SAP!$D:$X,17,0)</f>
        <v>56</v>
      </c>
      <c r="Q30" s="75">
        <f>VLOOKUP($B30,[5]SAP!$D:$X,21,0)</f>
        <v>10000</v>
      </c>
      <c r="R30" s="75">
        <f>VLOOKUP($B30,[5]SAP!$D:$X,20,0)</f>
        <v>10000</v>
      </c>
      <c r="S30" s="86" t="s">
        <v>225</v>
      </c>
    </row>
    <row r="31" spans="1:19" x14ac:dyDescent="0.25">
      <c r="A31" s="62"/>
      <c r="B31" s="68">
        <v>10110005817</v>
      </c>
      <c r="C31" s="64" t="s">
        <v>702</v>
      </c>
      <c r="D31" s="64" t="s">
        <v>173</v>
      </c>
      <c r="E31" s="69" t="s">
        <v>704</v>
      </c>
      <c r="F31" s="63">
        <v>5</v>
      </c>
      <c r="G31" s="64" t="s">
        <v>721</v>
      </c>
      <c r="H31" s="70" t="s">
        <v>42</v>
      </c>
      <c r="I31" s="74"/>
      <c r="J31" s="75">
        <f>VLOOKUP($B31,[5]SAP!$D:$X,12,0)</f>
        <v>1.98E-3</v>
      </c>
      <c r="K31" s="75" t="str">
        <f>VLOOKUP($B31,[5]SAP!$D:$X,19,0)</f>
        <v>CNY</v>
      </c>
      <c r="L31" s="58" t="str">
        <f>VLOOKUP($B31,[5]SAP!$D:$X,8,0)</f>
        <v>东莞华科电子有限公司</v>
      </c>
      <c r="M31" s="75">
        <f t="shared" si="4"/>
        <v>1.98E-3</v>
      </c>
      <c r="N31" s="75"/>
      <c r="O31" s="75"/>
      <c r="P31" s="75">
        <f>VLOOKUP($B31,[5]SAP!$D:$X,17,0)</f>
        <v>56</v>
      </c>
      <c r="Q31" s="75">
        <f>VLOOKUP($B31,[5]SAP!$D:$X,21,0)</f>
        <v>10000</v>
      </c>
      <c r="R31" s="75">
        <f>VLOOKUP($B31,[5]SAP!$D:$X,20,0)</f>
        <v>10000</v>
      </c>
      <c r="S31" s="86" t="s">
        <v>225</v>
      </c>
    </row>
    <row r="32" spans="1:19" ht="26.4" x14ac:dyDescent="0.25">
      <c r="A32" s="62"/>
      <c r="B32" s="68">
        <v>10110003896</v>
      </c>
      <c r="C32" s="64" t="s">
        <v>702</v>
      </c>
      <c r="D32" s="64" t="s">
        <v>174</v>
      </c>
      <c r="E32" s="69" t="s">
        <v>703</v>
      </c>
      <c r="F32" s="63">
        <v>5</v>
      </c>
      <c r="G32" s="64" t="s">
        <v>721</v>
      </c>
      <c r="H32" s="67"/>
      <c r="I32" s="74"/>
      <c r="J32" s="75">
        <f>VLOOKUP($B32,[5]SAP!$D:$X,12,0)</f>
        <v>2.3E-3</v>
      </c>
      <c r="K32" s="75" t="str">
        <f>VLOOKUP($B32,[5]SAP!$D:$X,19,0)</f>
        <v>CNY</v>
      </c>
      <c r="L32" s="58" t="str">
        <f>VLOOKUP($B32,[5]SAP!$D:$X,8,0)</f>
        <v>深圳市奥特高科电子有限公司</v>
      </c>
      <c r="M32" s="75">
        <f t="shared" si="4"/>
        <v>2.3E-3</v>
      </c>
      <c r="N32" s="75"/>
      <c r="O32" s="75"/>
      <c r="P32" s="75">
        <f>VLOOKUP($B32,[5]SAP!$D:$X,17,0)</f>
        <v>56</v>
      </c>
      <c r="Q32" s="75">
        <f>VLOOKUP($B32,[5]SAP!$D:$X,21,0)</f>
        <v>10000</v>
      </c>
      <c r="R32" s="75">
        <f>VLOOKUP($B32,[5]SAP!$D:$X,20,0)</f>
        <v>10000</v>
      </c>
      <c r="S32" s="86" t="s">
        <v>225</v>
      </c>
    </row>
    <row r="33" spans="1:19" x14ac:dyDescent="0.25">
      <c r="A33" s="62"/>
      <c r="B33" s="68">
        <v>10110007822</v>
      </c>
      <c r="C33" s="64" t="s">
        <v>700</v>
      </c>
      <c r="D33" s="64" t="s">
        <v>175</v>
      </c>
      <c r="E33" s="69" t="s">
        <v>720</v>
      </c>
      <c r="F33" s="63">
        <v>5</v>
      </c>
      <c r="G33" s="64" t="s">
        <v>721</v>
      </c>
      <c r="H33" s="70" t="s">
        <v>42</v>
      </c>
      <c r="I33" s="74"/>
      <c r="J33" s="75">
        <f>VLOOKUP($B33,[5]SAP!$D:$X,12,0)</f>
        <v>2.3999999999999998E-3</v>
      </c>
      <c r="K33" s="75" t="str">
        <f>VLOOKUP($B33,[5]SAP!$D:$X,19,0)</f>
        <v>CNY</v>
      </c>
      <c r="L33" s="58" t="str">
        <f>VLOOKUP($B33,[5]SAP!$D:$X,8,0)</f>
        <v>广东顺德集财电子有限公司</v>
      </c>
      <c r="M33" s="75">
        <f t="shared" si="4"/>
        <v>2.3999999999999998E-3</v>
      </c>
      <c r="N33" s="75"/>
      <c r="O33" s="75"/>
      <c r="P33" s="75">
        <f>VLOOKUP($B33,[5]SAP!$D:$X,17,0)</f>
        <v>56</v>
      </c>
      <c r="Q33" s="75">
        <f>VLOOKUP($B33,[5]SAP!$D:$X,21,0)</f>
        <v>10000</v>
      </c>
      <c r="R33" s="75">
        <f>VLOOKUP($B33,[5]SAP!$D:$X,20,0)</f>
        <v>10000</v>
      </c>
      <c r="S33" s="86" t="s">
        <v>225</v>
      </c>
    </row>
    <row r="34" spans="1:19" x14ac:dyDescent="0.25">
      <c r="A34" s="62">
        <v>16</v>
      </c>
      <c r="B34" s="68">
        <v>10110007154</v>
      </c>
      <c r="C34" s="64" t="s">
        <v>700</v>
      </c>
      <c r="D34" s="64" t="s">
        <v>71</v>
      </c>
      <c r="E34" s="64" t="s">
        <v>722</v>
      </c>
      <c r="F34" s="63">
        <v>2</v>
      </c>
      <c r="G34" s="64" t="s">
        <v>564</v>
      </c>
      <c r="H34" s="70" t="s">
        <v>42</v>
      </c>
      <c r="I34" s="74"/>
      <c r="J34" s="75" t="e">
        <f>VLOOKUP($B34,[5]SAP!$D:$X,12,0)</f>
        <v>#N/A</v>
      </c>
      <c r="K34" s="75" t="e">
        <f>VLOOKUP($B34,[5]SAP!$D:$X,19,0)</f>
        <v>#N/A</v>
      </c>
      <c r="L34" s="58" t="e">
        <f>VLOOKUP($B34,[5]SAP!$D:$X,8,0)</f>
        <v>#N/A</v>
      </c>
      <c r="M34" s="77">
        <v>0.23599999999999999</v>
      </c>
      <c r="N34" s="77">
        <f>M34*F34</f>
        <v>0.47199999999999998</v>
      </c>
      <c r="O34" s="78" t="s">
        <v>73</v>
      </c>
      <c r="P34" s="75" t="e">
        <f>VLOOKUP($B34,[5]SAP!$D:$X,17,0)</f>
        <v>#N/A</v>
      </c>
      <c r="Q34" s="75" t="e">
        <f>VLOOKUP($B34,[5]SAP!$D:$X,21,0)</f>
        <v>#N/A</v>
      </c>
      <c r="R34" s="75" t="e">
        <f>VLOOKUP($B34,[5]SAP!$D:$X,20,0)</f>
        <v>#N/A</v>
      </c>
      <c r="S34" s="86" t="s">
        <v>37</v>
      </c>
    </row>
    <row r="35" spans="1:19" x14ac:dyDescent="0.25">
      <c r="A35" s="62">
        <v>17</v>
      </c>
      <c r="B35" s="68">
        <v>10110012147</v>
      </c>
      <c r="C35" s="64" t="s">
        <v>700</v>
      </c>
      <c r="D35" s="64" t="s">
        <v>349</v>
      </c>
      <c r="E35" s="69" t="s">
        <v>701</v>
      </c>
      <c r="F35" s="63">
        <v>3</v>
      </c>
      <c r="G35" s="64" t="s">
        <v>723</v>
      </c>
      <c r="H35" s="70" t="s">
        <v>42</v>
      </c>
      <c r="I35" s="74"/>
      <c r="J35" s="75">
        <f>VLOOKUP($B35,[5]SAP!$D:$X,12,0)</f>
        <v>1.9499999999999999E-3</v>
      </c>
      <c r="K35" s="75" t="str">
        <f>VLOOKUP($B35,[5]SAP!$D:$X,19,0)</f>
        <v>CNY</v>
      </c>
      <c r="L35" s="58" t="str">
        <f>VLOOKUP($B35,[5]SAP!$D:$X,8,0)</f>
        <v>潮州三环（集团）股份有限公司</v>
      </c>
      <c r="M35" s="75">
        <f t="shared" ref="M35:M43" si="5">J35</f>
        <v>1.9499999999999999E-3</v>
      </c>
      <c r="N35" s="75">
        <f>M35*F35</f>
        <v>5.8499999999999993E-3</v>
      </c>
      <c r="O35" s="75"/>
      <c r="P35" s="75">
        <f>VLOOKUP($B35,[5]SAP!$D:$X,17,0)</f>
        <v>56</v>
      </c>
      <c r="Q35" s="75">
        <f>VLOOKUP($B35,[5]SAP!$D:$X,21,0)</f>
        <v>10000</v>
      </c>
      <c r="R35" s="75">
        <f>VLOOKUP($B35,[5]SAP!$D:$X,20,0)</f>
        <v>10000</v>
      </c>
      <c r="S35" s="86" t="s">
        <v>37</v>
      </c>
    </row>
    <row r="36" spans="1:19" x14ac:dyDescent="0.25">
      <c r="A36" s="62"/>
      <c r="B36" s="68">
        <v>10110008726</v>
      </c>
      <c r="C36" s="64" t="s">
        <v>700</v>
      </c>
      <c r="D36" s="64" t="s">
        <v>351</v>
      </c>
      <c r="E36" s="69" t="s">
        <v>705</v>
      </c>
      <c r="F36" s="63">
        <v>3</v>
      </c>
      <c r="G36" s="64" t="s">
        <v>723</v>
      </c>
      <c r="H36" s="67"/>
      <c r="I36" s="74"/>
      <c r="J36" s="75">
        <f>VLOOKUP($B36,[5]SAP!$D:$X,12,0)</f>
        <v>2.2000000000000001E-3</v>
      </c>
      <c r="K36" s="75" t="str">
        <f>VLOOKUP($B36,[5]SAP!$D:$X,19,0)</f>
        <v>CNY</v>
      </c>
      <c r="L36" s="58" t="str">
        <f>VLOOKUP($B36,[5]SAP!$D:$X,8,0)</f>
        <v>深圳市天河星供应链有限公司</v>
      </c>
      <c r="M36" s="75">
        <f t="shared" si="5"/>
        <v>2.2000000000000001E-3</v>
      </c>
      <c r="N36" s="75"/>
      <c r="O36" s="75"/>
      <c r="P36" s="75">
        <f>VLOOKUP($B36,[5]SAP!$D:$X,17,0)</f>
        <v>56</v>
      </c>
      <c r="Q36" s="75">
        <f>VLOOKUP($B36,[5]SAP!$D:$X,21,0)</f>
        <v>10000</v>
      </c>
      <c r="R36" s="75">
        <f>VLOOKUP($B36,[5]SAP!$D:$X,20,0)</f>
        <v>10000</v>
      </c>
      <c r="S36" s="86" t="s">
        <v>225</v>
      </c>
    </row>
    <row r="37" spans="1:19" x14ac:dyDescent="0.25">
      <c r="A37" s="62"/>
      <c r="B37" s="68">
        <v>10110005377</v>
      </c>
      <c r="C37" s="64" t="s">
        <v>702</v>
      </c>
      <c r="D37" s="64" t="s">
        <v>352</v>
      </c>
      <c r="E37" s="69" t="s">
        <v>704</v>
      </c>
      <c r="F37" s="63">
        <v>3</v>
      </c>
      <c r="G37" s="64" t="s">
        <v>723</v>
      </c>
      <c r="H37" s="70" t="s">
        <v>42</v>
      </c>
      <c r="I37" s="74"/>
      <c r="J37" s="75">
        <f>VLOOKUP($B37,[5]SAP!$D:$X,12,0)</f>
        <v>2.98E-3</v>
      </c>
      <c r="K37" s="75" t="str">
        <f>VLOOKUP($B37,[5]SAP!$D:$X,19,0)</f>
        <v>CNY</v>
      </c>
      <c r="L37" s="58" t="str">
        <f>VLOOKUP($B37,[5]SAP!$D:$X,8,0)</f>
        <v>深圳市巨新科电子有限公司</v>
      </c>
      <c r="M37" s="75">
        <f t="shared" si="5"/>
        <v>2.98E-3</v>
      </c>
      <c r="N37" s="75"/>
      <c r="O37" s="75"/>
      <c r="P37" s="75">
        <f>VLOOKUP($B37,[5]SAP!$D:$X,17,0)</f>
        <v>90</v>
      </c>
      <c r="Q37" s="75">
        <f>VLOOKUP($B37,[5]SAP!$D:$X,21,0)</f>
        <v>10000</v>
      </c>
      <c r="R37" s="75">
        <f>VLOOKUP($B37,[5]SAP!$D:$X,20,0)</f>
        <v>10000</v>
      </c>
      <c r="S37" s="86" t="s">
        <v>225</v>
      </c>
    </row>
    <row r="38" spans="1:19" ht="26.4" x14ac:dyDescent="0.25">
      <c r="A38" s="62"/>
      <c r="B38" s="68">
        <v>10110005378</v>
      </c>
      <c r="C38" s="64" t="s">
        <v>702</v>
      </c>
      <c r="D38" s="64" t="s">
        <v>353</v>
      </c>
      <c r="E38" s="69" t="s">
        <v>703</v>
      </c>
      <c r="F38" s="63">
        <v>3</v>
      </c>
      <c r="G38" s="64" t="s">
        <v>723</v>
      </c>
      <c r="H38" s="67"/>
      <c r="I38" s="74"/>
      <c r="J38" s="75">
        <f>VLOOKUP($B38,[5]SAP!$D:$X,12,0)</f>
        <v>2.3999999999999998E-3</v>
      </c>
      <c r="K38" s="75" t="str">
        <f>VLOOKUP($B38,[5]SAP!$D:$X,19,0)</f>
        <v>CNY</v>
      </c>
      <c r="L38" s="58" t="str">
        <f>VLOOKUP($B38,[5]SAP!$D:$X,8,0)</f>
        <v>深圳市吉利通电子有限公司</v>
      </c>
      <c r="M38" s="75">
        <f t="shared" si="5"/>
        <v>2.3999999999999998E-3</v>
      </c>
      <c r="N38" s="75"/>
      <c r="O38" s="75"/>
      <c r="P38" s="75">
        <f>VLOOKUP($B38,[5]SAP!$D:$X,17,0)</f>
        <v>168</v>
      </c>
      <c r="Q38" s="75">
        <f>VLOOKUP($B38,[5]SAP!$D:$X,21,0)</f>
        <v>10000</v>
      </c>
      <c r="R38" s="75">
        <f>VLOOKUP($B38,[5]SAP!$D:$X,20,0)</f>
        <v>10000</v>
      </c>
      <c r="S38" s="86" t="s">
        <v>225</v>
      </c>
    </row>
    <row r="39" spans="1:19" x14ac:dyDescent="0.25">
      <c r="A39" s="62"/>
      <c r="B39" s="68">
        <v>10110009749</v>
      </c>
      <c r="C39" s="64" t="s">
        <v>702</v>
      </c>
      <c r="D39" s="64" t="s">
        <v>354</v>
      </c>
      <c r="E39" s="69" t="s">
        <v>720</v>
      </c>
      <c r="F39" s="63">
        <v>3</v>
      </c>
      <c r="G39" s="64" t="s">
        <v>723</v>
      </c>
      <c r="H39" s="70" t="s">
        <v>42</v>
      </c>
      <c r="I39" s="74"/>
      <c r="J39" s="75">
        <f>VLOOKUP($B39,[5]SAP!$D:$X,12,0)</f>
        <v>9.5499999999999995E-3</v>
      </c>
      <c r="K39" s="75" t="str">
        <f>VLOOKUP($B39,[5]SAP!$D:$X,19,0)</f>
        <v>CNY</v>
      </c>
      <c r="L39" s="58" t="str">
        <f>VLOOKUP($B39,[5]SAP!$D:$X,8,0)</f>
        <v>深圳市欧亚达电子有限公司</v>
      </c>
      <c r="M39" s="75">
        <f t="shared" si="5"/>
        <v>9.5499999999999995E-3</v>
      </c>
      <c r="N39" s="75"/>
      <c r="O39" s="75"/>
      <c r="P39" s="75">
        <f>VLOOKUP($B39,[5]SAP!$D:$X,17,0)</f>
        <v>84</v>
      </c>
      <c r="Q39" s="75">
        <f>VLOOKUP($B39,[5]SAP!$D:$X,21,0)</f>
        <v>10000</v>
      </c>
      <c r="R39" s="75">
        <f>VLOOKUP($B39,[5]SAP!$D:$X,20,0)</f>
        <v>10000</v>
      </c>
      <c r="S39" s="86" t="s">
        <v>225</v>
      </c>
    </row>
    <row r="40" spans="1:19" x14ac:dyDescent="0.25">
      <c r="A40" s="62">
        <v>18</v>
      </c>
      <c r="B40" s="68">
        <v>10110017022</v>
      </c>
      <c r="C40" s="64" t="s">
        <v>44</v>
      </c>
      <c r="D40" s="64" t="s">
        <v>724</v>
      </c>
      <c r="E40" s="69" t="s">
        <v>77</v>
      </c>
      <c r="F40" s="63">
        <v>1</v>
      </c>
      <c r="G40" s="248" t="s">
        <v>725</v>
      </c>
      <c r="H40" s="70" t="s">
        <v>42</v>
      </c>
      <c r="I40" s="74"/>
      <c r="J40" s="75">
        <f>VLOOKUP($B40,[5]SAP!$D:$X,12,0)</f>
        <v>1.074E-2</v>
      </c>
      <c r="K40" s="75" t="str">
        <f>VLOOKUP($B40,[5]SAP!$D:$X,19,0)</f>
        <v>CNY</v>
      </c>
      <c r="L40" s="58" t="str">
        <f>VLOOKUP($B40,[5]SAP!$D:$X,8,0)</f>
        <v>东莞华科电子有限公司</v>
      </c>
      <c r="M40" s="75">
        <f t="shared" si="5"/>
        <v>1.074E-2</v>
      </c>
      <c r="N40" s="75"/>
      <c r="O40" s="75"/>
      <c r="P40" s="75">
        <f>VLOOKUP($B40,[5]SAP!$D:$X,17,0)</f>
        <v>84</v>
      </c>
      <c r="Q40" s="75">
        <f>VLOOKUP($B40,[5]SAP!$D:$X,21,0)</f>
        <v>10000</v>
      </c>
      <c r="R40" s="75">
        <f>VLOOKUP($B40,[5]SAP!$D:$X,20,0)</f>
        <v>10000</v>
      </c>
      <c r="S40" s="86" t="s">
        <v>225</v>
      </c>
    </row>
    <row r="41" spans="1:19" ht="38.4" x14ac:dyDescent="0.25">
      <c r="A41" s="62"/>
      <c r="B41" s="68">
        <v>10110017023</v>
      </c>
      <c r="C41" s="64" t="s">
        <v>44</v>
      </c>
      <c r="D41" s="64" t="s">
        <v>726</v>
      </c>
      <c r="E41" s="69" t="s">
        <v>727</v>
      </c>
      <c r="F41" s="63">
        <v>1</v>
      </c>
      <c r="G41" s="248" t="s">
        <v>725</v>
      </c>
      <c r="H41" s="70" t="s">
        <v>42</v>
      </c>
      <c r="I41" s="74"/>
      <c r="J41" s="75">
        <f>VLOOKUP($B41,[5]SAP!$D:$X,12,0)</f>
        <v>6.8999999999999999E-3</v>
      </c>
      <c r="K41" s="75" t="str">
        <f>VLOOKUP($B41,[5]SAP!$D:$X,19,0)</f>
        <v>CNY</v>
      </c>
      <c r="L41" s="58" t="str">
        <f>VLOOKUP($B41,[5]SAP!$D:$X,8,0)</f>
        <v>深圳市欧尔法电子有限公司</v>
      </c>
      <c r="M41" s="75">
        <f t="shared" si="5"/>
        <v>6.8999999999999999E-3</v>
      </c>
      <c r="N41" s="75">
        <f t="shared" ref="N41:N45" si="6">M41*F41</f>
        <v>6.8999999999999999E-3</v>
      </c>
      <c r="O41" s="75"/>
      <c r="P41" s="75">
        <f>VLOOKUP($B41,[5]SAP!$D:$X,17,0)</f>
        <v>56</v>
      </c>
      <c r="Q41" s="75">
        <f>VLOOKUP($B41,[5]SAP!$D:$X,21,0)</f>
        <v>10000</v>
      </c>
      <c r="R41" s="75">
        <f>VLOOKUP($B41,[5]SAP!$D:$X,20,0)</f>
        <v>10000</v>
      </c>
      <c r="S41" s="86" t="s">
        <v>37</v>
      </c>
    </row>
    <row r="42" spans="1:19" ht="26.4" x14ac:dyDescent="0.25">
      <c r="A42" s="62" t="s">
        <v>728</v>
      </c>
      <c r="B42" s="68">
        <v>10110020767</v>
      </c>
      <c r="C42" s="64" t="s">
        <v>700</v>
      </c>
      <c r="D42" s="64" t="s">
        <v>45</v>
      </c>
      <c r="E42" s="69" t="s">
        <v>703</v>
      </c>
      <c r="F42" s="63">
        <v>2</v>
      </c>
      <c r="G42" s="248" t="s">
        <v>729</v>
      </c>
      <c r="H42" s="67"/>
      <c r="I42" s="74"/>
      <c r="J42" s="75">
        <f>VLOOKUP($B42,[5]SAP!$D:$X,12,0)</f>
        <v>5.5399999999999998E-2</v>
      </c>
      <c r="K42" s="75" t="str">
        <f>VLOOKUP($B42,[5]SAP!$D:$X,19,0)</f>
        <v>CNY</v>
      </c>
      <c r="L42" s="58" t="str">
        <f>VLOOKUP($B42,[5]SAP!$D:$X,8,0)</f>
        <v>广东顺德集财电子有限公司</v>
      </c>
      <c r="M42" s="75">
        <f t="shared" si="5"/>
        <v>5.5399999999999998E-2</v>
      </c>
      <c r="N42" s="75"/>
      <c r="O42" s="75"/>
      <c r="P42" s="75">
        <f>VLOOKUP($B42,[5]SAP!$D:$X,17,0)</f>
        <v>84</v>
      </c>
      <c r="Q42" s="75">
        <f>VLOOKUP($B42,[5]SAP!$D:$X,21,0)</f>
        <v>10000</v>
      </c>
      <c r="R42" s="75">
        <f>VLOOKUP($B42,[5]SAP!$D:$X,20,0)</f>
        <v>10000</v>
      </c>
      <c r="S42" s="86" t="s">
        <v>225</v>
      </c>
    </row>
    <row r="43" spans="1:19" x14ac:dyDescent="0.25">
      <c r="A43" s="62"/>
      <c r="B43" s="68">
        <v>10110027253</v>
      </c>
      <c r="C43" s="64" t="s">
        <v>700</v>
      </c>
      <c r="D43" s="64" t="s">
        <v>730</v>
      </c>
      <c r="E43" s="69" t="s">
        <v>731</v>
      </c>
      <c r="F43" s="63">
        <v>2</v>
      </c>
      <c r="G43" s="248" t="s">
        <v>729</v>
      </c>
      <c r="H43" s="67"/>
      <c r="I43" s="74"/>
      <c r="J43" s="75">
        <f>VLOOKUP($B43,[5]SAP!$D:$X,12,0)</f>
        <v>1.6E-2</v>
      </c>
      <c r="K43" s="75" t="str">
        <f>VLOOKUP($B43,[5]SAP!$D:$X,19,0)</f>
        <v>CNY</v>
      </c>
      <c r="L43" s="58" t="str">
        <f>VLOOKUP($B43,[5]SAP!$D:$X,8,0)</f>
        <v>广东风华高新科技股份有限公司</v>
      </c>
      <c r="M43" s="75">
        <f t="shared" si="5"/>
        <v>1.6E-2</v>
      </c>
      <c r="N43" s="75">
        <f t="shared" si="6"/>
        <v>3.2000000000000001E-2</v>
      </c>
      <c r="O43" s="75"/>
      <c r="P43" s="75">
        <f>VLOOKUP($B43,[5]SAP!$D:$X,17,0)</f>
        <v>42</v>
      </c>
      <c r="Q43" s="75">
        <f>VLOOKUP($B43,[5]SAP!$D:$X,21,0)</f>
        <v>10000</v>
      </c>
      <c r="R43" s="75">
        <f>VLOOKUP($B43,[5]SAP!$D:$X,20,0)</f>
        <v>10000</v>
      </c>
      <c r="S43" s="86" t="s">
        <v>37</v>
      </c>
    </row>
    <row r="44" spans="1:19" x14ac:dyDescent="0.25">
      <c r="A44" s="62">
        <v>20</v>
      </c>
      <c r="B44" s="68" t="s">
        <v>38</v>
      </c>
      <c r="C44" s="64" t="s">
        <v>202</v>
      </c>
      <c r="D44" s="64" t="s">
        <v>361</v>
      </c>
      <c r="E44" s="71" t="s">
        <v>732</v>
      </c>
      <c r="F44" s="63">
        <v>1</v>
      </c>
      <c r="G44" s="64" t="s">
        <v>540</v>
      </c>
      <c r="H44" s="70" t="s">
        <v>42</v>
      </c>
      <c r="I44" s="74"/>
      <c r="J44" s="75" t="e">
        <f>VLOOKUP($B44,[5]SAP!$D:$X,12,0)</f>
        <v>#N/A</v>
      </c>
      <c r="K44" s="75" t="e">
        <f>VLOOKUP($B44,[5]SAP!$D:$X,19,0)</f>
        <v>#N/A</v>
      </c>
      <c r="L44" s="58" t="e">
        <f>VLOOKUP($B44,[5]SAP!$D:$X,8,0)</f>
        <v>#N/A</v>
      </c>
      <c r="M44" s="79">
        <v>9.6100000000000005E-3</v>
      </c>
      <c r="N44" s="79">
        <f t="shared" si="6"/>
        <v>9.6100000000000005E-3</v>
      </c>
      <c r="O44" s="80" t="s">
        <v>733</v>
      </c>
      <c r="P44" s="75" t="e">
        <f>VLOOKUP($B44,[5]SAP!$D:$X,17,0)</f>
        <v>#N/A</v>
      </c>
      <c r="Q44" s="75" t="e">
        <f>VLOOKUP($B44,[5]SAP!$D:$X,21,0)</f>
        <v>#N/A</v>
      </c>
      <c r="R44" s="75" t="e">
        <f>VLOOKUP($B44,[5]SAP!$D:$X,20,0)</f>
        <v>#N/A</v>
      </c>
      <c r="S44" s="86" t="s">
        <v>37</v>
      </c>
    </row>
    <row r="45" spans="1:19" ht="25.2" x14ac:dyDescent="0.25">
      <c r="A45" s="62">
        <v>22</v>
      </c>
      <c r="B45" s="68">
        <v>10110019208</v>
      </c>
      <c r="C45" s="64" t="s">
        <v>734</v>
      </c>
      <c r="D45" s="64" t="s">
        <v>735</v>
      </c>
      <c r="E45" s="69" t="s">
        <v>736</v>
      </c>
      <c r="F45" s="63">
        <v>1</v>
      </c>
      <c r="G45" s="248" t="s">
        <v>569</v>
      </c>
      <c r="H45" s="70" t="s">
        <v>42</v>
      </c>
      <c r="I45" s="74"/>
      <c r="J45" s="75">
        <f>VLOOKUP($B45,[5]SAP!$D:$X,12,0)</f>
        <v>0.12429999999999999</v>
      </c>
      <c r="K45" s="75" t="str">
        <f>VLOOKUP($B45,[5]SAP!$D:$X,19,0)</f>
        <v>CNY</v>
      </c>
      <c r="L45" s="58" t="str">
        <f>VLOOKUP($B45,[5]SAP!$D:$X,8,0)</f>
        <v>东莞华科电子有限公司</v>
      </c>
      <c r="M45" s="75">
        <f t="shared" ref="M45:M50" si="7">J45</f>
        <v>0.12429999999999999</v>
      </c>
      <c r="N45" s="75">
        <f t="shared" si="6"/>
        <v>0.12429999999999999</v>
      </c>
      <c r="O45" s="75"/>
      <c r="P45" s="75">
        <f>VLOOKUP($B45,[5]SAP!$D:$X,17,0)</f>
        <v>56</v>
      </c>
      <c r="Q45" s="75">
        <f>VLOOKUP($B45,[5]SAP!$D:$X,21,0)</f>
        <v>1000</v>
      </c>
      <c r="R45" s="75">
        <f>VLOOKUP($B45,[5]SAP!$D:$X,20,0)</f>
        <v>10000</v>
      </c>
      <c r="S45" s="86" t="s">
        <v>37</v>
      </c>
    </row>
    <row r="46" spans="1:19" x14ac:dyDescent="0.25">
      <c r="A46" s="62"/>
      <c r="B46" s="63" t="s">
        <v>693</v>
      </c>
      <c r="C46" s="64" t="s">
        <v>734</v>
      </c>
      <c r="D46" s="64" t="s">
        <v>737</v>
      </c>
      <c r="E46" s="71" t="s">
        <v>262</v>
      </c>
      <c r="F46" s="63">
        <v>1</v>
      </c>
      <c r="G46" s="248" t="s">
        <v>569</v>
      </c>
      <c r="H46" s="67"/>
      <c r="I46" s="74"/>
      <c r="J46" s="75" t="e">
        <f>VLOOKUP($B46,[5]SAP!$D:$X,12,0)</f>
        <v>#N/A</v>
      </c>
      <c r="K46" s="75" t="e">
        <f>VLOOKUP($B46,[5]SAP!$D:$X,19,0)</f>
        <v>#N/A</v>
      </c>
      <c r="L46" s="58" t="e">
        <f>VLOOKUP($B46,[5]SAP!$D:$X,8,0)</f>
        <v>#N/A</v>
      </c>
      <c r="M46" s="75">
        <v>0.14499999999999999</v>
      </c>
      <c r="N46" s="75"/>
      <c r="O46" s="76"/>
      <c r="P46" s="75" t="e">
        <f>VLOOKUP($B46,[5]SAP!$D:$X,17,0)</f>
        <v>#N/A</v>
      </c>
      <c r="Q46" s="75" t="e">
        <f>VLOOKUP($B46,[5]SAP!$D:$X,21,0)</f>
        <v>#N/A</v>
      </c>
      <c r="R46" s="75" t="e">
        <f>VLOOKUP($B46,[5]SAP!$D:$X,20,0)</f>
        <v>#N/A</v>
      </c>
      <c r="S46" s="86" t="s">
        <v>225</v>
      </c>
    </row>
    <row r="47" spans="1:19" x14ac:dyDescent="0.25">
      <c r="A47" s="62">
        <v>23</v>
      </c>
      <c r="B47" s="63">
        <v>1015</v>
      </c>
      <c r="C47" s="64" t="s">
        <v>293</v>
      </c>
      <c r="D47" s="64" t="s">
        <v>738</v>
      </c>
      <c r="E47" s="64" t="s">
        <v>295</v>
      </c>
      <c r="F47" s="63">
        <v>1</v>
      </c>
      <c r="G47" s="248" t="s">
        <v>542</v>
      </c>
      <c r="H47" s="67" t="s">
        <v>697</v>
      </c>
      <c r="I47" s="74"/>
      <c r="J47" s="75" t="e">
        <f>VLOOKUP($B47,[5]SAP!$D:$X,12,0)</f>
        <v>#N/A</v>
      </c>
      <c r="K47" s="75" t="e">
        <f>VLOOKUP($B47,[5]SAP!$D:$X,19,0)</f>
        <v>#N/A</v>
      </c>
      <c r="L47" s="58" t="e">
        <f>VLOOKUP($B47,[5]SAP!$D:$X,8,0)</f>
        <v>#N/A</v>
      </c>
      <c r="M47" s="75">
        <v>0.92</v>
      </c>
      <c r="N47" s="75">
        <f t="shared" ref="N47:N53" si="8">M47*F47</f>
        <v>0.92</v>
      </c>
      <c r="O47" s="75"/>
      <c r="P47" s="75">
        <v>56</v>
      </c>
      <c r="Q47" s="75">
        <v>2000</v>
      </c>
      <c r="R47" s="75">
        <v>2000</v>
      </c>
      <c r="S47" s="86" t="s">
        <v>37</v>
      </c>
    </row>
    <row r="48" spans="1:19" x14ac:dyDescent="0.25">
      <c r="A48" s="62">
        <v>24</v>
      </c>
      <c r="B48" s="68">
        <v>10190001176</v>
      </c>
      <c r="C48" s="64" t="s">
        <v>221</v>
      </c>
      <c r="D48" s="64" t="s">
        <v>571</v>
      </c>
      <c r="E48" s="69" t="s">
        <v>378</v>
      </c>
      <c r="F48" s="63">
        <v>1</v>
      </c>
      <c r="G48" s="64" t="s">
        <v>224</v>
      </c>
      <c r="H48" s="70" t="s">
        <v>42</v>
      </c>
      <c r="I48" s="74"/>
      <c r="J48" s="75">
        <f>VLOOKUP($B48,[5]SAP!$D:$X,12,0)</f>
        <v>9.5000000000000001E-2</v>
      </c>
      <c r="K48" s="75" t="str">
        <f>VLOOKUP($B48,[5]SAP!$D:$X,19,0)</f>
        <v>CNY</v>
      </c>
      <c r="L48" s="58" t="str">
        <f>VLOOKUP($B48,[5]SAP!$D:$X,8,0)</f>
        <v>东莞市贝特电子科技股份有限公司</v>
      </c>
      <c r="M48" s="75">
        <f t="shared" si="7"/>
        <v>9.5000000000000001E-2</v>
      </c>
      <c r="N48" s="75"/>
      <c r="O48" s="75"/>
      <c r="P48" s="75">
        <f>VLOOKUP($B48,[5]SAP!$D:$X,17,0)</f>
        <v>21</v>
      </c>
      <c r="Q48" s="75">
        <f>VLOOKUP($B48,[5]SAP!$D:$X,21,0)</f>
        <v>1000</v>
      </c>
      <c r="R48" s="75">
        <f>VLOOKUP($B48,[5]SAP!$D:$X,20,0)</f>
        <v>1000</v>
      </c>
      <c r="S48" s="86" t="s">
        <v>225</v>
      </c>
    </row>
    <row r="49" spans="1:19" ht="26.4" x14ac:dyDescent="0.25">
      <c r="A49" s="62"/>
      <c r="B49" s="68">
        <v>10190000675</v>
      </c>
      <c r="C49" s="64" t="s">
        <v>221</v>
      </c>
      <c r="D49" s="64" t="s">
        <v>379</v>
      </c>
      <c r="E49" s="69" t="s">
        <v>380</v>
      </c>
      <c r="F49" s="63">
        <v>1</v>
      </c>
      <c r="G49" s="64" t="s">
        <v>224</v>
      </c>
      <c r="H49" s="70" t="s">
        <v>42</v>
      </c>
      <c r="I49" s="74"/>
      <c r="J49" s="75">
        <f>VLOOKUP($B49,[5]SAP!$D:$X,12,0)</f>
        <v>8.3000000000000004E-2</v>
      </c>
      <c r="K49" s="75" t="str">
        <f>VLOOKUP($B49,[5]SAP!$D:$X,19,0)</f>
        <v>CNY</v>
      </c>
      <c r="L49" s="58" t="str">
        <f>VLOOKUP($B49,[5]SAP!$D:$X,8,0)</f>
        <v>好利来（厦门）电路保护科技有限公司</v>
      </c>
      <c r="M49" s="75">
        <f t="shared" si="7"/>
        <v>8.3000000000000004E-2</v>
      </c>
      <c r="N49" s="75">
        <f t="shared" si="8"/>
        <v>8.3000000000000004E-2</v>
      </c>
      <c r="O49" s="75"/>
      <c r="P49" s="75">
        <f>VLOOKUP($B49,[5]SAP!$D:$X,17,0)</f>
        <v>45</v>
      </c>
      <c r="Q49" s="75">
        <f>VLOOKUP($B49,[5]SAP!$D:$X,21,0)</f>
        <v>1000</v>
      </c>
      <c r="R49" s="75">
        <f>VLOOKUP($B49,[5]SAP!$D:$X,20,0)</f>
        <v>1000</v>
      </c>
      <c r="S49" s="86" t="s">
        <v>37</v>
      </c>
    </row>
    <row r="50" spans="1:19" x14ac:dyDescent="0.25">
      <c r="A50" s="62"/>
      <c r="B50" s="63">
        <v>10190002307</v>
      </c>
      <c r="C50" s="64" t="s">
        <v>221</v>
      </c>
      <c r="D50" s="64" t="s">
        <v>572</v>
      </c>
      <c r="E50" s="69" t="s">
        <v>382</v>
      </c>
      <c r="F50" s="63">
        <v>1</v>
      </c>
      <c r="G50" s="64" t="s">
        <v>224</v>
      </c>
      <c r="H50" s="70" t="s">
        <v>42</v>
      </c>
      <c r="I50" s="74"/>
      <c r="J50" s="75">
        <f>VLOOKUP($B50,[5]SAP!$D:$X,12,0)</f>
        <v>0.155</v>
      </c>
      <c r="K50" s="75" t="str">
        <f>VLOOKUP($B50,[5]SAP!$D:$X,19,0)</f>
        <v>CNY</v>
      </c>
      <c r="L50" s="58" t="str">
        <f>VLOOKUP($B50,[5]SAP!$D:$X,8,0)</f>
        <v>青岛宝融电子有限公司</v>
      </c>
      <c r="M50" s="75">
        <f t="shared" si="7"/>
        <v>0.155</v>
      </c>
      <c r="N50" s="75"/>
      <c r="O50" s="75"/>
      <c r="P50" s="75">
        <f>VLOOKUP($B50,[5]SAP!$D:$X,17,0)</f>
        <v>112</v>
      </c>
      <c r="Q50" s="75">
        <f>VLOOKUP($B50,[5]SAP!$D:$X,21,0)</f>
        <v>1400</v>
      </c>
      <c r="R50" s="75">
        <f>VLOOKUP($B50,[5]SAP!$D:$X,20,0)</f>
        <v>1400</v>
      </c>
      <c r="S50" s="86" t="s">
        <v>225</v>
      </c>
    </row>
    <row r="51" spans="1:19" x14ac:dyDescent="0.25">
      <c r="A51" s="62"/>
      <c r="B51" s="63" t="s">
        <v>693</v>
      </c>
      <c r="C51" s="248" t="s">
        <v>739</v>
      </c>
      <c r="D51" s="64" t="s">
        <v>740</v>
      </c>
      <c r="E51" s="64" t="s">
        <v>741</v>
      </c>
      <c r="F51" s="63">
        <v>1</v>
      </c>
      <c r="G51" s="248" t="s">
        <v>224</v>
      </c>
      <c r="H51" s="67"/>
      <c r="I51" s="74"/>
      <c r="J51" s="75" t="e">
        <f>VLOOKUP($B51,[5]SAP!$D:$X,12,0)</f>
        <v>#N/A</v>
      </c>
      <c r="K51" s="75" t="e">
        <f>VLOOKUP($B51,[5]SAP!$D:$X,19,0)</f>
        <v>#N/A</v>
      </c>
      <c r="L51" s="58" t="e">
        <f>VLOOKUP($B51,[5]SAP!$D:$X,8,0)</f>
        <v>#N/A</v>
      </c>
      <c r="M51" s="75">
        <v>0.1009</v>
      </c>
      <c r="N51" s="75"/>
      <c r="O51" s="76"/>
      <c r="P51" s="75" t="e">
        <f>VLOOKUP($B51,[5]SAP!$D:$X,17,0)</f>
        <v>#N/A</v>
      </c>
      <c r="Q51" s="75" t="e">
        <f>VLOOKUP($B51,[5]SAP!$D:$X,21,0)</f>
        <v>#N/A</v>
      </c>
      <c r="R51" s="75" t="e">
        <f>VLOOKUP($B51,[5]SAP!$D:$X,20,0)</f>
        <v>#N/A</v>
      </c>
      <c r="S51" s="86" t="s">
        <v>225</v>
      </c>
    </row>
    <row r="52" spans="1:19" x14ac:dyDescent="0.25">
      <c r="A52" s="62">
        <v>25</v>
      </c>
      <c r="B52" s="63" t="s">
        <v>693</v>
      </c>
      <c r="C52" s="64" t="s">
        <v>742</v>
      </c>
      <c r="D52" s="64" t="s">
        <v>743</v>
      </c>
      <c r="E52" s="71" t="s">
        <v>744</v>
      </c>
      <c r="F52" s="63">
        <v>2</v>
      </c>
      <c r="G52" s="248" t="s">
        <v>575</v>
      </c>
      <c r="H52" s="67" t="s">
        <v>697</v>
      </c>
      <c r="I52" s="74"/>
      <c r="J52" s="75" t="e">
        <f>VLOOKUP($B52,[5]SAP!$D:$X,12,0)</f>
        <v>#N/A</v>
      </c>
      <c r="K52" s="75" t="e">
        <f>VLOOKUP($B52,[5]SAP!$D:$X,19,0)</f>
        <v>#N/A</v>
      </c>
      <c r="L52" s="58" t="e">
        <f>VLOOKUP($B52,[5]SAP!$D:$X,8,0)</f>
        <v>#N/A</v>
      </c>
      <c r="M52" s="75">
        <v>1.62</v>
      </c>
      <c r="N52" s="75">
        <f t="shared" si="8"/>
        <v>3.24</v>
      </c>
      <c r="P52" s="75" t="e">
        <f>VLOOKUP($B52,[5]SAP!$D:$X,17,0)</f>
        <v>#N/A</v>
      </c>
      <c r="Q52" s="75" t="e">
        <f>VLOOKUP($B52,[5]SAP!$D:$X,21,0)</f>
        <v>#N/A</v>
      </c>
      <c r="R52" s="75" t="e">
        <f>VLOOKUP($B52,[5]SAP!$D:$X,20,0)</f>
        <v>#N/A</v>
      </c>
      <c r="S52" s="86" t="s">
        <v>37</v>
      </c>
    </row>
    <row r="53" spans="1:19" x14ac:dyDescent="0.25">
      <c r="A53" s="62">
        <v>26</v>
      </c>
      <c r="B53" s="63" t="s">
        <v>693</v>
      </c>
      <c r="C53" s="64" t="s">
        <v>576</v>
      </c>
      <c r="D53" s="64" t="s">
        <v>745</v>
      </c>
      <c r="E53" s="64"/>
      <c r="F53" s="63">
        <v>1</v>
      </c>
      <c r="G53" s="64" t="s">
        <v>233</v>
      </c>
      <c r="H53" s="67"/>
      <c r="I53" s="74"/>
      <c r="J53" s="75" t="e">
        <f>VLOOKUP($B53,[5]SAP!$D:$X,12,0)</f>
        <v>#N/A</v>
      </c>
      <c r="K53" s="75" t="e">
        <f>VLOOKUP($B53,[5]SAP!$D:$X,19,0)</f>
        <v>#N/A</v>
      </c>
      <c r="L53" s="58" t="e">
        <f>VLOOKUP($B53,[5]SAP!$D:$X,8,0)</f>
        <v>#N/A</v>
      </c>
      <c r="M53" s="81">
        <v>0.5</v>
      </c>
      <c r="N53" s="77">
        <f t="shared" si="8"/>
        <v>0.5</v>
      </c>
      <c r="O53" s="82" t="s">
        <v>234</v>
      </c>
      <c r="P53" s="75" t="e">
        <f>VLOOKUP($B53,[5]SAP!$D:$X,17,0)</f>
        <v>#N/A</v>
      </c>
      <c r="Q53" s="75" t="e">
        <f>VLOOKUP($B53,[5]SAP!$D:$X,21,0)</f>
        <v>#N/A</v>
      </c>
      <c r="R53" s="75" t="e">
        <f>VLOOKUP($B53,[5]SAP!$D:$X,20,0)</f>
        <v>#N/A</v>
      </c>
      <c r="S53" s="86" t="s">
        <v>37</v>
      </c>
    </row>
    <row r="54" spans="1:19" x14ac:dyDescent="0.25">
      <c r="A54" s="62"/>
      <c r="B54" s="68">
        <v>10120003513</v>
      </c>
      <c r="C54" s="64" t="s">
        <v>579</v>
      </c>
      <c r="D54" s="64" t="s">
        <v>580</v>
      </c>
      <c r="E54" s="69" t="s">
        <v>581</v>
      </c>
      <c r="F54" s="63">
        <v>1</v>
      </c>
      <c r="G54" s="64" t="s">
        <v>233</v>
      </c>
      <c r="H54" s="72" t="s">
        <v>746</v>
      </c>
      <c r="I54" s="74"/>
      <c r="J54" s="75">
        <f>VLOOKUP($B54,[5]SAP!$D:$X,12,0)</f>
        <v>1.52</v>
      </c>
      <c r="K54" s="75" t="str">
        <f>VLOOKUP($B54,[5]SAP!$D:$X,19,0)</f>
        <v>CNY</v>
      </c>
      <c r="L54" s="58" t="str">
        <f>VLOOKUP($B54,[5]SAP!$D:$X,8,0)</f>
        <v>伍尔特(天津)电子有限公司</v>
      </c>
      <c r="M54" s="75">
        <f t="shared" ref="M54:M60" si="9">J54</f>
        <v>1.52</v>
      </c>
      <c r="N54" s="75"/>
      <c r="O54" s="75"/>
      <c r="P54" s="75">
        <f>VLOOKUP($B54,[5]SAP!$D:$X,17,0)</f>
        <v>70</v>
      </c>
      <c r="Q54" s="75">
        <f>VLOOKUP($B54,[5]SAP!$D:$X,21,0)</f>
        <v>700</v>
      </c>
      <c r="R54" s="75">
        <f>VLOOKUP($B54,[5]SAP!$D:$X,20,0)</f>
        <v>2800</v>
      </c>
      <c r="S54" s="86" t="s">
        <v>225</v>
      </c>
    </row>
    <row r="55" spans="1:19" x14ac:dyDescent="0.25">
      <c r="A55" s="62"/>
      <c r="B55" s="68">
        <v>10120003563</v>
      </c>
      <c r="C55" s="64" t="s">
        <v>579</v>
      </c>
      <c r="D55" s="64" t="s">
        <v>582</v>
      </c>
      <c r="E55" s="69" t="s">
        <v>583</v>
      </c>
      <c r="F55" s="63">
        <v>1</v>
      </c>
      <c r="G55" s="64" t="s">
        <v>233</v>
      </c>
      <c r="H55" s="72" t="s">
        <v>746</v>
      </c>
      <c r="I55" s="74"/>
      <c r="J55" s="75">
        <f>VLOOKUP($B55,[5]SAP!$D:$X,12,0)</f>
        <v>0.61760000000000004</v>
      </c>
      <c r="K55" s="75" t="str">
        <f>VLOOKUP($B55,[5]SAP!$D:$X,19,0)</f>
        <v>CNY</v>
      </c>
      <c r="L55" s="58" t="str">
        <f>VLOOKUP($B55,[5]SAP!$D:$X,8,0)</f>
        <v>武汉三乐益电子有限公司</v>
      </c>
      <c r="M55" s="75">
        <f t="shared" si="9"/>
        <v>0.61760000000000004</v>
      </c>
      <c r="N55" s="75"/>
      <c r="O55" s="75"/>
      <c r="P55" s="75">
        <f>VLOOKUP($B55,[5]SAP!$D:$X,17,0)</f>
        <v>50</v>
      </c>
      <c r="Q55" s="75">
        <f>VLOOKUP($B55,[5]SAP!$D:$X,21,0)</f>
        <v>700</v>
      </c>
      <c r="R55" s="75">
        <f>VLOOKUP($B55,[5]SAP!$D:$X,20,0)</f>
        <v>700</v>
      </c>
      <c r="S55" s="86" t="s">
        <v>225</v>
      </c>
    </row>
    <row r="56" spans="1:19" x14ac:dyDescent="0.25">
      <c r="A56" s="62"/>
      <c r="B56" s="68">
        <v>10120009551</v>
      </c>
      <c r="C56" s="64" t="s">
        <v>579</v>
      </c>
      <c r="D56" s="64" t="s">
        <v>584</v>
      </c>
      <c r="E56" s="64" t="s">
        <v>585</v>
      </c>
      <c r="F56" s="63">
        <v>1</v>
      </c>
      <c r="G56" s="64" t="s">
        <v>233</v>
      </c>
      <c r="H56" s="72" t="s">
        <v>746</v>
      </c>
      <c r="I56" s="74"/>
      <c r="J56" s="75" t="e">
        <f>VLOOKUP($B56,[5]SAP!$D:$X,12,0)</f>
        <v>#N/A</v>
      </c>
      <c r="K56" s="75" t="e">
        <f>VLOOKUP($B56,[5]SAP!$D:$X,19,0)</f>
        <v>#N/A</v>
      </c>
      <c r="L56" s="58" t="e">
        <f>VLOOKUP($B56,[5]SAP!$D:$X,8,0)</f>
        <v>#N/A</v>
      </c>
      <c r="M56" s="83">
        <v>0.64</v>
      </c>
      <c r="N56" s="75"/>
      <c r="O56" s="84"/>
      <c r="P56" s="75" t="e">
        <f>VLOOKUP($B56,[5]SAP!$D:$X,17,0)</f>
        <v>#N/A</v>
      </c>
      <c r="Q56" s="75" t="e">
        <f>VLOOKUP($B56,[5]SAP!$D:$X,21,0)</f>
        <v>#N/A</v>
      </c>
      <c r="R56" s="75" t="e">
        <f>VLOOKUP($B56,[5]SAP!$D:$X,20,0)</f>
        <v>#N/A</v>
      </c>
      <c r="S56" s="86" t="s">
        <v>225</v>
      </c>
    </row>
    <row r="57" spans="1:19" x14ac:dyDescent="0.25">
      <c r="A57" s="62">
        <v>27</v>
      </c>
      <c r="B57" s="63" t="s">
        <v>693</v>
      </c>
      <c r="C57" s="64" t="s">
        <v>586</v>
      </c>
      <c r="D57" s="64" t="s">
        <v>587</v>
      </c>
      <c r="E57" s="64" t="s">
        <v>578</v>
      </c>
      <c r="F57" s="63">
        <v>1</v>
      </c>
      <c r="G57" s="64" t="s">
        <v>588</v>
      </c>
      <c r="H57" s="67" t="s">
        <v>697</v>
      </c>
      <c r="I57" s="74"/>
      <c r="J57" s="75" t="e">
        <f>VLOOKUP($B57,[5]SAP!$D:$X,12,0)</f>
        <v>#N/A</v>
      </c>
      <c r="K57" s="75" t="e">
        <f>VLOOKUP($B57,[5]SAP!$D:$X,19,0)</f>
        <v>#N/A</v>
      </c>
      <c r="L57" s="58" t="e">
        <f>VLOOKUP($B57,[5]SAP!$D:$X,8,0)</f>
        <v>#N/A</v>
      </c>
      <c r="M57" s="83">
        <v>5.25</v>
      </c>
      <c r="N57" s="75">
        <f t="shared" ref="N57:N59" si="10">M57*F57</f>
        <v>5.25</v>
      </c>
      <c r="O57" s="84" t="s">
        <v>238</v>
      </c>
      <c r="P57" s="75" t="e">
        <f>VLOOKUP($B57,[5]SAP!$D:$X,17,0)</f>
        <v>#N/A</v>
      </c>
      <c r="Q57" s="75" t="e">
        <f>VLOOKUP($B57,[5]SAP!$D:$X,21,0)</f>
        <v>#N/A</v>
      </c>
      <c r="R57" s="75" t="e">
        <f>VLOOKUP($B57,[5]SAP!$D:$X,20,0)</f>
        <v>#N/A</v>
      </c>
      <c r="S57" s="86" t="s">
        <v>37</v>
      </c>
    </row>
    <row r="58" spans="1:19" x14ac:dyDescent="0.25">
      <c r="A58" s="62">
        <v>28</v>
      </c>
      <c r="B58" s="63" t="s">
        <v>693</v>
      </c>
      <c r="C58" s="64" t="s">
        <v>235</v>
      </c>
      <c r="D58" s="64" t="s">
        <v>589</v>
      </c>
      <c r="E58" s="64" t="s">
        <v>578</v>
      </c>
      <c r="F58" s="63">
        <v>1</v>
      </c>
      <c r="G58" s="64" t="s">
        <v>237</v>
      </c>
      <c r="H58" s="67" t="s">
        <v>697</v>
      </c>
      <c r="I58" s="74"/>
      <c r="J58" s="75" t="e">
        <f>VLOOKUP($B58,[5]SAP!$D:$X,12,0)</f>
        <v>#N/A</v>
      </c>
      <c r="K58" s="75" t="e">
        <f>VLOOKUP($B58,[5]SAP!$D:$X,19,0)</f>
        <v>#N/A</v>
      </c>
      <c r="L58" s="58" t="e">
        <f>VLOOKUP($B58,[5]SAP!$D:$X,8,0)</f>
        <v>#N/A</v>
      </c>
      <c r="M58" s="83">
        <v>1.5854999999999999</v>
      </c>
      <c r="N58" s="75">
        <f t="shared" si="10"/>
        <v>1.5854999999999999</v>
      </c>
      <c r="O58" s="84" t="s">
        <v>238</v>
      </c>
      <c r="P58" s="75" t="e">
        <f>VLOOKUP($B58,[5]SAP!$D:$X,17,0)</f>
        <v>#N/A</v>
      </c>
      <c r="Q58" s="75" t="e">
        <f>VLOOKUP($B58,[5]SAP!$D:$X,21,0)</f>
        <v>#N/A</v>
      </c>
      <c r="R58" s="75" t="e">
        <f>VLOOKUP($B58,[5]SAP!$D:$X,20,0)</f>
        <v>#N/A</v>
      </c>
      <c r="S58" s="86" t="s">
        <v>37</v>
      </c>
    </row>
    <row r="59" spans="1:19" x14ac:dyDescent="0.25">
      <c r="A59" s="62" t="s">
        <v>747</v>
      </c>
      <c r="B59" s="63">
        <v>10160007865</v>
      </c>
      <c r="C59" s="64" t="s">
        <v>97</v>
      </c>
      <c r="D59" s="64" t="s">
        <v>107</v>
      </c>
      <c r="E59" s="69" t="s">
        <v>99</v>
      </c>
      <c r="F59" s="63">
        <v>2</v>
      </c>
      <c r="G59" s="64" t="s">
        <v>241</v>
      </c>
      <c r="H59" s="72" t="s">
        <v>746</v>
      </c>
      <c r="I59" s="74" t="s">
        <v>93</v>
      </c>
      <c r="J59" s="75">
        <f>VLOOKUP($B59,[5]SAP!$D:$X,12,0)</f>
        <v>2.75E-2</v>
      </c>
      <c r="K59" s="75" t="str">
        <f>VLOOKUP($B59,[5]SAP!$D:$X,19,0)</f>
        <v>CNY</v>
      </c>
      <c r="L59" s="58" t="str">
        <f>VLOOKUP($B59,[5]SAP!$D:$X,8,0)</f>
        <v>广东长利光电科技有限公司</v>
      </c>
      <c r="M59" s="75">
        <f t="shared" si="9"/>
        <v>2.75E-2</v>
      </c>
      <c r="N59" s="75">
        <f t="shared" si="10"/>
        <v>5.5E-2</v>
      </c>
      <c r="O59" s="75"/>
      <c r="P59" s="75">
        <f>VLOOKUP($B59,[5]SAP!$D:$X,17,0)</f>
        <v>10</v>
      </c>
      <c r="Q59" s="75">
        <f>VLOOKUP($B59,[5]SAP!$D:$X,21,0)</f>
        <v>4000</v>
      </c>
      <c r="R59" s="75">
        <f>VLOOKUP($B59,[5]SAP!$D:$X,20,0)</f>
        <v>4000</v>
      </c>
      <c r="S59" s="86" t="s">
        <v>37</v>
      </c>
    </row>
    <row r="60" spans="1:19" x14ac:dyDescent="0.25">
      <c r="A60" s="62"/>
      <c r="B60" s="63">
        <v>10160006989</v>
      </c>
      <c r="C60" s="64" t="s">
        <v>97</v>
      </c>
      <c r="D60" s="64" t="s">
        <v>110</v>
      </c>
      <c r="E60" s="69" t="s">
        <v>111</v>
      </c>
      <c r="F60" s="63">
        <v>2</v>
      </c>
      <c r="G60" s="64" t="s">
        <v>241</v>
      </c>
      <c r="H60" s="72" t="s">
        <v>746</v>
      </c>
      <c r="I60" s="74" t="s">
        <v>100</v>
      </c>
      <c r="J60" s="75">
        <f>VLOOKUP($B60,[5]SAP!$D:$X,12,0)</f>
        <v>4.8399999999999999E-2</v>
      </c>
      <c r="K60" s="75" t="str">
        <f>VLOOKUP($B60,[5]SAP!$D:$X,19,0)</f>
        <v>CNY</v>
      </c>
      <c r="L60" s="58" t="str">
        <f>VLOOKUP($B60,[5]SAP!$D:$X,8,0)</f>
        <v>浙江瑞丰光电有限公司</v>
      </c>
      <c r="M60" s="75">
        <f t="shared" si="9"/>
        <v>4.8399999999999999E-2</v>
      </c>
      <c r="N60" s="75"/>
      <c r="O60" s="75"/>
      <c r="P60" s="75">
        <f>VLOOKUP($B60,[5]SAP!$D:$X,17,0)</f>
        <v>28</v>
      </c>
      <c r="Q60" s="75">
        <f>VLOOKUP($B60,[5]SAP!$D:$X,21,0)</f>
        <v>4000</v>
      </c>
      <c r="R60" s="75">
        <f>VLOOKUP($B60,[5]SAP!$D:$X,20,0)</f>
        <v>60000</v>
      </c>
      <c r="S60" s="86" t="s">
        <v>225</v>
      </c>
    </row>
    <row r="61" spans="1:19" x14ac:dyDescent="0.25">
      <c r="A61" s="62"/>
      <c r="B61" s="63" t="s">
        <v>693</v>
      </c>
      <c r="C61" s="64" t="s">
        <v>97</v>
      </c>
      <c r="D61" s="64" t="s">
        <v>240</v>
      </c>
      <c r="E61" s="64" t="s">
        <v>105</v>
      </c>
      <c r="F61" s="63">
        <v>2</v>
      </c>
      <c r="G61" s="64" t="s">
        <v>241</v>
      </c>
      <c r="H61" s="67"/>
      <c r="I61" s="74"/>
      <c r="J61" s="75" t="e">
        <f>VLOOKUP($B61,[5]SAP!$D:$X,12,0)</f>
        <v>#N/A</v>
      </c>
      <c r="K61" s="75" t="e">
        <f>VLOOKUP($B61,[5]SAP!$D:$X,19,0)</f>
        <v>#N/A</v>
      </c>
      <c r="L61" s="58" t="e">
        <f>VLOOKUP($B61,[5]SAP!$D:$X,8,0)</f>
        <v>#N/A</v>
      </c>
      <c r="M61" s="75">
        <v>4.4999999999999998E-2</v>
      </c>
      <c r="N61" s="75"/>
      <c r="P61" s="75" t="e">
        <f>VLOOKUP($B61,[5]SAP!$D:$X,17,0)</f>
        <v>#N/A</v>
      </c>
      <c r="Q61" s="75" t="e">
        <f>VLOOKUP($B61,[5]SAP!$D:$X,21,0)</f>
        <v>#N/A</v>
      </c>
      <c r="R61" s="75" t="e">
        <f>VLOOKUP($B61,[5]SAP!$D:$X,20,0)</f>
        <v>#N/A</v>
      </c>
      <c r="S61" s="86" t="s">
        <v>225</v>
      </c>
    </row>
    <row r="62" spans="1:19" x14ac:dyDescent="0.25">
      <c r="A62" s="62">
        <v>30</v>
      </c>
      <c r="B62" s="63">
        <v>1015</v>
      </c>
      <c r="C62" s="64" t="s">
        <v>242</v>
      </c>
      <c r="D62" s="64" t="s">
        <v>243</v>
      </c>
      <c r="E62" s="64" t="s">
        <v>244</v>
      </c>
      <c r="F62" s="63">
        <v>1</v>
      </c>
      <c r="G62" s="248" t="s">
        <v>183</v>
      </c>
      <c r="H62" s="67" t="s">
        <v>697</v>
      </c>
      <c r="I62" s="74"/>
      <c r="J62" s="75" t="e">
        <f>VLOOKUP($B62,[5]SAP!$D:$X,12,0)</f>
        <v>#N/A</v>
      </c>
      <c r="K62" s="75" t="e">
        <f>VLOOKUP($B62,[5]SAP!$D:$X,19,0)</f>
        <v>#N/A</v>
      </c>
      <c r="L62" s="58" t="e">
        <f>VLOOKUP($B62,[5]SAP!$D:$X,8,0)</f>
        <v>#N/A</v>
      </c>
      <c r="M62" s="75">
        <v>0.73</v>
      </c>
      <c r="N62" s="75">
        <f t="shared" ref="N62:N67" si="11">M62*F62</f>
        <v>0.73</v>
      </c>
      <c r="O62" s="75"/>
      <c r="P62" s="75" t="e">
        <f>VLOOKUP($B62,[5]SAP!$D:$X,17,0)</f>
        <v>#N/A</v>
      </c>
      <c r="Q62" s="75" t="e">
        <f>VLOOKUP($B62,[5]SAP!$D:$X,21,0)</f>
        <v>#N/A</v>
      </c>
      <c r="R62" s="75" t="e">
        <f>VLOOKUP($B62,[5]SAP!$D:$X,20,0)</f>
        <v>#N/A</v>
      </c>
      <c r="S62" s="86" t="s">
        <v>37</v>
      </c>
    </row>
    <row r="63" spans="1:19" x14ac:dyDescent="0.25">
      <c r="A63" s="62">
        <v>31</v>
      </c>
      <c r="B63" s="63">
        <v>10150011020</v>
      </c>
      <c r="C63" s="64" t="s">
        <v>591</v>
      </c>
      <c r="D63" s="64" t="s">
        <v>395</v>
      </c>
      <c r="E63" s="69" t="s">
        <v>247</v>
      </c>
      <c r="F63" s="63">
        <v>1</v>
      </c>
      <c r="G63" s="248" t="s">
        <v>396</v>
      </c>
      <c r="H63" s="67" t="s">
        <v>697</v>
      </c>
      <c r="I63" s="74"/>
      <c r="J63" s="75">
        <f>VLOOKUP($B63,[5]SAP!$D:$X,12,0)</f>
        <v>0.56999999999999995</v>
      </c>
      <c r="K63" s="75" t="str">
        <f>VLOOKUP($B63,[5]SAP!$D:$X,19,0)</f>
        <v>CNY</v>
      </c>
      <c r="L63" s="58" t="str">
        <f>VLOOKUP($B63,[5]SAP!$D:$X,8,0)</f>
        <v>深圳市几度创想科技有限公司</v>
      </c>
      <c r="M63" s="75">
        <f>J63</f>
        <v>0.56999999999999995</v>
      </c>
      <c r="N63" s="75">
        <f t="shared" si="11"/>
        <v>0.56999999999999995</v>
      </c>
      <c r="O63" s="75"/>
      <c r="P63" s="75">
        <f>VLOOKUP($B63,[5]SAP!$D:$X,17,0)</f>
        <v>56</v>
      </c>
      <c r="Q63" s="75">
        <f>VLOOKUP($B63,[5]SAP!$D:$X,21,0)</f>
        <v>2500</v>
      </c>
      <c r="R63" s="75">
        <f>VLOOKUP($B63,[5]SAP!$D:$X,20,0)</f>
        <v>2500</v>
      </c>
      <c r="S63" s="86" t="s">
        <v>37</v>
      </c>
    </row>
    <row r="64" spans="1:19" x14ac:dyDescent="0.25">
      <c r="A64" s="62">
        <v>32</v>
      </c>
      <c r="B64" s="63">
        <v>1015</v>
      </c>
      <c r="C64" s="64" t="s">
        <v>245</v>
      </c>
      <c r="D64" s="248" t="s">
        <v>246</v>
      </c>
      <c r="E64" s="64" t="s">
        <v>247</v>
      </c>
      <c r="F64" s="63">
        <v>1</v>
      </c>
      <c r="G64" s="248" t="s">
        <v>248</v>
      </c>
      <c r="H64" s="67" t="s">
        <v>697</v>
      </c>
      <c r="I64" s="74"/>
      <c r="J64" s="75" t="e">
        <f>VLOOKUP($B64,[5]SAP!$D:$X,12,0)</f>
        <v>#N/A</v>
      </c>
      <c r="K64" s="75" t="e">
        <f>VLOOKUP($B64,[5]SAP!$D:$X,19,0)</f>
        <v>#N/A</v>
      </c>
      <c r="L64" s="58" t="e">
        <f>VLOOKUP($B64,[5]SAP!$D:$X,8,0)</f>
        <v>#N/A</v>
      </c>
      <c r="M64" s="75">
        <v>0.35</v>
      </c>
      <c r="N64" s="75">
        <f t="shared" si="11"/>
        <v>0.35</v>
      </c>
      <c r="O64" s="75"/>
      <c r="P64" s="75" t="e">
        <f>VLOOKUP($B64,[5]SAP!$D:$X,17,0)</f>
        <v>#N/A</v>
      </c>
      <c r="Q64" s="75" t="e">
        <f>VLOOKUP($B64,[5]SAP!$D:$X,21,0)</f>
        <v>#N/A</v>
      </c>
      <c r="R64" s="75" t="e">
        <f>VLOOKUP($B64,[5]SAP!$D:$X,20,0)</f>
        <v>#N/A</v>
      </c>
      <c r="S64" s="86" t="s">
        <v>37</v>
      </c>
    </row>
    <row r="65" spans="1:19" x14ac:dyDescent="0.25">
      <c r="A65" s="62">
        <v>33</v>
      </c>
      <c r="B65" s="63">
        <v>1015</v>
      </c>
      <c r="C65" s="64" t="s">
        <v>249</v>
      </c>
      <c r="D65" s="64" t="s">
        <v>250</v>
      </c>
      <c r="E65" s="64" t="s">
        <v>247</v>
      </c>
      <c r="F65" s="63">
        <v>1</v>
      </c>
      <c r="G65" s="248" t="s">
        <v>251</v>
      </c>
      <c r="H65" s="67" t="s">
        <v>697</v>
      </c>
      <c r="I65" s="74"/>
      <c r="J65" s="75" t="e">
        <f>VLOOKUP($B65,[5]SAP!$D:$X,12,0)</f>
        <v>#N/A</v>
      </c>
      <c r="K65" s="75" t="e">
        <f>VLOOKUP($B65,[5]SAP!$D:$X,19,0)</f>
        <v>#N/A</v>
      </c>
      <c r="L65" s="58" t="e">
        <f>VLOOKUP($B65,[5]SAP!$D:$X,8,0)</f>
        <v>#N/A</v>
      </c>
      <c r="M65" s="75">
        <v>0.33</v>
      </c>
      <c r="N65" s="75">
        <f t="shared" si="11"/>
        <v>0.33</v>
      </c>
      <c r="O65" s="75"/>
      <c r="P65" s="75" t="e">
        <f>VLOOKUP($B65,[5]SAP!$D:$X,17,0)</f>
        <v>#N/A</v>
      </c>
      <c r="Q65" s="75" t="e">
        <f>VLOOKUP($B65,[5]SAP!$D:$X,21,0)</f>
        <v>#N/A</v>
      </c>
      <c r="R65" s="75" t="e">
        <f>VLOOKUP($B65,[5]SAP!$D:$X,20,0)</f>
        <v>#N/A</v>
      </c>
      <c r="S65" s="86" t="s">
        <v>37</v>
      </c>
    </row>
    <row r="66" spans="1:19" x14ac:dyDescent="0.25">
      <c r="A66" s="62">
        <v>34</v>
      </c>
      <c r="B66" s="63">
        <v>1015</v>
      </c>
      <c r="C66" s="64" t="s">
        <v>252</v>
      </c>
      <c r="D66" s="64" t="s">
        <v>253</v>
      </c>
      <c r="E66" s="64" t="s">
        <v>748</v>
      </c>
      <c r="F66" s="63">
        <v>1</v>
      </c>
      <c r="G66" s="248" t="s">
        <v>255</v>
      </c>
      <c r="H66" s="72" t="s">
        <v>746</v>
      </c>
      <c r="I66" s="74"/>
      <c r="J66" s="75" t="e">
        <f>VLOOKUP($B66,[5]SAP!$D:$X,12,0)</f>
        <v>#N/A</v>
      </c>
      <c r="K66" s="75" t="e">
        <f>VLOOKUP($B66,[5]SAP!$D:$X,19,0)</f>
        <v>#N/A</v>
      </c>
      <c r="L66" s="58" t="e">
        <f>VLOOKUP($B66,[5]SAP!$D:$X,8,0)</f>
        <v>#N/A</v>
      </c>
      <c r="M66" s="75">
        <v>0.22</v>
      </c>
      <c r="N66" s="75">
        <f t="shared" si="11"/>
        <v>0.22</v>
      </c>
      <c r="O66" s="75"/>
      <c r="P66" s="75" t="e">
        <f>VLOOKUP($B66,[5]SAP!$D:$X,17,0)</f>
        <v>#N/A</v>
      </c>
      <c r="Q66" s="75" t="e">
        <f>VLOOKUP($B66,[5]SAP!$D:$X,21,0)</f>
        <v>#N/A</v>
      </c>
      <c r="R66" s="75" t="e">
        <f>VLOOKUP($B66,[5]SAP!$D:$X,20,0)</f>
        <v>#N/A</v>
      </c>
      <c r="S66" s="86" t="s">
        <v>37</v>
      </c>
    </row>
    <row r="67" spans="1:19" x14ac:dyDescent="0.25">
      <c r="A67" s="62">
        <v>35</v>
      </c>
      <c r="B67" s="68">
        <v>10150010419</v>
      </c>
      <c r="C67" s="64" t="s">
        <v>256</v>
      </c>
      <c r="D67" s="64" t="s">
        <v>257</v>
      </c>
      <c r="E67" s="64" t="s">
        <v>258</v>
      </c>
      <c r="F67" s="63">
        <v>1</v>
      </c>
      <c r="G67" s="248" t="s">
        <v>259</v>
      </c>
      <c r="H67" s="67" t="s">
        <v>697</v>
      </c>
      <c r="I67" s="74"/>
      <c r="J67" s="75" t="e">
        <f>VLOOKUP($B67,[5]SAP!$D:$X,12,0)</f>
        <v>#N/A</v>
      </c>
      <c r="K67" s="75" t="e">
        <f>VLOOKUP($B67,[5]SAP!$D:$X,19,0)</f>
        <v>#N/A</v>
      </c>
      <c r="L67" s="58" t="e">
        <f>VLOOKUP($B67,[5]SAP!$D:$X,8,0)</f>
        <v>#N/A</v>
      </c>
      <c r="M67" s="75">
        <v>1.92</v>
      </c>
      <c r="N67" s="75">
        <f t="shared" si="11"/>
        <v>1.92</v>
      </c>
      <c r="O67" s="75"/>
      <c r="P67" s="75" t="e">
        <f>VLOOKUP($B67,[5]SAP!$D:$X,17,0)</f>
        <v>#N/A</v>
      </c>
      <c r="Q67" s="75" t="e">
        <f>VLOOKUP($B67,[5]SAP!$D:$X,21,0)</f>
        <v>#N/A</v>
      </c>
      <c r="R67" s="75" t="e">
        <f>VLOOKUP($B67,[5]SAP!$D:$X,20,0)</f>
        <v>#N/A</v>
      </c>
      <c r="S67" s="86" t="s">
        <v>37</v>
      </c>
    </row>
    <row r="68" spans="1:19" x14ac:dyDescent="0.25">
      <c r="A68" s="62">
        <v>36</v>
      </c>
      <c r="B68" s="68">
        <v>10100017076</v>
      </c>
      <c r="C68" s="64" t="s">
        <v>749</v>
      </c>
      <c r="D68" s="64" t="s">
        <v>403</v>
      </c>
      <c r="E68" s="69" t="s">
        <v>704</v>
      </c>
      <c r="F68" s="63">
        <v>2</v>
      </c>
      <c r="G68" s="248" t="s">
        <v>592</v>
      </c>
      <c r="H68" s="67" t="s">
        <v>42</v>
      </c>
      <c r="I68" s="74"/>
      <c r="J68" s="75">
        <f>VLOOKUP($B68,[5]SAP!$D:$X,12,0)</f>
        <v>6.9499999999999996E-3</v>
      </c>
      <c r="K68" s="75" t="str">
        <f>VLOOKUP($B68,[5]SAP!$D:$X,19,0)</f>
        <v>CNY</v>
      </c>
      <c r="L68" s="58" t="str">
        <f>VLOOKUP($B68,[5]SAP!$D:$X,8,0)</f>
        <v>东莞华科电子有限公司</v>
      </c>
      <c r="M68" s="75">
        <f t="shared" ref="M68:M72" si="12">J68</f>
        <v>6.9499999999999996E-3</v>
      </c>
      <c r="N68" s="75"/>
      <c r="O68" s="75"/>
      <c r="P68" s="75">
        <f>VLOOKUP($B68,[5]SAP!$D:$X,17,0)</f>
        <v>70</v>
      </c>
      <c r="Q68" s="75">
        <f>VLOOKUP($B68,[5]SAP!$D:$X,21,0)</f>
        <v>5000</v>
      </c>
      <c r="R68" s="75">
        <f>VLOOKUP($B68,[5]SAP!$D:$X,20,0)</f>
        <v>5000</v>
      </c>
      <c r="S68" s="86" t="s">
        <v>225</v>
      </c>
    </row>
    <row r="69" spans="1:19" x14ac:dyDescent="0.25">
      <c r="A69" s="62"/>
      <c r="B69" s="68">
        <v>10100023928</v>
      </c>
      <c r="C69" s="64" t="s">
        <v>749</v>
      </c>
      <c r="D69" s="64" t="s">
        <v>405</v>
      </c>
      <c r="E69" s="69" t="s">
        <v>750</v>
      </c>
      <c r="F69" s="63">
        <v>2</v>
      </c>
      <c r="G69" s="248" t="s">
        <v>592</v>
      </c>
      <c r="H69" s="67" t="s">
        <v>42</v>
      </c>
      <c r="I69" s="74"/>
      <c r="J69" s="75">
        <f>VLOOKUP($B69,[5]SAP!$D:$X,12,0)</f>
        <v>6.7799999999999996E-3</v>
      </c>
      <c r="K69" s="75" t="str">
        <f>VLOOKUP($B69,[5]SAP!$D:$X,19,0)</f>
        <v>CNY</v>
      </c>
      <c r="L69" s="58" t="str">
        <f>VLOOKUP($B69,[5]SAP!$D:$X,8,0)</f>
        <v>厚声国际贸易（昆山）有限公司深圳分公司</v>
      </c>
      <c r="M69" s="75">
        <f t="shared" si="12"/>
        <v>6.7799999999999996E-3</v>
      </c>
      <c r="N69" s="75"/>
      <c r="O69" s="75"/>
      <c r="P69" s="75">
        <f>VLOOKUP($B69,[5]SAP!$D:$X,17,0)</f>
        <v>42</v>
      </c>
      <c r="Q69" s="75">
        <f>VLOOKUP($B69,[5]SAP!$D:$X,21,0)</f>
        <v>5000</v>
      </c>
      <c r="R69" s="75">
        <f>VLOOKUP($B69,[5]SAP!$D:$X,20,0)</f>
        <v>5000</v>
      </c>
      <c r="S69" s="86" t="s">
        <v>225</v>
      </c>
    </row>
    <row r="70" spans="1:19" x14ac:dyDescent="0.25">
      <c r="A70" s="62"/>
      <c r="B70" s="68">
        <v>10100023933</v>
      </c>
      <c r="C70" s="64" t="s">
        <v>749</v>
      </c>
      <c r="D70" s="64" t="s">
        <v>407</v>
      </c>
      <c r="E70" s="69" t="s">
        <v>705</v>
      </c>
      <c r="F70" s="63">
        <v>2</v>
      </c>
      <c r="G70" s="248" t="s">
        <v>592</v>
      </c>
      <c r="H70" s="67" t="s">
        <v>42</v>
      </c>
      <c r="I70" s="74"/>
      <c r="J70" s="75">
        <f>VLOOKUP($B70,[5]SAP!$D:$X,12,0)</f>
        <v>6.3699999999999998E-3</v>
      </c>
      <c r="K70" s="75" t="str">
        <f>VLOOKUP($B70,[5]SAP!$D:$X,19,0)</f>
        <v>CNY</v>
      </c>
      <c r="L70" s="58" t="str">
        <f>VLOOKUP($B70,[5]SAP!$D:$X,8,0)</f>
        <v>广东风华高新科技股份有限公司</v>
      </c>
      <c r="M70" s="75">
        <f t="shared" si="12"/>
        <v>6.3699999999999998E-3</v>
      </c>
      <c r="N70" s="75"/>
      <c r="O70" s="75"/>
      <c r="P70" s="75">
        <f>VLOOKUP($B70,[5]SAP!$D:$X,17,0)</f>
        <v>56</v>
      </c>
      <c r="Q70" s="75">
        <f>VLOOKUP($B70,[5]SAP!$D:$X,21,0)</f>
        <v>5000</v>
      </c>
      <c r="R70" s="75">
        <f>VLOOKUP($B70,[5]SAP!$D:$X,20,0)</f>
        <v>5000</v>
      </c>
      <c r="S70" s="86" t="s">
        <v>225</v>
      </c>
    </row>
    <row r="71" spans="1:19" ht="26.4" x14ac:dyDescent="0.25">
      <c r="A71" s="62"/>
      <c r="B71" s="68">
        <v>10100023938</v>
      </c>
      <c r="C71" s="64" t="s">
        <v>749</v>
      </c>
      <c r="D71" s="64" t="s">
        <v>408</v>
      </c>
      <c r="E71" s="69" t="s">
        <v>703</v>
      </c>
      <c r="F71" s="63">
        <v>2</v>
      </c>
      <c r="G71" s="248" t="s">
        <v>592</v>
      </c>
      <c r="H71" s="67"/>
      <c r="I71" s="74"/>
      <c r="J71" s="75">
        <f>VLOOKUP($B71,[5]SAP!$D:$X,12,0)</f>
        <v>8.0000000000000002E-3</v>
      </c>
      <c r="K71" s="75" t="str">
        <f>VLOOKUP($B71,[5]SAP!$D:$X,19,0)</f>
        <v>CNY</v>
      </c>
      <c r="L71" s="58" t="str">
        <f>VLOOKUP($B71,[5]SAP!$D:$X,8,0)</f>
        <v>深圳市超利维实业有限公司</v>
      </c>
      <c r="M71" s="75">
        <f t="shared" si="12"/>
        <v>8.0000000000000002E-3</v>
      </c>
      <c r="N71" s="75"/>
      <c r="O71" s="75"/>
      <c r="P71" s="75">
        <f>VLOOKUP($B71,[5]SAP!$D:$X,17,0)</f>
        <v>84</v>
      </c>
      <c r="Q71" s="75">
        <f>VLOOKUP($B71,[5]SAP!$D:$X,21,0)</f>
        <v>5000</v>
      </c>
      <c r="R71" s="75">
        <f>VLOOKUP($B71,[5]SAP!$D:$X,20,0)</f>
        <v>5000</v>
      </c>
      <c r="S71" s="86" t="s">
        <v>225</v>
      </c>
    </row>
    <row r="72" spans="1:19" x14ac:dyDescent="0.25">
      <c r="A72" s="62"/>
      <c r="B72" s="68">
        <v>10100024044</v>
      </c>
      <c r="C72" s="64" t="s">
        <v>749</v>
      </c>
      <c r="D72" s="64" t="s">
        <v>409</v>
      </c>
      <c r="E72" s="69" t="s">
        <v>751</v>
      </c>
      <c r="F72" s="63">
        <v>2</v>
      </c>
      <c r="G72" s="248" t="s">
        <v>592</v>
      </c>
      <c r="H72" s="67" t="s">
        <v>42</v>
      </c>
      <c r="I72" s="74"/>
      <c r="J72" s="75">
        <f>VLOOKUP($B72,[5]SAP!$D:$X,12,0)</f>
        <v>5.5999999999999999E-3</v>
      </c>
      <c r="K72" s="75" t="str">
        <f>VLOOKUP($B72,[5]SAP!$D:$X,19,0)</f>
        <v>CNY</v>
      </c>
      <c r="L72" s="58" t="str">
        <f>VLOOKUP($B72,[5]SAP!$D:$X,8,0)</f>
        <v>南充溢辉电子科技有限公司</v>
      </c>
      <c r="M72" s="75">
        <f t="shared" si="12"/>
        <v>5.5999999999999999E-3</v>
      </c>
      <c r="N72" s="75">
        <f>M72*F72</f>
        <v>1.12E-2</v>
      </c>
      <c r="O72" s="75"/>
      <c r="P72" s="75">
        <f>VLOOKUP($B72,[5]SAP!$D:$X,17,0)</f>
        <v>35</v>
      </c>
      <c r="Q72" s="75">
        <f>VLOOKUP($B72,[5]SAP!$D:$X,21,0)</f>
        <v>5000</v>
      </c>
      <c r="R72" s="75">
        <f>VLOOKUP($B72,[5]SAP!$D:$X,20,0)</f>
        <v>5000</v>
      </c>
      <c r="S72" s="86" t="s">
        <v>37</v>
      </c>
    </row>
    <row r="73" spans="1:19" x14ac:dyDescent="0.25">
      <c r="A73" s="62">
        <v>37</v>
      </c>
      <c r="B73" s="68" t="s">
        <v>38</v>
      </c>
      <c r="C73" s="64" t="s">
        <v>260</v>
      </c>
      <c r="D73" s="64" t="s">
        <v>261</v>
      </c>
      <c r="E73" s="64" t="s">
        <v>262</v>
      </c>
      <c r="F73" s="63">
        <v>1</v>
      </c>
      <c r="G73" s="248" t="s">
        <v>263</v>
      </c>
      <c r="H73" s="67"/>
      <c r="I73" s="74"/>
      <c r="J73" s="75" t="e">
        <f>VLOOKUP($B73,[5]SAP!$D:$X,12,0)</f>
        <v>#N/A</v>
      </c>
      <c r="K73" s="75" t="e">
        <f>VLOOKUP($B73,[5]SAP!$D:$X,19,0)</f>
        <v>#N/A</v>
      </c>
      <c r="L73" s="58" t="e">
        <f>VLOOKUP($B73,[5]SAP!$D:$X,8,0)</f>
        <v>#N/A</v>
      </c>
      <c r="M73" s="83">
        <v>0.24145</v>
      </c>
      <c r="N73" s="75">
        <f>M73*F73</f>
        <v>0.24145</v>
      </c>
      <c r="O73" s="84"/>
      <c r="P73" s="75" t="e">
        <f>VLOOKUP($B73,[5]SAP!$D:$X,17,0)</f>
        <v>#N/A</v>
      </c>
      <c r="Q73" s="75" t="e">
        <f>VLOOKUP($B73,[5]SAP!$D:$X,21,0)</f>
        <v>#N/A</v>
      </c>
      <c r="R73" s="75" t="e">
        <f>VLOOKUP($B73,[5]SAP!$D:$X,20,0)</f>
        <v>#N/A</v>
      </c>
      <c r="S73" s="86" t="s">
        <v>37</v>
      </c>
    </row>
    <row r="74" spans="1:19" x14ac:dyDescent="0.25">
      <c r="A74" s="62"/>
      <c r="B74" s="68">
        <v>10100026860</v>
      </c>
      <c r="C74" s="64" t="s">
        <v>593</v>
      </c>
      <c r="D74" s="64" t="s">
        <v>414</v>
      </c>
      <c r="E74" s="69" t="s">
        <v>594</v>
      </c>
      <c r="F74" s="63">
        <v>1</v>
      </c>
      <c r="G74" s="248" t="s">
        <v>263</v>
      </c>
      <c r="H74" s="72" t="s">
        <v>746</v>
      </c>
      <c r="I74" s="74"/>
      <c r="J74" s="75">
        <f>VLOOKUP($B74,[5]SAP!$D:$X,12,0)</f>
        <v>0.25</v>
      </c>
      <c r="K74" s="75" t="str">
        <f>VLOOKUP($B74,[5]SAP!$D:$X,19,0)</f>
        <v>CNY</v>
      </c>
      <c r="L74" s="58" t="str">
        <f>VLOOKUP($B74,[5]SAP!$D:$X,8,0)</f>
        <v>深圳安培龙科技股份有限公司</v>
      </c>
      <c r="M74" s="75">
        <f t="shared" ref="M74:M81" si="13">J74</f>
        <v>0.25</v>
      </c>
      <c r="N74" s="75"/>
      <c r="O74" s="75"/>
      <c r="P74" s="75">
        <f>VLOOKUP($B74,[5]SAP!$D:$X,17,0)</f>
        <v>28</v>
      </c>
      <c r="Q74" s="75">
        <f>VLOOKUP($B74,[5]SAP!$D:$X,21,0)</f>
        <v>500</v>
      </c>
      <c r="R74" s="75">
        <f>VLOOKUP($B74,[5]SAP!$D:$X,20,0)</f>
        <v>5000</v>
      </c>
      <c r="S74" s="86" t="s">
        <v>225</v>
      </c>
    </row>
    <row r="75" spans="1:19" ht="26.4" x14ac:dyDescent="0.25">
      <c r="A75" s="62">
        <v>38</v>
      </c>
      <c r="B75" s="68">
        <v>10100003511</v>
      </c>
      <c r="C75" s="64" t="s">
        <v>749</v>
      </c>
      <c r="D75" s="64" t="s">
        <v>416</v>
      </c>
      <c r="E75" s="69" t="s">
        <v>703</v>
      </c>
      <c r="F75" s="63">
        <v>2</v>
      </c>
      <c r="G75" s="248" t="s">
        <v>417</v>
      </c>
      <c r="H75" s="67"/>
      <c r="I75" s="74"/>
      <c r="J75" s="75">
        <f>VLOOKUP($B75,[5]SAP!$D:$X,12,0)</f>
        <v>8.0000000000000002E-3</v>
      </c>
      <c r="K75" s="75" t="str">
        <f>VLOOKUP($B75,[5]SAP!$D:$X,19,0)</f>
        <v>CNY</v>
      </c>
      <c r="L75" s="58" t="str">
        <f>VLOOKUP($B75,[5]SAP!$D:$X,8,0)</f>
        <v>深圳市欧尔法电子有限公司</v>
      </c>
      <c r="M75" s="75">
        <f t="shared" si="13"/>
        <v>8.0000000000000002E-3</v>
      </c>
      <c r="N75" s="75"/>
      <c r="O75" s="75"/>
      <c r="P75" s="75">
        <f>VLOOKUP($B75,[5]SAP!$D:$X,17,0)</f>
        <v>56</v>
      </c>
      <c r="Q75" s="75">
        <f>VLOOKUP($B75,[5]SAP!$D:$X,21,0)</f>
        <v>5000</v>
      </c>
      <c r="R75" s="75">
        <f>VLOOKUP($B75,[5]SAP!$D:$X,20,0)</f>
        <v>5000</v>
      </c>
      <c r="S75" s="86" t="s">
        <v>225</v>
      </c>
    </row>
    <row r="76" spans="1:19" x14ac:dyDescent="0.25">
      <c r="A76" s="62"/>
      <c r="B76" s="68">
        <v>10100006398</v>
      </c>
      <c r="C76" s="64" t="s">
        <v>749</v>
      </c>
      <c r="D76" s="64" t="s">
        <v>418</v>
      </c>
      <c r="E76" s="69" t="s">
        <v>705</v>
      </c>
      <c r="F76" s="63">
        <v>2</v>
      </c>
      <c r="G76" s="248" t="s">
        <v>417</v>
      </c>
      <c r="H76" s="67" t="s">
        <v>42</v>
      </c>
      <c r="I76" s="74"/>
      <c r="J76" s="75">
        <f>VLOOKUP($B76,[5]SAP!$D:$X,12,0)</f>
        <v>6.3699999999999998E-3</v>
      </c>
      <c r="K76" s="75" t="str">
        <f>VLOOKUP($B76,[5]SAP!$D:$X,19,0)</f>
        <v>CNY</v>
      </c>
      <c r="L76" s="58" t="str">
        <f>VLOOKUP($B76,[5]SAP!$D:$X,8,0)</f>
        <v>广东风华高新科技股份有限公司</v>
      </c>
      <c r="M76" s="75">
        <f t="shared" si="13"/>
        <v>6.3699999999999998E-3</v>
      </c>
      <c r="N76" s="75"/>
      <c r="O76" s="75"/>
      <c r="P76" s="75">
        <f>VLOOKUP($B76,[5]SAP!$D:$X,17,0)</f>
        <v>42</v>
      </c>
      <c r="Q76" s="75">
        <f>VLOOKUP($B76,[5]SAP!$D:$X,21,0)</f>
        <v>4000</v>
      </c>
      <c r="R76" s="75">
        <f>VLOOKUP($B76,[5]SAP!$D:$X,20,0)</f>
        <v>4000</v>
      </c>
      <c r="S76" s="86" t="s">
        <v>225</v>
      </c>
    </row>
    <row r="77" spans="1:19" x14ac:dyDescent="0.25">
      <c r="A77" s="62"/>
      <c r="B77" s="68">
        <v>10100007174</v>
      </c>
      <c r="C77" s="64" t="s">
        <v>749</v>
      </c>
      <c r="D77" s="64" t="s">
        <v>419</v>
      </c>
      <c r="E77" s="69" t="s">
        <v>704</v>
      </c>
      <c r="F77" s="63">
        <v>2</v>
      </c>
      <c r="G77" s="248" t="s">
        <v>417</v>
      </c>
      <c r="H77" s="67" t="s">
        <v>42</v>
      </c>
      <c r="I77" s="74"/>
      <c r="J77" s="75">
        <f>VLOOKUP($B77,[5]SAP!$D:$X,12,0)</f>
        <v>6.9499999999999996E-3</v>
      </c>
      <c r="K77" s="75" t="str">
        <f>VLOOKUP($B77,[5]SAP!$D:$X,19,0)</f>
        <v>CNY</v>
      </c>
      <c r="L77" s="58" t="str">
        <f>VLOOKUP($B77,[5]SAP!$D:$X,8,0)</f>
        <v>东莞华科电子有限公司</v>
      </c>
      <c r="M77" s="75">
        <f t="shared" si="13"/>
        <v>6.9499999999999996E-3</v>
      </c>
      <c r="N77" s="75"/>
      <c r="O77" s="75"/>
      <c r="P77" s="75">
        <f>VLOOKUP($B77,[5]SAP!$D:$X,17,0)</f>
        <v>56</v>
      </c>
      <c r="Q77" s="75">
        <f>VLOOKUP($B77,[5]SAP!$D:$X,21,0)</f>
        <v>5000</v>
      </c>
      <c r="R77" s="75">
        <f>VLOOKUP($B77,[5]SAP!$D:$X,20,0)</f>
        <v>5000</v>
      </c>
      <c r="S77" s="86" t="s">
        <v>225</v>
      </c>
    </row>
    <row r="78" spans="1:19" x14ac:dyDescent="0.25">
      <c r="A78" s="62"/>
      <c r="B78" s="68">
        <v>10100011096</v>
      </c>
      <c r="C78" s="64" t="s">
        <v>749</v>
      </c>
      <c r="D78" s="64" t="s">
        <v>420</v>
      </c>
      <c r="E78" s="69" t="s">
        <v>750</v>
      </c>
      <c r="F78" s="63">
        <v>2</v>
      </c>
      <c r="G78" s="248" t="s">
        <v>417</v>
      </c>
      <c r="H78" s="67" t="s">
        <v>42</v>
      </c>
      <c r="I78" s="74"/>
      <c r="J78" s="75">
        <f>VLOOKUP($B78,[5]SAP!$D:$X,12,0)</f>
        <v>6.7799999999999996E-3</v>
      </c>
      <c r="K78" s="75" t="str">
        <f>VLOOKUP($B78,[5]SAP!$D:$X,19,0)</f>
        <v>CNY</v>
      </c>
      <c r="L78" s="58" t="str">
        <f>VLOOKUP($B78,[5]SAP!$D:$X,8,0)</f>
        <v>厚声国际贸易（昆山）有限公司深圳分公司</v>
      </c>
      <c r="M78" s="75">
        <f t="shared" si="13"/>
        <v>6.7799999999999996E-3</v>
      </c>
      <c r="N78" s="75"/>
      <c r="O78" s="75"/>
      <c r="P78" s="75">
        <f>VLOOKUP($B78,[5]SAP!$D:$X,17,0)</f>
        <v>42</v>
      </c>
      <c r="Q78" s="75">
        <f>VLOOKUP($B78,[5]SAP!$D:$X,21,0)</f>
        <v>5000</v>
      </c>
      <c r="R78" s="75">
        <f>VLOOKUP($B78,[5]SAP!$D:$X,20,0)</f>
        <v>5000</v>
      </c>
      <c r="S78" s="86" t="s">
        <v>225</v>
      </c>
    </row>
    <row r="79" spans="1:19" x14ac:dyDescent="0.25">
      <c r="A79" s="62"/>
      <c r="B79" s="68">
        <v>10100017551</v>
      </c>
      <c r="C79" s="64" t="s">
        <v>749</v>
      </c>
      <c r="D79" s="64" t="s">
        <v>421</v>
      </c>
      <c r="E79" s="69" t="s">
        <v>751</v>
      </c>
      <c r="F79" s="63">
        <v>2</v>
      </c>
      <c r="G79" s="248" t="s">
        <v>417</v>
      </c>
      <c r="H79" s="67" t="s">
        <v>42</v>
      </c>
      <c r="I79" s="74"/>
      <c r="J79" s="75">
        <f>VLOOKUP($B79,[5]SAP!$D:$X,12,0)</f>
        <v>5.5999999999999999E-3</v>
      </c>
      <c r="K79" s="75" t="str">
        <f>VLOOKUP($B79,[5]SAP!$D:$X,19,0)</f>
        <v>CNY</v>
      </c>
      <c r="L79" s="58" t="str">
        <f>VLOOKUP($B79,[5]SAP!$D:$X,8,0)</f>
        <v>南充溢辉电子科技有限公司</v>
      </c>
      <c r="M79" s="75">
        <f t="shared" si="13"/>
        <v>5.5999999999999999E-3</v>
      </c>
      <c r="N79" s="75">
        <f>M79*F79</f>
        <v>1.12E-2</v>
      </c>
      <c r="O79" s="75"/>
      <c r="P79" s="75">
        <f>VLOOKUP($B79,[5]SAP!$D:$X,17,0)</f>
        <v>35</v>
      </c>
      <c r="Q79" s="75">
        <f>VLOOKUP($B79,[5]SAP!$D:$X,21,0)</f>
        <v>5000</v>
      </c>
      <c r="R79" s="75">
        <f>VLOOKUP($B79,[5]SAP!$D:$X,20,0)</f>
        <v>5000</v>
      </c>
      <c r="S79" s="86" t="s">
        <v>37</v>
      </c>
    </row>
    <row r="80" spans="1:19" x14ac:dyDescent="0.25">
      <c r="A80" s="62">
        <v>39</v>
      </c>
      <c r="B80" s="68">
        <v>10100008776</v>
      </c>
      <c r="C80" s="64" t="s">
        <v>119</v>
      </c>
      <c r="D80" s="64" t="s">
        <v>120</v>
      </c>
      <c r="E80" s="69" t="s">
        <v>60</v>
      </c>
      <c r="F80" s="63">
        <v>1</v>
      </c>
      <c r="G80" s="64" t="s">
        <v>595</v>
      </c>
      <c r="H80" s="67" t="s">
        <v>42</v>
      </c>
      <c r="I80" s="74"/>
      <c r="J80" s="75">
        <f>VLOOKUP($B80,[5]SAP!$D:$X,12,0)</f>
        <v>2.0799999999999998E-3</v>
      </c>
      <c r="K80" s="75" t="str">
        <f>VLOOKUP($B80,[5]SAP!$D:$X,19,0)</f>
        <v>CNY</v>
      </c>
      <c r="L80" s="58" t="str">
        <f>VLOOKUP($B80,[5]SAP!$D:$X,8,0)</f>
        <v>广东风华高新科技股份有限公司</v>
      </c>
      <c r="M80" s="75">
        <f t="shared" si="13"/>
        <v>2.0799999999999998E-3</v>
      </c>
      <c r="N80" s="75">
        <f>M80*F80</f>
        <v>2.0799999999999998E-3</v>
      </c>
      <c r="O80" s="75"/>
      <c r="P80" s="75">
        <f>VLOOKUP($B80,[5]SAP!$D:$X,17,0)</f>
        <v>42</v>
      </c>
      <c r="Q80" s="75">
        <f>VLOOKUP($B80,[5]SAP!$D:$X,21,0)</f>
        <v>5000</v>
      </c>
      <c r="R80" s="75">
        <f>VLOOKUP($B80,[5]SAP!$D:$X,20,0)</f>
        <v>5000</v>
      </c>
      <c r="S80" s="86" t="s">
        <v>37</v>
      </c>
    </row>
    <row r="81" spans="1:19" x14ac:dyDescent="0.25">
      <c r="A81" s="62"/>
      <c r="B81" s="68">
        <v>10100024100</v>
      </c>
      <c r="C81" s="64" t="s">
        <v>119</v>
      </c>
      <c r="D81" s="64" t="s">
        <v>120</v>
      </c>
      <c r="E81" s="69" t="s">
        <v>60</v>
      </c>
      <c r="F81" s="63">
        <v>1</v>
      </c>
      <c r="G81" s="64" t="s">
        <v>595</v>
      </c>
      <c r="H81" s="67" t="s">
        <v>42</v>
      </c>
      <c r="I81" s="74"/>
      <c r="J81" s="75">
        <f>VLOOKUP($B81,[5]SAP!$D:$X,12,0)</f>
        <v>2.0799999999999998E-3</v>
      </c>
      <c r="K81" s="75" t="str">
        <f>VLOOKUP($B81,[5]SAP!$D:$X,19,0)</f>
        <v>CNY</v>
      </c>
      <c r="L81" s="58" t="str">
        <f>VLOOKUP($B81,[5]SAP!$D:$X,8,0)</f>
        <v>广东风华高新科技股份有限公司</v>
      </c>
      <c r="M81" s="75">
        <f t="shared" si="13"/>
        <v>2.0799999999999998E-3</v>
      </c>
      <c r="N81" s="75"/>
      <c r="O81" s="75"/>
      <c r="P81" s="75">
        <f>VLOOKUP($B81,[5]SAP!$D:$X,17,0)</f>
        <v>42</v>
      </c>
      <c r="Q81" s="75">
        <f>VLOOKUP($B81,[5]SAP!$D:$X,21,0)</f>
        <v>5000</v>
      </c>
      <c r="R81" s="75">
        <f>VLOOKUP($B81,[5]SAP!$D:$X,20,0)</f>
        <v>5000</v>
      </c>
      <c r="S81" s="86"/>
    </row>
    <row r="82" spans="1:19" x14ac:dyDescent="0.25">
      <c r="A82" s="62"/>
      <c r="B82" s="68" t="s">
        <v>38</v>
      </c>
      <c r="C82" s="64" t="s">
        <v>119</v>
      </c>
      <c r="D82" s="64" t="s">
        <v>123</v>
      </c>
      <c r="E82" s="64" t="s">
        <v>124</v>
      </c>
      <c r="F82" s="63">
        <v>1</v>
      </c>
      <c r="G82" s="64" t="s">
        <v>595</v>
      </c>
      <c r="H82" s="67" t="s">
        <v>42</v>
      </c>
      <c r="I82" s="74"/>
      <c r="J82" s="75" t="e">
        <f>VLOOKUP($B82,[5]SAP!$D:$X,12,0)</f>
        <v>#N/A</v>
      </c>
      <c r="K82" s="75" t="e">
        <f>VLOOKUP($B82,[5]SAP!$D:$X,19,0)</f>
        <v>#N/A</v>
      </c>
      <c r="L82" s="58" t="e">
        <f>VLOOKUP($B82,[5]SAP!$D:$X,8,0)</f>
        <v>#N/A</v>
      </c>
      <c r="M82" s="83">
        <v>2.0999999999999999E-3</v>
      </c>
      <c r="N82" s="75"/>
      <c r="O82" s="84"/>
      <c r="P82" s="75" t="e">
        <f>VLOOKUP($B82,[5]SAP!$D:$X,17,0)</f>
        <v>#N/A</v>
      </c>
      <c r="Q82" s="75" t="e">
        <f>VLOOKUP($B82,[5]SAP!$D:$X,21,0)</f>
        <v>#N/A</v>
      </c>
      <c r="R82" s="75" t="e">
        <f>VLOOKUP($B82,[5]SAP!$D:$X,20,0)</f>
        <v>#N/A</v>
      </c>
      <c r="S82" s="86" t="s">
        <v>225</v>
      </c>
    </row>
    <row r="83" spans="1:19" ht="26.4" x14ac:dyDescent="0.25">
      <c r="A83" s="62">
        <v>40</v>
      </c>
      <c r="B83" s="68">
        <v>10100007615</v>
      </c>
      <c r="C83" s="64" t="s">
        <v>749</v>
      </c>
      <c r="D83" s="64" t="s">
        <v>138</v>
      </c>
      <c r="E83" s="69" t="s">
        <v>703</v>
      </c>
      <c r="F83" s="63">
        <v>13</v>
      </c>
      <c r="G83" s="64" t="s">
        <v>596</v>
      </c>
      <c r="H83" s="67"/>
      <c r="I83" s="74"/>
      <c r="J83" s="75">
        <f>VLOOKUP($B83,[5]SAP!$D:$X,12,0)</f>
        <v>1.4E-3</v>
      </c>
      <c r="K83" s="75" t="str">
        <f>VLOOKUP($B83,[5]SAP!$D:$X,19,0)</f>
        <v>CNY</v>
      </c>
      <c r="L83" s="58" t="str">
        <f>VLOOKUP($B83,[5]SAP!$D:$X,8,0)</f>
        <v>深圳市超利维实业有限公司</v>
      </c>
      <c r="M83" s="75">
        <f t="shared" ref="M83:M105" si="14">J83</f>
        <v>1.4E-3</v>
      </c>
      <c r="N83" s="75"/>
      <c r="O83" s="75"/>
      <c r="P83" s="75">
        <f>VLOOKUP($B83,[5]SAP!$D:$X,17,0)</f>
        <v>84</v>
      </c>
      <c r="Q83" s="75">
        <f>VLOOKUP($B83,[5]SAP!$D:$X,21,0)</f>
        <v>10000</v>
      </c>
      <c r="R83" s="75">
        <f>VLOOKUP($B83,[5]SAP!$D:$X,20,0)</f>
        <v>10000</v>
      </c>
      <c r="S83" s="86" t="s">
        <v>225</v>
      </c>
    </row>
    <row r="84" spans="1:19" x14ac:dyDescent="0.25">
      <c r="A84" s="62"/>
      <c r="B84" s="68">
        <v>10100008302</v>
      </c>
      <c r="C84" s="64" t="s">
        <v>749</v>
      </c>
      <c r="D84" s="64" t="s">
        <v>140</v>
      </c>
      <c r="E84" s="69" t="s">
        <v>704</v>
      </c>
      <c r="F84" s="63">
        <v>13</v>
      </c>
      <c r="G84" s="64" t="s">
        <v>596</v>
      </c>
      <c r="H84" s="67" t="s">
        <v>42</v>
      </c>
      <c r="I84" s="74"/>
      <c r="J84" s="75">
        <f>VLOOKUP($B84,[5]SAP!$D:$X,12,0)</f>
        <v>1.17E-3</v>
      </c>
      <c r="K84" s="75" t="str">
        <f>VLOOKUP($B84,[5]SAP!$D:$X,19,0)</f>
        <v>CNY</v>
      </c>
      <c r="L84" s="58" t="str">
        <f>VLOOKUP($B84,[5]SAP!$D:$X,8,0)</f>
        <v>东莞华科电子有限公司</v>
      </c>
      <c r="M84" s="75">
        <f t="shared" si="14"/>
        <v>1.17E-3</v>
      </c>
      <c r="N84" s="75"/>
      <c r="O84" s="75"/>
      <c r="P84" s="75">
        <f>VLOOKUP($B84,[5]SAP!$D:$X,17,0)</f>
        <v>56</v>
      </c>
      <c r="Q84" s="75">
        <f>VLOOKUP($B84,[5]SAP!$D:$X,21,0)</f>
        <v>10000</v>
      </c>
      <c r="R84" s="75">
        <f>VLOOKUP($B84,[5]SAP!$D:$X,20,0)</f>
        <v>10000</v>
      </c>
      <c r="S84" s="86" t="s">
        <v>225</v>
      </c>
    </row>
    <row r="85" spans="1:19" x14ac:dyDescent="0.25">
      <c r="A85" s="62"/>
      <c r="B85" s="68">
        <v>10100013093</v>
      </c>
      <c r="C85" s="64" t="s">
        <v>749</v>
      </c>
      <c r="D85" s="64" t="s">
        <v>141</v>
      </c>
      <c r="E85" s="69" t="s">
        <v>750</v>
      </c>
      <c r="F85" s="63">
        <v>13</v>
      </c>
      <c r="G85" s="64" t="s">
        <v>596</v>
      </c>
      <c r="H85" s="67" t="s">
        <v>42</v>
      </c>
      <c r="I85" s="74"/>
      <c r="J85" s="75">
        <f>VLOOKUP($B85,[5]SAP!$D:$X,12,0)</f>
        <v>1.09E-3</v>
      </c>
      <c r="K85" s="75" t="str">
        <f>VLOOKUP($B85,[5]SAP!$D:$X,19,0)</f>
        <v>CNY</v>
      </c>
      <c r="L85" s="58" t="str">
        <f>VLOOKUP($B85,[5]SAP!$D:$X,8,0)</f>
        <v>厚声国际贸易（昆山）有限公司深圳分公司</v>
      </c>
      <c r="M85" s="75">
        <f t="shared" si="14"/>
        <v>1.09E-3</v>
      </c>
      <c r="N85" s="75"/>
      <c r="O85" s="75"/>
      <c r="P85" s="75">
        <f>VLOOKUP($B85,[5]SAP!$D:$X,17,0)</f>
        <v>42</v>
      </c>
      <c r="Q85" s="75">
        <f>VLOOKUP($B85,[5]SAP!$D:$X,21,0)</f>
        <v>10000</v>
      </c>
      <c r="R85" s="75">
        <f>VLOOKUP($B85,[5]SAP!$D:$X,20,0)</f>
        <v>10000</v>
      </c>
      <c r="S85" s="86" t="s">
        <v>225</v>
      </c>
    </row>
    <row r="86" spans="1:19" x14ac:dyDescent="0.25">
      <c r="A86" s="62"/>
      <c r="B86" s="68">
        <v>10100013936</v>
      </c>
      <c r="C86" s="64" t="s">
        <v>749</v>
      </c>
      <c r="D86" s="64" t="s">
        <v>142</v>
      </c>
      <c r="E86" s="69" t="s">
        <v>705</v>
      </c>
      <c r="F86" s="63">
        <v>13</v>
      </c>
      <c r="G86" s="64" t="s">
        <v>596</v>
      </c>
      <c r="H86" s="67" t="s">
        <v>42</v>
      </c>
      <c r="I86" s="74"/>
      <c r="J86" s="75">
        <f>VLOOKUP($B86,[5]SAP!$D:$X,12,0)</f>
        <v>1.1000000000000001E-3</v>
      </c>
      <c r="K86" s="75" t="str">
        <f>VLOOKUP($B86,[5]SAP!$D:$X,19,0)</f>
        <v>CNY</v>
      </c>
      <c r="L86" s="58" t="str">
        <f>VLOOKUP($B86,[5]SAP!$D:$X,8,0)</f>
        <v>广东风华高新科技股份有限公司</v>
      </c>
      <c r="M86" s="75">
        <f t="shared" si="14"/>
        <v>1.1000000000000001E-3</v>
      </c>
      <c r="N86" s="75"/>
      <c r="O86" s="75"/>
      <c r="P86" s="75">
        <f>VLOOKUP($B86,[5]SAP!$D:$X,17,0)</f>
        <v>42</v>
      </c>
      <c r="Q86" s="75">
        <f>VLOOKUP($B86,[5]SAP!$D:$X,21,0)</f>
        <v>10000</v>
      </c>
      <c r="R86" s="75">
        <f>VLOOKUP($B86,[5]SAP!$D:$X,20,0)</f>
        <v>10000</v>
      </c>
      <c r="S86" s="86" t="s">
        <v>225</v>
      </c>
    </row>
    <row r="87" spans="1:19" x14ac:dyDescent="0.25">
      <c r="A87" s="62"/>
      <c r="B87" s="68">
        <v>10100017616</v>
      </c>
      <c r="C87" s="64" t="s">
        <v>749</v>
      </c>
      <c r="D87" s="64" t="s">
        <v>143</v>
      </c>
      <c r="E87" s="69" t="s">
        <v>751</v>
      </c>
      <c r="F87" s="63">
        <v>13</v>
      </c>
      <c r="G87" s="64" t="s">
        <v>596</v>
      </c>
      <c r="H87" s="67" t="s">
        <v>42</v>
      </c>
      <c r="I87" s="74"/>
      <c r="J87" s="75">
        <f>VLOOKUP($B87,[5]SAP!$D:$X,12,0)</f>
        <v>9.7999999999999997E-4</v>
      </c>
      <c r="K87" s="75" t="str">
        <f>VLOOKUP($B87,[5]SAP!$D:$X,19,0)</f>
        <v>CNY</v>
      </c>
      <c r="L87" s="58" t="str">
        <f>VLOOKUP($B87,[5]SAP!$D:$X,8,0)</f>
        <v>恒辉电阻（益阳）有限公司</v>
      </c>
      <c r="M87" s="75">
        <f t="shared" si="14"/>
        <v>9.7999999999999997E-4</v>
      </c>
      <c r="N87" s="75">
        <f>M87*F87</f>
        <v>1.274E-2</v>
      </c>
      <c r="O87" s="75"/>
      <c r="P87" s="75">
        <f>VLOOKUP($B87,[5]SAP!$D:$X,17,0)</f>
        <v>42</v>
      </c>
      <c r="Q87" s="75">
        <f>VLOOKUP($B87,[5]SAP!$D:$X,21,0)</f>
        <v>10000</v>
      </c>
      <c r="R87" s="75">
        <f>VLOOKUP($B87,[5]SAP!$D:$X,20,0)</f>
        <v>10000</v>
      </c>
      <c r="S87" s="86" t="s">
        <v>37</v>
      </c>
    </row>
    <row r="88" spans="1:19" ht="26.4" x14ac:dyDescent="0.25">
      <c r="A88" s="62">
        <v>41</v>
      </c>
      <c r="B88" s="68">
        <v>10100002715</v>
      </c>
      <c r="C88" s="64" t="s">
        <v>749</v>
      </c>
      <c r="D88" s="64" t="s">
        <v>425</v>
      </c>
      <c r="E88" s="69" t="s">
        <v>703</v>
      </c>
      <c r="F88" s="63">
        <v>1</v>
      </c>
      <c r="G88" s="248" t="s">
        <v>426</v>
      </c>
      <c r="H88" s="67"/>
      <c r="I88" s="74"/>
      <c r="J88" s="75">
        <f>VLOOKUP($B88,[5]SAP!$D:$X,12,0)</f>
        <v>4.7999999999999996E-3</v>
      </c>
      <c r="K88" s="75" t="str">
        <f>VLOOKUP($B88,[5]SAP!$D:$X,19,0)</f>
        <v>CNY</v>
      </c>
      <c r="L88" s="58" t="str">
        <f>VLOOKUP($B88,[5]SAP!$D:$X,8,0)</f>
        <v>深圳市欧尔法电子有限公司</v>
      </c>
      <c r="M88" s="75">
        <f t="shared" si="14"/>
        <v>4.7999999999999996E-3</v>
      </c>
      <c r="N88" s="75"/>
      <c r="O88" s="75"/>
      <c r="P88" s="75">
        <f>VLOOKUP($B88,[5]SAP!$D:$X,17,0)</f>
        <v>70</v>
      </c>
      <c r="Q88" s="75">
        <f>VLOOKUP($B88,[5]SAP!$D:$X,21,0)</f>
        <v>5000</v>
      </c>
      <c r="R88" s="75">
        <f>VLOOKUP($B88,[5]SAP!$D:$X,20,0)</f>
        <v>5000</v>
      </c>
      <c r="S88" s="86" t="s">
        <v>225</v>
      </c>
    </row>
    <row r="89" spans="1:19" x14ac:dyDescent="0.25">
      <c r="A89" s="62"/>
      <c r="B89" s="68">
        <v>10100005503</v>
      </c>
      <c r="C89" s="64" t="s">
        <v>749</v>
      </c>
      <c r="D89" s="64" t="s">
        <v>427</v>
      </c>
      <c r="E89" s="69" t="s">
        <v>750</v>
      </c>
      <c r="F89" s="63">
        <v>1</v>
      </c>
      <c r="G89" s="248" t="s">
        <v>426</v>
      </c>
      <c r="H89" s="67" t="s">
        <v>42</v>
      </c>
      <c r="I89" s="74"/>
      <c r="J89" s="75">
        <f>VLOOKUP($B89,[5]SAP!$D:$X,12,0)</f>
        <v>3.8E-3</v>
      </c>
      <c r="K89" s="75" t="str">
        <f>VLOOKUP($B89,[5]SAP!$D:$X,19,0)</f>
        <v>CNY</v>
      </c>
      <c r="L89" s="58" t="str">
        <f>VLOOKUP($B89,[5]SAP!$D:$X,8,0)</f>
        <v>厚声国际贸易（昆山）有限公司深圳分公司</v>
      </c>
      <c r="M89" s="75">
        <f t="shared" si="14"/>
        <v>3.8E-3</v>
      </c>
      <c r="N89" s="75"/>
      <c r="O89" s="75"/>
      <c r="P89" s="75">
        <f>VLOOKUP($B89,[5]SAP!$D:$X,17,0)</f>
        <v>56</v>
      </c>
      <c r="Q89" s="75">
        <f>VLOOKUP($B89,[5]SAP!$D:$X,21,0)</f>
        <v>5000</v>
      </c>
      <c r="R89" s="75">
        <f>VLOOKUP($B89,[5]SAP!$D:$X,20,0)</f>
        <v>5000</v>
      </c>
      <c r="S89" s="86" t="s">
        <v>225</v>
      </c>
    </row>
    <row r="90" spans="1:19" x14ac:dyDescent="0.25">
      <c r="A90" s="62"/>
      <c r="B90" s="68">
        <v>10100006627</v>
      </c>
      <c r="C90" s="64" t="s">
        <v>749</v>
      </c>
      <c r="D90" s="64" t="s">
        <v>428</v>
      </c>
      <c r="E90" s="69" t="s">
        <v>705</v>
      </c>
      <c r="F90" s="63">
        <v>1</v>
      </c>
      <c r="G90" s="248" t="s">
        <v>426</v>
      </c>
      <c r="H90" s="67" t="s">
        <v>42</v>
      </c>
      <c r="I90" s="74"/>
      <c r="J90" s="75">
        <f>VLOOKUP($B90,[5]SAP!$D:$X,12,0)</f>
        <v>3.7200000000000002E-3</v>
      </c>
      <c r="K90" s="75" t="str">
        <f>VLOOKUP($B90,[5]SAP!$D:$X,19,0)</f>
        <v>CNY</v>
      </c>
      <c r="L90" s="58" t="str">
        <f>VLOOKUP($B90,[5]SAP!$D:$X,8,0)</f>
        <v>广东风华高新科技股份有限公司</v>
      </c>
      <c r="M90" s="75">
        <f t="shared" si="14"/>
        <v>3.7200000000000002E-3</v>
      </c>
      <c r="N90" s="75"/>
      <c r="O90" s="75"/>
      <c r="P90" s="75">
        <f>VLOOKUP($B90,[5]SAP!$D:$X,17,0)</f>
        <v>42</v>
      </c>
      <c r="Q90" s="75">
        <f>VLOOKUP($B90,[5]SAP!$D:$X,21,0)</f>
        <v>5000</v>
      </c>
      <c r="R90" s="75">
        <f>VLOOKUP($B90,[5]SAP!$D:$X,20,0)</f>
        <v>5000</v>
      </c>
      <c r="S90" s="86" t="s">
        <v>225</v>
      </c>
    </row>
    <row r="91" spans="1:19" x14ac:dyDescent="0.25">
      <c r="A91" s="62"/>
      <c r="B91" s="68">
        <v>10100007109</v>
      </c>
      <c r="C91" s="64" t="s">
        <v>749</v>
      </c>
      <c r="D91" s="64" t="s">
        <v>429</v>
      </c>
      <c r="E91" s="69" t="s">
        <v>704</v>
      </c>
      <c r="F91" s="63">
        <v>1</v>
      </c>
      <c r="G91" s="248" t="s">
        <v>426</v>
      </c>
      <c r="H91" s="67" t="s">
        <v>42</v>
      </c>
      <c r="I91" s="74"/>
      <c r="J91" s="75">
        <f>VLOOKUP($B91,[5]SAP!$D:$X,12,0)</f>
        <v>3.8800000000000002E-3</v>
      </c>
      <c r="K91" s="75" t="str">
        <f>VLOOKUP($B91,[5]SAP!$D:$X,19,0)</f>
        <v>CNY</v>
      </c>
      <c r="L91" s="58" t="str">
        <f>VLOOKUP($B91,[5]SAP!$D:$X,8,0)</f>
        <v>东莞华科电子有限公司</v>
      </c>
      <c r="M91" s="75">
        <f t="shared" si="14"/>
        <v>3.8800000000000002E-3</v>
      </c>
      <c r="N91" s="75"/>
      <c r="O91" s="75"/>
      <c r="P91" s="75">
        <f>VLOOKUP($B91,[5]SAP!$D:$X,17,0)</f>
        <v>56</v>
      </c>
      <c r="Q91" s="75">
        <f>VLOOKUP($B91,[5]SAP!$D:$X,21,0)</f>
        <v>5000</v>
      </c>
      <c r="R91" s="75">
        <f>VLOOKUP($B91,[5]SAP!$D:$X,20,0)</f>
        <v>5000</v>
      </c>
      <c r="S91" s="86" t="s">
        <v>225</v>
      </c>
    </row>
    <row r="92" spans="1:19" x14ac:dyDescent="0.25">
      <c r="A92" s="62"/>
      <c r="B92" s="68">
        <v>10100018253</v>
      </c>
      <c r="C92" s="64" t="s">
        <v>749</v>
      </c>
      <c r="D92" s="64" t="s">
        <v>430</v>
      </c>
      <c r="E92" s="69" t="s">
        <v>751</v>
      </c>
      <c r="F92" s="63">
        <v>1</v>
      </c>
      <c r="G92" s="248" t="s">
        <v>426</v>
      </c>
      <c r="H92" s="67" t="s">
        <v>42</v>
      </c>
      <c r="I92" s="74"/>
      <c r="J92" s="75">
        <f>VLOOKUP($B92,[5]SAP!$D:$X,12,0)</f>
        <v>3.3500000000000001E-3</v>
      </c>
      <c r="K92" s="75" t="str">
        <f>VLOOKUP($B92,[5]SAP!$D:$X,19,0)</f>
        <v>CNY</v>
      </c>
      <c r="L92" s="58" t="str">
        <f>VLOOKUP($B92,[5]SAP!$D:$X,8,0)</f>
        <v>恒辉电阻（益阳）有限公司</v>
      </c>
      <c r="M92" s="75">
        <f t="shared" si="14"/>
        <v>3.3500000000000001E-3</v>
      </c>
      <c r="N92" s="75">
        <f>M92*F92</f>
        <v>3.3500000000000001E-3</v>
      </c>
      <c r="O92" s="75"/>
      <c r="P92" s="75">
        <f>VLOOKUP($B92,[5]SAP!$D:$X,17,0)</f>
        <v>42</v>
      </c>
      <c r="Q92" s="75">
        <f>VLOOKUP($B92,[5]SAP!$D:$X,21,0)</f>
        <v>5000</v>
      </c>
      <c r="R92" s="75">
        <f>VLOOKUP($B92,[5]SAP!$D:$X,20,0)</f>
        <v>5000</v>
      </c>
      <c r="S92" s="86" t="s">
        <v>37</v>
      </c>
    </row>
    <row r="93" spans="1:19" ht="26.4" x14ac:dyDescent="0.25">
      <c r="A93" s="62">
        <v>42</v>
      </c>
      <c r="B93" s="68">
        <v>10100011726</v>
      </c>
      <c r="C93" s="64" t="s">
        <v>752</v>
      </c>
      <c r="D93" s="64" t="s">
        <v>145</v>
      </c>
      <c r="E93" s="69" t="s">
        <v>703</v>
      </c>
      <c r="F93" s="63">
        <v>8</v>
      </c>
      <c r="G93" s="64" t="s">
        <v>753</v>
      </c>
      <c r="H93" s="67"/>
      <c r="I93" s="74"/>
      <c r="J93" s="75">
        <f>VLOOKUP($B93,[5]SAP!$D:$X,12,0)</f>
        <v>1.39E-3</v>
      </c>
      <c r="K93" s="75" t="str">
        <f>VLOOKUP($B93,[5]SAP!$D:$X,19,0)</f>
        <v>CNY</v>
      </c>
      <c r="L93" s="58" t="str">
        <f>VLOOKUP($B93,[5]SAP!$D:$X,8,0)</f>
        <v>深圳市欧尔法电子有限公司</v>
      </c>
      <c r="M93" s="75">
        <f t="shared" si="14"/>
        <v>1.39E-3</v>
      </c>
      <c r="N93" s="75"/>
      <c r="O93" s="75"/>
      <c r="P93" s="75">
        <f>VLOOKUP($B93,[5]SAP!$D:$X,17,0)</f>
        <v>56</v>
      </c>
      <c r="Q93" s="75">
        <f>VLOOKUP($B93,[5]SAP!$D:$X,21,0)</f>
        <v>10000</v>
      </c>
      <c r="R93" s="75">
        <f>VLOOKUP($B93,[5]SAP!$D:$X,20,0)</f>
        <v>10000</v>
      </c>
      <c r="S93" s="86" t="s">
        <v>225</v>
      </c>
    </row>
    <row r="94" spans="1:19" x14ac:dyDescent="0.25">
      <c r="A94" s="62"/>
      <c r="B94" s="68">
        <v>10100011993</v>
      </c>
      <c r="C94" s="64" t="s">
        <v>752</v>
      </c>
      <c r="D94" s="64" t="s">
        <v>148</v>
      </c>
      <c r="E94" s="69" t="s">
        <v>705</v>
      </c>
      <c r="F94" s="63">
        <v>8</v>
      </c>
      <c r="G94" s="64" t="s">
        <v>753</v>
      </c>
      <c r="H94" s="67" t="s">
        <v>42</v>
      </c>
      <c r="I94" s="74"/>
      <c r="J94" s="75">
        <f>VLOOKUP($B94,[5]SAP!$D:$X,12,0)</f>
        <v>1.1000000000000001E-3</v>
      </c>
      <c r="K94" s="75" t="str">
        <f>VLOOKUP($B94,[5]SAP!$D:$X,19,0)</f>
        <v>CNY</v>
      </c>
      <c r="L94" s="58" t="str">
        <f>VLOOKUP($B94,[5]SAP!$D:$X,8,0)</f>
        <v>广东风华高新科技股份有限公司</v>
      </c>
      <c r="M94" s="75">
        <f t="shared" si="14"/>
        <v>1.1000000000000001E-3</v>
      </c>
      <c r="N94" s="75"/>
      <c r="O94" s="75"/>
      <c r="P94" s="75">
        <f>VLOOKUP($B94,[5]SAP!$D:$X,17,0)</f>
        <v>42</v>
      </c>
      <c r="Q94" s="75">
        <f>VLOOKUP($B94,[5]SAP!$D:$X,21,0)</f>
        <v>10000</v>
      </c>
      <c r="R94" s="75">
        <f>VLOOKUP($B94,[5]SAP!$D:$X,20,0)</f>
        <v>10000</v>
      </c>
      <c r="S94" s="86" t="s">
        <v>225</v>
      </c>
    </row>
    <row r="95" spans="1:19" x14ac:dyDescent="0.25">
      <c r="A95" s="62"/>
      <c r="B95" s="68">
        <v>10100017738</v>
      </c>
      <c r="C95" s="64" t="s">
        <v>749</v>
      </c>
      <c r="D95" s="64" t="s">
        <v>149</v>
      </c>
      <c r="E95" s="69" t="s">
        <v>751</v>
      </c>
      <c r="F95" s="63">
        <v>8</v>
      </c>
      <c r="G95" s="64" t="s">
        <v>753</v>
      </c>
      <c r="H95" s="67" t="s">
        <v>42</v>
      </c>
      <c r="I95" s="74"/>
      <c r="J95" s="75">
        <f>VLOOKUP($B95,[5]SAP!$D:$X,12,0)</f>
        <v>9.7999999999999997E-4</v>
      </c>
      <c r="K95" s="75" t="str">
        <f>VLOOKUP($B95,[5]SAP!$D:$X,19,0)</f>
        <v>CNY</v>
      </c>
      <c r="L95" s="58" t="str">
        <f>VLOOKUP($B95,[5]SAP!$D:$X,8,0)</f>
        <v>恒辉电阻（益阳）有限公司</v>
      </c>
      <c r="M95" s="75">
        <f t="shared" si="14"/>
        <v>9.7999999999999997E-4</v>
      </c>
      <c r="N95" s="75">
        <f>M95*F95</f>
        <v>7.8399999999999997E-3</v>
      </c>
      <c r="O95" s="75"/>
      <c r="P95" s="75">
        <f>VLOOKUP($B95,[5]SAP!$D:$X,17,0)</f>
        <v>42</v>
      </c>
      <c r="Q95" s="75">
        <f>VLOOKUP($B95,[5]SAP!$D:$X,21,0)</f>
        <v>10000</v>
      </c>
      <c r="R95" s="75">
        <f>VLOOKUP($B95,[5]SAP!$D:$X,20,0)</f>
        <v>10000</v>
      </c>
      <c r="S95" s="86" t="s">
        <v>37</v>
      </c>
    </row>
    <row r="96" spans="1:19" x14ac:dyDescent="0.25">
      <c r="A96" s="62">
        <v>43</v>
      </c>
      <c r="B96" s="68">
        <v>10100008057</v>
      </c>
      <c r="C96" s="64" t="s">
        <v>749</v>
      </c>
      <c r="D96" s="64" t="s">
        <v>433</v>
      </c>
      <c r="E96" s="69" t="s">
        <v>705</v>
      </c>
      <c r="F96" s="63">
        <v>4</v>
      </c>
      <c r="G96" s="64" t="s">
        <v>434</v>
      </c>
      <c r="H96" s="67" t="s">
        <v>42</v>
      </c>
      <c r="I96" s="74"/>
      <c r="J96" s="75">
        <f>VLOOKUP($B96,[5]SAP!$D:$X,12,0)</f>
        <v>1.1000000000000001E-3</v>
      </c>
      <c r="K96" s="75" t="str">
        <f>VLOOKUP($B96,[5]SAP!$D:$X,19,0)</f>
        <v>CNY</v>
      </c>
      <c r="L96" s="58" t="str">
        <f>VLOOKUP($B96,[5]SAP!$D:$X,8,0)</f>
        <v>广东风华高新科技股份有限公司</v>
      </c>
      <c r="M96" s="75">
        <f t="shared" si="14"/>
        <v>1.1000000000000001E-3</v>
      </c>
      <c r="N96" s="75"/>
      <c r="O96" s="75"/>
      <c r="P96" s="75">
        <f>VLOOKUP($B96,[5]SAP!$D:$X,17,0)</f>
        <v>42</v>
      </c>
      <c r="Q96" s="75">
        <f>VLOOKUP($B96,[5]SAP!$D:$X,21,0)</f>
        <v>10000</v>
      </c>
      <c r="R96" s="75">
        <f>VLOOKUP($B96,[5]SAP!$D:$X,20,0)</f>
        <v>10000</v>
      </c>
      <c r="S96" s="86" t="s">
        <v>225</v>
      </c>
    </row>
    <row r="97" spans="1:19" x14ac:dyDescent="0.25">
      <c r="A97" s="62"/>
      <c r="B97" s="68">
        <v>10100008069</v>
      </c>
      <c r="C97" s="64" t="s">
        <v>749</v>
      </c>
      <c r="D97" s="64" t="s">
        <v>435</v>
      </c>
      <c r="E97" s="69" t="s">
        <v>704</v>
      </c>
      <c r="F97" s="63">
        <v>4</v>
      </c>
      <c r="G97" s="64" t="s">
        <v>434</v>
      </c>
      <c r="H97" s="67" t="s">
        <v>42</v>
      </c>
      <c r="I97" s="74"/>
      <c r="J97" s="75">
        <f>VLOOKUP($B97,[5]SAP!$D:$X,12,0)</f>
        <v>1.17E-3</v>
      </c>
      <c r="K97" s="75" t="str">
        <f>VLOOKUP($B97,[5]SAP!$D:$X,19,0)</f>
        <v>CNY</v>
      </c>
      <c r="L97" s="58" t="str">
        <f>VLOOKUP($B97,[5]SAP!$D:$X,8,0)</f>
        <v>东莞华科电子有限公司</v>
      </c>
      <c r="M97" s="75">
        <f t="shared" si="14"/>
        <v>1.17E-3</v>
      </c>
      <c r="N97" s="75"/>
      <c r="O97" s="75"/>
      <c r="P97" s="75">
        <f>VLOOKUP($B97,[5]SAP!$D:$X,17,0)</f>
        <v>56</v>
      </c>
      <c r="Q97" s="75">
        <f>VLOOKUP($B97,[5]SAP!$D:$X,21,0)</f>
        <v>10000</v>
      </c>
      <c r="R97" s="75">
        <f>VLOOKUP($B97,[5]SAP!$D:$X,20,0)</f>
        <v>10000</v>
      </c>
      <c r="S97" s="86" t="s">
        <v>225</v>
      </c>
    </row>
    <row r="98" spans="1:19" ht="26.4" x14ac:dyDescent="0.25">
      <c r="A98" s="62"/>
      <c r="B98" s="68">
        <v>10100008075</v>
      </c>
      <c r="C98" s="64" t="s">
        <v>749</v>
      </c>
      <c r="D98" s="64" t="s">
        <v>436</v>
      </c>
      <c r="E98" s="69" t="s">
        <v>703</v>
      </c>
      <c r="F98" s="63">
        <v>4</v>
      </c>
      <c r="G98" s="64" t="s">
        <v>434</v>
      </c>
      <c r="H98" s="67"/>
      <c r="I98" s="74"/>
      <c r="J98" s="75">
        <f>VLOOKUP($B98,[5]SAP!$D:$X,12,0)</f>
        <v>1.4E-3</v>
      </c>
      <c r="K98" s="75" t="str">
        <f>VLOOKUP($B98,[5]SAP!$D:$X,19,0)</f>
        <v>CNY</v>
      </c>
      <c r="L98" s="58" t="str">
        <f>VLOOKUP($B98,[5]SAP!$D:$X,8,0)</f>
        <v>深圳市超利维实业有限公司</v>
      </c>
      <c r="M98" s="75">
        <f t="shared" si="14"/>
        <v>1.4E-3</v>
      </c>
      <c r="N98" s="75"/>
      <c r="O98" s="75"/>
      <c r="P98" s="75">
        <f>VLOOKUP($B98,[5]SAP!$D:$X,17,0)</f>
        <v>56</v>
      </c>
      <c r="Q98" s="75">
        <f>VLOOKUP($B98,[5]SAP!$D:$X,21,0)</f>
        <v>10000</v>
      </c>
      <c r="R98" s="75">
        <f>VLOOKUP($B98,[5]SAP!$D:$X,20,0)</f>
        <v>10000</v>
      </c>
      <c r="S98" s="86" t="s">
        <v>225</v>
      </c>
    </row>
    <row r="99" spans="1:19" x14ac:dyDescent="0.25">
      <c r="A99" s="62"/>
      <c r="B99" s="68">
        <v>10100017335</v>
      </c>
      <c r="C99" s="64" t="s">
        <v>749</v>
      </c>
      <c r="D99" s="64" t="s">
        <v>437</v>
      </c>
      <c r="E99" s="69" t="s">
        <v>750</v>
      </c>
      <c r="F99" s="63">
        <v>4</v>
      </c>
      <c r="G99" s="64" t="s">
        <v>434</v>
      </c>
      <c r="H99" s="67" t="s">
        <v>42</v>
      </c>
      <c r="I99" s="74"/>
      <c r="J99" s="75">
        <f>VLOOKUP($B99,[5]SAP!$D:$X,12,0)</f>
        <v>1.09E-3</v>
      </c>
      <c r="K99" s="75" t="str">
        <f>VLOOKUP($B99,[5]SAP!$D:$X,19,0)</f>
        <v>CNY</v>
      </c>
      <c r="L99" s="58" t="str">
        <f>VLOOKUP($B99,[5]SAP!$D:$X,8,0)</f>
        <v>厚声国际贸易（昆山）有限公司深圳分公司</v>
      </c>
      <c r="M99" s="75">
        <f t="shared" si="14"/>
        <v>1.09E-3</v>
      </c>
      <c r="N99" s="75"/>
      <c r="O99" s="75"/>
      <c r="P99" s="75">
        <f>VLOOKUP($B99,[5]SAP!$D:$X,17,0)</f>
        <v>42</v>
      </c>
      <c r="Q99" s="75">
        <f>VLOOKUP($B99,[5]SAP!$D:$X,21,0)</f>
        <v>10000</v>
      </c>
      <c r="R99" s="75">
        <f>VLOOKUP($B99,[5]SAP!$D:$X,20,0)</f>
        <v>10000</v>
      </c>
      <c r="S99" s="86" t="s">
        <v>225</v>
      </c>
    </row>
    <row r="100" spans="1:19" x14ac:dyDescent="0.25">
      <c r="A100" s="62"/>
      <c r="B100" s="68">
        <v>10100017664</v>
      </c>
      <c r="C100" s="64" t="s">
        <v>749</v>
      </c>
      <c r="D100" s="64" t="s">
        <v>438</v>
      </c>
      <c r="E100" s="69" t="s">
        <v>751</v>
      </c>
      <c r="F100" s="63">
        <v>4</v>
      </c>
      <c r="G100" s="64" t="s">
        <v>434</v>
      </c>
      <c r="H100" s="67" t="s">
        <v>42</v>
      </c>
      <c r="I100" s="74"/>
      <c r="J100" s="75">
        <f>VLOOKUP($B100,[5]SAP!$D:$X,12,0)</f>
        <v>9.7999999999999997E-4</v>
      </c>
      <c r="K100" s="75" t="str">
        <f>VLOOKUP($B100,[5]SAP!$D:$X,19,0)</f>
        <v>CNY</v>
      </c>
      <c r="L100" s="58" t="str">
        <f>VLOOKUP($B100,[5]SAP!$D:$X,8,0)</f>
        <v>恒辉电阻（益阳）有限公司</v>
      </c>
      <c r="M100" s="75">
        <f t="shared" si="14"/>
        <v>9.7999999999999997E-4</v>
      </c>
      <c r="N100" s="75">
        <f>M100*F100</f>
        <v>3.9199999999999999E-3</v>
      </c>
      <c r="O100" s="75"/>
      <c r="P100" s="75">
        <f>VLOOKUP($B100,[5]SAP!$D:$X,17,0)</f>
        <v>42</v>
      </c>
      <c r="Q100" s="75">
        <f>VLOOKUP($B100,[5]SAP!$D:$X,21,0)</f>
        <v>10000</v>
      </c>
      <c r="R100" s="75">
        <f>VLOOKUP($B100,[5]SAP!$D:$X,20,0)</f>
        <v>10000</v>
      </c>
      <c r="S100" s="86" t="s">
        <v>37</v>
      </c>
    </row>
    <row r="101" spans="1:19" ht="26.4" x14ac:dyDescent="0.25">
      <c r="A101" s="62">
        <v>44</v>
      </c>
      <c r="B101" s="68">
        <v>10100002122</v>
      </c>
      <c r="C101" s="64" t="s">
        <v>749</v>
      </c>
      <c r="D101" s="64" t="s">
        <v>446</v>
      </c>
      <c r="E101" s="69" t="s">
        <v>703</v>
      </c>
      <c r="F101" s="63">
        <v>1</v>
      </c>
      <c r="G101" s="248" t="s">
        <v>598</v>
      </c>
      <c r="H101" s="67"/>
      <c r="I101" s="74"/>
      <c r="J101" s="75">
        <f>VLOOKUP($B101,[5]SAP!$D:$X,12,0)</f>
        <v>4.7999999999999996E-3</v>
      </c>
      <c r="K101" s="75" t="str">
        <f>VLOOKUP($B101,[5]SAP!$D:$X,19,0)</f>
        <v>CNY</v>
      </c>
      <c r="L101" s="58" t="str">
        <f>VLOOKUP($B101,[5]SAP!$D:$X,8,0)</f>
        <v>深圳市欧尔法电子有限公司</v>
      </c>
      <c r="M101" s="75">
        <f t="shared" si="14"/>
        <v>4.7999999999999996E-3</v>
      </c>
      <c r="N101" s="75"/>
      <c r="O101" s="75"/>
      <c r="P101" s="75">
        <f>VLOOKUP($B101,[5]SAP!$D:$X,17,0)</f>
        <v>56</v>
      </c>
      <c r="Q101" s="75">
        <f>VLOOKUP($B101,[5]SAP!$D:$X,21,0)</f>
        <v>5000</v>
      </c>
      <c r="R101" s="75">
        <f>VLOOKUP($B101,[5]SAP!$D:$X,20,0)</f>
        <v>5000</v>
      </c>
      <c r="S101" s="86" t="s">
        <v>225</v>
      </c>
    </row>
    <row r="102" spans="1:19" x14ac:dyDescent="0.25">
      <c r="A102" s="62"/>
      <c r="B102" s="68">
        <v>10100002123</v>
      </c>
      <c r="C102" s="64" t="s">
        <v>749</v>
      </c>
      <c r="D102" s="64" t="s">
        <v>448</v>
      </c>
      <c r="E102" s="69" t="s">
        <v>705</v>
      </c>
      <c r="F102" s="63">
        <v>1</v>
      </c>
      <c r="G102" s="248" t="s">
        <v>598</v>
      </c>
      <c r="H102" s="67" t="s">
        <v>42</v>
      </c>
      <c r="I102" s="74"/>
      <c r="J102" s="75">
        <f>VLOOKUP($B102,[5]SAP!$D:$X,12,0)</f>
        <v>3.7200000000000002E-3</v>
      </c>
      <c r="K102" s="75" t="str">
        <f>VLOOKUP($B102,[5]SAP!$D:$X,19,0)</f>
        <v>CNY</v>
      </c>
      <c r="L102" s="58" t="str">
        <f>VLOOKUP($B102,[5]SAP!$D:$X,8,0)</f>
        <v>广东风华高新科技股份有限公司</v>
      </c>
      <c r="M102" s="75">
        <f t="shared" si="14"/>
        <v>3.7200000000000002E-3</v>
      </c>
      <c r="N102" s="75"/>
      <c r="O102" s="75"/>
      <c r="P102" s="75">
        <f>VLOOKUP($B102,[5]SAP!$D:$X,17,0)</f>
        <v>42</v>
      </c>
      <c r="Q102" s="75">
        <f>VLOOKUP($B102,[5]SAP!$D:$X,21,0)</f>
        <v>5000</v>
      </c>
      <c r="R102" s="75">
        <f>VLOOKUP($B102,[5]SAP!$D:$X,20,0)</f>
        <v>5000</v>
      </c>
      <c r="S102" s="86" t="s">
        <v>225</v>
      </c>
    </row>
    <row r="103" spans="1:19" x14ac:dyDescent="0.25">
      <c r="A103" s="62"/>
      <c r="B103" s="68">
        <v>10100004833</v>
      </c>
      <c r="C103" s="64" t="s">
        <v>749</v>
      </c>
      <c r="D103" s="64" t="s">
        <v>449</v>
      </c>
      <c r="E103" s="69" t="s">
        <v>704</v>
      </c>
      <c r="F103" s="63">
        <v>1</v>
      </c>
      <c r="G103" s="248" t="s">
        <v>598</v>
      </c>
      <c r="H103" s="67" t="s">
        <v>42</v>
      </c>
      <c r="I103" s="74"/>
      <c r="J103" s="75">
        <f>VLOOKUP($B103,[5]SAP!$D:$X,12,0)</f>
        <v>3.8800000000000002E-3</v>
      </c>
      <c r="K103" s="75" t="str">
        <f>VLOOKUP($B103,[5]SAP!$D:$X,19,0)</f>
        <v>CNY</v>
      </c>
      <c r="L103" s="58" t="str">
        <f>VLOOKUP($B103,[5]SAP!$D:$X,8,0)</f>
        <v>东莞华科电子有限公司</v>
      </c>
      <c r="M103" s="75">
        <f t="shared" si="14"/>
        <v>3.8800000000000002E-3</v>
      </c>
      <c r="N103" s="75"/>
      <c r="O103" s="75"/>
      <c r="P103" s="75">
        <f>VLOOKUP($B103,[5]SAP!$D:$X,17,0)</f>
        <v>56</v>
      </c>
      <c r="Q103" s="75">
        <f>VLOOKUP($B103,[5]SAP!$D:$X,21,0)</f>
        <v>5000</v>
      </c>
      <c r="R103" s="75">
        <f>VLOOKUP($B103,[5]SAP!$D:$X,20,0)</f>
        <v>5000</v>
      </c>
      <c r="S103" s="86" t="s">
        <v>225</v>
      </c>
    </row>
    <row r="104" spans="1:19" x14ac:dyDescent="0.25">
      <c r="A104" s="62"/>
      <c r="B104" s="68">
        <v>10100005487</v>
      </c>
      <c r="C104" s="64" t="s">
        <v>749</v>
      </c>
      <c r="D104" s="64" t="s">
        <v>450</v>
      </c>
      <c r="E104" s="69" t="s">
        <v>750</v>
      </c>
      <c r="F104" s="63">
        <v>1</v>
      </c>
      <c r="G104" s="248" t="s">
        <v>598</v>
      </c>
      <c r="H104" s="67" t="s">
        <v>42</v>
      </c>
      <c r="I104" s="74"/>
      <c r="J104" s="75">
        <f>VLOOKUP($B104,[5]SAP!$D:$X,12,0)</f>
        <v>3.8E-3</v>
      </c>
      <c r="K104" s="75" t="str">
        <f>VLOOKUP($B104,[5]SAP!$D:$X,19,0)</f>
        <v>CNY</v>
      </c>
      <c r="L104" s="58" t="str">
        <f>VLOOKUP($B104,[5]SAP!$D:$X,8,0)</f>
        <v>厚声国际贸易（昆山）有限公司深圳分公司</v>
      </c>
      <c r="M104" s="75">
        <f t="shared" si="14"/>
        <v>3.8E-3</v>
      </c>
      <c r="N104" s="75"/>
      <c r="O104" s="75"/>
      <c r="P104" s="75">
        <f>VLOOKUP($B104,[5]SAP!$D:$X,17,0)</f>
        <v>56</v>
      </c>
      <c r="Q104" s="75">
        <f>VLOOKUP($B104,[5]SAP!$D:$X,21,0)</f>
        <v>5000</v>
      </c>
      <c r="R104" s="75">
        <f>VLOOKUP($B104,[5]SAP!$D:$X,20,0)</f>
        <v>5000</v>
      </c>
      <c r="S104" s="86" t="s">
        <v>225</v>
      </c>
    </row>
    <row r="105" spans="1:19" x14ac:dyDescent="0.25">
      <c r="A105" s="62"/>
      <c r="B105" s="68">
        <v>10100018109</v>
      </c>
      <c r="C105" s="64" t="s">
        <v>749</v>
      </c>
      <c r="D105" s="64" t="s">
        <v>451</v>
      </c>
      <c r="E105" s="69" t="s">
        <v>751</v>
      </c>
      <c r="F105" s="63">
        <v>1</v>
      </c>
      <c r="G105" s="248" t="s">
        <v>598</v>
      </c>
      <c r="H105" s="67" t="s">
        <v>42</v>
      </c>
      <c r="I105" s="74"/>
      <c r="J105" s="75">
        <f>VLOOKUP($B105,[5]SAP!$D:$X,12,0)</f>
        <v>3.3500000000000001E-3</v>
      </c>
      <c r="K105" s="75" t="str">
        <f>VLOOKUP($B105,[5]SAP!$D:$X,19,0)</f>
        <v>CNY</v>
      </c>
      <c r="L105" s="58" t="str">
        <f>VLOOKUP($B105,[5]SAP!$D:$X,8,0)</f>
        <v>恒辉电阻（益阳）有限公司</v>
      </c>
      <c r="M105" s="75">
        <f t="shared" si="14"/>
        <v>3.3500000000000001E-3</v>
      </c>
      <c r="N105" s="75">
        <f>M105*F105</f>
        <v>3.3500000000000001E-3</v>
      </c>
      <c r="O105" s="75"/>
      <c r="P105" s="75">
        <f>VLOOKUP($B105,[5]SAP!$D:$X,17,0)</f>
        <v>42</v>
      </c>
      <c r="Q105" s="75">
        <f>VLOOKUP($B105,[5]SAP!$D:$X,21,0)</f>
        <v>5000</v>
      </c>
      <c r="R105" s="75">
        <f>VLOOKUP($B105,[5]SAP!$D:$X,20,0)</f>
        <v>5000</v>
      </c>
      <c r="S105" s="86" t="s">
        <v>37</v>
      </c>
    </row>
    <row r="106" spans="1:19" x14ac:dyDescent="0.25">
      <c r="A106" s="62">
        <v>45</v>
      </c>
      <c r="B106" s="68" t="s">
        <v>38</v>
      </c>
      <c r="C106" s="64" t="s">
        <v>599</v>
      </c>
      <c r="D106" s="64" t="s">
        <v>600</v>
      </c>
      <c r="E106" s="71" t="s">
        <v>601</v>
      </c>
      <c r="F106" s="63">
        <v>3</v>
      </c>
      <c r="G106" s="64" t="s">
        <v>267</v>
      </c>
      <c r="H106" s="67" t="s">
        <v>42</v>
      </c>
      <c r="I106" s="74"/>
      <c r="J106" s="75" t="e">
        <f>VLOOKUP($B106,[5]SAP!$D:$X,12,0)</f>
        <v>#N/A</v>
      </c>
      <c r="K106" s="75" t="e">
        <f>VLOOKUP($B106,[5]SAP!$D:$X,19,0)</f>
        <v>#N/A</v>
      </c>
      <c r="L106" s="58" t="e">
        <f>VLOOKUP($B106,[5]SAP!$D:$X,8,0)</f>
        <v>#N/A</v>
      </c>
      <c r="M106" s="83">
        <v>0.15</v>
      </c>
      <c r="N106" s="75">
        <f>M106*F106</f>
        <v>0.45</v>
      </c>
      <c r="O106" s="84"/>
      <c r="P106" s="75" t="e">
        <f>VLOOKUP($B106,[5]SAP!$D:$X,17,0)</f>
        <v>#N/A</v>
      </c>
      <c r="Q106" s="75" t="e">
        <f>VLOOKUP($B106,[5]SAP!$D:$X,21,0)</f>
        <v>#N/A</v>
      </c>
      <c r="R106" s="75" t="e">
        <f>VLOOKUP($B106,[5]SAP!$D:$X,20,0)</f>
        <v>#N/A</v>
      </c>
      <c r="S106" s="86" t="s">
        <v>37</v>
      </c>
    </row>
    <row r="107" spans="1:19" ht="26.4" x14ac:dyDescent="0.25">
      <c r="A107" s="62">
        <v>46</v>
      </c>
      <c r="B107" s="68">
        <v>10100005703</v>
      </c>
      <c r="C107" s="64" t="s">
        <v>752</v>
      </c>
      <c r="D107" s="64" t="s">
        <v>439</v>
      </c>
      <c r="E107" s="69" t="s">
        <v>703</v>
      </c>
      <c r="F107" s="63">
        <v>5</v>
      </c>
      <c r="G107" s="64" t="s">
        <v>602</v>
      </c>
      <c r="H107" s="67"/>
      <c r="I107" s="74"/>
      <c r="J107" s="75">
        <f>VLOOKUP($B107,[5]SAP!$D:$X,12,0)</f>
        <v>1.4E-3</v>
      </c>
      <c r="K107" s="75" t="str">
        <f>VLOOKUP($B107,[5]SAP!$D:$X,19,0)</f>
        <v>CNY</v>
      </c>
      <c r="L107" s="58" t="str">
        <f>VLOOKUP($B107,[5]SAP!$D:$X,8,0)</f>
        <v>深圳市超利维实业有限公司</v>
      </c>
      <c r="M107" s="75">
        <f t="shared" ref="M107:M170" si="15">J107</f>
        <v>1.4E-3</v>
      </c>
      <c r="N107" s="75"/>
      <c r="O107" s="75"/>
      <c r="P107" s="75">
        <f>VLOOKUP($B107,[5]SAP!$D:$X,17,0)</f>
        <v>84</v>
      </c>
      <c r="Q107" s="75">
        <f>VLOOKUP($B107,[5]SAP!$D:$X,21,0)</f>
        <v>10000</v>
      </c>
      <c r="R107" s="75">
        <f>VLOOKUP($B107,[5]SAP!$D:$X,20,0)</f>
        <v>10000</v>
      </c>
      <c r="S107" s="86" t="s">
        <v>225</v>
      </c>
    </row>
    <row r="108" spans="1:19" x14ac:dyDescent="0.25">
      <c r="A108" s="62"/>
      <c r="B108" s="68">
        <v>10100005718</v>
      </c>
      <c r="C108" s="64" t="s">
        <v>752</v>
      </c>
      <c r="D108" s="64" t="s">
        <v>441</v>
      </c>
      <c r="E108" s="69" t="s">
        <v>705</v>
      </c>
      <c r="F108" s="63">
        <v>5</v>
      </c>
      <c r="G108" s="64" t="s">
        <v>602</v>
      </c>
      <c r="H108" s="67" t="s">
        <v>42</v>
      </c>
      <c r="I108" s="74"/>
      <c r="J108" s="75">
        <f>VLOOKUP($B108,[5]SAP!$D:$X,12,0)</f>
        <v>1.1000000000000001E-3</v>
      </c>
      <c r="K108" s="75" t="str">
        <f>VLOOKUP($B108,[5]SAP!$D:$X,19,0)</f>
        <v>CNY</v>
      </c>
      <c r="L108" s="58" t="str">
        <f>VLOOKUP($B108,[5]SAP!$D:$X,8,0)</f>
        <v>广东风华高新科技股份有限公司</v>
      </c>
      <c r="M108" s="75">
        <f t="shared" si="15"/>
        <v>1.1000000000000001E-3</v>
      </c>
      <c r="N108" s="75"/>
      <c r="O108" s="75"/>
      <c r="P108" s="75">
        <f>VLOOKUP($B108,[5]SAP!$D:$X,17,0)</f>
        <v>42</v>
      </c>
      <c r="Q108" s="75">
        <f>VLOOKUP($B108,[5]SAP!$D:$X,21,0)</f>
        <v>10000</v>
      </c>
      <c r="R108" s="75">
        <f>VLOOKUP($B108,[5]SAP!$D:$X,20,0)</f>
        <v>10000</v>
      </c>
      <c r="S108" s="86" t="s">
        <v>225</v>
      </c>
    </row>
    <row r="109" spans="1:19" x14ac:dyDescent="0.25">
      <c r="A109" s="62"/>
      <c r="B109" s="68">
        <v>10100006711</v>
      </c>
      <c r="C109" s="64" t="s">
        <v>752</v>
      </c>
      <c r="D109" s="64" t="s">
        <v>442</v>
      </c>
      <c r="E109" s="69" t="s">
        <v>704</v>
      </c>
      <c r="F109" s="63">
        <v>5</v>
      </c>
      <c r="G109" s="64" t="s">
        <v>602</v>
      </c>
      <c r="H109" s="67" t="s">
        <v>42</v>
      </c>
      <c r="I109" s="74"/>
      <c r="J109" s="75">
        <f>VLOOKUP($B109,[5]SAP!$D:$X,12,0)</f>
        <v>1.17E-3</v>
      </c>
      <c r="K109" s="75" t="str">
        <f>VLOOKUP($B109,[5]SAP!$D:$X,19,0)</f>
        <v>CNY</v>
      </c>
      <c r="L109" s="58" t="str">
        <f>VLOOKUP($B109,[5]SAP!$D:$X,8,0)</f>
        <v>东莞华科电子有限公司</v>
      </c>
      <c r="M109" s="75">
        <f t="shared" si="15"/>
        <v>1.17E-3</v>
      </c>
      <c r="N109" s="75"/>
      <c r="O109" s="75"/>
      <c r="P109" s="75">
        <f>VLOOKUP($B109,[5]SAP!$D:$X,17,0)</f>
        <v>56</v>
      </c>
      <c r="Q109" s="75">
        <f>VLOOKUP($B109,[5]SAP!$D:$X,21,0)</f>
        <v>10000</v>
      </c>
      <c r="R109" s="75">
        <f>VLOOKUP($B109,[5]SAP!$D:$X,20,0)</f>
        <v>10000</v>
      </c>
      <c r="S109" s="86" t="s">
        <v>225</v>
      </c>
    </row>
    <row r="110" spans="1:19" x14ac:dyDescent="0.25">
      <c r="A110" s="62"/>
      <c r="B110" s="68">
        <v>10100013040</v>
      </c>
      <c r="C110" s="64" t="s">
        <v>749</v>
      </c>
      <c r="D110" s="64" t="s">
        <v>443</v>
      </c>
      <c r="E110" s="69" t="s">
        <v>750</v>
      </c>
      <c r="F110" s="63">
        <v>5</v>
      </c>
      <c r="G110" s="64" t="s">
        <v>602</v>
      </c>
      <c r="H110" s="67" t="s">
        <v>42</v>
      </c>
      <c r="I110" s="74"/>
      <c r="J110" s="75">
        <f>VLOOKUP($B110,[5]SAP!$D:$X,12,0)</f>
        <v>1.09E-3</v>
      </c>
      <c r="K110" s="75" t="str">
        <f>VLOOKUP($B110,[5]SAP!$D:$X,19,0)</f>
        <v>CNY</v>
      </c>
      <c r="L110" s="58" t="str">
        <f>VLOOKUP($B110,[5]SAP!$D:$X,8,0)</f>
        <v>厚声国际贸易（昆山）有限公司深圳分公司</v>
      </c>
      <c r="M110" s="75">
        <f t="shared" si="15"/>
        <v>1.09E-3</v>
      </c>
      <c r="N110" s="75"/>
      <c r="O110" s="75"/>
      <c r="P110" s="75">
        <f>VLOOKUP($B110,[5]SAP!$D:$X,17,0)</f>
        <v>56</v>
      </c>
      <c r="Q110" s="75">
        <f>VLOOKUP($B110,[5]SAP!$D:$X,21,0)</f>
        <v>10000</v>
      </c>
      <c r="R110" s="75">
        <f>VLOOKUP($B110,[5]SAP!$D:$X,20,0)</f>
        <v>10000</v>
      </c>
      <c r="S110" s="86" t="s">
        <v>225</v>
      </c>
    </row>
    <row r="111" spans="1:19" x14ac:dyDescent="0.25">
      <c r="A111" s="62"/>
      <c r="B111" s="68">
        <v>10100017642</v>
      </c>
      <c r="C111" s="64" t="s">
        <v>749</v>
      </c>
      <c r="D111" s="64" t="s">
        <v>444</v>
      </c>
      <c r="E111" s="69" t="s">
        <v>751</v>
      </c>
      <c r="F111" s="63">
        <v>5</v>
      </c>
      <c r="G111" s="64" t="s">
        <v>602</v>
      </c>
      <c r="H111" s="67" t="s">
        <v>42</v>
      </c>
      <c r="I111" s="74"/>
      <c r="J111" s="75">
        <f>VLOOKUP($B111,[5]SAP!$D:$X,12,0)</f>
        <v>9.7999999999999997E-4</v>
      </c>
      <c r="K111" s="75" t="str">
        <f>VLOOKUP($B111,[5]SAP!$D:$X,19,0)</f>
        <v>CNY</v>
      </c>
      <c r="L111" s="58" t="str">
        <f>VLOOKUP($B111,[5]SAP!$D:$X,8,0)</f>
        <v>恒辉电阻（益阳）有限公司</v>
      </c>
      <c r="M111" s="75">
        <f t="shared" si="15"/>
        <v>9.7999999999999997E-4</v>
      </c>
      <c r="N111" s="75">
        <f>M111*F111</f>
        <v>4.8999999999999998E-3</v>
      </c>
      <c r="O111" s="75"/>
      <c r="P111" s="75">
        <f>VLOOKUP($B111,[5]SAP!$D:$X,17,0)</f>
        <v>42</v>
      </c>
      <c r="Q111" s="75">
        <f>VLOOKUP($B111,[5]SAP!$D:$X,21,0)</f>
        <v>10000</v>
      </c>
      <c r="R111" s="75">
        <f>VLOOKUP($B111,[5]SAP!$D:$X,20,0)</f>
        <v>10000</v>
      </c>
      <c r="S111" s="86" t="s">
        <v>37</v>
      </c>
    </row>
    <row r="112" spans="1:19" ht="26.4" x14ac:dyDescent="0.25">
      <c r="A112" s="62">
        <v>47</v>
      </c>
      <c r="B112" s="68">
        <v>10100009721</v>
      </c>
      <c r="C112" s="64" t="s">
        <v>749</v>
      </c>
      <c r="D112" s="64" t="s">
        <v>452</v>
      </c>
      <c r="E112" s="69" t="s">
        <v>703</v>
      </c>
      <c r="F112" s="63">
        <v>2</v>
      </c>
      <c r="G112" s="248" t="s">
        <v>453</v>
      </c>
      <c r="H112" s="67"/>
      <c r="I112" s="74"/>
      <c r="J112" s="75">
        <f>VLOOKUP($B112,[5]SAP!$D:$X,12,0)</f>
        <v>1.4E-3</v>
      </c>
      <c r="K112" s="75" t="str">
        <f>VLOOKUP($B112,[5]SAP!$D:$X,19,0)</f>
        <v>CNY</v>
      </c>
      <c r="L112" s="58" t="str">
        <f>VLOOKUP($B112,[5]SAP!$D:$X,8,0)</f>
        <v>深圳市超利维实业有限公司</v>
      </c>
      <c r="M112" s="75">
        <f t="shared" si="15"/>
        <v>1.4E-3</v>
      </c>
      <c r="N112" s="75"/>
      <c r="O112" s="75"/>
      <c r="P112" s="75">
        <f>VLOOKUP($B112,[5]SAP!$D:$X,17,0)</f>
        <v>84</v>
      </c>
      <c r="Q112" s="75">
        <f>VLOOKUP($B112,[5]SAP!$D:$X,21,0)</f>
        <v>10000</v>
      </c>
      <c r="R112" s="75">
        <f>VLOOKUP($B112,[5]SAP!$D:$X,20,0)</f>
        <v>10000</v>
      </c>
      <c r="S112" s="86" t="s">
        <v>225</v>
      </c>
    </row>
    <row r="113" spans="1:19" x14ac:dyDescent="0.25">
      <c r="A113" s="62"/>
      <c r="B113" s="68">
        <v>10100009722</v>
      </c>
      <c r="C113" s="64" t="s">
        <v>749</v>
      </c>
      <c r="D113" s="64" t="s">
        <v>454</v>
      </c>
      <c r="E113" s="69" t="s">
        <v>704</v>
      </c>
      <c r="F113" s="63">
        <v>2</v>
      </c>
      <c r="G113" s="248" t="s">
        <v>453</v>
      </c>
      <c r="H113" s="67" t="s">
        <v>42</v>
      </c>
      <c r="I113" s="74"/>
      <c r="J113" s="75">
        <f>VLOOKUP($B113,[5]SAP!$D:$X,12,0)</f>
        <v>1.17E-3</v>
      </c>
      <c r="K113" s="75" t="str">
        <f>VLOOKUP($B113,[5]SAP!$D:$X,19,0)</f>
        <v>CNY</v>
      </c>
      <c r="L113" s="58" t="str">
        <f>VLOOKUP($B113,[5]SAP!$D:$X,8,0)</f>
        <v>东莞华科电子有限公司</v>
      </c>
      <c r="M113" s="75">
        <f t="shared" si="15"/>
        <v>1.17E-3</v>
      </c>
      <c r="N113" s="75"/>
      <c r="O113" s="75"/>
      <c r="P113" s="75">
        <f>VLOOKUP($B113,[5]SAP!$D:$X,17,0)</f>
        <v>56</v>
      </c>
      <c r="Q113" s="75">
        <f>VLOOKUP($B113,[5]SAP!$D:$X,21,0)</f>
        <v>10000</v>
      </c>
      <c r="R113" s="75">
        <f>VLOOKUP($B113,[5]SAP!$D:$X,20,0)</f>
        <v>10000</v>
      </c>
      <c r="S113" s="86" t="s">
        <v>225</v>
      </c>
    </row>
    <row r="114" spans="1:19" x14ac:dyDescent="0.25">
      <c r="A114" s="62"/>
      <c r="B114" s="68">
        <v>10100019134</v>
      </c>
      <c r="C114" s="64" t="s">
        <v>749</v>
      </c>
      <c r="D114" s="64" t="s">
        <v>455</v>
      </c>
      <c r="E114" s="69" t="s">
        <v>754</v>
      </c>
      <c r="F114" s="63">
        <v>2</v>
      </c>
      <c r="G114" s="248" t="s">
        <v>453</v>
      </c>
      <c r="H114" s="67" t="s">
        <v>42</v>
      </c>
      <c r="I114" s="74"/>
      <c r="J114" s="75">
        <f>VLOOKUP($B114,[5]SAP!$D:$X,12,0)</f>
        <v>9.7999999999999997E-4</v>
      </c>
      <c r="K114" s="75" t="str">
        <f>VLOOKUP($B114,[5]SAP!$D:$X,19,0)</f>
        <v>CNY</v>
      </c>
      <c r="L114" s="58" t="str">
        <f>VLOOKUP($B114,[5]SAP!$D:$X,8,0)</f>
        <v>恒辉电阻（益阳）有限公司</v>
      </c>
      <c r="M114" s="75">
        <f t="shared" si="15"/>
        <v>9.7999999999999997E-4</v>
      </c>
      <c r="N114" s="75">
        <f>M114*F114</f>
        <v>1.9599999999999999E-3</v>
      </c>
      <c r="O114" s="75"/>
      <c r="P114" s="75">
        <f>VLOOKUP($B114,[5]SAP!$D:$X,17,0)</f>
        <v>42</v>
      </c>
      <c r="Q114" s="75">
        <f>VLOOKUP($B114,[5]SAP!$D:$X,21,0)</f>
        <v>10000</v>
      </c>
      <c r="R114" s="75">
        <f>VLOOKUP($B114,[5]SAP!$D:$X,20,0)</f>
        <v>10000</v>
      </c>
      <c r="S114" s="86" t="s">
        <v>37</v>
      </c>
    </row>
    <row r="115" spans="1:19" x14ac:dyDescent="0.25">
      <c r="A115" s="62"/>
      <c r="B115" s="68">
        <v>10100022516</v>
      </c>
      <c r="C115" s="64" t="s">
        <v>749</v>
      </c>
      <c r="D115" s="64" t="s">
        <v>457</v>
      </c>
      <c r="E115" s="69" t="s">
        <v>750</v>
      </c>
      <c r="F115" s="63">
        <v>2</v>
      </c>
      <c r="G115" s="248" t="s">
        <v>453</v>
      </c>
      <c r="H115" s="67" t="s">
        <v>42</v>
      </c>
      <c r="I115" s="74"/>
      <c r="J115" s="75">
        <f>VLOOKUP($B115,[5]SAP!$D:$X,12,0)</f>
        <v>1.09E-3</v>
      </c>
      <c r="K115" s="75" t="str">
        <f>VLOOKUP($B115,[5]SAP!$D:$X,19,0)</f>
        <v>CNY</v>
      </c>
      <c r="L115" s="58" t="str">
        <f>VLOOKUP($B115,[5]SAP!$D:$X,8,0)</f>
        <v>厚声国际贸易（昆山）有限公司深圳分公司</v>
      </c>
      <c r="M115" s="75">
        <f t="shared" si="15"/>
        <v>1.09E-3</v>
      </c>
      <c r="N115" s="75"/>
      <c r="O115" s="75"/>
      <c r="P115" s="75">
        <f>VLOOKUP($B115,[5]SAP!$D:$X,17,0)</f>
        <v>42</v>
      </c>
      <c r="Q115" s="75">
        <f>VLOOKUP($B115,[5]SAP!$D:$X,21,0)</f>
        <v>10000</v>
      </c>
      <c r="R115" s="75">
        <f>VLOOKUP($B115,[5]SAP!$D:$X,20,0)</f>
        <v>10000</v>
      </c>
      <c r="S115" s="86" t="s">
        <v>225</v>
      </c>
    </row>
    <row r="116" spans="1:19" ht="26.4" x14ac:dyDescent="0.25">
      <c r="A116" s="62">
        <v>48</v>
      </c>
      <c r="B116" s="68">
        <v>10100007852</v>
      </c>
      <c r="C116" s="64" t="s">
        <v>749</v>
      </c>
      <c r="D116" s="64" t="s">
        <v>458</v>
      </c>
      <c r="E116" s="69" t="s">
        <v>703</v>
      </c>
      <c r="F116" s="63">
        <v>3</v>
      </c>
      <c r="G116" s="248" t="s">
        <v>459</v>
      </c>
      <c r="H116" s="67"/>
      <c r="I116" s="74"/>
      <c r="J116" s="75">
        <f>VLOOKUP($B116,[5]SAP!$D:$X,12,0)</f>
        <v>8.0000000000000002E-3</v>
      </c>
      <c r="K116" s="75" t="str">
        <f>VLOOKUP($B116,[5]SAP!$D:$X,19,0)</f>
        <v>CNY</v>
      </c>
      <c r="L116" s="58" t="str">
        <f>VLOOKUP($B116,[5]SAP!$D:$X,8,0)</f>
        <v>深圳市欧尔法电子有限公司</v>
      </c>
      <c r="M116" s="75">
        <f t="shared" si="15"/>
        <v>8.0000000000000002E-3</v>
      </c>
      <c r="N116" s="75"/>
      <c r="O116" s="75"/>
      <c r="P116" s="75">
        <f>VLOOKUP($B116,[5]SAP!$D:$X,17,0)</f>
        <v>70</v>
      </c>
      <c r="Q116" s="75">
        <f>VLOOKUP($B116,[5]SAP!$D:$X,21,0)</f>
        <v>5000</v>
      </c>
      <c r="R116" s="75">
        <f>VLOOKUP($B116,[5]SAP!$D:$X,20,0)</f>
        <v>5000</v>
      </c>
      <c r="S116" s="86" t="s">
        <v>225</v>
      </c>
    </row>
    <row r="117" spans="1:19" x14ac:dyDescent="0.25">
      <c r="A117" s="62"/>
      <c r="B117" s="68">
        <v>10100014304</v>
      </c>
      <c r="C117" s="64" t="s">
        <v>749</v>
      </c>
      <c r="D117" s="64" t="s">
        <v>460</v>
      </c>
      <c r="E117" s="69" t="s">
        <v>704</v>
      </c>
      <c r="F117" s="63">
        <v>3</v>
      </c>
      <c r="G117" s="248" t="s">
        <v>459</v>
      </c>
      <c r="H117" s="67" t="s">
        <v>42</v>
      </c>
      <c r="I117" s="74"/>
      <c r="J117" s="75">
        <f>VLOOKUP($B117,[5]SAP!$D:$X,12,0)</f>
        <v>6.9499999999999996E-3</v>
      </c>
      <c r="K117" s="75" t="str">
        <f>VLOOKUP($B117,[5]SAP!$D:$X,19,0)</f>
        <v>CNY</v>
      </c>
      <c r="L117" s="58" t="str">
        <f>VLOOKUP($B117,[5]SAP!$D:$X,8,0)</f>
        <v>东莞华科电子有限公司</v>
      </c>
      <c r="M117" s="75">
        <f t="shared" si="15"/>
        <v>6.9499999999999996E-3</v>
      </c>
      <c r="N117" s="75"/>
      <c r="O117" s="75"/>
      <c r="P117" s="75">
        <f>VLOOKUP($B117,[5]SAP!$D:$X,17,0)</f>
        <v>70</v>
      </c>
      <c r="Q117" s="75">
        <f>VLOOKUP($B117,[5]SAP!$D:$X,21,0)</f>
        <v>5000</v>
      </c>
      <c r="R117" s="75">
        <f>VLOOKUP($B117,[5]SAP!$D:$X,20,0)</f>
        <v>5000</v>
      </c>
      <c r="S117" s="86" t="s">
        <v>225</v>
      </c>
    </row>
    <row r="118" spans="1:19" x14ac:dyDescent="0.25">
      <c r="A118" s="62"/>
      <c r="B118" s="68">
        <v>10100017206</v>
      </c>
      <c r="C118" s="64" t="s">
        <v>749</v>
      </c>
      <c r="D118" s="64" t="s">
        <v>461</v>
      </c>
      <c r="E118" s="69" t="s">
        <v>750</v>
      </c>
      <c r="F118" s="63">
        <v>3</v>
      </c>
      <c r="G118" s="248" t="s">
        <v>459</v>
      </c>
      <c r="H118" s="67" t="s">
        <v>42</v>
      </c>
      <c r="I118" s="74"/>
      <c r="J118" s="75">
        <f>VLOOKUP($B118,[5]SAP!$D:$X,12,0)</f>
        <v>6.7799999999999996E-3</v>
      </c>
      <c r="K118" s="75" t="str">
        <f>VLOOKUP($B118,[5]SAP!$D:$X,19,0)</f>
        <v>CNY</v>
      </c>
      <c r="L118" s="58" t="str">
        <f>VLOOKUP($B118,[5]SAP!$D:$X,8,0)</f>
        <v>厚声国际贸易（昆山）有限公司深圳分公司</v>
      </c>
      <c r="M118" s="75">
        <f t="shared" si="15"/>
        <v>6.7799999999999996E-3</v>
      </c>
      <c r="N118" s="75"/>
      <c r="O118" s="75"/>
      <c r="P118" s="75">
        <f>VLOOKUP($B118,[5]SAP!$D:$X,17,0)</f>
        <v>42</v>
      </c>
      <c r="Q118" s="75">
        <f>VLOOKUP($B118,[5]SAP!$D:$X,21,0)</f>
        <v>5000</v>
      </c>
      <c r="R118" s="75">
        <f>VLOOKUP($B118,[5]SAP!$D:$X,20,0)</f>
        <v>5000</v>
      </c>
      <c r="S118" s="86" t="s">
        <v>225</v>
      </c>
    </row>
    <row r="119" spans="1:19" x14ac:dyDescent="0.25">
      <c r="A119" s="62"/>
      <c r="B119" s="68">
        <v>10100017511</v>
      </c>
      <c r="C119" s="64" t="s">
        <v>749</v>
      </c>
      <c r="D119" s="64" t="s">
        <v>462</v>
      </c>
      <c r="E119" s="69" t="s">
        <v>751</v>
      </c>
      <c r="F119" s="63">
        <v>3</v>
      </c>
      <c r="G119" s="248" t="s">
        <v>459</v>
      </c>
      <c r="H119" s="67" t="s">
        <v>42</v>
      </c>
      <c r="I119" s="74"/>
      <c r="J119" s="75">
        <f>VLOOKUP($B119,[5]SAP!$D:$X,12,0)</f>
        <v>5.5999999999999999E-3</v>
      </c>
      <c r="K119" s="75" t="str">
        <f>VLOOKUP($B119,[5]SAP!$D:$X,19,0)</f>
        <v>CNY</v>
      </c>
      <c r="L119" s="58" t="str">
        <f>VLOOKUP($B119,[5]SAP!$D:$X,8,0)</f>
        <v>恒辉电阻（益阳）有限公司</v>
      </c>
      <c r="M119" s="75">
        <f t="shared" si="15"/>
        <v>5.5999999999999999E-3</v>
      </c>
      <c r="N119" s="75">
        <f>M119*F119</f>
        <v>1.6799999999999999E-2</v>
      </c>
      <c r="O119" s="75"/>
      <c r="P119" s="75">
        <f>VLOOKUP($B119,[5]SAP!$D:$X,17,0)</f>
        <v>42</v>
      </c>
      <c r="Q119" s="75">
        <f>VLOOKUP($B119,[5]SAP!$D:$X,21,0)</f>
        <v>5000</v>
      </c>
      <c r="R119" s="75">
        <f>VLOOKUP($B119,[5]SAP!$D:$X,20,0)</f>
        <v>5000</v>
      </c>
      <c r="S119" s="86" t="s">
        <v>37</v>
      </c>
    </row>
    <row r="120" spans="1:19" x14ac:dyDescent="0.25">
      <c r="A120" s="62"/>
      <c r="B120" s="68">
        <v>10100026554</v>
      </c>
      <c r="C120" s="64" t="s">
        <v>749</v>
      </c>
      <c r="D120" s="64" t="s">
        <v>463</v>
      </c>
      <c r="E120" s="69" t="s">
        <v>705</v>
      </c>
      <c r="F120" s="63">
        <v>3</v>
      </c>
      <c r="G120" s="248" t="s">
        <v>459</v>
      </c>
      <c r="H120" s="67" t="s">
        <v>42</v>
      </c>
      <c r="I120" s="74"/>
      <c r="J120" s="75">
        <f>VLOOKUP($B120,[5]SAP!$D:$X,12,0)</f>
        <v>6.4999999999999997E-3</v>
      </c>
      <c r="K120" s="75" t="str">
        <f>VLOOKUP($B120,[5]SAP!$D:$X,19,0)</f>
        <v>CNY</v>
      </c>
      <c r="L120" s="58" t="str">
        <f>VLOOKUP($B120,[5]SAP!$D:$X,8,0)</f>
        <v>广东风华高新科技股份有限公司</v>
      </c>
      <c r="M120" s="75">
        <f t="shared" si="15"/>
        <v>6.4999999999999997E-3</v>
      </c>
      <c r="N120" s="75"/>
      <c r="O120" s="75"/>
      <c r="P120" s="75">
        <f>VLOOKUP($B120,[5]SAP!$D:$X,17,0)</f>
        <v>42</v>
      </c>
      <c r="Q120" s="75">
        <f>VLOOKUP($B120,[5]SAP!$D:$X,21,0)</f>
        <v>5000</v>
      </c>
      <c r="R120" s="75">
        <f>VLOOKUP($B120,[5]SAP!$D:$X,20,0)</f>
        <v>5000</v>
      </c>
      <c r="S120" s="86" t="s">
        <v>225</v>
      </c>
    </row>
    <row r="121" spans="1:19" x14ac:dyDescent="0.25">
      <c r="A121" s="62">
        <v>49</v>
      </c>
      <c r="B121" s="68">
        <v>10100008827</v>
      </c>
      <c r="C121" s="64" t="s">
        <v>749</v>
      </c>
      <c r="D121" s="64" t="s">
        <v>464</v>
      </c>
      <c r="E121" s="69" t="s">
        <v>704</v>
      </c>
      <c r="F121" s="63">
        <v>2</v>
      </c>
      <c r="G121" s="248" t="s">
        <v>465</v>
      </c>
      <c r="H121" s="67" t="s">
        <v>42</v>
      </c>
      <c r="I121" s="74"/>
      <c r="J121" s="75">
        <f>VLOOKUP($B121,[5]SAP!$D:$X,12,0)</f>
        <v>1.17E-3</v>
      </c>
      <c r="K121" s="75" t="str">
        <f>VLOOKUP($B121,[5]SAP!$D:$X,19,0)</f>
        <v>CNY</v>
      </c>
      <c r="L121" s="58" t="str">
        <f>VLOOKUP($B121,[5]SAP!$D:$X,8,0)</f>
        <v>东莞华科电子有限公司</v>
      </c>
      <c r="M121" s="75">
        <f t="shared" si="15"/>
        <v>1.17E-3</v>
      </c>
      <c r="N121" s="75"/>
      <c r="O121" s="75"/>
      <c r="P121" s="75">
        <f>VLOOKUP($B121,[5]SAP!$D:$X,17,0)</f>
        <v>56</v>
      </c>
      <c r="Q121" s="75">
        <f>VLOOKUP($B121,[5]SAP!$D:$X,21,0)</f>
        <v>10000</v>
      </c>
      <c r="R121" s="75">
        <f>VLOOKUP($B121,[5]SAP!$D:$X,20,0)</f>
        <v>10000</v>
      </c>
      <c r="S121" s="86" t="s">
        <v>225</v>
      </c>
    </row>
    <row r="122" spans="1:19" ht="26.4" x14ac:dyDescent="0.25">
      <c r="A122" s="62"/>
      <c r="B122" s="68">
        <v>10100008830</v>
      </c>
      <c r="C122" s="64" t="s">
        <v>749</v>
      </c>
      <c r="D122" s="64" t="s">
        <v>466</v>
      </c>
      <c r="E122" s="69" t="s">
        <v>703</v>
      </c>
      <c r="F122" s="63">
        <v>2</v>
      </c>
      <c r="G122" s="248" t="s">
        <v>465</v>
      </c>
      <c r="H122" s="67"/>
      <c r="I122" s="74"/>
      <c r="J122" s="75">
        <f>VLOOKUP($B122,[5]SAP!$D:$X,12,0)</f>
        <v>1.39E-3</v>
      </c>
      <c r="K122" s="75" t="str">
        <f>VLOOKUP($B122,[5]SAP!$D:$X,19,0)</f>
        <v>CNY</v>
      </c>
      <c r="L122" s="58" t="str">
        <f>VLOOKUP($B122,[5]SAP!$D:$X,8,0)</f>
        <v>深圳市欧尔法电子有限公司</v>
      </c>
      <c r="M122" s="75">
        <f t="shared" si="15"/>
        <v>1.39E-3</v>
      </c>
      <c r="N122" s="75"/>
      <c r="O122" s="75"/>
      <c r="P122" s="75">
        <f>VLOOKUP($B122,[5]SAP!$D:$X,17,0)</f>
        <v>56</v>
      </c>
      <c r="Q122" s="75">
        <f>VLOOKUP($B122,[5]SAP!$D:$X,21,0)</f>
        <v>10000</v>
      </c>
      <c r="R122" s="75">
        <f>VLOOKUP($B122,[5]SAP!$D:$X,20,0)</f>
        <v>10000</v>
      </c>
      <c r="S122" s="86" t="s">
        <v>225</v>
      </c>
    </row>
    <row r="123" spans="1:19" x14ac:dyDescent="0.25">
      <c r="A123" s="62"/>
      <c r="B123" s="68">
        <v>10100011886</v>
      </c>
      <c r="C123" s="64" t="s">
        <v>749</v>
      </c>
      <c r="D123" s="64" t="s">
        <v>467</v>
      </c>
      <c r="E123" s="69" t="s">
        <v>750</v>
      </c>
      <c r="F123" s="63">
        <v>2</v>
      </c>
      <c r="G123" s="248" t="s">
        <v>465</v>
      </c>
      <c r="H123" s="67" t="s">
        <v>42</v>
      </c>
      <c r="I123" s="74"/>
      <c r="J123" s="75">
        <f>VLOOKUP($B123,[5]SAP!$D:$X,12,0)</f>
        <v>1.09E-3</v>
      </c>
      <c r="K123" s="75" t="str">
        <f>VLOOKUP($B123,[5]SAP!$D:$X,19,0)</f>
        <v>CNY</v>
      </c>
      <c r="L123" s="58" t="str">
        <f>VLOOKUP($B123,[5]SAP!$D:$X,8,0)</f>
        <v>厚声国际贸易（昆山）有限公司深圳分公司</v>
      </c>
      <c r="M123" s="75">
        <f t="shared" si="15"/>
        <v>1.09E-3</v>
      </c>
      <c r="N123" s="75"/>
      <c r="O123" s="75"/>
      <c r="P123" s="75">
        <f>VLOOKUP($B123,[5]SAP!$D:$X,17,0)</f>
        <v>56</v>
      </c>
      <c r="Q123" s="75">
        <f>VLOOKUP($B123,[5]SAP!$D:$X,21,0)</f>
        <v>10000</v>
      </c>
      <c r="R123" s="75">
        <f>VLOOKUP($B123,[5]SAP!$D:$X,20,0)</f>
        <v>10000</v>
      </c>
      <c r="S123" s="86" t="s">
        <v>225</v>
      </c>
    </row>
    <row r="124" spans="1:19" x14ac:dyDescent="0.25">
      <c r="A124" s="62"/>
      <c r="B124" s="68">
        <v>10100011996</v>
      </c>
      <c r="C124" s="64" t="s">
        <v>749</v>
      </c>
      <c r="D124" s="64" t="s">
        <v>468</v>
      </c>
      <c r="E124" s="69" t="s">
        <v>705</v>
      </c>
      <c r="F124" s="63">
        <v>2</v>
      </c>
      <c r="G124" s="248" t="s">
        <v>465</v>
      </c>
      <c r="H124" s="67" t="s">
        <v>42</v>
      </c>
      <c r="I124" s="74"/>
      <c r="J124" s="75">
        <f>VLOOKUP($B124,[5]SAP!$D:$X,12,0)</f>
        <v>1.1000000000000001E-3</v>
      </c>
      <c r="K124" s="75" t="str">
        <f>VLOOKUP($B124,[5]SAP!$D:$X,19,0)</f>
        <v>CNY</v>
      </c>
      <c r="L124" s="58" t="str">
        <f>VLOOKUP($B124,[5]SAP!$D:$X,8,0)</f>
        <v>广东风华高新科技股份有限公司</v>
      </c>
      <c r="M124" s="75">
        <f t="shared" si="15"/>
        <v>1.1000000000000001E-3</v>
      </c>
      <c r="N124" s="75"/>
      <c r="O124" s="75"/>
      <c r="P124" s="75">
        <f>VLOOKUP($B124,[5]SAP!$D:$X,17,0)</f>
        <v>42</v>
      </c>
      <c r="Q124" s="75">
        <f>VLOOKUP($B124,[5]SAP!$D:$X,21,0)</f>
        <v>10000</v>
      </c>
      <c r="R124" s="75">
        <f>VLOOKUP($B124,[5]SAP!$D:$X,20,0)</f>
        <v>10000</v>
      </c>
      <c r="S124" s="86" t="s">
        <v>225</v>
      </c>
    </row>
    <row r="125" spans="1:19" x14ac:dyDescent="0.25">
      <c r="A125" s="62"/>
      <c r="B125" s="68">
        <v>10100017764</v>
      </c>
      <c r="C125" s="64" t="s">
        <v>749</v>
      </c>
      <c r="D125" s="64" t="s">
        <v>469</v>
      </c>
      <c r="E125" s="69" t="s">
        <v>751</v>
      </c>
      <c r="F125" s="63">
        <v>2</v>
      </c>
      <c r="G125" s="248" t="s">
        <v>465</v>
      </c>
      <c r="H125" s="67" t="s">
        <v>42</v>
      </c>
      <c r="I125" s="74"/>
      <c r="J125" s="75">
        <f>VLOOKUP($B125,[5]SAP!$D:$X,12,0)</f>
        <v>9.7999999999999997E-4</v>
      </c>
      <c r="K125" s="75" t="str">
        <f>VLOOKUP($B125,[5]SAP!$D:$X,19,0)</f>
        <v>CNY</v>
      </c>
      <c r="L125" s="58" t="str">
        <f>VLOOKUP($B125,[5]SAP!$D:$X,8,0)</f>
        <v>恒辉电阻（益阳）有限公司</v>
      </c>
      <c r="M125" s="75">
        <f t="shared" si="15"/>
        <v>9.7999999999999997E-4</v>
      </c>
      <c r="N125" s="75">
        <f>M125*F125</f>
        <v>1.9599999999999999E-3</v>
      </c>
      <c r="O125" s="75"/>
      <c r="P125" s="75">
        <f>VLOOKUP($B125,[5]SAP!$D:$X,17,0)</f>
        <v>42</v>
      </c>
      <c r="Q125" s="75">
        <f>VLOOKUP($B125,[5]SAP!$D:$X,21,0)</f>
        <v>10000</v>
      </c>
      <c r="R125" s="75">
        <f>VLOOKUP($B125,[5]SAP!$D:$X,20,0)</f>
        <v>10000</v>
      </c>
      <c r="S125" s="86" t="s">
        <v>37</v>
      </c>
    </row>
    <row r="126" spans="1:19" x14ac:dyDescent="0.25">
      <c r="A126" s="62">
        <v>50</v>
      </c>
      <c r="B126" s="68">
        <v>10100005795</v>
      </c>
      <c r="C126" s="64" t="s">
        <v>752</v>
      </c>
      <c r="D126" s="64" t="s">
        <v>127</v>
      </c>
      <c r="E126" s="69" t="s">
        <v>705</v>
      </c>
      <c r="F126" s="63">
        <v>3</v>
      </c>
      <c r="G126" s="64" t="s">
        <v>604</v>
      </c>
      <c r="H126" s="67" t="s">
        <v>42</v>
      </c>
      <c r="I126" s="74"/>
      <c r="J126" s="75">
        <f>VLOOKUP($B126,[5]SAP!$D:$X,12,0)</f>
        <v>1.1000000000000001E-3</v>
      </c>
      <c r="K126" s="75" t="str">
        <f>VLOOKUP($B126,[5]SAP!$D:$X,19,0)</f>
        <v>CNY</v>
      </c>
      <c r="L126" s="58" t="str">
        <f>VLOOKUP($B126,[5]SAP!$D:$X,8,0)</f>
        <v>广东风华高新科技股份有限公司</v>
      </c>
      <c r="M126" s="75">
        <f t="shared" si="15"/>
        <v>1.1000000000000001E-3</v>
      </c>
      <c r="N126" s="75"/>
      <c r="O126" s="75"/>
      <c r="P126" s="75">
        <f>VLOOKUP($B126,[5]SAP!$D:$X,17,0)</f>
        <v>42</v>
      </c>
      <c r="Q126" s="75">
        <f>VLOOKUP($B126,[5]SAP!$D:$X,21,0)</f>
        <v>10000</v>
      </c>
      <c r="R126" s="75">
        <f>VLOOKUP($B126,[5]SAP!$D:$X,20,0)</f>
        <v>10000</v>
      </c>
      <c r="S126" s="86" t="s">
        <v>225</v>
      </c>
    </row>
    <row r="127" spans="1:19" x14ac:dyDescent="0.25">
      <c r="A127" s="62"/>
      <c r="B127" s="68">
        <v>10100009838</v>
      </c>
      <c r="C127" s="64" t="s">
        <v>752</v>
      </c>
      <c r="D127" s="64" t="s">
        <v>128</v>
      </c>
      <c r="E127" s="69" t="s">
        <v>750</v>
      </c>
      <c r="F127" s="63">
        <v>3</v>
      </c>
      <c r="G127" s="64" t="s">
        <v>604</v>
      </c>
      <c r="H127" s="67" t="s">
        <v>42</v>
      </c>
      <c r="I127" s="74"/>
      <c r="J127" s="75">
        <f>VLOOKUP($B127,[5]SAP!$D:$X,12,0)</f>
        <v>1.09E-3</v>
      </c>
      <c r="K127" s="75" t="str">
        <f>VLOOKUP($B127,[5]SAP!$D:$X,19,0)</f>
        <v>CNY</v>
      </c>
      <c r="L127" s="58" t="str">
        <f>VLOOKUP($B127,[5]SAP!$D:$X,8,0)</f>
        <v>厚声国际贸易（昆山）有限公司深圳分公司</v>
      </c>
      <c r="M127" s="75">
        <f t="shared" si="15"/>
        <v>1.09E-3</v>
      </c>
      <c r="N127" s="75"/>
      <c r="O127" s="75"/>
      <c r="P127" s="75">
        <f>VLOOKUP($B127,[5]SAP!$D:$X,17,0)</f>
        <v>56</v>
      </c>
      <c r="Q127" s="75">
        <f>VLOOKUP($B127,[5]SAP!$D:$X,21,0)</f>
        <v>10000</v>
      </c>
      <c r="R127" s="75">
        <f>VLOOKUP($B127,[5]SAP!$D:$X,20,0)</f>
        <v>10000</v>
      </c>
      <c r="S127" s="86" t="s">
        <v>225</v>
      </c>
    </row>
    <row r="128" spans="1:19" x14ac:dyDescent="0.25">
      <c r="A128" s="62"/>
      <c r="B128" s="68">
        <v>10100010045</v>
      </c>
      <c r="C128" s="64" t="s">
        <v>752</v>
      </c>
      <c r="D128" s="64" t="s">
        <v>131</v>
      </c>
      <c r="E128" s="69" t="s">
        <v>704</v>
      </c>
      <c r="F128" s="63">
        <v>3</v>
      </c>
      <c r="G128" s="64" t="s">
        <v>604</v>
      </c>
      <c r="H128" s="67" t="s">
        <v>42</v>
      </c>
      <c r="I128" s="74"/>
      <c r="J128" s="75">
        <f>VLOOKUP($B128,[5]SAP!$D:$X,12,0)</f>
        <v>1.17E-3</v>
      </c>
      <c r="K128" s="75" t="str">
        <f>VLOOKUP($B128,[5]SAP!$D:$X,19,0)</f>
        <v>CNY</v>
      </c>
      <c r="L128" s="58" t="str">
        <f>VLOOKUP($B128,[5]SAP!$D:$X,8,0)</f>
        <v>东莞华科电子有限公司</v>
      </c>
      <c r="M128" s="75">
        <f t="shared" si="15"/>
        <v>1.17E-3</v>
      </c>
      <c r="N128" s="75"/>
      <c r="O128" s="75"/>
      <c r="P128" s="75">
        <f>VLOOKUP($B128,[5]SAP!$D:$X,17,0)</f>
        <v>56</v>
      </c>
      <c r="Q128" s="75">
        <f>VLOOKUP($B128,[5]SAP!$D:$X,21,0)</f>
        <v>10000</v>
      </c>
      <c r="R128" s="75">
        <f>VLOOKUP($B128,[5]SAP!$D:$X,20,0)</f>
        <v>10000</v>
      </c>
      <c r="S128" s="86" t="s">
        <v>225</v>
      </c>
    </row>
    <row r="129" spans="1:19" x14ac:dyDescent="0.25">
      <c r="A129" s="62"/>
      <c r="B129" s="68">
        <v>10100017618</v>
      </c>
      <c r="C129" s="64" t="s">
        <v>749</v>
      </c>
      <c r="D129" s="64" t="s">
        <v>132</v>
      </c>
      <c r="E129" s="69" t="s">
        <v>751</v>
      </c>
      <c r="F129" s="63">
        <v>3</v>
      </c>
      <c r="G129" s="64" t="s">
        <v>604</v>
      </c>
      <c r="H129" s="67" t="s">
        <v>42</v>
      </c>
      <c r="I129" s="74"/>
      <c r="J129" s="75">
        <f>VLOOKUP($B129,[5]SAP!$D:$X,12,0)</f>
        <v>9.7999999999999997E-4</v>
      </c>
      <c r="K129" s="75" t="str">
        <f>VLOOKUP($B129,[5]SAP!$D:$X,19,0)</f>
        <v>CNY</v>
      </c>
      <c r="L129" s="58" t="str">
        <f>VLOOKUP($B129,[5]SAP!$D:$X,8,0)</f>
        <v>恒辉电阻（益阳）有限公司</v>
      </c>
      <c r="M129" s="75">
        <f t="shared" si="15"/>
        <v>9.7999999999999997E-4</v>
      </c>
      <c r="N129" s="75">
        <f>M129*F129</f>
        <v>2.9399999999999999E-3</v>
      </c>
      <c r="O129" s="75"/>
      <c r="P129" s="75">
        <f>VLOOKUP($B129,[5]SAP!$D:$X,17,0)</f>
        <v>42</v>
      </c>
      <c r="Q129" s="75">
        <f>VLOOKUP($B129,[5]SAP!$D:$X,21,0)</f>
        <v>10000</v>
      </c>
      <c r="R129" s="75">
        <f>VLOOKUP($B129,[5]SAP!$D:$X,20,0)</f>
        <v>10000</v>
      </c>
      <c r="S129" s="86" t="s">
        <v>37</v>
      </c>
    </row>
    <row r="130" spans="1:19" ht="26.4" x14ac:dyDescent="0.25">
      <c r="A130" s="62">
        <v>51</v>
      </c>
      <c r="B130" s="68">
        <v>10100003500</v>
      </c>
      <c r="C130" s="64" t="s">
        <v>749</v>
      </c>
      <c r="D130" s="64" t="s">
        <v>471</v>
      </c>
      <c r="E130" s="69" t="s">
        <v>703</v>
      </c>
      <c r="F130" s="63">
        <v>1</v>
      </c>
      <c r="G130" s="248" t="s">
        <v>472</v>
      </c>
      <c r="H130" s="67"/>
      <c r="I130" s="74"/>
      <c r="J130" s="75">
        <f>VLOOKUP($B130,[5]SAP!$D:$X,12,0)</f>
        <v>2.5999999999999999E-3</v>
      </c>
      <c r="K130" s="75" t="str">
        <f>VLOOKUP($B130,[5]SAP!$D:$X,19,0)</f>
        <v>CNY</v>
      </c>
      <c r="L130" s="58" t="str">
        <f>VLOOKUP($B130,[5]SAP!$D:$X,8,0)</f>
        <v>深圳市超利维实业有限公司</v>
      </c>
      <c r="M130" s="75">
        <f t="shared" si="15"/>
        <v>2.5999999999999999E-3</v>
      </c>
      <c r="N130" s="75"/>
      <c r="O130" s="75"/>
      <c r="P130" s="75">
        <f>VLOOKUP($B130,[5]SAP!$D:$X,17,0)</f>
        <v>56</v>
      </c>
      <c r="Q130" s="75">
        <f>VLOOKUP($B130,[5]SAP!$D:$X,21,0)</f>
        <v>5000</v>
      </c>
      <c r="R130" s="75">
        <f>VLOOKUP($B130,[5]SAP!$D:$X,20,0)</f>
        <v>5000</v>
      </c>
      <c r="S130" s="86" t="s">
        <v>225</v>
      </c>
    </row>
    <row r="131" spans="1:19" x14ac:dyDescent="0.25">
      <c r="A131" s="62"/>
      <c r="B131" s="68">
        <v>10100006507</v>
      </c>
      <c r="C131" s="64" t="s">
        <v>749</v>
      </c>
      <c r="D131" s="64" t="s">
        <v>473</v>
      </c>
      <c r="E131" s="69" t="s">
        <v>705</v>
      </c>
      <c r="F131" s="63">
        <v>1</v>
      </c>
      <c r="G131" s="248" t="s">
        <v>472</v>
      </c>
      <c r="H131" s="67" t="s">
        <v>42</v>
      </c>
      <c r="I131" s="74"/>
      <c r="J131" s="75">
        <f>VLOOKUP($B131,[5]SAP!$D:$X,12,0)</f>
        <v>2.0799999999999998E-3</v>
      </c>
      <c r="K131" s="75" t="str">
        <f>VLOOKUP($B131,[5]SAP!$D:$X,19,0)</f>
        <v>CNY</v>
      </c>
      <c r="L131" s="58" t="str">
        <f>VLOOKUP($B131,[5]SAP!$D:$X,8,0)</f>
        <v>广东风华高新科技股份有限公司</v>
      </c>
      <c r="M131" s="75">
        <f t="shared" si="15"/>
        <v>2.0799999999999998E-3</v>
      </c>
      <c r="N131" s="75"/>
      <c r="O131" s="75"/>
      <c r="P131" s="75">
        <f>VLOOKUP($B131,[5]SAP!$D:$X,17,0)</f>
        <v>42</v>
      </c>
      <c r="Q131" s="75">
        <f>VLOOKUP($B131,[5]SAP!$D:$X,21,0)</f>
        <v>5000</v>
      </c>
      <c r="R131" s="75">
        <f>VLOOKUP($B131,[5]SAP!$D:$X,20,0)</f>
        <v>5000</v>
      </c>
      <c r="S131" s="86" t="s">
        <v>225</v>
      </c>
    </row>
    <row r="132" spans="1:19" x14ac:dyDescent="0.25">
      <c r="A132" s="62"/>
      <c r="B132" s="68">
        <v>10100006845</v>
      </c>
      <c r="C132" s="64" t="s">
        <v>749</v>
      </c>
      <c r="D132" s="64" t="s">
        <v>474</v>
      </c>
      <c r="E132" s="69" t="s">
        <v>704</v>
      </c>
      <c r="F132" s="63">
        <v>1</v>
      </c>
      <c r="G132" s="248" t="s">
        <v>472</v>
      </c>
      <c r="H132" s="67" t="s">
        <v>42</v>
      </c>
      <c r="I132" s="74"/>
      <c r="J132" s="75">
        <f>VLOOKUP($B132,[5]SAP!$D:$X,12,0)</f>
        <v>2.2200000000000002E-3</v>
      </c>
      <c r="K132" s="75" t="str">
        <f>VLOOKUP($B132,[5]SAP!$D:$X,19,0)</f>
        <v>CNY</v>
      </c>
      <c r="L132" s="58" t="str">
        <f>VLOOKUP($B132,[5]SAP!$D:$X,8,0)</f>
        <v>东莞华科电子有限公司</v>
      </c>
      <c r="M132" s="75">
        <f t="shared" si="15"/>
        <v>2.2200000000000002E-3</v>
      </c>
      <c r="N132" s="75"/>
      <c r="O132" s="75"/>
      <c r="P132" s="75">
        <f>VLOOKUP($B132,[5]SAP!$D:$X,17,0)</f>
        <v>56</v>
      </c>
      <c r="Q132" s="75">
        <f>VLOOKUP($B132,[5]SAP!$D:$X,21,0)</f>
        <v>5000</v>
      </c>
      <c r="R132" s="75">
        <f>VLOOKUP($B132,[5]SAP!$D:$X,20,0)</f>
        <v>5000</v>
      </c>
      <c r="S132" s="86" t="s">
        <v>225</v>
      </c>
    </row>
    <row r="133" spans="1:19" x14ac:dyDescent="0.25">
      <c r="A133" s="62"/>
      <c r="B133" s="68">
        <v>10100011090</v>
      </c>
      <c r="C133" s="64" t="s">
        <v>749</v>
      </c>
      <c r="D133" s="64" t="s">
        <v>475</v>
      </c>
      <c r="E133" s="69" t="s">
        <v>750</v>
      </c>
      <c r="F133" s="63">
        <v>1</v>
      </c>
      <c r="G133" s="248" t="s">
        <v>472</v>
      </c>
      <c r="H133" s="67" t="s">
        <v>42</v>
      </c>
      <c r="I133" s="74"/>
      <c r="J133" s="75">
        <f>VLOOKUP($B133,[5]SAP!$D:$X,12,0)</f>
        <v>2.0999999999999999E-3</v>
      </c>
      <c r="K133" s="75" t="str">
        <f>VLOOKUP($B133,[5]SAP!$D:$X,19,0)</f>
        <v>CNY</v>
      </c>
      <c r="L133" s="58" t="str">
        <f>VLOOKUP($B133,[5]SAP!$D:$X,8,0)</f>
        <v>厚声国际贸易（昆山）有限公司深圳分公司</v>
      </c>
      <c r="M133" s="75">
        <f t="shared" si="15"/>
        <v>2.0999999999999999E-3</v>
      </c>
      <c r="N133" s="75"/>
      <c r="O133" s="75"/>
      <c r="P133" s="75">
        <f>VLOOKUP($B133,[5]SAP!$D:$X,17,0)</f>
        <v>56</v>
      </c>
      <c r="Q133" s="75">
        <f>VLOOKUP($B133,[5]SAP!$D:$X,21,0)</f>
        <v>5000</v>
      </c>
      <c r="R133" s="75">
        <f>VLOOKUP($B133,[5]SAP!$D:$X,20,0)</f>
        <v>5000</v>
      </c>
      <c r="S133" s="86" t="s">
        <v>225</v>
      </c>
    </row>
    <row r="134" spans="1:19" x14ac:dyDescent="0.25">
      <c r="A134" s="62"/>
      <c r="B134" s="68">
        <v>10100017970</v>
      </c>
      <c r="C134" s="64" t="s">
        <v>749</v>
      </c>
      <c r="D134" s="64" t="s">
        <v>476</v>
      </c>
      <c r="E134" s="69" t="s">
        <v>751</v>
      </c>
      <c r="F134" s="63">
        <v>1</v>
      </c>
      <c r="G134" s="248" t="s">
        <v>472</v>
      </c>
      <c r="H134" s="67" t="s">
        <v>42</v>
      </c>
      <c r="I134" s="74"/>
      <c r="J134" s="75">
        <f>VLOOKUP($B134,[5]SAP!$D:$X,12,0)</f>
        <v>1.8500000000000001E-3</v>
      </c>
      <c r="K134" s="75" t="str">
        <f>VLOOKUP($B134,[5]SAP!$D:$X,19,0)</f>
        <v>CNY</v>
      </c>
      <c r="L134" s="58" t="str">
        <f>VLOOKUP($B134,[5]SAP!$D:$X,8,0)</f>
        <v>恒辉电阻（益阳）有限公司</v>
      </c>
      <c r="M134" s="75">
        <f t="shared" si="15"/>
        <v>1.8500000000000001E-3</v>
      </c>
      <c r="N134" s="75">
        <f>M134*F134</f>
        <v>1.8500000000000001E-3</v>
      </c>
      <c r="O134" s="75"/>
      <c r="P134" s="75">
        <f>VLOOKUP($B134,[5]SAP!$D:$X,17,0)</f>
        <v>42</v>
      </c>
      <c r="Q134" s="75">
        <f>VLOOKUP($B134,[5]SAP!$D:$X,21,0)</f>
        <v>5000</v>
      </c>
      <c r="R134" s="75">
        <f>VLOOKUP($B134,[5]SAP!$D:$X,20,0)</f>
        <v>5000</v>
      </c>
      <c r="S134" s="86" t="s">
        <v>37</v>
      </c>
    </row>
    <row r="135" spans="1:19" ht="26.4" x14ac:dyDescent="0.25">
      <c r="A135" s="62">
        <v>52</v>
      </c>
      <c r="B135" s="68">
        <v>10100009843</v>
      </c>
      <c r="C135" s="64" t="s">
        <v>749</v>
      </c>
      <c r="D135" s="64" t="s">
        <v>605</v>
      </c>
      <c r="E135" s="69" t="s">
        <v>703</v>
      </c>
      <c r="F135" s="63">
        <v>1</v>
      </c>
      <c r="G135" s="248" t="s">
        <v>478</v>
      </c>
      <c r="H135" s="67"/>
      <c r="I135" s="74"/>
      <c r="J135" s="75">
        <f>VLOOKUP($B135,[5]SAP!$D:$X,12,0)</f>
        <v>1.4E-3</v>
      </c>
      <c r="K135" s="75" t="str">
        <f>VLOOKUP($B135,[5]SAP!$D:$X,19,0)</f>
        <v>CNY</v>
      </c>
      <c r="L135" s="58" t="str">
        <f>VLOOKUP($B135,[5]SAP!$D:$X,8,0)</f>
        <v>深圳市超利维实业有限公司</v>
      </c>
      <c r="M135" s="75">
        <f t="shared" si="15"/>
        <v>1.4E-3</v>
      </c>
      <c r="N135" s="75"/>
      <c r="O135" s="75"/>
      <c r="P135" s="75">
        <f>VLOOKUP($B135,[5]SAP!$D:$X,17,0)</f>
        <v>84</v>
      </c>
      <c r="Q135" s="75">
        <f>VLOOKUP($B135,[5]SAP!$D:$X,21,0)</f>
        <v>10000</v>
      </c>
      <c r="R135" s="75">
        <f>VLOOKUP($B135,[5]SAP!$D:$X,20,0)</f>
        <v>10000</v>
      </c>
      <c r="S135" s="86" t="s">
        <v>225</v>
      </c>
    </row>
    <row r="136" spans="1:19" x14ac:dyDescent="0.25">
      <c r="A136" s="62"/>
      <c r="B136" s="68">
        <v>10100011343</v>
      </c>
      <c r="C136" s="64" t="s">
        <v>749</v>
      </c>
      <c r="D136" s="64" t="s">
        <v>606</v>
      </c>
      <c r="E136" s="69" t="s">
        <v>704</v>
      </c>
      <c r="F136" s="63">
        <v>1</v>
      </c>
      <c r="G136" s="248" t="s">
        <v>478</v>
      </c>
      <c r="H136" s="67" t="s">
        <v>42</v>
      </c>
      <c r="I136" s="74"/>
      <c r="J136" s="75">
        <f>VLOOKUP($B136,[5]SAP!$D:$X,12,0)</f>
        <v>1.17E-3</v>
      </c>
      <c r="K136" s="75" t="str">
        <f>VLOOKUP($B136,[5]SAP!$D:$X,19,0)</f>
        <v>CNY</v>
      </c>
      <c r="L136" s="58" t="str">
        <f>VLOOKUP($B136,[5]SAP!$D:$X,8,0)</f>
        <v>东莞华科电子有限公司</v>
      </c>
      <c r="M136" s="75">
        <f t="shared" si="15"/>
        <v>1.17E-3</v>
      </c>
      <c r="N136" s="75"/>
      <c r="O136" s="75"/>
      <c r="P136" s="75">
        <f>VLOOKUP($B136,[5]SAP!$D:$X,17,0)</f>
        <v>56</v>
      </c>
      <c r="Q136" s="75">
        <f>VLOOKUP($B136,[5]SAP!$D:$X,21,0)</f>
        <v>10000</v>
      </c>
      <c r="R136" s="75">
        <f>VLOOKUP($B136,[5]SAP!$D:$X,20,0)</f>
        <v>10000</v>
      </c>
      <c r="S136" s="86" t="s">
        <v>225</v>
      </c>
    </row>
    <row r="137" spans="1:19" x14ac:dyDescent="0.25">
      <c r="A137" s="62"/>
      <c r="B137" s="68">
        <v>10100011621</v>
      </c>
      <c r="C137" s="64" t="s">
        <v>749</v>
      </c>
      <c r="D137" s="64" t="s">
        <v>607</v>
      </c>
      <c r="E137" s="69" t="s">
        <v>705</v>
      </c>
      <c r="F137" s="63">
        <v>1</v>
      </c>
      <c r="G137" s="248" t="s">
        <v>478</v>
      </c>
      <c r="H137" s="67" t="s">
        <v>42</v>
      </c>
      <c r="I137" s="74"/>
      <c r="J137" s="75">
        <f>VLOOKUP($B137,[5]SAP!$D:$X,12,0)</f>
        <v>1.1000000000000001E-3</v>
      </c>
      <c r="K137" s="75" t="str">
        <f>VLOOKUP($B137,[5]SAP!$D:$X,19,0)</f>
        <v>CNY</v>
      </c>
      <c r="L137" s="58" t="str">
        <f>VLOOKUP($B137,[5]SAP!$D:$X,8,0)</f>
        <v>广东风华高新科技股份有限公司</v>
      </c>
      <c r="M137" s="75">
        <f t="shared" si="15"/>
        <v>1.1000000000000001E-3</v>
      </c>
      <c r="N137" s="75"/>
      <c r="O137" s="75"/>
      <c r="P137" s="75">
        <f>VLOOKUP($B137,[5]SAP!$D:$X,17,0)</f>
        <v>45</v>
      </c>
      <c r="Q137" s="75">
        <f>VLOOKUP($B137,[5]SAP!$D:$X,21,0)</f>
        <v>10000</v>
      </c>
      <c r="R137" s="75">
        <f>VLOOKUP($B137,[5]SAP!$D:$X,20,0)</f>
        <v>10000</v>
      </c>
      <c r="S137" s="86" t="s">
        <v>225</v>
      </c>
    </row>
    <row r="138" spans="1:19" x14ac:dyDescent="0.25">
      <c r="A138" s="62"/>
      <c r="B138" s="68">
        <v>10100015676</v>
      </c>
      <c r="C138" s="64" t="s">
        <v>749</v>
      </c>
      <c r="D138" s="64" t="s">
        <v>608</v>
      </c>
      <c r="E138" s="69" t="s">
        <v>750</v>
      </c>
      <c r="F138" s="63">
        <v>1</v>
      </c>
      <c r="G138" s="248" t="s">
        <v>478</v>
      </c>
      <c r="H138" s="67" t="s">
        <v>42</v>
      </c>
      <c r="I138" s="74"/>
      <c r="J138" s="75">
        <f>VLOOKUP($B138,[5]SAP!$D:$X,12,0)</f>
        <v>1.09E-3</v>
      </c>
      <c r="K138" s="75" t="str">
        <f>VLOOKUP($B138,[5]SAP!$D:$X,19,0)</f>
        <v>CNY</v>
      </c>
      <c r="L138" s="58" t="str">
        <f>VLOOKUP($B138,[5]SAP!$D:$X,8,0)</f>
        <v>厚声国际贸易（昆山）有限公司深圳分公司</v>
      </c>
      <c r="M138" s="75">
        <f t="shared" si="15"/>
        <v>1.09E-3</v>
      </c>
      <c r="N138" s="75"/>
      <c r="O138" s="75"/>
      <c r="P138" s="75">
        <f>VLOOKUP($B138,[5]SAP!$D:$X,17,0)</f>
        <v>42</v>
      </c>
      <c r="Q138" s="75">
        <f>VLOOKUP($B138,[5]SAP!$D:$X,21,0)</f>
        <v>10000</v>
      </c>
      <c r="R138" s="75">
        <f>VLOOKUP($B138,[5]SAP!$D:$X,20,0)</f>
        <v>10000</v>
      </c>
      <c r="S138" s="86" t="s">
        <v>225</v>
      </c>
    </row>
    <row r="139" spans="1:19" x14ac:dyDescent="0.25">
      <c r="A139" s="62"/>
      <c r="B139" s="68">
        <v>10100017741</v>
      </c>
      <c r="C139" s="64" t="s">
        <v>749</v>
      </c>
      <c r="D139" s="64" t="s">
        <v>609</v>
      </c>
      <c r="E139" s="69" t="s">
        <v>751</v>
      </c>
      <c r="F139" s="63">
        <v>1</v>
      </c>
      <c r="G139" s="248" t="s">
        <v>478</v>
      </c>
      <c r="H139" s="67" t="s">
        <v>42</v>
      </c>
      <c r="I139" s="74"/>
      <c r="J139" s="75">
        <f>VLOOKUP($B139,[5]SAP!$D:$X,12,0)</f>
        <v>9.7999999999999997E-4</v>
      </c>
      <c r="K139" s="75" t="str">
        <f>VLOOKUP($B139,[5]SAP!$D:$X,19,0)</f>
        <v>CNY</v>
      </c>
      <c r="L139" s="58" t="str">
        <f>VLOOKUP($B139,[5]SAP!$D:$X,8,0)</f>
        <v>恒辉电阻（益阳）有限公司</v>
      </c>
      <c r="M139" s="75">
        <f t="shared" si="15"/>
        <v>9.7999999999999997E-4</v>
      </c>
      <c r="N139" s="75">
        <f>M139*F139</f>
        <v>9.7999999999999997E-4</v>
      </c>
      <c r="O139" s="75"/>
      <c r="P139" s="75">
        <f>VLOOKUP($B139,[5]SAP!$D:$X,17,0)</f>
        <v>42</v>
      </c>
      <c r="Q139" s="75">
        <f>VLOOKUP($B139,[5]SAP!$D:$X,21,0)</f>
        <v>10000</v>
      </c>
      <c r="R139" s="75">
        <f>VLOOKUP($B139,[5]SAP!$D:$X,20,0)</f>
        <v>10000</v>
      </c>
      <c r="S139" s="86" t="s">
        <v>37</v>
      </c>
    </row>
    <row r="140" spans="1:19" ht="26.4" x14ac:dyDescent="0.25">
      <c r="A140" s="62">
        <v>53</v>
      </c>
      <c r="B140" s="68">
        <v>10100022846</v>
      </c>
      <c r="C140" s="64" t="s">
        <v>749</v>
      </c>
      <c r="D140" s="64" t="s">
        <v>483</v>
      </c>
      <c r="E140" s="69" t="s">
        <v>703</v>
      </c>
      <c r="F140" s="63">
        <v>1</v>
      </c>
      <c r="G140" s="248" t="s">
        <v>484</v>
      </c>
      <c r="H140" s="67"/>
      <c r="I140" s="74"/>
      <c r="J140" s="75">
        <f>VLOOKUP($B140,[5]SAP!$D:$X,12,0)</f>
        <v>1.4E-3</v>
      </c>
      <c r="K140" s="75" t="str">
        <f>VLOOKUP($B140,[5]SAP!$D:$X,19,0)</f>
        <v>CNY</v>
      </c>
      <c r="L140" s="58" t="str">
        <f>VLOOKUP($B140,[5]SAP!$D:$X,8,0)</f>
        <v>深圳市超利维实业有限公司</v>
      </c>
      <c r="M140" s="75">
        <f t="shared" si="15"/>
        <v>1.4E-3</v>
      </c>
      <c r="N140" s="75"/>
      <c r="O140" s="75"/>
      <c r="P140" s="75">
        <f>VLOOKUP($B140,[5]SAP!$D:$X,17,0)</f>
        <v>84</v>
      </c>
      <c r="Q140" s="75">
        <f>VLOOKUP($B140,[5]SAP!$D:$X,21,0)</f>
        <v>10000</v>
      </c>
      <c r="R140" s="75">
        <f>VLOOKUP($B140,[5]SAP!$D:$X,20,0)</f>
        <v>10000</v>
      </c>
      <c r="S140" s="86" t="s">
        <v>225</v>
      </c>
    </row>
    <row r="141" spans="1:19" x14ac:dyDescent="0.25">
      <c r="A141" s="62"/>
      <c r="B141" s="68">
        <v>10100022852</v>
      </c>
      <c r="C141" s="64" t="s">
        <v>749</v>
      </c>
      <c r="D141" s="64" t="s">
        <v>485</v>
      </c>
      <c r="E141" s="69" t="s">
        <v>704</v>
      </c>
      <c r="F141" s="63">
        <v>1</v>
      </c>
      <c r="G141" s="248" t="s">
        <v>484</v>
      </c>
      <c r="H141" s="67" t="s">
        <v>42</v>
      </c>
      <c r="I141" s="74"/>
      <c r="J141" s="75">
        <f>VLOOKUP($B141,[5]SAP!$D:$X,12,0)</f>
        <v>1.17E-3</v>
      </c>
      <c r="K141" s="75" t="str">
        <f>VLOOKUP($B141,[5]SAP!$D:$X,19,0)</f>
        <v>CNY</v>
      </c>
      <c r="L141" s="58" t="str">
        <f>VLOOKUP($B141,[5]SAP!$D:$X,8,0)</f>
        <v>东莞华科电子有限公司</v>
      </c>
      <c r="M141" s="75">
        <f t="shared" si="15"/>
        <v>1.17E-3</v>
      </c>
      <c r="N141" s="75"/>
      <c r="O141" s="75"/>
      <c r="P141" s="75">
        <f>VLOOKUP($B141,[5]SAP!$D:$X,17,0)</f>
        <v>56</v>
      </c>
      <c r="Q141" s="75">
        <f>VLOOKUP($B141,[5]SAP!$D:$X,21,0)</f>
        <v>10000</v>
      </c>
      <c r="R141" s="75">
        <f>VLOOKUP($B141,[5]SAP!$D:$X,20,0)</f>
        <v>10000</v>
      </c>
      <c r="S141" s="86" t="s">
        <v>225</v>
      </c>
    </row>
    <row r="142" spans="1:19" x14ac:dyDescent="0.25">
      <c r="A142" s="62"/>
      <c r="B142" s="68">
        <v>10100022856</v>
      </c>
      <c r="C142" s="64" t="s">
        <v>749</v>
      </c>
      <c r="D142" s="64" t="s">
        <v>486</v>
      </c>
      <c r="E142" s="69" t="s">
        <v>750</v>
      </c>
      <c r="F142" s="63">
        <v>1</v>
      </c>
      <c r="G142" s="248" t="s">
        <v>484</v>
      </c>
      <c r="H142" s="67" t="s">
        <v>42</v>
      </c>
      <c r="I142" s="74"/>
      <c r="J142" s="75">
        <f>VLOOKUP($B142,[5]SAP!$D:$X,12,0)</f>
        <v>1.09E-3</v>
      </c>
      <c r="K142" s="75" t="str">
        <f>VLOOKUP($B142,[5]SAP!$D:$X,19,0)</f>
        <v>CNY</v>
      </c>
      <c r="L142" s="58" t="str">
        <f>VLOOKUP($B142,[5]SAP!$D:$X,8,0)</f>
        <v>厚声国际贸易（昆山）有限公司深圳分公司</v>
      </c>
      <c r="M142" s="75">
        <f t="shared" si="15"/>
        <v>1.09E-3</v>
      </c>
      <c r="N142" s="75">
        <f>M142*F142</f>
        <v>1.09E-3</v>
      </c>
      <c r="O142" s="75"/>
      <c r="P142" s="75">
        <f>VLOOKUP($B142,[5]SAP!$D:$X,17,0)</f>
        <v>42</v>
      </c>
      <c r="Q142" s="75">
        <f>VLOOKUP($B142,[5]SAP!$D:$X,21,0)</f>
        <v>10000</v>
      </c>
      <c r="R142" s="75">
        <f>VLOOKUP($B142,[5]SAP!$D:$X,20,0)</f>
        <v>10000</v>
      </c>
      <c r="S142" s="86" t="s">
        <v>37</v>
      </c>
    </row>
    <row r="143" spans="1:19" x14ac:dyDescent="0.25">
      <c r="A143" s="62"/>
      <c r="B143" s="68">
        <v>10100022860</v>
      </c>
      <c r="C143" s="64" t="s">
        <v>749</v>
      </c>
      <c r="D143" s="64" t="s">
        <v>487</v>
      </c>
      <c r="E143" s="69" t="s">
        <v>705</v>
      </c>
      <c r="F143" s="63">
        <v>1</v>
      </c>
      <c r="G143" s="248" t="s">
        <v>484</v>
      </c>
      <c r="H143" s="67" t="s">
        <v>42</v>
      </c>
      <c r="I143" s="74"/>
      <c r="J143" s="75">
        <f>VLOOKUP($B143,[5]SAP!$D:$X,12,0)</f>
        <v>1.1000000000000001E-3</v>
      </c>
      <c r="K143" s="75" t="str">
        <f>VLOOKUP($B143,[5]SAP!$D:$X,19,0)</f>
        <v>CNY</v>
      </c>
      <c r="L143" s="58" t="str">
        <f>VLOOKUP($B143,[5]SAP!$D:$X,8,0)</f>
        <v>广东风华高新科技股份有限公司</v>
      </c>
      <c r="M143" s="75">
        <f t="shared" si="15"/>
        <v>1.1000000000000001E-3</v>
      </c>
      <c r="N143" s="75"/>
      <c r="O143" s="75"/>
      <c r="P143" s="75">
        <f>VLOOKUP($B143,[5]SAP!$D:$X,17,0)</f>
        <v>42</v>
      </c>
      <c r="Q143" s="75">
        <f>VLOOKUP($B143,[5]SAP!$D:$X,21,0)</f>
        <v>10000</v>
      </c>
      <c r="R143" s="75">
        <f>VLOOKUP($B143,[5]SAP!$D:$X,20,0)</f>
        <v>10000</v>
      </c>
      <c r="S143" s="86" t="s">
        <v>225</v>
      </c>
    </row>
    <row r="144" spans="1:19" x14ac:dyDescent="0.25">
      <c r="A144" s="62">
        <v>54</v>
      </c>
      <c r="B144" s="68">
        <v>10100008807</v>
      </c>
      <c r="C144" s="64" t="s">
        <v>749</v>
      </c>
      <c r="D144" s="64" t="s">
        <v>488</v>
      </c>
      <c r="E144" s="69" t="s">
        <v>704</v>
      </c>
      <c r="F144" s="63">
        <v>2</v>
      </c>
      <c r="G144" s="248" t="s">
        <v>489</v>
      </c>
      <c r="H144" s="67" t="s">
        <v>42</v>
      </c>
      <c r="I144" s="74"/>
      <c r="J144" s="75">
        <f>VLOOKUP($B144,[5]SAP!$D:$X,12,0)</f>
        <v>1.17E-3</v>
      </c>
      <c r="K144" s="75" t="str">
        <f>VLOOKUP($B144,[5]SAP!$D:$X,19,0)</f>
        <v>CNY</v>
      </c>
      <c r="L144" s="58" t="str">
        <f>VLOOKUP($B144,[5]SAP!$D:$X,8,0)</f>
        <v>东莞华科电子有限公司</v>
      </c>
      <c r="M144" s="75">
        <f t="shared" si="15"/>
        <v>1.17E-3</v>
      </c>
      <c r="N144" s="75"/>
      <c r="O144" s="75"/>
      <c r="P144" s="75">
        <f>VLOOKUP($B144,[5]SAP!$D:$X,17,0)</f>
        <v>56</v>
      </c>
      <c r="Q144" s="75">
        <f>VLOOKUP($B144,[5]SAP!$D:$X,21,0)</f>
        <v>10000</v>
      </c>
      <c r="R144" s="75">
        <f>VLOOKUP($B144,[5]SAP!$D:$X,20,0)</f>
        <v>10000</v>
      </c>
      <c r="S144" s="86" t="s">
        <v>225</v>
      </c>
    </row>
    <row r="145" spans="1:19" x14ac:dyDescent="0.25">
      <c r="A145" s="62"/>
      <c r="B145" s="68">
        <v>10100008809</v>
      </c>
      <c r="C145" s="64" t="s">
        <v>749</v>
      </c>
      <c r="D145" s="64" t="s">
        <v>490</v>
      </c>
      <c r="E145" s="69" t="s">
        <v>705</v>
      </c>
      <c r="F145" s="63">
        <v>2</v>
      </c>
      <c r="G145" s="248" t="s">
        <v>489</v>
      </c>
      <c r="H145" s="67" t="s">
        <v>42</v>
      </c>
      <c r="I145" s="74"/>
      <c r="J145" s="75">
        <f>VLOOKUP($B145,[5]SAP!$D:$X,12,0)</f>
        <v>1.1000000000000001E-3</v>
      </c>
      <c r="K145" s="75" t="str">
        <f>VLOOKUP($B145,[5]SAP!$D:$X,19,0)</f>
        <v>CNY</v>
      </c>
      <c r="L145" s="58" t="str">
        <f>VLOOKUP($B145,[5]SAP!$D:$X,8,0)</f>
        <v>广东风华高新科技股份有限公司</v>
      </c>
      <c r="M145" s="75">
        <f t="shared" si="15"/>
        <v>1.1000000000000001E-3</v>
      </c>
      <c r="N145" s="75"/>
      <c r="O145" s="75"/>
      <c r="P145" s="75">
        <f>VLOOKUP($B145,[5]SAP!$D:$X,17,0)</f>
        <v>42</v>
      </c>
      <c r="Q145" s="75">
        <f>VLOOKUP($B145,[5]SAP!$D:$X,21,0)</f>
        <v>10000</v>
      </c>
      <c r="R145" s="75">
        <f>VLOOKUP($B145,[5]SAP!$D:$X,20,0)</f>
        <v>10000</v>
      </c>
      <c r="S145" s="86" t="s">
        <v>225</v>
      </c>
    </row>
    <row r="146" spans="1:19" ht="26.4" x14ac:dyDescent="0.25">
      <c r="A146" s="62"/>
      <c r="B146" s="68">
        <v>10100014263</v>
      </c>
      <c r="C146" s="64" t="s">
        <v>749</v>
      </c>
      <c r="D146" s="64" t="s">
        <v>491</v>
      </c>
      <c r="E146" s="69" t="s">
        <v>703</v>
      </c>
      <c r="F146" s="63">
        <v>2</v>
      </c>
      <c r="G146" s="248" t="s">
        <v>489</v>
      </c>
      <c r="H146" s="67"/>
      <c r="I146" s="74"/>
      <c r="J146" s="75">
        <f>VLOOKUP($B146,[5]SAP!$D:$X,12,0)</f>
        <v>1.4E-3</v>
      </c>
      <c r="K146" s="75" t="str">
        <f>VLOOKUP($B146,[5]SAP!$D:$X,19,0)</f>
        <v>CNY</v>
      </c>
      <c r="L146" s="58" t="str">
        <f>VLOOKUP($B146,[5]SAP!$D:$X,8,0)</f>
        <v>深圳市超利维实业有限公司</v>
      </c>
      <c r="M146" s="75">
        <f t="shared" si="15"/>
        <v>1.4E-3</v>
      </c>
      <c r="N146" s="75"/>
      <c r="O146" s="75"/>
      <c r="P146" s="75">
        <f>VLOOKUP($B146,[5]SAP!$D:$X,17,0)</f>
        <v>56</v>
      </c>
      <c r="Q146" s="75">
        <f>VLOOKUP($B146,[5]SAP!$D:$X,21,0)</f>
        <v>10000</v>
      </c>
      <c r="R146" s="75">
        <f>VLOOKUP($B146,[5]SAP!$D:$X,20,0)</f>
        <v>10000</v>
      </c>
      <c r="S146" s="86" t="s">
        <v>225</v>
      </c>
    </row>
    <row r="147" spans="1:19" x14ac:dyDescent="0.25">
      <c r="A147" s="62"/>
      <c r="B147" s="68">
        <v>10100018399</v>
      </c>
      <c r="C147" s="64" t="s">
        <v>749</v>
      </c>
      <c r="D147" s="64" t="s">
        <v>492</v>
      </c>
      <c r="E147" s="69" t="s">
        <v>751</v>
      </c>
      <c r="F147" s="63">
        <v>2</v>
      </c>
      <c r="G147" s="248" t="s">
        <v>489</v>
      </c>
      <c r="H147" s="67" t="s">
        <v>42</v>
      </c>
      <c r="I147" s="74"/>
      <c r="J147" s="75">
        <f>VLOOKUP($B147,[5]SAP!$D:$X,12,0)</f>
        <v>9.7999999999999997E-4</v>
      </c>
      <c r="K147" s="75" t="str">
        <f>VLOOKUP($B147,[5]SAP!$D:$X,19,0)</f>
        <v>CNY</v>
      </c>
      <c r="L147" s="58" t="str">
        <f>VLOOKUP($B147,[5]SAP!$D:$X,8,0)</f>
        <v>恒辉电阻（益阳）有限公司</v>
      </c>
      <c r="M147" s="75">
        <f t="shared" si="15"/>
        <v>9.7999999999999997E-4</v>
      </c>
      <c r="N147" s="75">
        <f>M147*F147</f>
        <v>1.9599999999999999E-3</v>
      </c>
      <c r="O147" s="75"/>
      <c r="P147" s="75">
        <f>VLOOKUP($B147,[5]SAP!$D:$X,17,0)</f>
        <v>42</v>
      </c>
      <c r="Q147" s="75">
        <f>VLOOKUP($B147,[5]SAP!$D:$X,21,0)</f>
        <v>10000</v>
      </c>
      <c r="R147" s="75">
        <f>VLOOKUP($B147,[5]SAP!$D:$X,20,0)</f>
        <v>10000</v>
      </c>
      <c r="S147" s="86" t="s">
        <v>37</v>
      </c>
    </row>
    <row r="148" spans="1:19" x14ac:dyDescent="0.25">
      <c r="A148" s="62"/>
      <c r="B148" s="68">
        <v>10100019075</v>
      </c>
      <c r="C148" s="64" t="s">
        <v>749</v>
      </c>
      <c r="D148" s="64" t="s">
        <v>493</v>
      </c>
      <c r="E148" s="69" t="s">
        <v>750</v>
      </c>
      <c r="F148" s="63">
        <v>2</v>
      </c>
      <c r="G148" s="248" t="s">
        <v>489</v>
      </c>
      <c r="H148" s="67" t="s">
        <v>42</v>
      </c>
      <c r="I148" s="74"/>
      <c r="J148" s="75">
        <f>VLOOKUP($B148,[5]SAP!$D:$X,12,0)</f>
        <v>1.09E-3</v>
      </c>
      <c r="K148" s="75" t="str">
        <f>VLOOKUP($B148,[5]SAP!$D:$X,19,0)</f>
        <v>CNY</v>
      </c>
      <c r="L148" s="58" t="str">
        <f>VLOOKUP($B148,[5]SAP!$D:$X,8,0)</f>
        <v>厚声国际贸易（昆山）有限公司深圳分公司</v>
      </c>
      <c r="M148" s="75">
        <f t="shared" si="15"/>
        <v>1.09E-3</v>
      </c>
      <c r="N148" s="75"/>
      <c r="O148" s="75"/>
      <c r="P148" s="75">
        <f>VLOOKUP($B148,[5]SAP!$D:$X,17,0)</f>
        <v>42</v>
      </c>
      <c r="Q148" s="75">
        <f>VLOOKUP($B148,[5]SAP!$D:$X,21,0)</f>
        <v>10000</v>
      </c>
      <c r="R148" s="75">
        <f>VLOOKUP($B148,[5]SAP!$D:$X,20,0)</f>
        <v>10000</v>
      </c>
      <c r="S148" s="86" t="s">
        <v>225</v>
      </c>
    </row>
    <row r="149" spans="1:19" x14ac:dyDescent="0.25">
      <c r="A149" s="62">
        <v>55</v>
      </c>
      <c r="B149" s="68">
        <v>10100002658</v>
      </c>
      <c r="C149" s="64" t="s">
        <v>119</v>
      </c>
      <c r="D149" s="64" t="s">
        <v>755</v>
      </c>
      <c r="E149" s="69" t="s">
        <v>60</v>
      </c>
      <c r="F149" s="63">
        <v>1</v>
      </c>
      <c r="G149" s="248" t="s">
        <v>756</v>
      </c>
      <c r="H149" s="67" t="s">
        <v>42</v>
      </c>
      <c r="I149" s="74"/>
      <c r="J149" s="75">
        <f>VLOOKUP($B149,[5]SAP!$D:$X,12,0)</f>
        <v>6.4999999999999997E-3</v>
      </c>
      <c r="K149" s="75" t="str">
        <f>VLOOKUP($B149,[5]SAP!$D:$X,19,0)</f>
        <v>CNY</v>
      </c>
      <c r="L149" s="58" t="str">
        <f>VLOOKUP($B149,[5]SAP!$D:$X,8,0)</f>
        <v>广东风华高新科技股份有限公司</v>
      </c>
      <c r="M149" s="75">
        <f t="shared" si="15"/>
        <v>6.4999999999999997E-3</v>
      </c>
      <c r="N149" s="75"/>
      <c r="O149" s="75"/>
      <c r="P149" s="75">
        <f>VLOOKUP($B149,[5]SAP!$D:$X,17,0)</f>
        <v>42</v>
      </c>
      <c r="Q149" s="75">
        <f>VLOOKUP($B149,[5]SAP!$D:$X,21,0)</f>
        <v>5000</v>
      </c>
      <c r="R149" s="75">
        <f>VLOOKUP($B149,[5]SAP!$D:$X,20,0)</f>
        <v>5000</v>
      </c>
      <c r="S149" s="86" t="s">
        <v>225</v>
      </c>
    </row>
    <row r="150" spans="1:19" ht="26.4" x14ac:dyDescent="0.25">
      <c r="A150" s="62"/>
      <c r="B150" s="68">
        <v>10100002659</v>
      </c>
      <c r="C150" s="64" t="s">
        <v>119</v>
      </c>
      <c r="D150" s="64" t="s">
        <v>757</v>
      </c>
      <c r="E150" s="69" t="s">
        <v>46</v>
      </c>
      <c r="F150" s="63">
        <v>1</v>
      </c>
      <c r="G150" s="248" t="s">
        <v>756</v>
      </c>
      <c r="H150" s="67" t="s">
        <v>42</v>
      </c>
      <c r="I150" s="74"/>
      <c r="J150" s="75">
        <f>VLOOKUP($B150,[5]SAP!$D:$X,12,0)</f>
        <v>8.0000000000000002E-3</v>
      </c>
      <c r="K150" s="75" t="str">
        <f>VLOOKUP($B150,[5]SAP!$D:$X,19,0)</f>
        <v>CNY</v>
      </c>
      <c r="L150" s="58" t="str">
        <f>VLOOKUP($B150,[5]SAP!$D:$X,8,0)</f>
        <v>深圳市超利维实业有限公司</v>
      </c>
      <c r="M150" s="75">
        <f t="shared" si="15"/>
        <v>8.0000000000000002E-3</v>
      </c>
      <c r="N150" s="75"/>
      <c r="O150" s="75"/>
      <c r="P150" s="75">
        <f>VLOOKUP($B150,[5]SAP!$D:$X,17,0)</f>
        <v>56</v>
      </c>
      <c r="Q150" s="75">
        <f>VLOOKUP($B150,[5]SAP!$D:$X,21,0)</f>
        <v>5000</v>
      </c>
      <c r="R150" s="75">
        <f>VLOOKUP($B150,[5]SAP!$D:$X,20,0)</f>
        <v>5000</v>
      </c>
      <c r="S150" s="86" t="s">
        <v>225</v>
      </c>
    </row>
    <row r="151" spans="1:19" x14ac:dyDescent="0.25">
      <c r="A151" s="62"/>
      <c r="B151" s="68">
        <v>10100006984</v>
      </c>
      <c r="C151" s="64" t="s">
        <v>119</v>
      </c>
      <c r="D151" s="64" t="s">
        <v>758</v>
      </c>
      <c r="E151" s="69" t="s">
        <v>77</v>
      </c>
      <c r="F151" s="63">
        <v>1</v>
      </c>
      <c r="G151" s="248" t="s">
        <v>756</v>
      </c>
      <c r="H151" s="67" t="s">
        <v>42</v>
      </c>
      <c r="I151" s="74"/>
      <c r="J151" s="75">
        <f>VLOOKUP($B151,[5]SAP!$D:$X,12,0)</f>
        <v>6.9499999999999996E-3</v>
      </c>
      <c r="K151" s="75" t="str">
        <f>VLOOKUP($B151,[5]SAP!$D:$X,19,0)</f>
        <v>CNY</v>
      </c>
      <c r="L151" s="58" t="str">
        <f>VLOOKUP($B151,[5]SAP!$D:$X,8,0)</f>
        <v>东莞华科电子有限公司</v>
      </c>
      <c r="M151" s="75">
        <f t="shared" si="15"/>
        <v>6.9499999999999996E-3</v>
      </c>
      <c r="N151" s="75"/>
      <c r="O151" s="75"/>
      <c r="P151" s="75">
        <f>VLOOKUP($B151,[5]SAP!$D:$X,17,0)</f>
        <v>70</v>
      </c>
      <c r="Q151" s="75">
        <f>VLOOKUP($B151,[5]SAP!$D:$X,21,0)</f>
        <v>5000</v>
      </c>
      <c r="R151" s="75">
        <f>VLOOKUP($B151,[5]SAP!$D:$X,20,0)</f>
        <v>5000</v>
      </c>
      <c r="S151" s="86" t="s">
        <v>225</v>
      </c>
    </row>
    <row r="152" spans="1:19" x14ac:dyDescent="0.25">
      <c r="A152" s="62"/>
      <c r="B152" s="68">
        <v>10100017548</v>
      </c>
      <c r="C152" s="64" t="s">
        <v>119</v>
      </c>
      <c r="D152" s="64" t="s">
        <v>759</v>
      </c>
      <c r="E152" s="69" t="s">
        <v>133</v>
      </c>
      <c r="F152" s="63">
        <v>1</v>
      </c>
      <c r="G152" s="248" t="s">
        <v>756</v>
      </c>
      <c r="H152" s="67" t="s">
        <v>42</v>
      </c>
      <c r="I152" s="74"/>
      <c r="J152" s="75">
        <f>VLOOKUP($B152,[5]SAP!$D:$X,12,0)</f>
        <v>5.5999999999999999E-3</v>
      </c>
      <c r="K152" s="75" t="str">
        <f>VLOOKUP($B152,[5]SAP!$D:$X,19,0)</f>
        <v>CNY</v>
      </c>
      <c r="L152" s="58" t="str">
        <f>VLOOKUP($B152,[5]SAP!$D:$X,8,0)</f>
        <v>恒辉电阻（益阳）有限公司</v>
      </c>
      <c r="M152" s="75">
        <f t="shared" si="15"/>
        <v>5.5999999999999999E-3</v>
      </c>
      <c r="N152" s="75">
        <f>M152*F152</f>
        <v>5.5999999999999999E-3</v>
      </c>
      <c r="O152" s="75"/>
      <c r="P152" s="75">
        <f>VLOOKUP($B152,[5]SAP!$D:$X,17,0)</f>
        <v>42</v>
      </c>
      <c r="Q152" s="75">
        <f>VLOOKUP($B152,[5]SAP!$D:$X,21,0)</f>
        <v>5000</v>
      </c>
      <c r="R152" s="75">
        <f>VLOOKUP($B152,[5]SAP!$D:$X,20,0)</f>
        <v>5000</v>
      </c>
      <c r="S152" s="86" t="s">
        <v>37</v>
      </c>
    </row>
    <row r="153" spans="1:19" x14ac:dyDescent="0.25">
      <c r="A153" s="62"/>
      <c r="B153" s="68">
        <v>10100024187</v>
      </c>
      <c r="C153" s="64" t="s">
        <v>119</v>
      </c>
      <c r="D153" s="64" t="s">
        <v>760</v>
      </c>
      <c r="E153" s="69" t="s">
        <v>129</v>
      </c>
      <c r="F153" s="63">
        <v>1</v>
      </c>
      <c r="G153" s="248" t="s">
        <v>756</v>
      </c>
      <c r="H153" s="67" t="s">
        <v>42</v>
      </c>
      <c r="I153" s="74"/>
      <c r="J153" s="75">
        <f>VLOOKUP($B153,[5]SAP!$D:$X,12,0)</f>
        <v>6.7799999999999996E-3</v>
      </c>
      <c r="K153" s="75" t="str">
        <f>VLOOKUP($B153,[5]SAP!$D:$X,19,0)</f>
        <v>CNY</v>
      </c>
      <c r="L153" s="58" t="str">
        <f>VLOOKUP($B153,[5]SAP!$D:$X,8,0)</f>
        <v>厚声国际贸易（昆山）有限公司深圳分公司</v>
      </c>
      <c r="M153" s="75">
        <f t="shared" si="15"/>
        <v>6.7799999999999996E-3</v>
      </c>
      <c r="N153" s="75"/>
      <c r="O153" s="75"/>
      <c r="P153" s="75">
        <f>VLOOKUP($B153,[5]SAP!$D:$X,17,0)</f>
        <v>42</v>
      </c>
      <c r="Q153" s="75">
        <f>VLOOKUP($B153,[5]SAP!$D:$X,21,0)</f>
        <v>5000</v>
      </c>
      <c r="R153" s="75">
        <f>VLOOKUP($B153,[5]SAP!$D:$X,20,0)</f>
        <v>5000</v>
      </c>
      <c r="S153" s="86" t="s">
        <v>225</v>
      </c>
    </row>
    <row r="154" spans="1:19" ht="26.4" x14ac:dyDescent="0.25">
      <c r="A154" s="62">
        <v>56</v>
      </c>
      <c r="B154" s="68">
        <v>10100009092</v>
      </c>
      <c r="C154" s="64" t="s">
        <v>752</v>
      </c>
      <c r="D154" s="64" t="s">
        <v>188</v>
      </c>
      <c r="E154" s="69" t="s">
        <v>703</v>
      </c>
      <c r="F154" s="63">
        <v>2</v>
      </c>
      <c r="G154" s="64" t="s">
        <v>761</v>
      </c>
      <c r="H154" s="67"/>
      <c r="I154" s="74"/>
      <c r="J154" s="75">
        <f>VLOOKUP($B154,[5]SAP!$D:$X,12,0)</f>
        <v>1.2999999999999999E-3</v>
      </c>
      <c r="K154" s="75" t="str">
        <f>VLOOKUP($B154,[5]SAP!$D:$X,19,0)</f>
        <v>CNY</v>
      </c>
      <c r="L154" s="58" t="str">
        <f>VLOOKUP($B154,[5]SAP!$D:$X,8,0)</f>
        <v>深圳市奥特高科电子有限公司</v>
      </c>
      <c r="M154" s="75">
        <f t="shared" si="15"/>
        <v>1.2999999999999999E-3</v>
      </c>
      <c r="N154" s="75"/>
      <c r="O154" s="75"/>
      <c r="P154" s="75">
        <f>VLOOKUP($B154,[5]SAP!$D:$X,17,0)</f>
        <v>84</v>
      </c>
      <c r="Q154" s="75">
        <f>VLOOKUP($B154,[5]SAP!$D:$X,21,0)</f>
        <v>10000</v>
      </c>
      <c r="R154" s="75">
        <f>VLOOKUP($B154,[5]SAP!$D:$X,20,0)</f>
        <v>10000</v>
      </c>
      <c r="S154" s="86" t="s">
        <v>225</v>
      </c>
    </row>
    <row r="155" spans="1:19" x14ac:dyDescent="0.25">
      <c r="A155" s="62"/>
      <c r="B155" s="68">
        <v>10100009093</v>
      </c>
      <c r="C155" s="64" t="s">
        <v>752</v>
      </c>
      <c r="D155" s="64" t="s">
        <v>190</v>
      </c>
      <c r="E155" s="69" t="s">
        <v>704</v>
      </c>
      <c r="F155" s="63">
        <v>2</v>
      </c>
      <c r="G155" s="64" t="s">
        <v>761</v>
      </c>
      <c r="H155" s="67" t="s">
        <v>42</v>
      </c>
      <c r="I155" s="74"/>
      <c r="J155" s="75">
        <f>VLOOKUP($B155,[5]SAP!$D:$X,12,0)</f>
        <v>1.17E-3</v>
      </c>
      <c r="K155" s="75" t="str">
        <f>VLOOKUP($B155,[5]SAP!$D:$X,19,0)</f>
        <v>CNY</v>
      </c>
      <c r="L155" s="58" t="str">
        <f>VLOOKUP($B155,[5]SAP!$D:$X,8,0)</f>
        <v>东莞华科电子有限公司</v>
      </c>
      <c r="M155" s="75">
        <f t="shared" si="15"/>
        <v>1.17E-3</v>
      </c>
      <c r="N155" s="75"/>
      <c r="O155" s="75"/>
      <c r="P155" s="75">
        <f>VLOOKUP($B155,[5]SAP!$D:$X,17,0)</f>
        <v>56</v>
      </c>
      <c r="Q155" s="75">
        <f>VLOOKUP($B155,[5]SAP!$D:$X,21,0)</f>
        <v>10000</v>
      </c>
      <c r="R155" s="75">
        <f>VLOOKUP($B155,[5]SAP!$D:$X,20,0)</f>
        <v>10000</v>
      </c>
      <c r="S155" s="86" t="s">
        <v>225</v>
      </c>
    </row>
    <row r="156" spans="1:19" x14ac:dyDescent="0.25">
      <c r="A156" s="62"/>
      <c r="B156" s="68">
        <v>10100014735</v>
      </c>
      <c r="C156" s="64" t="s">
        <v>749</v>
      </c>
      <c r="D156" s="64" t="s">
        <v>191</v>
      </c>
      <c r="E156" s="69" t="s">
        <v>750</v>
      </c>
      <c r="F156" s="63">
        <v>2</v>
      </c>
      <c r="G156" s="64" t="s">
        <v>761</v>
      </c>
      <c r="H156" s="67" t="s">
        <v>42</v>
      </c>
      <c r="I156" s="74"/>
      <c r="J156" s="75">
        <f>VLOOKUP($B156,[5]SAP!$D:$X,12,0)</f>
        <v>1.09E-3</v>
      </c>
      <c r="K156" s="75" t="str">
        <f>VLOOKUP($B156,[5]SAP!$D:$X,19,0)</f>
        <v>CNY</v>
      </c>
      <c r="L156" s="58" t="str">
        <f>VLOOKUP($B156,[5]SAP!$D:$X,8,0)</f>
        <v>厚声国际贸易（昆山）有限公司深圳分公司</v>
      </c>
      <c r="M156" s="75">
        <f t="shared" si="15"/>
        <v>1.09E-3</v>
      </c>
      <c r="N156" s="75"/>
      <c r="O156" s="75"/>
      <c r="P156" s="75">
        <f>VLOOKUP($B156,[5]SAP!$D:$X,17,0)</f>
        <v>56</v>
      </c>
      <c r="Q156" s="75">
        <f>VLOOKUP($B156,[5]SAP!$D:$X,21,0)</f>
        <v>10000</v>
      </c>
      <c r="R156" s="75">
        <f>VLOOKUP($B156,[5]SAP!$D:$X,20,0)</f>
        <v>10000</v>
      </c>
      <c r="S156" s="86" t="s">
        <v>225</v>
      </c>
    </row>
    <row r="157" spans="1:19" x14ac:dyDescent="0.25">
      <c r="A157" s="62"/>
      <c r="B157" s="68">
        <v>10100017679</v>
      </c>
      <c r="C157" s="64" t="s">
        <v>749</v>
      </c>
      <c r="D157" s="64" t="s">
        <v>192</v>
      </c>
      <c r="E157" s="69" t="s">
        <v>751</v>
      </c>
      <c r="F157" s="63">
        <v>2</v>
      </c>
      <c r="G157" s="64" t="s">
        <v>761</v>
      </c>
      <c r="H157" s="67" t="s">
        <v>42</v>
      </c>
      <c r="I157" s="74"/>
      <c r="J157" s="75">
        <f>VLOOKUP($B157,[5]SAP!$D:$X,12,0)</f>
        <v>9.7999999999999997E-4</v>
      </c>
      <c r="K157" s="75" t="str">
        <f>VLOOKUP($B157,[5]SAP!$D:$X,19,0)</f>
        <v>CNY</v>
      </c>
      <c r="L157" s="58" t="str">
        <f>VLOOKUP($B157,[5]SAP!$D:$X,8,0)</f>
        <v>恒辉电阻（益阳）有限公司</v>
      </c>
      <c r="M157" s="75">
        <f t="shared" si="15"/>
        <v>9.7999999999999997E-4</v>
      </c>
      <c r="N157" s="75">
        <f>M157*F157</f>
        <v>1.9599999999999999E-3</v>
      </c>
      <c r="O157" s="75"/>
      <c r="P157" s="75">
        <f>VLOOKUP($B157,[5]SAP!$D:$X,17,0)</f>
        <v>42</v>
      </c>
      <c r="Q157" s="75">
        <f>VLOOKUP($B157,[5]SAP!$D:$X,21,0)</f>
        <v>10000</v>
      </c>
      <c r="R157" s="75">
        <f>VLOOKUP($B157,[5]SAP!$D:$X,20,0)</f>
        <v>10000</v>
      </c>
      <c r="S157" s="86" t="s">
        <v>37</v>
      </c>
    </row>
    <row r="158" spans="1:19" x14ac:dyDescent="0.25">
      <c r="A158" s="62">
        <v>57</v>
      </c>
      <c r="B158" s="68">
        <v>10100003565</v>
      </c>
      <c r="C158" s="64" t="s">
        <v>119</v>
      </c>
      <c r="D158" s="64" t="s">
        <v>762</v>
      </c>
      <c r="E158" s="69" t="s">
        <v>60</v>
      </c>
      <c r="F158" s="63">
        <v>1</v>
      </c>
      <c r="G158" s="64" t="s">
        <v>763</v>
      </c>
      <c r="H158" s="67" t="s">
        <v>42</v>
      </c>
      <c r="I158" s="74"/>
      <c r="J158" s="75">
        <f>VLOOKUP($B158,[5]SAP!$D:$X,12,0)</f>
        <v>2.0799999999999998E-3</v>
      </c>
      <c r="K158" s="75" t="str">
        <f>VLOOKUP($B158,[5]SAP!$D:$X,19,0)</f>
        <v>CNY</v>
      </c>
      <c r="L158" s="58" t="str">
        <f>VLOOKUP($B158,[5]SAP!$D:$X,8,0)</f>
        <v>广东风华高新科技股份有限公司</v>
      </c>
      <c r="M158" s="75">
        <f t="shared" si="15"/>
        <v>2.0799999999999998E-3</v>
      </c>
      <c r="N158" s="75"/>
      <c r="O158" s="75"/>
      <c r="P158" s="75">
        <f>VLOOKUP($B158,[5]SAP!$D:$X,17,0)</f>
        <v>42</v>
      </c>
      <c r="Q158" s="75">
        <f>VLOOKUP($B158,[5]SAP!$D:$X,21,0)</f>
        <v>5000</v>
      </c>
      <c r="R158" s="75">
        <f>VLOOKUP($B158,[5]SAP!$D:$X,20,0)</f>
        <v>5000</v>
      </c>
      <c r="S158" s="86" t="s">
        <v>225</v>
      </c>
    </row>
    <row r="159" spans="1:19" ht="26.4" x14ac:dyDescent="0.25">
      <c r="A159" s="62"/>
      <c r="B159" s="68">
        <v>10100003566</v>
      </c>
      <c r="C159" s="64" t="s">
        <v>119</v>
      </c>
      <c r="D159" s="64" t="s">
        <v>764</v>
      </c>
      <c r="E159" s="69" t="s">
        <v>46</v>
      </c>
      <c r="F159" s="63">
        <v>1</v>
      </c>
      <c r="G159" s="64" t="s">
        <v>763</v>
      </c>
      <c r="H159" s="67"/>
      <c r="I159" s="74"/>
      <c r="J159" s="75">
        <f>VLOOKUP($B159,[5]SAP!$D:$X,12,0)</f>
        <v>2.5999999999999999E-3</v>
      </c>
      <c r="K159" s="75" t="str">
        <f>VLOOKUP($B159,[5]SAP!$D:$X,19,0)</f>
        <v>CNY</v>
      </c>
      <c r="L159" s="58" t="str">
        <f>VLOOKUP($B159,[5]SAP!$D:$X,8,0)</f>
        <v>深圳市超利维实业有限公司</v>
      </c>
      <c r="M159" s="75">
        <f t="shared" si="15"/>
        <v>2.5999999999999999E-3</v>
      </c>
      <c r="N159" s="75"/>
      <c r="O159" s="75"/>
      <c r="P159" s="75">
        <f>VLOOKUP($B159,[5]SAP!$D:$X,17,0)</f>
        <v>56</v>
      </c>
      <c r="Q159" s="75">
        <f>VLOOKUP($B159,[5]SAP!$D:$X,21,0)</f>
        <v>5000</v>
      </c>
      <c r="R159" s="75">
        <f>VLOOKUP($B159,[5]SAP!$D:$X,20,0)</f>
        <v>5000</v>
      </c>
      <c r="S159" s="86" t="s">
        <v>225</v>
      </c>
    </row>
    <row r="160" spans="1:19" x14ac:dyDescent="0.25">
      <c r="A160" s="62"/>
      <c r="B160" s="68">
        <v>10100006793</v>
      </c>
      <c r="C160" s="64" t="s">
        <v>119</v>
      </c>
      <c r="D160" s="64" t="s">
        <v>765</v>
      </c>
      <c r="E160" s="69" t="s">
        <v>77</v>
      </c>
      <c r="F160" s="63">
        <v>1</v>
      </c>
      <c r="G160" s="64" t="s">
        <v>763</v>
      </c>
      <c r="H160" s="67" t="s">
        <v>42</v>
      </c>
      <c r="I160" s="74"/>
      <c r="J160" s="75">
        <f>VLOOKUP($B160,[5]SAP!$D:$X,12,0)</f>
        <v>2.2200000000000002E-3</v>
      </c>
      <c r="K160" s="75" t="str">
        <f>VLOOKUP($B160,[5]SAP!$D:$X,19,0)</f>
        <v>CNY</v>
      </c>
      <c r="L160" s="58" t="str">
        <f>VLOOKUP($B160,[5]SAP!$D:$X,8,0)</f>
        <v>东莞华科电子有限公司</v>
      </c>
      <c r="M160" s="75">
        <f t="shared" si="15"/>
        <v>2.2200000000000002E-3</v>
      </c>
      <c r="N160" s="75"/>
      <c r="O160" s="75"/>
      <c r="P160" s="75">
        <f>VLOOKUP($B160,[5]SAP!$D:$X,17,0)</f>
        <v>56</v>
      </c>
      <c r="Q160" s="75">
        <f>VLOOKUP($B160,[5]SAP!$D:$X,21,0)</f>
        <v>5000</v>
      </c>
      <c r="R160" s="75">
        <f>VLOOKUP($B160,[5]SAP!$D:$X,20,0)</f>
        <v>5000</v>
      </c>
      <c r="S160" s="86" t="s">
        <v>225</v>
      </c>
    </row>
    <row r="161" spans="1:19" x14ac:dyDescent="0.25">
      <c r="A161" s="62"/>
      <c r="B161" s="68">
        <v>10100012860</v>
      </c>
      <c r="C161" s="64" t="s">
        <v>119</v>
      </c>
      <c r="D161" s="64" t="s">
        <v>766</v>
      </c>
      <c r="E161" s="69" t="s">
        <v>129</v>
      </c>
      <c r="F161" s="63">
        <v>1</v>
      </c>
      <c r="G161" s="64" t="s">
        <v>763</v>
      </c>
      <c r="H161" s="67" t="s">
        <v>42</v>
      </c>
      <c r="I161" s="74"/>
      <c r="J161" s="75">
        <f>VLOOKUP($B161,[5]SAP!$D:$X,12,0)</f>
        <v>2.0999999999999999E-3</v>
      </c>
      <c r="K161" s="75" t="str">
        <f>VLOOKUP($B161,[5]SAP!$D:$X,19,0)</f>
        <v>CNY</v>
      </c>
      <c r="L161" s="58" t="str">
        <f>VLOOKUP($B161,[5]SAP!$D:$X,8,0)</f>
        <v>厚声国际贸易（昆山）有限公司深圳分公司</v>
      </c>
      <c r="M161" s="75">
        <f t="shared" si="15"/>
        <v>2.0999999999999999E-3</v>
      </c>
      <c r="N161" s="75"/>
      <c r="O161" s="75"/>
      <c r="P161" s="75">
        <f>VLOOKUP($B161,[5]SAP!$D:$X,17,0)</f>
        <v>42</v>
      </c>
      <c r="Q161" s="75">
        <f>VLOOKUP($B161,[5]SAP!$D:$X,21,0)</f>
        <v>5000</v>
      </c>
      <c r="R161" s="75">
        <f>VLOOKUP($B161,[5]SAP!$D:$X,20,0)</f>
        <v>5000</v>
      </c>
      <c r="S161" s="86" t="s">
        <v>225</v>
      </c>
    </row>
    <row r="162" spans="1:19" x14ac:dyDescent="0.25">
      <c r="A162" s="62"/>
      <c r="B162" s="68">
        <v>10100018011</v>
      </c>
      <c r="C162" s="64" t="s">
        <v>119</v>
      </c>
      <c r="D162" s="64" t="s">
        <v>767</v>
      </c>
      <c r="E162" s="69" t="s">
        <v>133</v>
      </c>
      <c r="F162" s="63">
        <v>1</v>
      </c>
      <c r="G162" s="64" t="s">
        <v>763</v>
      </c>
      <c r="H162" s="67" t="s">
        <v>42</v>
      </c>
      <c r="I162" s="74"/>
      <c r="J162" s="75">
        <f>VLOOKUP($B162,[5]SAP!$D:$X,12,0)</f>
        <v>1.8500000000000001E-3</v>
      </c>
      <c r="K162" s="75" t="str">
        <f>VLOOKUP($B162,[5]SAP!$D:$X,19,0)</f>
        <v>CNY</v>
      </c>
      <c r="L162" s="58" t="str">
        <f>VLOOKUP($B162,[5]SAP!$D:$X,8,0)</f>
        <v>恒辉电阻（益阳）有限公司</v>
      </c>
      <c r="M162" s="75">
        <f t="shared" si="15"/>
        <v>1.8500000000000001E-3</v>
      </c>
      <c r="N162" s="75">
        <f>M162*F162</f>
        <v>1.8500000000000001E-3</v>
      </c>
      <c r="O162" s="75"/>
      <c r="P162" s="75">
        <f>VLOOKUP($B162,[5]SAP!$D:$X,17,0)</f>
        <v>42</v>
      </c>
      <c r="Q162" s="75">
        <f>VLOOKUP($B162,[5]SAP!$D:$X,21,0)</f>
        <v>5000</v>
      </c>
      <c r="R162" s="75">
        <f>VLOOKUP($B162,[5]SAP!$D:$X,20,0)</f>
        <v>5000</v>
      </c>
      <c r="S162" s="86" t="s">
        <v>37</v>
      </c>
    </row>
    <row r="163" spans="1:19" ht="26.4" x14ac:dyDescent="0.25">
      <c r="A163" s="62">
        <v>58</v>
      </c>
      <c r="B163" s="68">
        <v>10100004273</v>
      </c>
      <c r="C163" s="64" t="s">
        <v>119</v>
      </c>
      <c r="D163" s="64" t="s">
        <v>768</v>
      </c>
      <c r="E163" s="69" t="s">
        <v>46</v>
      </c>
      <c r="F163" s="63">
        <v>1</v>
      </c>
      <c r="G163" s="248" t="s">
        <v>769</v>
      </c>
      <c r="H163" s="67"/>
      <c r="I163" s="74"/>
      <c r="J163" s="75">
        <f>VLOOKUP($B163,[5]SAP!$D:$X,12,0)</f>
        <v>2.5999999999999999E-3</v>
      </c>
      <c r="K163" s="75" t="str">
        <f>VLOOKUP($B163,[5]SAP!$D:$X,19,0)</f>
        <v>CNY</v>
      </c>
      <c r="L163" s="58" t="str">
        <f>VLOOKUP($B163,[5]SAP!$D:$X,8,0)</f>
        <v>深圳市超利维实业有限公司</v>
      </c>
      <c r="M163" s="75">
        <f t="shared" si="15"/>
        <v>2.5999999999999999E-3</v>
      </c>
      <c r="N163" s="75"/>
      <c r="O163" s="75"/>
      <c r="P163" s="75">
        <f>VLOOKUP($B163,[5]SAP!$D:$X,17,0)</f>
        <v>56</v>
      </c>
      <c r="Q163" s="75">
        <f>VLOOKUP($B163,[5]SAP!$D:$X,21,0)</f>
        <v>5000</v>
      </c>
      <c r="R163" s="75">
        <f>VLOOKUP($B163,[5]SAP!$D:$X,20,0)</f>
        <v>5000</v>
      </c>
      <c r="S163" s="86" t="s">
        <v>225</v>
      </c>
    </row>
    <row r="164" spans="1:19" x14ac:dyDescent="0.25">
      <c r="A164" s="62"/>
      <c r="B164" s="68">
        <v>10100006494</v>
      </c>
      <c r="C164" s="64" t="s">
        <v>119</v>
      </c>
      <c r="D164" s="64" t="s">
        <v>770</v>
      </c>
      <c r="E164" s="69" t="s">
        <v>60</v>
      </c>
      <c r="F164" s="63">
        <v>1</v>
      </c>
      <c r="G164" s="248" t="s">
        <v>769</v>
      </c>
      <c r="H164" s="67" t="s">
        <v>42</v>
      </c>
      <c r="I164" s="74"/>
      <c r="J164" s="75">
        <f>VLOOKUP($B164,[5]SAP!$D:$X,12,0)</f>
        <v>2.0799999999999998E-3</v>
      </c>
      <c r="K164" s="75" t="str">
        <f>VLOOKUP($B164,[5]SAP!$D:$X,19,0)</f>
        <v>CNY</v>
      </c>
      <c r="L164" s="58" t="str">
        <f>VLOOKUP($B164,[5]SAP!$D:$X,8,0)</f>
        <v>广东风华高新科技股份有限公司</v>
      </c>
      <c r="M164" s="75">
        <f t="shared" si="15"/>
        <v>2.0799999999999998E-3</v>
      </c>
      <c r="N164" s="75"/>
      <c r="O164" s="75"/>
      <c r="P164" s="75">
        <f>VLOOKUP($B164,[5]SAP!$D:$X,17,0)</f>
        <v>42</v>
      </c>
      <c r="Q164" s="75">
        <f>VLOOKUP($B164,[5]SAP!$D:$X,21,0)</f>
        <v>5000</v>
      </c>
      <c r="R164" s="75">
        <f>VLOOKUP($B164,[5]SAP!$D:$X,20,0)</f>
        <v>5000</v>
      </c>
      <c r="S164" s="86" t="s">
        <v>225</v>
      </c>
    </row>
    <row r="165" spans="1:19" x14ac:dyDescent="0.25">
      <c r="A165" s="62"/>
      <c r="B165" s="68">
        <v>10100006809</v>
      </c>
      <c r="C165" s="64" t="s">
        <v>119</v>
      </c>
      <c r="D165" s="64" t="s">
        <v>771</v>
      </c>
      <c r="E165" s="69" t="s">
        <v>77</v>
      </c>
      <c r="F165" s="63">
        <v>1</v>
      </c>
      <c r="G165" s="248" t="s">
        <v>769</v>
      </c>
      <c r="H165" s="67" t="s">
        <v>42</v>
      </c>
      <c r="I165" s="74"/>
      <c r="J165" s="75">
        <f>VLOOKUP($B165,[5]SAP!$D:$X,12,0)</f>
        <v>2.2200000000000002E-3</v>
      </c>
      <c r="K165" s="75" t="str">
        <f>VLOOKUP($B165,[5]SAP!$D:$X,19,0)</f>
        <v>CNY</v>
      </c>
      <c r="L165" s="58" t="str">
        <f>VLOOKUP($B165,[5]SAP!$D:$X,8,0)</f>
        <v>东莞华科电子有限公司</v>
      </c>
      <c r="M165" s="75">
        <f t="shared" si="15"/>
        <v>2.2200000000000002E-3</v>
      </c>
      <c r="N165" s="75"/>
      <c r="O165" s="75"/>
      <c r="P165" s="75">
        <f>VLOOKUP($B165,[5]SAP!$D:$X,17,0)</f>
        <v>56</v>
      </c>
      <c r="Q165" s="75">
        <f>VLOOKUP($B165,[5]SAP!$D:$X,21,0)</f>
        <v>5000</v>
      </c>
      <c r="R165" s="75">
        <f>VLOOKUP($B165,[5]SAP!$D:$X,20,0)</f>
        <v>5000</v>
      </c>
      <c r="S165" s="86" t="s">
        <v>225</v>
      </c>
    </row>
    <row r="166" spans="1:19" x14ac:dyDescent="0.25">
      <c r="A166" s="62"/>
      <c r="B166" s="68">
        <v>10100009552</v>
      </c>
      <c r="C166" s="64" t="s">
        <v>119</v>
      </c>
      <c r="D166" s="64" t="s">
        <v>772</v>
      </c>
      <c r="E166" s="69" t="s">
        <v>129</v>
      </c>
      <c r="F166" s="63">
        <v>1</v>
      </c>
      <c r="G166" s="248" t="s">
        <v>769</v>
      </c>
      <c r="H166" s="67" t="s">
        <v>42</v>
      </c>
      <c r="I166" s="74"/>
      <c r="J166" s="75">
        <f>VLOOKUP($B166,[5]SAP!$D:$X,12,0)</f>
        <v>2.0999999999999999E-3</v>
      </c>
      <c r="K166" s="75" t="str">
        <f>VLOOKUP($B166,[5]SAP!$D:$X,19,0)</f>
        <v>CNY</v>
      </c>
      <c r="L166" s="58" t="str">
        <f>VLOOKUP($B166,[5]SAP!$D:$X,8,0)</f>
        <v>厚声国际贸易（昆山）有限公司深圳分公司</v>
      </c>
      <c r="M166" s="75">
        <f t="shared" si="15"/>
        <v>2.0999999999999999E-3</v>
      </c>
      <c r="N166" s="75"/>
      <c r="O166" s="75"/>
      <c r="P166" s="75">
        <f>VLOOKUP($B166,[5]SAP!$D:$X,17,0)</f>
        <v>56</v>
      </c>
      <c r="Q166" s="75">
        <f>VLOOKUP($B166,[5]SAP!$D:$X,21,0)</f>
        <v>5000</v>
      </c>
      <c r="R166" s="75">
        <f>VLOOKUP($B166,[5]SAP!$D:$X,20,0)</f>
        <v>5000</v>
      </c>
      <c r="S166" s="86" t="s">
        <v>225</v>
      </c>
    </row>
    <row r="167" spans="1:19" x14ac:dyDescent="0.25">
      <c r="A167" s="62"/>
      <c r="B167" s="68">
        <v>10100017881</v>
      </c>
      <c r="C167" s="64" t="s">
        <v>119</v>
      </c>
      <c r="D167" s="64" t="s">
        <v>773</v>
      </c>
      <c r="E167" s="69" t="s">
        <v>133</v>
      </c>
      <c r="F167" s="63">
        <v>1</v>
      </c>
      <c r="G167" s="248" t="s">
        <v>769</v>
      </c>
      <c r="H167" s="67" t="s">
        <v>42</v>
      </c>
      <c r="I167" s="74"/>
      <c r="J167" s="75">
        <f>VLOOKUP($B167,[5]SAP!$D:$X,12,0)</f>
        <v>1.8500000000000001E-3</v>
      </c>
      <c r="K167" s="75" t="str">
        <f>VLOOKUP($B167,[5]SAP!$D:$X,19,0)</f>
        <v>CNY</v>
      </c>
      <c r="L167" s="58" t="str">
        <f>VLOOKUP($B167,[5]SAP!$D:$X,8,0)</f>
        <v>恒辉电阻（益阳）有限公司</v>
      </c>
      <c r="M167" s="75">
        <f t="shared" si="15"/>
        <v>1.8500000000000001E-3</v>
      </c>
      <c r="N167" s="75">
        <f>M167*F167</f>
        <v>1.8500000000000001E-3</v>
      </c>
      <c r="O167" s="75"/>
      <c r="P167" s="75">
        <f>VLOOKUP($B167,[5]SAP!$D:$X,17,0)</f>
        <v>42</v>
      </c>
      <c r="Q167" s="75">
        <f>VLOOKUP($B167,[5]SAP!$D:$X,21,0)</f>
        <v>5000</v>
      </c>
      <c r="R167" s="75">
        <f>VLOOKUP($B167,[5]SAP!$D:$X,20,0)</f>
        <v>5000</v>
      </c>
      <c r="S167" s="86" t="s">
        <v>37</v>
      </c>
    </row>
    <row r="168" spans="1:19" ht="26.4" x14ac:dyDescent="0.25">
      <c r="A168" s="62">
        <v>59</v>
      </c>
      <c r="B168" s="68">
        <v>10100007562</v>
      </c>
      <c r="C168" s="64" t="s">
        <v>119</v>
      </c>
      <c r="D168" s="64" t="s">
        <v>774</v>
      </c>
      <c r="E168" s="69" t="s">
        <v>46</v>
      </c>
      <c r="F168" s="63">
        <v>1</v>
      </c>
      <c r="G168" s="248" t="s">
        <v>775</v>
      </c>
      <c r="H168" s="67"/>
      <c r="I168" s="74"/>
      <c r="J168" s="75">
        <f>VLOOKUP($B168,[5]SAP!$D:$X,12,0)</f>
        <v>8.0000000000000002E-3</v>
      </c>
      <c r="K168" s="75" t="str">
        <f>VLOOKUP($B168,[5]SAP!$D:$X,19,0)</f>
        <v>CNY</v>
      </c>
      <c r="L168" s="58" t="str">
        <f>VLOOKUP($B168,[5]SAP!$D:$X,8,0)</f>
        <v>深圳市欧尔法电子有限公司</v>
      </c>
      <c r="M168" s="75">
        <f t="shared" si="15"/>
        <v>8.0000000000000002E-3</v>
      </c>
      <c r="N168" s="75"/>
      <c r="O168" s="75"/>
      <c r="P168" s="75">
        <f>VLOOKUP($B168,[5]SAP!$D:$X,17,0)</f>
        <v>56</v>
      </c>
      <c r="Q168" s="75">
        <f>VLOOKUP($B168,[5]SAP!$D:$X,21,0)</f>
        <v>5000</v>
      </c>
      <c r="R168" s="75">
        <f>VLOOKUP($B168,[5]SAP!$D:$X,20,0)</f>
        <v>5000</v>
      </c>
      <c r="S168" s="86" t="s">
        <v>225</v>
      </c>
    </row>
    <row r="169" spans="1:19" x14ac:dyDescent="0.25">
      <c r="A169" s="62"/>
      <c r="B169" s="68">
        <v>10100008011</v>
      </c>
      <c r="C169" s="64" t="s">
        <v>119</v>
      </c>
      <c r="D169" s="64" t="s">
        <v>776</v>
      </c>
      <c r="E169" s="69" t="s">
        <v>77</v>
      </c>
      <c r="F169" s="63">
        <v>1</v>
      </c>
      <c r="G169" s="248" t="s">
        <v>775</v>
      </c>
      <c r="H169" s="67" t="s">
        <v>42</v>
      </c>
      <c r="I169" s="74"/>
      <c r="J169" s="75">
        <f>VLOOKUP($B169,[5]SAP!$D:$X,12,0)</f>
        <v>6.9499999999999996E-3</v>
      </c>
      <c r="K169" s="75" t="str">
        <f>VLOOKUP($B169,[5]SAP!$D:$X,19,0)</f>
        <v>CNY</v>
      </c>
      <c r="L169" s="58" t="str">
        <f>VLOOKUP($B169,[5]SAP!$D:$X,8,0)</f>
        <v>东莞华科电子有限公司</v>
      </c>
      <c r="M169" s="75">
        <f t="shared" si="15"/>
        <v>6.9499999999999996E-3</v>
      </c>
      <c r="N169" s="75"/>
      <c r="O169" s="75"/>
      <c r="P169" s="75">
        <f>VLOOKUP($B169,[5]SAP!$D:$X,17,0)</f>
        <v>70</v>
      </c>
      <c r="Q169" s="75">
        <f>VLOOKUP($B169,[5]SAP!$D:$X,21,0)</f>
        <v>5000</v>
      </c>
      <c r="R169" s="75">
        <f>VLOOKUP($B169,[5]SAP!$D:$X,20,0)</f>
        <v>5000</v>
      </c>
      <c r="S169" s="86" t="s">
        <v>225</v>
      </c>
    </row>
    <row r="170" spans="1:19" x14ac:dyDescent="0.25">
      <c r="A170" s="62"/>
      <c r="B170" s="68">
        <v>10100012014</v>
      </c>
      <c r="C170" s="64" t="s">
        <v>119</v>
      </c>
      <c r="D170" s="64" t="s">
        <v>777</v>
      </c>
      <c r="E170" s="69" t="s">
        <v>60</v>
      </c>
      <c r="F170" s="63">
        <v>1</v>
      </c>
      <c r="G170" s="248" t="s">
        <v>775</v>
      </c>
      <c r="H170" s="67" t="s">
        <v>42</v>
      </c>
      <c r="I170" s="74"/>
      <c r="J170" s="75">
        <f>VLOOKUP($B170,[5]SAP!$D:$X,12,0)</f>
        <v>6.3699999999999998E-3</v>
      </c>
      <c r="K170" s="75" t="str">
        <f>VLOOKUP($B170,[5]SAP!$D:$X,19,0)</f>
        <v>CNY</v>
      </c>
      <c r="L170" s="58" t="str">
        <f>VLOOKUP($B170,[5]SAP!$D:$X,8,0)</f>
        <v>广东风华高新科技股份有限公司</v>
      </c>
      <c r="M170" s="75">
        <f t="shared" si="15"/>
        <v>6.3699999999999998E-3</v>
      </c>
      <c r="N170" s="75"/>
      <c r="O170" s="75"/>
      <c r="P170" s="75">
        <f>VLOOKUP($B170,[5]SAP!$D:$X,17,0)</f>
        <v>42</v>
      </c>
      <c r="Q170" s="75">
        <f>VLOOKUP($B170,[5]SAP!$D:$X,21,0)</f>
        <v>5000</v>
      </c>
      <c r="R170" s="75">
        <f>VLOOKUP($B170,[5]SAP!$D:$X,20,0)</f>
        <v>5000</v>
      </c>
      <c r="S170" s="86" t="s">
        <v>225</v>
      </c>
    </row>
    <row r="171" spans="1:19" x14ac:dyDescent="0.25">
      <c r="A171" s="62"/>
      <c r="B171" s="68">
        <v>10100015127</v>
      </c>
      <c r="C171" s="64" t="s">
        <v>119</v>
      </c>
      <c r="D171" s="64" t="s">
        <v>778</v>
      </c>
      <c r="E171" s="69" t="s">
        <v>129</v>
      </c>
      <c r="F171" s="63">
        <v>1</v>
      </c>
      <c r="G171" s="248" t="s">
        <v>775</v>
      </c>
      <c r="H171" s="67" t="s">
        <v>42</v>
      </c>
      <c r="I171" s="74"/>
      <c r="J171" s="75">
        <f>VLOOKUP($B171,[5]SAP!$D:$X,12,0)</f>
        <v>6.7799999999999996E-3</v>
      </c>
      <c r="K171" s="75" t="str">
        <f>VLOOKUP($B171,[5]SAP!$D:$X,19,0)</f>
        <v>CNY</v>
      </c>
      <c r="L171" s="58" t="str">
        <f>VLOOKUP($B171,[5]SAP!$D:$X,8,0)</f>
        <v>厚声国际贸易（昆山）有限公司深圳分公司</v>
      </c>
      <c r="M171" s="75">
        <f t="shared" ref="M171:M173" si="16">J171</f>
        <v>6.7799999999999996E-3</v>
      </c>
      <c r="N171" s="75"/>
      <c r="O171" s="75"/>
      <c r="P171" s="75">
        <f>VLOOKUP($B171,[5]SAP!$D:$X,17,0)</f>
        <v>42</v>
      </c>
      <c r="Q171" s="75">
        <f>VLOOKUP($B171,[5]SAP!$D:$X,21,0)</f>
        <v>5000</v>
      </c>
      <c r="R171" s="75">
        <f>VLOOKUP($B171,[5]SAP!$D:$X,20,0)</f>
        <v>5000</v>
      </c>
      <c r="S171" s="86" t="s">
        <v>225</v>
      </c>
    </row>
    <row r="172" spans="1:19" x14ac:dyDescent="0.25">
      <c r="A172" s="62"/>
      <c r="B172" s="68">
        <v>10100017409</v>
      </c>
      <c r="C172" s="64" t="s">
        <v>119</v>
      </c>
      <c r="D172" s="64" t="s">
        <v>779</v>
      </c>
      <c r="E172" s="69" t="s">
        <v>133</v>
      </c>
      <c r="F172" s="63">
        <v>1</v>
      </c>
      <c r="G172" s="248" t="s">
        <v>775</v>
      </c>
      <c r="H172" s="67" t="s">
        <v>42</v>
      </c>
      <c r="I172" s="74"/>
      <c r="J172" s="75">
        <f>VLOOKUP($B172,[5]SAP!$D:$X,12,0)</f>
        <v>5.5999999999999999E-3</v>
      </c>
      <c r="K172" s="75" t="str">
        <f>VLOOKUP($B172,[5]SAP!$D:$X,19,0)</f>
        <v>CNY</v>
      </c>
      <c r="L172" s="58" t="str">
        <f>VLOOKUP($B172,[5]SAP!$D:$X,8,0)</f>
        <v>恒辉电阻（益阳）有限公司</v>
      </c>
      <c r="M172" s="75">
        <f t="shared" si="16"/>
        <v>5.5999999999999999E-3</v>
      </c>
      <c r="N172" s="75">
        <f t="shared" ref="N172:N174" si="17">M172*F172</f>
        <v>5.5999999999999999E-3</v>
      </c>
      <c r="O172" s="75"/>
      <c r="P172" s="75">
        <f>VLOOKUP($B172,[5]SAP!$D:$X,17,0)</f>
        <v>28</v>
      </c>
      <c r="Q172" s="75">
        <f>VLOOKUP($B172,[5]SAP!$D:$X,21,0)</f>
        <v>5000</v>
      </c>
      <c r="R172" s="75">
        <f>VLOOKUP($B172,[5]SAP!$D:$X,20,0)</f>
        <v>5000</v>
      </c>
      <c r="S172" s="86" t="s">
        <v>37</v>
      </c>
    </row>
    <row r="173" spans="1:19" ht="26.4" x14ac:dyDescent="0.25">
      <c r="A173" s="62">
        <v>60</v>
      </c>
      <c r="B173" s="68">
        <v>10100008735</v>
      </c>
      <c r="C173" s="64" t="s">
        <v>119</v>
      </c>
      <c r="D173" s="64" t="s">
        <v>498</v>
      </c>
      <c r="E173" s="69" t="s">
        <v>680</v>
      </c>
      <c r="F173" s="63">
        <v>3</v>
      </c>
      <c r="G173" s="64" t="s">
        <v>780</v>
      </c>
      <c r="H173" s="67" t="s">
        <v>42</v>
      </c>
      <c r="I173" s="74"/>
      <c r="J173" s="75">
        <f>VLOOKUP($B173,[5]SAP!$D:$X,12,0)</f>
        <v>1.1000000000000001E-3</v>
      </c>
      <c r="K173" s="75" t="str">
        <f>VLOOKUP($B173,[5]SAP!$D:$X,19,0)</f>
        <v>CNY</v>
      </c>
      <c r="L173" s="58" t="str">
        <f>VLOOKUP($B173,[5]SAP!$D:$X,8,0)</f>
        <v>广东风华高新科技股份有限公司</v>
      </c>
      <c r="M173" s="75">
        <f t="shared" si="16"/>
        <v>1.1000000000000001E-3</v>
      </c>
      <c r="N173" s="75">
        <f t="shared" si="17"/>
        <v>3.3E-3</v>
      </c>
      <c r="O173" s="75"/>
      <c r="P173" s="75">
        <f>VLOOKUP($B173,[5]SAP!$D:$X,17,0)</f>
        <v>42</v>
      </c>
      <c r="Q173" s="75">
        <f>VLOOKUP($B173,[5]SAP!$D:$X,21,0)</f>
        <v>10000</v>
      </c>
      <c r="R173" s="75">
        <f>VLOOKUP($B173,[5]SAP!$D:$X,20,0)</f>
        <v>10000</v>
      </c>
      <c r="S173" s="86" t="s">
        <v>37</v>
      </c>
    </row>
    <row r="174" spans="1:19" x14ac:dyDescent="0.25">
      <c r="A174" s="62">
        <v>61</v>
      </c>
      <c r="B174" s="68" t="s">
        <v>38</v>
      </c>
      <c r="C174" s="64" t="s">
        <v>268</v>
      </c>
      <c r="D174" s="64" t="s">
        <v>269</v>
      </c>
      <c r="E174" s="64" t="s">
        <v>262</v>
      </c>
      <c r="F174" s="63">
        <v>1</v>
      </c>
      <c r="G174" s="248" t="s">
        <v>270</v>
      </c>
      <c r="H174" s="67"/>
      <c r="I174" s="74"/>
      <c r="J174" s="75" t="e">
        <f>VLOOKUP($B174,[5]SAP!$D:$X,12,0)</f>
        <v>#N/A</v>
      </c>
      <c r="K174" s="75" t="e">
        <f>VLOOKUP($B174,[5]SAP!$D:$X,19,0)</f>
        <v>#N/A</v>
      </c>
      <c r="L174" s="58" t="e">
        <f>VLOOKUP($B174,[5]SAP!$D:$X,8,0)</f>
        <v>#N/A</v>
      </c>
      <c r="M174" s="83">
        <v>0.31</v>
      </c>
      <c r="N174" s="75">
        <f t="shared" si="17"/>
        <v>0.31</v>
      </c>
      <c r="O174" s="84" t="s">
        <v>271</v>
      </c>
      <c r="P174" s="75" t="e">
        <f>VLOOKUP($B174,[5]SAP!$D:$X,17,0)</f>
        <v>#N/A</v>
      </c>
      <c r="Q174" s="75" t="e">
        <f>VLOOKUP($B174,[5]SAP!$D:$X,21,0)</f>
        <v>#N/A</v>
      </c>
      <c r="R174" s="75" t="e">
        <f>VLOOKUP($B174,[5]SAP!$D:$X,20,0)</f>
        <v>#N/A</v>
      </c>
      <c r="S174" s="86" t="s">
        <v>37</v>
      </c>
    </row>
    <row r="175" spans="1:19" x14ac:dyDescent="0.25">
      <c r="A175" s="62"/>
      <c r="B175" s="68">
        <v>10100030065</v>
      </c>
      <c r="C175" s="64" t="s">
        <v>268</v>
      </c>
      <c r="D175" s="64" t="s">
        <v>610</v>
      </c>
      <c r="E175" s="69" t="s">
        <v>509</v>
      </c>
      <c r="F175" s="63">
        <v>1</v>
      </c>
      <c r="G175" s="248" t="s">
        <v>270</v>
      </c>
      <c r="H175" s="67" t="s">
        <v>42</v>
      </c>
      <c r="I175" s="74"/>
      <c r="J175" s="75">
        <f>VLOOKUP($B175,[5]SAP!$D:$X,12,0)</f>
        <v>0.47</v>
      </c>
      <c r="K175" s="75" t="str">
        <f>VLOOKUP($B175,[5]SAP!$D:$X,19,0)</f>
        <v>CNY</v>
      </c>
      <c r="L175" s="58" t="str">
        <f>VLOOKUP($B175,[5]SAP!$D:$X,8,0)</f>
        <v>成都铁达电子股份有限公司</v>
      </c>
      <c r="M175" s="75">
        <f t="shared" ref="M175:M184" si="18">J175</f>
        <v>0.47</v>
      </c>
      <c r="N175" s="75"/>
      <c r="O175" s="75"/>
      <c r="P175" s="75">
        <f>VLOOKUP($B175,[5]SAP!$D:$X,17,0)</f>
        <v>15</v>
      </c>
      <c r="Q175" s="75">
        <f>VLOOKUP($B175,[5]SAP!$D:$X,21,0)</f>
        <v>400</v>
      </c>
      <c r="R175" s="75">
        <f>VLOOKUP($B175,[5]SAP!$D:$X,20,0)</f>
        <v>1600</v>
      </c>
      <c r="S175" s="86" t="s">
        <v>225</v>
      </c>
    </row>
    <row r="176" spans="1:19" x14ac:dyDescent="0.25">
      <c r="A176" s="62">
        <v>62</v>
      </c>
      <c r="B176" s="68">
        <v>10140012358</v>
      </c>
      <c r="C176" s="64" t="s">
        <v>513</v>
      </c>
      <c r="D176" s="64" t="s">
        <v>514</v>
      </c>
      <c r="E176" s="69" t="s">
        <v>515</v>
      </c>
      <c r="F176" s="63">
        <v>3</v>
      </c>
      <c r="G176" s="64" t="s">
        <v>611</v>
      </c>
      <c r="H176" s="67"/>
      <c r="I176" s="74"/>
      <c r="J176" s="75">
        <f>VLOOKUP($B176,[5]SAP!$D:$X,12,0)</f>
        <v>3.3000000000000002E-2</v>
      </c>
      <c r="K176" s="75" t="str">
        <f>VLOOKUP($B176,[5]SAP!$D:$X,19,0)</f>
        <v>CNY</v>
      </c>
      <c r="L176" s="58" t="str">
        <f>VLOOKUP($B176,[5]SAP!$D:$X,8,0)</f>
        <v>东莞市意中半导体有限公司</v>
      </c>
      <c r="M176" s="75">
        <f t="shared" si="18"/>
        <v>3.3000000000000002E-2</v>
      </c>
      <c r="N176" s="75">
        <f>M176*F176</f>
        <v>9.9000000000000005E-2</v>
      </c>
      <c r="O176" s="75"/>
      <c r="P176" s="75">
        <f>VLOOKUP($B176,[5]SAP!$D:$X,17,0)</f>
        <v>60</v>
      </c>
      <c r="Q176" s="75">
        <f>VLOOKUP($B176,[5]SAP!$D:$X,21,0)</f>
        <v>5000</v>
      </c>
      <c r="R176" s="75">
        <f>VLOOKUP($B176,[5]SAP!$D:$X,20,0)</f>
        <v>5000</v>
      </c>
      <c r="S176" s="86" t="s">
        <v>37</v>
      </c>
    </row>
    <row r="177" spans="1:19" x14ac:dyDescent="0.25">
      <c r="A177" s="62"/>
      <c r="B177" s="68">
        <v>10140003381</v>
      </c>
      <c r="C177" s="64" t="s">
        <v>513</v>
      </c>
      <c r="D177" s="64" t="s">
        <v>517</v>
      </c>
      <c r="E177" s="69" t="s">
        <v>518</v>
      </c>
      <c r="F177" s="63">
        <v>3</v>
      </c>
      <c r="G177" s="64" t="s">
        <v>611</v>
      </c>
      <c r="H177" s="67" t="s">
        <v>42</v>
      </c>
      <c r="I177" s="74"/>
      <c r="J177" s="75">
        <f>VLOOKUP($B177,[5]SAP!$D:$X,12,0)</f>
        <v>3.3599999999999998E-2</v>
      </c>
      <c r="K177" s="75" t="str">
        <f>VLOOKUP($B177,[5]SAP!$D:$X,19,0)</f>
        <v>CNY</v>
      </c>
      <c r="L177" s="58" t="str">
        <f>VLOOKUP($B177,[5]SAP!$D:$X,8,0)</f>
        <v>深圳南丰电子股份有限公司</v>
      </c>
      <c r="M177" s="75">
        <f t="shared" si="18"/>
        <v>3.3599999999999998E-2</v>
      </c>
      <c r="N177" s="75"/>
      <c r="O177" s="75"/>
      <c r="P177" s="75">
        <f>VLOOKUP($B177,[5]SAP!$D:$X,17,0)</f>
        <v>70</v>
      </c>
      <c r="Q177" s="75">
        <f>VLOOKUP($B177,[5]SAP!$D:$X,21,0)</f>
        <v>7500</v>
      </c>
      <c r="R177" s="75">
        <f>VLOOKUP($B177,[5]SAP!$D:$X,20,0)</f>
        <v>7500</v>
      </c>
      <c r="S177" s="86" t="s">
        <v>225</v>
      </c>
    </row>
    <row r="178" spans="1:19" ht="12" customHeight="1" x14ac:dyDescent="0.25">
      <c r="A178" s="62"/>
      <c r="B178" s="68">
        <v>10140002743</v>
      </c>
      <c r="C178" s="64" t="s">
        <v>513</v>
      </c>
      <c r="D178" s="64" t="s">
        <v>519</v>
      </c>
      <c r="E178" s="69" t="s">
        <v>520</v>
      </c>
      <c r="F178" s="63">
        <v>3</v>
      </c>
      <c r="G178" s="64" t="s">
        <v>611</v>
      </c>
      <c r="H178" s="67" t="s">
        <v>42</v>
      </c>
      <c r="I178" s="74"/>
      <c r="J178" s="75">
        <f>VLOOKUP($B178,[5]SAP!$D:$X,12,0)</f>
        <v>0.04</v>
      </c>
      <c r="K178" s="75" t="str">
        <f>VLOOKUP($B178,[5]SAP!$D:$X,19,0)</f>
        <v>CNY</v>
      </c>
      <c r="L178" s="58" t="str">
        <f>VLOOKUP($B178,[5]SAP!$D:$X,8,0)</f>
        <v>深圳市驰顺科技有限公司</v>
      </c>
      <c r="M178" s="75">
        <f t="shared" si="18"/>
        <v>0.04</v>
      </c>
      <c r="N178" s="75"/>
      <c r="O178" s="75"/>
      <c r="P178" s="75">
        <f>VLOOKUP($B178,[5]SAP!$D:$X,17,0)</f>
        <v>90</v>
      </c>
      <c r="Q178" s="75">
        <f>VLOOKUP($B178,[5]SAP!$D:$X,21,0)</f>
        <v>7500</v>
      </c>
      <c r="R178" s="75">
        <f>VLOOKUP($B178,[5]SAP!$D:$X,20,0)</f>
        <v>7500</v>
      </c>
      <c r="S178" s="86" t="s">
        <v>225</v>
      </c>
    </row>
    <row r="179" spans="1:19" x14ac:dyDescent="0.25">
      <c r="A179" s="62"/>
      <c r="B179" s="68">
        <v>10140000397</v>
      </c>
      <c r="C179" s="64" t="s">
        <v>513</v>
      </c>
      <c r="D179" s="64" t="s">
        <v>521</v>
      </c>
      <c r="E179" s="69" t="s">
        <v>522</v>
      </c>
      <c r="F179" s="63">
        <v>3</v>
      </c>
      <c r="G179" s="64" t="s">
        <v>611</v>
      </c>
      <c r="H179" s="67" t="s">
        <v>42</v>
      </c>
      <c r="I179" s="74"/>
      <c r="J179" s="75">
        <f>VLOOKUP($B179,[5]SAP!$D:$X,12,0)</f>
        <v>7.4999999999999997E-2</v>
      </c>
      <c r="K179" s="75" t="str">
        <f>VLOOKUP($B179,[5]SAP!$D:$X,19,0)</f>
        <v>CNY</v>
      </c>
      <c r="L179" s="58" t="str">
        <f>VLOOKUP($B179,[5]SAP!$D:$X,8,0)</f>
        <v>深圳市合信昌科技有限公司</v>
      </c>
      <c r="M179" s="75">
        <f t="shared" si="18"/>
        <v>7.4999999999999997E-2</v>
      </c>
      <c r="N179" s="75"/>
      <c r="O179" s="75"/>
      <c r="P179" s="75">
        <f>VLOOKUP($B179,[5]SAP!$D:$X,17,0)</f>
        <v>70</v>
      </c>
      <c r="Q179" s="75">
        <f>VLOOKUP($B179,[5]SAP!$D:$X,21,0)</f>
        <v>1800</v>
      </c>
      <c r="R179" s="75">
        <f>VLOOKUP($B179,[5]SAP!$D:$X,20,0)</f>
        <v>1800</v>
      </c>
      <c r="S179" s="86" t="s">
        <v>225</v>
      </c>
    </row>
    <row r="180" spans="1:19" x14ac:dyDescent="0.25">
      <c r="A180" s="62">
        <v>63</v>
      </c>
      <c r="B180" s="68">
        <v>10140009195</v>
      </c>
      <c r="C180" s="64" t="s">
        <v>612</v>
      </c>
      <c r="D180" s="64" t="s">
        <v>613</v>
      </c>
      <c r="E180" s="69" t="s">
        <v>522</v>
      </c>
      <c r="F180" s="63">
        <v>1</v>
      </c>
      <c r="G180" s="64" t="s">
        <v>614</v>
      </c>
      <c r="H180" s="67" t="s">
        <v>42</v>
      </c>
      <c r="I180" s="74"/>
      <c r="J180" s="75">
        <f>VLOOKUP($B180,[5]SAP!$D:$X,12,0)</f>
        <v>0.1105</v>
      </c>
      <c r="K180" s="75" t="str">
        <f>VLOOKUP($B180,[5]SAP!$D:$X,19,0)</f>
        <v>CNY</v>
      </c>
      <c r="L180" s="58" t="str">
        <f>VLOOKUP($B180,[5]SAP!$D:$X,8,0)</f>
        <v>深圳市铭祥达电子有限公司</v>
      </c>
      <c r="M180" s="75">
        <f t="shared" si="18"/>
        <v>0.1105</v>
      </c>
      <c r="N180" s="75"/>
      <c r="O180" s="75"/>
      <c r="P180" s="75">
        <f>VLOOKUP($B180,[5]SAP!$D:$X,17,0)</f>
        <v>98</v>
      </c>
      <c r="Q180" s="75">
        <f>VLOOKUP($B180,[5]SAP!$D:$X,21,0)</f>
        <v>1800</v>
      </c>
      <c r="R180" s="75">
        <f>VLOOKUP($B180,[5]SAP!$D:$X,20,0)</f>
        <v>7200</v>
      </c>
      <c r="S180" s="86" t="s">
        <v>225</v>
      </c>
    </row>
    <row r="181" spans="1:19" x14ac:dyDescent="0.25">
      <c r="A181" s="62"/>
      <c r="B181" s="68">
        <v>10140013896</v>
      </c>
      <c r="C181" s="64" t="s">
        <v>612</v>
      </c>
      <c r="D181" s="64" t="s">
        <v>615</v>
      </c>
      <c r="E181" s="69" t="s">
        <v>616</v>
      </c>
      <c r="F181" s="63">
        <v>1</v>
      </c>
      <c r="G181" s="64" t="s">
        <v>614</v>
      </c>
      <c r="H181" s="67"/>
      <c r="I181" s="74"/>
      <c r="J181" s="75">
        <f>VLOOKUP($B181,[5]SAP!$D:$X,12,0)</f>
        <v>5.8000000000000003E-2</v>
      </c>
      <c r="K181" s="75" t="str">
        <f>VLOOKUP($B181,[5]SAP!$D:$X,19,0)</f>
        <v>CNY</v>
      </c>
      <c r="L181" s="58" t="str">
        <f>VLOOKUP($B181,[5]SAP!$D:$X,8,0)</f>
        <v>深圳翰世宇科技有限公司</v>
      </c>
      <c r="M181" s="75">
        <f t="shared" si="18"/>
        <v>5.8000000000000003E-2</v>
      </c>
      <c r="N181" s="75">
        <f t="shared" ref="N181:N187" si="19">M181*F181</f>
        <v>5.8000000000000003E-2</v>
      </c>
      <c r="O181" s="75"/>
      <c r="P181" s="75">
        <f>VLOOKUP($B181,[5]SAP!$D:$X,17,0)</f>
        <v>56</v>
      </c>
      <c r="Q181" s="75">
        <f>VLOOKUP($B181,[5]SAP!$D:$X,21,0)</f>
        <v>5000</v>
      </c>
      <c r="R181" s="75">
        <f>VLOOKUP($B181,[5]SAP!$D:$X,20,0)</f>
        <v>5000</v>
      </c>
      <c r="S181" s="86" t="s">
        <v>37</v>
      </c>
    </row>
    <row r="182" spans="1:19" x14ac:dyDescent="0.25">
      <c r="A182" s="62">
        <v>64</v>
      </c>
      <c r="B182" s="68">
        <v>10140006310</v>
      </c>
      <c r="C182" s="64" t="s">
        <v>781</v>
      </c>
      <c r="D182" s="64" t="s">
        <v>524</v>
      </c>
      <c r="E182" s="69" t="s">
        <v>782</v>
      </c>
      <c r="F182" s="63">
        <v>2</v>
      </c>
      <c r="G182" s="248" t="s">
        <v>618</v>
      </c>
      <c r="H182" s="67"/>
      <c r="I182" s="74"/>
      <c r="J182" s="75">
        <f>VLOOKUP($B182,[5]SAP!$D:$X,12,0)</f>
        <v>4.8000000000000001E-2</v>
      </c>
      <c r="K182" s="75" t="str">
        <f>VLOOKUP($B182,[5]SAP!$D:$X,19,0)</f>
        <v>CNY</v>
      </c>
      <c r="L182" s="58" t="str">
        <f>VLOOKUP($B182,[5]SAP!$D:$X,8,0)</f>
        <v>深圳翰世宇科技有限公司</v>
      </c>
      <c r="M182" s="75">
        <f t="shared" si="18"/>
        <v>4.8000000000000001E-2</v>
      </c>
      <c r="N182" s="75"/>
      <c r="O182" s="75"/>
      <c r="P182" s="75">
        <f>VLOOKUP($B182,[5]SAP!$D:$X,17,0)</f>
        <v>56</v>
      </c>
      <c r="Q182" s="75">
        <f>VLOOKUP($B182,[5]SAP!$D:$X,21,0)</f>
        <v>3000</v>
      </c>
      <c r="R182" s="75">
        <f>VLOOKUP($B182,[5]SAP!$D:$X,20,0)</f>
        <v>3000</v>
      </c>
      <c r="S182" s="86" t="s">
        <v>225</v>
      </c>
    </row>
    <row r="183" spans="1:19" x14ac:dyDescent="0.25">
      <c r="A183" s="62"/>
      <c r="B183" s="68">
        <v>10140002123</v>
      </c>
      <c r="C183" s="64" t="s">
        <v>617</v>
      </c>
      <c r="D183" s="64" t="s">
        <v>527</v>
      </c>
      <c r="E183" s="69" t="s">
        <v>619</v>
      </c>
      <c r="F183" s="63">
        <v>2</v>
      </c>
      <c r="G183" s="248" t="s">
        <v>618</v>
      </c>
      <c r="H183" s="67" t="s">
        <v>42</v>
      </c>
      <c r="I183" s="74"/>
      <c r="J183" s="75">
        <f>VLOOKUP($B183,[5]SAP!$D:$X,12,0)</f>
        <v>3.4500000000000003E-2</v>
      </c>
      <c r="K183" s="75" t="str">
        <f>VLOOKUP($B183,[5]SAP!$D:$X,19,0)</f>
        <v>CNY</v>
      </c>
      <c r="L183" s="58" t="str">
        <f>VLOOKUP($B183,[5]SAP!$D:$X,8,0)</f>
        <v>利尔达科技集团股份有限公司</v>
      </c>
      <c r="M183" s="75">
        <f t="shared" si="18"/>
        <v>3.4500000000000003E-2</v>
      </c>
      <c r="N183" s="75">
        <f t="shared" si="19"/>
        <v>6.9000000000000006E-2</v>
      </c>
      <c r="O183" s="75"/>
      <c r="P183" s="75">
        <f>VLOOKUP($B183,[5]SAP!$D:$X,17,0)</f>
        <v>56</v>
      </c>
      <c r="Q183" s="75">
        <f>VLOOKUP($B183,[5]SAP!$D:$X,21,0)</f>
        <v>3000</v>
      </c>
      <c r="R183" s="75">
        <f>VLOOKUP($B183,[5]SAP!$D:$X,20,0)</f>
        <v>3000</v>
      </c>
      <c r="S183" s="86" t="s">
        <v>37</v>
      </c>
    </row>
    <row r="184" spans="1:19" ht="24" x14ac:dyDescent="0.25">
      <c r="A184" s="62">
        <v>65</v>
      </c>
      <c r="B184" s="68">
        <v>10140003844</v>
      </c>
      <c r="C184" s="64" t="s">
        <v>783</v>
      </c>
      <c r="D184" s="64" t="s">
        <v>784</v>
      </c>
      <c r="E184" s="87" t="s">
        <v>548</v>
      </c>
      <c r="F184" s="63">
        <v>1</v>
      </c>
      <c r="G184" s="64" t="s">
        <v>785</v>
      </c>
      <c r="H184" s="67" t="s">
        <v>42</v>
      </c>
      <c r="I184" s="74"/>
      <c r="J184" s="75">
        <f>VLOOKUP($B184,[5]SAP!$D:$X,12,0)</f>
        <v>0.12</v>
      </c>
      <c r="K184" s="75" t="str">
        <f>VLOOKUP($B184,[5]SAP!$D:$X,19,0)</f>
        <v>CNY</v>
      </c>
      <c r="L184" s="58" t="str">
        <f>VLOOKUP($B184,[5]SAP!$D:$X,8,0)</f>
        <v>深圳翰世宇科技有限公司</v>
      </c>
      <c r="M184" s="75">
        <f t="shared" si="18"/>
        <v>0.12</v>
      </c>
      <c r="N184" s="75">
        <f t="shared" si="19"/>
        <v>0.12</v>
      </c>
      <c r="O184" s="75"/>
      <c r="P184" s="75">
        <f>VLOOKUP($B184,[5]SAP!$D:$X,17,0)</f>
        <v>56</v>
      </c>
      <c r="Q184" s="75">
        <f>VLOOKUP($B184,[5]SAP!$D:$X,21,0)</f>
        <v>3000</v>
      </c>
      <c r="R184" s="75">
        <f>VLOOKUP($B184,[5]SAP!$D:$X,20,0)</f>
        <v>3000</v>
      </c>
      <c r="S184" s="86" t="s">
        <v>37</v>
      </c>
    </row>
    <row r="185" spans="1:19" x14ac:dyDescent="0.25">
      <c r="A185" s="62">
        <v>67</v>
      </c>
      <c r="B185" s="63" t="s">
        <v>38</v>
      </c>
      <c r="C185" s="64" t="s">
        <v>546</v>
      </c>
      <c r="D185" s="248" t="s">
        <v>547</v>
      </c>
      <c r="E185" s="64" t="s">
        <v>548</v>
      </c>
      <c r="F185" s="63">
        <v>2</v>
      </c>
      <c r="G185" s="248" t="s">
        <v>549</v>
      </c>
      <c r="H185" s="67" t="s">
        <v>42</v>
      </c>
      <c r="I185" s="74"/>
      <c r="J185" s="75" t="e">
        <f>VLOOKUP($B185,[5]SAP!$D:$X,12,0)</f>
        <v>#N/A</v>
      </c>
      <c r="K185" s="75" t="e">
        <f>VLOOKUP($B185,[5]SAP!$D:$X,19,0)</f>
        <v>#N/A</v>
      </c>
      <c r="L185" s="58" t="e">
        <f>VLOOKUP($B185,[5]SAP!$D:$X,8,0)</f>
        <v>#N/A</v>
      </c>
      <c r="M185" s="75">
        <v>0.03</v>
      </c>
      <c r="N185" s="75">
        <f t="shared" si="19"/>
        <v>0.06</v>
      </c>
      <c r="O185" s="75"/>
      <c r="P185" s="75" t="e">
        <f>VLOOKUP($B185,[5]SAP!$D:$X,17,0)</f>
        <v>#N/A</v>
      </c>
      <c r="Q185" s="75" t="e">
        <f>VLOOKUP($B185,[5]SAP!$D:$X,21,0)</f>
        <v>#N/A</v>
      </c>
      <c r="R185" s="75" t="e">
        <f>VLOOKUP($B185,[5]SAP!$D:$X,20,0)</f>
        <v>#N/A</v>
      </c>
      <c r="S185" s="86" t="s">
        <v>37</v>
      </c>
    </row>
    <row r="186" spans="1:19" ht="26.4" x14ac:dyDescent="0.25">
      <c r="A186" s="62">
        <v>68</v>
      </c>
      <c r="B186" s="68">
        <v>10140014223</v>
      </c>
      <c r="C186" s="64" t="s">
        <v>620</v>
      </c>
      <c r="D186" s="64" t="s">
        <v>531</v>
      </c>
      <c r="E186" s="69" t="s">
        <v>548</v>
      </c>
      <c r="F186" s="63">
        <v>1</v>
      </c>
      <c r="G186" s="248" t="s">
        <v>533</v>
      </c>
      <c r="H186" s="67" t="s">
        <v>42</v>
      </c>
      <c r="I186" s="74"/>
      <c r="J186" s="75">
        <f>VLOOKUP($B186,[5]SAP!$D:$X,12,0)</f>
        <v>0.19500000000000001</v>
      </c>
      <c r="K186" s="75" t="str">
        <f>VLOOKUP($B186,[5]SAP!$D:$X,19,0)</f>
        <v>CNY</v>
      </c>
      <c r="L186" s="58" t="str">
        <f>VLOOKUP($B186,[5]SAP!$D:$X,8,0)</f>
        <v>深圳翰世宇科技有限公司</v>
      </c>
      <c r="M186" s="75">
        <f>J186</f>
        <v>0.19500000000000001</v>
      </c>
      <c r="N186" s="75">
        <f t="shared" si="19"/>
        <v>0.19500000000000001</v>
      </c>
      <c r="O186" s="75"/>
      <c r="P186" s="75">
        <f>VLOOKUP($B186,[5]SAP!$D:$X,17,0)</f>
        <v>56</v>
      </c>
      <c r="Q186" s="75">
        <f>VLOOKUP($B186,[5]SAP!$D:$X,21,0)</f>
        <v>5000</v>
      </c>
      <c r="R186" s="75">
        <f>VLOOKUP($B186,[5]SAP!$D:$X,20,0)</f>
        <v>5000</v>
      </c>
      <c r="S186" s="86" t="s">
        <v>37</v>
      </c>
    </row>
    <row r="187" spans="1:19" x14ac:dyDescent="0.25">
      <c r="A187" s="62">
        <v>69</v>
      </c>
      <c r="B187" s="63">
        <v>1023</v>
      </c>
      <c r="C187" s="64" t="s">
        <v>276</v>
      </c>
      <c r="D187" s="248" t="s">
        <v>277</v>
      </c>
      <c r="E187" s="64" t="s">
        <v>163</v>
      </c>
      <c r="F187" s="63">
        <v>1</v>
      </c>
      <c r="G187" s="248" t="s">
        <v>164</v>
      </c>
      <c r="H187" s="67"/>
      <c r="I187" s="74"/>
      <c r="J187" s="75" t="e">
        <f>VLOOKUP($B187,[5]SAP!$D:$X,12,0)</f>
        <v>#N/A</v>
      </c>
      <c r="K187" s="75" t="e">
        <f>VLOOKUP($B187,[5]SAP!$D:$X,19,0)</f>
        <v>#N/A</v>
      </c>
      <c r="L187" s="58" t="e">
        <f>VLOOKUP($B187,[5]SAP!$D:$X,8,0)</f>
        <v>#N/A</v>
      </c>
      <c r="M187" s="75">
        <f>0.46*1.13</f>
        <v>0.51980000000000004</v>
      </c>
      <c r="N187" s="75">
        <f t="shared" si="19"/>
        <v>0.51980000000000004</v>
      </c>
      <c r="O187" s="75"/>
      <c r="P187" s="75">
        <v>15</v>
      </c>
      <c r="Q187" s="75">
        <v>1500</v>
      </c>
      <c r="R187" s="75">
        <v>1500</v>
      </c>
      <c r="S187" s="86" t="s">
        <v>37</v>
      </c>
    </row>
    <row r="188" spans="1:19" x14ac:dyDescent="0.25">
      <c r="A188" s="62"/>
      <c r="B188" s="68"/>
      <c r="C188" s="64"/>
      <c r="D188" s="64"/>
      <c r="E188" s="64"/>
      <c r="F188" s="63"/>
      <c r="G188" s="64"/>
      <c r="H188" s="67"/>
      <c r="I188" s="74"/>
      <c r="N188" s="53">
        <f>SUM(N2:N187)</f>
        <v>38.267511999999996</v>
      </c>
    </row>
    <row r="189" spans="1:19" x14ac:dyDescent="0.25">
      <c r="A189" s="62"/>
      <c r="B189" s="88"/>
      <c r="C189" s="72"/>
      <c r="D189" s="72"/>
      <c r="E189" s="72"/>
      <c r="F189" s="88"/>
      <c r="G189" s="72"/>
      <c r="H189" s="67"/>
      <c r="I189" s="74"/>
    </row>
    <row r="190" spans="1:19" x14ac:dyDescent="0.25">
      <c r="A190" s="62"/>
      <c r="B190" s="68"/>
      <c r="C190" s="64"/>
      <c r="D190" s="64"/>
      <c r="E190" s="64"/>
      <c r="F190" s="63"/>
      <c r="G190" s="64"/>
      <c r="H190" s="67"/>
      <c r="I190" s="74"/>
    </row>
    <row r="191" spans="1:19" x14ac:dyDescent="0.25">
      <c r="A191" s="89"/>
      <c r="B191" s="68"/>
      <c r="C191" s="64"/>
      <c r="D191" s="64"/>
      <c r="E191" s="64"/>
      <c r="F191" s="63"/>
      <c r="G191" s="64"/>
      <c r="H191" s="67"/>
      <c r="I191" s="74"/>
    </row>
    <row r="192" spans="1:19" x14ac:dyDescent="0.25">
      <c r="A192" s="62"/>
      <c r="B192" s="68"/>
      <c r="C192" s="64"/>
      <c r="D192" s="64"/>
      <c r="E192" s="64"/>
      <c r="F192" s="63"/>
      <c r="G192" s="64"/>
      <c r="H192" s="67"/>
      <c r="I192" s="74"/>
    </row>
    <row r="193" spans="1:9" x14ac:dyDescent="0.25">
      <c r="A193" s="62"/>
      <c r="B193" s="68"/>
      <c r="C193" s="64"/>
      <c r="D193" s="64"/>
      <c r="E193" s="64"/>
      <c r="F193" s="63"/>
      <c r="G193" s="64"/>
      <c r="H193" s="67"/>
      <c r="I193" s="74"/>
    </row>
    <row r="194" spans="1:9" x14ac:dyDescent="0.25">
      <c r="A194" s="62"/>
      <c r="B194" s="68"/>
      <c r="C194" s="64"/>
      <c r="D194" s="64"/>
      <c r="E194" s="64"/>
      <c r="F194" s="63"/>
      <c r="G194" s="64"/>
      <c r="H194" s="67"/>
      <c r="I194" s="74"/>
    </row>
    <row r="195" spans="1:9" x14ac:dyDescent="0.25">
      <c r="A195" s="89"/>
      <c r="B195" s="68"/>
      <c r="C195" s="64"/>
      <c r="D195" s="64"/>
      <c r="E195" s="64"/>
      <c r="F195" s="63"/>
      <c r="G195" s="64"/>
      <c r="H195" s="67"/>
      <c r="I195" s="74"/>
    </row>
    <row r="196" spans="1:9" x14ac:dyDescent="0.25">
      <c r="A196" s="62"/>
      <c r="B196" s="68"/>
      <c r="C196" s="64"/>
      <c r="D196" s="64"/>
      <c r="E196" s="64"/>
      <c r="F196" s="63"/>
      <c r="G196" s="64"/>
      <c r="H196" s="67"/>
      <c r="I196" s="74"/>
    </row>
    <row r="197" spans="1:9" x14ac:dyDescent="0.25">
      <c r="A197" s="62"/>
      <c r="B197" s="68"/>
      <c r="C197" s="64"/>
      <c r="D197" s="64"/>
      <c r="E197" s="64"/>
      <c r="F197" s="63"/>
      <c r="G197" s="64"/>
      <c r="H197" s="67"/>
      <c r="I197" s="74"/>
    </row>
    <row r="198" spans="1:9" x14ac:dyDescent="0.25">
      <c r="A198" s="62"/>
      <c r="B198" s="68"/>
      <c r="C198" s="64"/>
      <c r="D198" s="64"/>
      <c r="E198" s="64"/>
      <c r="F198" s="63"/>
      <c r="G198" s="64"/>
      <c r="H198" s="67"/>
      <c r="I198" s="74"/>
    </row>
    <row r="199" spans="1:9" x14ac:dyDescent="0.25">
      <c r="A199" s="62"/>
      <c r="B199" s="68"/>
      <c r="C199" s="64"/>
      <c r="D199" s="64"/>
      <c r="E199" s="64"/>
      <c r="F199" s="63"/>
      <c r="G199" s="64"/>
      <c r="H199" s="67"/>
      <c r="I199" s="74"/>
    </row>
    <row r="200" spans="1:9" x14ac:dyDescent="0.25">
      <c r="A200" s="62"/>
      <c r="B200" s="63"/>
      <c r="C200" s="64"/>
      <c r="D200" s="64"/>
      <c r="E200" s="64"/>
      <c r="F200" s="63"/>
      <c r="G200" s="64"/>
      <c r="H200" s="67"/>
      <c r="I200" s="74"/>
    </row>
    <row r="201" spans="1:9" x14ac:dyDescent="0.25">
      <c r="A201" s="62"/>
      <c r="B201" s="63"/>
      <c r="C201" s="64"/>
      <c r="D201" s="64"/>
      <c r="E201" s="64"/>
      <c r="F201" s="63"/>
      <c r="G201" s="64"/>
      <c r="H201" s="67"/>
      <c r="I201" s="74"/>
    </row>
    <row r="202" spans="1:9" x14ac:dyDescent="0.25">
      <c r="A202" s="62"/>
      <c r="B202" s="68"/>
      <c r="C202" s="64"/>
      <c r="D202" s="64"/>
      <c r="E202" s="64"/>
      <c r="F202" s="63"/>
      <c r="G202" s="64"/>
      <c r="H202" s="67"/>
      <c r="I202" s="74"/>
    </row>
    <row r="203" spans="1:9" x14ac:dyDescent="0.25">
      <c r="A203" s="62"/>
      <c r="B203" s="63"/>
      <c r="C203" s="64"/>
      <c r="D203" s="64"/>
      <c r="E203" s="64"/>
      <c r="F203" s="63"/>
      <c r="G203" s="64"/>
      <c r="H203" s="67"/>
      <c r="I203" s="74"/>
    </row>
    <row r="204" spans="1:9" x14ac:dyDescent="0.25">
      <c r="A204" s="62"/>
      <c r="B204" s="63"/>
      <c r="C204" s="64"/>
      <c r="D204" s="64"/>
      <c r="E204" s="64"/>
      <c r="F204" s="63"/>
      <c r="G204" s="64"/>
      <c r="H204" s="67"/>
      <c r="I204" s="74"/>
    </row>
    <row r="205" spans="1:9" x14ac:dyDescent="0.25">
      <c r="A205" s="62"/>
      <c r="B205" s="68"/>
      <c r="C205" s="64"/>
      <c r="D205" s="64"/>
      <c r="E205" s="64"/>
      <c r="F205" s="63"/>
      <c r="G205" s="64"/>
      <c r="H205" s="67"/>
      <c r="I205" s="74"/>
    </row>
    <row r="206" spans="1:9" x14ac:dyDescent="0.25">
      <c r="A206" s="62"/>
      <c r="B206" s="68"/>
      <c r="C206" s="64"/>
      <c r="D206" s="64"/>
      <c r="E206" s="64"/>
      <c r="F206" s="63"/>
      <c r="G206" s="64"/>
      <c r="H206" s="67"/>
      <c r="I206" s="74"/>
    </row>
    <row r="207" spans="1:9" x14ac:dyDescent="0.25">
      <c r="A207" s="62"/>
      <c r="B207" s="68"/>
      <c r="C207" s="64"/>
      <c r="D207" s="64"/>
      <c r="E207" s="64"/>
      <c r="F207" s="63"/>
      <c r="G207" s="64"/>
      <c r="H207" s="67"/>
      <c r="I207" s="74"/>
    </row>
    <row r="208" spans="1:9" x14ac:dyDescent="0.25">
      <c r="A208" s="62"/>
      <c r="B208" s="68"/>
      <c r="C208" s="64"/>
      <c r="D208" s="64"/>
      <c r="E208" s="64"/>
      <c r="F208" s="63"/>
      <c r="G208" s="64"/>
      <c r="H208" s="67"/>
      <c r="I208" s="74"/>
    </row>
    <row r="209" spans="1:9" x14ac:dyDescent="0.25">
      <c r="A209" s="62"/>
      <c r="B209" s="63"/>
      <c r="C209" s="64"/>
      <c r="D209" s="64"/>
      <c r="E209" s="64"/>
      <c r="F209" s="63"/>
      <c r="G209" s="64"/>
      <c r="H209" s="67"/>
      <c r="I209" s="74"/>
    </row>
    <row r="210" spans="1:9" x14ac:dyDescent="0.25">
      <c r="A210" s="62"/>
      <c r="B210" s="63"/>
      <c r="C210" s="64"/>
      <c r="D210" s="64"/>
      <c r="E210" s="64"/>
      <c r="F210" s="63"/>
      <c r="G210" s="64"/>
      <c r="H210" s="67"/>
      <c r="I210" s="74"/>
    </row>
    <row r="211" spans="1:9" x14ac:dyDescent="0.25">
      <c r="A211" s="62"/>
      <c r="B211" s="68"/>
      <c r="C211" s="64"/>
      <c r="D211" s="64"/>
      <c r="E211" s="64"/>
      <c r="F211" s="63"/>
      <c r="G211" s="64"/>
      <c r="H211" s="67"/>
      <c r="I211" s="74"/>
    </row>
    <row r="212" spans="1:9" x14ac:dyDescent="0.25">
      <c r="A212" s="62"/>
      <c r="B212" s="68"/>
      <c r="C212" s="64"/>
      <c r="D212" s="64"/>
      <c r="E212" s="64"/>
      <c r="F212" s="63"/>
      <c r="G212" s="64"/>
      <c r="H212" s="67"/>
      <c r="I212" s="74"/>
    </row>
    <row r="213" spans="1:9" x14ac:dyDescent="0.25">
      <c r="A213" s="62"/>
      <c r="B213" s="68"/>
      <c r="C213" s="64"/>
      <c r="D213" s="64"/>
      <c r="E213" s="64"/>
      <c r="F213" s="63"/>
      <c r="G213" s="64"/>
      <c r="H213" s="67"/>
      <c r="I213" s="74"/>
    </row>
    <row r="214" spans="1:9" x14ac:dyDescent="0.25">
      <c r="A214" s="89"/>
      <c r="B214" s="63"/>
      <c r="C214" s="64"/>
      <c r="D214" s="64"/>
      <c r="E214" s="64"/>
      <c r="F214" s="63"/>
      <c r="G214" s="64"/>
      <c r="H214" s="67"/>
      <c r="I214" s="74"/>
    </row>
    <row r="215" spans="1:9" x14ac:dyDescent="0.25">
      <c r="A215" s="89"/>
      <c r="B215" s="68"/>
      <c r="C215" s="64"/>
      <c r="D215" s="64"/>
      <c r="E215" s="64"/>
      <c r="F215" s="63"/>
      <c r="G215" s="64"/>
      <c r="H215" s="67"/>
      <c r="I215" s="74"/>
    </row>
    <row r="216" spans="1:9" x14ac:dyDescent="0.25">
      <c r="A216" s="89"/>
      <c r="B216" s="68"/>
      <c r="C216" s="64"/>
      <c r="D216" s="64"/>
      <c r="E216" s="64"/>
      <c r="F216" s="63"/>
      <c r="G216" s="64"/>
      <c r="H216" s="67"/>
      <c r="I216" s="74"/>
    </row>
    <row r="217" spans="1:9" x14ac:dyDescent="0.25">
      <c r="A217" s="62"/>
      <c r="B217" s="68"/>
      <c r="C217" s="64"/>
      <c r="D217" s="64"/>
      <c r="E217" s="64"/>
      <c r="F217" s="63"/>
      <c r="G217" s="64"/>
      <c r="H217" s="67"/>
      <c r="I217" s="74"/>
    </row>
    <row r="218" spans="1:9" x14ac:dyDescent="0.25">
      <c r="A218" s="62"/>
      <c r="B218" s="68"/>
      <c r="C218" s="64"/>
      <c r="D218" s="64"/>
      <c r="E218" s="64"/>
      <c r="F218" s="63"/>
      <c r="G218" s="64"/>
      <c r="H218" s="67"/>
      <c r="I218" s="74"/>
    </row>
    <row r="219" spans="1:9" x14ac:dyDescent="0.25">
      <c r="A219" s="62"/>
      <c r="B219" s="68"/>
      <c r="C219" s="64"/>
      <c r="D219" s="64"/>
      <c r="E219" s="64"/>
      <c r="F219" s="63"/>
      <c r="G219" s="64"/>
      <c r="H219" s="67"/>
      <c r="I219" s="74"/>
    </row>
    <row r="220" spans="1:9" x14ac:dyDescent="0.25">
      <c r="A220" s="62"/>
      <c r="B220" s="63"/>
      <c r="C220" s="64"/>
      <c r="D220" s="64"/>
      <c r="E220" s="64"/>
      <c r="F220" s="63"/>
      <c r="G220" s="64"/>
      <c r="H220" s="67"/>
      <c r="I220" s="74"/>
    </row>
    <row r="221" spans="1:9" x14ac:dyDescent="0.25">
      <c r="A221" s="62"/>
      <c r="B221" s="68"/>
      <c r="C221" s="64"/>
      <c r="D221" s="64"/>
      <c r="E221" s="64"/>
      <c r="F221" s="63"/>
      <c r="G221" s="64"/>
      <c r="H221" s="67"/>
      <c r="I221" s="74"/>
    </row>
    <row r="222" spans="1:9" x14ac:dyDescent="0.25">
      <c r="A222" s="62"/>
      <c r="B222" s="68"/>
      <c r="C222" s="64"/>
      <c r="D222" s="64"/>
      <c r="E222" s="64"/>
      <c r="F222" s="63"/>
      <c r="G222" s="64"/>
      <c r="H222" s="67"/>
      <c r="I222" s="74"/>
    </row>
    <row r="223" spans="1:9" x14ac:dyDescent="0.25">
      <c r="A223" s="62"/>
      <c r="B223" s="68"/>
      <c r="C223" s="64"/>
      <c r="D223" s="64"/>
      <c r="E223" s="64"/>
      <c r="F223" s="63"/>
      <c r="G223" s="64"/>
      <c r="H223" s="67"/>
      <c r="I223" s="74"/>
    </row>
    <row r="224" spans="1:9" x14ac:dyDescent="0.25">
      <c r="A224" s="62"/>
      <c r="B224" s="68"/>
      <c r="C224" s="64"/>
      <c r="D224" s="64"/>
      <c r="E224" s="64"/>
      <c r="F224" s="63"/>
      <c r="G224" s="64"/>
      <c r="H224" s="67"/>
      <c r="I224" s="74"/>
    </row>
    <row r="225" spans="1:9" x14ac:dyDescent="0.25">
      <c r="A225" s="62"/>
      <c r="B225" s="68"/>
      <c r="C225" s="64"/>
      <c r="D225" s="64"/>
      <c r="E225" s="64"/>
      <c r="F225" s="63"/>
      <c r="G225" s="64"/>
      <c r="H225" s="67"/>
      <c r="I225" s="74"/>
    </row>
    <row r="226" spans="1:9" x14ac:dyDescent="0.25">
      <c r="A226" s="62"/>
      <c r="B226" s="68"/>
      <c r="C226" s="64"/>
      <c r="D226" s="64"/>
      <c r="E226" s="64"/>
      <c r="F226" s="63"/>
      <c r="G226" s="64"/>
      <c r="H226" s="67"/>
      <c r="I226" s="74"/>
    </row>
    <row r="227" spans="1:9" x14ac:dyDescent="0.25">
      <c r="A227" s="62"/>
      <c r="B227" s="68"/>
      <c r="C227" s="64"/>
      <c r="D227" s="64"/>
      <c r="E227" s="64"/>
      <c r="F227" s="63"/>
      <c r="G227" s="64"/>
      <c r="H227" s="67"/>
      <c r="I227" s="74"/>
    </row>
    <row r="228" spans="1:9" x14ac:dyDescent="0.25">
      <c r="A228" s="62"/>
      <c r="B228" s="68"/>
      <c r="C228" s="64"/>
      <c r="D228" s="64"/>
      <c r="E228" s="64"/>
      <c r="F228" s="63"/>
      <c r="G228" s="64"/>
      <c r="H228" s="67"/>
      <c r="I228" s="74"/>
    </row>
    <row r="229" spans="1:9" x14ac:dyDescent="0.25">
      <c r="A229" s="62"/>
      <c r="B229" s="68"/>
      <c r="C229" s="64"/>
      <c r="D229" s="64"/>
      <c r="E229" s="64"/>
      <c r="F229" s="63"/>
      <c r="G229" s="64"/>
      <c r="H229" s="67"/>
      <c r="I229" s="74"/>
    </row>
    <row r="230" spans="1:9" x14ac:dyDescent="0.25">
      <c r="A230" s="62"/>
      <c r="B230" s="68"/>
      <c r="C230" s="64"/>
      <c r="D230" s="64"/>
      <c r="E230" s="64"/>
      <c r="F230" s="63"/>
      <c r="G230" s="64"/>
      <c r="H230" s="67"/>
      <c r="I230" s="74"/>
    </row>
    <row r="231" spans="1:9" x14ac:dyDescent="0.25">
      <c r="A231" s="62"/>
      <c r="B231" s="68"/>
      <c r="C231" s="64"/>
      <c r="D231" s="64"/>
      <c r="E231" s="64"/>
      <c r="F231" s="63"/>
      <c r="G231" s="64"/>
      <c r="H231" s="67"/>
      <c r="I231" s="74"/>
    </row>
    <row r="232" spans="1:9" x14ac:dyDescent="0.25">
      <c r="A232" s="62"/>
      <c r="B232" s="68"/>
      <c r="C232" s="64"/>
      <c r="D232" s="64"/>
      <c r="E232" s="64"/>
      <c r="F232" s="63"/>
      <c r="G232" s="64"/>
      <c r="H232" s="67"/>
      <c r="I232" s="74"/>
    </row>
    <row r="233" spans="1:9" x14ac:dyDescent="0.25">
      <c r="A233" s="62"/>
      <c r="B233" s="68"/>
      <c r="C233" s="64"/>
      <c r="D233" s="64"/>
      <c r="E233" s="64"/>
      <c r="F233" s="63"/>
      <c r="G233" s="64"/>
      <c r="H233" s="67"/>
      <c r="I233" s="74"/>
    </row>
    <row r="234" spans="1:9" x14ac:dyDescent="0.25">
      <c r="A234" s="62"/>
      <c r="B234" s="68"/>
      <c r="C234" s="64"/>
      <c r="D234" s="64"/>
      <c r="E234" s="64"/>
      <c r="F234" s="63"/>
      <c r="G234" s="64"/>
      <c r="H234" s="67"/>
      <c r="I234" s="74"/>
    </row>
    <row r="235" spans="1:9" x14ac:dyDescent="0.25">
      <c r="A235" s="62"/>
      <c r="B235" s="68"/>
      <c r="C235" s="64"/>
      <c r="D235" s="64"/>
      <c r="E235" s="64"/>
      <c r="F235" s="63"/>
      <c r="G235" s="64"/>
      <c r="H235" s="67"/>
      <c r="I235" s="74"/>
    </row>
    <row r="236" spans="1:9" x14ac:dyDescent="0.25">
      <c r="A236" s="62"/>
      <c r="B236" s="68"/>
      <c r="C236" s="64"/>
      <c r="D236" s="64"/>
      <c r="E236" s="64"/>
      <c r="F236" s="63"/>
      <c r="G236" s="64"/>
      <c r="H236" s="67"/>
      <c r="I236" s="74"/>
    </row>
    <row r="237" spans="1:9" x14ac:dyDescent="0.25">
      <c r="A237" s="62"/>
      <c r="B237" s="63"/>
      <c r="C237" s="64"/>
      <c r="D237" s="64"/>
      <c r="E237" s="64"/>
      <c r="F237" s="63"/>
      <c r="G237" s="64"/>
      <c r="H237" s="67"/>
      <c r="I237" s="74"/>
    </row>
    <row r="238" spans="1:9" x14ac:dyDescent="0.25">
      <c r="A238" s="62"/>
      <c r="B238" s="63"/>
      <c r="C238" s="64"/>
      <c r="D238" s="90"/>
      <c r="E238" s="64"/>
      <c r="F238" s="63"/>
      <c r="G238" s="64"/>
      <c r="H238" s="67"/>
      <c r="I238" s="74"/>
    </row>
    <row r="239" spans="1:9" x14ac:dyDescent="0.25">
      <c r="A239" s="62"/>
      <c r="B239" s="68"/>
      <c r="C239" s="64"/>
      <c r="D239" s="64"/>
      <c r="E239" s="64"/>
      <c r="F239" s="63"/>
      <c r="G239" s="64"/>
      <c r="H239" s="67"/>
      <c r="I239" s="74"/>
    </row>
    <row r="240" spans="1:9" x14ac:dyDescent="0.25">
      <c r="A240" s="62"/>
      <c r="B240" s="63"/>
      <c r="C240" s="64"/>
      <c r="D240" s="64"/>
      <c r="E240" s="64"/>
      <c r="F240" s="63"/>
      <c r="G240" s="64"/>
      <c r="H240" s="67"/>
      <c r="I240" s="74"/>
    </row>
    <row r="241" spans="1:9" x14ac:dyDescent="0.25">
      <c r="A241" s="62"/>
      <c r="B241" s="68"/>
      <c r="C241" s="64"/>
      <c r="D241" s="64"/>
      <c r="E241" s="64"/>
      <c r="F241" s="63"/>
      <c r="G241" s="64"/>
      <c r="H241" s="67"/>
      <c r="I241" s="74"/>
    </row>
    <row r="242" spans="1:9" x14ac:dyDescent="0.25">
      <c r="A242" s="62"/>
      <c r="B242" s="68"/>
      <c r="C242" s="64"/>
      <c r="D242" s="64"/>
      <c r="E242" s="64"/>
      <c r="F242" s="63"/>
      <c r="G242" s="64"/>
      <c r="H242" s="67"/>
      <c r="I242" s="74"/>
    </row>
    <row r="243" spans="1:9" x14ac:dyDescent="0.25">
      <c r="A243" s="62"/>
      <c r="B243" s="68"/>
      <c r="C243" s="64"/>
      <c r="D243" s="64"/>
      <c r="E243" s="64"/>
      <c r="F243" s="63"/>
      <c r="G243" s="64"/>
      <c r="H243" s="67"/>
      <c r="I243" s="74"/>
    </row>
    <row r="244" spans="1:9" x14ac:dyDescent="0.25">
      <c r="A244" s="62"/>
      <c r="B244" s="68"/>
      <c r="C244" s="64"/>
      <c r="D244" s="64"/>
      <c r="E244" s="64"/>
      <c r="F244" s="63"/>
      <c r="G244" s="64"/>
      <c r="H244" s="67"/>
      <c r="I244" s="74"/>
    </row>
    <row r="245" spans="1:9" x14ac:dyDescent="0.25">
      <c r="A245" s="62"/>
      <c r="B245" s="68"/>
      <c r="C245" s="64"/>
      <c r="D245" s="64"/>
      <c r="E245" s="64"/>
      <c r="F245" s="63"/>
      <c r="G245" s="64"/>
      <c r="H245" s="67"/>
      <c r="I245" s="74"/>
    </row>
    <row r="246" spans="1:9" x14ac:dyDescent="0.25">
      <c r="A246" s="62"/>
      <c r="B246" s="68"/>
      <c r="C246" s="64"/>
      <c r="D246" s="64"/>
      <c r="E246" s="64"/>
      <c r="F246" s="63"/>
      <c r="G246" s="64"/>
      <c r="H246" s="67"/>
      <c r="I246" s="74"/>
    </row>
    <row r="247" spans="1:9" x14ac:dyDescent="0.25">
      <c r="A247" s="62"/>
      <c r="B247" s="68"/>
      <c r="C247" s="64"/>
      <c r="D247" s="64"/>
      <c r="E247" s="64"/>
      <c r="F247" s="63"/>
      <c r="G247" s="64"/>
      <c r="H247" s="67"/>
      <c r="I247" s="74"/>
    </row>
    <row r="248" spans="1:9" x14ac:dyDescent="0.25">
      <c r="A248" s="62"/>
      <c r="B248" s="68"/>
      <c r="C248" s="64"/>
      <c r="D248" s="64"/>
      <c r="E248" s="64"/>
      <c r="F248" s="63"/>
      <c r="G248" s="64"/>
      <c r="H248" s="67"/>
      <c r="I248" s="74"/>
    </row>
    <row r="249" spans="1:9" x14ac:dyDescent="0.25">
      <c r="A249" s="62"/>
      <c r="B249" s="68"/>
      <c r="C249" s="64"/>
      <c r="D249" s="64"/>
      <c r="E249" s="64"/>
      <c r="F249" s="63"/>
      <c r="G249" s="64"/>
      <c r="H249" s="67"/>
      <c r="I249" s="74"/>
    </row>
    <row r="250" spans="1:9" x14ac:dyDescent="0.25">
      <c r="A250" s="62"/>
      <c r="B250" s="68"/>
      <c r="C250" s="64"/>
      <c r="D250" s="64"/>
      <c r="E250" s="64"/>
      <c r="F250" s="63"/>
      <c r="G250" s="64"/>
      <c r="H250" s="67"/>
      <c r="I250" s="74"/>
    </row>
    <row r="251" spans="1:9" x14ac:dyDescent="0.25">
      <c r="A251" s="62"/>
      <c r="B251" s="68"/>
      <c r="C251" s="64"/>
      <c r="D251" s="64"/>
      <c r="E251" s="64"/>
      <c r="F251" s="63"/>
      <c r="G251" s="64"/>
      <c r="H251" s="67"/>
      <c r="I251" s="74"/>
    </row>
    <row r="252" spans="1:9" x14ac:dyDescent="0.25">
      <c r="A252" s="62"/>
      <c r="B252" s="68"/>
      <c r="C252" s="64"/>
      <c r="D252" s="64"/>
      <c r="E252" s="64"/>
      <c r="F252" s="63"/>
      <c r="G252" s="64"/>
      <c r="H252" s="67"/>
      <c r="I252" s="74"/>
    </row>
    <row r="253" spans="1:9" x14ac:dyDescent="0.25">
      <c r="A253" s="62"/>
      <c r="B253" s="68"/>
      <c r="C253" s="64"/>
      <c r="D253" s="64"/>
      <c r="E253" s="64"/>
      <c r="F253" s="63"/>
      <c r="G253" s="64"/>
      <c r="H253" s="67"/>
      <c r="I253" s="74"/>
    </row>
    <row r="254" spans="1:9" x14ac:dyDescent="0.25">
      <c r="A254" s="62"/>
      <c r="B254" s="68"/>
      <c r="C254" s="64"/>
      <c r="D254" s="64"/>
      <c r="E254" s="64"/>
      <c r="F254" s="63"/>
      <c r="G254" s="64"/>
      <c r="H254" s="67"/>
      <c r="I254" s="74"/>
    </row>
    <row r="255" spans="1:9" x14ac:dyDescent="0.25">
      <c r="A255" s="62"/>
      <c r="B255" s="63"/>
      <c r="C255" s="64"/>
      <c r="D255" s="64"/>
      <c r="E255" s="64"/>
      <c r="F255" s="63"/>
      <c r="G255" s="64"/>
      <c r="H255" s="67"/>
      <c r="I255" s="74"/>
    </row>
    <row r="256" spans="1:9" x14ac:dyDescent="0.25">
      <c r="A256" s="62"/>
      <c r="B256" s="63"/>
      <c r="C256" s="64"/>
      <c r="D256" s="64"/>
      <c r="E256" s="64"/>
      <c r="F256" s="63"/>
      <c r="G256" s="64"/>
      <c r="H256" s="67"/>
      <c r="I256" s="74"/>
    </row>
    <row r="257" spans="1:9" x14ac:dyDescent="0.25">
      <c r="A257" s="62"/>
      <c r="B257" s="63"/>
      <c r="C257" s="64"/>
      <c r="D257" s="64"/>
      <c r="E257" s="64"/>
      <c r="F257" s="63"/>
      <c r="G257" s="64"/>
      <c r="H257" s="67"/>
      <c r="I257" s="74"/>
    </row>
    <row r="258" spans="1:9" x14ac:dyDescent="0.25">
      <c r="A258" s="62"/>
      <c r="B258" s="63"/>
      <c r="C258" s="64"/>
      <c r="D258" s="64"/>
      <c r="E258" s="64"/>
      <c r="F258" s="63"/>
      <c r="G258" s="64"/>
      <c r="H258" s="67"/>
      <c r="I258" s="74"/>
    </row>
    <row r="259" spans="1:9" x14ac:dyDescent="0.25">
      <c r="A259" s="62"/>
      <c r="B259" s="63"/>
      <c r="C259" s="64"/>
      <c r="D259" s="69"/>
      <c r="E259" s="64"/>
      <c r="F259" s="63"/>
      <c r="G259" s="64"/>
      <c r="H259" s="67"/>
      <c r="I259" s="74"/>
    </row>
    <row r="260" spans="1:9" x14ac:dyDescent="0.25">
      <c r="A260" s="62"/>
      <c r="B260" s="68"/>
      <c r="C260" s="64"/>
      <c r="D260" s="64"/>
      <c r="E260" s="64"/>
      <c r="F260" s="63"/>
      <c r="G260" s="64"/>
      <c r="H260" s="69"/>
      <c r="I260" s="74"/>
    </row>
    <row r="261" spans="1:9" x14ac:dyDescent="0.25">
      <c r="A261" s="62"/>
      <c r="B261" s="63"/>
      <c r="C261" s="64"/>
      <c r="D261" s="64"/>
      <c r="E261" s="64"/>
      <c r="F261" s="63"/>
      <c r="G261" s="64"/>
      <c r="H261" s="69"/>
      <c r="I261" s="74"/>
    </row>
    <row r="262" spans="1:9" x14ac:dyDescent="0.25">
      <c r="A262" s="62"/>
      <c r="B262" s="68"/>
      <c r="C262" s="64"/>
      <c r="D262" s="64"/>
      <c r="E262" s="64"/>
      <c r="F262" s="63"/>
      <c r="G262" s="64"/>
      <c r="H262" s="67"/>
      <c r="I262" s="74"/>
    </row>
    <row r="263" spans="1:9" x14ac:dyDescent="0.25">
      <c r="A263" s="62"/>
      <c r="B263" s="68"/>
      <c r="C263" s="64"/>
      <c r="D263" s="64"/>
      <c r="E263" s="64"/>
      <c r="F263" s="63"/>
      <c r="G263" s="64"/>
      <c r="H263" s="67"/>
      <c r="I263" s="74"/>
    </row>
    <row r="264" spans="1:9" x14ac:dyDescent="0.25">
      <c r="A264" s="62"/>
      <c r="B264" s="68"/>
      <c r="C264" s="64"/>
      <c r="D264" s="64"/>
      <c r="E264" s="64"/>
      <c r="F264" s="63"/>
      <c r="G264" s="64"/>
      <c r="H264" s="67"/>
      <c r="I264" s="74"/>
    </row>
    <row r="265" spans="1:9" x14ac:dyDescent="0.25">
      <c r="A265" s="62"/>
      <c r="B265" s="68"/>
      <c r="C265" s="64"/>
      <c r="D265" s="64"/>
      <c r="E265" s="64"/>
      <c r="F265" s="63"/>
      <c r="G265" s="64"/>
      <c r="H265" s="67"/>
      <c r="I265" s="74"/>
    </row>
    <row r="266" spans="1:9" x14ac:dyDescent="0.25">
      <c r="A266" s="62"/>
      <c r="B266" s="68"/>
      <c r="C266" s="64"/>
      <c r="D266" s="64"/>
      <c r="E266" s="64"/>
      <c r="F266" s="63"/>
      <c r="G266" s="64"/>
      <c r="H266" s="67"/>
      <c r="I266" s="74"/>
    </row>
    <row r="267" spans="1:9" x14ac:dyDescent="0.25">
      <c r="A267" s="62"/>
      <c r="B267" s="63"/>
      <c r="C267" s="64"/>
      <c r="D267" s="64"/>
      <c r="E267" s="64"/>
      <c r="F267" s="63"/>
      <c r="G267" s="64"/>
      <c r="H267" s="67"/>
      <c r="I267" s="74"/>
    </row>
    <row r="268" spans="1:9" x14ac:dyDescent="0.25">
      <c r="A268" s="62"/>
      <c r="B268" s="63"/>
      <c r="C268" s="64"/>
      <c r="D268" s="64"/>
      <c r="E268" s="64"/>
      <c r="F268" s="63"/>
      <c r="G268" s="64"/>
      <c r="H268" s="67"/>
      <c r="I268" s="74"/>
    </row>
    <row r="269" spans="1:9" x14ac:dyDescent="0.25">
      <c r="A269" s="62"/>
      <c r="B269" s="68"/>
      <c r="C269" s="64"/>
      <c r="D269" s="64"/>
      <c r="E269" s="64"/>
      <c r="F269" s="63"/>
      <c r="G269" s="64"/>
      <c r="H269" s="67"/>
      <c r="I269" s="74"/>
    </row>
    <row r="270" spans="1:9" x14ac:dyDescent="0.25">
      <c r="A270" s="62"/>
      <c r="B270" s="68"/>
      <c r="C270" s="64"/>
      <c r="D270" s="64"/>
      <c r="E270" s="64"/>
      <c r="F270" s="63"/>
      <c r="G270" s="64"/>
      <c r="H270" s="67"/>
      <c r="I270" s="74"/>
    </row>
    <row r="271" spans="1:9" x14ac:dyDescent="0.25">
      <c r="A271" s="62"/>
      <c r="B271" s="68"/>
      <c r="C271" s="64"/>
      <c r="D271" s="64"/>
      <c r="E271" s="64"/>
      <c r="F271" s="63"/>
      <c r="G271" s="64"/>
      <c r="H271" s="67"/>
      <c r="I271" s="74"/>
    </row>
    <row r="272" spans="1:9" x14ac:dyDescent="0.25">
      <c r="A272" s="62"/>
      <c r="B272" s="68"/>
      <c r="C272" s="64"/>
      <c r="D272" s="64"/>
      <c r="E272" s="64"/>
      <c r="F272" s="63"/>
      <c r="G272" s="64"/>
      <c r="H272" s="67"/>
      <c r="I272" s="74"/>
    </row>
    <row r="273" spans="1:9" x14ac:dyDescent="0.25">
      <c r="A273" s="62"/>
      <c r="B273" s="68"/>
      <c r="C273" s="64"/>
      <c r="D273" s="64"/>
      <c r="E273" s="64"/>
      <c r="F273" s="63"/>
      <c r="G273" s="64"/>
      <c r="H273" s="67"/>
      <c r="I273" s="74"/>
    </row>
    <row r="274" spans="1:9" x14ac:dyDescent="0.25">
      <c r="A274" s="62"/>
      <c r="B274" s="68"/>
      <c r="C274" s="64"/>
      <c r="D274" s="64"/>
      <c r="E274" s="64"/>
      <c r="F274" s="63"/>
      <c r="G274" s="64"/>
      <c r="H274" s="67"/>
      <c r="I274" s="74"/>
    </row>
    <row r="275" spans="1:9" x14ac:dyDescent="0.25">
      <c r="A275" s="62"/>
      <c r="B275" s="68"/>
      <c r="C275" s="64"/>
      <c r="D275" s="64"/>
      <c r="E275" s="64"/>
      <c r="F275" s="63"/>
      <c r="G275" s="64"/>
      <c r="H275" s="67"/>
      <c r="I275" s="74"/>
    </row>
    <row r="276" spans="1:9" x14ac:dyDescent="0.25">
      <c r="A276" s="62"/>
      <c r="B276" s="68"/>
      <c r="C276" s="64"/>
      <c r="D276" s="64"/>
      <c r="E276" s="64"/>
      <c r="F276" s="63"/>
      <c r="G276" s="64"/>
      <c r="H276" s="67"/>
      <c r="I276" s="74"/>
    </row>
    <row r="277" spans="1:9" x14ac:dyDescent="0.25">
      <c r="A277" s="62"/>
      <c r="B277" s="68"/>
      <c r="C277" s="64"/>
      <c r="D277" s="64"/>
      <c r="E277" s="64"/>
      <c r="F277" s="63"/>
      <c r="G277" s="64"/>
      <c r="H277" s="67"/>
      <c r="I277" s="74"/>
    </row>
    <row r="278" spans="1:9" x14ac:dyDescent="0.25">
      <c r="A278" s="62"/>
      <c r="B278" s="68"/>
      <c r="C278" s="64"/>
      <c r="D278" s="64"/>
      <c r="E278" s="64"/>
      <c r="F278" s="63"/>
      <c r="G278" s="64"/>
      <c r="H278" s="67"/>
      <c r="I278" s="74"/>
    </row>
    <row r="279" spans="1:9" x14ac:dyDescent="0.25">
      <c r="A279" s="62"/>
      <c r="B279" s="68"/>
      <c r="C279" s="64"/>
      <c r="D279" s="64"/>
      <c r="E279" s="64"/>
      <c r="F279" s="63"/>
      <c r="G279" s="64"/>
      <c r="H279" s="67"/>
      <c r="I279" s="74"/>
    </row>
    <row r="280" spans="1:9" x14ac:dyDescent="0.25">
      <c r="A280" s="62"/>
      <c r="B280" s="68"/>
      <c r="C280" s="64"/>
      <c r="D280" s="64"/>
      <c r="E280" s="64"/>
      <c r="F280" s="63"/>
      <c r="G280" s="64"/>
      <c r="H280" s="67"/>
      <c r="I280" s="74"/>
    </row>
    <row r="281" spans="1:9" x14ac:dyDescent="0.25">
      <c r="A281" s="62"/>
      <c r="B281" s="68"/>
      <c r="C281" s="64"/>
      <c r="D281" s="64"/>
      <c r="E281" s="64"/>
      <c r="F281" s="63"/>
      <c r="G281" s="64"/>
      <c r="H281" s="67"/>
      <c r="I281" s="74"/>
    </row>
    <row r="282" spans="1:9" x14ac:dyDescent="0.25">
      <c r="A282" s="62"/>
      <c r="B282" s="68"/>
      <c r="C282" s="64"/>
      <c r="D282" s="64"/>
      <c r="E282" s="64"/>
      <c r="F282" s="63"/>
      <c r="G282" s="64"/>
      <c r="H282" s="67"/>
      <c r="I282" s="74"/>
    </row>
    <row r="283" spans="1:9" x14ac:dyDescent="0.25">
      <c r="A283" s="62"/>
      <c r="B283" s="68"/>
      <c r="C283" s="64"/>
      <c r="D283" s="64"/>
      <c r="E283" s="64"/>
      <c r="F283" s="63"/>
      <c r="G283" s="64"/>
      <c r="H283" s="67"/>
      <c r="I283" s="74"/>
    </row>
    <row r="284" spans="1:9" x14ac:dyDescent="0.25">
      <c r="A284" s="62"/>
      <c r="B284" s="63"/>
      <c r="C284" s="64"/>
      <c r="D284" s="64"/>
      <c r="E284" s="64"/>
      <c r="F284" s="63"/>
      <c r="G284" s="64"/>
      <c r="H284" s="67"/>
      <c r="I284" s="74"/>
    </row>
    <row r="285" spans="1:9" x14ac:dyDescent="0.25">
      <c r="A285" s="62"/>
      <c r="B285" s="68"/>
      <c r="C285" s="64"/>
      <c r="D285" s="64"/>
      <c r="E285" s="64"/>
      <c r="F285" s="63"/>
      <c r="G285" s="64"/>
      <c r="H285" s="67"/>
      <c r="I285" s="74"/>
    </row>
    <row r="286" spans="1:9" x14ac:dyDescent="0.25">
      <c r="A286" s="62"/>
      <c r="B286" s="68"/>
      <c r="C286" s="64"/>
      <c r="D286" s="64"/>
      <c r="E286" s="64"/>
      <c r="F286" s="63"/>
      <c r="G286" s="64"/>
      <c r="H286" s="67"/>
      <c r="I286" s="74"/>
    </row>
    <row r="287" spans="1:9" x14ac:dyDescent="0.25">
      <c r="A287" s="62"/>
      <c r="B287" s="68"/>
      <c r="C287" s="64"/>
      <c r="D287" s="64"/>
      <c r="E287" s="64"/>
      <c r="F287" s="63"/>
      <c r="G287" s="64"/>
      <c r="H287" s="67"/>
      <c r="I287" s="74"/>
    </row>
    <row r="288" spans="1:9" x14ac:dyDescent="0.25">
      <c r="A288" s="62"/>
      <c r="B288" s="68"/>
      <c r="C288" s="64"/>
      <c r="D288" s="64"/>
      <c r="E288" s="64"/>
      <c r="F288" s="63"/>
      <c r="G288" s="64"/>
      <c r="H288" s="67"/>
      <c r="I288" s="74"/>
    </row>
    <row r="289" spans="1:9" x14ac:dyDescent="0.25">
      <c r="A289" s="62"/>
      <c r="B289" s="63"/>
      <c r="C289" s="64"/>
      <c r="D289" s="64"/>
      <c r="E289" s="64"/>
      <c r="F289" s="63"/>
      <c r="G289" s="64"/>
      <c r="H289" s="67"/>
      <c r="I289" s="74"/>
    </row>
    <row r="290" spans="1:9" x14ac:dyDescent="0.25">
      <c r="A290" s="62"/>
      <c r="B290" s="63"/>
      <c r="C290" s="64"/>
      <c r="D290" s="64"/>
      <c r="E290" s="64"/>
      <c r="F290" s="63"/>
      <c r="G290" s="64"/>
      <c r="H290" s="67"/>
      <c r="I290" s="74"/>
    </row>
    <row r="291" spans="1:9" x14ac:dyDescent="0.25">
      <c r="A291" s="62"/>
      <c r="B291" s="68"/>
      <c r="C291" s="64"/>
      <c r="D291" s="64"/>
      <c r="E291" s="64"/>
      <c r="F291" s="63"/>
      <c r="G291" s="64"/>
      <c r="H291" s="67"/>
      <c r="I291" s="74"/>
    </row>
    <row r="292" spans="1:9" x14ac:dyDescent="0.25">
      <c r="A292" s="62"/>
      <c r="B292" s="68"/>
      <c r="C292" s="64"/>
      <c r="D292" s="64"/>
      <c r="E292" s="64"/>
      <c r="F292" s="63"/>
      <c r="G292" s="64"/>
      <c r="H292" s="67"/>
      <c r="I292" s="74"/>
    </row>
    <row r="293" spans="1:9" x14ac:dyDescent="0.25">
      <c r="A293" s="62"/>
      <c r="B293" s="68"/>
      <c r="C293" s="64"/>
      <c r="D293" s="64"/>
      <c r="E293" s="64"/>
      <c r="F293" s="63"/>
      <c r="G293" s="64"/>
      <c r="H293" s="67"/>
      <c r="I293" s="74"/>
    </row>
    <row r="294" spans="1:9" x14ac:dyDescent="0.25">
      <c r="A294" s="62"/>
      <c r="B294" s="63"/>
      <c r="C294" s="64"/>
      <c r="D294" s="64"/>
      <c r="E294" s="64"/>
      <c r="F294" s="62"/>
      <c r="G294" s="64"/>
      <c r="H294" s="67"/>
      <c r="I294" s="74"/>
    </row>
    <row r="295" spans="1:9" x14ac:dyDescent="0.25">
      <c r="A295" s="62"/>
      <c r="B295" s="68"/>
      <c r="C295" s="64"/>
      <c r="D295" s="64"/>
      <c r="E295" s="64"/>
      <c r="F295" s="63"/>
      <c r="G295" s="64"/>
      <c r="H295" s="67"/>
      <c r="I295" s="74"/>
    </row>
    <row r="296" spans="1:9" x14ac:dyDescent="0.25">
      <c r="A296" s="62"/>
      <c r="B296" s="68"/>
      <c r="C296" s="64"/>
      <c r="D296" s="64"/>
      <c r="E296" s="64"/>
      <c r="F296" s="63"/>
      <c r="G296" s="64"/>
      <c r="H296" s="67"/>
      <c r="I296" s="74"/>
    </row>
    <row r="297" spans="1:9" x14ac:dyDescent="0.25">
      <c r="A297" s="62"/>
      <c r="B297" s="68"/>
      <c r="C297" s="64"/>
      <c r="D297" s="64"/>
      <c r="E297" s="64"/>
      <c r="F297" s="63"/>
      <c r="G297" s="64"/>
      <c r="H297" s="67"/>
      <c r="I297" s="74"/>
    </row>
    <row r="298" spans="1:9" x14ac:dyDescent="0.25">
      <c r="A298" s="62"/>
      <c r="B298" s="68"/>
      <c r="C298" s="64"/>
      <c r="D298" s="64"/>
      <c r="E298" s="64"/>
      <c r="F298" s="63"/>
      <c r="G298" s="64"/>
      <c r="H298" s="67"/>
      <c r="I298" s="74"/>
    </row>
    <row r="299" spans="1:9" x14ac:dyDescent="0.25">
      <c r="A299" s="62"/>
      <c r="B299" s="63"/>
      <c r="C299" s="64"/>
      <c r="D299" s="64"/>
      <c r="E299" s="64"/>
      <c r="F299" s="63"/>
      <c r="G299" s="64"/>
      <c r="H299" s="67"/>
      <c r="I299" s="74"/>
    </row>
    <row r="300" spans="1:9" x14ac:dyDescent="0.25">
      <c r="A300" s="62"/>
      <c r="B300" s="63"/>
      <c r="C300" s="64"/>
      <c r="D300" s="64"/>
      <c r="E300" s="64"/>
      <c r="F300" s="63"/>
      <c r="G300" s="64"/>
      <c r="H300" s="67"/>
      <c r="I300" s="74"/>
    </row>
    <row r="301" spans="1:9" x14ac:dyDescent="0.25">
      <c r="A301" s="62"/>
      <c r="B301" s="63"/>
      <c r="C301" s="64"/>
      <c r="D301" s="64"/>
      <c r="E301" s="64"/>
      <c r="F301" s="63"/>
      <c r="G301" s="64"/>
      <c r="H301" s="67"/>
      <c r="I301" s="74"/>
    </row>
    <row r="302" spans="1:9" x14ac:dyDescent="0.25">
      <c r="A302" s="62"/>
      <c r="B302" s="68"/>
      <c r="C302" s="64"/>
      <c r="D302" s="64"/>
      <c r="E302" s="64"/>
      <c r="F302" s="63"/>
      <c r="G302" s="64"/>
      <c r="H302" s="67"/>
      <c r="I302" s="74"/>
    </row>
    <row r="303" spans="1:9" x14ac:dyDescent="0.25">
      <c r="A303" s="62"/>
      <c r="B303" s="68"/>
      <c r="C303" s="64"/>
      <c r="D303" s="64"/>
      <c r="E303" s="64"/>
      <c r="F303" s="63"/>
      <c r="G303" s="64"/>
      <c r="H303" s="67"/>
      <c r="I303" s="74"/>
    </row>
    <row r="304" spans="1:9" x14ac:dyDescent="0.25">
      <c r="A304" s="62"/>
      <c r="B304" s="68"/>
      <c r="C304" s="64"/>
      <c r="D304" s="64"/>
      <c r="E304" s="64"/>
      <c r="F304" s="63"/>
      <c r="G304" s="64"/>
      <c r="H304" s="67"/>
      <c r="I304" s="74"/>
    </row>
    <row r="305" spans="1:9" x14ac:dyDescent="0.25">
      <c r="A305" s="62"/>
      <c r="B305" s="68"/>
      <c r="C305" s="64"/>
      <c r="D305" s="64"/>
      <c r="E305" s="64"/>
      <c r="F305" s="63"/>
      <c r="G305" s="64"/>
      <c r="H305" s="67"/>
      <c r="I305" s="74"/>
    </row>
    <row r="306" spans="1:9" x14ac:dyDescent="0.25">
      <c r="A306" s="62"/>
      <c r="B306" s="68"/>
      <c r="C306" s="64"/>
      <c r="D306" s="64"/>
      <c r="E306" s="64"/>
      <c r="F306" s="63"/>
      <c r="G306" s="64"/>
      <c r="H306" s="67"/>
      <c r="I306" s="74"/>
    </row>
    <row r="307" spans="1:9" x14ac:dyDescent="0.25">
      <c r="A307" s="62"/>
      <c r="B307" s="68"/>
      <c r="C307" s="64"/>
      <c r="D307" s="64"/>
      <c r="E307" s="64"/>
      <c r="F307" s="63"/>
      <c r="G307" s="64"/>
      <c r="H307" s="67"/>
      <c r="I307" s="74"/>
    </row>
    <row r="308" spans="1:9" x14ac:dyDescent="0.25">
      <c r="A308" s="62"/>
      <c r="B308" s="68"/>
      <c r="C308" s="64"/>
      <c r="D308" s="64"/>
      <c r="E308" s="64"/>
      <c r="F308" s="63"/>
      <c r="G308" s="64"/>
      <c r="H308" s="67"/>
      <c r="I308" s="74"/>
    </row>
    <row r="309" spans="1:9" x14ac:dyDescent="0.25">
      <c r="A309" s="62"/>
      <c r="B309" s="68"/>
      <c r="C309" s="64"/>
      <c r="D309" s="64"/>
      <c r="E309" s="64"/>
      <c r="F309" s="63"/>
      <c r="G309" s="64"/>
      <c r="H309" s="67"/>
      <c r="I309" s="74"/>
    </row>
    <row r="310" spans="1:9" x14ac:dyDescent="0.25">
      <c r="A310" s="62"/>
      <c r="B310" s="68"/>
      <c r="C310" s="64"/>
      <c r="D310" s="64"/>
      <c r="E310" s="64"/>
      <c r="F310" s="63"/>
      <c r="G310" s="64"/>
      <c r="H310" s="67"/>
      <c r="I310" s="74"/>
    </row>
    <row r="311" spans="1:9" x14ac:dyDescent="0.25">
      <c r="A311" s="62"/>
      <c r="B311" s="68"/>
      <c r="C311" s="64"/>
      <c r="D311" s="64"/>
      <c r="E311" s="64"/>
      <c r="F311" s="63"/>
      <c r="G311" s="64"/>
      <c r="H311" s="67"/>
      <c r="I311" s="74"/>
    </row>
    <row r="312" spans="1:9" x14ac:dyDescent="0.25">
      <c r="A312" s="62"/>
      <c r="B312" s="68"/>
      <c r="C312" s="64"/>
      <c r="D312" s="64"/>
      <c r="E312" s="64"/>
      <c r="F312" s="63"/>
      <c r="G312" s="64"/>
      <c r="H312" s="67"/>
      <c r="I312" s="74"/>
    </row>
    <row r="313" spans="1:9" x14ac:dyDescent="0.25">
      <c r="A313" s="62"/>
      <c r="B313" s="68"/>
      <c r="C313" s="64"/>
      <c r="D313" s="64"/>
      <c r="E313" s="64"/>
      <c r="F313" s="63"/>
      <c r="G313" s="64"/>
      <c r="H313" s="67"/>
      <c r="I313" s="74"/>
    </row>
    <row r="314" spans="1:9" x14ac:dyDescent="0.25">
      <c r="A314" s="62"/>
      <c r="B314" s="63"/>
      <c r="C314" s="64"/>
      <c r="D314" s="64"/>
      <c r="E314" s="64"/>
      <c r="F314" s="63"/>
      <c r="G314" s="64"/>
      <c r="H314" s="67"/>
      <c r="I314" s="74"/>
    </row>
    <row r="315" spans="1:9" x14ac:dyDescent="0.25">
      <c r="A315" s="62"/>
      <c r="B315" s="63"/>
      <c r="C315" s="64"/>
      <c r="D315" s="64"/>
      <c r="E315" s="64"/>
      <c r="F315" s="63"/>
      <c r="G315" s="64"/>
      <c r="H315" s="67"/>
      <c r="I315" s="74"/>
    </row>
    <row r="316" spans="1:9" x14ac:dyDescent="0.25">
      <c r="A316" s="62"/>
      <c r="B316" s="63"/>
      <c r="C316" s="64"/>
      <c r="D316" s="64"/>
      <c r="E316" s="64"/>
      <c r="F316" s="63"/>
      <c r="G316" s="64"/>
      <c r="H316" s="67"/>
      <c r="I316" s="74"/>
    </row>
    <row r="317" spans="1:9" x14ac:dyDescent="0.25">
      <c r="A317" s="62"/>
      <c r="B317" s="63"/>
      <c r="C317" s="64"/>
      <c r="D317" s="64"/>
      <c r="E317" s="64"/>
      <c r="F317" s="63"/>
      <c r="G317" s="64"/>
      <c r="H317" s="67"/>
      <c r="I317" s="74"/>
    </row>
    <row r="318" spans="1:9" x14ac:dyDescent="0.25">
      <c r="A318" s="62"/>
      <c r="B318" s="63"/>
      <c r="C318" s="64"/>
      <c r="D318" s="64"/>
      <c r="E318" s="64"/>
      <c r="F318" s="63"/>
      <c r="G318" s="64"/>
      <c r="H318" s="67"/>
      <c r="I318" s="74"/>
    </row>
    <row r="319" spans="1:9" x14ac:dyDescent="0.25">
      <c r="A319" s="62"/>
      <c r="B319" s="63"/>
      <c r="C319" s="64"/>
      <c r="D319" s="64"/>
      <c r="E319" s="64"/>
      <c r="F319" s="63"/>
      <c r="G319" s="64"/>
      <c r="H319" s="67"/>
      <c r="I319" s="74"/>
    </row>
    <row r="320" spans="1:9" x14ac:dyDescent="0.25">
      <c r="A320" s="62"/>
      <c r="B320" s="68"/>
      <c r="C320" s="64"/>
      <c r="D320" s="64"/>
      <c r="E320" s="64"/>
      <c r="F320" s="63"/>
      <c r="G320" s="64"/>
      <c r="H320" s="67"/>
      <c r="I320" s="74"/>
    </row>
    <row r="321" spans="1:9" x14ac:dyDescent="0.25">
      <c r="A321" s="62"/>
      <c r="B321" s="68"/>
      <c r="C321" s="64"/>
      <c r="D321" s="64"/>
      <c r="E321" s="64"/>
      <c r="F321" s="63"/>
      <c r="G321" s="64"/>
      <c r="H321" s="67"/>
      <c r="I321" s="74"/>
    </row>
    <row r="322" spans="1:9" x14ac:dyDescent="0.25">
      <c r="A322" s="62"/>
      <c r="B322" s="68"/>
      <c r="C322" s="64"/>
      <c r="D322" s="64"/>
      <c r="E322" s="64"/>
      <c r="F322" s="63"/>
      <c r="G322" s="64"/>
      <c r="H322" s="67"/>
      <c r="I322" s="74"/>
    </row>
    <row r="323" spans="1:9" x14ac:dyDescent="0.25">
      <c r="A323" s="62"/>
      <c r="B323" s="63"/>
      <c r="C323" s="64"/>
      <c r="D323" s="64"/>
      <c r="E323" s="64"/>
      <c r="F323" s="63"/>
      <c r="G323" s="64"/>
      <c r="H323" s="67"/>
      <c r="I323" s="74"/>
    </row>
    <row r="324" spans="1:9" x14ac:dyDescent="0.25">
      <c r="A324" s="62"/>
      <c r="B324" s="63"/>
      <c r="C324" s="64"/>
      <c r="D324" s="64"/>
      <c r="E324" s="64"/>
      <c r="F324" s="63"/>
      <c r="G324" s="64"/>
      <c r="H324" s="67"/>
      <c r="I324" s="74"/>
    </row>
    <row r="325" spans="1:9" x14ac:dyDescent="0.25">
      <c r="A325" s="62"/>
      <c r="B325" s="68"/>
      <c r="C325" s="64"/>
      <c r="D325" s="64"/>
      <c r="E325" s="64"/>
      <c r="F325" s="63"/>
      <c r="G325" s="64"/>
      <c r="H325" s="67"/>
      <c r="I325" s="74"/>
    </row>
    <row r="326" spans="1:9" x14ac:dyDescent="0.25">
      <c r="A326" s="62"/>
      <c r="B326" s="68"/>
      <c r="C326" s="64"/>
      <c r="D326" s="64"/>
      <c r="E326" s="64"/>
      <c r="F326" s="63"/>
      <c r="G326" s="64"/>
      <c r="H326" s="67"/>
      <c r="I326" s="74"/>
    </row>
    <row r="327" spans="1:9" x14ac:dyDescent="0.25">
      <c r="A327" s="62"/>
      <c r="B327" s="63"/>
      <c r="C327" s="64"/>
      <c r="D327" s="64"/>
      <c r="E327" s="64"/>
      <c r="F327" s="63"/>
      <c r="G327" s="64"/>
      <c r="H327" s="67"/>
      <c r="I327" s="74"/>
    </row>
    <row r="328" spans="1:9" x14ac:dyDescent="0.25">
      <c r="A328" s="62"/>
      <c r="B328" s="63"/>
      <c r="C328" s="64"/>
      <c r="D328" s="64"/>
      <c r="E328" s="64"/>
      <c r="F328" s="63"/>
      <c r="G328" s="64"/>
      <c r="H328" s="67"/>
      <c r="I328" s="74"/>
    </row>
    <row r="329" spans="1:9" x14ac:dyDescent="0.25">
      <c r="A329" s="62"/>
      <c r="B329" s="68"/>
      <c r="C329" s="64"/>
      <c r="D329" s="64"/>
      <c r="E329" s="64"/>
      <c r="F329" s="63"/>
      <c r="G329" s="64"/>
      <c r="H329" s="67"/>
      <c r="I329" s="74"/>
    </row>
    <row r="330" spans="1:9" x14ac:dyDescent="0.25">
      <c r="A330" s="62"/>
      <c r="B330" s="63"/>
      <c r="C330" s="64"/>
      <c r="D330" s="64"/>
      <c r="E330" s="64"/>
      <c r="F330" s="63"/>
      <c r="G330" s="64"/>
      <c r="H330" s="67"/>
      <c r="I330" s="74"/>
    </row>
    <row r="331" spans="1:9" x14ac:dyDescent="0.25">
      <c r="A331" s="62"/>
      <c r="B331" s="63"/>
      <c r="C331" s="64"/>
      <c r="D331" s="64"/>
      <c r="E331" s="64"/>
      <c r="F331" s="63"/>
      <c r="G331" s="64"/>
      <c r="H331" s="67"/>
      <c r="I331" s="74"/>
    </row>
    <row r="332" spans="1:9" x14ac:dyDescent="0.25">
      <c r="A332" s="62"/>
      <c r="B332" s="68"/>
      <c r="C332" s="64"/>
      <c r="D332" s="64"/>
      <c r="E332" s="64"/>
      <c r="F332" s="63"/>
      <c r="G332" s="64"/>
      <c r="H332" s="67"/>
      <c r="I332" s="74"/>
    </row>
    <row r="333" spans="1:9" x14ac:dyDescent="0.25">
      <c r="A333" s="62"/>
      <c r="B333" s="68"/>
      <c r="C333" s="64"/>
      <c r="D333" s="64"/>
      <c r="E333" s="64"/>
      <c r="F333" s="63"/>
      <c r="G333" s="64"/>
      <c r="H333" s="67"/>
      <c r="I333" s="74"/>
    </row>
    <row r="334" spans="1:9" x14ac:dyDescent="0.25">
      <c r="A334" s="62"/>
      <c r="B334" s="68"/>
      <c r="C334" s="64"/>
      <c r="D334" s="64"/>
      <c r="E334" s="64"/>
      <c r="F334" s="63"/>
      <c r="G334" s="64"/>
      <c r="H334" s="67"/>
      <c r="I334" s="74"/>
    </row>
    <row r="335" spans="1:9" x14ac:dyDescent="0.25">
      <c r="A335" s="62"/>
      <c r="B335" s="68"/>
      <c r="C335" s="64"/>
      <c r="D335" s="64"/>
      <c r="E335" s="64"/>
      <c r="F335" s="63"/>
      <c r="G335" s="64"/>
      <c r="H335" s="67"/>
      <c r="I335" s="74"/>
    </row>
    <row r="336" spans="1:9" x14ac:dyDescent="0.25">
      <c r="A336" s="62"/>
      <c r="B336" s="63"/>
      <c r="C336" s="64"/>
      <c r="D336" s="64"/>
      <c r="E336" s="64"/>
      <c r="F336" s="63"/>
      <c r="G336" s="64"/>
      <c r="H336" s="67"/>
      <c r="I336" s="74"/>
    </row>
    <row r="337" spans="1:9" x14ac:dyDescent="0.25">
      <c r="A337" s="62"/>
      <c r="B337" s="68"/>
      <c r="C337" s="64"/>
      <c r="D337" s="64"/>
      <c r="E337" s="64"/>
      <c r="F337" s="63"/>
      <c r="G337" s="64"/>
      <c r="H337" s="67"/>
      <c r="I337" s="74"/>
    </row>
    <row r="338" spans="1:9" x14ac:dyDescent="0.25">
      <c r="A338" s="62"/>
      <c r="B338" s="68"/>
      <c r="C338" s="64"/>
      <c r="D338" s="64"/>
      <c r="E338" s="64"/>
      <c r="F338" s="63"/>
      <c r="G338" s="64"/>
      <c r="H338" s="67"/>
      <c r="I338" s="74"/>
    </row>
    <row r="339" spans="1:9" x14ac:dyDescent="0.25">
      <c r="A339" s="62"/>
      <c r="B339" s="68"/>
      <c r="C339" s="64"/>
      <c r="D339" s="64"/>
      <c r="E339" s="64"/>
      <c r="F339" s="63"/>
      <c r="G339" s="64"/>
      <c r="H339" s="67"/>
      <c r="I339" s="74"/>
    </row>
    <row r="340" spans="1:9" x14ac:dyDescent="0.25">
      <c r="A340" s="62"/>
      <c r="B340" s="68"/>
      <c r="C340" s="64"/>
      <c r="D340" s="64"/>
      <c r="E340" s="64"/>
      <c r="F340" s="63"/>
      <c r="G340" s="64"/>
      <c r="H340" s="67"/>
      <c r="I340" s="74"/>
    </row>
    <row r="341" spans="1:9" x14ac:dyDescent="0.25">
      <c r="A341" s="62"/>
      <c r="B341" s="68"/>
      <c r="C341" s="64"/>
      <c r="D341" s="64"/>
      <c r="E341" s="64"/>
      <c r="F341" s="63"/>
      <c r="G341" s="64"/>
      <c r="H341" s="67"/>
      <c r="I341" s="74"/>
    </row>
    <row r="342" spans="1:9" x14ac:dyDescent="0.25">
      <c r="A342" s="62"/>
      <c r="B342" s="68"/>
      <c r="C342" s="64"/>
      <c r="D342" s="64"/>
      <c r="E342" s="64"/>
      <c r="F342" s="63"/>
      <c r="G342" s="64"/>
      <c r="H342" s="67"/>
      <c r="I342" s="74"/>
    </row>
    <row r="343" spans="1:9" x14ac:dyDescent="0.25">
      <c r="A343" s="62"/>
      <c r="B343" s="68"/>
      <c r="C343" s="64"/>
      <c r="D343" s="64"/>
      <c r="E343" s="64"/>
      <c r="F343" s="63"/>
      <c r="G343" s="64"/>
      <c r="H343" s="67"/>
      <c r="I343" s="74"/>
    </row>
    <row r="344" spans="1:9" x14ac:dyDescent="0.25">
      <c r="A344" s="62"/>
      <c r="B344" s="68"/>
      <c r="C344" s="64"/>
      <c r="D344" s="64"/>
      <c r="E344" s="64"/>
      <c r="F344" s="63"/>
      <c r="G344" s="64"/>
      <c r="H344" s="67"/>
      <c r="I344" s="74"/>
    </row>
    <row r="345" spans="1:9" x14ac:dyDescent="0.25">
      <c r="A345" s="62"/>
      <c r="B345" s="68"/>
      <c r="C345" s="64"/>
      <c r="D345" s="64"/>
      <c r="E345" s="64"/>
      <c r="F345" s="63"/>
      <c r="G345" s="64"/>
      <c r="H345" s="67"/>
      <c r="I345" s="74"/>
    </row>
    <row r="346" spans="1:9" x14ac:dyDescent="0.25">
      <c r="A346" s="62"/>
      <c r="B346" s="63"/>
      <c r="C346" s="64"/>
      <c r="D346" s="64"/>
      <c r="E346" s="64"/>
      <c r="F346" s="63"/>
      <c r="G346" s="64"/>
      <c r="H346" s="67"/>
      <c r="I346" s="74"/>
    </row>
    <row r="347" spans="1:9" x14ac:dyDescent="0.25">
      <c r="A347" s="62"/>
      <c r="B347" s="68"/>
      <c r="C347" s="64"/>
      <c r="D347" s="64"/>
      <c r="E347" s="64"/>
      <c r="F347" s="63"/>
      <c r="G347" s="64"/>
      <c r="H347" s="67"/>
      <c r="I347" s="74"/>
    </row>
    <row r="348" spans="1:9" x14ac:dyDescent="0.25">
      <c r="A348" s="62"/>
      <c r="B348" s="68"/>
      <c r="C348" s="64"/>
      <c r="D348" s="64"/>
      <c r="E348" s="64"/>
      <c r="F348" s="63"/>
      <c r="G348" s="64"/>
      <c r="H348" s="67"/>
      <c r="I348" s="74"/>
    </row>
    <row r="349" spans="1:9" x14ac:dyDescent="0.25">
      <c r="A349" s="62"/>
      <c r="B349" s="68"/>
      <c r="C349" s="64"/>
      <c r="D349" s="64"/>
      <c r="E349" s="64"/>
      <c r="F349" s="63"/>
      <c r="G349" s="64"/>
      <c r="H349" s="67"/>
      <c r="I349" s="74"/>
    </row>
    <row r="350" spans="1:9" x14ac:dyDescent="0.25">
      <c r="A350" s="62"/>
      <c r="B350" s="63"/>
      <c r="C350" s="64"/>
      <c r="D350" s="64"/>
      <c r="E350" s="64"/>
      <c r="F350" s="63"/>
      <c r="G350" s="64"/>
      <c r="H350" s="67"/>
      <c r="I350" s="74"/>
    </row>
    <row r="351" spans="1:9" x14ac:dyDescent="0.25">
      <c r="A351" s="62"/>
      <c r="B351" s="63"/>
      <c r="C351" s="64"/>
      <c r="D351" s="69"/>
      <c r="E351" s="64"/>
      <c r="F351" s="63"/>
      <c r="G351" s="91"/>
      <c r="H351" s="67"/>
      <c r="I351" s="74"/>
    </row>
    <row r="352" spans="1:9" x14ac:dyDescent="0.25">
      <c r="A352" s="62"/>
      <c r="B352" s="63"/>
      <c r="C352" s="64"/>
      <c r="D352" s="69"/>
      <c r="E352" s="64"/>
      <c r="F352" s="63"/>
      <c r="G352" s="91"/>
      <c r="H352" s="67"/>
      <c r="I352" s="74"/>
    </row>
    <row r="353" spans="1:9" x14ac:dyDescent="0.25">
      <c r="A353" s="62"/>
      <c r="B353" s="63"/>
      <c r="C353" s="64"/>
      <c r="D353" s="64"/>
      <c r="E353" s="64"/>
      <c r="F353" s="63"/>
      <c r="G353" s="64"/>
      <c r="H353" s="67"/>
      <c r="I353" s="74"/>
    </row>
    <row r="354" spans="1:9" x14ac:dyDescent="0.25">
      <c r="A354" s="62"/>
      <c r="B354" s="63"/>
      <c r="C354" s="64"/>
      <c r="D354" s="64"/>
      <c r="E354" s="64"/>
      <c r="F354" s="63"/>
      <c r="G354" s="64"/>
      <c r="H354" s="67"/>
      <c r="I354" s="74"/>
    </row>
    <row r="355" spans="1:9" x14ac:dyDescent="0.25">
      <c r="A355" s="62"/>
      <c r="B355" s="63"/>
      <c r="C355" s="64"/>
      <c r="D355" s="64"/>
      <c r="E355" s="64"/>
      <c r="F355" s="63"/>
      <c r="G355" s="64"/>
      <c r="H355" s="67"/>
      <c r="I355" s="74"/>
    </row>
    <row r="356" spans="1:9" x14ac:dyDescent="0.25">
      <c r="A356" s="62"/>
      <c r="B356" s="63"/>
      <c r="C356" s="64"/>
      <c r="D356" s="64"/>
      <c r="E356" s="64"/>
      <c r="F356" s="63"/>
      <c r="G356" s="64"/>
      <c r="H356" s="67"/>
      <c r="I356" s="74"/>
    </row>
    <row r="357" spans="1:9" x14ac:dyDescent="0.25">
      <c r="A357" s="62"/>
      <c r="B357" s="63"/>
      <c r="C357" s="64"/>
      <c r="D357" s="64"/>
      <c r="E357" s="64"/>
      <c r="F357" s="63"/>
      <c r="G357" s="64"/>
      <c r="H357" s="67"/>
      <c r="I357" s="74"/>
    </row>
    <row r="358" spans="1:9" x14ac:dyDescent="0.25">
      <c r="A358" s="62"/>
      <c r="B358" s="68"/>
      <c r="C358" s="64"/>
      <c r="D358" s="64"/>
      <c r="E358" s="64"/>
      <c r="F358" s="63"/>
      <c r="G358" s="64"/>
      <c r="H358" s="67"/>
      <c r="I358" s="74"/>
    </row>
    <row r="359" spans="1:9" x14ac:dyDescent="0.25">
      <c r="A359" s="62"/>
      <c r="B359" s="68"/>
      <c r="C359" s="64"/>
      <c r="D359" s="64"/>
      <c r="E359" s="64"/>
      <c r="F359" s="63"/>
      <c r="G359" s="64"/>
      <c r="H359" s="67"/>
      <c r="I359" s="74"/>
    </row>
    <row r="360" spans="1:9" x14ac:dyDescent="0.25">
      <c r="A360" s="62"/>
      <c r="B360" s="68"/>
      <c r="C360" s="64"/>
      <c r="D360" s="64"/>
      <c r="E360" s="64"/>
      <c r="F360" s="63"/>
      <c r="G360" s="64"/>
      <c r="H360" s="67"/>
      <c r="I360" s="74"/>
    </row>
    <row r="361" spans="1:9" x14ac:dyDescent="0.25">
      <c r="A361" s="62"/>
      <c r="B361" s="68"/>
      <c r="C361" s="64"/>
      <c r="D361" s="64"/>
      <c r="E361" s="64"/>
      <c r="F361" s="63"/>
      <c r="G361" s="64"/>
      <c r="H361" s="67"/>
      <c r="I361" s="74"/>
    </row>
    <row r="362" spans="1:9" x14ac:dyDescent="0.25">
      <c r="A362" s="62"/>
      <c r="B362" s="68"/>
      <c r="C362" s="64"/>
      <c r="D362" s="64"/>
      <c r="E362" s="64"/>
      <c r="F362" s="63"/>
      <c r="G362" s="64"/>
      <c r="H362" s="67"/>
      <c r="I362" s="74"/>
    </row>
    <row r="363" spans="1:9" x14ac:dyDescent="0.25">
      <c r="A363" s="62"/>
      <c r="B363" s="68"/>
      <c r="C363" s="64"/>
      <c r="D363" s="64"/>
      <c r="E363" s="64"/>
      <c r="F363" s="63"/>
      <c r="G363" s="64"/>
      <c r="H363" s="67"/>
      <c r="I363" s="74"/>
    </row>
    <row r="364" spans="1:9" x14ac:dyDescent="0.25">
      <c r="A364" s="62"/>
      <c r="B364" s="68"/>
      <c r="C364" s="64"/>
      <c r="D364" s="64"/>
      <c r="E364" s="64"/>
      <c r="F364" s="63"/>
      <c r="G364" s="64"/>
      <c r="H364" s="67"/>
      <c r="I364" s="74"/>
    </row>
    <row r="365" spans="1:9" x14ac:dyDescent="0.25">
      <c r="A365" s="62"/>
      <c r="B365" s="68"/>
      <c r="C365" s="64"/>
      <c r="D365" s="64"/>
      <c r="E365" s="64"/>
      <c r="F365" s="63"/>
      <c r="G365" s="64"/>
      <c r="H365" s="67"/>
      <c r="I365" s="74"/>
    </row>
    <row r="366" spans="1:9" x14ac:dyDescent="0.25">
      <c r="A366" s="62"/>
      <c r="B366" s="68"/>
      <c r="C366" s="64"/>
      <c r="D366" s="64"/>
      <c r="E366" s="64"/>
      <c r="F366" s="63"/>
      <c r="G366" s="64"/>
      <c r="H366" s="67"/>
      <c r="I366" s="74"/>
    </row>
    <row r="367" spans="1:9" x14ac:dyDescent="0.25">
      <c r="A367" s="62"/>
      <c r="B367" s="68"/>
      <c r="C367" s="64"/>
      <c r="D367" s="64"/>
      <c r="E367" s="64"/>
      <c r="F367" s="63"/>
      <c r="G367" s="64"/>
      <c r="H367" s="67"/>
      <c r="I367" s="74"/>
    </row>
    <row r="368" spans="1:9" x14ac:dyDescent="0.25">
      <c r="A368" s="62"/>
      <c r="B368" s="68"/>
      <c r="C368" s="64"/>
      <c r="D368" s="64"/>
      <c r="E368" s="64"/>
      <c r="F368" s="63"/>
      <c r="G368" s="64"/>
      <c r="H368" s="67"/>
      <c r="I368" s="74"/>
    </row>
    <row r="369" spans="1:9" x14ac:dyDescent="0.25">
      <c r="A369" s="62"/>
      <c r="B369" s="63"/>
      <c r="C369" s="64"/>
      <c r="D369" s="64"/>
      <c r="E369" s="64"/>
      <c r="F369" s="63"/>
      <c r="G369" s="64"/>
      <c r="H369" s="67"/>
      <c r="I369" s="74"/>
    </row>
    <row r="370" spans="1:9" x14ac:dyDescent="0.25">
      <c r="A370" s="62"/>
      <c r="B370" s="68"/>
      <c r="C370" s="64"/>
      <c r="D370" s="64"/>
      <c r="E370" s="64"/>
      <c r="F370" s="63"/>
      <c r="G370" s="64"/>
      <c r="H370" s="67"/>
      <c r="I370" s="74"/>
    </row>
    <row r="371" spans="1:9" x14ac:dyDescent="0.25">
      <c r="A371" s="62"/>
      <c r="B371" s="68"/>
      <c r="C371" s="64"/>
      <c r="D371" s="64"/>
      <c r="E371" s="64"/>
      <c r="F371" s="63"/>
      <c r="G371" s="64"/>
      <c r="H371" s="67"/>
      <c r="I371" s="74"/>
    </row>
    <row r="372" spans="1:9" x14ac:dyDescent="0.25">
      <c r="A372" s="62"/>
      <c r="B372" s="68"/>
      <c r="C372" s="64"/>
      <c r="D372" s="64"/>
      <c r="E372" s="64"/>
      <c r="F372" s="63"/>
      <c r="G372" s="64"/>
      <c r="H372" s="67"/>
      <c r="I372" s="74"/>
    </row>
    <row r="373" spans="1:9" x14ac:dyDescent="0.25">
      <c r="A373" s="62"/>
      <c r="B373" s="68"/>
      <c r="C373" s="64"/>
      <c r="D373" s="64"/>
      <c r="E373" s="64"/>
      <c r="F373" s="63"/>
      <c r="G373" s="64"/>
      <c r="H373" s="67"/>
      <c r="I373" s="74"/>
    </row>
    <row r="374" spans="1:9" x14ac:dyDescent="0.25">
      <c r="A374" s="62"/>
      <c r="B374" s="68"/>
      <c r="C374" s="64"/>
      <c r="D374" s="64"/>
      <c r="E374" s="64"/>
      <c r="F374" s="63"/>
      <c r="G374" s="64"/>
      <c r="H374" s="67"/>
      <c r="I374" s="74"/>
    </row>
  </sheetData>
  <phoneticPr fontId="5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82"/>
  <sheetViews>
    <sheetView topLeftCell="A2" workbookViewId="0">
      <selection activeCell="G18" sqref="G18"/>
    </sheetView>
  </sheetViews>
  <sheetFormatPr defaultColWidth="9" defaultRowHeight="15" x14ac:dyDescent="0.25"/>
  <cols>
    <col min="1" max="1" width="5.6640625" style="1" customWidth="1"/>
    <col min="2" max="2" width="10" style="1" customWidth="1"/>
    <col min="3" max="3" width="14.109375" style="1" customWidth="1"/>
    <col min="4" max="4" width="13.6640625" style="1"/>
    <col min="5" max="5" width="13" style="1" customWidth="1"/>
    <col min="6" max="6" width="19.33203125" style="1" customWidth="1"/>
    <col min="7" max="7" width="14.44140625" style="1" customWidth="1"/>
    <col min="8" max="17" width="9" style="1"/>
    <col min="18" max="18" width="11.44140625" style="1" customWidth="1"/>
    <col min="19" max="16384" width="9" style="1"/>
  </cols>
  <sheetData>
    <row r="1" spans="1:19" ht="5.0999999999999996" customHeight="1" x14ac:dyDescent="0.25">
      <c r="A1" s="2"/>
      <c r="B1" s="2"/>
      <c r="C1" s="2"/>
      <c r="D1" s="2"/>
      <c r="E1" s="2"/>
      <c r="F1" s="3"/>
      <c r="G1" s="2"/>
    </row>
    <row r="2" spans="1:19" ht="24" customHeight="1" x14ac:dyDescent="0.25">
      <c r="A2" s="288" t="s">
        <v>786</v>
      </c>
      <c r="B2" s="289"/>
      <c r="C2" s="289"/>
      <c r="D2" s="289"/>
      <c r="E2" s="289"/>
      <c r="F2" s="289"/>
      <c r="G2" s="290"/>
      <c r="Q2" s="39"/>
      <c r="R2" s="40"/>
      <c r="S2" s="40"/>
    </row>
    <row r="3" spans="1:19" ht="14.25" customHeight="1" x14ac:dyDescent="0.25">
      <c r="A3" s="4"/>
      <c r="B3" s="5"/>
      <c r="C3" s="5"/>
      <c r="D3" s="6" t="s">
        <v>787</v>
      </c>
      <c r="E3" s="7" t="s">
        <v>788</v>
      </c>
      <c r="F3" s="6" t="s">
        <v>789</v>
      </c>
      <c r="G3" s="8"/>
      <c r="Q3" s="39"/>
      <c r="R3" s="39"/>
      <c r="S3" s="39"/>
    </row>
    <row r="4" spans="1:19" ht="18" customHeight="1" x14ac:dyDescent="0.25">
      <c r="A4" s="9" t="s">
        <v>790</v>
      </c>
      <c r="B4" s="10"/>
      <c r="C4" s="11" t="s">
        <v>791</v>
      </c>
      <c r="D4" s="291" t="s">
        <v>792</v>
      </c>
      <c r="E4" s="292"/>
      <c r="F4" s="12" t="s">
        <v>793</v>
      </c>
      <c r="G4" s="13">
        <v>1</v>
      </c>
      <c r="Q4" s="39"/>
      <c r="R4" s="39"/>
      <c r="S4" s="39"/>
    </row>
    <row r="5" spans="1:19" ht="4.5" customHeight="1" x14ac:dyDescent="0.25">
      <c r="A5" s="293"/>
      <c r="B5" s="293"/>
      <c r="C5" s="293"/>
      <c r="D5" s="293"/>
      <c r="E5" s="293"/>
      <c r="F5" s="293"/>
      <c r="G5" s="293"/>
      <c r="Q5" s="39"/>
      <c r="R5" s="39"/>
      <c r="S5" s="39"/>
    </row>
    <row r="6" spans="1:19" ht="15" customHeight="1" x14ac:dyDescent="0.25">
      <c r="A6" s="14" t="s">
        <v>794</v>
      </c>
      <c r="B6" s="15" t="s">
        <v>795</v>
      </c>
      <c r="C6" s="15" t="s">
        <v>796</v>
      </c>
      <c r="D6" s="16" t="s">
        <v>797</v>
      </c>
      <c r="E6" s="16" t="s">
        <v>798</v>
      </c>
      <c r="F6" s="17" t="s">
        <v>27</v>
      </c>
      <c r="G6" s="18" t="s">
        <v>799</v>
      </c>
      <c r="Q6" s="39"/>
      <c r="R6" s="39"/>
      <c r="S6" s="39"/>
    </row>
    <row r="7" spans="1:19" ht="12" customHeight="1" x14ac:dyDescent="0.25">
      <c r="A7" s="265" t="s">
        <v>800</v>
      </c>
      <c r="B7" s="251" t="s">
        <v>801</v>
      </c>
      <c r="C7" s="19" t="s">
        <v>802</v>
      </c>
      <c r="D7" s="20">
        <f>0.019</f>
        <v>1.9E-2</v>
      </c>
      <c r="E7" s="21">
        <v>56</v>
      </c>
      <c r="F7" s="22"/>
      <c r="G7" s="23">
        <f t="shared" ref="G7:G13" si="0">D7*E7</f>
        <v>1.0640000000000001</v>
      </c>
      <c r="Q7" s="39"/>
      <c r="R7" s="39"/>
      <c r="S7" s="39"/>
    </row>
    <row r="8" spans="1:19" ht="12" customHeight="1" x14ac:dyDescent="0.25">
      <c r="A8" s="265"/>
      <c r="B8" s="251"/>
      <c r="C8" s="19" t="s">
        <v>803</v>
      </c>
      <c r="D8" s="20">
        <f>0.02</f>
        <v>0.02</v>
      </c>
      <c r="E8" s="21">
        <v>4</v>
      </c>
      <c r="F8" s="22"/>
      <c r="G8" s="23">
        <f t="shared" si="0"/>
        <v>0.08</v>
      </c>
      <c r="Q8" s="40"/>
      <c r="R8" s="39"/>
      <c r="S8" s="39"/>
    </row>
    <row r="9" spans="1:19" ht="12" customHeight="1" x14ac:dyDescent="0.25">
      <c r="A9" s="265"/>
      <c r="B9" s="251"/>
      <c r="C9" s="24" t="s">
        <v>804</v>
      </c>
      <c r="D9" s="20">
        <f>0.02</f>
        <v>0.02</v>
      </c>
      <c r="E9" s="21">
        <v>0</v>
      </c>
      <c r="F9" s="22"/>
      <c r="G9" s="23">
        <f t="shared" si="0"/>
        <v>0</v>
      </c>
      <c r="Q9" s="39"/>
      <c r="R9" s="39"/>
      <c r="S9" s="39"/>
    </row>
    <row r="10" spans="1:19" ht="12" customHeight="1" x14ac:dyDescent="0.25">
      <c r="A10" s="265"/>
      <c r="B10" s="251"/>
      <c r="C10" s="24" t="s">
        <v>805</v>
      </c>
      <c r="D10" s="20">
        <f>0.06</f>
        <v>0.06</v>
      </c>
      <c r="E10" s="21">
        <v>4</v>
      </c>
      <c r="F10" s="22"/>
      <c r="G10" s="23">
        <f t="shared" si="0"/>
        <v>0.24</v>
      </c>
      <c r="Q10" s="40"/>
      <c r="R10" s="39"/>
      <c r="S10" s="39"/>
    </row>
    <row r="11" spans="1:19" ht="12" customHeight="1" x14ac:dyDescent="0.25">
      <c r="A11" s="265"/>
      <c r="B11" s="251"/>
      <c r="C11" s="24" t="s">
        <v>806</v>
      </c>
      <c r="D11" s="20">
        <f>0.035</f>
        <v>3.5000000000000003E-2</v>
      </c>
      <c r="E11" s="21">
        <v>1</v>
      </c>
      <c r="F11" s="22"/>
      <c r="G11" s="23">
        <f t="shared" si="0"/>
        <v>3.5000000000000003E-2</v>
      </c>
      <c r="Q11" s="40"/>
      <c r="R11" s="39"/>
      <c r="S11" s="39"/>
    </row>
    <row r="12" spans="1:19" ht="12" customHeight="1" x14ac:dyDescent="0.25">
      <c r="A12" s="265"/>
      <c r="B12" s="251"/>
      <c r="C12" s="24" t="s">
        <v>807</v>
      </c>
      <c r="D12" s="20">
        <f>0.018</f>
        <v>1.7999999999999999E-2</v>
      </c>
      <c r="E12" s="21">
        <v>9</v>
      </c>
      <c r="F12" s="25" t="s">
        <v>808</v>
      </c>
      <c r="G12" s="23">
        <f t="shared" si="0"/>
        <v>0.16200000000000001</v>
      </c>
      <c r="Q12" s="39"/>
      <c r="R12" s="39"/>
      <c r="S12" s="39"/>
    </row>
    <row r="13" spans="1:19" ht="12" customHeight="1" x14ac:dyDescent="0.25">
      <c r="A13" s="265"/>
      <c r="B13" s="251"/>
      <c r="C13" s="24" t="s">
        <v>809</v>
      </c>
      <c r="D13" s="20">
        <f>(0.04-0.0045)*4</f>
        <v>0.14199999999999999</v>
      </c>
      <c r="E13" s="21">
        <v>0</v>
      </c>
      <c r="F13" s="25"/>
      <c r="G13" s="23">
        <f t="shared" si="0"/>
        <v>0</v>
      </c>
      <c r="Q13" s="40"/>
      <c r="R13" s="39"/>
      <c r="S13" s="39"/>
    </row>
    <row r="14" spans="1:19" ht="15.6" customHeight="1" x14ac:dyDescent="0.25">
      <c r="A14" s="265"/>
      <c r="B14" s="251"/>
      <c r="C14" s="258" t="s">
        <v>810</v>
      </c>
      <c r="D14" s="258"/>
      <c r="E14" s="258"/>
      <c r="F14" s="258"/>
      <c r="G14" s="26">
        <f>SUM(G7:G13)</f>
        <v>1.581</v>
      </c>
      <c r="Q14" s="39"/>
      <c r="R14" s="39"/>
      <c r="S14" s="39"/>
    </row>
    <row r="15" spans="1:19" ht="15.6" customHeight="1" x14ac:dyDescent="0.25">
      <c r="A15" s="266" t="s">
        <v>811</v>
      </c>
      <c r="B15" s="273" t="s">
        <v>812</v>
      </c>
      <c r="C15" s="15" t="s">
        <v>813</v>
      </c>
      <c r="D15" s="16" t="s">
        <v>814</v>
      </c>
      <c r="E15" s="16" t="s">
        <v>815</v>
      </c>
      <c r="F15" s="16" t="s">
        <v>816</v>
      </c>
      <c r="G15" s="18" t="s">
        <v>817</v>
      </c>
      <c r="Q15" s="39"/>
      <c r="R15" s="39"/>
      <c r="S15" s="39"/>
    </row>
    <row r="16" spans="1:19" ht="15.6" customHeight="1" x14ac:dyDescent="0.25">
      <c r="A16" s="267"/>
      <c r="B16" s="274"/>
      <c r="C16" s="25" t="s">
        <v>818</v>
      </c>
      <c r="D16" s="27">
        <v>6</v>
      </c>
      <c r="E16" s="28">
        <v>1</v>
      </c>
      <c r="F16" s="21">
        <v>1.1000000000000001</v>
      </c>
      <c r="G16" s="29">
        <f t="shared" ref="G16:G21" si="1">D16*E16*F16</f>
        <v>6.6</v>
      </c>
      <c r="Q16" s="39"/>
      <c r="R16" s="39"/>
      <c r="S16" s="39"/>
    </row>
    <row r="17" spans="1:19" ht="15.6" customHeight="1" x14ac:dyDescent="0.25">
      <c r="A17" s="267"/>
      <c r="B17" s="274"/>
      <c r="C17" s="25" t="s">
        <v>819</v>
      </c>
      <c r="D17" s="27">
        <f>D33</f>
        <v>3</v>
      </c>
      <c r="E17" s="28">
        <v>0</v>
      </c>
      <c r="F17" s="21">
        <v>1.1000000000000001</v>
      </c>
      <c r="G17" s="29">
        <f t="shared" si="1"/>
        <v>0</v>
      </c>
      <c r="Q17" s="39"/>
      <c r="R17" s="39"/>
      <c r="S17" s="39"/>
    </row>
    <row r="18" spans="1:19" ht="15.6" customHeight="1" x14ac:dyDescent="0.25">
      <c r="A18" s="267"/>
      <c r="B18" s="275"/>
      <c r="C18" s="294" t="s">
        <v>820</v>
      </c>
      <c r="D18" s="295"/>
      <c r="E18" s="295"/>
      <c r="F18" s="295"/>
      <c r="G18" s="26">
        <f>SUM(G16:G17)/3600*32.09</f>
        <v>5.8831666666666699E-2</v>
      </c>
      <c r="Q18" s="39"/>
      <c r="R18" s="39"/>
      <c r="S18" s="39"/>
    </row>
    <row r="19" spans="1:19" ht="12" customHeight="1" x14ac:dyDescent="0.25">
      <c r="A19" s="265" t="s">
        <v>821</v>
      </c>
      <c r="B19" s="251" t="s">
        <v>822</v>
      </c>
      <c r="C19" s="25" t="s">
        <v>823</v>
      </c>
      <c r="D19" s="20">
        <f>0.025</f>
        <v>2.5000000000000001E-2</v>
      </c>
      <c r="E19" s="21">
        <v>0</v>
      </c>
      <c r="F19" s="21">
        <v>1.1000000000000001</v>
      </c>
      <c r="G19" s="23">
        <f t="shared" si="1"/>
        <v>0</v>
      </c>
      <c r="Q19" s="39"/>
      <c r="R19" s="39"/>
      <c r="S19" s="39"/>
    </row>
    <row r="20" spans="1:19" ht="12" customHeight="1" x14ac:dyDescent="0.25">
      <c r="A20" s="265"/>
      <c r="B20" s="251"/>
      <c r="C20" s="25" t="s">
        <v>824</v>
      </c>
      <c r="D20" s="20">
        <f>0.022</f>
        <v>2.1999999999999999E-2</v>
      </c>
      <c r="E20" s="21">
        <v>0</v>
      </c>
      <c r="F20" s="21">
        <v>1.1000000000000001</v>
      </c>
      <c r="G20" s="23">
        <f t="shared" si="1"/>
        <v>0</v>
      </c>
      <c r="Q20" s="39"/>
      <c r="R20" s="39"/>
      <c r="S20" s="39"/>
    </row>
    <row r="21" spans="1:19" ht="12" customHeight="1" x14ac:dyDescent="0.25">
      <c r="A21" s="265"/>
      <c r="B21" s="251"/>
      <c r="C21" s="22" t="s">
        <v>825</v>
      </c>
      <c r="D21" s="20">
        <f>0.025</f>
        <v>2.5000000000000001E-2</v>
      </c>
      <c r="E21" s="21">
        <v>0</v>
      </c>
      <c r="F21" s="21">
        <v>1.1000000000000001</v>
      </c>
      <c r="G21" s="23">
        <f t="shared" si="1"/>
        <v>0</v>
      </c>
      <c r="Q21" s="39"/>
      <c r="R21" s="39"/>
      <c r="S21" s="39"/>
    </row>
    <row r="22" spans="1:19" ht="15.6" customHeight="1" x14ac:dyDescent="0.25">
      <c r="A22" s="268"/>
      <c r="B22" s="252"/>
      <c r="C22" s="279" t="s">
        <v>826</v>
      </c>
      <c r="D22" s="279"/>
      <c r="E22" s="279"/>
      <c r="F22" s="279"/>
      <c r="G22" s="30">
        <f>SUM(G19:G21)</f>
        <v>0</v>
      </c>
      <c r="Q22" s="39"/>
      <c r="R22" s="39"/>
      <c r="S22" s="39"/>
    </row>
    <row r="23" spans="1:19" ht="16.5" customHeight="1" x14ac:dyDescent="0.25">
      <c r="A23" s="14" t="s">
        <v>827</v>
      </c>
      <c r="B23" s="15" t="s">
        <v>795</v>
      </c>
      <c r="C23" s="15" t="s">
        <v>813</v>
      </c>
      <c r="D23" s="16" t="s">
        <v>814</v>
      </c>
      <c r="E23" s="16" t="s">
        <v>828</v>
      </c>
      <c r="F23" s="16" t="s">
        <v>816</v>
      </c>
      <c r="G23" s="18" t="s">
        <v>817</v>
      </c>
    </row>
    <row r="24" spans="1:19" ht="12" customHeight="1" x14ac:dyDescent="0.25">
      <c r="A24" s="265" t="s">
        <v>829</v>
      </c>
      <c r="B24" s="276" t="s">
        <v>830</v>
      </c>
      <c r="C24" s="25" t="s">
        <v>212</v>
      </c>
      <c r="D24" s="27">
        <v>1.2</v>
      </c>
      <c r="E24" s="21">
        <v>0</v>
      </c>
      <c r="F24" s="21">
        <v>1.1000000000000001</v>
      </c>
      <c r="G24" s="23">
        <f t="shared" ref="G24:G30" si="2">D24*E24*F24</f>
        <v>0</v>
      </c>
    </row>
    <row r="25" spans="1:19" ht="12" customHeight="1" x14ac:dyDescent="0.25">
      <c r="A25" s="265"/>
      <c r="B25" s="277"/>
      <c r="C25" s="25" t="s">
        <v>831</v>
      </c>
      <c r="D25" s="27">
        <v>1.8</v>
      </c>
      <c r="E25" s="21">
        <v>0</v>
      </c>
      <c r="F25" s="21">
        <v>1.1000000000000001</v>
      </c>
      <c r="G25" s="23">
        <f t="shared" si="2"/>
        <v>0</v>
      </c>
    </row>
    <row r="26" spans="1:19" ht="12" customHeight="1" x14ac:dyDescent="0.25">
      <c r="A26" s="265"/>
      <c r="B26" s="277"/>
      <c r="C26" s="25" t="s">
        <v>832</v>
      </c>
      <c r="D26" s="27">
        <v>0.6</v>
      </c>
      <c r="E26" s="21">
        <v>0</v>
      </c>
      <c r="F26" s="21">
        <v>1.1000000000000001</v>
      </c>
      <c r="G26" s="23">
        <f t="shared" si="2"/>
        <v>0</v>
      </c>
    </row>
    <row r="27" spans="1:19" ht="12" customHeight="1" x14ac:dyDescent="0.25">
      <c r="A27" s="265"/>
      <c r="B27" s="277"/>
      <c r="C27" s="25" t="s">
        <v>833</v>
      </c>
      <c r="D27" s="27">
        <v>6</v>
      </c>
      <c r="E27" s="21">
        <v>0</v>
      </c>
      <c r="F27" s="21">
        <v>1.1000000000000001</v>
      </c>
      <c r="G27" s="23">
        <f t="shared" si="2"/>
        <v>0</v>
      </c>
    </row>
    <row r="28" spans="1:19" ht="12" customHeight="1" x14ac:dyDescent="0.25">
      <c r="A28" s="265"/>
      <c r="B28" s="277"/>
      <c r="C28" s="25" t="s">
        <v>834</v>
      </c>
      <c r="D28" s="27">
        <v>20</v>
      </c>
      <c r="E28" s="21">
        <v>0</v>
      </c>
      <c r="F28" s="21">
        <v>1.1000000000000001</v>
      </c>
      <c r="G28" s="23">
        <f t="shared" si="2"/>
        <v>0</v>
      </c>
    </row>
    <row r="29" spans="1:19" ht="12" customHeight="1" x14ac:dyDescent="0.25">
      <c r="A29" s="265"/>
      <c r="B29" s="277"/>
      <c r="C29" s="25" t="s">
        <v>835</v>
      </c>
      <c r="D29" s="27">
        <v>8</v>
      </c>
      <c r="E29" s="21">
        <v>0</v>
      </c>
      <c r="F29" s="21">
        <v>1.1000000000000001</v>
      </c>
      <c r="G29" s="23">
        <f t="shared" si="2"/>
        <v>0</v>
      </c>
    </row>
    <row r="30" spans="1:19" ht="12" customHeight="1" x14ac:dyDescent="0.25">
      <c r="A30" s="265"/>
      <c r="B30" s="277"/>
      <c r="C30" s="25" t="s">
        <v>836</v>
      </c>
      <c r="D30" s="27">
        <v>0.5</v>
      </c>
      <c r="E30" s="21">
        <v>0</v>
      </c>
      <c r="F30" s="21">
        <v>1.1000000000000001</v>
      </c>
      <c r="G30" s="23">
        <f t="shared" si="2"/>
        <v>0</v>
      </c>
    </row>
    <row r="31" spans="1:19" ht="15.6" customHeight="1" x14ac:dyDescent="0.25">
      <c r="A31" s="265"/>
      <c r="B31" s="277"/>
      <c r="C31" s="257" t="s">
        <v>837</v>
      </c>
      <c r="D31" s="258"/>
      <c r="E31" s="258"/>
      <c r="F31" s="258"/>
      <c r="G31" s="26">
        <f>32.09*SUM(G24:G30)/3600</f>
        <v>0</v>
      </c>
    </row>
    <row r="32" spans="1:19" ht="15.6" customHeight="1" x14ac:dyDescent="0.25">
      <c r="A32" s="14" t="s">
        <v>827</v>
      </c>
      <c r="B32" s="15" t="s">
        <v>795</v>
      </c>
      <c r="C32" s="15" t="s">
        <v>813</v>
      </c>
      <c r="D32" s="16" t="s">
        <v>838</v>
      </c>
      <c r="E32" s="16" t="s">
        <v>815</v>
      </c>
      <c r="F32" s="16" t="s">
        <v>816</v>
      </c>
      <c r="G32" s="18" t="s">
        <v>817</v>
      </c>
    </row>
    <row r="33" spans="1:8" ht="12" customHeight="1" x14ac:dyDescent="0.25">
      <c r="A33" s="269" t="s">
        <v>839</v>
      </c>
      <c r="B33" s="276" t="s">
        <v>840</v>
      </c>
      <c r="C33" s="25" t="s">
        <v>841</v>
      </c>
      <c r="D33" s="31">
        <v>3</v>
      </c>
      <c r="E33" s="21">
        <v>1</v>
      </c>
      <c r="F33" s="21">
        <v>1.1000000000000001</v>
      </c>
      <c r="G33" s="23">
        <f t="shared" ref="G33:G50" si="3">D33*E33*F33</f>
        <v>3.3</v>
      </c>
    </row>
    <row r="34" spans="1:8" ht="12" customHeight="1" x14ac:dyDescent="0.25">
      <c r="A34" s="269"/>
      <c r="B34" s="276"/>
      <c r="C34" s="25" t="s">
        <v>842</v>
      </c>
      <c r="D34" s="31">
        <v>3</v>
      </c>
      <c r="E34" s="21">
        <v>1</v>
      </c>
      <c r="F34" s="21">
        <v>1.1000000000000001</v>
      </c>
      <c r="G34" s="23">
        <f t="shared" si="3"/>
        <v>3.3</v>
      </c>
      <c r="H34" s="1">
        <v>1</v>
      </c>
    </row>
    <row r="35" spans="1:8" ht="12" customHeight="1" x14ac:dyDescent="0.25">
      <c r="A35" s="269"/>
      <c r="B35" s="276"/>
      <c r="C35" s="25" t="s">
        <v>843</v>
      </c>
      <c r="D35" s="31">
        <v>3</v>
      </c>
      <c r="E35" s="21">
        <v>1</v>
      </c>
      <c r="F35" s="21">
        <v>1.1000000000000001</v>
      </c>
      <c r="G35" s="23">
        <f t="shared" si="3"/>
        <v>3.3</v>
      </c>
    </row>
    <row r="36" spans="1:8" ht="12" customHeight="1" x14ac:dyDescent="0.25">
      <c r="A36" s="269"/>
      <c r="B36" s="276"/>
      <c r="C36" s="25" t="s">
        <v>844</v>
      </c>
      <c r="D36" s="31">
        <v>3</v>
      </c>
      <c r="E36" s="21">
        <v>2</v>
      </c>
      <c r="F36" s="21">
        <v>1.1000000000000001</v>
      </c>
      <c r="G36" s="23">
        <f t="shared" si="3"/>
        <v>6.6</v>
      </c>
    </row>
    <row r="37" spans="1:8" ht="12" customHeight="1" x14ac:dyDescent="0.25">
      <c r="A37" s="269"/>
      <c r="B37" s="277"/>
      <c r="C37" s="25" t="s">
        <v>845</v>
      </c>
      <c r="D37" s="31">
        <v>3</v>
      </c>
      <c r="E37" s="21">
        <v>2</v>
      </c>
      <c r="F37" s="21">
        <v>1.1000000000000001</v>
      </c>
      <c r="G37" s="23">
        <f t="shared" si="3"/>
        <v>6.6</v>
      </c>
    </row>
    <row r="38" spans="1:8" ht="12" customHeight="1" x14ac:dyDescent="0.25">
      <c r="A38" s="269"/>
      <c r="B38" s="277"/>
      <c r="C38" s="25" t="s">
        <v>846</v>
      </c>
      <c r="D38" s="31">
        <v>3</v>
      </c>
      <c r="E38" s="21">
        <v>2</v>
      </c>
      <c r="F38" s="21">
        <v>1.1000000000000001</v>
      </c>
      <c r="G38" s="23">
        <f t="shared" si="3"/>
        <v>6.6</v>
      </c>
    </row>
    <row r="39" spans="1:8" ht="12" customHeight="1" x14ac:dyDescent="0.25">
      <c r="A39" s="269"/>
      <c r="B39" s="277"/>
      <c r="C39" s="25" t="s">
        <v>847</v>
      </c>
      <c r="D39" s="31">
        <v>3</v>
      </c>
      <c r="E39" s="21">
        <v>1</v>
      </c>
      <c r="F39" s="21">
        <v>1.1000000000000001</v>
      </c>
      <c r="G39" s="23">
        <f t="shared" si="3"/>
        <v>3.3</v>
      </c>
    </row>
    <row r="40" spans="1:8" ht="12" customHeight="1" x14ac:dyDescent="0.25">
      <c r="A40" s="269"/>
      <c r="B40" s="277"/>
      <c r="C40" s="25" t="s">
        <v>848</v>
      </c>
      <c r="D40" s="31">
        <v>3</v>
      </c>
      <c r="E40" s="21">
        <v>1</v>
      </c>
      <c r="F40" s="21">
        <v>1.1000000000000001</v>
      </c>
      <c r="G40" s="23">
        <f t="shared" si="3"/>
        <v>3.3</v>
      </c>
    </row>
    <row r="41" spans="1:8" ht="12" customHeight="1" x14ac:dyDescent="0.25">
      <c r="A41" s="269"/>
      <c r="B41" s="277"/>
      <c r="C41" s="25" t="s">
        <v>849</v>
      </c>
      <c r="D41" s="31">
        <v>3</v>
      </c>
      <c r="E41" s="21">
        <v>4</v>
      </c>
      <c r="F41" s="21">
        <v>1.1000000000000001</v>
      </c>
      <c r="G41" s="23">
        <f t="shared" si="3"/>
        <v>13.2</v>
      </c>
    </row>
    <row r="42" spans="1:8" ht="12" customHeight="1" x14ac:dyDescent="0.25">
      <c r="A42" s="269"/>
      <c r="B42" s="277"/>
      <c r="C42" s="25" t="s">
        <v>850</v>
      </c>
      <c r="D42" s="31">
        <v>3</v>
      </c>
      <c r="E42" s="21">
        <v>0</v>
      </c>
      <c r="F42" s="21">
        <v>1.1000000000000001</v>
      </c>
      <c r="G42" s="23">
        <f t="shared" si="3"/>
        <v>0</v>
      </c>
    </row>
    <row r="43" spans="1:8" ht="12" customHeight="1" x14ac:dyDescent="0.25">
      <c r="A43" s="269"/>
      <c r="B43" s="277"/>
      <c r="C43" s="25" t="s">
        <v>851</v>
      </c>
      <c r="D43" s="31">
        <v>3</v>
      </c>
      <c r="E43" s="21">
        <v>0</v>
      </c>
      <c r="F43" s="21">
        <v>1.1000000000000001</v>
      </c>
      <c r="G43" s="23">
        <f t="shared" si="3"/>
        <v>0</v>
      </c>
    </row>
    <row r="44" spans="1:8" ht="12" customHeight="1" x14ac:dyDescent="0.25">
      <c r="A44" s="269"/>
      <c r="B44" s="277"/>
      <c r="C44" s="25" t="s">
        <v>852</v>
      </c>
      <c r="D44" s="31">
        <v>3</v>
      </c>
      <c r="E44" s="21">
        <v>4</v>
      </c>
      <c r="F44" s="21">
        <v>1.1000000000000001</v>
      </c>
      <c r="G44" s="23">
        <f t="shared" si="3"/>
        <v>13.2</v>
      </c>
    </row>
    <row r="45" spans="1:8" ht="12" customHeight="1" x14ac:dyDescent="0.25">
      <c r="A45" s="269"/>
      <c r="B45" s="277"/>
      <c r="C45" s="25" t="s">
        <v>853</v>
      </c>
      <c r="D45" s="31">
        <v>3</v>
      </c>
      <c r="E45" s="21">
        <v>1</v>
      </c>
      <c r="F45" s="21">
        <v>1.1000000000000001</v>
      </c>
      <c r="G45" s="23">
        <f t="shared" si="3"/>
        <v>3.3</v>
      </c>
    </row>
    <row r="46" spans="1:8" ht="12" customHeight="1" x14ac:dyDescent="0.25">
      <c r="A46" s="269"/>
      <c r="B46" s="277"/>
      <c r="C46" s="25" t="s">
        <v>854</v>
      </c>
      <c r="D46" s="31">
        <v>3</v>
      </c>
      <c r="E46" s="21">
        <v>1</v>
      </c>
      <c r="F46" s="21">
        <v>1.1000000000000001</v>
      </c>
      <c r="G46" s="23">
        <f t="shared" si="3"/>
        <v>3.3</v>
      </c>
    </row>
    <row r="47" spans="1:8" ht="12" customHeight="1" x14ac:dyDescent="0.25">
      <c r="A47" s="269"/>
      <c r="B47" s="277"/>
      <c r="C47" s="25" t="s">
        <v>840</v>
      </c>
      <c r="D47" s="31">
        <v>3</v>
      </c>
      <c r="E47" s="21">
        <v>0</v>
      </c>
      <c r="F47" s="21">
        <v>1.1000000000000001</v>
      </c>
      <c r="G47" s="23">
        <f t="shared" si="3"/>
        <v>0</v>
      </c>
    </row>
    <row r="48" spans="1:8" ht="12" customHeight="1" x14ac:dyDescent="0.25">
      <c r="A48" s="269"/>
      <c r="B48" s="277"/>
      <c r="C48" s="25" t="s">
        <v>855</v>
      </c>
      <c r="D48" s="31">
        <v>3</v>
      </c>
      <c r="E48" s="21">
        <v>2</v>
      </c>
      <c r="F48" s="21">
        <v>1.1000000000000001</v>
      </c>
      <c r="G48" s="23">
        <f t="shared" si="3"/>
        <v>6.6</v>
      </c>
    </row>
    <row r="49" spans="1:16" ht="12" customHeight="1" x14ac:dyDescent="0.25">
      <c r="A49" s="269"/>
      <c r="B49" s="277"/>
      <c r="C49" s="25" t="s">
        <v>856</v>
      </c>
      <c r="D49" s="31">
        <v>3</v>
      </c>
      <c r="E49" s="21">
        <v>2</v>
      </c>
      <c r="F49" s="21">
        <v>1.1000000000000001</v>
      </c>
      <c r="G49" s="23">
        <f t="shared" si="3"/>
        <v>6.6</v>
      </c>
    </row>
    <row r="50" spans="1:16" ht="12" customHeight="1" x14ac:dyDescent="0.25">
      <c r="A50" s="269"/>
      <c r="B50" s="277"/>
      <c r="C50" s="25" t="s">
        <v>857</v>
      </c>
      <c r="D50" s="31">
        <v>3</v>
      </c>
      <c r="E50" s="21">
        <v>1</v>
      </c>
      <c r="F50" s="21">
        <v>1.1000000000000001</v>
      </c>
      <c r="G50" s="23">
        <f t="shared" si="3"/>
        <v>3.3</v>
      </c>
    </row>
    <row r="51" spans="1:16" ht="12" customHeight="1" x14ac:dyDescent="0.25">
      <c r="A51" s="269"/>
      <c r="B51" s="277"/>
      <c r="C51" s="25"/>
      <c r="D51" s="31"/>
      <c r="E51" s="21"/>
      <c r="F51" s="21"/>
      <c r="G51" s="23"/>
    </row>
    <row r="52" spans="1:16" ht="12" customHeight="1" x14ac:dyDescent="0.25">
      <c r="A52" s="269"/>
      <c r="B52" s="277"/>
      <c r="C52" s="25"/>
      <c r="D52" s="31"/>
      <c r="E52" s="21"/>
      <c r="F52" s="21"/>
      <c r="G52" s="23"/>
    </row>
    <row r="53" spans="1:16" ht="12" customHeight="1" x14ac:dyDescent="0.25">
      <c r="A53" s="269"/>
      <c r="B53" s="277"/>
      <c r="C53" s="25"/>
      <c r="D53" s="31"/>
      <c r="E53" s="21"/>
      <c r="F53" s="21"/>
      <c r="G53" s="23"/>
      <c r="P53" s="38"/>
    </row>
    <row r="54" spans="1:16" ht="12" customHeight="1" x14ac:dyDescent="0.25">
      <c r="A54" s="269"/>
      <c r="B54" s="277"/>
      <c r="C54" s="25"/>
      <c r="D54" s="31"/>
      <c r="E54" s="21"/>
      <c r="F54" s="21"/>
      <c r="G54" s="23"/>
    </row>
    <row r="55" spans="1:16" ht="15.6" customHeight="1" x14ac:dyDescent="0.25">
      <c r="A55" s="270"/>
      <c r="B55" s="278"/>
      <c r="C55" s="280" t="s">
        <v>858</v>
      </c>
      <c r="D55" s="279"/>
      <c r="E55" s="279"/>
      <c r="F55" s="279"/>
      <c r="G55" s="30">
        <f>32.09*SUM(G33:G54)/3600</f>
        <v>0.76481166666666656</v>
      </c>
    </row>
    <row r="56" spans="1:16" ht="15.6" customHeight="1" x14ac:dyDescent="0.25">
      <c r="A56" s="281" t="s">
        <v>859</v>
      </c>
      <c r="B56" s="282"/>
      <c r="C56" s="282"/>
      <c r="D56" s="282"/>
      <c r="E56" s="282"/>
      <c r="F56" s="283"/>
      <c r="G56" s="32">
        <f>G14+G18+G22+G31+G55</f>
        <v>2.404643333333333</v>
      </c>
      <c r="H56" s="33"/>
    </row>
    <row r="57" spans="1:16" ht="16.5" customHeight="1" x14ac:dyDescent="0.25">
      <c r="A57" s="271" t="s">
        <v>860</v>
      </c>
      <c r="B57" s="286" t="s">
        <v>861</v>
      </c>
      <c r="C57" s="15" t="s">
        <v>862</v>
      </c>
      <c r="D57" s="16" t="s">
        <v>863</v>
      </c>
      <c r="E57" s="16" t="s">
        <v>864</v>
      </c>
      <c r="F57" s="16" t="s">
        <v>816</v>
      </c>
      <c r="G57" s="18" t="s">
        <v>865</v>
      </c>
    </row>
    <row r="58" spans="1:16" ht="16.5" customHeight="1" x14ac:dyDescent="0.25">
      <c r="A58" s="272"/>
      <c r="B58" s="287"/>
      <c r="C58" s="34" t="s">
        <v>866</v>
      </c>
      <c r="D58" s="35">
        <v>0.04</v>
      </c>
      <c r="E58" s="36">
        <v>2</v>
      </c>
      <c r="F58" s="21">
        <v>1</v>
      </c>
      <c r="G58" s="37">
        <f t="shared" ref="G58:G64" si="4">D58*E58*F58</f>
        <v>0.08</v>
      </c>
    </row>
    <row r="59" spans="1:16" ht="16.5" customHeight="1" x14ac:dyDescent="0.25">
      <c r="A59" s="272"/>
      <c r="B59" s="287"/>
      <c r="C59" s="34" t="s">
        <v>867</v>
      </c>
      <c r="D59" s="35">
        <v>1.9E-2</v>
      </c>
      <c r="E59" s="36">
        <v>0.3</v>
      </c>
      <c r="F59" s="21">
        <v>1.2</v>
      </c>
      <c r="G59" s="37">
        <f t="shared" si="4"/>
        <v>6.8399999999999997E-3</v>
      </c>
    </row>
    <row r="60" spans="1:16" ht="14.25" customHeight="1" x14ac:dyDescent="0.25">
      <c r="A60" s="265"/>
      <c r="B60" s="251"/>
      <c r="C60" s="25" t="s">
        <v>868</v>
      </c>
      <c r="D60" s="35">
        <v>0.27900000000000003</v>
      </c>
      <c r="E60" s="36">
        <v>0.1</v>
      </c>
      <c r="F60" s="21">
        <v>1.1000000000000001</v>
      </c>
      <c r="G60" s="37">
        <f t="shared" si="4"/>
        <v>3.0689999999999999E-2</v>
      </c>
    </row>
    <row r="61" spans="1:16" ht="12" customHeight="1" x14ac:dyDescent="0.25">
      <c r="A61" s="265"/>
      <c r="B61" s="251"/>
      <c r="C61" s="25" t="s">
        <v>869</v>
      </c>
      <c r="D61" s="35">
        <v>0.19600000000000001</v>
      </c>
      <c r="E61" s="36">
        <v>0.1</v>
      </c>
      <c r="F61" s="21">
        <v>1.2</v>
      </c>
      <c r="G61" s="37">
        <f t="shared" si="4"/>
        <v>2.3519999999999999E-2</v>
      </c>
    </row>
    <row r="62" spans="1:16" ht="12.75" customHeight="1" x14ac:dyDescent="0.25">
      <c r="A62" s="265"/>
      <c r="B62" s="251"/>
      <c r="C62" s="25" t="s">
        <v>870</v>
      </c>
      <c r="D62" s="35">
        <v>0.04</v>
      </c>
      <c r="E62" s="36">
        <v>0</v>
      </c>
      <c r="F62" s="21">
        <v>1.1000000000000001</v>
      </c>
      <c r="G62" s="37">
        <f t="shared" si="4"/>
        <v>0</v>
      </c>
    </row>
    <row r="63" spans="1:16" ht="12" customHeight="1" x14ac:dyDescent="0.25">
      <c r="A63" s="265"/>
      <c r="B63" s="251"/>
      <c r="C63" s="25" t="s">
        <v>871</v>
      </c>
      <c r="D63" s="35">
        <v>0.21</v>
      </c>
      <c r="E63" s="36">
        <v>0.5</v>
      </c>
      <c r="F63" s="21">
        <v>1.2</v>
      </c>
      <c r="G63" s="37">
        <f t="shared" si="4"/>
        <v>0.126</v>
      </c>
    </row>
    <row r="64" spans="1:16" ht="12" customHeight="1" x14ac:dyDescent="0.25">
      <c r="A64" s="265"/>
      <c r="B64" s="251"/>
      <c r="C64" s="22" t="s">
        <v>872</v>
      </c>
      <c r="D64" s="35">
        <v>2.4E-2</v>
      </c>
      <c r="E64" s="36">
        <v>0</v>
      </c>
      <c r="F64" s="21">
        <v>1.2</v>
      </c>
      <c r="G64" s="37">
        <f t="shared" si="4"/>
        <v>0</v>
      </c>
    </row>
    <row r="65" spans="1:8" ht="15.6" customHeight="1" x14ac:dyDescent="0.25">
      <c r="A65" s="266"/>
      <c r="B65" s="273"/>
      <c r="C65" s="284" t="s">
        <v>873</v>
      </c>
      <c r="D65" s="285"/>
      <c r="E65" s="285"/>
      <c r="F65" s="285"/>
      <c r="G65" s="41">
        <f>SUM(G58:G64)</f>
        <v>0.26705000000000001</v>
      </c>
    </row>
    <row r="66" spans="1:8" ht="16.5" customHeight="1" x14ac:dyDescent="0.25">
      <c r="A66" s="271" t="s">
        <v>874</v>
      </c>
      <c r="B66" s="250" t="s">
        <v>875</v>
      </c>
      <c r="C66" s="42" t="s">
        <v>876</v>
      </c>
      <c r="D66" s="42" t="s">
        <v>877</v>
      </c>
      <c r="E66" s="42" t="s">
        <v>878</v>
      </c>
      <c r="F66" s="42" t="s">
        <v>27</v>
      </c>
      <c r="G66" s="43" t="s">
        <v>879</v>
      </c>
    </row>
    <row r="67" spans="1:8" ht="12" customHeight="1" x14ac:dyDescent="0.25">
      <c r="A67" s="265"/>
      <c r="B67" s="251"/>
      <c r="C67" s="25" t="s">
        <v>880</v>
      </c>
      <c r="D67" s="44">
        <v>265</v>
      </c>
      <c r="E67" s="45">
        <v>1</v>
      </c>
      <c r="F67" s="253" t="s">
        <v>881</v>
      </c>
      <c r="G67" s="46">
        <f t="shared" ref="G67:G78" si="5">D67*E67</f>
        <v>265</v>
      </c>
    </row>
    <row r="68" spans="1:8" ht="12" customHeight="1" x14ac:dyDescent="0.25">
      <c r="A68" s="265"/>
      <c r="B68" s="251"/>
      <c r="C68" s="25" t="s">
        <v>882</v>
      </c>
      <c r="D68" s="44">
        <v>1000</v>
      </c>
      <c r="E68" s="45">
        <v>1</v>
      </c>
      <c r="F68" s="254"/>
      <c r="G68" s="46">
        <f t="shared" si="5"/>
        <v>1000</v>
      </c>
      <c r="H68" s="33"/>
    </row>
    <row r="69" spans="1:8" ht="12" customHeight="1" x14ac:dyDescent="0.25">
      <c r="A69" s="265"/>
      <c r="B69" s="251"/>
      <c r="C69" s="25" t="s">
        <v>883</v>
      </c>
      <c r="D69" s="47">
        <v>350</v>
      </c>
      <c r="E69" s="45">
        <v>50</v>
      </c>
      <c r="F69" s="255"/>
      <c r="G69" s="46">
        <f t="shared" si="5"/>
        <v>17500</v>
      </c>
    </row>
    <row r="70" spans="1:8" ht="12" customHeight="1" x14ac:dyDescent="0.25">
      <c r="A70" s="265"/>
      <c r="B70" s="251"/>
      <c r="C70" s="25" t="s">
        <v>884</v>
      </c>
      <c r="D70" s="47">
        <v>1500</v>
      </c>
      <c r="E70" s="45">
        <v>0</v>
      </c>
      <c r="F70" s="255"/>
      <c r="G70" s="46">
        <f t="shared" si="5"/>
        <v>0</v>
      </c>
    </row>
    <row r="71" spans="1:8" ht="12" customHeight="1" x14ac:dyDescent="0.25">
      <c r="A71" s="265"/>
      <c r="B71" s="251"/>
      <c r="C71" s="25" t="s">
        <v>885</v>
      </c>
      <c r="D71" s="47">
        <v>20000</v>
      </c>
      <c r="E71" s="45">
        <v>0</v>
      </c>
      <c r="F71" s="255"/>
      <c r="G71" s="46">
        <f t="shared" si="5"/>
        <v>0</v>
      </c>
    </row>
    <row r="72" spans="1:8" ht="12" customHeight="1" x14ac:dyDescent="0.25">
      <c r="A72" s="265"/>
      <c r="B72" s="251"/>
      <c r="C72" s="25" t="s">
        <v>886</v>
      </c>
      <c r="D72" s="44">
        <v>800</v>
      </c>
      <c r="E72" s="45">
        <v>1</v>
      </c>
      <c r="F72" s="255"/>
      <c r="G72" s="46">
        <f t="shared" si="5"/>
        <v>800</v>
      </c>
    </row>
    <row r="73" spans="1:8" ht="12" customHeight="1" x14ac:dyDescent="0.25">
      <c r="A73" s="265"/>
      <c r="B73" s="251"/>
      <c r="C73" s="22" t="s">
        <v>887</v>
      </c>
      <c r="D73" s="44">
        <v>8000</v>
      </c>
      <c r="E73" s="45">
        <v>1</v>
      </c>
      <c r="F73" s="255"/>
      <c r="G73" s="46">
        <f t="shared" si="5"/>
        <v>8000</v>
      </c>
    </row>
    <row r="74" spans="1:8" ht="12" customHeight="1" x14ac:dyDescent="0.25">
      <c r="A74" s="265"/>
      <c r="B74" s="251"/>
      <c r="C74" s="25" t="s">
        <v>888</v>
      </c>
      <c r="D74" s="44">
        <v>4000</v>
      </c>
      <c r="E74" s="45">
        <v>1</v>
      </c>
      <c r="F74" s="255"/>
      <c r="G74" s="46">
        <f t="shared" si="5"/>
        <v>4000</v>
      </c>
    </row>
    <row r="75" spans="1:8" ht="12" customHeight="1" x14ac:dyDescent="0.25">
      <c r="A75" s="265"/>
      <c r="B75" s="251"/>
      <c r="C75" s="22" t="s">
        <v>889</v>
      </c>
      <c r="D75" s="44">
        <v>8000</v>
      </c>
      <c r="E75" s="45">
        <v>4</v>
      </c>
      <c r="F75" s="255"/>
      <c r="G75" s="46">
        <f t="shared" si="5"/>
        <v>32000</v>
      </c>
    </row>
    <row r="76" spans="1:8" ht="12" customHeight="1" x14ac:dyDescent="0.25">
      <c r="A76" s="265"/>
      <c r="B76" s="251"/>
      <c r="C76" s="22" t="s">
        <v>890</v>
      </c>
      <c r="D76" s="44">
        <v>4000</v>
      </c>
      <c r="E76" s="45">
        <v>1</v>
      </c>
      <c r="F76" s="255"/>
      <c r="G76" s="46">
        <f t="shared" si="5"/>
        <v>4000</v>
      </c>
    </row>
    <row r="77" spans="1:8" ht="12" customHeight="1" x14ac:dyDescent="0.25">
      <c r="A77" s="265"/>
      <c r="B77" s="251"/>
      <c r="C77" s="25" t="s">
        <v>891</v>
      </c>
      <c r="D77" s="44">
        <v>800</v>
      </c>
      <c r="E77" s="45">
        <v>20</v>
      </c>
      <c r="F77" s="255"/>
      <c r="G77" s="46">
        <f t="shared" si="5"/>
        <v>16000</v>
      </c>
    </row>
    <row r="78" spans="1:8" ht="12" customHeight="1" x14ac:dyDescent="0.25">
      <c r="A78" s="265"/>
      <c r="B78" s="251"/>
      <c r="C78" s="25" t="s">
        <v>892</v>
      </c>
      <c r="D78" s="44">
        <v>300</v>
      </c>
      <c r="E78" s="45">
        <v>0</v>
      </c>
      <c r="F78" s="256"/>
      <c r="G78" s="46">
        <f t="shared" si="5"/>
        <v>0</v>
      </c>
      <c r="H78" s="33"/>
    </row>
    <row r="79" spans="1:8" ht="15.6" customHeight="1" x14ac:dyDescent="0.25">
      <c r="A79" s="265"/>
      <c r="B79" s="251"/>
      <c r="C79" s="257" t="s">
        <v>893</v>
      </c>
      <c r="D79" s="258"/>
      <c r="E79" s="258"/>
      <c r="F79" s="258"/>
      <c r="G79" s="48">
        <f>SUM(G67:G78)</f>
        <v>83565</v>
      </c>
      <c r="H79" s="49"/>
    </row>
    <row r="80" spans="1:8" ht="15.6" customHeight="1" x14ac:dyDescent="0.25">
      <c r="A80" s="268"/>
      <c r="B80" s="252"/>
      <c r="C80" s="259" t="s">
        <v>894</v>
      </c>
      <c r="D80" s="260"/>
      <c r="E80" s="260"/>
      <c r="F80" s="260"/>
      <c r="G80" s="50">
        <f>G79/G4</f>
        <v>83565</v>
      </c>
    </row>
    <row r="81" spans="1:8" ht="15.9" customHeight="1" x14ac:dyDescent="0.25">
      <c r="A81" s="261" t="s">
        <v>895</v>
      </c>
      <c r="B81" s="262"/>
      <c r="C81" s="262"/>
      <c r="D81" s="262"/>
      <c r="E81" s="262"/>
      <c r="F81" s="263"/>
      <c r="G81" s="51">
        <f>G56+G65+G80</f>
        <v>83567.671693333337</v>
      </c>
      <c r="H81" s="52"/>
    </row>
    <row r="82" spans="1:8" ht="15.75" customHeight="1" x14ac:dyDescent="0.25">
      <c r="A82" s="264" t="s">
        <v>896</v>
      </c>
      <c r="B82" s="264"/>
      <c r="C82" s="264"/>
      <c r="D82" s="264"/>
      <c r="E82" s="264"/>
      <c r="F82" s="264"/>
      <c r="G82" s="264"/>
    </row>
  </sheetData>
  <mergeCells count="29">
    <mergeCell ref="A56:F56"/>
    <mergeCell ref="C65:F65"/>
    <mergeCell ref="B57:B65"/>
    <mergeCell ref="A2:G2"/>
    <mergeCell ref="D4:E4"/>
    <mergeCell ref="A5:G5"/>
    <mergeCell ref="C14:F14"/>
    <mergeCell ref="C18:F18"/>
    <mergeCell ref="A82:G82"/>
    <mergeCell ref="A7:A14"/>
    <mergeCell ref="A15:A18"/>
    <mergeCell ref="A19:A22"/>
    <mergeCell ref="A24:A31"/>
    <mergeCell ref="A33:A55"/>
    <mergeCell ref="A57:A65"/>
    <mergeCell ref="A66:A80"/>
    <mergeCell ref="B7:B14"/>
    <mergeCell ref="B15:B18"/>
    <mergeCell ref="B19:B22"/>
    <mergeCell ref="B24:B31"/>
    <mergeCell ref="B33:B55"/>
    <mergeCell ref="C22:F22"/>
    <mergeCell ref="C31:F31"/>
    <mergeCell ref="C55:F55"/>
    <mergeCell ref="B66:B80"/>
    <mergeCell ref="F67:F78"/>
    <mergeCell ref="C79:F79"/>
    <mergeCell ref="C80:F80"/>
    <mergeCell ref="A81:F81"/>
  </mergeCells>
  <phoneticPr fontId="58" type="noConversion"/>
  <pageMargins left="0.75" right="0.75" top="1" bottom="1" header="0.5" footer="0.5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82"/>
  <sheetViews>
    <sheetView workbookViewId="0">
      <selection activeCell="K18" sqref="K18"/>
    </sheetView>
  </sheetViews>
  <sheetFormatPr defaultColWidth="9" defaultRowHeight="15" x14ac:dyDescent="0.25"/>
  <cols>
    <col min="1" max="1" width="5.6640625" style="1" customWidth="1"/>
    <col min="2" max="2" width="10" style="1" customWidth="1"/>
    <col min="3" max="3" width="14.109375" style="1" customWidth="1"/>
    <col min="4" max="4" width="13.6640625" style="1"/>
    <col min="5" max="5" width="13" style="1" customWidth="1"/>
    <col min="6" max="6" width="19.33203125" style="1" customWidth="1"/>
    <col min="7" max="7" width="14.44140625" style="1" customWidth="1"/>
    <col min="8" max="17" width="9" style="1"/>
    <col min="18" max="18" width="11.44140625" style="1" customWidth="1"/>
    <col min="19" max="16384" width="9" style="1"/>
  </cols>
  <sheetData>
    <row r="1" spans="1:19" ht="5.0999999999999996" customHeight="1" x14ac:dyDescent="0.25">
      <c r="A1" s="2"/>
      <c r="B1" s="2"/>
      <c r="C1" s="2"/>
      <c r="D1" s="2"/>
      <c r="E1" s="2"/>
      <c r="F1" s="3"/>
      <c r="G1" s="2"/>
    </row>
    <row r="2" spans="1:19" ht="24" customHeight="1" x14ac:dyDescent="0.25">
      <c r="A2" s="288" t="s">
        <v>786</v>
      </c>
      <c r="B2" s="289"/>
      <c r="C2" s="289"/>
      <c r="D2" s="289"/>
      <c r="E2" s="289"/>
      <c r="F2" s="289"/>
      <c r="G2" s="290"/>
      <c r="Q2" s="39"/>
      <c r="R2" s="40"/>
      <c r="S2" s="40"/>
    </row>
    <row r="3" spans="1:19" ht="14.25" customHeight="1" x14ac:dyDescent="0.25">
      <c r="A3" s="4"/>
      <c r="B3" s="5"/>
      <c r="C3" s="5"/>
      <c r="D3" s="6" t="s">
        <v>787</v>
      </c>
      <c r="E3" s="7" t="s">
        <v>788</v>
      </c>
      <c r="F3" s="6" t="s">
        <v>789</v>
      </c>
      <c r="G3" s="8"/>
      <c r="Q3" s="39"/>
      <c r="R3" s="39"/>
      <c r="S3" s="39"/>
    </row>
    <row r="4" spans="1:19" ht="18" customHeight="1" x14ac:dyDescent="0.25">
      <c r="A4" s="9" t="s">
        <v>790</v>
      </c>
      <c r="B4" s="10"/>
      <c r="C4" s="11" t="s">
        <v>791</v>
      </c>
      <c r="D4" s="291" t="s">
        <v>897</v>
      </c>
      <c r="E4" s="292"/>
      <c r="F4" s="12" t="s">
        <v>793</v>
      </c>
      <c r="G4" s="13">
        <v>1</v>
      </c>
      <c r="Q4" s="39"/>
      <c r="R4" s="39"/>
      <c r="S4" s="39"/>
    </row>
    <row r="5" spans="1:19" ht="4.5" customHeight="1" x14ac:dyDescent="0.25">
      <c r="A5" s="293"/>
      <c r="B5" s="293"/>
      <c r="C5" s="293"/>
      <c r="D5" s="293"/>
      <c r="E5" s="293"/>
      <c r="F5" s="293"/>
      <c r="G5" s="293"/>
      <c r="Q5" s="39"/>
      <c r="R5" s="39"/>
      <c r="S5" s="39"/>
    </row>
    <row r="6" spans="1:19" ht="15" customHeight="1" x14ac:dyDescent="0.25">
      <c r="A6" s="14" t="s">
        <v>794</v>
      </c>
      <c r="B6" s="15" t="s">
        <v>795</v>
      </c>
      <c r="C6" s="15" t="s">
        <v>796</v>
      </c>
      <c r="D6" s="16" t="s">
        <v>797</v>
      </c>
      <c r="E6" s="16" t="s">
        <v>798</v>
      </c>
      <c r="F6" s="17" t="s">
        <v>27</v>
      </c>
      <c r="G6" s="18" t="s">
        <v>799</v>
      </c>
      <c r="Q6" s="39"/>
      <c r="R6" s="39"/>
      <c r="S6" s="39"/>
    </row>
    <row r="7" spans="1:19" ht="12" customHeight="1" x14ac:dyDescent="0.25">
      <c r="A7" s="265" t="s">
        <v>800</v>
      </c>
      <c r="B7" s="251" t="s">
        <v>801</v>
      </c>
      <c r="C7" s="19" t="s">
        <v>802</v>
      </c>
      <c r="D7" s="20">
        <f>0.019</f>
        <v>1.9E-2</v>
      </c>
      <c r="E7" s="21">
        <v>27</v>
      </c>
      <c r="F7" s="22"/>
      <c r="G7" s="23">
        <f t="shared" ref="G7:G13" si="0">D7*E7</f>
        <v>0.51300000000000001</v>
      </c>
      <c r="Q7" s="39"/>
      <c r="R7" s="39"/>
      <c r="S7" s="39"/>
    </row>
    <row r="8" spans="1:19" ht="12" customHeight="1" x14ac:dyDescent="0.25">
      <c r="A8" s="265"/>
      <c r="B8" s="251"/>
      <c r="C8" s="19" t="s">
        <v>803</v>
      </c>
      <c r="D8" s="20">
        <f>0.02</f>
        <v>0.02</v>
      </c>
      <c r="E8" s="21">
        <v>4</v>
      </c>
      <c r="F8" s="22"/>
      <c r="G8" s="23">
        <f t="shared" si="0"/>
        <v>0.08</v>
      </c>
      <c r="Q8" s="40"/>
      <c r="R8" s="39"/>
      <c r="S8" s="39"/>
    </row>
    <row r="9" spans="1:19" ht="12" customHeight="1" x14ac:dyDescent="0.25">
      <c r="A9" s="265"/>
      <c r="B9" s="251"/>
      <c r="C9" s="24" t="s">
        <v>804</v>
      </c>
      <c r="D9" s="20">
        <f>0.02</f>
        <v>0.02</v>
      </c>
      <c r="E9" s="21">
        <v>0</v>
      </c>
      <c r="F9" s="22"/>
      <c r="G9" s="23">
        <f t="shared" si="0"/>
        <v>0</v>
      </c>
      <c r="Q9" s="39"/>
      <c r="R9" s="39"/>
      <c r="S9" s="39"/>
    </row>
    <row r="10" spans="1:19" ht="12" customHeight="1" x14ac:dyDescent="0.25">
      <c r="A10" s="265"/>
      <c r="B10" s="251"/>
      <c r="C10" s="24" t="s">
        <v>805</v>
      </c>
      <c r="D10" s="20">
        <f>0.06</f>
        <v>0.06</v>
      </c>
      <c r="E10" s="21">
        <v>2</v>
      </c>
      <c r="F10" s="22"/>
      <c r="G10" s="23">
        <f t="shared" si="0"/>
        <v>0.12</v>
      </c>
      <c r="Q10" s="40"/>
      <c r="R10" s="39"/>
      <c r="S10" s="39"/>
    </row>
    <row r="11" spans="1:19" ht="12" customHeight="1" x14ac:dyDescent="0.25">
      <c r="A11" s="265"/>
      <c r="B11" s="251"/>
      <c r="C11" s="24" t="s">
        <v>806</v>
      </c>
      <c r="D11" s="20">
        <f>0.035</f>
        <v>3.5000000000000003E-2</v>
      </c>
      <c r="E11" s="21">
        <v>0</v>
      </c>
      <c r="F11" s="22"/>
      <c r="G11" s="23">
        <f t="shared" si="0"/>
        <v>0</v>
      </c>
      <c r="Q11" s="40"/>
      <c r="R11" s="39"/>
      <c r="S11" s="39"/>
    </row>
    <row r="12" spans="1:19" ht="12" customHeight="1" x14ac:dyDescent="0.25">
      <c r="A12" s="265"/>
      <c r="B12" s="251"/>
      <c r="C12" s="24" t="s">
        <v>807</v>
      </c>
      <c r="D12" s="20">
        <f>0.018</f>
        <v>1.7999999999999999E-2</v>
      </c>
      <c r="E12" s="21">
        <v>4</v>
      </c>
      <c r="F12" s="25" t="s">
        <v>808</v>
      </c>
      <c r="G12" s="23">
        <f t="shared" si="0"/>
        <v>7.1999999999999995E-2</v>
      </c>
      <c r="Q12" s="39"/>
      <c r="R12" s="39"/>
      <c r="S12" s="39"/>
    </row>
    <row r="13" spans="1:19" ht="12" customHeight="1" x14ac:dyDescent="0.25">
      <c r="A13" s="265"/>
      <c r="B13" s="251"/>
      <c r="C13" s="24" t="s">
        <v>809</v>
      </c>
      <c r="D13" s="20">
        <f>(0.04-0.0045)*4</f>
        <v>0.14199999999999999</v>
      </c>
      <c r="E13" s="21">
        <v>0</v>
      </c>
      <c r="F13" s="25"/>
      <c r="G13" s="23">
        <f t="shared" si="0"/>
        <v>0</v>
      </c>
      <c r="Q13" s="40"/>
      <c r="R13" s="39"/>
      <c r="S13" s="39"/>
    </row>
    <row r="14" spans="1:19" ht="15.6" customHeight="1" x14ac:dyDescent="0.25">
      <c r="A14" s="265"/>
      <c r="B14" s="251"/>
      <c r="C14" s="258" t="s">
        <v>810</v>
      </c>
      <c r="D14" s="258"/>
      <c r="E14" s="258"/>
      <c r="F14" s="258"/>
      <c r="G14" s="26">
        <f>SUM(G7:G13)</f>
        <v>0.78500000000000003</v>
      </c>
      <c r="Q14" s="39"/>
      <c r="R14" s="39"/>
      <c r="S14" s="39"/>
    </row>
    <row r="15" spans="1:19" ht="15.6" customHeight="1" x14ac:dyDescent="0.25">
      <c r="A15" s="266" t="s">
        <v>811</v>
      </c>
      <c r="B15" s="273" t="s">
        <v>812</v>
      </c>
      <c r="C15" s="15" t="s">
        <v>813</v>
      </c>
      <c r="D15" s="16" t="s">
        <v>814</v>
      </c>
      <c r="E15" s="16" t="s">
        <v>815</v>
      </c>
      <c r="F15" s="16" t="s">
        <v>816</v>
      </c>
      <c r="G15" s="18" t="s">
        <v>817</v>
      </c>
      <c r="Q15" s="39"/>
      <c r="R15" s="39"/>
      <c r="S15" s="39"/>
    </row>
    <row r="16" spans="1:19" ht="15.6" customHeight="1" x14ac:dyDescent="0.25">
      <c r="A16" s="267"/>
      <c r="B16" s="274"/>
      <c r="C16" s="25" t="s">
        <v>818</v>
      </c>
      <c r="D16" s="27">
        <v>6</v>
      </c>
      <c r="E16" s="28">
        <v>0</v>
      </c>
      <c r="F16" s="21">
        <v>1.1000000000000001</v>
      </c>
      <c r="G16" s="29">
        <f t="shared" ref="G16:G21" si="1">D16*E16*F16</f>
        <v>0</v>
      </c>
      <c r="Q16" s="39"/>
      <c r="R16" s="39"/>
      <c r="S16" s="39"/>
    </row>
    <row r="17" spans="1:19" ht="15.6" customHeight="1" x14ac:dyDescent="0.25">
      <c r="A17" s="267"/>
      <c r="B17" s="274"/>
      <c r="C17" s="25" t="s">
        <v>819</v>
      </c>
      <c r="D17" s="27">
        <f>D33</f>
        <v>3</v>
      </c>
      <c r="E17" s="28">
        <v>0</v>
      </c>
      <c r="F17" s="21">
        <v>1.1000000000000001</v>
      </c>
      <c r="G17" s="29">
        <f t="shared" si="1"/>
        <v>0</v>
      </c>
      <c r="Q17" s="39"/>
      <c r="R17" s="39"/>
      <c r="S17" s="39"/>
    </row>
    <row r="18" spans="1:19" ht="15.6" customHeight="1" x14ac:dyDescent="0.25">
      <c r="A18" s="267"/>
      <c r="B18" s="275"/>
      <c r="C18" s="294" t="s">
        <v>820</v>
      </c>
      <c r="D18" s="295"/>
      <c r="E18" s="295"/>
      <c r="F18" s="295"/>
      <c r="G18" s="26">
        <f>SUM(G16:G17)/3600*32.09</f>
        <v>0</v>
      </c>
      <c r="Q18" s="39"/>
      <c r="R18" s="39"/>
      <c r="S18" s="39"/>
    </row>
    <row r="19" spans="1:19" ht="12" customHeight="1" x14ac:dyDescent="0.25">
      <c r="A19" s="265" t="s">
        <v>821</v>
      </c>
      <c r="B19" s="251" t="s">
        <v>822</v>
      </c>
      <c r="C19" s="25" t="s">
        <v>823</v>
      </c>
      <c r="D19" s="20">
        <f>0.025</f>
        <v>2.5000000000000001E-2</v>
      </c>
      <c r="E19" s="21">
        <v>0</v>
      </c>
      <c r="F19" s="21">
        <v>1.1000000000000001</v>
      </c>
      <c r="G19" s="23">
        <f t="shared" si="1"/>
        <v>0</v>
      </c>
      <c r="Q19" s="39"/>
      <c r="R19" s="39"/>
      <c r="S19" s="39"/>
    </row>
    <row r="20" spans="1:19" ht="12" customHeight="1" x14ac:dyDescent="0.25">
      <c r="A20" s="265"/>
      <c r="B20" s="251"/>
      <c r="C20" s="25" t="s">
        <v>824</v>
      </c>
      <c r="D20" s="20">
        <f>0.022</f>
        <v>2.1999999999999999E-2</v>
      </c>
      <c r="E20" s="21">
        <v>0</v>
      </c>
      <c r="F20" s="21">
        <v>1.1000000000000001</v>
      </c>
      <c r="G20" s="23">
        <f t="shared" si="1"/>
        <v>0</v>
      </c>
      <c r="Q20" s="39"/>
      <c r="R20" s="39"/>
      <c r="S20" s="39"/>
    </row>
    <row r="21" spans="1:19" ht="12" customHeight="1" x14ac:dyDescent="0.25">
      <c r="A21" s="265"/>
      <c r="B21" s="251"/>
      <c r="C21" s="22" t="s">
        <v>825</v>
      </c>
      <c r="D21" s="20">
        <f>0.025</f>
        <v>2.5000000000000001E-2</v>
      </c>
      <c r="E21" s="21">
        <v>0</v>
      </c>
      <c r="F21" s="21">
        <v>1.1000000000000001</v>
      </c>
      <c r="G21" s="23">
        <f t="shared" si="1"/>
        <v>0</v>
      </c>
      <c r="Q21" s="39"/>
      <c r="R21" s="39"/>
      <c r="S21" s="39"/>
    </row>
    <row r="22" spans="1:19" ht="15.6" customHeight="1" x14ac:dyDescent="0.25">
      <c r="A22" s="268"/>
      <c r="B22" s="252"/>
      <c r="C22" s="279" t="s">
        <v>826</v>
      </c>
      <c r="D22" s="279"/>
      <c r="E22" s="279"/>
      <c r="F22" s="279"/>
      <c r="G22" s="30">
        <f>SUM(G19:G21)</f>
        <v>0</v>
      </c>
      <c r="Q22" s="39"/>
      <c r="R22" s="39"/>
      <c r="S22" s="39"/>
    </row>
    <row r="23" spans="1:19" ht="16.5" customHeight="1" x14ac:dyDescent="0.25">
      <c r="A23" s="14" t="s">
        <v>827</v>
      </c>
      <c r="B23" s="15" t="s">
        <v>795</v>
      </c>
      <c r="C23" s="15" t="s">
        <v>813</v>
      </c>
      <c r="D23" s="16" t="s">
        <v>814</v>
      </c>
      <c r="E23" s="16" t="s">
        <v>828</v>
      </c>
      <c r="F23" s="16" t="s">
        <v>816</v>
      </c>
      <c r="G23" s="18" t="s">
        <v>817</v>
      </c>
    </row>
    <row r="24" spans="1:19" ht="12" customHeight="1" x14ac:dyDescent="0.25">
      <c r="A24" s="265" t="s">
        <v>829</v>
      </c>
      <c r="B24" s="276" t="s">
        <v>830</v>
      </c>
      <c r="C24" s="25" t="s">
        <v>212</v>
      </c>
      <c r="D24" s="27">
        <v>1.2</v>
      </c>
      <c r="E24" s="21">
        <v>0</v>
      </c>
      <c r="F24" s="21">
        <v>1.1000000000000001</v>
      </c>
      <c r="G24" s="23">
        <f t="shared" ref="G24:G30" si="2">D24*E24*F24</f>
        <v>0</v>
      </c>
    </row>
    <row r="25" spans="1:19" ht="12" customHeight="1" x14ac:dyDescent="0.25">
      <c r="A25" s="265"/>
      <c r="B25" s="277"/>
      <c r="C25" s="25" t="s">
        <v>831</v>
      </c>
      <c r="D25" s="27">
        <v>1.8</v>
      </c>
      <c r="E25" s="21">
        <v>0</v>
      </c>
      <c r="F25" s="21">
        <v>1.1000000000000001</v>
      </c>
      <c r="G25" s="23">
        <f t="shared" si="2"/>
        <v>0</v>
      </c>
    </row>
    <row r="26" spans="1:19" ht="12" customHeight="1" x14ac:dyDescent="0.25">
      <c r="A26" s="265"/>
      <c r="B26" s="277"/>
      <c r="C26" s="25" t="s">
        <v>832</v>
      </c>
      <c r="D26" s="27">
        <v>0.6</v>
      </c>
      <c r="E26" s="21">
        <v>0</v>
      </c>
      <c r="F26" s="21">
        <v>1.1000000000000001</v>
      </c>
      <c r="G26" s="23">
        <f t="shared" si="2"/>
        <v>0</v>
      </c>
    </row>
    <row r="27" spans="1:19" ht="12" customHeight="1" x14ac:dyDescent="0.25">
      <c r="A27" s="265"/>
      <c r="B27" s="277"/>
      <c r="C27" s="25" t="s">
        <v>833</v>
      </c>
      <c r="D27" s="27">
        <v>6</v>
      </c>
      <c r="E27" s="21">
        <v>0</v>
      </c>
      <c r="F27" s="21">
        <v>1.1000000000000001</v>
      </c>
      <c r="G27" s="23">
        <f t="shared" si="2"/>
        <v>0</v>
      </c>
    </row>
    <row r="28" spans="1:19" ht="12" customHeight="1" x14ac:dyDescent="0.25">
      <c r="A28" s="265"/>
      <c r="B28" s="277"/>
      <c r="C28" s="25" t="s">
        <v>834</v>
      </c>
      <c r="D28" s="27">
        <v>20</v>
      </c>
      <c r="E28" s="21">
        <v>0</v>
      </c>
      <c r="F28" s="21">
        <v>1.1000000000000001</v>
      </c>
      <c r="G28" s="23">
        <f t="shared" si="2"/>
        <v>0</v>
      </c>
    </row>
    <row r="29" spans="1:19" ht="12" customHeight="1" x14ac:dyDescent="0.25">
      <c r="A29" s="265"/>
      <c r="B29" s="277"/>
      <c r="C29" s="25" t="s">
        <v>835</v>
      </c>
      <c r="D29" s="27">
        <v>8</v>
      </c>
      <c r="E29" s="21">
        <v>0</v>
      </c>
      <c r="F29" s="21">
        <v>1.1000000000000001</v>
      </c>
      <c r="G29" s="23">
        <f t="shared" si="2"/>
        <v>0</v>
      </c>
    </row>
    <row r="30" spans="1:19" ht="12" customHeight="1" x14ac:dyDescent="0.25">
      <c r="A30" s="265"/>
      <c r="B30" s="277"/>
      <c r="C30" s="25" t="s">
        <v>836</v>
      </c>
      <c r="D30" s="27">
        <v>0.5</v>
      </c>
      <c r="E30" s="21">
        <v>0</v>
      </c>
      <c r="F30" s="21">
        <v>1.1000000000000001</v>
      </c>
      <c r="G30" s="23">
        <f t="shared" si="2"/>
        <v>0</v>
      </c>
    </row>
    <row r="31" spans="1:19" ht="15.6" customHeight="1" x14ac:dyDescent="0.25">
      <c r="A31" s="265"/>
      <c r="B31" s="277"/>
      <c r="C31" s="257" t="s">
        <v>837</v>
      </c>
      <c r="D31" s="258"/>
      <c r="E31" s="258"/>
      <c r="F31" s="258"/>
      <c r="G31" s="26">
        <f>32.09*SUM(G24:G30)/3600</f>
        <v>0</v>
      </c>
    </row>
    <row r="32" spans="1:19" ht="15.6" customHeight="1" x14ac:dyDescent="0.25">
      <c r="A32" s="14" t="s">
        <v>827</v>
      </c>
      <c r="B32" s="15" t="s">
        <v>795</v>
      </c>
      <c r="C32" s="15" t="s">
        <v>813</v>
      </c>
      <c r="D32" s="16" t="s">
        <v>838</v>
      </c>
      <c r="E32" s="16" t="s">
        <v>815</v>
      </c>
      <c r="F32" s="16" t="s">
        <v>816</v>
      </c>
      <c r="G32" s="18" t="s">
        <v>817</v>
      </c>
    </row>
    <row r="33" spans="1:8" ht="12" customHeight="1" x14ac:dyDescent="0.25">
      <c r="A33" s="269" t="s">
        <v>839</v>
      </c>
      <c r="B33" s="276" t="s">
        <v>840</v>
      </c>
      <c r="C33" s="25" t="s">
        <v>841</v>
      </c>
      <c r="D33" s="31">
        <v>3</v>
      </c>
      <c r="E33" s="21">
        <v>0</v>
      </c>
      <c r="F33" s="21">
        <v>1.1000000000000001</v>
      </c>
      <c r="G33" s="23">
        <f t="shared" ref="G33:G50" si="3">D33*E33*F33</f>
        <v>0</v>
      </c>
    </row>
    <row r="34" spans="1:8" ht="12" customHeight="1" x14ac:dyDescent="0.25">
      <c r="A34" s="269"/>
      <c r="B34" s="276"/>
      <c r="C34" s="25" t="s">
        <v>842</v>
      </c>
      <c r="D34" s="31">
        <v>3</v>
      </c>
      <c r="E34" s="21">
        <v>0</v>
      </c>
      <c r="F34" s="21">
        <v>1.1000000000000001</v>
      </c>
      <c r="G34" s="23">
        <f t="shared" si="3"/>
        <v>0</v>
      </c>
      <c r="H34" s="1">
        <v>1</v>
      </c>
    </row>
    <row r="35" spans="1:8" ht="12" customHeight="1" x14ac:dyDescent="0.25">
      <c r="A35" s="269"/>
      <c r="B35" s="276"/>
      <c r="C35" s="25" t="s">
        <v>843</v>
      </c>
      <c r="D35" s="31">
        <v>3</v>
      </c>
      <c r="E35" s="21">
        <v>0</v>
      </c>
      <c r="F35" s="21">
        <v>1.1000000000000001</v>
      </c>
      <c r="G35" s="23">
        <f t="shared" si="3"/>
        <v>0</v>
      </c>
    </row>
    <row r="36" spans="1:8" ht="12" customHeight="1" x14ac:dyDescent="0.25">
      <c r="A36" s="269"/>
      <c r="B36" s="276"/>
      <c r="C36" s="25" t="s">
        <v>844</v>
      </c>
      <c r="D36" s="31">
        <v>3</v>
      </c>
      <c r="E36" s="21">
        <v>0</v>
      </c>
      <c r="F36" s="21">
        <v>1.1000000000000001</v>
      </c>
      <c r="G36" s="23">
        <f t="shared" si="3"/>
        <v>0</v>
      </c>
    </row>
    <row r="37" spans="1:8" ht="12" customHeight="1" x14ac:dyDescent="0.25">
      <c r="A37" s="269"/>
      <c r="B37" s="277"/>
      <c r="C37" s="25" t="s">
        <v>845</v>
      </c>
      <c r="D37" s="31">
        <v>3</v>
      </c>
      <c r="E37" s="21">
        <v>0</v>
      </c>
      <c r="F37" s="21">
        <v>1.1000000000000001</v>
      </c>
      <c r="G37" s="23">
        <f t="shared" si="3"/>
        <v>0</v>
      </c>
    </row>
    <row r="38" spans="1:8" ht="12" customHeight="1" x14ac:dyDescent="0.25">
      <c r="A38" s="269"/>
      <c r="B38" s="277"/>
      <c r="C38" s="25" t="s">
        <v>846</v>
      </c>
      <c r="D38" s="31">
        <v>3</v>
      </c>
      <c r="E38" s="21">
        <v>0</v>
      </c>
      <c r="F38" s="21">
        <v>1.1000000000000001</v>
      </c>
      <c r="G38" s="23">
        <f t="shared" si="3"/>
        <v>0</v>
      </c>
    </row>
    <row r="39" spans="1:8" ht="12" customHeight="1" x14ac:dyDescent="0.25">
      <c r="A39" s="269"/>
      <c r="B39" s="277"/>
      <c r="C39" s="25" t="s">
        <v>847</v>
      </c>
      <c r="D39" s="31">
        <v>3</v>
      </c>
      <c r="E39" s="21">
        <v>1</v>
      </c>
      <c r="F39" s="21">
        <v>1.1000000000000001</v>
      </c>
      <c r="G39" s="23">
        <f t="shared" si="3"/>
        <v>3.3</v>
      </c>
    </row>
    <row r="40" spans="1:8" ht="12" customHeight="1" x14ac:dyDescent="0.25">
      <c r="A40" s="269"/>
      <c r="B40" s="277"/>
      <c r="C40" s="25" t="s">
        <v>848</v>
      </c>
      <c r="D40" s="31">
        <v>3</v>
      </c>
      <c r="E40" s="21">
        <v>1</v>
      </c>
      <c r="F40" s="21">
        <v>1.1000000000000001</v>
      </c>
      <c r="G40" s="23">
        <f t="shared" si="3"/>
        <v>3.3</v>
      </c>
    </row>
    <row r="41" spans="1:8" ht="12" customHeight="1" x14ac:dyDescent="0.25">
      <c r="A41" s="269"/>
      <c r="B41" s="277"/>
      <c r="C41" s="25" t="s">
        <v>849</v>
      </c>
      <c r="D41" s="31">
        <v>3</v>
      </c>
      <c r="E41" s="21">
        <v>4</v>
      </c>
      <c r="F41" s="21">
        <v>1.1000000000000001</v>
      </c>
      <c r="G41" s="23">
        <f t="shared" si="3"/>
        <v>13.2</v>
      </c>
    </row>
    <row r="42" spans="1:8" ht="12" customHeight="1" x14ac:dyDescent="0.25">
      <c r="A42" s="269"/>
      <c r="B42" s="277"/>
      <c r="C42" s="25" t="s">
        <v>850</v>
      </c>
      <c r="D42" s="31">
        <v>3</v>
      </c>
      <c r="E42" s="21">
        <v>0</v>
      </c>
      <c r="F42" s="21">
        <v>1.1000000000000001</v>
      </c>
      <c r="G42" s="23">
        <f t="shared" si="3"/>
        <v>0</v>
      </c>
    </row>
    <row r="43" spans="1:8" ht="12" customHeight="1" x14ac:dyDescent="0.25">
      <c r="A43" s="269"/>
      <c r="B43" s="277"/>
      <c r="C43" s="25" t="s">
        <v>851</v>
      </c>
      <c r="D43" s="31">
        <v>3</v>
      </c>
      <c r="E43" s="21">
        <v>0</v>
      </c>
      <c r="F43" s="21">
        <v>1.1000000000000001</v>
      </c>
      <c r="G43" s="23">
        <f t="shared" si="3"/>
        <v>0</v>
      </c>
    </row>
    <row r="44" spans="1:8" ht="12" customHeight="1" x14ac:dyDescent="0.25">
      <c r="A44" s="269"/>
      <c r="B44" s="277"/>
      <c r="C44" s="25" t="s">
        <v>852</v>
      </c>
      <c r="D44" s="31">
        <v>3</v>
      </c>
      <c r="E44" s="21">
        <v>4</v>
      </c>
      <c r="F44" s="21">
        <v>1.1000000000000001</v>
      </c>
      <c r="G44" s="23">
        <f t="shared" si="3"/>
        <v>13.2</v>
      </c>
    </row>
    <row r="45" spans="1:8" ht="12" customHeight="1" x14ac:dyDescent="0.25">
      <c r="A45" s="269"/>
      <c r="B45" s="277"/>
      <c r="C45" s="25" t="s">
        <v>853</v>
      </c>
      <c r="D45" s="31">
        <v>3</v>
      </c>
      <c r="E45" s="21">
        <v>1</v>
      </c>
      <c r="F45" s="21">
        <v>1.1000000000000001</v>
      </c>
      <c r="G45" s="23">
        <f t="shared" si="3"/>
        <v>3.3</v>
      </c>
    </row>
    <row r="46" spans="1:8" ht="12" customHeight="1" x14ac:dyDescent="0.25">
      <c r="A46" s="269"/>
      <c r="B46" s="277"/>
      <c r="C46" s="25" t="s">
        <v>854</v>
      </c>
      <c r="D46" s="31">
        <v>3</v>
      </c>
      <c r="E46" s="21">
        <v>1</v>
      </c>
      <c r="F46" s="21">
        <v>1.1000000000000001</v>
      </c>
      <c r="G46" s="23">
        <f t="shared" si="3"/>
        <v>3.3</v>
      </c>
    </row>
    <row r="47" spans="1:8" ht="12" customHeight="1" x14ac:dyDescent="0.25">
      <c r="A47" s="269"/>
      <c r="B47" s="277"/>
      <c r="C47" s="25" t="s">
        <v>840</v>
      </c>
      <c r="D47" s="31">
        <v>3</v>
      </c>
      <c r="E47" s="21">
        <v>0</v>
      </c>
      <c r="F47" s="21">
        <v>1.1000000000000001</v>
      </c>
      <c r="G47" s="23">
        <f t="shared" si="3"/>
        <v>0</v>
      </c>
    </row>
    <row r="48" spans="1:8" ht="12" customHeight="1" x14ac:dyDescent="0.25">
      <c r="A48" s="269"/>
      <c r="B48" s="277"/>
      <c r="C48" s="25" t="s">
        <v>855</v>
      </c>
      <c r="D48" s="31">
        <v>3</v>
      </c>
      <c r="E48" s="21">
        <v>2</v>
      </c>
      <c r="F48" s="21">
        <v>1.1000000000000001</v>
      </c>
      <c r="G48" s="23">
        <f t="shared" si="3"/>
        <v>6.6</v>
      </c>
    </row>
    <row r="49" spans="1:16" ht="12" customHeight="1" x14ac:dyDescent="0.25">
      <c r="A49" s="269"/>
      <c r="B49" s="277"/>
      <c r="C49" s="25" t="s">
        <v>856</v>
      </c>
      <c r="D49" s="31">
        <v>3</v>
      </c>
      <c r="E49" s="21">
        <v>2</v>
      </c>
      <c r="F49" s="21">
        <v>1.1000000000000001</v>
      </c>
      <c r="G49" s="23">
        <f t="shared" si="3"/>
        <v>6.6</v>
      </c>
    </row>
    <row r="50" spans="1:16" ht="12" customHeight="1" x14ac:dyDescent="0.25">
      <c r="A50" s="269"/>
      <c r="B50" s="277"/>
      <c r="C50" s="25" t="s">
        <v>857</v>
      </c>
      <c r="D50" s="31">
        <v>3</v>
      </c>
      <c r="E50" s="21">
        <v>1</v>
      </c>
      <c r="F50" s="21">
        <v>1.1000000000000001</v>
      </c>
      <c r="G50" s="23">
        <f t="shared" si="3"/>
        <v>3.3</v>
      </c>
    </row>
    <row r="51" spans="1:16" ht="12" customHeight="1" x14ac:dyDescent="0.25">
      <c r="A51" s="269"/>
      <c r="B51" s="277"/>
      <c r="C51" s="25"/>
      <c r="D51" s="31"/>
      <c r="E51" s="21"/>
      <c r="F51" s="21"/>
      <c r="G51" s="23"/>
    </row>
    <row r="52" spans="1:16" ht="12" customHeight="1" x14ac:dyDescent="0.25">
      <c r="A52" s="269"/>
      <c r="B52" s="277"/>
      <c r="C52" s="25"/>
      <c r="D52" s="31"/>
      <c r="E52" s="21"/>
      <c r="F52" s="21"/>
      <c r="G52" s="23"/>
    </row>
    <row r="53" spans="1:16" ht="12" customHeight="1" x14ac:dyDescent="0.25">
      <c r="A53" s="269"/>
      <c r="B53" s="277"/>
      <c r="C53" s="25"/>
      <c r="D53" s="31"/>
      <c r="E53" s="21"/>
      <c r="F53" s="21"/>
      <c r="G53" s="23"/>
      <c r="P53" s="38"/>
    </row>
    <row r="54" spans="1:16" ht="12" customHeight="1" x14ac:dyDescent="0.25">
      <c r="A54" s="269"/>
      <c r="B54" s="277"/>
      <c r="C54" s="25"/>
      <c r="D54" s="31"/>
      <c r="E54" s="21"/>
      <c r="F54" s="21"/>
      <c r="G54" s="23"/>
    </row>
    <row r="55" spans="1:16" ht="15.6" customHeight="1" x14ac:dyDescent="0.25">
      <c r="A55" s="270"/>
      <c r="B55" s="278"/>
      <c r="C55" s="280" t="s">
        <v>858</v>
      </c>
      <c r="D55" s="279"/>
      <c r="E55" s="279"/>
      <c r="F55" s="279"/>
      <c r="G55" s="30">
        <f>32.09*SUM(G33:G54)/3600</f>
        <v>0.50006916666666701</v>
      </c>
    </row>
    <row r="56" spans="1:16" ht="15.6" customHeight="1" x14ac:dyDescent="0.25">
      <c r="A56" s="281" t="s">
        <v>859</v>
      </c>
      <c r="B56" s="282"/>
      <c r="C56" s="282"/>
      <c r="D56" s="282"/>
      <c r="E56" s="282"/>
      <c r="F56" s="283"/>
      <c r="G56" s="32">
        <f>G14+G18+G22+G31+G55</f>
        <v>1.28506916666667</v>
      </c>
      <c r="H56" s="33"/>
    </row>
    <row r="57" spans="1:16" ht="16.5" customHeight="1" x14ac:dyDescent="0.25">
      <c r="A57" s="271" t="s">
        <v>860</v>
      </c>
      <c r="B57" s="286" t="s">
        <v>861</v>
      </c>
      <c r="C57" s="15" t="s">
        <v>862</v>
      </c>
      <c r="D57" s="16" t="s">
        <v>863</v>
      </c>
      <c r="E57" s="16" t="s">
        <v>864</v>
      </c>
      <c r="F57" s="16" t="s">
        <v>816</v>
      </c>
      <c r="G57" s="18" t="s">
        <v>865</v>
      </c>
    </row>
    <row r="58" spans="1:16" ht="16.5" customHeight="1" x14ac:dyDescent="0.25">
      <c r="A58" s="272"/>
      <c r="B58" s="287"/>
      <c r="C58" s="34" t="s">
        <v>866</v>
      </c>
      <c r="D58" s="35">
        <v>0.04</v>
      </c>
      <c r="E58" s="36">
        <v>2</v>
      </c>
      <c r="F58" s="21">
        <v>1</v>
      </c>
      <c r="G58" s="37">
        <f t="shared" ref="G58:G64" si="4">D58*E58*F58</f>
        <v>0.08</v>
      </c>
    </row>
    <row r="59" spans="1:16" ht="16.5" customHeight="1" x14ac:dyDescent="0.25">
      <c r="A59" s="272"/>
      <c r="B59" s="287"/>
      <c r="C59" s="34" t="s">
        <v>867</v>
      </c>
      <c r="D59" s="35">
        <v>1.9E-2</v>
      </c>
      <c r="E59" s="36">
        <v>0</v>
      </c>
      <c r="F59" s="21">
        <v>1.2</v>
      </c>
      <c r="G59" s="37">
        <f t="shared" si="4"/>
        <v>0</v>
      </c>
    </row>
    <row r="60" spans="1:16" ht="14.25" customHeight="1" x14ac:dyDescent="0.25">
      <c r="A60" s="265"/>
      <c r="B60" s="251"/>
      <c r="C60" s="25" t="s">
        <v>868</v>
      </c>
      <c r="D60" s="35">
        <v>0.27900000000000003</v>
      </c>
      <c r="E60" s="36">
        <v>0</v>
      </c>
      <c r="F60" s="21">
        <v>1.1000000000000001</v>
      </c>
      <c r="G60" s="37">
        <f t="shared" si="4"/>
        <v>0</v>
      </c>
    </row>
    <row r="61" spans="1:16" ht="12" customHeight="1" x14ac:dyDescent="0.25">
      <c r="A61" s="265"/>
      <c r="B61" s="251"/>
      <c r="C61" s="25" t="s">
        <v>869</v>
      </c>
      <c r="D61" s="35">
        <v>0.19600000000000001</v>
      </c>
      <c r="E61" s="36">
        <v>0</v>
      </c>
      <c r="F61" s="21">
        <v>1.2</v>
      </c>
      <c r="G61" s="37">
        <f t="shared" si="4"/>
        <v>0</v>
      </c>
    </row>
    <row r="62" spans="1:16" ht="12.75" customHeight="1" x14ac:dyDescent="0.25">
      <c r="A62" s="265"/>
      <c r="B62" s="251"/>
      <c r="C62" s="25" t="s">
        <v>870</v>
      </c>
      <c r="D62" s="35">
        <v>0.04</v>
      </c>
      <c r="E62" s="36">
        <v>0</v>
      </c>
      <c r="F62" s="21">
        <v>1.1000000000000001</v>
      </c>
      <c r="G62" s="37">
        <f t="shared" si="4"/>
        <v>0</v>
      </c>
    </row>
    <row r="63" spans="1:16" ht="12" customHeight="1" x14ac:dyDescent="0.25">
      <c r="A63" s="265"/>
      <c r="B63" s="251"/>
      <c r="C63" s="25" t="s">
        <v>871</v>
      </c>
      <c r="D63" s="35">
        <v>0.21</v>
      </c>
      <c r="E63" s="36">
        <v>0.5</v>
      </c>
      <c r="F63" s="21">
        <v>1.2</v>
      </c>
      <c r="G63" s="37">
        <f t="shared" si="4"/>
        <v>0.126</v>
      </c>
    </row>
    <row r="64" spans="1:16" ht="12" customHeight="1" x14ac:dyDescent="0.25">
      <c r="A64" s="265"/>
      <c r="B64" s="251"/>
      <c r="C64" s="22" t="s">
        <v>872</v>
      </c>
      <c r="D64" s="35">
        <v>2.4E-2</v>
      </c>
      <c r="E64" s="36">
        <v>0</v>
      </c>
      <c r="F64" s="21">
        <v>1.2</v>
      </c>
      <c r="G64" s="37">
        <f t="shared" si="4"/>
        <v>0</v>
      </c>
    </row>
    <row r="65" spans="1:8" ht="15.6" customHeight="1" x14ac:dyDescent="0.25">
      <c r="A65" s="266"/>
      <c r="B65" s="273"/>
      <c r="C65" s="284" t="s">
        <v>873</v>
      </c>
      <c r="D65" s="285"/>
      <c r="E65" s="285"/>
      <c r="F65" s="285"/>
      <c r="G65" s="41">
        <f>SUM(G58:G64)</f>
        <v>0.20599999999999999</v>
      </c>
    </row>
    <row r="66" spans="1:8" ht="16.5" customHeight="1" x14ac:dyDescent="0.25">
      <c r="A66" s="271" t="s">
        <v>874</v>
      </c>
      <c r="B66" s="250" t="s">
        <v>875</v>
      </c>
      <c r="C66" s="42" t="s">
        <v>876</v>
      </c>
      <c r="D66" s="42" t="s">
        <v>877</v>
      </c>
      <c r="E66" s="42" t="s">
        <v>878</v>
      </c>
      <c r="F66" s="42" t="s">
        <v>27</v>
      </c>
      <c r="G66" s="43" t="s">
        <v>879</v>
      </c>
    </row>
    <row r="67" spans="1:8" ht="12" customHeight="1" x14ac:dyDescent="0.25">
      <c r="A67" s="265"/>
      <c r="B67" s="251"/>
      <c r="C67" s="25" t="s">
        <v>880</v>
      </c>
      <c r="D67" s="44">
        <v>265</v>
      </c>
      <c r="E67" s="45">
        <v>1</v>
      </c>
      <c r="F67" s="253" t="s">
        <v>881</v>
      </c>
      <c r="G67" s="46">
        <f t="shared" ref="G67:G78" si="5">D67*E67</f>
        <v>265</v>
      </c>
    </row>
    <row r="68" spans="1:8" ht="12" customHeight="1" x14ac:dyDescent="0.25">
      <c r="A68" s="265"/>
      <c r="B68" s="251"/>
      <c r="C68" s="25" t="s">
        <v>882</v>
      </c>
      <c r="D68" s="44">
        <v>1000</v>
      </c>
      <c r="E68" s="45">
        <v>1</v>
      </c>
      <c r="F68" s="254"/>
      <c r="G68" s="46">
        <f t="shared" si="5"/>
        <v>1000</v>
      </c>
      <c r="H68" s="33"/>
    </row>
    <row r="69" spans="1:8" ht="12" customHeight="1" x14ac:dyDescent="0.25">
      <c r="A69" s="265"/>
      <c r="B69" s="251"/>
      <c r="C69" s="25" t="s">
        <v>883</v>
      </c>
      <c r="D69" s="47">
        <v>350</v>
      </c>
      <c r="E69" s="45">
        <v>50</v>
      </c>
      <c r="F69" s="255"/>
      <c r="G69" s="46">
        <f t="shared" si="5"/>
        <v>17500</v>
      </c>
    </row>
    <row r="70" spans="1:8" ht="12" customHeight="1" x14ac:dyDescent="0.25">
      <c r="A70" s="265"/>
      <c r="B70" s="251"/>
      <c r="C70" s="25" t="s">
        <v>884</v>
      </c>
      <c r="D70" s="47">
        <v>1500</v>
      </c>
      <c r="E70" s="45">
        <v>0</v>
      </c>
      <c r="F70" s="255"/>
      <c r="G70" s="46">
        <f t="shared" si="5"/>
        <v>0</v>
      </c>
    </row>
    <row r="71" spans="1:8" ht="12" customHeight="1" x14ac:dyDescent="0.25">
      <c r="A71" s="265"/>
      <c r="B71" s="251"/>
      <c r="C71" s="25" t="s">
        <v>885</v>
      </c>
      <c r="D71" s="47">
        <v>20000</v>
      </c>
      <c r="E71" s="45">
        <v>0</v>
      </c>
      <c r="F71" s="255"/>
      <c r="G71" s="46">
        <f t="shared" si="5"/>
        <v>0</v>
      </c>
    </row>
    <row r="72" spans="1:8" ht="12" customHeight="1" x14ac:dyDescent="0.25">
      <c r="A72" s="265"/>
      <c r="B72" s="251"/>
      <c r="C72" s="25" t="s">
        <v>886</v>
      </c>
      <c r="D72" s="44">
        <v>800</v>
      </c>
      <c r="E72" s="45">
        <v>1</v>
      </c>
      <c r="F72" s="255"/>
      <c r="G72" s="46">
        <f t="shared" si="5"/>
        <v>800</v>
      </c>
    </row>
    <row r="73" spans="1:8" ht="12" customHeight="1" x14ac:dyDescent="0.25">
      <c r="A73" s="265"/>
      <c r="B73" s="251"/>
      <c r="C73" s="22" t="s">
        <v>887</v>
      </c>
      <c r="D73" s="44">
        <v>8000</v>
      </c>
      <c r="E73" s="45">
        <v>1</v>
      </c>
      <c r="F73" s="255"/>
      <c r="G73" s="46">
        <f t="shared" si="5"/>
        <v>8000</v>
      </c>
    </row>
    <row r="74" spans="1:8" ht="12" customHeight="1" x14ac:dyDescent="0.25">
      <c r="A74" s="265"/>
      <c r="B74" s="251"/>
      <c r="C74" s="25" t="s">
        <v>888</v>
      </c>
      <c r="D74" s="44">
        <v>4000</v>
      </c>
      <c r="E74" s="45">
        <v>1</v>
      </c>
      <c r="F74" s="255"/>
      <c r="G74" s="46">
        <f t="shared" si="5"/>
        <v>4000</v>
      </c>
    </row>
    <row r="75" spans="1:8" ht="12" customHeight="1" x14ac:dyDescent="0.25">
      <c r="A75" s="265"/>
      <c r="B75" s="251"/>
      <c r="C75" s="22" t="s">
        <v>889</v>
      </c>
      <c r="D75" s="44">
        <v>8000</v>
      </c>
      <c r="E75" s="45">
        <v>4</v>
      </c>
      <c r="F75" s="255"/>
      <c r="G75" s="46">
        <f t="shared" si="5"/>
        <v>32000</v>
      </c>
    </row>
    <row r="76" spans="1:8" ht="12" customHeight="1" x14ac:dyDescent="0.25">
      <c r="A76" s="265"/>
      <c r="B76" s="251"/>
      <c r="C76" s="22" t="s">
        <v>890</v>
      </c>
      <c r="D76" s="44">
        <v>4000</v>
      </c>
      <c r="E76" s="45">
        <v>1</v>
      </c>
      <c r="F76" s="255"/>
      <c r="G76" s="46">
        <f t="shared" si="5"/>
        <v>4000</v>
      </c>
    </row>
    <row r="77" spans="1:8" ht="12" customHeight="1" x14ac:dyDescent="0.25">
      <c r="A77" s="265"/>
      <c r="B77" s="251"/>
      <c r="C77" s="25" t="s">
        <v>891</v>
      </c>
      <c r="D77" s="44">
        <v>800</v>
      </c>
      <c r="E77" s="45">
        <v>20</v>
      </c>
      <c r="F77" s="255"/>
      <c r="G77" s="46">
        <f t="shared" si="5"/>
        <v>16000</v>
      </c>
    </row>
    <row r="78" spans="1:8" ht="12" customHeight="1" x14ac:dyDescent="0.25">
      <c r="A78" s="265"/>
      <c r="B78" s="251"/>
      <c r="C78" s="25" t="s">
        <v>892</v>
      </c>
      <c r="D78" s="44">
        <v>300</v>
      </c>
      <c r="E78" s="45">
        <v>0</v>
      </c>
      <c r="F78" s="256"/>
      <c r="G78" s="46">
        <f t="shared" si="5"/>
        <v>0</v>
      </c>
      <c r="H78" s="33"/>
    </row>
    <row r="79" spans="1:8" ht="15.6" customHeight="1" x14ac:dyDescent="0.25">
      <c r="A79" s="265"/>
      <c r="B79" s="251"/>
      <c r="C79" s="257" t="s">
        <v>893</v>
      </c>
      <c r="D79" s="258"/>
      <c r="E79" s="258"/>
      <c r="F79" s="258"/>
      <c r="G79" s="48">
        <f>SUM(G67:G78)</f>
        <v>83565</v>
      </c>
      <c r="H79" s="49"/>
    </row>
    <row r="80" spans="1:8" ht="15.6" customHeight="1" x14ac:dyDescent="0.25">
      <c r="A80" s="268"/>
      <c r="B80" s="252"/>
      <c r="C80" s="259" t="s">
        <v>894</v>
      </c>
      <c r="D80" s="260"/>
      <c r="E80" s="260"/>
      <c r="F80" s="260"/>
      <c r="G80" s="50">
        <f>G79/G4</f>
        <v>83565</v>
      </c>
    </row>
    <row r="81" spans="1:8" ht="15.9" customHeight="1" x14ac:dyDescent="0.25">
      <c r="A81" s="261" t="s">
        <v>895</v>
      </c>
      <c r="B81" s="262"/>
      <c r="C81" s="262"/>
      <c r="D81" s="262"/>
      <c r="E81" s="262"/>
      <c r="F81" s="263"/>
      <c r="G81" s="51">
        <f>G56+G65+G80</f>
        <v>83566.491069166703</v>
      </c>
      <c r="H81" s="52"/>
    </row>
    <row r="82" spans="1:8" ht="15.75" customHeight="1" x14ac:dyDescent="0.25">
      <c r="A82" s="264" t="s">
        <v>896</v>
      </c>
      <c r="B82" s="264"/>
      <c r="C82" s="264"/>
      <c r="D82" s="264"/>
      <c r="E82" s="264"/>
      <c r="F82" s="264"/>
      <c r="G82" s="264"/>
    </row>
  </sheetData>
  <mergeCells count="29">
    <mergeCell ref="A56:F56"/>
    <mergeCell ref="C65:F65"/>
    <mergeCell ref="B57:B65"/>
    <mergeCell ref="A2:G2"/>
    <mergeCell ref="D4:E4"/>
    <mergeCell ref="A5:G5"/>
    <mergeCell ref="C14:F14"/>
    <mergeCell ref="C18:F18"/>
    <mergeCell ref="A82:G82"/>
    <mergeCell ref="A7:A14"/>
    <mergeCell ref="A15:A18"/>
    <mergeCell ref="A19:A22"/>
    <mergeCell ref="A24:A31"/>
    <mergeCell ref="A33:A55"/>
    <mergeCell ref="A57:A65"/>
    <mergeCell ref="A66:A80"/>
    <mergeCell ref="B7:B14"/>
    <mergeCell ref="B15:B18"/>
    <mergeCell ref="B19:B22"/>
    <mergeCell ref="B24:B31"/>
    <mergeCell ref="B33:B55"/>
    <mergeCell ref="C22:F22"/>
    <mergeCell ref="C31:F31"/>
    <mergeCell ref="C55:F55"/>
    <mergeCell ref="B66:B80"/>
    <mergeCell ref="F67:F78"/>
    <mergeCell ref="C79:F79"/>
    <mergeCell ref="C80:F80"/>
    <mergeCell ref="A81:F81"/>
  </mergeCells>
  <phoneticPr fontId="58" type="noConversion"/>
  <pageMargins left="0.75" right="0.75" top="1" bottom="1" header="0.5" footer="0.5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82"/>
  <sheetViews>
    <sheetView workbookViewId="0">
      <selection activeCell="L17" sqref="L17"/>
    </sheetView>
  </sheetViews>
  <sheetFormatPr defaultColWidth="9" defaultRowHeight="15" x14ac:dyDescent="0.25"/>
  <cols>
    <col min="1" max="1" width="5.6640625" style="1" customWidth="1"/>
    <col min="2" max="2" width="10" style="1" customWidth="1"/>
    <col min="3" max="3" width="14.109375" style="1" customWidth="1"/>
    <col min="4" max="4" width="13.6640625" style="1"/>
    <col min="5" max="5" width="13" style="1" customWidth="1"/>
    <col min="6" max="6" width="19.33203125" style="1" customWidth="1"/>
    <col min="7" max="7" width="14.44140625" style="1" customWidth="1"/>
    <col min="8" max="17" width="9" style="1"/>
    <col min="18" max="18" width="11.44140625" style="1" customWidth="1"/>
    <col min="19" max="16384" width="9" style="1"/>
  </cols>
  <sheetData>
    <row r="1" spans="1:19" ht="5.0999999999999996" customHeight="1" x14ac:dyDescent="0.25">
      <c r="A1" s="2"/>
      <c r="B1" s="2"/>
      <c r="C1" s="2"/>
      <c r="D1" s="2"/>
      <c r="E1" s="2"/>
      <c r="F1" s="3"/>
      <c r="G1" s="2"/>
    </row>
    <row r="2" spans="1:19" ht="24" customHeight="1" x14ac:dyDescent="0.25">
      <c r="A2" s="288" t="s">
        <v>786</v>
      </c>
      <c r="B2" s="289"/>
      <c r="C2" s="289"/>
      <c r="D2" s="289"/>
      <c r="E2" s="289"/>
      <c r="F2" s="289"/>
      <c r="G2" s="290"/>
      <c r="Q2" s="39"/>
      <c r="R2" s="40"/>
      <c r="S2" s="40"/>
    </row>
    <row r="3" spans="1:19" ht="14.25" customHeight="1" x14ac:dyDescent="0.25">
      <c r="A3" s="4"/>
      <c r="B3" s="5"/>
      <c r="C3" s="5"/>
      <c r="D3" s="6" t="s">
        <v>787</v>
      </c>
      <c r="E3" s="7" t="s">
        <v>788</v>
      </c>
      <c r="F3" s="6" t="s">
        <v>789</v>
      </c>
      <c r="G3" s="8"/>
      <c r="Q3" s="39"/>
      <c r="R3" s="39"/>
      <c r="S3" s="39"/>
    </row>
    <row r="4" spans="1:19" ht="18" customHeight="1" x14ac:dyDescent="0.25">
      <c r="A4" s="9" t="s">
        <v>790</v>
      </c>
      <c r="B4" s="10"/>
      <c r="C4" s="11" t="s">
        <v>791</v>
      </c>
      <c r="D4" s="291" t="s">
        <v>898</v>
      </c>
      <c r="E4" s="292"/>
      <c r="F4" s="12" t="s">
        <v>793</v>
      </c>
      <c r="G4" s="13">
        <v>1</v>
      </c>
      <c r="Q4" s="39"/>
      <c r="R4" s="39"/>
      <c r="S4" s="39"/>
    </row>
    <row r="5" spans="1:19" ht="4.5" customHeight="1" x14ac:dyDescent="0.25">
      <c r="A5" s="293"/>
      <c r="B5" s="293"/>
      <c r="C5" s="293"/>
      <c r="D5" s="293"/>
      <c r="E5" s="293"/>
      <c r="F5" s="293"/>
      <c r="G5" s="293"/>
      <c r="Q5" s="39"/>
      <c r="R5" s="39"/>
      <c r="S5" s="39"/>
    </row>
    <row r="6" spans="1:19" ht="15" customHeight="1" x14ac:dyDescent="0.25">
      <c r="A6" s="14" t="s">
        <v>794</v>
      </c>
      <c r="B6" s="15" t="s">
        <v>795</v>
      </c>
      <c r="C6" s="15" t="s">
        <v>796</v>
      </c>
      <c r="D6" s="16" t="s">
        <v>797</v>
      </c>
      <c r="E6" s="16" t="s">
        <v>798</v>
      </c>
      <c r="F6" s="17" t="s">
        <v>27</v>
      </c>
      <c r="G6" s="18" t="s">
        <v>799</v>
      </c>
      <c r="Q6" s="39"/>
      <c r="R6" s="39"/>
      <c r="S6" s="39"/>
    </row>
    <row r="7" spans="1:19" ht="12" customHeight="1" x14ac:dyDescent="0.25">
      <c r="A7" s="265" t="s">
        <v>800</v>
      </c>
      <c r="B7" s="251" t="s">
        <v>801</v>
      </c>
      <c r="C7" s="19" t="s">
        <v>802</v>
      </c>
      <c r="D7" s="20">
        <f>0.019</f>
        <v>1.9E-2</v>
      </c>
      <c r="E7" s="21">
        <v>135</v>
      </c>
      <c r="F7" s="22"/>
      <c r="G7" s="23">
        <f t="shared" ref="G7:G13" si="0">D7*E7</f>
        <v>2.5649999999999999</v>
      </c>
      <c r="Q7" s="39"/>
      <c r="R7" s="39"/>
      <c r="S7" s="39"/>
    </row>
    <row r="8" spans="1:19" ht="12" customHeight="1" x14ac:dyDescent="0.25">
      <c r="A8" s="265"/>
      <c r="B8" s="251"/>
      <c r="C8" s="19" t="s">
        <v>803</v>
      </c>
      <c r="D8" s="20">
        <f>0.02</f>
        <v>0.02</v>
      </c>
      <c r="E8" s="21">
        <v>23</v>
      </c>
      <c r="F8" s="22"/>
      <c r="G8" s="23">
        <f t="shared" si="0"/>
        <v>0.46</v>
      </c>
      <c r="Q8" s="40"/>
      <c r="R8" s="39"/>
      <c r="S8" s="39"/>
    </row>
    <row r="9" spans="1:19" ht="12" customHeight="1" x14ac:dyDescent="0.25">
      <c r="A9" s="265"/>
      <c r="B9" s="251"/>
      <c r="C9" s="24" t="s">
        <v>804</v>
      </c>
      <c r="D9" s="20">
        <f>0.02</f>
        <v>0.02</v>
      </c>
      <c r="E9" s="21">
        <v>9</v>
      </c>
      <c r="F9" s="22"/>
      <c r="G9" s="23">
        <f t="shared" si="0"/>
        <v>0.18</v>
      </c>
      <c r="Q9" s="39"/>
      <c r="R9" s="39"/>
      <c r="S9" s="39"/>
    </row>
    <row r="10" spans="1:19" ht="12" customHeight="1" x14ac:dyDescent="0.25">
      <c r="A10" s="265"/>
      <c r="B10" s="251"/>
      <c r="C10" s="24" t="s">
        <v>805</v>
      </c>
      <c r="D10" s="20">
        <f>0.06</f>
        <v>0.06</v>
      </c>
      <c r="E10" s="21">
        <v>3</v>
      </c>
      <c r="F10" s="22"/>
      <c r="G10" s="23">
        <f t="shared" si="0"/>
        <v>0.18</v>
      </c>
      <c r="Q10" s="40"/>
      <c r="R10" s="39"/>
      <c r="S10" s="39"/>
    </row>
    <row r="11" spans="1:19" ht="12" customHeight="1" x14ac:dyDescent="0.25">
      <c r="A11" s="265"/>
      <c r="B11" s="251"/>
      <c r="C11" s="24" t="s">
        <v>806</v>
      </c>
      <c r="D11" s="20">
        <f>0.035</f>
        <v>3.5000000000000003E-2</v>
      </c>
      <c r="E11" s="21">
        <v>8</v>
      </c>
      <c r="F11" s="22"/>
      <c r="G11" s="23">
        <f t="shared" si="0"/>
        <v>0.28000000000000003</v>
      </c>
      <c r="Q11" s="40"/>
      <c r="R11" s="39"/>
      <c r="S11" s="39"/>
    </row>
    <row r="12" spans="1:19" ht="12" customHeight="1" x14ac:dyDescent="0.25">
      <c r="A12" s="265"/>
      <c r="B12" s="251"/>
      <c r="C12" s="24" t="s">
        <v>807</v>
      </c>
      <c r="D12" s="20">
        <f>0.018</f>
        <v>1.7999999999999999E-2</v>
      </c>
      <c r="E12" s="21">
        <v>34</v>
      </c>
      <c r="F12" s="25" t="s">
        <v>808</v>
      </c>
      <c r="G12" s="23">
        <f t="shared" si="0"/>
        <v>0.61199999999999999</v>
      </c>
      <c r="Q12" s="39"/>
      <c r="R12" s="39"/>
      <c r="S12" s="39"/>
    </row>
    <row r="13" spans="1:19" ht="12" customHeight="1" x14ac:dyDescent="0.25">
      <c r="A13" s="265"/>
      <c r="B13" s="251"/>
      <c r="C13" s="24" t="s">
        <v>809</v>
      </c>
      <c r="D13" s="20">
        <f>(0.04-0.0045)*4</f>
        <v>0.14199999999999999</v>
      </c>
      <c r="E13" s="21">
        <v>0</v>
      </c>
      <c r="F13" s="25"/>
      <c r="G13" s="23">
        <f t="shared" si="0"/>
        <v>0</v>
      </c>
      <c r="Q13" s="40"/>
      <c r="R13" s="39"/>
      <c r="S13" s="39"/>
    </row>
    <row r="14" spans="1:19" ht="15.6" customHeight="1" x14ac:dyDescent="0.25">
      <c r="A14" s="265"/>
      <c r="B14" s="251"/>
      <c r="C14" s="258" t="s">
        <v>810</v>
      </c>
      <c r="D14" s="258"/>
      <c r="E14" s="258"/>
      <c r="F14" s="258"/>
      <c r="G14" s="26">
        <f>SUM(G7:G13)</f>
        <v>4.2770000000000001</v>
      </c>
      <c r="Q14" s="39"/>
      <c r="R14" s="39"/>
      <c r="S14" s="39"/>
    </row>
    <row r="15" spans="1:19" ht="15.6" customHeight="1" x14ac:dyDescent="0.25">
      <c r="A15" s="266" t="s">
        <v>811</v>
      </c>
      <c r="B15" s="273" t="s">
        <v>812</v>
      </c>
      <c r="C15" s="15" t="s">
        <v>813</v>
      </c>
      <c r="D15" s="16" t="s">
        <v>814</v>
      </c>
      <c r="E15" s="16" t="s">
        <v>815</v>
      </c>
      <c r="F15" s="16" t="s">
        <v>816</v>
      </c>
      <c r="G15" s="18" t="s">
        <v>817</v>
      </c>
      <c r="Q15" s="39"/>
      <c r="R15" s="39"/>
      <c r="S15" s="39"/>
    </row>
    <row r="16" spans="1:19" ht="15.6" customHeight="1" x14ac:dyDescent="0.25">
      <c r="A16" s="267"/>
      <c r="B16" s="274"/>
      <c r="C16" s="25" t="s">
        <v>818</v>
      </c>
      <c r="D16" s="27">
        <v>6</v>
      </c>
      <c r="E16" s="28">
        <v>1</v>
      </c>
      <c r="F16" s="21">
        <v>1.1000000000000001</v>
      </c>
      <c r="G16" s="29">
        <f t="shared" ref="G16:G21" si="1">D16*E16*F16</f>
        <v>6.6</v>
      </c>
      <c r="Q16" s="39"/>
      <c r="R16" s="39"/>
      <c r="S16" s="39"/>
    </row>
    <row r="17" spans="1:19" ht="15.6" customHeight="1" x14ac:dyDescent="0.25">
      <c r="A17" s="267"/>
      <c r="B17" s="274"/>
      <c r="C17" s="25" t="s">
        <v>819</v>
      </c>
      <c r="D17" s="27">
        <f>D33</f>
        <v>6</v>
      </c>
      <c r="E17" s="28">
        <v>0</v>
      </c>
      <c r="F17" s="21">
        <v>1.1000000000000001</v>
      </c>
      <c r="G17" s="29">
        <f t="shared" si="1"/>
        <v>0</v>
      </c>
      <c r="Q17" s="39"/>
      <c r="R17" s="39"/>
      <c r="S17" s="39"/>
    </row>
    <row r="18" spans="1:19" ht="15.6" customHeight="1" x14ac:dyDescent="0.25">
      <c r="A18" s="267"/>
      <c r="B18" s="275"/>
      <c r="C18" s="294" t="s">
        <v>820</v>
      </c>
      <c r="D18" s="295"/>
      <c r="E18" s="295"/>
      <c r="F18" s="295"/>
      <c r="G18" s="26">
        <f>SUM(G16:G17)/3600*32.09</f>
        <v>5.8831666666666699E-2</v>
      </c>
      <c r="Q18" s="39"/>
      <c r="R18" s="39"/>
      <c r="S18" s="39"/>
    </row>
    <row r="19" spans="1:19" ht="12" customHeight="1" x14ac:dyDescent="0.25">
      <c r="A19" s="265" t="s">
        <v>821</v>
      </c>
      <c r="B19" s="251" t="s">
        <v>822</v>
      </c>
      <c r="C19" s="25" t="s">
        <v>823</v>
      </c>
      <c r="D19" s="20">
        <f>0.025</f>
        <v>2.5000000000000001E-2</v>
      </c>
      <c r="E19" s="21">
        <v>0</v>
      </c>
      <c r="F19" s="21">
        <v>1.1000000000000001</v>
      </c>
      <c r="G19" s="23">
        <f t="shared" si="1"/>
        <v>0</v>
      </c>
      <c r="Q19" s="39"/>
      <c r="R19" s="39"/>
      <c r="S19" s="39"/>
    </row>
    <row r="20" spans="1:19" ht="12" customHeight="1" x14ac:dyDescent="0.25">
      <c r="A20" s="265"/>
      <c r="B20" s="251"/>
      <c r="C20" s="25" t="s">
        <v>824</v>
      </c>
      <c r="D20" s="20">
        <f>0.022</f>
        <v>2.1999999999999999E-2</v>
      </c>
      <c r="E20" s="21">
        <v>0</v>
      </c>
      <c r="F20" s="21">
        <v>1.1000000000000001</v>
      </c>
      <c r="G20" s="23">
        <f t="shared" si="1"/>
        <v>0</v>
      </c>
      <c r="Q20" s="39"/>
      <c r="R20" s="39"/>
      <c r="S20" s="39"/>
    </row>
    <row r="21" spans="1:19" ht="12" customHeight="1" x14ac:dyDescent="0.25">
      <c r="A21" s="265"/>
      <c r="B21" s="251"/>
      <c r="C21" s="22" t="s">
        <v>825</v>
      </c>
      <c r="D21" s="20">
        <f>0.025</f>
        <v>2.5000000000000001E-2</v>
      </c>
      <c r="E21" s="21">
        <v>0</v>
      </c>
      <c r="F21" s="21">
        <v>1.1000000000000001</v>
      </c>
      <c r="G21" s="23">
        <f t="shared" si="1"/>
        <v>0</v>
      </c>
      <c r="Q21" s="39"/>
      <c r="R21" s="39"/>
      <c r="S21" s="39"/>
    </row>
    <row r="22" spans="1:19" ht="15.6" customHeight="1" x14ac:dyDescent="0.25">
      <c r="A22" s="268"/>
      <c r="B22" s="252"/>
      <c r="C22" s="279" t="s">
        <v>826</v>
      </c>
      <c r="D22" s="279"/>
      <c r="E22" s="279"/>
      <c r="F22" s="279"/>
      <c r="G22" s="30">
        <f>SUM(G19:G21)</f>
        <v>0</v>
      </c>
      <c r="Q22" s="39"/>
      <c r="R22" s="39"/>
      <c r="S22" s="39"/>
    </row>
    <row r="23" spans="1:19" ht="16.5" customHeight="1" x14ac:dyDescent="0.25">
      <c r="A23" s="14" t="s">
        <v>827</v>
      </c>
      <c r="B23" s="15" t="s">
        <v>795</v>
      </c>
      <c r="C23" s="15" t="s">
        <v>813</v>
      </c>
      <c r="D23" s="16" t="s">
        <v>814</v>
      </c>
      <c r="E23" s="16" t="s">
        <v>828</v>
      </c>
      <c r="F23" s="16" t="s">
        <v>816</v>
      </c>
      <c r="G23" s="18" t="s">
        <v>817</v>
      </c>
    </row>
    <row r="24" spans="1:19" ht="12" customHeight="1" x14ac:dyDescent="0.25">
      <c r="A24" s="265" t="s">
        <v>829</v>
      </c>
      <c r="B24" s="276" t="s">
        <v>830</v>
      </c>
      <c r="C24" s="25" t="s">
        <v>212</v>
      </c>
      <c r="D24" s="27">
        <v>1.2</v>
      </c>
      <c r="E24" s="21">
        <v>2</v>
      </c>
      <c r="F24" s="21">
        <v>1.1000000000000001</v>
      </c>
      <c r="G24" s="23">
        <f t="shared" ref="G24:G30" si="2">D24*E24*F24</f>
        <v>2.64</v>
      </c>
    </row>
    <row r="25" spans="1:19" ht="12" customHeight="1" x14ac:dyDescent="0.25">
      <c r="A25" s="265"/>
      <c r="B25" s="277"/>
      <c r="C25" s="25" t="s">
        <v>831</v>
      </c>
      <c r="D25" s="27">
        <v>1.8</v>
      </c>
      <c r="E25" s="21">
        <v>0</v>
      </c>
      <c r="F25" s="21">
        <v>1.1000000000000001</v>
      </c>
      <c r="G25" s="23">
        <f t="shared" si="2"/>
        <v>0</v>
      </c>
    </row>
    <row r="26" spans="1:19" ht="12" customHeight="1" x14ac:dyDescent="0.25">
      <c r="A26" s="265"/>
      <c r="B26" s="277"/>
      <c r="C26" s="25" t="s">
        <v>832</v>
      </c>
      <c r="D26" s="27">
        <v>0.6</v>
      </c>
      <c r="E26" s="21">
        <v>0</v>
      </c>
      <c r="F26" s="21">
        <v>1.1000000000000001</v>
      </c>
      <c r="G26" s="23">
        <f t="shared" si="2"/>
        <v>0</v>
      </c>
    </row>
    <row r="27" spans="1:19" ht="12" customHeight="1" x14ac:dyDescent="0.25">
      <c r="A27" s="265"/>
      <c r="B27" s="277"/>
      <c r="C27" s="25" t="s">
        <v>833</v>
      </c>
      <c r="D27" s="27">
        <v>6</v>
      </c>
      <c r="E27" s="21">
        <v>0</v>
      </c>
      <c r="F27" s="21">
        <v>1.1000000000000001</v>
      </c>
      <c r="G27" s="23">
        <f t="shared" si="2"/>
        <v>0</v>
      </c>
    </row>
    <row r="28" spans="1:19" ht="12" customHeight="1" x14ac:dyDescent="0.25">
      <c r="A28" s="265"/>
      <c r="B28" s="277"/>
      <c r="C28" s="25" t="s">
        <v>834</v>
      </c>
      <c r="D28" s="27">
        <v>20</v>
      </c>
      <c r="E28" s="21">
        <v>0</v>
      </c>
      <c r="F28" s="21">
        <v>1.1000000000000001</v>
      </c>
      <c r="G28" s="23">
        <f t="shared" si="2"/>
        <v>0</v>
      </c>
    </row>
    <row r="29" spans="1:19" ht="12" customHeight="1" x14ac:dyDescent="0.25">
      <c r="A29" s="265"/>
      <c r="B29" s="277"/>
      <c r="C29" s="25" t="s">
        <v>835</v>
      </c>
      <c r="D29" s="27">
        <v>8</v>
      </c>
      <c r="E29" s="21">
        <v>0</v>
      </c>
      <c r="F29" s="21">
        <v>1.1000000000000001</v>
      </c>
      <c r="G29" s="23">
        <f t="shared" si="2"/>
        <v>0</v>
      </c>
    </row>
    <row r="30" spans="1:19" ht="12" customHeight="1" x14ac:dyDescent="0.25">
      <c r="A30" s="265"/>
      <c r="B30" s="277"/>
      <c r="C30" s="25" t="s">
        <v>836</v>
      </c>
      <c r="D30" s="27">
        <v>0.5</v>
      </c>
      <c r="E30" s="21">
        <v>0</v>
      </c>
      <c r="F30" s="21">
        <v>1.1000000000000001</v>
      </c>
      <c r="G30" s="23">
        <f t="shared" si="2"/>
        <v>0</v>
      </c>
    </row>
    <row r="31" spans="1:19" ht="15.6" customHeight="1" x14ac:dyDescent="0.25">
      <c r="A31" s="265"/>
      <c r="B31" s="277"/>
      <c r="C31" s="257" t="s">
        <v>837</v>
      </c>
      <c r="D31" s="258"/>
      <c r="E31" s="258"/>
      <c r="F31" s="258"/>
      <c r="G31" s="26">
        <f>32.09*SUM(G24:G30)/3600</f>
        <v>2.3532666666666702E-2</v>
      </c>
    </row>
    <row r="32" spans="1:19" ht="15.6" customHeight="1" x14ac:dyDescent="0.25">
      <c r="A32" s="14" t="s">
        <v>827</v>
      </c>
      <c r="B32" s="15" t="s">
        <v>795</v>
      </c>
      <c r="C32" s="15" t="s">
        <v>813</v>
      </c>
      <c r="D32" s="16" t="s">
        <v>838</v>
      </c>
      <c r="E32" s="16" t="s">
        <v>815</v>
      </c>
      <c r="F32" s="16" t="s">
        <v>816</v>
      </c>
      <c r="G32" s="18" t="s">
        <v>817</v>
      </c>
    </row>
    <row r="33" spans="1:8" ht="12" customHeight="1" x14ac:dyDescent="0.25">
      <c r="A33" s="269" t="s">
        <v>839</v>
      </c>
      <c r="B33" s="276" t="s">
        <v>840</v>
      </c>
      <c r="C33" s="25" t="s">
        <v>841</v>
      </c>
      <c r="D33" s="31">
        <v>6</v>
      </c>
      <c r="E33" s="21">
        <v>1</v>
      </c>
      <c r="F33" s="21">
        <v>1.1000000000000001</v>
      </c>
      <c r="G33" s="23">
        <f t="shared" ref="G33:G50" si="3">D33*E33*F33</f>
        <v>6.6</v>
      </c>
    </row>
    <row r="34" spans="1:8" ht="12" customHeight="1" x14ac:dyDescent="0.25">
      <c r="A34" s="269"/>
      <c r="B34" s="276"/>
      <c r="C34" s="25" t="s">
        <v>842</v>
      </c>
      <c r="D34" s="31">
        <v>6</v>
      </c>
      <c r="E34" s="21">
        <v>6</v>
      </c>
      <c r="F34" s="21">
        <v>1.1000000000000001</v>
      </c>
      <c r="G34" s="23">
        <f t="shared" si="3"/>
        <v>39.6</v>
      </c>
      <c r="H34" s="1">
        <v>11</v>
      </c>
    </row>
    <row r="35" spans="1:8" ht="12" customHeight="1" x14ac:dyDescent="0.25">
      <c r="A35" s="269"/>
      <c r="B35" s="276"/>
      <c r="C35" s="25" t="s">
        <v>843</v>
      </c>
      <c r="D35" s="31">
        <v>6</v>
      </c>
      <c r="E35" s="21">
        <v>1</v>
      </c>
      <c r="F35" s="21">
        <v>1.1000000000000001</v>
      </c>
      <c r="G35" s="23">
        <f t="shared" si="3"/>
        <v>6.6</v>
      </c>
    </row>
    <row r="36" spans="1:8" ht="12" customHeight="1" x14ac:dyDescent="0.25">
      <c r="A36" s="269"/>
      <c r="B36" s="276"/>
      <c r="C36" s="25" t="s">
        <v>844</v>
      </c>
      <c r="D36" s="31">
        <v>6</v>
      </c>
      <c r="E36" s="21">
        <v>2</v>
      </c>
      <c r="F36" s="21">
        <v>1.1000000000000001</v>
      </c>
      <c r="G36" s="23">
        <f t="shared" si="3"/>
        <v>13.2</v>
      </c>
    </row>
    <row r="37" spans="1:8" ht="12" customHeight="1" x14ac:dyDescent="0.25">
      <c r="A37" s="269"/>
      <c r="B37" s="277"/>
      <c r="C37" s="25" t="s">
        <v>845</v>
      </c>
      <c r="D37" s="31">
        <v>6</v>
      </c>
      <c r="E37" s="21">
        <v>2</v>
      </c>
      <c r="F37" s="21">
        <v>1.1000000000000001</v>
      </c>
      <c r="G37" s="23">
        <f t="shared" si="3"/>
        <v>13.2</v>
      </c>
    </row>
    <row r="38" spans="1:8" ht="12" customHeight="1" x14ac:dyDescent="0.25">
      <c r="A38" s="269"/>
      <c r="B38" s="277"/>
      <c r="C38" s="25" t="s">
        <v>846</v>
      </c>
      <c r="D38" s="31">
        <v>6</v>
      </c>
      <c r="E38" s="21">
        <v>2</v>
      </c>
      <c r="F38" s="21">
        <v>1.1000000000000001</v>
      </c>
      <c r="G38" s="23">
        <f t="shared" si="3"/>
        <v>13.2</v>
      </c>
    </row>
    <row r="39" spans="1:8" ht="12" customHeight="1" x14ac:dyDescent="0.25">
      <c r="A39" s="269"/>
      <c r="B39" s="277"/>
      <c r="C39" s="25" t="s">
        <v>847</v>
      </c>
      <c r="D39" s="31">
        <v>6</v>
      </c>
      <c r="E39" s="21">
        <v>1</v>
      </c>
      <c r="F39" s="21">
        <v>1.1000000000000001</v>
      </c>
      <c r="G39" s="23">
        <f t="shared" si="3"/>
        <v>6.6</v>
      </c>
    </row>
    <row r="40" spans="1:8" ht="12" customHeight="1" x14ac:dyDescent="0.25">
      <c r="A40" s="269"/>
      <c r="B40" s="277"/>
      <c r="C40" s="25" t="s">
        <v>848</v>
      </c>
      <c r="D40" s="31">
        <v>6</v>
      </c>
      <c r="E40" s="21">
        <v>1</v>
      </c>
      <c r="F40" s="21">
        <v>1.1000000000000001</v>
      </c>
      <c r="G40" s="23">
        <f t="shared" si="3"/>
        <v>6.6</v>
      </c>
    </row>
    <row r="41" spans="1:8" ht="12" customHeight="1" x14ac:dyDescent="0.25">
      <c r="A41" s="269"/>
      <c r="B41" s="277"/>
      <c r="C41" s="25" t="s">
        <v>849</v>
      </c>
      <c r="D41" s="31">
        <v>6</v>
      </c>
      <c r="E41" s="21">
        <v>4</v>
      </c>
      <c r="F41" s="21">
        <v>1.1000000000000001</v>
      </c>
      <c r="G41" s="23">
        <f t="shared" si="3"/>
        <v>26.4</v>
      </c>
    </row>
    <row r="42" spans="1:8" ht="12" customHeight="1" x14ac:dyDescent="0.25">
      <c r="A42" s="269"/>
      <c r="B42" s="277"/>
      <c r="C42" s="25" t="s">
        <v>850</v>
      </c>
      <c r="D42" s="31">
        <v>6</v>
      </c>
      <c r="E42" s="21">
        <v>0</v>
      </c>
      <c r="F42" s="21">
        <v>1.1000000000000001</v>
      </c>
      <c r="G42" s="23">
        <f t="shared" si="3"/>
        <v>0</v>
      </c>
    </row>
    <row r="43" spans="1:8" ht="12" customHeight="1" x14ac:dyDescent="0.25">
      <c r="A43" s="269"/>
      <c r="B43" s="277"/>
      <c r="C43" s="25" t="s">
        <v>851</v>
      </c>
      <c r="D43" s="31">
        <v>6</v>
      </c>
      <c r="E43" s="21">
        <v>0</v>
      </c>
      <c r="F43" s="21">
        <v>1.1000000000000001</v>
      </c>
      <c r="G43" s="23">
        <f t="shared" si="3"/>
        <v>0</v>
      </c>
    </row>
    <row r="44" spans="1:8" ht="12" customHeight="1" x14ac:dyDescent="0.25">
      <c r="A44" s="269"/>
      <c r="B44" s="277"/>
      <c r="C44" s="25" t="s">
        <v>852</v>
      </c>
      <c r="D44" s="31">
        <v>6</v>
      </c>
      <c r="E44" s="21">
        <v>4</v>
      </c>
      <c r="F44" s="21">
        <v>1.1000000000000001</v>
      </c>
      <c r="G44" s="23">
        <f t="shared" si="3"/>
        <v>26.4</v>
      </c>
    </row>
    <row r="45" spans="1:8" ht="12" customHeight="1" x14ac:dyDescent="0.25">
      <c r="A45" s="269"/>
      <c r="B45" s="277"/>
      <c r="C45" s="25" t="s">
        <v>853</v>
      </c>
      <c r="D45" s="31">
        <v>6</v>
      </c>
      <c r="E45" s="21">
        <v>1</v>
      </c>
      <c r="F45" s="21">
        <v>1.1000000000000001</v>
      </c>
      <c r="G45" s="23">
        <f t="shared" si="3"/>
        <v>6.6</v>
      </c>
    </row>
    <row r="46" spans="1:8" ht="12" customHeight="1" x14ac:dyDescent="0.25">
      <c r="A46" s="269"/>
      <c r="B46" s="277"/>
      <c r="C46" s="25" t="s">
        <v>854</v>
      </c>
      <c r="D46" s="31">
        <v>6</v>
      </c>
      <c r="E46" s="21">
        <v>1</v>
      </c>
      <c r="F46" s="21">
        <v>1.1000000000000001</v>
      </c>
      <c r="G46" s="23">
        <f t="shared" si="3"/>
        <v>6.6</v>
      </c>
    </row>
    <row r="47" spans="1:8" ht="12" customHeight="1" x14ac:dyDescent="0.25">
      <c r="A47" s="269"/>
      <c r="B47" s="277"/>
      <c r="C47" s="25" t="s">
        <v>840</v>
      </c>
      <c r="D47" s="31">
        <v>6</v>
      </c>
      <c r="E47" s="21">
        <v>0</v>
      </c>
      <c r="F47" s="21">
        <v>1.1000000000000001</v>
      </c>
      <c r="G47" s="23">
        <f t="shared" si="3"/>
        <v>0</v>
      </c>
    </row>
    <row r="48" spans="1:8" ht="12" customHeight="1" x14ac:dyDescent="0.25">
      <c r="A48" s="269"/>
      <c r="B48" s="277"/>
      <c r="C48" s="25" t="s">
        <v>855</v>
      </c>
      <c r="D48" s="31">
        <v>6</v>
      </c>
      <c r="E48" s="21">
        <v>2</v>
      </c>
      <c r="F48" s="21">
        <v>1.1000000000000001</v>
      </c>
      <c r="G48" s="23">
        <f t="shared" si="3"/>
        <v>13.2</v>
      </c>
    </row>
    <row r="49" spans="1:16" ht="12" customHeight="1" x14ac:dyDescent="0.25">
      <c r="A49" s="269"/>
      <c r="B49" s="277"/>
      <c r="C49" s="25" t="s">
        <v>856</v>
      </c>
      <c r="D49" s="31">
        <v>6</v>
      </c>
      <c r="E49" s="21">
        <v>2</v>
      </c>
      <c r="F49" s="21">
        <v>1.1000000000000001</v>
      </c>
      <c r="G49" s="23">
        <f t="shared" si="3"/>
        <v>13.2</v>
      </c>
    </row>
    <row r="50" spans="1:16" ht="12" customHeight="1" x14ac:dyDescent="0.25">
      <c r="A50" s="269"/>
      <c r="B50" s="277"/>
      <c r="C50" s="25" t="s">
        <v>857</v>
      </c>
      <c r="D50" s="31">
        <v>6</v>
      </c>
      <c r="E50" s="21">
        <v>1</v>
      </c>
      <c r="F50" s="21">
        <v>1.1000000000000001</v>
      </c>
      <c r="G50" s="23">
        <f t="shared" si="3"/>
        <v>6.6</v>
      </c>
    </row>
    <row r="51" spans="1:16" ht="12" customHeight="1" x14ac:dyDescent="0.25">
      <c r="A51" s="269"/>
      <c r="B51" s="277"/>
      <c r="C51" s="25"/>
      <c r="D51" s="31"/>
      <c r="E51" s="21"/>
      <c r="F51" s="21"/>
      <c r="G51" s="23"/>
    </row>
    <row r="52" spans="1:16" ht="12" customHeight="1" x14ac:dyDescent="0.25">
      <c r="A52" s="269"/>
      <c r="B52" s="277"/>
      <c r="C52" s="25"/>
      <c r="D52" s="31"/>
      <c r="E52" s="21"/>
      <c r="F52" s="21"/>
      <c r="G52" s="23"/>
    </row>
    <row r="53" spans="1:16" ht="12" customHeight="1" x14ac:dyDescent="0.25">
      <c r="A53" s="269"/>
      <c r="B53" s="277"/>
      <c r="C53" s="25"/>
      <c r="D53" s="31"/>
      <c r="E53" s="21"/>
      <c r="F53" s="21"/>
      <c r="G53" s="23"/>
      <c r="P53" s="38"/>
    </row>
    <row r="54" spans="1:16" ht="12" customHeight="1" x14ac:dyDescent="0.25">
      <c r="A54" s="269"/>
      <c r="B54" s="277"/>
      <c r="C54" s="25"/>
      <c r="D54" s="31"/>
      <c r="E54" s="21"/>
      <c r="F54" s="21"/>
      <c r="G54" s="23"/>
    </row>
    <row r="55" spans="1:16" ht="15.6" customHeight="1" x14ac:dyDescent="0.25">
      <c r="A55" s="270"/>
      <c r="B55" s="278"/>
      <c r="C55" s="280" t="s">
        <v>858</v>
      </c>
      <c r="D55" s="279"/>
      <c r="E55" s="279"/>
      <c r="F55" s="279"/>
      <c r="G55" s="30">
        <f>32.09*SUM(G33:G54)/3600</f>
        <v>1.82378166666667</v>
      </c>
    </row>
    <row r="56" spans="1:16" ht="15.6" customHeight="1" x14ac:dyDescent="0.25">
      <c r="A56" s="281" t="s">
        <v>859</v>
      </c>
      <c r="B56" s="282"/>
      <c r="C56" s="282"/>
      <c r="D56" s="282"/>
      <c r="E56" s="282"/>
      <c r="F56" s="283"/>
      <c r="G56" s="32">
        <f>G14+G18+G22+G31+G55</f>
        <v>6.1831459999999998</v>
      </c>
      <c r="H56" s="33"/>
    </row>
    <row r="57" spans="1:16" ht="16.5" customHeight="1" x14ac:dyDescent="0.25">
      <c r="A57" s="271" t="s">
        <v>860</v>
      </c>
      <c r="B57" s="286" t="s">
        <v>861</v>
      </c>
      <c r="C57" s="15" t="s">
        <v>862</v>
      </c>
      <c r="D57" s="16" t="s">
        <v>863</v>
      </c>
      <c r="E57" s="16" t="s">
        <v>864</v>
      </c>
      <c r="F57" s="16" t="s">
        <v>816</v>
      </c>
      <c r="G57" s="18" t="s">
        <v>865</v>
      </c>
    </row>
    <row r="58" spans="1:16" ht="16.5" customHeight="1" x14ac:dyDescent="0.25">
      <c r="A58" s="272"/>
      <c r="B58" s="287"/>
      <c r="C58" s="34" t="s">
        <v>866</v>
      </c>
      <c r="D58" s="35">
        <v>0.04</v>
      </c>
      <c r="E58" s="36">
        <v>2</v>
      </c>
      <c r="F58" s="21">
        <v>1</v>
      </c>
      <c r="G58" s="37">
        <f t="shared" ref="G58:G64" si="4">D58*E58*F58</f>
        <v>0.08</v>
      </c>
    </row>
    <row r="59" spans="1:16" ht="16.5" customHeight="1" x14ac:dyDescent="0.25">
      <c r="A59" s="272"/>
      <c r="B59" s="287"/>
      <c r="C59" s="34" t="s">
        <v>867</v>
      </c>
      <c r="D59" s="35">
        <v>1.9E-2</v>
      </c>
      <c r="E59" s="36">
        <v>0.5</v>
      </c>
      <c r="F59" s="21">
        <v>1.2</v>
      </c>
      <c r="G59" s="37">
        <f t="shared" si="4"/>
        <v>1.14E-2</v>
      </c>
    </row>
    <row r="60" spans="1:16" ht="14.25" customHeight="1" x14ac:dyDescent="0.25">
      <c r="A60" s="265"/>
      <c r="B60" s="251"/>
      <c r="C60" s="25" t="s">
        <v>868</v>
      </c>
      <c r="D60" s="35">
        <v>0.27900000000000003</v>
      </c>
      <c r="E60" s="36">
        <v>1</v>
      </c>
      <c r="F60" s="21">
        <v>1.1000000000000001</v>
      </c>
      <c r="G60" s="37">
        <f t="shared" si="4"/>
        <v>0.30690000000000001</v>
      </c>
    </row>
    <row r="61" spans="1:16" ht="12" customHeight="1" x14ac:dyDescent="0.25">
      <c r="A61" s="265"/>
      <c r="B61" s="251"/>
      <c r="C61" s="25" t="s">
        <v>869</v>
      </c>
      <c r="D61" s="35">
        <v>0.19600000000000001</v>
      </c>
      <c r="E61" s="36">
        <v>0.1</v>
      </c>
      <c r="F61" s="21">
        <v>1.2</v>
      </c>
      <c r="G61" s="37">
        <f t="shared" si="4"/>
        <v>2.3519999999999999E-2</v>
      </c>
    </row>
    <row r="62" spans="1:16" ht="12.75" customHeight="1" x14ac:dyDescent="0.25">
      <c r="A62" s="265"/>
      <c r="B62" s="251"/>
      <c r="C62" s="25" t="s">
        <v>870</v>
      </c>
      <c r="D62" s="35">
        <v>0.04</v>
      </c>
      <c r="E62" s="36">
        <v>0</v>
      </c>
      <c r="F62" s="21">
        <v>1.1000000000000001</v>
      </c>
      <c r="G62" s="37">
        <f t="shared" si="4"/>
        <v>0</v>
      </c>
    </row>
    <row r="63" spans="1:16" ht="12" customHeight="1" x14ac:dyDescent="0.25">
      <c r="A63" s="265"/>
      <c r="B63" s="251"/>
      <c r="C63" s="25" t="s">
        <v>871</v>
      </c>
      <c r="D63" s="35">
        <v>0.21</v>
      </c>
      <c r="E63" s="36">
        <v>1.4</v>
      </c>
      <c r="F63" s="21">
        <v>1.2</v>
      </c>
      <c r="G63" s="37">
        <f t="shared" si="4"/>
        <v>0.3528</v>
      </c>
    </row>
    <row r="64" spans="1:16" ht="12" customHeight="1" x14ac:dyDescent="0.25">
      <c r="A64" s="265"/>
      <c r="B64" s="251"/>
      <c r="C64" s="22" t="s">
        <v>872</v>
      </c>
      <c r="D64" s="35">
        <v>2.4E-2</v>
      </c>
      <c r="E64" s="36">
        <v>0</v>
      </c>
      <c r="F64" s="21">
        <v>1.2</v>
      </c>
      <c r="G64" s="37">
        <f t="shared" si="4"/>
        <v>0</v>
      </c>
    </row>
    <row r="65" spans="1:8" ht="15.6" customHeight="1" x14ac:dyDescent="0.25">
      <c r="A65" s="266"/>
      <c r="B65" s="273"/>
      <c r="C65" s="284" t="s">
        <v>873</v>
      </c>
      <c r="D65" s="285"/>
      <c r="E65" s="285"/>
      <c r="F65" s="285"/>
      <c r="G65" s="41">
        <f>SUM(G58:G64)</f>
        <v>0.77461999999999998</v>
      </c>
    </row>
    <row r="66" spans="1:8" ht="16.5" customHeight="1" x14ac:dyDescent="0.25">
      <c r="A66" s="271" t="s">
        <v>874</v>
      </c>
      <c r="B66" s="250" t="s">
        <v>875</v>
      </c>
      <c r="C66" s="42" t="s">
        <v>876</v>
      </c>
      <c r="D66" s="42" t="s">
        <v>877</v>
      </c>
      <c r="E66" s="42" t="s">
        <v>878</v>
      </c>
      <c r="F66" s="42" t="s">
        <v>27</v>
      </c>
      <c r="G66" s="43" t="s">
        <v>879</v>
      </c>
    </row>
    <row r="67" spans="1:8" ht="12" customHeight="1" x14ac:dyDescent="0.25">
      <c r="A67" s="265"/>
      <c r="B67" s="251"/>
      <c r="C67" s="25" t="s">
        <v>880</v>
      </c>
      <c r="D67" s="44">
        <v>265</v>
      </c>
      <c r="E67" s="45">
        <v>1</v>
      </c>
      <c r="F67" s="253" t="s">
        <v>881</v>
      </c>
      <c r="G67" s="46">
        <f t="shared" ref="G67:G78" si="5">D67*E67</f>
        <v>265</v>
      </c>
    </row>
    <row r="68" spans="1:8" ht="12" customHeight="1" x14ac:dyDescent="0.25">
      <c r="A68" s="265"/>
      <c r="B68" s="251"/>
      <c r="C68" s="25" t="s">
        <v>882</v>
      </c>
      <c r="D68" s="44">
        <v>1000</v>
      </c>
      <c r="E68" s="45">
        <v>1</v>
      </c>
      <c r="F68" s="254"/>
      <c r="G68" s="46">
        <f t="shared" si="5"/>
        <v>1000</v>
      </c>
      <c r="H68" s="33"/>
    </row>
    <row r="69" spans="1:8" ht="12" customHeight="1" x14ac:dyDescent="0.25">
      <c r="A69" s="265"/>
      <c r="B69" s="251"/>
      <c r="C69" s="25" t="s">
        <v>883</v>
      </c>
      <c r="D69" s="47">
        <v>350</v>
      </c>
      <c r="E69" s="45">
        <v>50</v>
      </c>
      <c r="F69" s="255"/>
      <c r="G69" s="46">
        <f t="shared" si="5"/>
        <v>17500</v>
      </c>
    </row>
    <row r="70" spans="1:8" ht="12" customHeight="1" x14ac:dyDescent="0.25">
      <c r="A70" s="265"/>
      <c r="B70" s="251"/>
      <c r="C70" s="25" t="s">
        <v>884</v>
      </c>
      <c r="D70" s="47">
        <v>1500</v>
      </c>
      <c r="E70" s="45">
        <v>0</v>
      </c>
      <c r="F70" s="255"/>
      <c r="G70" s="46">
        <f t="shared" si="5"/>
        <v>0</v>
      </c>
    </row>
    <row r="71" spans="1:8" ht="12" customHeight="1" x14ac:dyDescent="0.25">
      <c r="A71" s="265"/>
      <c r="B71" s="251"/>
      <c r="C71" s="25" t="s">
        <v>885</v>
      </c>
      <c r="D71" s="47">
        <v>20000</v>
      </c>
      <c r="E71" s="45">
        <v>0</v>
      </c>
      <c r="F71" s="255"/>
      <c r="G71" s="46">
        <f t="shared" si="5"/>
        <v>0</v>
      </c>
    </row>
    <row r="72" spans="1:8" ht="12" customHeight="1" x14ac:dyDescent="0.25">
      <c r="A72" s="265"/>
      <c r="B72" s="251"/>
      <c r="C72" s="25" t="s">
        <v>886</v>
      </c>
      <c r="D72" s="44">
        <v>800</v>
      </c>
      <c r="E72" s="45">
        <v>1</v>
      </c>
      <c r="F72" s="255"/>
      <c r="G72" s="46">
        <f t="shared" si="5"/>
        <v>800</v>
      </c>
    </row>
    <row r="73" spans="1:8" ht="12" customHeight="1" x14ac:dyDescent="0.25">
      <c r="A73" s="265"/>
      <c r="B73" s="251"/>
      <c r="C73" s="22" t="s">
        <v>887</v>
      </c>
      <c r="D73" s="44">
        <v>8000</v>
      </c>
      <c r="E73" s="45">
        <v>1</v>
      </c>
      <c r="F73" s="255"/>
      <c r="G73" s="46">
        <f t="shared" si="5"/>
        <v>8000</v>
      </c>
    </row>
    <row r="74" spans="1:8" ht="12" customHeight="1" x14ac:dyDescent="0.25">
      <c r="A74" s="265"/>
      <c r="B74" s="251"/>
      <c r="C74" s="25" t="s">
        <v>888</v>
      </c>
      <c r="D74" s="44">
        <v>4000</v>
      </c>
      <c r="E74" s="45">
        <v>1</v>
      </c>
      <c r="F74" s="255"/>
      <c r="G74" s="46">
        <f t="shared" si="5"/>
        <v>4000</v>
      </c>
    </row>
    <row r="75" spans="1:8" ht="12" customHeight="1" x14ac:dyDescent="0.25">
      <c r="A75" s="265"/>
      <c r="B75" s="251"/>
      <c r="C75" s="22" t="s">
        <v>889</v>
      </c>
      <c r="D75" s="44">
        <v>8000</v>
      </c>
      <c r="E75" s="45">
        <v>4</v>
      </c>
      <c r="F75" s="255"/>
      <c r="G75" s="46">
        <f t="shared" si="5"/>
        <v>32000</v>
      </c>
    </row>
    <row r="76" spans="1:8" ht="12" customHeight="1" x14ac:dyDescent="0.25">
      <c r="A76" s="265"/>
      <c r="B76" s="251"/>
      <c r="C76" s="22" t="s">
        <v>890</v>
      </c>
      <c r="D76" s="44">
        <v>4000</v>
      </c>
      <c r="E76" s="45">
        <v>1</v>
      </c>
      <c r="F76" s="255"/>
      <c r="G76" s="46">
        <f t="shared" si="5"/>
        <v>4000</v>
      </c>
    </row>
    <row r="77" spans="1:8" ht="12" customHeight="1" x14ac:dyDescent="0.25">
      <c r="A77" s="265"/>
      <c r="B77" s="251"/>
      <c r="C77" s="25" t="s">
        <v>891</v>
      </c>
      <c r="D77" s="44">
        <v>800</v>
      </c>
      <c r="E77" s="45">
        <v>20</v>
      </c>
      <c r="F77" s="255"/>
      <c r="G77" s="46">
        <f t="shared" si="5"/>
        <v>16000</v>
      </c>
    </row>
    <row r="78" spans="1:8" ht="12" customHeight="1" x14ac:dyDescent="0.25">
      <c r="A78" s="265"/>
      <c r="B78" s="251"/>
      <c r="C78" s="25" t="s">
        <v>892</v>
      </c>
      <c r="D78" s="44">
        <v>300</v>
      </c>
      <c r="E78" s="45">
        <v>0</v>
      </c>
      <c r="F78" s="256"/>
      <c r="G78" s="46">
        <f t="shared" si="5"/>
        <v>0</v>
      </c>
      <c r="H78" s="33"/>
    </row>
    <row r="79" spans="1:8" ht="15.6" customHeight="1" x14ac:dyDescent="0.25">
      <c r="A79" s="265"/>
      <c r="B79" s="251"/>
      <c r="C79" s="257" t="s">
        <v>893</v>
      </c>
      <c r="D79" s="258"/>
      <c r="E79" s="258"/>
      <c r="F79" s="258"/>
      <c r="G79" s="48">
        <f>SUM(G67:G78)</f>
        <v>83565</v>
      </c>
      <c r="H79" s="49"/>
    </row>
    <row r="80" spans="1:8" ht="15.6" customHeight="1" x14ac:dyDescent="0.25">
      <c r="A80" s="268"/>
      <c r="B80" s="252"/>
      <c r="C80" s="259" t="s">
        <v>894</v>
      </c>
      <c r="D80" s="260"/>
      <c r="E80" s="260"/>
      <c r="F80" s="260"/>
      <c r="G80" s="50">
        <f>G79/G4</f>
        <v>83565</v>
      </c>
    </row>
    <row r="81" spans="1:8" ht="15.9" customHeight="1" x14ac:dyDescent="0.25">
      <c r="A81" s="261" t="s">
        <v>895</v>
      </c>
      <c r="B81" s="262"/>
      <c r="C81" s="262"/>
      <c r="D81" s="262"/>
      <c r="E81" s="262"/>
      <c r="F81" s="263"/>
      <c r="G81" s="51">
        <f>G56+G65+G80</f>
        <v>83571.957766000007</v>
      </c>
      <c r="H81" s="52"/>
    </row>
    <row r="82" spans="1:8" ht="15.75" customHeight="1" x14ac:dyDescent="0.25">
      <c r="A82" s="264" t="s">
        <v>896</v>
      </c>
      <c r="B82" s="264"/>
      <c r="C82" s="264"/>
      <c r="D82" s="264"/>
      <c r="E82" s="264"/>
      <c r="F82" s="264"/>
      <c r="G82" s="264"/>
    </row>
  </sheetData>
  <mergeCells count="29">
    <mergeCell ref="A56:F56"/>
    <mergeCell ref="C65:F65"/>
    <mergeCell ref="B57:B65"/>
    <mergeCell ref="A2:G2"/>
    <mergeCell ref="D4:E4"/>
    <mergeCell ref="A5:G5"/>
    <mergeCell ref="C14:F14"/>
    <mergeCell ref="C18:F18"/>
    <mergeCell ref="A82:G82"/>
    <mergeCell ref="A7:A14"/>
    <mergeCell ref="A15:A18"/>
    <mergeCell ref="A19:A22"/>
    <mergeCell ref="A24:A31"/>
    <mergeCell ref="A33:A55"/>
    <mergeCell ref="A57:A65"/>
    <mergeCell ref="A66:A80"/>
    <mergeCell ref="B7:B14"/>
    <mergeCell ref="B15:B18"/>
    <mergeCell ref="B19:B22"/>
    <mergeCell ref="B24:B31"/>
    <mergeCell ref="B33:B55"/>
    <mergeCell ref="C22:F22"/>
    <mergeCell ref="C31:F31"/>
    <mergeCell ref="C55:F55"/>
    <mergeCell ref="B66:B80"/>
    <mergeCell ref="F67:F78"/>
    <mergeCell ref="C79:F79"/>
    <mergeCell ref="C80:F80"/>
    <mergeCell ref="A81:F81"/>
  </mergeCells>
  <phoneticPr fontId="58" type="noConversion"/>
  <pageMargins left="0.75" right="0.75" top="1" bottom="1" header="0.5" footer="0.5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82"/>
  <sheetViews>
    <sheetView tabSelected="1" topLeftCell="A57" workbookViewId="0">
      <selection activeCell="D67" sqref="D67:D68"/>
    </sheetView>
  </sheetViews>
  <sheetFormatPr defaultColWidth="9" defaultRowHeight="15" x14ac:dyDescent="0.25"/>
  <cols>
    <col min="1" max="1" width="5.6640625" style="1" customWidth="1"/>
    <col min="2" max="2" width="10" style="1" customWidth="1"/>
    <col min="3" max="3" width="14.109375" style="1" customWidth="1"/>
    <col min="4" max="4" width="13.6640625" style="1"/>
    <col min="5" max="5" width="13" style="1" customWidth="1"/>
    <col min="6" max="6" width="19.33203125" style="1" customWidth="1"/>
    <col min="7" max="7" width="14.44140625" style="1" customWidth="1"/>
    <col min="8" max="17" width="9" style="1"/>
    <col min="18" max="18" width="11.44140625" style="1" customWidth="1"/>
    <col min="19" max="16384" width="9" style="1"/>
  </cols>
  <sheetData>
    <row r="1" spans="1:19" ht="5.0999999999999996" customHeight="1" x14ac:dyDescent="0.25">
      <c r="A1" s="2"/>
      <c r="B1" s="2"/>
      <c r="C1" s="2"/>
      <c r="D1" s="2"/>
      <c r="E1" s="2"/>
      <c r="F1" s="3"/>
      <c r="G1" s="2"/>
    </row>
    <row r="2" spans="1:19" ht="24" customHeight="1" x14ac:dyDescent="0.25">
      <c r="A2" s="288" t="s">
        <v>786</v>
      </c>
      <c r="B2" s="289"/>
      <c r="C2" s="289"/>
      <c r="D2" s="289"/>
      <c r="E2" s="289"/>
      <c r="F2" s="289"/>
      <c r="G2" s="290"/>
      <c r="Q2" s="39"/>
      <c r="R2" s="40"/>
      <c r="S2" s="40"/>
    </row>
    <row r="3" spans="1:19" ht="14.25" customHeight="1" x14ac:dyDescent="0.25">
      <c r="A3" s="4"/>
      <c r="B3" s="5"/>
      <c r="C3" s="5"/>
      <c r="D3" s="6" t="s">
        <v>787</v>
      </c>
      <c r="E3" s="7" t="s">
        <v>788</v>
      </c>
      <c r="F3" s="6" t="s">
        <v>789</v>
      </c>
      <c r="G3" s="8"/>
      <c r="Q3" s="39"/>
      <c r="R3" s="39"/>
      <c r="S3" s="39"/>
    </row>
    <row r="4" spans="1:19" ht="18" customHeight="1" x14ac:dyDescent="0.25">
      <c r="A4" s="9" t="s">
        <v>790</v>
      </c>
      <c r="B4" s="10"/>
      <c r="C4" s="11" t="s">
        <v>791</v>
      </c>
      <c r="D4" s="291" t="s">
        <v>898</v>
      </c>
      <c r="E4" s="292"/>
      <c r="F4" s="12" t="s">
        <v>793</v>
      </c>
      <c r="G4" s="13">
        <v>1</v>
      </c>
      <c r="Q4" s="39"/>
      <c r="R4" s="39"/>
      <c r="S4" s="39"/>
    </row>
    <row r="5" spans="1:19" ht="4.5" customHeight="1" x14ac:dyDescent="0.25">
      <c r="A5" s="293"/>
      <c r="B5" s="293"/>
      <c r="C5" s="293"/>
      <c r="D5" s="293"/>
      <c r="E5" s="293"/>
      <c r="F5" s="293"/>
      <c r="G5" s="293"/>
      <c r="Q5" s="39"/>
      <c r="R5" s="39"/>
      <c r="S5" s="39"/>
    </row>
    <row r="6" spans="1:19" ht="15" customHeight="1" x14ac:dyDescent="0.25">
      <c r="A6" s="14" t="s">
        <v>794</v>
      </c>
      <c r="B6" s="15" t="s">
        <v>795</v>
      </c>
      <c r="C6" s="15" t="s">
        <v>796</v>
      </c>
      <c r="D6" s="16" t="s">
        <v>797</v>
      </c>
      <c r="E6" s="16" t="s">
        <v>798</v>
      </c>
      <c r="F6" s="17" t="s">
        <v>27</v>
      </c>
      <c r="G6" s="18" t="s">
        <v>799</v>
      </c>
      <c r="Q6" s="39"/>
      <c r="R6" s="39"/>
      <c r="S6" s="39"/>
    </row>
    <row r="7" spans="1:19" ht="12" customHeight="1" x14ac:dyDescent="0.25">
      <c r="A7" s="265" t="s">
        <v>800</v>
      </c>
      <c r="B7" s="251" t="s">
        <v>801</v>
      </c>
      <c r="C7" s="19" t="s">
        <v>802</v>
      </c>
      <c r="D7" s="20">
        <f>0.019</f>
        <v>1.9E-2</v>
      </c>
      <c r="E7" s="21">
        <v>108</v>
      </c>
      <c r="F7" s="22"/>
      <c r="G7" s="23">
        <f t="shared" ref="G7:G13" si="0">D7*E7</f>
        <v>2.052</v>
      </c>
      <c r="Q7" s="39"/>
      <c r="R7" s="39"/>
      <c r="S7" s="39"/>
    </row>
    <row r="8" spans="1:19" ht="12" customHeight="1" x14ac:dyDescent="0.25">
      <c r="A8" s="265"/>
      <c r="B8" s="251"/>
      <c r="C8" s="19" t="s">
        <v>803</v>
      </c>
      <c r="D8" s="20">
        <f>0.02</f>
        <v>0.02</v>
      </c>
      <c r="E8" s="21">
        <v>19</v>
      </c>
      <c r="F8" s="22"/>
      <c r="G8" s="23">
        <f t="shared" si="0"/>
        <v>0.38</v>
      </c>
      <c r="Q8" s="40"/>
      <c r="R8" s="39"/>
      <c r="S8" s="39"/>
    </row>
    <row r="9" spans="1:19" ht="12" customHeight="1" x14ac:dyDescent="0.25">
      <c r="A9" s="265"/>
      <c r="B9" s="251"/>
      <c r="C9" s="24" t="s">
        <v>804</v>
      </c>
      <c r="D9" s="20">
        <f>0.02</f>
        <v>0.02</v>
      </c>
      <c r="E9" s="21">
        <v>11</v>
      </c>
      <c r="F9" s="22"/>
      <c r="G9" s="23">
        <f t="shared" si="0"/>
        <v>0.22</v>
      </c>
      <c r="Q9" s="39"/>
      <c r="R9" s="39"/>
      <c r="S9" s="39"/>
    </row>
    <row r="10" spans="1:19" ht="12" customHeight="1" x14ac:dyDescent="0.25">
      <c r="A10" s="265"/>
      <c r="B10" s="251"/>
      <c r="C10" s="24" t="s">
        <v>805</v>
      </c>
      <c r="D10" s="20">
        <f>0.06</f>
        <v>0.06</v>
      </c>
      <c r="E10" s="21">
        <v>0</v>
      </c>
      <c r="F10" s="22"/>
      <c r="G10" s="23">
        <f t="shared" si="0"/>
        <v>0</v>
      </c>
      <c r="Q10" s="40"/>
      <c r="R10" s="39"/>
      <c r="S10" s="39"/>
    </row>
    <row r="11" spans="1:19" ht="12" customHeight="1" x14ac:dyDescent="0.25">
      <c r="A11" s="265"/>
      <c r="B11" s="251"/>
      <c r="C11" s="24" t="s">
        <v>806</v>
      </c>
      <c r="D11" s="20">
        <f>0.035</f>
        <v>3.5000000000000003E-2</v>
      </c>
      <c r="E11" s="21">
        <v>10</v>
      </c>
      <c r="F11" s="22"/>
      <c r="G11" s="23">
        <f t="shared" si="0"/>
        <v>0.35</v>
      </c>
      <c r="Q11" s="40"/>
      <c r="R11" s="39"/>
      <c r="S11" s="39"/>
    </row>
    <row r="12" spans="1:19" ht="12" customHeight="1" x14ac:dyDescent="0.25">
      <c r="A12" s="265"/>
      <c r="B12" s="251"/>
      <c r="C12" s="24" t="s">
        <v>807</v>
      </c>
      <c r="D12" s="20">
        <f>0.018</f>
        <v>1.7999999999999999E-2</v>
      </c>
      <c r="E12" s="21">
        <v>27</v>
      </c>
      <c r="F12" s="25" t="s">
        <v>808</v>
      </c>
      <c r="G12" s="23">
        <f t="shared" si="0"/>
        <v>0.48599999999999999</v>
      </c>
      <c r="Q12" s="39"/>
      <c r="R12" s="39"/>
      <c r="S12" s="39"/>
    </row>
    <row r="13" spans="1:19" ht="12" customHeight="1" x14ac:dyDescent="0.25">
      <c r="A13" s="265"/>
      <c r="B13" s="251"/>
      <c r="C13" s="24" t="s">
        <v>809</v>
      </c>
      <c r="D13" s="20">
        <f>(0.04-0.0045)*4</f>
        <v>0.14199999999999999</v>
      </c>
      <c r="E13" s="21">
        <v>0</v>
      </c>
      <c r="F13" s="25"/>
      <c r="G13" s="23">
        <f t="shared" si="0"/>
        <v>0</v>
      </c>
      <c r="Q13" s="40"/>
      <c r="R13" s="39"/>
      <c r="S13" s="39"/>
    </row>
    <row r="14" spans="1:19" ht="15.6" customHeight="1" x14ac:dyDescent="0.25">
      <c r="A14" s="265"/>
      <c r="B14" s="251"/>
      <c r="C14" s="258" t="s">
        <v>810</v>
      </c>
      <c r="D14" s="258"/>
      <c r="E14" s="258"/>
      <c r="F14" s="258"/>
      <c r="G14" s="26">
        <f>SUM(G7:G13)</f>
        <v>3.488</v>
      </c>
      <c r="Q14" s="39"/>
      <c r="R14" s="39"/>
      <c r="S14" s="39"/>
    </row>
    <row r="15" spans="1:19" ht="15.6" customHeight="1" x14ac:dyDescent="0.25">
      <c r="A15" s="266" t="s">
        <v>811</v>
      </c>
      <c r="B15" s="273" t="s">
        <v>812</v>
      </c>
      <c r="C15" s="15" t="s">
        <v>813</v>
      </c>
      <c r="D15" s="16" t="s">
        <v>814</v>
      </c>
      <c r="E15" s="16" t="s">
        <v>815</v>
      </c>
      <c r="F15" s="16" t="s">
        <v>816</v>
      </c>
      <c r="G15" s="18" t="s">
        <v>817</v>
      </c>
      <c r="Q15" s="39"/>
      <c r="R15" s="39"/>
      <c r="S15" s="39"/>
    </row>
    <row r="16" spans="1:19" ht="15.6" customHeight="1" x14ac:dyDescent="0.25">
      <c r="A16" s="267"/>
      <c r="B16" s="274"/>
      <c r="C16" s="25" t="s">
        <v>818</v>
      </c>
      <c r="D16" s="27">
        <v>6</v>
      </c>
      <c r="E16" s="28">
        <v>1</v>
      </c>
      <c r="F16" s="21">
        <v>1.1000000000000001</v>
      </c>
      <c r="G16" s="29">
        <f t="shared" ref="G16:G21" si="1">D16*E16*F16</f>
        <v>6.6</v>
      </c>
      <c r="Q16" s="39"/>
      <c r="R16" s="39"/>
      <c r="S16" s="39"/>
    </row>
    <row r="17" spans="1:19" ht="15.6" customHeight="1" x14ac:dyDescent="0.25">
      <c r="A17" s="267"/>
      <c r="B17" s="274"/>
      <c r="C17" s="25" t="s">
        <v>819</v>
      </c>
      <c r="D17" s="27">
        <f>D33</f>
        <v>9</v>
      </c>
      <c r="E17" s="28">
        <v>0</v>
      </c>
      <c r="F17" s="21">
        <v>1.1000000000000001</v>
      </c>
      <c r="G17" s="29">
        <f t="shared" si="1"/>
        <v>0</v>
      </c>
      <c r="Q17" s="39"/>
      <c r="R17" s="39"/>
      <c r="S17" s="39"/>
    </row>
    <row r="18" spans="1:19" ht="15.6" customHeight="1" x14ac:dyDescent="0.25">
      <c r="A18" s="267"/>
      <c r="B18" s="275"/>
      <c r="C18" s="294" t="s">
        <v>820</v>
      </c>
      <c r="D18" s="295"/>
      <c r="E18" s="295"/>
      <c r="F18" s="295"/>
      <c r="G18" s="26">
        <f>SUM(G16:G17)/3600*32.09</f>
        <v>5.8831666666666699E-2</v>
      </c>
      <c r="Q18" s="39"/>
      <c r="R18" s="39"/>
      <c r="S18" s="39"/>
    </row>
    <row r="19" spans="1:19" ht="12" customHeight="1" x14ac:dyDescent="0.25">
      <c r="A19" s="265" t="s">
        <v>821</v>
      </c>
      <c r="B19" s="251" t="s">
        <v>822</v>
      </c>
      <c r="C19" s="25" t="s">
        <v>823</v>
      </c>
      <c r="D19" s="20">
        <f>0.025</f>
        <v>2.5000000000000001E-2</v>
      </c>
      <c r="E19" s="21">
        <v>0</v>
      </c>
      <c r="F19" s="21">
        <v>1.1000000000000001</v>
      </c>
      <c r="G19" s="23">
        <f t="shared" si="1"/>
        <v>0</v>
      </c>
      <c r="Q19" s="39"/>
      <c r="R19" s="39"/>
      <c r="S19" s="39"/>
    </row>
    <row r="20" spans="1:19" ht="12" customHeight="1" x14ac:dyDescent="0.25">
      <c r="A20" s="265"/>
      <c r="B20" s="251"/>
      <c r="C20" s="25" t="s">
        <v>824</v>
      </c>
      <c r="D20" s="20">
        <f>0.022</f>
        <v>2.1999999999999999E-2</v>
      </c>
      <c r="E20" s="21">
        <v>0</v>
      </c>
      <c r="F20" s="21">
        <v>1.1000000000000001</v>
      </c>
      <c r="G20" s="23">
        <f t="shared" si="1"/>
        <v>0</v>
      </c>
      <c r="Q20" s="39"/>
      <c r="R20" s="39"/>
      <c r="S20" s="39"/>
    </row>
    <row r="21" spans="1:19" ht="12" customHeight="1" x14ac:dyDescent="0.25">
      <c r="A21" s="265"/>
      <c r="B21" s="251"/>
      <c r="C21" s="22" t="s">
        <v>825</v>
      </c>
      <c r="D21" s="20">
        <f>0.025</f>
        <v>2.5000000000000001E-2</v>
      </c>
      <c r="E21" s="21">
        <v>0</v>
      </c>
      <c r="F21" s="21">
        <v>1.1000000000000001</v>
      </c>
      <c r="G21" s="23">
        <f t="shared" si="1"/>
        <v>0</v>
      </c>
      <c r="Q21" s="39"/>
      <c r="R21" s="39"/>
      <c r="S21" s="39"/>
    </row>
    <row r="22" spans="1:19" ht="15.6" customHeight="1" x14ac:dyDescent="0.25">
      <c r="A22" s="268"/>
      <c r="B22" s="252"/>
      <c r="C22" s="279" t="s">
        <v>826</v>
      </c>
      <c r="D22" s="279"/>
      <c r="E22" s="279"/>
      <c r="F22" s="279"/>
      <c r="G22" s="30">
        <f>SUM(G19:G21)</f>
        <v>0</v>
      </c>
      <c r="Q22" s="39"/>
      <c r="R22" s="39"/>
      <c r="S22" s="39"/>
    </row>
    <row r="23" spans="1:19" ht="16.5" customHeight="1" x14ac:dyDescent="0.25">
      <c r="A23" s="14" t="s">
        <v>827</v>
      </c>
      <c r="B23" s="15" t="s">
        <v>795</v>
      </c>
      <c r="C23" s="15" t="s">
        <v>813</v>
      </c>
      <c r="D23" s="16" t="s">
        <v>814</v>
      </c>
      <c r="E23" s="16" t="s">
        <v>828</v>
      </c>
      <c r="F23" s="16" t="s">
        <v>816</v>
      </c>
      <c r="G23" s="18" t="s">
        <v>817</v>
      </c>
    </row>
    <row r="24" spans="1:19" ht="12" customHeight="1" x14ac:dyDescent="0.25">
      <c r="A24" s="265" t="s">
        <v>829</v>
      </c>
      <c r="B24" s="276" t="s">
        <v>830</v>
      </c>
      <c r="C24" s="25" t="s">
        <v>212</v>
      </c>
      <c r="D24" s="27">
        <v>1.2</v>
      </c>
      <c r="E24" s="21">
        <v>2</v>
      </c>
      <c r="F24" s="21">
        <v>1.1000000000000001</v>
      </c>
      <c r="G24" s="23">
        <f t="shared" ref="G24:G30" si="2">D24*E24*F24</f>
        <v>2.64</v>
      </c>
    </row>
    <row r="25" spans="1:19" ht="12" customHeight="1" x14ac:dyDescent="0.25">
      <c r="A25" s="265"/>
      <c r="B25" s="277"/>
      <c r="C25" s="25" t="s">
        <v>831</v>
      </c>
      <c r="D25" s="27">
        <v>1.8</v>
      </c>
      <c r="E25" s="21">
        <v>0</v>
      </c>
      <c r="F25" s="21">
        <v>1.1000000000000001</v>
      </c>
      <c r="G25" s="23">
        <f t="shared" si="2"/>
        <v>0</v>
      </c>
    </row>
    <row r="26" spans="1:19" ht="12" customHeight="1" x14ac:dyDescent="0.25">
      <c r="A26" s="265"/>
      <c r="B26" s="277"/>
      <c r="C26" s="25" t="s">
        <v>832</v>
      </c>
      <c r="D26" s="27">
        <v>0.6</v>
      </c>
      <c r="E26" s="21">
        <v>0</v>
      </c>
      <c r="F26" s="21">
        <v>1.1000000000000001</v>
      </c>
      <c r="G26" s="23">
        <f t="shared" si="2"/>
        <v>0</v>
      </c>
    </row>
    <row r="27" spans="1:19" ht="12" customHeight="1" x14ac:dyDescent="0.25">
      <c r="A27" s="265"/>
      <c r="B27" s="277"/>
      <c r="C27" s="25" t="s">
        <v>833</v>
      </c>
      <c r="D27" s="27">
        <v>6</v>
      </c>
      <c r="E27" s="21">
        <v>0</v>
      </c>
      <c r="F27" s="21">
        <v>1.1000000000000001</v>
      </c>
      <c r="G27" s="23">
        <f t="shared" si="2"/>
        <v>0</v>
      </c>
    </row>
    <row r="28" spans="1:19" ht="12" customHeight="1" x14ac:dyDescent="0.25">
      <c r="A28" s="265"/>
      <c r="B28" s="277"/>
      <c r="C28" s="25" t="s">
        <v>834</v>
      </c>
      <c r="D28" s="27">
        <v>20</v>
      </c>
      <c r="E28" s="21">
        <v>0</v>
      </c>
      <c r="F28" s="21">
        <v>1.1000000000000001</v>
      </c>
      <c r="G28" s="23">
        <f t="shared" si="2"/>
        <v>0</v>
      </c>
    </row>
    <row r="29" spans="1:19" ht="12" customHeight="1" x14ac:dyDescent="0.25">
      <c r="A29" s="265"/>
      <c r="B29" s="277"/>
      <c r="C29" s="25" t="s">
        <v>835</v>
      </c>
      <c r="D29" s="27">
        <v>8</v>
      </c>
      <c r="E29" s="21">
        <v>0</v>
      </c>
      <c r="F29" s="21">
        <v>1.1000000000000001</v>
      </c>
      <c r="G29" s="23">
        <f t="shared" si="2"/>
        <v>0</v>
      </c>
    </row>
    <row r="30" spans="1:19" ht="12" customHeight="1" x14ac:dyDescent="0.25">
      <c r="A30" s="265"/>
      <c r="B30" s="277"/>
      <c r="C30" s="25" t="s">
        <v>836</v>
      </c>
      <c r="D30" s="27">
        <v>0.5</v>
      </c>
      <c r="E30" s="21">
        <v>0</v>
      </c>
      <c r="F30" s="21">
        <v>1.1000000000000001</v>
      </c>
      <c r="G30" s="23">
        <f t="shared" si="2"/>
        <v>0</v>
      </c>
    </row>
    <row r="31" spans="1:19" ht="15.6" customHeight="1" x14ac:dyDescent="0.25">
      <c r="A31" s="265"/>
      <c r="B31" s="277"/>
      <c r="C31" s="257" t="s">
        <v>837</v>
      </c>
      <c r="D31" s="258"/>
      <c r="E31" s="258"/>
      <c r="F31" s="258"/>
      <c r="G31" s="26">
        <f>32.09*SUM(G24:G30)/3600</f>
        <v>2.3532666666666702E-2</v>
      </c>
    </row>
    <row r="32" spans="1:19" ht="15.6" customHeight="1" x14ac:dyDescent="0.25">
      <c r="A32" s="14" t="s">
        <v>827</v>
      </c>
      <c r="B32" s="15" t="s">
        <v>795</v>
      </c>
      <c r="C32" s="15" t="s">
        <v>813</v>
      </c>
      <c r="D32" s="16" t="s">
        <v>838</v>
      </c>
      <c r="E32" s="16" t="s">
        <v>815</v>
      </c>
      <c r="F32" s="16" t="s">
        <v>816</v>
      </c>
      <c r="G32" s="18" t="s">
        <v>817</v>
      </c>
    </row>
    <row r="33" spans="1:8" ht="12" customHeight="1" x14ac:dyDescent="0.25">
      <c r="A33" s="269" t="s">
        <v>839</v>
      </c>
      <c r="B33" s="276" t="s">
        <v>840</v>
      </c>
      <c r="C33" s="25" t="s">
        <v>841</v>
      </c>
      <c r="D33" s="31">
        <v>9</v>
      </c>
      <c r="E33" s="21">
        <v>1</v>
      </c>
      <c r="F33" s="21">
        <v>1.1000000000000001</v>
      </c>
      <c r="G33" s="23">
        <f t="shared" ref="G33:G50" si="3">D33*E33*F33</f>
        <v>9.9</v>
      </c>
    </row>
    <row r="34" spans="1:8" ht="12" customHeight="1" x14ac:dyDescent="0.25">
      <c r="A34" s="269"/>
      <c r="B34" s="276"/>
      <c r="C34" s="25" t="s">
        <v>842</v>
      </c>
      <c r="D34" s="31">
        <v>9</v>
      </c>
      <c r="E34" s="21">
        <v>5</v>
      </c>
      <c r="F34" s="21">
        <v>1.1000000000000001</v>
      </c>
      <c r="G34" s="23">
        <f t="shared" si="3"/>
        <v>49.5</v>
      </c>
      <c r="H34" s="1">
        <v>14</v>
      </c>
    </row>
    <row r="35" spans="1:8" ht="12" customHeight="1" x14ac:dyDescent="0.25">
      <c r="A35" s="269"/>
      <c r="B35" s="276"/>
      <c r="C35" s="25" t="s">
        <v>843</v>
      </c>
      <c r="D35" s="31">
        <v>9</v>
      </c>
      <c r="E35" s="21">
        <v>1</v>
      </c>
      <c r="F35" s="21">
        <v>1.1000000000000001</v>
      </c>
      <c r="G35" s="23">
        <f t="shared" si="3"/>
        <v>9.9</v>
      </c>
    </row>
    <row r="36" spans="1:8" ht="12" customHeight="1" x14ac:dyDescent="0.25">
      <c r="A36" s="269"/>
      <c r="B36" s="276"/>
      <c r="C36" s="25" t="s">
        <v>844</v>
      </c>
      <c r="D36" s="31">
        <v>9</v>
      </c>
      <c r="E36" s="21">
        <v>2</v>
      </c>
      <c r="F36" s="21">
        <v>1.1000000000000001</v>
      </c>
      <c r="G36" s="23">
        <f t="shared" si="3"/>
        <v>19.8</v>
      </c>
    </row>
    <row r="37" spans="1:8" ht="12" customHeight="1" x14ac:dyDescent="0.25">
      <c r="A37" s="269"/>
      <c r="B37" s="277"/>
      <c r="C37" s="25" t="s">
        <v>845</v>
      </c>
      <c r="D37" s="31">
        <v>9</v>
      </c>
      <c r="E37" s="21">
        <v>2</v>
      </c>
      <c r="F37" s="21">
        <v>1.1000000000000001</v>
      </c>
      <c r="G37" s="23">
        <f t="shared" si="3"/>
        <v>19.8</v>
      </c>
    </row>
    <row r="38" spans="1:8" ht="12" customHeight="1" x14ac:dyDescent="0.25">
      <c r="A38" s="269"/>
      <c r="B38" s="277"/>
      <c r="C38" s="25" t="s">
        <v>846</v>
      </c>
      <c r="D38" s="31">
        <v>9</v>
      </c>
      <c r="E38" s="21">
        <v>2</v>
      </c>
      <c r="F38" s="21">
        <v>1.1000000000000001</v>
      </c>
      <c r="G38" s="23">
        <f t="shared" si="3"/>
        <v>19.8</v>
      </c>
    </row>
    <row r="39" spans="1:8" ht="12" customHeight="1" x14ac:dyDescent="0.25">
      <c r="A39" s="269"/>
      <c r="B39" s="277"/>
      <c r="C39" s="25" t="s">
        <v>847</v>
      </c>
      <c r="D39" s="31">
        <v>9</v>
      </c>
      <c r="E39" s="21">
        <v>1</v>
      </c>
      <c r="F39" s="21">
        <v>1.1000000000000001</v>
      </c>
      <c r="G39" s="23">
        <f t="shared" si="3"/>
        <v>9.9</v>
      </c>
    </row>
    <row r="40" spans="1:8" ht="12" customHeight="1" x14ac:dyDescent="0.25">
      <c r="A40" s="269"/>
      <c r="B40" s="277"/>
      <c r="C40" s="25" t="s">
        <v>848</v>
      </c>
      <c r="D40" s="31">
        <v>9</v>
      </c>
      <c r="E40" s="21">
        <v>1</v>
      </c>
      <c r="F40" s="21">
        <v>1.1000000000000001</v>
      </c>
      <c r="G40" s="23">
        <f t="shared" si="3"/>
        <v>9.9</v>
      </c>
    </row>
    <row r="41" spans="1:8" ht="12" customHeight="1" x14ac:dyDescent="0.25">
      <c r="A41" s="269"/>
      <c r="B41" s="277"/>
      <c r="C41" s="25" t="s">
        <v>849</v>
      </c>
      <c r="D41" s="31">
        <v>9</v>
      </c>
      <c r="E41" s="21">
        <v>4</v>
      </c>
      <c r="F41" s="21">
        <v>1.1000000000000001</v>
      </c>
      <c r="G41" s="23">
        <f t="shared" si="3"/>
        <v>39.6</v>
      </c>
    </row>
    <row r="42" spans="1:8" ht="12" customHeight="1" x14ac:dyDescent="0.25">
      <c r="A42" s="269"/>
      <c r="B42" s="277"/>
      <c r="C42" s="25" t="s">
        <v>850</v>
      </c>
      <c r="D42" s="31">
        <v>9</v>
      </c>
      <c r="E42" s="21">
        <v>0</v>
      </c>
      <c r="F42" s="21">
        <v>1.1000000000000001</v>
      </c>
      <c r="G42" s="23">
        <f t="shared" si="3"/>
        <v>0</v>
      </c>
    </row>
    <row r="43" spans="1:8" ht="12" customHeight="1" x14ac:dyDescent="0.25">
      <c r="A43" s="269"/>
      <c r="B43" s="277"/>
      <c r="C43" s="25" t="s">
        <v>851</v>
      </c>
      <c r="D43" s="31">
        <v>9</v>
      </c>
      <c r="E43" s="21">
        <v>0</v>
      </c>
      <c r="F43" s="21">
        <v>1.1000000000000001</v>
      </c>
      <c r="G43" s="23">
        <f t="shared" si="3"/>
        <v>0</v>
      </c>
    </row>
    <row r="44" spans="1:8" ht="12" customHeight="1" x14ac:dyDescent="0.25">
      <c r="A44" s="269"/>
      <c r="B44" s="277"/>
      <c r="C44" s="25" t="s">
        <v>852</v>
      </c>
      <c r="D44" s="31">
        <v>9</v>
      </c>
      <c r="E44" s="21">
        <v>4</v>
      </c>
      <c r="F44" s="21">
        <v>1.1000000000000001</v>
      </c>
      <c r="G44" s="23">
        <f t="shared" si="3"/>
        <v>39.6</v>
      </c>
    </row>
    <row r="45" spans="1:8" ht="12" customHeight="1" x14ac:dyDescent="0.25">
      <c r="A45" s="269"/>
      <c r="B45" s="277"/>
      <c r="C45" s="25" t="s">
        <v>853</v>
      </c>
      <c r="D45" s="31">
        <v>9</v>
      </c>
      <c r="E45" s="21">
        <v>1</v>
      </c>
      <c r="F45" s="21">
        <v>1.1000000000000001</v>
      </c>
      <c r="G45" s="23">
        <f t="shared" si="3"/>
        <v>9.9</v>
      </c>
    </row>
    <row r="46" spans="1:8" ht="12" customHeight="1" x14ac:dyDescent="0.25">
      <c r="A46" s="269"/>
      <c r="B46" s="277"/>
      <c r="C46" s="25" t="s">
        <v>854</v>
      </c>
      <c r="D46" s="31">
        <v>9</v>
      </c>
      <c r="E46" s="21">
        <v>1</v>
      </c>
      <c r="F46" s="21">
        <v>1.1000000000000001</v>
      </c>
      <c r="G46" s="23">
        <f t="shared" si="3"/>
        <v>9.9</v>
      </c>
    </row>
    <row r="47" spans="1:8" ht="12" customHeight="1" x14ac:dyDescent="0.25">
      <c r="A47" s="269"/>
      <c r="B47" s="277"/>
      <c r="C47" s="25" t="s">
        <v>840</v>
      </c>
      <c r="D47" s="31">
        <v>9</v>
      </c>
      <c r="E47" s="21">
        <v>0</v>
      </c>
      <c r="F47" s="21">
        <v>1.1000000000000001</v>
      </c>
      <c r="G47" s="23">
        <f t="shared" si="3"/>
        <v>0</v>
      </c>
    </row>
    <row r="48" spans="1:8" ht="12" customHeight="1" x14ac:dyDescent="0.25">
      <c r="A48" s="269"/>
      <c r="B48" s="277"/>
      <c r="C48" s="25" t="s">
        <v>855</v>
      </c>
      <c r="D48" s="31">
        <v>9</v>
      </c>
      <c r="E48" s="21">
        <v>2</v>
      </c>
      <c r="F48" s="21">
        <v>1.1000000000000001</v>
      </c>
      <c r="G48" s="23">
        <f t="shared" si="3"/>
        <v>19.8</v>
      </c>
    </row>
    <row r="49" spans="1:16" ht="12" customHeight="1" x14ac:dyDescent="0.25">
      <c r="A49" s="269"/>
      <c r="B49" s="277"/>
      <c r="C49" s="25" t="s">
        <v>856</v>
      </c>
      <c r="D49" s="31">
        <v>9</v>
      </c>
      <c r="E49" s="21">
        <v>2</v>
      </c>
      <c r="F49" s="21">
        <v>1.1000000000000001</v>
      </c>
      <c r="G49" s="23">
        <f t="shared" si="3"/>
        <v>19.8</v>
      </c>
    </row>
    <row r="50" spans="1:16" ht="12" customHeight="1" x14ac:dyDescent="0.25">
      <c r="A50" s="269"/>
      <c r="B50" s="277"/>
      <c r="C50" s="25" t="s">
        <v>857</v>
      </c>
      <c r="D50" s="31">
        <v>9</v>
      </c>
      <c r="E50" s="21">
        <v>1</v>
      </c>
      <c r="F50" s="21">
        <v>1.1000000000000001</v>
      </c>
      <c r="G50" s="23">
        <f t="shared" si="3"/>
        <v>9.9</v>
      </c>
    </row>
    <row r="51" spans="1:16" ht="12" customHeight="1" x14ac:dyDescent="0.25">
      <c r="A51" s="269"/>
      <c r="B51" s="277"/>
      <c r="C51" s="25"/>
      <c r="D51" s="31"/>
      <c r="E51" s="21"/>
      <c r="F51" s="21"/>
      <c r="G51" s="23"/>
    </row>
    <row r="52" spans="1:16" ht="12" customHeight="1" x14ac:dyDescent="0.25">
      <c r="A52" s="269"/>
      <c r="B52" s="277"/>
      <c r="C52" s="25"/>
      <c r="D52" s="31"/>
      <c r="E52" s="21"/>
      <c r="F52" s="21"/>
      <c r="G52" s="23"/>
    </row>
    <row r="53" spans="1:16" ht="12" customHeight="1" x14ac:dyDescent="0.25">
      <c r="A53" s="269"/>
      <c r="B53" s="277"/>
      <c r="C53" s="25"/>
      <c r="D53" s="31"/>
      <c r="E53" s="21"/>
      <c r="F53" s="21"/>
      <c r="G53" s="23"/>
      <c r="P53" s="38"/>
    </row>
    <row r="54" spans="1:16" ht="12" customHeight="1" x14ac:dyDescent="0.25">
      <c r="A54" s="269"/>
      <c r="B54" s="277"/>
      <c r="C54" s="25"/>
      <c r="D54" s="31"/>
      <c r="E54" s="21"/>
      <c r="F54" s="21"/>
      <c r="G54" s="23"/>
    </row>
    <row r="55" spans="1:16" ht="15.6" customHeight="1" x14ac:dyDescent="0.25">
      <c r="A55" s="270"/>
      <c r="B55" s="278"/>
      <c r="C55" s="280" t="s">
        <v>858</v>
      </c>
      <c r="D55" s="279"/>
      <c r="E55" s="279"/>
      <c r="F55" s="279"/>
      <c r="G55" s="30">
        <f>32.09*SUM(G33:G54)/3600</f>
        <v>2.6474250000000001</v>
      </c>
    </row>
    <row r="56" spans="1:16" ht="15.6" customHeight="1" x14ac:dyDescent="0.25">
      <c r="A56" s="281" t="s">
        <v>859</v>
      </c>
      <c r="B56" s="282"/>
      <c r="C56" s="282"/>
      <c r="D56" s="282"/>
      <c r="E56" s="282"/>
      <c r="F56" s="283"/>
      <c r="G56" s="32">
        <f>G14+G18+G22+G31+G55</f>
        <v>6.2177893333333296</v>
      </c>
      <c r="H56" s="33"/>
    </row>
    <row r="57" spans="1:16" ht="16.5" customHeight="1" x14ac:dyDescent="0.25">
      <c r="A57" s="271" t="s">
        <v>860</v>
      </c>
      <c r="B57" s="286" t="s">
        <v>861</v>
      </c>
      <c r="C57" s="15" t="s">
        <v>862</v>
      </c>
      <c r="D57" s="16" t="s">
        <v>863</v>
      </c>
      <c r="E57" s="16" t="s">
        <v>864</v>
      </c>
      <c r="F57" s="16" t="s">
        <v>816</v>
      </c>
      <c r="G57" s="18" t="s">
        <v>865</v>
      </c>
    </row>
    <row r="58" spans="1:16" ht="16.5" customHeight="1" x14ac:dyDescent="0.25">
      <c r="A58" s="272"/>
      <c r="B58" s="287"/>
      <c r="C58" s="34" t="s">
        <v>866</v>
      </c>
      <c r="D58" s="35">
        <v>0.04</v>
      </c>
      <c r="E58" s="36">
        <v>2</v>
      </c>
      <c r="F58" s="21">
        <v>1</v>
      </c>
      <c r="G58" s="37">
        <f t="shared" ref="G58:G64" si="4">D58*E58*F58</f>
        <v>0.08</v>
      </c>
    </row>
    <row r="59" spans="1:16" ht="16.5" customHeight="1" x14ac:dyDescent="0.25">
      <c r="A59" s="272"/>
      <c r="B59" s="287"/>
      <c r="C59" s="34" t="s">
        <v>867</v>
      </c>
      <c r="D59" s="35">
        <v>1.9E-2</v>
      </c>
      <c r="E59" s="36">
        <v>0.5</v>
      </c>
      <c r="F59" s="21">
        <v>1.2</v>
      </c>
      <c r="G59" s="37">
        <f t="shared" si="4"/>
        <v>1.14E-2</v>
      </c>
    </row>
    <row r="60" spans="1:16" ht="14.25" customHeight="1" x14ac:dyDescent="0.25">
      <c r="A60" s="265"/>
      <c r="B60" s="251"/>
      <c r="C60" s="25" t="s">
        <v>868</v>
      </c>
      <c r="D60" s="35">
        <v>0.27900000000000003</v>
      </c>
      <c r="E60" s="36">
        <v>1</v>
      </c>
      <c r="F60" s="21">
        <v>1.1000000000000001</v>
      </c>
      <c r="G60" s="37">
        <f t="shared" si="4"/>
        <v>0.30690000000000001</v>
      </c>
    </row>
    <row r="61" spans="1:16" ht="12" customHeight="1" x14ac:dyDescent="0.25">
      <c r="A61" s="265"/>
      <c r="B61" s="251"/>
      <c r="C61" s="25" t="s">
        <v>869</v>
      </c>
      <c r="D61" s="35">
        <v>0.19600000000000001</v>
      </c>
      <c r="E61" s="36">
        <v>0.1</v>
      </c>
      <c r="F61" s="21">
        <v>1.2</v>
      </c>
      <c r="G61" s="37">
        <f t="shared" si="4"/>
        <v>2.3519999999999999E-2</v>
      </c>
    </row>
    <row r="62" spans="1:16" ht="12.75" customHeight="1" x14ac:dyDescent="0.25">
      <c r="A62" s="265"/>
      <c r="B62" s="251"/>
      <c r="C62" s="25" t="s">
        <v>870</v>
      </c>
      <c r="D62" s="35">
        <v>0.04</v>
      </c>
      <c r="E62" s="36">
        <v>0</v>
      </c>
      <c r="F62" s="21">
        <v>1.1000000000000001</v>
      </c>
      <c r="G62" s="37">
        <f t="shared" si="4"/>
        <v>0</v>
      </c>
    </row>
    <row r="63" spans="1:16" ht="12" customHeight="1" x14ac:dyDescent="0.25">
      <c r="A63" s="265"/>
      <c r="B63" s="251"/>
      <c r="C63" s="25" t="s">
        <v>871</v>
      </c>
      <c r="D63" s="35">
        <v>0.21</v>
      </c>
      <c r="E63" s="36">
        <v>2</v>
      </c>
      <c r="F63" s="21">
        <v>1.2</v>
      </c>
      <c r="G63" s="37">
        <f t="shared" si="4"/>
        <v>0.504</v>
      </c>
    </row>
    <row r="64" spans="1:16" ht="12" customHeight="1" x14ac:dyDescent="0.25">
      <c r="A64" s="265"/>
      <c r="B64" s="251"/>
      <c r="C64" s="22" t="s">
        <v>872</v>
      </c>
      <c r="D64" s="35">
        <v>2.4E-2</v>
      </c>
      <c r="E64" s="36">
        <v>0</v>
      </c>
      <c r="F64" s="21">
        <v>1.2</v>
      </c>
      <c r="G64" s="37">
        <f t="shared" si="4"/>
        <v>0</v>
      </c>
    </row>
    <row r="65" spans="1:8" ht="15.6" customHeight="1" x14ac:dyDescent="0.25">
      <c r="A65" s="266"/>
      <c r="B65" s="273"/>
      <c r="C65" s="284" t="s">
        <v>873</v>
      </c>
      <c r="D65" s="285"/>
      <c r="E65" s="285"/>
      <c r="F65" s="285"/>
      <c r="G65" s="41">
        <f>SUM(G58:G64)</f>
        <v>0.92581999999999998</v>
      </c>
    </row>
    <row r="66" spans="1:8" ht="16.5" customHeight="1" x14ac:dyDescent="0.25">
      <c r="A66" s="271" t="s">
        <v>874</v>
      </c>
      <c r="B66" s="250" t="s">
        <v>875</v>
      </c>
      <c r="C66" s="42" t="s">
        <v>876</v>
      </c>
      <c r="D66" s="42" t="s">
        <v>877</v>
      </c>
      <c r="E66" s="42" t="s">
        <v>878</v>
      </c>
      <c r="F66" s="42" t="s">
        <v>27</v>
      </c>
      <c r="G66" s="43" t="s">
        <v>879</v>
      </c>
    </row>
    <row r="67" spans="1:8" ht="12" customHeight="1" x14ac:dyDescent="0.25">
      <c r="A67" s="265"/>
      <c r="B67" s="251"/>
      <c r="C67" s="25" t="s">
        <v>880</v>
      </c>
      <c r="D67" s="44">
        <v>265</v>
      </c>
      <c r="E67" s="45">
        <v>1</v>
      </c>
      <c r="F67" s="253" t="s">
        <v>881</v>
      </c>
      <c r="G67" s="46">
        <f t="shared" ref="G67:G78" si="5">D67*E67</f>
        <v>265</v>
      </c>
    </row>
    <row r="68" spans="1:8" ht="12" customHeight="1" x14ac:dyDescent="0.25">
      <c r="A68" s="265"/>
      <c r="B68" s="251"/>
      <c r="C68" s="25" t="s">
        <v>882</v>
      </c>
      <c r="D68" s="44">
        <v>1000</v>
      </c>
      <c r="E68" s="45">
        <v>1</v>
      </c>
      <c r="F68" s="254"/>
      <c r="G68" s="46">
        <f t="shared" si="5"/>
        <v>1000</v>
      </c>
      <c r="H68" s="33"/>
    </row>
    <row r="69" spans="1:8" ht="12" customHeight="1" x14ac:dyDescent="0.25">
      <c r="A69" s="265"/>
      <c r="B69" s="251"/>
      <c r="C69" s="25" t="s">
        <v>883</v>
      </c>
      <c r="D69" s="47">
        <v>350</v>
      </c>
      <c r="E69" s="45">
        <v>50</v>
      </c>
      <c r="F69" s="255"/>
      <c r="G69" s="46">
        <f t="shared" si="5"/>
        <v>17500</v>
      </c>
    </row>
    <row r="70" spans="1:8" ht="12" customHeight="1" x14ac:dyDescent="0.25">
      <c r="A70" s="265"/>
      <c r="B70" s="251"/>
      <c r="C70" s="25" t="s">
        <v>884</v>
      </c>
      <c r="D70" s="47">
        <v>1500</v>
      </c>
      <c r="E70" s="45">
        <v>0</v>
      </c>
      <c r="F70" s="255"/>
      <c r="G70" s="46">
        <f t="shared" si="5"/>
        <v>0</v>
      </c>
    </row>
    <row r="71" spans="1:8" ht="12" customHeight="1" x14ac:dyDescent="0.25">
      <c r="A71" s="265"/>
      <c r="B71" s="251"/>
      <c r="C71" s="25" t="s">
        <v>885</v>
      </c>
      <c r="D71" s="47">
        <v>20000</v>
      </c>
      <c r="E71" s="45">
        <v>0</v>
      </c>
      <c r="F71" s="255"/>
      <c r="G71" s="46">
        <f t="shared" si="5"/>
        <v>0</v>
      </c>
    </row>
    <row r="72" spans="1:8" ht="12" customHeight="1" x14ac:dyDescent="0.25">
      <c r="A72" s="265"/>
      <c r="B72" s="251"/>
      <c r="C72" s="25" t="s">
        <v>886</v>
      </c>
      <c r="D72" s="44">
        <v>800</v>
      </c>
      <c r="E72" s="45">
        <v>1</v>
      </c>
      <c r="F72" s="255"/>
      <c r="G72" s="46">
        <f t="shared" si="5"/>
        <v>800</v>
      </c>
    </row>
    <row r="73" spans="1:8" ht="12" customHeight="1" x14ac:dyDescent="0.25">
      <c r="A73" s="265"/>
      <c r="B73" s="251"/>
      <c r="C73" s="22" t="s">
        <v>887</v>
      </c>
      <c r="D73" s="44">
        <v>8000</v>
      </c>
      <c r="E73" s="45">
        <v>1</v>
      </c>
      <c r="F73" s="255"/>
      <c r="G73" s="46">
        <f t="shared" si="5"/>
        <v>8000</v>
      </c>
    </row>
    <row r="74" spans="1:8" ht="12" customHeight="1" x14ac:dyDescent="0.25">
      <c r="A74" s="265"/>
      <c r="B74" s="251"/>
      <c r="C74" s="25" t="s">
        <v>888</v>
      </c>
      <c r="D74" s="44">
        <v>4000</v>
      </c>
      <c r="E74" s="45">
        <v>1</v>
      </c>
      <c r="F74" s="255"/>
      <c r="G74" s="46">
        <f t="shared" si="5"/>
        <v>4000</v>
      </c>
    </row>
    <row r="75" spans="1:8" ht="12" customHeight="1" x14ac:dyDescent="0.25">
      <c r="A75" s="265"/>
      <c r="B75" s="251"/>
      <c r="C75" s="22" t="s">
        <v>889</v>
      </c>
      <c r="D75" s="44">
        <v>8000</v>
      </c>
      <c r="E75" s="45">
        <v>4</v>
      </c>
      <c r="F75" s="255"/>
      <c r="G75" s="46">
        <f t="shared" si="5"/>
        <v>32000</v>
      </c>
    </row>
    <row r="76" spans="1:8" ht="12" customHeight="1" x14ac:dyDescent="0.25">
      <c r="A76" s="265"/>
      <c r="B76" s="251"/>
      <c r="C76" s="22" t="s">
        <v>890</v>
      </c>
      <c r="D76" s="44">
        <v>4000</v>
      </c>
      <c r="E76" s="45">
        <v>1</v>
      </c>
      <c r="F76" s="255"/>
      <c r="G76" s="46">
        <f t="shared" si="5"/>
        <v>4000</v>
      </c>
    </row>
    <row r="77" spans="1:8" ht="12" customHeight="1" x14ac:dyDescent="0.25">
      <c r="A77" s="265"/>
      <c r="B77" s="251"/>
      <c r="C77" s="25" t="s">
        <v>891</v>
      </c>
      <c r="D77" s="44">
        <v>800</v>
      </c>
      <c r="E77" s="45">
        <v>20</v>
      </c>
      <c r="F77" s="255"/>
      <c r="G77" s="46">
        <f t="shared" si="5"/>
        <v>16000</v>
      </c>
    </row>
    <row r="78" spans="1:8" ht="12" customHeight="1" x14ac:dyDescent="0.25">
      <c r="A78" s="265"/>
      <c r="B78" s="251"/>
      <c r="C78" s="25" t="s">
        <v>892</v>
      </c>
      <c r="D78" s="44">
        <v>300</v>
      </c>
      <c r="E78" s="45">
        <v>0</v>
      </c>
      <c r="F78" s="256"/>
      <c r="G78" s="46">
        <f t="shared" si="5"/>
        <v>0</v>
      </c>
      <c r="H78" s="33"/>
    </row>
    <row r="79" spans="1:8" ht="15.6" customHeight="1" x14ac:dyDescent="0.25">
      <c r="A79" s="265"/>
      <c r="B79" s="251"/>
      <c r="C79" s="257" t="s">
        <v>893</v>
      </c>
      <c r="D79" s="258"/>
      <c r="E79" s="258"/>
      <c r="F79" s="258"/>
      <c r="G79" s="48">
        <f>SUM(G67:G78)</f>
        <v>83565</v>
      </c>
      <c r="H79" s="49"/>
    </row>
    <row r="80" spans="1:8" ht="15.6" customHeight="1" x14ac:dyDescent="0.25">
      <c r="A80" s="268"/>
      <c r="B80" s="252"/>
      <c r="C80" s="259" t="s">
        <v>894</v>
      </c>
      <c r="D80" s="260"/>
      <c r="E80" s="260"/>
      <c r="F80" s="260"/>
      <c r="G80" s="50">
        <f>G79/G4</f>
        <v>83565</v>
      </c>
    </row>
    <row r="81" spans="1:8" ht="15.9" customHeight="1" x14ac:dyDescent="0.25">
      <c r="A81" s="261" t="s">
        <v>895</v>
      </c>
      <c r="B81" s="262"/>
      <c r="C81" s="262"/>
      <c r="D81" s="262"/>
      <c r="E81" s="262"/>
      <c r="F81" s="263"/>
      <c r="G81" s="51">
        <f>G56+G65+G80</f>
        <v>83572.143609333303</v>
      </c>
      <c r="H81" s="52"/>
    </row>
    <row r="82" spans="1:8" ht="15.75" customHeight="1" x14ac:dyDescent="0.25">
      <c r="A82" s="264" t="s">
        <v>896</v>
      </c>
      <c r="B82" s="264"/>
      <c r="C82" s="264"/>
      <c r="D82" s="264"/>
      <c r="E82" s="264"/>
      <c r="F82" s="264"/>
      <c r="G82" s="264"/>
    </row>
  </sheetData>
  <mergeCells count="29">
    <mergeCell ref="A56:F56"/>
    <mergeCell ref="C65:F65"/>
    <mergeCell ref="B57:B65"/>
    <mergeCell ref="A2:G2"/>
    <mergeCell ref="D4:E4"/>
    <mergeCell ref="A5:G5"/>
    <mergeCell ref="C14:F14"/>
    <mergeCell ref="C18:F18"/>
    <mergeCell ref="A82:G82"/>
    <mergeCell ref="A7:A14"/>
    <mergeCell ref="A15:A18"/>
    <mergeCell ref="A19:A22"/>
    <mergeCell ref="A24:A31"/>
    <mergeCell ref="A33:A55"/>
    <mergeCell ref="A57:A65"/>
    <mergeCell ref="A66:A80"/>
    <mergeCell ref="B7:B14"/>
    <mergeCell ref="B15:B18"/>
    <mergeCell ref="B19:B22"/>
    <mergeCell ref="B24:B31"/>
    <mergeCell ref="B33:B55"/>
    <mergeCell ref="C22:F22"/>
    <mergeCell ref="C31:F31"/>
    <mergeCell ref="C55:F55"/>
    <mergeCell ref="B66:B80"/>
    <mergeCell ref="F67:F78"/>
    <mergeCell ref="C79:F79"/>
    <mergeCell ref="C80:F80"/>
    <mergeCell ref="A81:F81"/>
  </mergeCells>
  <phoneticPr fontId="58" type="noConversion"/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价格汇总</vt:lpstr>
      <vt:lpstr>003</vt:lpstr>
      <vt:lpstr>004</vt:lpstr>
      <vt:lpstr>009-sc</vt:lpstr>
      <vt:lpstr>009-lin</vt:lpstr>
      <vt:lpstr>009-pwm</vt:lpstr>
      <vt:lpstr>010-sc</vt:lpstr>
      <vt:lpstr>010-lin</vt:lpstr>
      <vt:lpstr>010-pwm</vt:lpstr>
      <vt:lpstr>003制费</vt:lpstr>
      <vt:lpstr>004制费</vt:lpstr>
      <vt:lpstr>009制费</vt:lpstr>
      <vt:lpstr>010制费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王天龙</dc:creator>
  <cp:lastModifiedBy>HAIER</cp:lastModifiedBy>
  <dcterms:created xsi:type="dcterms:W3CDTF">2023-05-12T11:15:00Z</dcterms:created>
  <dcterms:modified xsi:type="dcterms:W3CDTF">2025-11-11T08:09:03Z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445BA1280F0C44FC92E7C1CB21231A0A_12</vt:lpwstr>
  </property>
</Properties>
</file>